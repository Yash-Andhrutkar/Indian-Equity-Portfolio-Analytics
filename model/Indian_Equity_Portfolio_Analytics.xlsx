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dhr\Downloads\"/>
    </mc:Choice>
  </mc:AlternateContent>
  <xr:revisionPtr revIDLastSave="0" documentId="13_ncr:1_{B44BBB93-FD5C-431E-B80B-FBC21C9A93DD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Overview" sheetId="1" r:id="rId1"/>
    <sheet name="Inputs" sheetId="2" r:id="rId2"/>
    <sheet name="Holdings" sheetId="3" r:id="rId3"/>
    <sheet name="Prices" sheetId="4" r:id="rId4"/>
    <sheet name="Market_Data" sheetId="5" r:id="rId5"/>
    <sheet name="Returns" sheetId="6" r:id="rId6"/>
    <sheet name="Risk_Analysis" sheetId="7" r:id="rId7"/>
    <sheet name="Correlation" sheetId="8" r:id="rId8"/>
    <sheet name="Drawdown" sheetId="9" r:id="rId9"/>
    <sheet name="Benchmark" sheetId="10" r:id="rId10"/>
    <sheet name="Contribution" sheetId="11" r:id="rId11"/>
    <sheet name="Dashboard" sheetId="12" r:id="rId12"/>
  </sheets>
  <externalReferences>
    <externalReference r:id="rId13"/>
  </externalReferences>
  <definedNames>
    <definedName name="AirRet">Returns!$C$6:INDEX(Returns!$C$6:$C$1000,COUNT(Returns!$A$6:$A$1000))</definedName>
    <definedName name="BenchRet">Returns!$I$6:INDEX(Returns!$I$6:$I$1000,COUNT(Returns!$A$6:$A$1000))</definedName>
    <definedName name="CipRet">Returns!$F$6:INDEX(Returns!$F$6:$F$1000,COUNT(Returns!$A$6:$A$1000))</definedName>
    <definedName name="CompanyNames">Holdings!$C$7:$C$13</definedName>
    <definedName name="DD_BenchDD">Drawdown!$I$9:INDEX(Drawdown!$I$7:$I$1000,COUNT(Drawdown!$A$7:$A$1000))</definedName>
    <definedName name="DD_BenchVal">Drawdown!$G$9:INDEX(Drawdown!$G$7:$G$1000,COUNT(Drawdown!$A$7:$A$1000))</definedName>
    <definedName name="DD_ChartBenchDD">Drawdown!$R$7:INDEX(Drawdown!$R$7:$R$1000,COUNT(Drawdown!$A$7:$A$1000))</definedName>
    <definedName name="DD_ChartBenchVal">Drawdown!$N$7:INDEX(Drawdown!$N$7:$N$1000,COUNT(Drawdown!$A$7:$A$1000))</definedName>
    <definedName name="DD_ChartDates">Drawdown!$L$7:INDEX(Drawdown!$L$7:$L$1000,COUNT(Drawdown!$A$7:$A$1000))</definedName>
    <definedName name="DD_ChartDDDates">Drawdown!$P$7:INDEX(Drawdown!$P$7:$P$1000,COUNT(Drawdown!$A$7:$A$1000))</definedName>
    <definedName name="DD_ChartPortDD">Drawdown!$Q$7:INDEX(Drawdown!$Q$7:$Q$1000,COUNT(Drawdown!$A$7:$A$1000))</definedName>
    <definedName name="DD_ChartPortVal">Drawdown!$M$7:INDEX(Drawdown!$M$7:$M$1000,COUNT(Drawdown!$A$7:$A$1000))</definedName>
    <definedName name="DD_Dates">Drawdown!$J$9:INDEX(Drawdown!$J$7:$J$1000,COUNT(Drawdown!$A$7:$A$1000))</definedName>
    <definedName name="DD_PortDD">Drawdown!$E$9:INDEX(Drawdown!$E$7:$E$1000,COUNT(Drawdown!$A$7:$A$1000))</definedName>
    <definedName name="DD_PortVal">Drawdown!$C$9:INDEX(Drawdown!$C$7:$C$1000,COUNT(Drawdown!$A$7:$A$1000))</definedName>
    <definedName name="ExternalData_1" localSheetId="4" hidden="1">Market_Data!$W$20:$X$125</definedName>
    <definedName name="HclRet">Returns!$H$6:INDEX(Returns!$H$6:$H$1000,COUNT(Returns!$A$6:$A$1000))</definedName>
    <definedName name="HdfRet">Returns!$D$6:INDEX(Returns!$D$6:$D$1000,COUNT(Returns!$A$6:$A$1000))</definedName>
    <definedName name="IndexBase">Inputs!$B$12</definedName>
    <definedName name="LtRet">Returns!$E$6:INDEX(Returns!$E$6:$E$1000,COUNT(Returns!$A$6:$A$1000))</definedName>
    <definedName name="MarRet">Returns!$G$6:INDEX(Returns!$G$6:$G$1000,COUNT(Returns!$A$6:$A$1000))</definedName>
    <definedName name="NotionalValue">Inputs!$B$13</definedName>
    <definedName name="PortRet">Returns!$J$6:INDEX(Returns!$J$6:$J$1000,COUNT(Returns!$A$6:$A$1000))</definedName>
    <definedName name="RelRet">Returns!$B$6:INDEX(Returns!$B$6:$B$1000,COUNT(Returns!$A$6:$A$1000))</definedName>
    <definedName name="RiskFree">Inputs!$B$18</definedName>
    <definedName name="StockRets">Returns!$B$6:INDEX(Returns!$B$6:$H$1000,COUNT(Returns!$A$6:$A$1000),7)</definedName>
    <definedName name="Thr30">Inputs!$B$37</definedName>
    <definedName name="Thr50">Inputs!$B$36</definedName>
    <definedName name="Thr80">Inputs!$B$35</definedName>
    <definedName name="Tickers">Holdings!$B$7:$B$13</definedName>
    <definedName name="WeeksPerYear">Inputs!$B$11</definedName>
    <definedName name="Weights">Returns!$B$4:$H$4</definedName>
    <definedName name="WeightsCol">Holdings!$E$7:$E$13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37" i="9" l="1"/>
  <c r="R138" i="9"/>
  <c r="R139" i="9"/>
  <c r="R140" i="9"/>
  <c r="R141" i="9"/>
  <c r="R142" i="9"/>
  <c r="R143" i="9"/>
  <c r="R144" i="9"/>
  <c r="R145" i="9"/>
  <c r="R146" i="9"/>
  <c r="R147" i="9"/>
  <c r="Q137" i="9"/>
  <c r="Q138" i="9"/>
  <c r="Q139" i="9"/>
  <c r="Q140" i="9"/>
  <c r="Q141" i="9"/>
  <c r="Q142" i="9"/>
  <c r="Q143" i="9"/>
  <c r="Q144" i="9"/>
  <c r="Q145" i="9"/>
  <c r="Q146" i="9"/>
  <c r="Q147" i="9"/>
  <c r="P137" i="9"/>
  <c r="P138" i="9"/>
  <c r="P139" i="9"/>
  <c r="P140" i="9"/>
  <c r="P141" i="9"/>
  <c r="P142" i="9"/>
  <c r="P143" i="9"/>
  <c r="P144" i="9"/>
  <c r="P145" i="9"/>
  <c r="P146" i="9"/>
  <c r="P147" i="9"/>
  <c r="N137" i="9"/>
  <c r="N138" i="9"/>
  <c r="N139" i="9"/>
  <c r="N140" i="9"/>
  <c r="N141" i="9"/>
  <c r="N142" i="9"/>
  <c r="N143" i="9"/>
  <c r="N144" i="9"/>
  <c r="N145" i="9"/>
  <c r="N146" i="9"/>
  <c r="N147" i="9"/>
  <c r="M137" i="9"/>
  <c r="M138" i="9"/>
  <c r="M139" i="9"/>
  <c r="L137" i="9"/>
  <c r="L138" i="9"/>
  <c r="L139" i="9"/>
  <c r="L140" i="9"/>
  <c r="L141" i="9"/>
  <c r="L142" i="9"/>
  <c r="L143" i="9"/>
  <c r="L144" i="9"/>
  <c r="L145" i="9"/>
  <c r="L146" i="9"/>
  <c r="L147" i="9"/>
  <c r="R61" i="12" l="1"/>
  <c r="G51" i="3" l="1"/>
  <c r="I51" i="3" s="1"/>
  <c r="B59" i="1"/>
  <c r="R7" i="9"/>
  <c r="Q7" i="9"/>
  <c r="G52" i="3"/>
  <c r="I52" i="3" s="1"/>
  <c r="M73" i="12"/>
  <c r="J7" i="12"/>
  <c r="B34" i="11"/>
  <c r="B33" i="11"/>
  <c r="B32" i="11"/>
  <c r="B31" i="11"/>
  <c r="B30" i="11"/>
  <c r="B29" i="11"/>
  <c r="B28" i="11"/>
  <c r="B12" i="11"/>
  <c r="B11" i="11"/>
  <c r="B10" i="11"/>
  <c r="B9" i="11"/>
  <c r="B8" i="11"/>
  <c r="B7" i="11"/>
  <c r="B6" i="11"/>
  <c r="G7" i="9"/>
  <c r="H7" i="9" s="1"/>
  <c r="C7" i="9"/>
  <c r="D7" i="9" s="1"/>
  <c r="C43" i="8"/>
  <c r="B47" i="7"/>
  <c r="B46" i="7"/>
  <c r="B45" i="7"/>
  <c r="B44" i="7"/>
  <c r="B43" i="7"/>
  <c r="B42" i="7"/>
  <c r="B41" i="7"/>
  <c r="C19" i="7"/>
  <c r="B19" i="7"/>
  <c r="H4" i="6"/>
  <c r="G4" i="6"/>
  <c r="F4" i="6"/>
  <c r="E4" i="6"/>
  <c r="D4" i="6"/>
  <c r="C4" i="6"/>
  <c r="B4" i="6"/>
  <c r="I49" i="3"/>
  <c r="G49" i="3"/>
  <c r="I39" i="3"/>
  <c r="I32" i="3"/>
  <c r="G32" i="3"/>
  <c r="I31" i="3"/>
  <c r="G31" i="3"/>
  <c r="F26" i="3"/>
  <c r="G26" i="3" s="1"/>
  <c r="E26" i="3"/>
  <c r="F25" i="3"/>
  <c r="G25" i="3" s="1"/>
  <c r="E25" i="3"/>
  <c r="F24" i="3"/>
  <c r="G24" i="3" s="1"/>
  <c r="E24" i="3"/>
  <c r="F23" i="3"/>
  <c r="G23" i="3" s="1"/>
  <c r="E23" i="3"/>
  <c r="F22" i="3"/>
  <c r="G22" i="3" s="1"/>
  <c r="E22" i="3"/>
  <c r="F21" i="3"/>
  <c r="G21" i="3" s="1"/>
  <c r="E21" i="3"/>
  <c r="F20" i="3"/>
  <c r="G20" i="3" s="1"/>
  <c r="E20" i="3"/>
  <c r="E16" i="3"/>
  <c r="D16" i="3"/>
  <c r="E14" i="3"/>
  <c r="I13" i="3"/>
  <c r="I12" i="3"/>
  <c r="I11" i="3"/>
  <c r="I10" i="3"/>
  <c r="I9" i="3"/>
  <c r="I8" i="3"/>
  <c r="I7" i="3"/>
  <c r="G23" i="1"/>
  <c r="E23" i="1"/>
  <c r="E22" i="1"/>
  <c r="E21" i="1"/>
  <c r="E20" i="1"/>
  <c r="E19" i="1"/>
  <c r="E18" i="1"/>
  <c r="E17" i="1"/>
  <c r="E16" i="1"/>
  <c r="B11" i="1"/>
  <c r="A4" i="4"/>
  <c r="I4" i="4" s="1"/>
  <c r="Q20" i="5" a="1"/>
  <c r="K20" i="5" a="1"/>
  <c r="T20" i="5" a="1"/>
  <c r="N20" i="5" a="1"/>
  <c r="H20" i="5" a="1"/>
  <c r="B20" i="5" a="1"/>
  <c r="E20" i="5" a="1"/>
  <c r="N7" i="9" l="1"/>
  <c r="G39" i="3"/>
  <c r="M7" i="9"/>
  <c r="N123" i="5"/>
  <c r="N119" i="5"/>
  <c r="N115" i="5"/>
  <c r="N111" i="5"/>
  <c r="N107" i="5"/>
  <c r="N103" i="5"/>
  <c r="O124" i="5"/>
  <c r="O120" i="5"/>
  <c r="O116" i="5"/>
  <c r="O112" i="5"/>
  <c r="O108" i="5"/>
  <c r="O104" i="5"/>
  <c r="O100" i="5"/>
  <c r="N124" i="5"/>
  <c r="O118" i="5"/>
  <c r="O113" i="5"/>
  <c r="N108" i="5"/>
  <c r="O102" i="5"/>
  <c r="N98" i="5"/>
  <c r="N94" i="5"/>
  <c r="N90" i="5"/>
  <c r="N86" i="5"/>
  <c r="N82" i="5"/>
  <c r="O123" i="5"/>
  <c r="N118" i="5"/>
  <c r="N113" i="5"/>
  <c r="O107" i="5"/>
  <c r="N102" i="5"/>
  <c r="O97" i="5"/>
  <c r="O93" i="5"/>
  <c r="O89" i="5"/>
  <c r="O85" i="5"/>
  <c r="O81" i="5"/>
  <c r="O77" i="5"/>
  <c r="O73" i="5"/>
  <c r="O69" i="5"/>
  <c r="O65" i="5"/>
  <c r="O61" i="5"/>
  <c r="O57" i="5"/>
  <c r="O53" i="5"/>
  <c r="O49" i="5"/>
  <c r="O45" i="5"/>
  <c r="O41" i="5"/>
  <c r="O37" i="5"/>
  <c r="O33" i="5"/>
  <c r="O29" i="5"/>
  <c r="O25" i="5"/>
  <c r="O21" i="5"/>
  <c r="O122" i="5"/>
  <c r="O117" i="5"/>
  <c r="N112" i="5"/>
  <c r="O106" i="5"/>
  <c r="O101" i="5"/>
  <c r="N97" i="5"/>
  <c r="N93" i="5"/>
  <c r="N89" i="5"/>
  <c r="N85" i="5"/>
  <c r="N81" i="5"/>
  <c r="N77" i="5"/>
  <c r="N73" i="5"/>
  <c r="N69" i="5"/>
  <c r="N65" i="5"/>
  <c r="N61" i="5"/>
  <c r="N57" i="5"/>
  <c r="N53" i="5"/>
  <c r="N49" i="5"/>
  <c r="N45" i="5"/>
  <c r="N41" i="5"/>
  <c r="N37" i="5"/>
  <c r="N33" i="5"/>
  <c r="N29" i="5"/>
  <c r="N25" i="5"/>
  <c r="N21" i="5"/>
  <c r="N121" i="5"/>
  <c r="O115" i="5"/>
  <c r="N110" i="5"/>
  <c r="N105" i="5"/>
  <c r="O99" i="5"/>
  <c r="O95" i="5"/>
  <c r="O91" i="5"/>
  <c r="O87" i="5"/>
  <c r="O83" i="5"/>
  <c r="O79" i="5"/>
  <c r="O75" i="5"/>
  <c r="O71" i="5"/>
  <c r="O67" i="5"/>
  <c r="O63" i="5"/>
  <c r="O59" i="5"/>
  <c r="O55" i="5"/>
  <c r="O51" i="5"/>
  <c r="O47" i="5"/>
  <c r="O43" i="5"/>
  <c r="O39" i="5"/>
  <c r="O35" i="5"/>
  <c r="O31" i="5"/>
  <c r="O27" i="5"/>
  <c r="O23" i="5"/>
  <c r="N20" i="5"/>
  <c r="O125" i="5"/>
  <c r="N120" i="5"/>
  <c r="O114" i="5"/>
  <c r="O109" i="5"/>
  <c r="N104" i="5"/>
  <c r="N99" i="5"/>
  <c r="N95" i="5"/>
  <c r="N91" i="5"/>
  <c r="N87" i="5"/>
  <c r="N83" i="5"/>
  <c r="N79" i="5"/>
  <c r="N75" i="5"/>
  <c r="N71" i="5"/>
  <c r="N67" i="5"/>
  <c r="N63" i="5"/>
  <c r="N59" i="5"/>
  <c r="N55" i="5"/>
  <c r="N51" i="5"/>
  <c r="N47" i="5"/>
  <c r="N43" i="5"/>
  <c r="N39" i="5"/>
  <c r="N35" i="5"/>
  <c r="N31" i="5"/>
  <c r="N27" i="5"/>
  <c r="N23" i="5"/>
  <c r="N116" i="5"/>
  <c r="N101" i="5"/>
  <c r="O90" i="5"/>
  <c r="N80" i="5"/>
  <c r="N72" i="5"/>
  <c r="N64" i="5"/>
  <c r="N56" i="5"/>
  <c r="N48" i="5"/>
  <c r="N40" i="5"/>
  <c r="N32" i="5"/>
  <c r="N24" i="5"/>
  <c r="N114" i="5"/>
  <c r="N100" i="5"/>
  <c r="O88" i="5"/>
  <c r="O78" i="5"/>
  <c r="O70" i="5"/>
  <c r="O62" i="5"/>
  <c r="O54" i="5"/>
  <c r="O46" i="5"/>
  <c r="O38" i="5"/>
  <c r="O30" i="5"/>
  <c r="O22" i="5"/>
  <c r="O111" i="5"/>
  <c r="O98" i="5"/>
  <c r="N88" i="5"/>
  <c r="N78" i="5"/>
  <c r="N70" i="5"/>
  <c r="N62" i="5"/>
  <c r="N54" i="5"/>
  <c r="N46" i="5"/>
  <c r="N38" i="5"/>
  <c r="N30" i="5"/>
  <c r="N22" i="5"/>
  <c r="N125" i="5"/>
  <c r="O110" i="5"/>
  <c r="O96" i="5"/>
  <c r="O86" i="5"/>
  <c r="O76" i="5"/>
  <c r="O68" i="5"/>
  <c r="O60" i="5"/>
  <c r="O52" i="5"/>
  <c r="O44" i="5"/>
  <c r="O36" i="5"/>
  <c r="O28" i="5"/>
  <c r="O20" i="5"/>
  <c r="O121" i="5"/>
  <c r="N106" i="5"/>
  <c r="O94" i="5"/>
  <c r="N84" i="5"/>
  <c r="O74" i="5"/>
  <c r="O66" i="5"/>
  <c r="O58" i="5"/>
  <c r="O50" i="5"/>
  <c r="O42" i="5"/>
  <c r="O34" i="5"/>
  <c r="O26" i="5"/>
  <c r="O119" i="5"/>
  <c r="O105" i="5"/>
  <c r="O92" i="5"/>
  <c r="O82" i="5"/>
  <c r="N74" i="5"/>
  <c r="N66" i="5"/>
  <c r="N58" i="5"/>
  <c r="N50" i="5"/>
  <c r="N42" i="5"/>
  <c r="N34" i="5"/>
  <c r="N26" i="5"/>
  <c r="N109" i="5"/>
  <c r="N68" i="5"/>
  <c r="N36" i="5"/>
  <c r="O84" i="5"/>
  <c r="N52" i="5"/>
  <c r="O103" i="5"/>
  <c r="O64" i="5"/>
  <c r="O32" i="5"/>
  <c r="N96" i="5"/>
  <c r="N60" i="5"/>
  <c r="N28" i="5"/>
  <c r="N92" i="5"/>
  <c r="O56" i="5"/>
  <c r="O24" i="5"/>
  <c r="O80" i="5"/>
  <c r="O48" i="5"/>
  <c r="N122" i="5"/>
  <c r="N76" i="5"/>
  <c r="N44" i="5"/>
  <c r="N117" i="5"/>
  <c r="O72" i="5"/>
  <c r="O40" i="5"/>
  <c r="B123" i="5"/>
  <c r="B119" i="5"/>
  <c r="C125" i="5"/>
  <c r="C121" i="5"/>
  <c r="C117" i="5"/>
  <c r="C122" i="5"/>
  <c r="B117" i="5"/>
  <c r="B113" i="5"/>
  <c r="B109" i="5"/>
  <c r="B105" i="5"/>
  <c r="B101" i="5"/>
  <c r="B97" i="5"/>
  <c r="B93" i="5"/>
  <c r="B89" i="5"/>
  <c r="B85" i="5"/>
  <c r="B81" i="5"/>
  <c r="B77" i="5"/>
  <c r="B73" i="5"/>
  <c r="B69" i="5"/>
  <c r="B65" i="5"/>
  <c r="B61" i="5"/>
  <c r="B57" i="5"/>
  <c r="B53" i="5"/>
  <c r="B49" i="5"/>
  <c r="B45" i="5"/>
  <c r="B41" i="5"/>
  <c r="B37" i="5"/>
  <c r="B33" i="5"/>
  <c r="B29" i="5"/>
  <c r="B25" i="5"/>
  <c r="B21" i="5"/>
  <c r="B122" i="5"/>
  <c r="C116" i="5"/>
  <c r="C112" i="5"/>
  <c r="C108" i="5"/>
  <c r="C104" i="5"/>
  <c r="C100" i="5"/>
  <c r="C96" i="5"/>
  <c r="C92" i="5"/>
  <c r="C88" i="5"/>
  <c r="C84" i="5"/>
  <c r="C80" i="5"/>
  <c r="C76" i="5"/>
  <c r="C72" i="5"/>
  <c r="C68" i="5"/>
  <c r="C64" i="5"/>
  <c r="C60" i="5"/>
  <c r="C56" i="5"/>
  <c r="C52" i="5"/>
  <c r="C48" i="5"/>
  <c r="C44" i="5"/>
  <c r="C40" i="5"/>
  <c r="C36" i="5"/>
  <c r="C32" i="5"/>
  <c r="C28" i="5"/>
  <c r="C24" i="5"/>
  <c r="C20" i="5"/>
  <c r="B121" i="5"/>
  <c r="B116" i="5"/>
  <c r="B112" i="5"/>
  <c r="B108" i="5"/>
  <c r="B104" i="5"/>
  <c r="B100" i="5"/>
  <c r="B96" i="5"/>
  <c r="B92" i="5"/>
  <c r="B88" i="5"/>
  <c r="B84" i="5"/>
  <c r="B80" i="5"/>
  <c r="B76" i="5"/>
  <c r="B72" i="5"/>
  <c r="B68" i="5"/>
  <c r="B64" i="5"/>
  <c r="B60" i="5"/>
  <c r="B56" i="5"/>
  <c r="B52" i="5"/>
  <c r="B48" i="5"/>
  <c r="B44" i="5"/>
  <c r="B40" i="5"/>
  <c r="B36" i="5"/>
  <c r="B32" i="5"/>
  <c r="B28" i="5"/>
  <c r="B24" i="5"/>
  <c r="C120" i="5"/>
  <c r="C115" i="5"/>
  <c r="C111" i="5"/>
  <c r="C107" i="5"/>
  <c r="C103" i="5"/>
  <c r="C99" i="5"/>
  <c r="C95" i="5"/>
  <c r="C91" i="5"/>
  <c r="C87" i="5"/>
  <c r="C83" i="5"/>
  <c r="C79" i="5"/>
  <c r="C75" i="5"/>
  <c r="C71" i="5"/>
  <c r="C67" i="5"/>
  <c r="C63" i="5"/>
  <c r="C59" i="5"/>
  <c r="C55" i="5"/>
  <c r="C51" i="5"/>
  <c r="C47" i="5"/>
  <c r="C43" i="5"/>
  <c r="C39" i="5"/>
  <c r="C35" i="5"/>
  <c r="C31" i="5"/>
  <c r="C27" i="5"/>
  <c r="C23" i="5"/>
  <c r="B20" i="5"/>
  <c r="C124" i="5"/>
  <c r="C119" i="5"/>
  <c r="C114" i="5"/>
  <c r="C110" i="5"/>
  <c r="C106" i="5"/>
  <c r="C102" i="5"/>
  <c r="C98" i="5"/>
  <c r="C94" i="5"/>
  <c r="C90" i="5"/>
  <c r="C86" i="5"/>
  <c r="C82" i="5"/>
  <c r="C78" i="5"/>
  <c r="C74" i="5"/>
  <c r="C70" i="5"/>
  <c r="C66" i="5"/>
  <c r="C62" i="5"/>
  <c r="C58" i="5"/>
  <c r="C54" i="5"/>
  <c r="C50" i="5"/>
  <c r="C46" i="5"/>
  <c r="C42" i="5"/>
  <c r="C38" i="5"/>
  <c r="C34" i="5"/>
  <c r="C30" i="5"/>
  <c r="C26" i="5"/>
  <c r="C22" i="5"/>
  <c r="B124" i="5"/>
  <c r="C118" i="5"/>
  <c r="B114" i="5"/>
  <c r="B110" i="5"/>
  <c r="B106" i="5"/>
  <c r="B102" i="5"/>
  <c r="B98" i="5"/>
  <c r="B94" i="5"/>
  <c r="B90" i="5"/>
  <c r="B86" i="5"/>
  <c r="B82" i="5"/>
  <c r="B78" i="5"/>
  <c r="B74" i="5"/>
  <c r="B70" i="5"/>
  <c r="B66" i="5"/>
  <c r="B62" i="5"/>
  <c r="B58" i="5"/>
  <c r="B54" i="5"/>
  <c r="B50" i="5"/>
  <c r="B46" i="5"/>
  <c r="B42" i="5"/>
  <c r="B38" i="5"/>
  <c r="B34" i="5"/>
  <c r="B30" i="5"/>
  <c r="B26" i="5"/>
  <c r="B22" i="5"/>
  <c r="B120" i="5"/>
  <c r="B103" i="5"/>
  <c r="B87" i="5"/>
  <c r="B71" i="5"/>
  <c r="B55" i="5"/>
  <c r="B39" i="5"/>
  <c r="B23" i="5"/>
  <c r="B118" i="5"/>
  <c r="C101" i="5"/>
  <c r="C85" i="5"/>
  <c r="C69" i="5"/>
  <c r="C53" i="5"/>
  <c r="C37" i="5"/>
  <c r="C21" i="5"/>
  <c r="B111" i="5"/>
  <c r="B79" i="5"/>
  <c r="B63" i="5"/>
  <c r="B47" i="5"/>
  <c r="B31" i="5"/>
  <c r="B115" i="5"/>
  <c r="B99" i="5"/>
  <c r="B83" i="5"/>
  <c r="B67" i="5"/>
  <c r="B51" i="5"/>
  <c r="B35" i="5"/>
  <c r="B95" i="5"/>
  <c r="C113" i="5"/>
  <c r="C97" i="5"/>
  <c r="C81" i="5"/>
  <c r="C65" i="5"/>
  <c r="C49" i="5"/>
  <c r="C33" i="5"/>
  <c r="C109" i="5"/>
  <c r="C93" i="5"/>
  <c r="C77" i="5"/>
  <c r="C61" i="5"/>
  <c r="C45" i="5"/>
  <c r="C29" i="5"/>
  <c r="B125" i="5"/>
  <c r="B107" i="5"/>
  <c r="B91" i="5"/>
  <c r="B75" i="5"/>
  <c r="B59" i="5"/>
  <c r="B43" i="5"/>
  <c r="B27" i="5"/>
  <c r="C123" i="5"/>
  <c r="C105" i="5"/>
  <c r="C89" i="5"/>
  <c r="C73" i="5"/>
  <c r="C41" i="5"/>
  <c r="C25" i="5"/>
  <c r="C57" i="5"/>
  <c r="E125" i="5"/>
  <c r="E121" i="5"/>
  <c r="E117" i="5"/>
  <c r="E113" i="5"/>
  <c r="E109" i="5"/>
  <c r="E105" i="5"/>
  <c r="E101" i="5"/>
  <c r="E97" i="5"/>
  <c r="E93" i="5"/>
  <c r="E89" i="5"/>
  <c r="E85" i="5"/>
  <c r="E81" i="5"/>
  <c r="E77" i="5"/>
  <c r="E73" i="5"/>
  <c r="E69" i="5"/>
  <c r="E65" i="5"/>
  <c r="E61" i="5"/>
  <c r="E57" i="5"/>
  <c r="E53" i="5"/>
  <c r="E49" i="5"/>
  <c r="E45" i="5"/>
  <c r="E41" i="5"/>
  <c r="F124" i="5"/>
  <c r="F120" i="5"/>
  <c r="F116" i="5"/>
  <c r="F112" i="5"/>
  <c r="F108" i="5"/>
  <c r="F104" i="5"/>
  <c r="F100" i="5"/>
  <c r="F96" i="5"/>
  <c r="F92" i="5"/>
  <c r="F88" i="5"/>
  <c r="F84" i="5"/>
  <c r="F80" i="5"/>
  <c r="F76" i="5"/>
  <c r="F72" i="5"/>
  <c r="F68" i="5"/>
  <c r="F64" i="5"/>
  <c r="F60" i="5"/>
  <c r="F56" i="5"/>
  <c r="F52" i="5"/>
  <c r="F48" i="5"/>
  <c r="F44" i="5"/>
  <c r="F40" i="5"/>
  <c r="F36" i="5"/>
  <c r="F32" i="5"/>
  <c r="F28" i="5"/>
  <c r="F24" i="5"/>
  <c r="F20" i="5"/>
  <c r="E123" i="5"/>
  <c r="E119" i="5"/>
  <c r="E115" i="5"/>
  <c r="E111" i="5"/>
  <c r="E107" i="5"/>
  <c r="E103" i="5"/>
  <c r="E99" i="5"/>
  <c r="E95" i="5"/>
  <c r="E91" i="5"/>
  <c r="E87" i="5"/>
  <c r="E83" i="5"/>
  <c r="E79" i="5"/>
  <c r="E75" i="5"/>
  <c r="E71" i="5"/>
  <c r="E67" i="5"/>
  <c r="E63" i="5"/>
  <c r="E59" i="5"/>
  <c r="E55" i="5"/>
  <c r="E51" i="5"/>
  <c r="E47" i="5"/>
  <c r="E43" i="5"/>
  <c r="E39" i="5"/>
  <c r="E35" i="5"/>
  <c r="E31" i="5"/>
  <c r="E27" i="5"/>
  <c r="E23" i="5"/>
  <c r="F122" i="5"/>
  <c r="F118" i="5"/>
  <c r="F114" i="5"/>
  <c r="F110" i="5"/>
  <c r="F106" i="5"/>
  <c r="F102" i="5"/>
  <c r="F98" i="5"/>
  <c r="F94" i="5"/>
  <c r="F90" i="5"/>
  <c r="F86" i="5"/>
  <c r="F82" i="5"/>
  <c r="F78" i="5"/>
  <c r="F74" i="5"/>
  <c r="F70" i="5"/>
  <c r="F66" i="5"/>
  <c r="F62" i="5"/>
  <c r="F58" i="5"/>
  <c r="F54" i="5"/>
  <c r="F50" i="5"/>
  <c r="F46" i="5"/>
  <c r="F42" i="5"/>
  <c r="F38" i="5"/>
  <c r="F34" i="5"/>
  <c r="F30" i="5"/>
  <c r="F119" i="5"/>
  <c r="F111" i="5"/>
  <c r="F103" i="5"/>
  <c r="F95" i="5"/>
  <c r="F87" i="5"/>
  <c r="F79" i="5"/>
  <c r="F71" i="5"/>
  <c r="F63" i="5"/>
  <c r="F55" i="5"/>
  <c r="F47" i="5"/>
  <c r="F39" i="5"/>
  <c r="E33" i="5"/>
  <c r="F26" i="5"/>
  <c r="F21" i="5"/>
  <c r="E118" i="5"/>
  <c r="E110" i="5"/>
  <c r="E102" i="5"/>
  <c r="E94" i="5"/>
  <c r="E86" i="5"/>
  <c r="E78" i="5"/>
  <c r="E70" i="5"/>
  <c r="E62" i="5"/>
  <c r="E54" i="5"/>
  <c r="E46" i="5"/>
  <c r="E38" i="5"/>
  <c r="E32" i="5"/>
  <c r="E26" i="5"/>
  <c r="E21" i="5"/>
  <c r="F125" i="5"/>
  <c r="F117" i="5"/>
  <c r="F109" i="5"/>
  <c r="F101" i="5"/>
  <c r="F93" i="5"/>
  <c r="F85" i="5"/>
  <c r="F77" i="5"/>
  <c r="F69" i="5"/>
  <c r="F61" i="5"/>
  <c r="F53" i="5"/>
  <c r="F45" i="5"/>
  <c r="F37" i="5"/>
  <c r="F31" i="5"/>
  <c r="F25" i="5"/>
  <c r="E124" i="5"/>
  <c r="E116" i="5"/>
  <c r="E108" i="5"/>
  <c r="E100" i="5"/>
  <c r="E92" i="5"/>
  <c r="E84" i="5"/>
  <c r="E76" i="5"/>
  <c r="E68" i="5"/>
  <c r="E60" i="5"/>
  <c r="E52" i="5"/>
  <c r="E44" i="5"/>
  <c r="E37" i="5"/>
  <c r="E30" i="5"/>
  <c r="E25" i="5"/>
  <c r="E20" i="5"/>
  <c r="E122" i="5"/>
  <c r="E114" i="5"/>
  <c r="E106" i="5"/>
  <c r="E98" i="5"/>
  <c r="E90" i="5"/>
  <c r="E82" i="5"/>
  <c r="E74" i="5"/>
  <c r="E66" i="5"/>
  <c r="E58" i="5"/>
  <c r="E50" i="5"/>
  <c r="E42" i="5"/>
  <c r="F35" i="5"/>
  <c r="E29" i="5"/>
  <c r="F23" i="5"/>
  <c r="F121" i="5"/>
  <c r="F113" i="5"/>
  <c r="F105" i="5"/>
  <c r="F97" i="5"/>
  <c r="F89" i="5"/>
  <c r="F81" i="5"/>
  <c r="F73" i="5"/>
  <c r="F65" i="5"/>
  <c r="F57" i="5"/>
  <c r="F49" i="5"/>
  <c r="F41" i="5"/>
  <c r="E34" i="5"/>
  <c r="E28" i="5"/>
  <c r="F22" i="5"/>
  <c r="F99" i="5"/>
  <c r="F67" i="5"/>
  <c r="E36" i="5"/>
  <c r="E96" i="5"/>
  <c r="E64" i="5"/>
  <c r="F33" i="5"/>
  <c r="F115" i="5"/>
  <c r="F83" i="5"/>
  <c r="F51" i="5"/>
  <c r="E24" i="5"/>
  <c r="F123" i="5"/>
  <c r="F91" i="5"/>
  <c r="F59" i="5"/>
  <c r="F29" i="5"/>
  <c r="E120" i="5"/>
  <c r="E88" i="5"/>
  <c r="E56" i="5"/>
  <c r="F27" i="5"/>
  <c r="E112" i="5"/>
  <c r="E80" i="5"/>
  <c r="E48" i="5"/>
  <c r="E22" i="5"/>
  <c r="F107" i="5"/>
  <c r="F75" i="5"/>
  <c r="F43" i="5"/>
  <c r="E104" i="5"/>
  <c r="E72" i="5"/>
  <c r="E40" i="5"/>
  <c r="I122" i="5"/>
  <c r="I118" i="5"/>
  <c r="I114" i="5"/>
  <c r="I110" i="5"/>
  <c r="I106" i="5"/>
  <c r="I102" i="5"/>
  <c r="I98" i="5"/>
  <c r="I94" i="5"/>
  <c r="I90" i="5"/>
  <c r="I86" i="5"/>
  <c r="I82" i="5"/>
  <c r="I78" i="5"/>
  <c r="I74" i="5"/>
  <c r="I70" i="5"/>
  <c r="I66" i="5"/>
  <c r="I62" i="5"/>
  <c r="I58" i="5"/>
  <c r="I54" i="5"/>
  <c r="I50" i="5"/>
  <c r="I46" i="5"/>
  <c r="I42" i="5"/>
  <c r="I38" i="5"/>
  <c r="I34" i="5"/>
  <c r="I30" i="5"/>
  <c r="I26" i="5"/>
  <c r="I22" i="5"/>
  <c r="H122" i="5"/>
  <c r="H118" i="5"/>
  <c r="H114" i="5"/>
  <c r="H110" i="5"/>
  <c r="H106" i="5"/>
  <c r="H102" i="5"/>
  <c r="H98" i="5"/>
  <c r="H94" i="5"/>
  <c r="H90" i="5"/>
  <c r="H86" i="5"/>
  <c r="H82" i="5"/>
  <c r="H78" i="5"/>
  <c r="H74" i="5"/>
  <c r="H70" i="5"/>
  <c r="H66" i="5"/>
  <c r="H62" i="5"/>
  <c r="H58" i="5"/>
  <c r="H54" i="5"/>
  <c r="H50" i="5"/>
  <c r="H46" i="5"/>
  <c r="H42" i="5"/>
  <c r="H38" i="5"/>
  <c r="H34" i="5"/>
  <c r="H30" i="5"/>
  <c r="H26" i="5"/>
  <c r="H22" i="5"/>
  <c r="I124" i="5"/>
  <c r="I120" i="5"/>
  <c r="I116" i="5"/>
  <c r="I112" i="5"/>
  <c r="I108" i="5"/>
  <c r="I104" i="5"/>
  <c r="I100" i="5"/>
  <c r="I96" i="5"/>
  <c r="I92" i="5"/>
  <c r="I88" i="5"/>
  <c r="I84" i="5"/>
  <c r="I80" i="5"/>
  <c r="I76" i="5"/>
  <c r="I72" i="5"/>
  <c r="I68" i="5"/>
  <c r="I64" i="5"/>
  <c r="I60" i="5"/>
  <c r="I56" i="5"/>
  <c r="I52" i="5"/>
  <c r="I48" i="5"/>
  <c r="I44" i="5"/>
  <c r="I40" i="5"/>
  <c r="I36" i="5"/>
  <c r="I32" i="5"/>
  <c r="I28" i="5"/>
  <c r="I24" i="5"/>
  <c r="I20" i="5"/>
  <c r="H124" i="5"/>
  <c r="H120" i="5"/>
  <c r="H116" i="5"/>
  <c r="H112" i="5"/>
  <c r="H108" i="5"/>
  <c r="H104" i="5"/>
  <c r="H100" i="5"/>
  <c r="H96" i="5"/>
  <c r="H92" i="5"/>
  <c r="H88" i="5"/>
  <c r="H84" i="5"/>
  <c r="H80" i="5"/>
  <c r="H76" i="5"/>
  <c r="H72" i="5"/>
  <c r="H68" i="5"/>
  <c r="H64" i="5"/>
  <c r="H60" i="5"/>
  <c r="H56" i="5"/>
  <c r="H52" i="5"/>
  <c r="H48" i="5"/>
  <c r="H44" i="5"/>
  <c r="H40" i="5"/>
  <c r="H36" i="5"/>
  <c r="H32" i="5"/>
  <c r="H28" i="5"/>
  <c r="H24" i="5"/>
  <c r="H125" i="5"/>
  <c r="H117" i="5"/>
  <c r="H109" i="5"/>
  <c r="H101" i="5"/>
  <c r="H93" i="5"/>
  <c r="H85" i="5"/>
  <c r="H77" i="5"/>
  <c r="H69" i="5"/>
  <c r="H61" i="5"/>
  <c r="H53" i="5"/>
  <c r="H45" i="5"/>
  <c r="H37" i="5"/>
  <c r="H29" i="5"/>
  <c r="H21" i="5"/>
  <c r="I123" i="5"/>
  <c r="I115" i="5"/>
  <c r="I107" i="5"/>
  <c r="I99" i="5"/>
  <c r="I91" i="5"/>
  <c r="I83" i="5"/>
  <c r="I75" i="5"/>
  <c r="I67" i="5"/>
  <c r="I59" i="5"/>
  <c r="I51" i="5"/>
  <c r="I43" i="5"/>
  <c r="I35" i="5"/>
  <c r="I27" i="5"/>
  <c r="H20" i="5"/>
  <c r="H123" i="5"/>
  <c r="H115" i="5"/>
  <c r="H107" i="5"/>
  <c r="H99" i="5"/>
  <c r="H91" i="5"/>
  <c r="H83" i="5"/>
  <c r="H75" i="5"/>
  <c r="H67" i="5"/>
  <c r="H59" i="5"/>
  <c r="H51" i="5"/>
  <c r="H43" i="5"/>
  <c r="H35" i="5"/>
  <c r="H27" i="5"/>
  <c r="I121" i="5"/>
  <c r="I113" i="5"/>
  <c r="I105" i="5"/>
  <c r="I97" i="5"/>
  <c r="I89" i="5"/>
  <c r="I81" i="5"/>
  <c r="I73" i="5"/>
  <c r="I65" i="5"/>
  <c r="I57" i="5"/>
  <c r="I49" i="5"/>
  <c r="I41" i="5"/>
  <c r="I33" i="5"/>
  <c r="I25" i="5"/>
  <c r="I119" i="5"/>
  <c r="I111" i="5"/>
  <c r="I103" i="5"/>
  <c r="I95" i="5"/>
  <c r="I87" i="5"/>
  <c r="I79" i="5"/>
  <c r="I71" i="5"/>
  <c r="I63" i="5"/>
  <c r="I55" i="5"/>
  <c r="I47" i="5"/>
  <c r="I39" i="5"/>
  <c r="I31" i="5"/>
  <c r="I23" i="5"/>
  <c r="H119" i="5"/>
  <c r="H111" i="5"/>
  <c r="H103" i="5"/>
  <c r="H95" i="5"/>
  <c r="H87" i="5"/>
  <c r="H79" i="5"/>
  <c r="H71" i="5"/>
  <c r="H63" i="5"/>
  <c r="H55" i="5"/>
  <c r="H47" i="5"/>
  <c r="H39" i="5"/>
  <c r="H31" i="5"/>
  <c r="H23" i="5"/>
  <c r="H121" i="5"/>
  <c r="H89" i="5"/>
  <c r="H57" i="5"/>
  <c r="H25" i="5"/>
  <c r="I117" i="5"/>
  <c r="I85" i="5"/>
  <c r="I53" i="5"/>
  <c r="I21" i="5"/>
  <c r="H105" i="5"/>
  <c r="H73" i="5"/>
  <c r="H41" i="5"/>
  <c r="H113" i="5"/>
  <c r="H81" i="5"/>
  <c r="H49" i="5"/>
  <c r="I109" i="5"/>
  <c r="I77" i="5"/>
  <c r="I45" i="5"/>
  <c r="I101" i="5"/>
  <c r="I69" i="5"/>
  <c r="I37" i="5"/>
  <c r="H97" i="5"/>
  <c r="H65" i="5"/>
  <c r="H33" i="5"/>
  <c r="I125" i="5"/>
  <c r="I93" i="5"/>
  <c r="I61" i="5"/>
  <c r="I29" i="5"/>
  <c r="K124" i="5"/>
  <c r="K120" i="5"/>
  <c r="K116" i="5"/>
  <c r="K112" i="5"/>
  <c r="K108" i="5"/>
  <c r="K104" i="5"/>
  <c r="K100" i="5"/>
  <c r="K96" i="5"/>
  <c r="K92" i="5"/>
  <c r="K88" i="5"/>
  <c r="K84" i="5"/>
  <c r="K80" i="5"/>
  <c r="K76" i="5"/>
  <c r="K72" i="5"/>
  <c r="K68" i="5"/>
  <c r="K64" i="5"/>
  <c r="K60" i="5"/>
  <c r="K56" i="5"/>
  <c r="K52" i="5"/>
  <c r="K48" i="5"/>
  <c r="K44" i="5"/>
  <c r="K40" i="5"/>
  <c r="K36" i="5"/>
  <c r="K32" i="5"/>
  <c r="K28" i="5"/>
  <c r="K24" i="5"/>
  <c r="L123" i="5"/>
  <c r="L119" i="5"/>
  <c r="L115" i="5"/>
  <c r="L111" i="5"/>
  <c r="L107" i="5"/>
  <c r="L103" i="5"/>
  <c r="L99" i="5"/>
  <c r="L95" i="5"/>
  <c r="L91" i="5"/>
  <c r="L87" i="5"/>
  <c r="L83" i="5"/>
  <c r="L79" i="5"/>
  <c r="L75" i="5"/>
  <c r="L71" i="5"/>
  <c r="L67" i="5"/>
  <c r="L63" i="5"/>
  <c r="L59" i="5"/>
  <c r="L55" i="5"/>
  <c r="L51" i="5"/>
  <c r="L47" i="5"/>
  <c r="L43" i="5"/>
  <c r="L39" i="5"/>
  <c r="L35" i="5"/>
  <c r="L31" i="5"/>
  <c r="L27" i="5"/>
  <c r="L23" i="5"/>
  <c r="K20" i="5"/>
  <c r="K122" i="5"/>
  <c r="K118" i="5"/>
  <c r="K114" i="5"/>
  <c r="K110" i="5"/>
  <c r="K106" i="5"/>
  <c r="K102" i="5"/>
  <c r="K98" i="5"/>
  <c r="K94" i="5"/>
  <c r="K90" i="5"/>
  <c r="K86" i="5"/>
  <c r="K82" i="5"/>
  <c r="K78" i="5"/>
  <c r="K74" i="5"/>
  <c r="K70" i="5"/>
  <c r="K66" i="5"/>
  <c r="K62" i="5"/>
  <c r="K58" i="5"/>
  <c r="K54" i="5"/>
  <c r="K50" i="5"/>
  <c r="K46" i="5"/>
  <c r="K42" i="5"/>
  <c r="K38" i="5"/>
  <c r="K34" i="5"/>
  <c r="K30" i="5"/>
  <c r="K26" i="5"/>
  <c r="K22" i="5"/>
  <c r="L125" i="5"/>
  <c r="L121" i="5"/>
  <c r="L117" i="5"/>
  <c r="L113" i="5"/>
  <c r="L109" i="5"/>
  <c r="L105" i="5"/>
  <c r="L101" i="5"/>
  <c r="L97" i="5"/>
  <c r="L93" i="5"/>
  <c r="L89" i="5"/>
  <c r="L85" i="5"/>
  <c r="L81" i="5"/>
  <c r="L77" i="5"/>
  <c r="L73" i="5"/>
  <c r="L69" i="5"/>
  <c r="L65" i="5"/>
  <c r="L61" i="5"/>
  <c r="L57" i="5"/>
  <c r="L53" i="5"/>
  <c r="L49" i="5"/>
  <c r="L45" i="5"/>
  <c r="L41" i="5"/>
  <c r="L37" i="5"/>
  <c r="L33" i="5"/>
  <c r="L29" i="5"/>
  <c r="L25" i="5"/>
  <c r="L21" i="5"/>
  <c r="L122" i="5"/>
  <c r="L114" i="5"/>
  <c r="L106" i="5"/>
  <c r="L98" i="5"/>
  <c r="L90" i="5"/>
  <c r="L82" i="5"/>
  <c r="L74" i="5"/>
  <c r="L66" i="5"/>
  <c r="L58" i="5"/>
  <c r="L50" i="5"/>
  <c r="L42" i="5"/>
  <c r="L34" i="5"/>
  <c r="L26" i="5"/>
  <c r="K121" i="5"/>
  <c r="K113" i="5"/>
  <c r="K105" i="5"/>
  <c r="K97" i="5"/>
  <c r="K89" i="5"/>
  <c r="K81" i="5"/>
  <c r="K73" i="5"/>
  <c r="K65" i="5"/>
  <c r="K57" i="5"/>
  <c r="K49" i="5"/>
  <c r="K41" i="5"/>
  <c r="K33" i="5"/>
  <c r="K25" i="5"/>
  <c r="L120" i="5"/>
  <c r="L112" i="5"/>
  <c r="L104" i="5"/>
  <c r="L96" i="5"/>
  <c r="L88" i="5"/>
  <c r="L80" i="5"/>
  <c r="L72" i="5"/>
  <c r="L64" i="5"/>
  <c r="L56" i="5"/>
  <c r="L48" i="5"/>
  <c r="L40" i="5"/>
  <c r="L32" i="5"/>
  <c r="L24" i="5"/>
  <c r="K119" i="5"/>
  <c r="K111" i="5"/>
  <c r="K103" i="5"/>
  <c r="K95" i="5"/>
  <c r="K87" i="5"/>
  <c r="K79" i="5"/>
  <c r="K71" i="5"/>
  <c r="K63" i="5"/>
  <c r="K55" i="5"/>
  <c r="K47" i="5"/>
  <c r="K39" i="5"/>
  <c r="K31" i="5"/>
  <c r="K23" i="5"/>
  <c r="K125" i="5"/>
  <c r="K117" i="5"/>
  <c r="K109" i="5"/>
  <c r="K101" i="5"/>
  <c r="K93" i="5"/>
  <c r="K85" i="5"/>
  <c r="K77" i="5"/>
  <c r="K69" i="5"/>
  <c r="K61" i="5"/>
  <c r="K53" i="5"/>
  <c r="K45" i="5"/>
  <c r="K37" i="5"/>
  <c r="K29" i="5"/>
  <c r="K21" i="5"/>
  <c r="L124" i="5"/>
  <c r="L116" i="5"/>
  <c r="L108" i="5"/>
  <c r="L100" i="5"/>
  <c r="L92" i="5"/>
  <c r="L84" i="5"/>
  <c r="L76" i="5"/>
  <c r="L68" i="5"/>
  <c r="L60" i="5"/>
  <c r="L52" i="5"/>
  <c r="L44" i="5"/>
  <c r="L36" i="5"/>
  <c r="L28" i="5"/>
  <c r="L20" i="5"/>
  <c r="L110" i="5"/>
  <c r="L78" i="5"/>
  <c r="L46" i="5"/>
  <c r="K107" i="5"/>
  <c r="K75" i="5"/>
  <c r="K43" i="5"/>
  <c r="L94" i="5"/>
  <c r="L30" i="5"/>
  <c r="L102" i="5"/>
  <c r="L70" i="5"/>
  <c r="L38" i="5"/>
  <c r="L62" i="5"/>
  <c r="K99" i="5"/>
  <c r="K67" i="5"/>
  <c r="K35" i="5"/>
  <c r="K123" i="5"/>
  <c r="K91" i="5"/>
  <c r="K59" i="5"/>
  <c r="K27" i="5"/>
  <c r="L118" i="5"/>
  <c r="L86" i="5"/>
  <c r="L54" i="5"/>
  <c r="L22" i="5"/>
  <c r="K115" i="5"/>
  <c r="K83" i="5"/>
  <c r="K51" i="5"/>
  <c r="U122" i="5"/>
  <c r="U118" i="5"/>
  <c r="U114" i="5"/>
  <c r="U110" i="5"/>
  <c r="U106" i="5"/>
  <c r="U102" i="5"/>
  <c r="U98" i="5"/>
  <c r="U94" i="5"/>
  <c r="U90" i="5"/>
  <c r="U86" i="5"/>
  <c r="U82" i="5"/>
  <c r="U78" i="5"/>
  <c r="U74" i="5"/>
  <c r="U70" i="5"/>
  <c r="U66" i="5"/>
  <c r="T122" i="5"/>
  <c r="T118" i="5"/>
  <c r="T114" i="5"/>
  <c r="T110" i="5"/>
  <c r="T106" i="5"/>
  <c r="T102" i="5"/>
  <c r="T98" i="5"/>
  <c r="T94" i="5"/>
  <c r="T90" i="5"/>
  <c r="T86" i="5"/>
  <c r="T82" i="5"/>
  <c r="T78" i="5"/>
  <c r="T74" i="5"/>
  <c r="T70" i="5"/>
  <c r="T66" i="5"/>
  <c r="T62" i="5"/>
  <c r="T58" i="5"/>
  <c r="T54" i="5"/>
  <c r="T50" i="5"/>
  <c r="T46" i="5"/>
  <c r="T42" i="5"/>
  <c r="T38" i="5"/>
  <c r="T34" i="5"/>
  <c r="T30" i="5"/>
  <c r="T26" i="5"/>
  <c r="T22" i="5"/>
  <c r="U125" i="5"/>
  <c r="U121" i="5"/>
  <c r="U117" i="5"/>
  <c r="U113" i="5"/>
  <c r="U109" i="5"/>
  <c r="U105" i="5"/>
  <c r="U101" i="5"/>
  <c r="U97" i="5"/>
  <c r="U93" i="5"/>
  <c r="U89" i="5"/>
  <c r="U85" i="5"/>
  <c r="U81" i="5"/>
  <c r="U77" i="5"/>
  <c r="U73" i="5"/>
  <c r="U69" i="5"/>
  <c r="U65" i="5"/>
  <c r="U61" i="5"/>
  <c r="U57" i="5"/>
  <c r="U53" i="5"/>
  <c r="U49" i="5"/>
  <c r="U45" i="5"/>
  <c r="U41" i="5"/>
  <c r="U37" i="5"/>
  <c r="U33" i="5"/>
  <c r="U29" i="5"/>
  <c r="U25" i="5"/>
  <c r="U21" i="5"/>
  <c r="T125" i="5"/>
  <c r="T121" i="5"/>
  <c r="T117" i="5"/>
  <c r="T113" i="5"/>
  <c r="T109" i="5"/>
  <c r="T105" i="5"/>
  <c r="T101" i="5"/>
  <c r="T97" i="5"/>
  <c r="T93" i="5"/>
  <c r="T89" i="5"/>
  <c r="T85" i="5"/>
  <c r="T81" i="5"/>
  <c r="T77" i="5"/>
  <c r="T73" i="5"/>
  <c r="T69" i="5"/>
  <c r="T65" i="5"/>
  <c r="T61" i="5"/>
  <c r="T57" i="5"/>
  <c r="T53" i="5"/>
  <c r="T49" i="5"/>
  <c r="T45" i="5"/>
  <c r="T41" i="5"/>
  <c r="U123" i="5"/>
  <c r="U119" i="5"/>
  <c r="U115" i="5"/>
  <c r="U111" i="5"/>
  <c r="U107" i="5"/>
  <c r="U103" i="5"/>
  <c r="U99" i="5"/>
  <c r="U95" i="5"/>
  <c r="U91" i="5"/>
  <c r="U87" i="5"/>
  <c r="U83" i="5"/>
  <c r="U79" i="5"/>
  <c r="U75" i="5"/>
  <c r="U71" i="5"/>
  <c r="U67" i="5"/>
  <c r="U63" i="5"/>
  <c r="U59" i="5"/>
  <c r="U55" i="5"/>
  <c r="U51" i="5"/>
  <c r="U47" i="5"/>
  <c r="U43" i="5"/>
  <c r="U39" i="5"/>
  <c r="U35" i="5"/>
  <c r="U31" i="5"/>
  <c r="U27" i="5"/>
  <c r="U23" i="5"/>
  <c r="T20" i="5"/>
  <c r="T116" i="5"/>
  <c r="U104" i="5"/>
  <c r="T95" i="5"/>
  <c r="T84" i="5"/>
  <c r="U72" i="5"/>
  <c r="T63" i="5"/>
  <c r="T55" i="5"/>
  <c r="T47" i="5"/>
  <c r="T39" i="5"/>
  <c r="U32" i="5"/>
  <c r="U26" i="5"/>
  <c r="U124" i="5"/>
  <c r="T115" i="5"/>
  <c r="T104" i="5"/>
  <c r="U92" i="5"/>
  <c r="T83" i="5"/>
  <c r="T72" i="5"/>
  <c r="U62" i="5"/>
  <c r="U54" i="5"/>
  <c r="U46" i="5"/>
  <c r="U38" i="5"/>
  <c r="T32" i="5"/>
  <c r="T25" i="5"/>
  <c r="T124" i="5"/>
  <c r="U112" i="5"/>
  <c r="T103" i="5"/>
  <c r="T92" i="5"/>
  <c r="U80" i="5"/>
  <c r="T71" i="5"/>
  <c r="U60" i="5"/>
  <c r="U52" i="5"/>
  <c r="U44" i="5"/>
  <c r="T37" i="5"/>
  <c r="T31" i="5"/>
  <c r="U24" i="5"/>
  <c r="T120" i="5"/>
  <c r="U108" i="5"/>
  <c r="T99" i="5"/>
  <c r="T88" i="5"/>
  <c r="U76" i="5"/>
  <c r="T67" i="5"/>
  <c r="U58" i="5"/>
  <c r="U50" i="5"/>
  <c r="U42" i="5"/>
  <c r="T35" i="5"/>
  <c r="U28" i="5"/>
  <c r="U22" i="5"/>
  <c r="T119" i="5"/>
  <c r="T108" i="5"/>
  <c r="U96" i="5"/>
  <c r="T87" i="5"/>
  <c r="T76" i="5"/>
  <c r="U64" i="5"/>
  <c r="U56" i="5"/>
  <c r="U48" i="5"/>
  <c r="U40" i="5"/>
  <c r="U34" i="5"/>
  <c r="T28" i="5"/>
  <c r="T21" i="5"/>
  <c r="T112" i="5"/>
  <c r="U84" i="5"/>
  <c r="T59" i="5"/>
  <c r="U36" i="5"/>
  <c r="U20" i="5"/>
  <c r="T111" i="5"/>
  <c r="T80" i="5"/>
  <c r="T56" i="5"/>
  <c r="T36" i="5"/>
  <c r="T107" i="5"/>
  <c r="T79" i="5"/>
  <c r="T52" i="5"/>
  <c r="T33" i="5"/>
  <c r="U100" i="5"/>
  <c r="T75" i="5"/>
  <c r="T51" i="5"/>
  <c r="U30" i="5"/>
  <c r="T123" i="5"/>
  <c r="T96" i="5"/>
  <c r="T68" i="5"/>
  <c r="T44" i="5"/>
  <c r="T27" i="5"/>
  <c r="U120" i="5"/>
  <c r="T91" i="5"/>
  <c r="T64" i="5"/>
  <c r="T43" i="5"/>
  <c r="T24" i="5"/>
  <c r="T29" i="5"/>
  <c r="U68" i="5"/>
  <c r="U116" i="5"/>
  <c r="T23" i="5"/>
  <c r="T100" i="5"/>
  <c r="U88" i="5"/>
  <c r="T60" i="5"/>
  <c r="T48" i="5"/>
  <c r="T40" i="5"/>
  <c r="R124" i="5"/>
  <c r="R120" i="5"/>
  <c r="R116" i="5"/>
  <c r="R112" i="5"/>
  <c r="R108" i="5"/>
  <c r="R104" i="5"/>
  <c r="R100" i="5"/>
  <c r="R96" i="5"/>
  <c r="R92" i="5"/>
  <c r="R88" i="5"/>
  <c r="R84" i="5"/>
  <c r="R80" i="5"/>
  <c r="R76" i="5"/>
  <c r="R72" i="5"/>
  <c r="R68" i="5"/>
  <c r="R64" i="5"/>
  <c r="R60" i="5"/>
  <c r="R56" i="5"/>
  <c r="R52" i="5"/>
  <c r="R48" i="5"/>
  <c r="R44" i="5"/>
  <c r="R40" i="5"/>
  <c r="R36" i="5"/>
  <c r="R32" i="5"/>
  <c r="R28" i="5"/>
  <c r="R24" i="5"/>
  <c r="R20" i="5"/>
  <c r="Q124" i="5"/>
  <c r="Q120" i="5"/>
  <c r="Q116" i="5"/>
  <c r="Q112" i="5"/>
  <c r="Q108" i="5"/>
  <c r="Q104" i="5"/>
  <c r="Q100" i="5"/>
  <c r="Q96" i="5"/>
  <c r="Q92" i="5"/>
  <c r="Q88" i="5"/>
  <c r="Q84" i="5"/>
  <c r="Q80" i="5"/>
  <c r="Q76" i="5"/>
  <c r="Q72" i="5"/>
  <c r="Q68" i="5"/>
  <c r="Q64" i="5"/>
  <c r="Q60" i="5"/>
  <c r="Q56" i="5"/>
  <c r="Q52" i="5"/>
  <c r="Q48" i="5"/>
  <c r="Q44" i="5"/>
  <c r="Q40" i="5"/>
  <c r="Q36" i="5"/>
  <c r="Q32" i="5"/>
  <c r="Q28" i="5"/>
  <c r="Q24" i="5"/>
  <c r="Q122" i="5"/>
  <c r="Q118" i="5"/>
  <c r="Q114" i="5"/>
  <c r="Q110" i="5"/>
  <c r="Q106" i="5"/>
  <c r="Q102" i="5"/>
  <c r="Q98" i="5"/>
  <c r="Q94" i="5"/>
  <c r="Q90" i="5"/>
  <c r="Q86" i="5"/>
  <c r="Q82" i="5"/>
  <c r="Q78" i="5"/>
  <c r="Q74" i="5"/>
  <c r="Q70" i="5"/>
  <c r="Q66" i="5"/>
  <c r="Q62" i="5"/>
  <c r="Q58" i="5"/>
  <c r="Q54" i="5"/>
  <c r="Q50" i="5"/>
  <c r="Q46" i="5"/>
  <c r="Q42" i="5"/>
  <c r="Q38" i="5"/>
  <c r="Q34" i="5"/>
  <c r="Q30" i="5"/>
  <c r="Q26" i="5"/>
  <c r="Q22" i="5"/>
  <c r="R119" i="5"/>
  <c r="R113" i="5"/>
  <c r="Q107" i="5"/>
  <c r="Q101" i="5"/>
  <c r="R94" i="5"/>
  <c r="R87" i="5"/>
  <c r="R81" i="5"/>
  <c r="Q75" i="5"/>
  <c r="Q69" i="5"/>
  <c r="R62" i="5"/>
  <c r="R55" i="5"/>
  <c r="R49" i="5"/>
  <c r="Q43" i="5"/>
  <c r="Q37" i="5"/>
  <c r="R30" i="5"/>
  <c r="R23" i="5"/>
  <c r="R125" i="5"/>
  <c r="Q119" i="5"/>
  <c r="Q113" i="5"/>
  <c r="R106" i="5"/>
  <c r="R99" i="5"/>
  <c r="R93" i="5"/>
  <c r="Q87" i="5"/>
  <c r="Q81" i="5"/>
  <c r="R74" i="5"/>
  <c r="R67" i="5"/>
  <c r="R61" i="5"/>
  <c r="Q55" i="5"/>
  <c r="Q49" i="5"/>
  <c r="R42" i="5"/>
  <c r="R35" i="5"/>
  <c r="R29" i="5"/>
  <c r="Q23" i="5"/>
  <c r="Q125" i="5"/>
  <c r="R118" i="5"/>
  <c r="R111" i="5"/>
  <c r="R105" i="5"/>
  <c r="Q99" i="5"/>
  <c r="Q93" i="5"/>
  <c r="R86" i="5"/>
  <c r="R79" i="5"/>
  <c r="R73" i="5"/>
  <c r="Q67" i="5"/>
  <c r="Q61" i="5"/>
  <c r="R54" i="5"/>
  <c r="R47" i="5"/>
  <c r="R41" i="5"/>
  <c r="Q35" i="5"/>
  <c r="Q29" i="5"/>
  <c r="R22" i="5"/>
  <c r="R122" i="5"/>
  <c r="R115" i="5"/>
  <c r="R109" i="5"/>
  <c r="Q103" i="5"/>
  <c r="Q97" i="5"/>
  <c r="R90" i="5"/>
  <c r="R83" i="5"/>
  <c r="R77" i="5"/>
  <c r="Q71" i="5"/>
  <c r="Q65" i="5"/>
  <c r="R58" i="5"/>
  <c r="R51" i="5"/>
  <c r="R45" i="5"/>
  <c r="Q39" i="5"/>
  <c r="Q33" i="5"/>
  <c r="R26" i="5"/>
  <c r="Q20" i="5"/>
  <c r="R121" i="5"/>
  <c r="Q115" i="5"/>
  <c r="Q109" i="5"/>
  <c r="R102" i="5"/>
  <c r="R95" i="5"/>
  <c r="R89" i="5"/>
  <c r="Q83" i="5"/>
  <c r="Q77" i="5"/>
  <c r="R70" i="5"/>
  <c r="R63" i="5"/>
  <c r="R57" i="5"/>
  <c r="Q51" i="5"/>
  <c r="Q45" i="5"/>
  <c r="R38" i="5"/>
  <c r="R31" i="5"/>
  <c r="R25" i="5"/>
  <c r="R110" i="5"/>
  <c r="R91" i="5"/>
  <c r="R75" i="5"/>
  <c r="Q59" i="5"/>
  <c r="Q41" i="5"/>
  <c r="Q25" i="5"/>
  <c r="R123" i="5"/>
  <c r="R107" i="5"/>
  <c r="Q91" i="5"/>
  <c r="Q73" i="5"/>
  <c r="Q57" i="5"/>
  <c r="R39" i="5"/>
  <c r="R21" i="5"/>
  <c r="Q123" i="5"/>
  <c r="Q105" i="5"/>
  <c r="Q89" i="5"/>
  <c r="R71" i="5"/>
  <c r="R53" i="5"/>
  <c r="R37" i="5"/>
  <c r="Q21" i="5"/>
  <c r="Q121" i="5"/>
  <c r="R103" i="5"/>
  <c r="R85" i="5"/>
  <c r="R69" i="5"/>
  <c r="Q53" i="5"/>
  <c r="R34" i="5"/>
  <c r="Q117" i="5"/>
  <c r="R98" i="5"/>
  <c r="R82" i="5"/>
  <c r="R65" i="5"/>
  <c r="Q47" i="5"/>
  <c r="Q31" i="5"/>
  <c r="R114" i="5"/>
  <c r="R97" i="5"/>
  <c r="Q79" i="5"/>
  <c r="Q63" i="5"/>
  <c r="R46" i="5"/>
  <c r="R27" i="5"/>
  <c r="R66" i="5"/>
  <c r="R33" i="5"/>
  <c r="R59" i="5"/>
  <c r="R101" i="5"/>
  <c r="R117" i="5"/>
  <c r="R50" i="5"/>
  <c r="Q111" i="5"/>
  <c r="R43" i="5"/>
  <c r="Q95" i="5"/>
  <c r="Q27" i="5"/>
  <c r="Q85" i="5"/>
  <c r="R78" i="5"/>
  <c r="G27" i="3"/>
  <c r="A7" i="9"/>
  <c r="J7" i="9" s="1"/>
  <c r="B6" i="2"/>
  <c r="A5" i="4"/>
  <c r="I5" i="4" s="1"/>
  <c r="E27" i="3"/>
  <c r="F27" i="3"/>
  <c r="I14" i="3"/>
  <c r="J4" i="6"/>
  <c r="M3" i="6"/>
  <c r="B48" i="7"/>
  <c r="B35" i="11"/>
  <c r="B13" i="11"/>
  <c r="L7" i="9" l="1"/>
  <c r="P7" i="9"/>
  <c r="D4" i="4"/>
  <c r="C4" i="4"/>
  <c r="B4" i="4"/>
  <c r="G4" i="4"/>
  <c r="H4" i="4"/>
  <c r="E4" i="4"/>
  <c r="F4" i="4"/>
  <c r="I50" i="3"/>
  <c r="G50" i="3"/>
  <c r="A6" i="6"/>
  <c r="C5" i="4"/>
  <c r="G5" i="4"/>
  <c r="A6" i="4"/>
  <c r="I6" i="4" s="1"/>
  <c r="B5" i="4"/>
  <c r="I6" i="6"/>
  <c r="H5" i="4"/>
  <c r="E5" i="4"/>
  <c r="F5" i="4"/>
  <c r="D5" i="4"/>
  <c r="I46" i="3"/>
  <c r="G46" i="3"/>
  <c r="B62" i="1"/>
  <c r="D6" i="6" l="1"/>
  <c r="G6" i="6"/>
  <c r="B6" i="6"/>
  <c r="F6" i="6"/>
  <c r="C6" i="6"/>
  <c r="E6" i="6"/>
  <c r="H6" i="6"/>
  <c r="A8" i="9"/>
  <c r="A7" i="6"/>
  <c r="A9" i="9" s="1"/>
  <c r="A7" i="4"/>
  <c r="I7" i="4" s="1"/>
  <c r="B6" i="4"/>
  <c r="B7" i="6" s="1"/>
  <c r="H6" i="4"/>
  <c r="H7" i="6" s="1"/>
  <c r="G6" i="4"/>
  <c r="G7" i="6" s="1"/>
  <c r="D6" i="4"/>
  <c r="D7" i="6" s="1"/>
  <c r="F6" i="4"/>
  <c r="F7" i="6" s="1"/>
  <c r="E6" i="4"/>
  <c r="E7" i="6" s="1"/>
  <c r="C6" i="4"/>
  <c r="C7" i="6" s="1"/>
  <c r="J6" i="6" l="1"/>
  <c r="I38" i="3" s="1"/>
  <c r="J7" i="6"/>
  <c r="J9" i="9"/>
  <c r="I7" i="6"/>
  <c r="F8" i="9"/>
  <c r="G8" i="9" s="1"/>
  <c r="N8" i="9" s="1"/>
  <c r="J8" i="9"/>
  <c r="A8" i="6"/>
  <c r="A10" i="9" s="1"/>
  <c r="I8" i="6"/>
  <c r="H7" i="4"/>
  <c r="H8" i="6" s="1"/>
  <c r="E7" i="4"/>
  <c r="E8" i="6" s="1"/>
  <c r="G7" i="4"/>
  <c r="G8" i="6" s="1"/>
  <c r="F7" i="4"/>
  <c r="F8" i="6" s="1"/>
  <c r="C7" i="4"/>
  <c r="C8" i="6" s="1"/>
  <c r="D7" i="4"/>
  <c r="D8" i="6" s="1"/>
  <c r="A8" i="4"/>
  <c r="B7" i="4"/>
  <c r="B8" i="6" s="1"/>
  <c r="I8" i="4" l="1"/>
  <c r="I9" i="6" s="1"/>
  <c r="P9" i="9"/>
  <c r="L9" i="9"/>
  <c r="P8" i="9"/>
  <c r="L8" i="9"/>
  <c r="G38" i="3"/>
  <c r="B8" i="9"/>
  <c r="C8" i="9" s="1"/>
  <c r="B9" i="9"/>
  <c r="J8" i="6"/>
  <c r="B10" i="9" s="1"/>
  <c r="H8" i="9"/>
  <c r="I8" i="9" s="1"/>
  <c r="R8" i="9" s="1"/>
  <c r="A9" i="6"/>
  <c r="H8" i="4"/>
  <c r="H9" i="6" s="1"/>
  <c r="D8" i="4"/>
  <c r="D9" i="6" s="1"/>
  <c r="G8" i="4"/>
  <c r="G9" i="6" s="1"/>
  <c r="F8" i="4"/>
  <c r="F9" i="6" s="1"/>
  <c r="E8" i="4"/>
  <c r="E9" i="6" s="1"/>
  <c r="A9" i="4"/>
  <c r="I9" i="4" s="1"/>
  <c r="B8" i="4"/>
  <c r="B9" i="6" s="1"/>
  <c r="C8" i="4"/>
  <c r="C9" i="6" s="1"/>
  <c r="F9" i="9"/>
  <c r="G9" i="9" s="1"/>
  <c r="N9" i="9" s="1"/>
  <c r="J10" i="9"/>
  <c r="F10" i="9"/>
  <c r="D8" i="9" l="1"/>
  <c r="E8" i="9" s="1"/>
  <c r="Q8" i="9" s="1"/>
  <c r="M8" i="9"/>
  <c r="L10" i="9"/>
  <c r="P10" i="9"/>
  <c r="C9" i="9"/>
  <c r="J9" i="6"/>
  <c r="H9" i="9"/>
  <c r="I9" i="9" s="1"/>
  <c r="R9" i="9" s="1"/>
  <c r="G10" i="9"/>
  <c r="A11" i="9"/>
  <c r="A10" i="6"/>
  <c r="G9" i="4"/>
  <c r="G10" i="6" s="1"/>
  <c r="C9" i="4"/>
  <c r="C10" i="6" s="1"/>
  <c r="F9" i="4"/>
  <c r="F10" i="6" s="1"/>
  <c r="E9" i="4"/>
  <c r="E10" i="6" s="1"/>
  <c r="D9" i="4"/>
  <c r="D10" i="6" s="1"/>
  <c r="A10" i="4"/>
  <c r="I10" i="4" s="1"/>
  <c r="B9" i="4"/>
  <c r="B10" i="6" s="1"/>
  <c r="H9" i="4"/>
  <c r="H10" i="6" s="1"/>
  <c r="H10" i="9" l="1"/>
  <c r="I10" i="9" s="1"/>
  <c r="R10" i="9" s="1"/>
  <c r="N10" i="9"/>
  <c r="D9" i="9"/>
  <c r="E9" i="9" s="1"/>
  <c r="Q9" i="9" s="1"/>
  <c r="M9" i="9"/>
  <c r="C10" i="9"/>
  <c r="J10" i="6"/>
  <c r="F11" i="9"/>
  <c r="G11" i="9" s="1"/>
  <c r="N11" i="9" s="1"/>
  <c r="J11" i="9"/>
  <c r="B11" i="9"/>
  <c r="A12" i="9"/>
  <c r="A11" i="6"/>
  <c r="F10" i="4"/>
  <c r="F11" i="6" s="1"/>
  <c r="A11" i="4"/>
  <c r="I11" i="4" s="1"/>
  <c r="E10" i="4"/>
  <c r="E11" i="6" s="1"/>
  <c r="B10" i="4"/>
  <c r="B11" i="6" s="1"/>
  <c r="D10" i="4"/>
  <c r="D11" i="6" s="1"/>
  <c r="C10" i="4"/>
  <c r="C11" i="6" s="1"/>
  <c r="H10" i="4"/>
  <c r="H11" i="6" s="1"/>
  <c r="I11" i="6"/>
  <c r="G10" i="4"/>
  <c r="G11" i="6" s="1"/>
  <c r="I10" i="6"/>
  <c r="P11" i="9" l="1"/>
  <c r="L11" i="9"/>
  <c r="D10" i="9"/>
  <c r="E10" i="9" s="1"/>
  <c r="Q10" i="9" s="1"/>
  <c r="M10" i="9"/>
  <c r="C11" i="9"/>
  <c r="J11" i="6"/>
  <c r="H11" i="9"/>
  <c r="I11" i="9" s="1"/>
  <c r="R11" i="9" s="1"/>
  <c r="A13" i="9"/>
  <c r="A12" i="6"/>
  <c r="A14" i="9" s="1"/>
  <c r="E11" i="4"/>
  <c r="E12" i="6" s="1"/>
  <c r="D11" i="4"/>
  <c r="D12" i="6" s="1"/>
  <c r="I12" i="6"/>
  <c r="C11" i="4"/>
  <c r="C12" i="6" s="1"/>
  <c r="A12" i="4"/>
  <c r="I12" i="4" s="1"/>
  <c r="B11" i="4"/>
  <c r="B12" i="6" s="1"/>
  <c r="G11" i="4"/>
  <c r="G12" i="6" s="1"/>
  <c r="H11" i="4"/>
  <c r="H12" i="6" s="1"/>
  <c r="F11" i="4"/>
  <c r="F12" i="6" s="1"/>
  <c r="F12" i="9"/>
  <c r="G12" i="9" s="1"/>
  <c r="N12" i="9" s="1"/>
  <c r="J12" i="9"/>
  <c r="B12" i="9"/>
  <c r="D11" i="9" l="1"/>
  <c r="E11" i="9" s="1"/>
  <c r="Q11" i="9" s="1"/>
  <c r="M11" i="9"/>
  <c r="P12" i="9"/>
  <c r="L12" i="9"/>
  <c r="C12" i="9"/>
  <c r="J12" i="6"/>
  <c r="B14" i="9" s="1"/>
  <c r="H12" i="9"/>
  <c r="I12" i="9" s="1"/>
  <c r="R12" i="9" s="1"/>
  <c r="J14" i="9"/>
  <c r="F14" i="9"/>
  <c r="A13" i="6"/>
  <c r="A15" i="9" s="1"/>
  <c r="D12" i="4"/>
  <c r="D13" i="6" s="1"/>
  <c r="H12" i="4"/>
  <c r="H13" i="6" s="1"/>
  <c r="C12" i="4"/>
  <c r="C13" i="6" s="1"/>
  <c r="A13" i="4"/>
  <c r="I13" i="4" s="1"/>
  <c r="B12" i="4"/>
  <c r="B13" i="6" s="1"/>
  <c r="I13" i="6"/>
  <c r="F12" i="4"/>
  <c r="F13" i="6" s="1"/>
  <c r="E12" i="4"/>
  <c r="E13" i="6" s="1"/>
  <c r="G12" i="4"/>
  <c r="G13" i="6" s="1"/>
  <c r="J13" i="9"/>
  <c r="B13" i="9"/>
  <c r="F13" i="9"/>
  <c r="G13" i="9" s="1"/>
  <c r="N13" i="9" s="1"/>
  <c r="L14" i="9" l="1"/>
  <c r="P14" i="9"/>
  <c r="L13" i="9"/>
  <c r="P13" i="9"/>
  <c r="D12" i="9"/>
  <c r="E12" i="9" s="1"/>
  <c r="Q12" i="9" s="1"/>
  <c r="M12" i="9"/>
  <c r="C13" i="9"/>
  <c r="J13" i="6"/>
  <c r="B15" i="9" s="1"/>
  <c r="G14" i="9"/>
  <c r="H13" i="9"/>
  <c r="I13" i="9" s="1"/>
  <c r="R13" i="9" s="1"/>
  <c r="A14" i="6"/>
  <c r="A16" i="9" s="1"/>
  <c r="C13" i="4"/>
  <c r="C14" i="6" s="1"/>
  <c r="A14" i="4"/>
  <c r="I14" i="4" s="1"/>
  <c r="B13" i="4"/>
  <c r="B14" i="6" s="1"/>
  <c r="G13" i="4"/>
  <c r="G14" i="6" s="1"/>
  <c r="I14" i="6"/>
  <c r="H13" i="4"/>
  <c r="H14" i="6" s="1"/>
  <c r="E13" i="4"/>
  <c r="E14" i="6" s="1"/>
  <c r="F13" i="4"/>
  <c r="F14" i="6" s="1"/>
  <c r="D13" i="4"/>
  <c r="D14" i="6" s="1"/>
  <c r="F15" i="9"/>
  <c r="J15" i="9"/>
  <c r="H14" i="9" l="1"/>
  <c r="I14" i="9" s="1"/>
  <c r="R14" i="9" s="1"/>
  <c r="N14" i="9"/>
  <c r="C14" i="9"/>
  <c r="M13" i="9"/>
  <c r="P15" i="9"/>
  <c r="L15" i="9"/>
  <c r="D13" i="9"/>
  <c r="E13" i="9" s="1"/>
  <c r="Q13" i="9" s="1"/>
  <c r="G15" i="9"/>
  <c r="J14" i="6"/>
  <c r="B16" i="9" s="1"/>
  <c r="A15" i="6"/>
  <c r="A17" i="9" s="1"/>
  <c r="A15" i="4"/>
  <c r="I15" i="4" s="1"/>
  <c r="B14" i="4"/>
  <c r="B15" i="6" s="1"/>
  <c r="I15" i="6"/>
  <c r="F14" i="4"/>
  <c r="F15" i="6" s="1"/>
  <c r="H14" i="4"/>
  <c r="H15" i="6" s="1"/>
  <c r="G14" i="4"/>
  <c r="G15" i="6" s="1"/>
  <c r="D14" i="4"/>
  <c r="D15" i="6" s="1"/>
  <c r="E14" i="4"/>
  <c r="E15" i="6" s="1"/>
  <c r="C14" i="4"/>
  <c r="C15" i="6" s="1"/>
  <c r="F16" i="9"/>
  <c r="J16" i="9"/>
  <c r="H15" i="9" l="1"/>
  <c r="I15" i="9" s="1"/>
  <c r="R15" i="9" s="1"/>
  <c r="N15" i="9"/>
  <c r="P16" i="9"/>
  <c r="L16" i="9"/>
  <c r="D14" i="9"/>
  <c r="E14" i="9" s="1"/>
  <c r="Q14" i="9" s="1"/>
  <c r="M14" i="9"/>
  <c r="C15" i="9"/>
  <c r="G16" i="9"/>
  <c r="J15" i="6"/>
  <c r="B17" i="9" s="1"/>
  <c r="A16" i="6"/>
  <c r="A18" i="9" s="1"/>
  <c r="I16" i="6"/>
  <c r="E15" i="4"/>
  <c r="E16" i="6" s="1"/>
  <c r="H15" i="4"/>
  <c r="H16" i="6" s="1"/>
  <c r="G15" i="4"/>
  <c r="G16" i="6" s="1"/>
  <c r="F15" i="4"/>
  <c r="F16" i="6" s="1"/>
  <c r="C15" i="4"/>
  <c r="C16" i="6" s="1"/>
  <c r="A16" i="4"/>
  <c r="I16" i="4" s="1"/>
  <c r="D15" i="4"/>
  <c r="D16" i="6" s="1"/>
  <c r="B15" i="4"/>
  <c r="B16" i="6" s="1"/>
  <c r="J17" i="9"/>
  <c r="F17" i="9"/>
  <c r="D15" i="9" l="1"/>
  <c r="E15" i="9" s="1"/>
  <c r="Q15" i="9" s="1"/>
  <c r="M15" i="9"/>
  <c r="P17" i="9"/>
  <c r="L17" i="9"/>
  <c r="H16" i="9"/>
  <c r="I16" i="9" s="1"/>
  <c r="R16" i="9" s="1"/>
  <c r="N16" i="9"/>
  <c r="C16" i="9"/>
  <c r="C17" i="9" s="1"/>
  <c r="G17" i="9"/>
  <c r="J16" i="6"/>
  <c r="B18" i="9" s="1"/>
  <c r="J18" i="9"/>
  <c r="F18" i="9"/>
  <c r="A17" i="6"/>
  <c r="A19" i="9" s="1"/>
  <c r="H16" i="4"/>
  <c r="H17" i="6" s="1"/>
  <c r="G16" i="4"/>
  <c r="G17" i="6" s="1"/>
  <c r="D16" i="4"/>
  <c r="D17" i="6" s="1"/>
  <c r="F16" i="4"/>
  <c r="F17" i="6" s="1"/>
  <c r="E16" i="4"/>
  <c r="E17" i="6" s="1"/>
  <c r="A17" i="4"/>
  <c r="I17" i="4" s="1"/>
  <c r="B16" i="4"/>
  <c r="B17" i="6" s="1"/>
  <c r="C16" i="4"/>
  <c r="C17" i="6" s="1"/>
  <c r="I17" i="6"/>
  <c r="D17" i="9" l="1"/>
  <c r="E17" i="9" s="1"/>
  <c r="Q17" i="9" s="1"/>
  <c r="M17" i="9"/>
  <c r="L18" i="9"/>
  <c r="P18" i="9"/>
  <c r="D16" i="9"/>
  <c r="E16" i="9" s="1"/>
  <c r="Q16" i="9" s="1"/>
  <c r="M16" i="9"/>
  <c r="H17" i="9"/>
  <c r="I17" i="9" s="1"/>
  <c r="R17" i="9" s="1"/>
  <c r="N17" i="9"/>
  <c r="C18" i="9"/>
  <c r="G18" i="9"/>
  <c r="J17" i="6"/>
  <c r="B19" i="9" s="1"/>
  <c r="F19" i="9"/>
  <c r="J19" i="9"/>
  <c r="A18" i="6"/>
  <c r="A20" i="9" s="1"/>
  <c r="G17" i="4"/>
  <c r="G18" i="6" s="1"/>
  <c r="C17" i="4"/>
  <c r="C18" i="6" s="1"/>
  <c r="F17" i="4"/>
  <c r="F18" i="6" s="1"/>
  <c r="E17" i="4"/>
  <c r="E18" i="6" s="1"/>
  <c r="D17" i="4"/>
  <c r="D18" i="6" s="1"/>
  <c r="I18" i="6"/>
  <c r="A18" i="4"/>
  <c r="I18" i="4" s="1"/>
  <c r="H17" i="4"/>
  <c r="H18" i="6" s="1"/>
  <c r="B17" i="4"/>
  <c r="B18" i="6" s="1"/>
  <c r="P19" i="9" l="1"/>
  <c r="L19" i="9"/>
  <c r="H18" i="9"/>
  <c r="I18" i="9" s="1"/>
  <c r="R18" i="9" s="1"/>
  <c r="N18" i="9"/>
  <c r="D18" i="9"/>
  <c r="E18" i="9" s="1"/>
  <c r="Q18" i="9" s="1"/>
  <c r="M18" i="9"/>
  <c r="C19" i="9"/>
  <c r="G19" i="9"/>
  <c r="J18" i="6"/>
  <c r="B20" i="9" s="1"/>
  <c r="F20" i="9"/>
  <c r="J20" i="9"/>
  <c r="A19" i="6"/>
  <c r="A21" i="9" s="1"/>
  <c r="F18" i="4"/>
  <c r="F19" i="6" s="1"/>
  <c r="A19" i="4"/>
  <c r="I19" i="4" s="1"/>
  <c r="E18" i="4"/>
  <c r="E19" i="6" s="1"/>
  <c r="B18" i="4"/>
  <c r="B19" i="6" s="1"/>
  <c r="D18" i="4"/>
  <c r="D19" i="6" s="1"/>
  <c r="C18" i="4"/>
  <c r="C19" i="6" s="1"/>
  <c r="H18" i="4"/>
  <c r="H19" i="6" s="1"/>
  <c r="I19" i="6"/>
  <c r="G18" i="4"/>
  <c r="G19" i="6" s="1"/>
  <c r="D19" i="9" l="1"/>
  <c r="E19" i="9" s="1"/>
  <c r="Q19" i="9" s="1"/>
  <c r="M19" i="9"/>
  <c r="H19" i="9"/>
  <c r="I19" i="9" s="1"/>
  <c r="R19" i="9" s="1"/>
  <c r="N19" i="9"/>
  <c r="P20" i="9"/>
  <c r="L20" i="9"/>
  <c r="C20" i="9"/>
  <c r="G20" i="9"/>
  <c r="J19" i="6"/>
  <c r="B21" i="9" s="1"/>
  <c r="A20" i="6"/>
  <c r="A22" i="9" s="1"/>
  <c r="E19" i="4"/>
  <c r="E20" i="6" s="1"/>
  <c r="D19" i="4"/>
  <c r="D20" i="6" s="1"/>
  <c r="I20" i="6"/>
  <c r="C19" i="4"/>
  <c r="C20" i="6" s="1"/>
  <c r="A20" i="4"/>
  <c r="I20" i="4" s="1"/>
  <c r="B19" i="4"/>
  <c r="B20" i="6" s="1"/>
  <c r="G19" i="4"/>
  <c r="G20" i="6" s="1"/>
  <c r="F19" i="4"/>
  <c r="F20" i="6" s="1"/>
  <c r="H19" i="4"/>
  <c r="H20" i="6" s="1"/>
  <c r="J21" i="9"/>
  <c r="F21" i="9"/>
  <c r="H20" i="9" l="1"/>
  <c r="I20" i="9" s="1"/>
  <c r="R20" i="9" s="1"/>
  <c r="N20" i="9"/>
  <c r="L21" i="9"/>
  <c r="P21" i="9"/>
  <c r="D20" i="9"/>
  <c r="E20" i="9" s="1"/>
  <c r="Q20" i="9" s="1"/>
  <c r="M20" i="9"/>
  <c r="G21" i="9"/>
  <c r="C21" i="9"/>
  <c r="J20" i="6"/>
  <c r="B22" i="9" s="1"/>
  <c r="A21" i="6"/>
  <c r="A23" i="9" s="1"/>
  <c r="D20" i="4"/>
  <c r="D21" i="6" s="1"/>
  <c r="H20" i="4"/>
  <c r="H21" i="6" s="1"/>
  <c r="C20" i="4"/>
  <c r="C21" i="6" s="1"/>
  <c r="A21" i="4"/>
  <c r="I21" i="4" s="1"/>
  <c r="B20" i="4"/>
  <c r="B21" i="6" s="1"/>
  <c r="I21" i="6"/>
  <c r="F20" i="4"/>
  <c r="F21" i="6" s="1"/>
  <c r="G20" i="4"/>
  <c r="G21" i="6" s="1"/>
  <c r="E20" i="4"/>
  <c r="E21" i="6" s="1"/>
  <c r="J22" i="9"/>
  <c r="F22" i="9"/>
  <c r="D21" i="9" l="1"/>
  <c r="E21" i="9" s="1"/>
  <c r="Q21" i="9" s="1"/>
  <c r="M21" i="9"/>
  <c r="H21" i="9"/>
  <c r="I21" i="9" s="1"/>
  <c r="R21" i="9" s="1"/>
  <c r="N21" i="9"/>
  <c r="L22" i="9"/>
  <c r="P22" i="9"/>
  <c r="C22" i="9"/>
  <c r="G22" i="9"/>
  <c r="J21" i="6"/>
  <c r="B23" i="9" s="1"/>
  <c r="A22" i="6"/>
  <c r="A24" i="9" s="1"/>
  <c r="C21" i="4"/>
  <c r="C22" i="6" s="1"/>
  <c r="A22" i="4"/>
  <c r="I22" i="4" s="1"/>
  <c r="B21" i="4"/>
  <c r="B22" i="6" s="1"/>
  <c r="G21" i="4"/>
  <c r="G22" i="6" s="1"/>
  <c r="I22" i="6"/>
  <c r="H21" i="4"/>
  <c r="H22" i="6" s="1"/>
  <c r="E21" i="4"/>
  <c r="E22" i="6" s="1"/>
  <c r="D21" i="4"/>
  <c r="D22" i="6" s="1"/>
  <c r="F21" i="4"/>
  <c r="F22" i="6" s="1"/>
  <c r="F23" i="9"/>
  <c r="J23" i="9"/>
  <c r="D22" i="9" l="1"/>
  <c r="E22" i="9" s="1"/>
  <c r="Q22" i="9" s="1"/>
  <c r="M22" i="9"/>
  <c r="H22" i="9"/>
  <c r="I22" i="9" s="1"/>
  <c r="R22" i="9" s="1"/>
  <c r="N22" i="9"/>
  <c r="P23" i="9"/>
  <c r="L23" i="9"/>
  <c r="C23" i="9"/>
  <c r="G23" i="9"/>
  <c r="J22" i="6"/>
  <c r="B24" i="9" s="1"/>
  <c r="A23" i="6"/>
  <c r="A25" i="9" s="1"/>
  <c r="A23" i="4"/>
  <c r="I23" i="4" s="1"/>
  <c r="B22" i="4"/>
  <c r="B23" i="6" s="1"/>
  <c r="F22" i="4"/>
  <c r="F23" i="6" s="1"/>
  <c r="I23" i="6"/>
  <c r="H22" i="4"/>
  <c r="H23" i="6" s="1"/>
  <c r="G22" i="4"/>
  <c r="G23" i="6" s="1"/>
  <c r="D22" i="4"/>
  <c r="D23" i="6" s="1"/>
  <c r="E22" i="4"/>
  <c r="E23" i="6" s="1"/>
  <c r="C22" i="4"/>
  <c r="C23" i="6" s="1"/>
  <c r="F24" i="9"/>
  <c r="J24" i="9"/>
  <c r="H23" i="9" l="1"/>
  <c r="I23" i="9" s="1"/>
  <c r="R23" i="9" s="1"/>
  <c r="N23" i="9"/>
  <c r="D23" i="9"/>
  <c r="E23" i="9" s="1"/>
  <c r="Q23" i="9" s="1"/>
  <c r="M23" i="9"/>
  <c r="P24" i="9"/>
  <c r="L24" i="9"/>
  <c r="C24" i="9"/>
  <c r="G24" i="9"/>
  <c r="J23" i="6"/>
  <c r="B25" i="9" s="1"/>
  <c r="A24" i="6"/>
  <c r="A26" i="9" s="1"/>
  <c r="I24" i="6"/>
  <c r="H23" i="4"/>
  <c r="H24" i="6" s="1"/>
  <c r="E23" i="4"/>
  <c r="E24" i="6" s="1"/>
  <c r="G23" i="4"/>
  <c r="G24" i="6" s="1"/>
  <c r="F23" i="4"/>
  <c r="F24" i="6" s="1"/>
  <c r="C23" i="4"/>
  <c r="C24" i="6" s="1"/>
  <c r="B23" i="4"/>
  <c r="B24" i="6" s="1"/>
  <c r="D23" i="4"/>
  <c r="D24" i="6" s="1"/>
  <c r="A24" i="4"/>
  <c r="I24" i="4" s="1"/>
  <c r="J25" i="9"/>
  <c r="F25" i="9"/>
  <c r="D24" i="9" l="1"/>
  <c r="E24" i="9" s="1"/>
  <c r="Q24" i="9" s="1"/>
  <c r="M24" i="9"/>
  <c r="P25" i="9"/>
  <c r="L25" i="9"/>
  <c r="H24" i="9"/>
  <c r="I24" i="9" s="1"/>
  <c r="R24" i="9" s="1"/>
  <c r="N24" i="9"/>
  <c r="C25" i="9"/>
  <c r="G25" i="9"/>
  <c r="J24" i="6"/>
  <c r="B26" i="9" s="1"/>
  <c r="J26" i="9"/>
  <c r="F26" i="9"/>
  <c r="A25" i="6"/>
  <c r="A27" i="9" s="1"/>
  <c r="H24" i="4"/>
  <c r="H25" i="6" s="1"/>
  <c r="G24" i="4"/>
  <c r="G25" i="6" s="1"/>
  <c r="D24" i="4"/>
  <c r="D25" i="6" s="1"/>
  <c r="F24" i="4"/>
  <c r="F25" i="6" s="1"/>
  <c r="E24" i="4"/>
  <c r="E25" i="6" s="1"/>
  <c r="A25" i="4"/>
  <c r="I25" i="4" s="1"/>
  <c r="B24" i="4"/>
  <c r="B25" i="6" s="1"/>
  <c r="C24" i="4"/>
  <c r="C25" i="6" s="1"/>
  <c r="I25" i="6"/>
  <c r="H25" i="9" l="1"/>
  <c r="I25" i="9" s="1"/>
  <c r="R25" i="9" s="1"/>
  <c r="N25" i="9"/>
  <c r="D25" i="9"/>
  <c r="E25" i="9" s="1"/>
  <c r="Q25" i="9" s="1"/>
  <c r="M25" i="9"/>
  <c r="L26" i="9"/>
  <c r="P26" i="9"/>
  <c r="C26" i="9"/>
  <c r="G26" i="9"/>
  <c r="J25" i="6"/>
  <c r="B27" i="9" s="1"/>
  <c r="F27" i="9"/>
  <c r="J27" i="9"/>
  <c r="A26" i="6"/>
  <c r="A28" i="9" s="1"/>
  <c r="G25" i="4"/>
  <c r="G26" i="6" s="1"/>
  <c r="C25" i="4"/>
  <c r="C26" i="6" s="1"/>
  <c r="F25" i="4"/>
  <c r="F26" i="6" s="1"/>
  <c r="E25" i="4"/>
  <c r="E26" i="6" s="1"/>
  <c r="D25" i="4"/>
  <c r="D26" i="6" s="1"/>
  <c r="I26" i="6"/>
  <c r="A26" i="4"/>
  <c r="I26" i="4" s="1"/>
  <c r="H25" i="4"/>
  <c r="H26" i="6" s="1"/>
  <c r="B25" i="4"/>
  <c r="B26" i="6" s="1"/>
  <c r="D26" i="9" l="1"/>
  <c r="E26" i="9" s="1"/>
  <c r="Q26" i="9" s="1"/>
  <c r="M26" i="9"/>
  <c r="P27" i="9"/>
  <c r="L27" i="9"/>
  <c r="H26" i="9"/>
  <c r="I26" i="9" s="1"/>
  <c r="R26" i="9" s="1"/>
  <c r="N26" i="9"/>
  <c r="G27" i="9"/>
  <c r="N27" i="9" s="1"/>
  <c r="C27" i="9"/>
  <c r="J26" i="6"/>
  <c r="B28" i="9" s="1"/>
  <c r="F28" i="9"/>
  <c r="J28" i="9"/>
  <c r="A27" i="6"/>
  <c r="A29" i="9" s="1"/>
  <c r="F26" i="4"/>
  <c r="F27" i="6" s="1"/>
  <c r="A27" i="4"/>
  <c r="I27" i="4" s="1"/>
  <c r="E26" i="4"/>
  <c r="E27" i="6" s="1"/>
  <c r="B26" i="4"/>
  <c r="B27" i="6" s="1"/>
  <c r="D26" i="4"/>
  <c r="D27" i="6" s="1"/>
  <c r="C26" i="4"/>
  <c r="C27" i="6" s="1"/>
  <c r="H26" i="4"/>
  <c r="H27" i="6" s="1"/>
  <c r="G26" i="4"/>
  <c r="G27" i="6" s="1"/>
  <c r="I27" i="6"/>
  <c r="D27" i="9" l="1"/>
  <c r="E27" i="9" s="1"/>
  <c r="Q27" i="9" s="1"/>
  <c r="M27" i="9"/>
  <c r="G28" i="9"/>
  <c r="N28" i="9" s="1"/>
  <c r="H27" i="9"/>
  <c r="I27" i="9" s="1"/>
  <c r="R27" i="9" s="1"/>
  <c r="P28" i="9"/>
  <c r="L28" i="9"/>
  <c r="C28" i="9"/>
  <c r="J27" i="6"/>
  <c r="B29" i="9" s="1"/>
  <c r="A28" i="6"/>
  <c r="A30" i="9" s="1"/>
  <c r="E27" i="4"/>
  <c r="E28" i="6" s="1"/>
  <c r="D27" i="4"/>
  <c r="D28" i="6" s="1"/>
  <c r="I28" i="6"/>
  <c r="C27" i="4"/>
  <c r="C28" i="6" s="1"/>
  <c r="A28" i="4"/>
  <c r="I28" i="4" s="1"/>
  <c r="B27" i="4"/>
  <c r="B28" i="6" s="1"/>
  <c r="G27" i="4"/>
  <c r="G28" i="6" s="1"/>
  <c r="H27" i="4"/>
  <c r="H28" i="6" s="1"/>
  <c r="F27" i="4"/>
  <c r="F28" i="6" s="1"/>
  <c r="J29" i="9"/>
  <c r="F29" i="9"/>
  <c r="G29" i="9" l="1"/>
  <c r="N29" i="9" s="1"/>
  <c r="D28" i="9"/>
  <c r="E28" i="9" s="1"/>
  <c r="Q28" i="9" s="1"/>
  <c r="M28" i="9"/>
  <c r="L29" i="9"/>
  <c r="P29" i="9"/>
  <c r="H28" i="9"/>
  <c r="I28" i="9" s="1"/>
  <c r="R28" i="9" s="1"/>
  <c r="C29" i="9"/>
  <c r="J28" i="6"/>
  <c r="B30" i="9" s="1"/>
  <c r="A29" i="6"/>
  <c r="A31" i="9" s="1"/>
  <c r="D28" i="4"/>
  <c r="D29" i="6" s="1"/>
  <c r="H28" i="4"/>
  <c r="H29" i="6" s="1"/>
  <c r="C28" i="4"/>
  <c r="C29" i="6" s="1"/>
  <c r="A29" i="4"/>
  <c r="I29" i="4" s="1"/>
  <c r="B28" i="4"/>
  <c r="B29" i="6" s="1"/>
  <c r="I29" i="6"/>
  <c r="F28" i="4"/>
  <c r="F29" i="6" s="1"/>
  <c r="G28" i="4"/>
  <c r="G29" i="6" s="1"/>
  <c r="E28" i="4"/>
  <c r="E29" i="6" s="1"/>
  <c r="J30" i="9"/>
  <c r="F30" i="9"/>
  <c r="G30" i="9" l="1"/>
  <c r="N30" i="9" s="1"/>
  <c r="H29" i="9"/>
  <c r="I29" i="9" s="1"/>
  <c r="R29" i="9" s="1"/>
  <c r="D29" i="9"/>
  <c r="E29" i="9" s="1"/>
  <c r="Q29" i="9" s="1"/>
  <c r="M29" i="9"/>
  <c r="L30" i="9"/>
  <c r="P30" i="9"/>
  <c r="C30" i="9"/>
  <c r="J29" i="6"/>
  <c r="B31" i="9" s="1"/>
  <c r="H30" i="9"/>
  <c r="I30" i="9" s="1"/>
  <c r="R30" i="9" s="1"/>
  <c r="A30" i="6"/>
  <c r="A32" i="9" s="1"/>
  <c r="C29" i="4"/>
  <c r="C30" i="6" s="1"/>
  <c r="A30" i="4"/>
  <c r="I30" i="4" s="1"/>
  <c r="B29" i="4"/>
  <c r="B30" i="6" s="1"/>
  <c r="G29" i="4"/>
  <c r="G30" i="6" s="1"/>
  <c r="I30" i="6"/>
  <c r="H29" i="4"/>
  <c r="H30" i="6" s="1"/>
  <c r="E29" i="4"/>
  <c r="E30" i="6" s="1"/>
  <c r="F29" i="4"/>
  <c r="F30" i="6" s="1"/>
  <c r="D29" i="4"/>
  <c r="D30" i="6" s="1"/>
  <c r="F31" i="9"/>
  <c r="J31" i="9"/>
  <c r="G31" i="9" l="1"/>
  <c r="N31" i="9" s="1"/>
  <c r="D30" i="9"/>
  <c r="E30" i="9" s="1"/>
  <c r="Q30" i="9" s="1"/>
  <c r="M30" i="9"/>
  <c r="P31" i="9"/>
  <c r="L31" i="9"/>
  <c r="C31" i="9"/>
  <c r="J30" i="6"/>
  <c r="B32" i="9" s="1"/>
  <c r="A31" i="6"/>
  <c r="A33" i="9" s="1"/>
  <c r="A31" i="4"/>
  <c r="I31" i="4" s="1"/>
  <c r="B30" i="4"/>
  <c r="B31" i="6" s="1"/>
  <c r="F30" i="4"/>
  <c r="F31" i="6" s="1"/>
  <c r="I31" i="6"/>
  <c r="H30" i="4"/>
  <c r="H31" i="6" s="1"/>
  <c r="G30" i="4"/>
  <c r="G31" i="6" s="1"/>
  <c r="D30" i="4"/>
  <c r="D31" i="6" s="1"/>
  <c r="C30" i="4"/>
  <c r="C31" i="6" s="1"/>
  <c r="E30" i="4"/>
  <c r="E31" i="6" s="1"/>
  <c r="F32" i="9"/>
  <c r="J32" i="9"/>
  <c r="H31" i="9" l="1"/>
  <c r="I31" i="9" s="1"/>
  <c r="R31" i="9" s="1"/>
  <c r="G32" i="9"/>
  <c r="N32" i="9" s="1"/>
  <c r="D31" i="9"/>
  <c r="E31" i="9" s="1"/>
  <c r="Q31" i="9" s="1"/>
  <c r="M31" i="9"/>
  <c r="P32" i="9"/>
  <c r="L32" i="9"/>
  <c r="C32" i="9"/>
  <c r="J31" i="6"/>
  <c r="B33" i="9" s="1"/>
  <c r="A32" i="6"/>
  <c r="A34" i="9" s="1"/>
  <c r="I32" i="6"/>
  <c r="E31" i="4"/>
  <c r="E32" i="6" s="1"/>
  <c r="H31" i="4"/>
  <c r="H32" i="6" s="1"/>
  <c r="G31" i="4"/>
  <c r="G32" i="6" s="1"/>
  <c r="F31" i="4"/>
  <c r="F32" i="6" s="1"/>
  <c r="C31" i="4"/>
  <c r="C32" i="6" s="1"/>
  <c r="D31" i="4"/>
  <c r="D32" i="6" s="1"/>
  <c r="A32" i="4"/>
  <c r="I32" i="4" s="1"/>
  <c r="B31" i="4"/>
  <c r="B32" i="6" s="1"/>
  <c r="J33" i="9"/>
  <c r="F33" i="9"/>
  <c r="H32" i="9" l="1"/>
  <c r="I32" i="9" s="1"/>
  <c r="R32" i="9" s="1"/>
  <c r="G33" i="9"/>
  <c r="N33" i="9" s="1"/>
  <c r="C33" i="9"/>
  <c r="M33" i="9" s="1"/>
  <c r="D32" i="9"/>
  <c r="E32" i="9" s="1"/>
  <c r="Q32" i="9" s="1"/>
  <c r="M32" i="9"/>
  <c r="H33" i="9"/>
  <c r="I33" i="9" s="1"/>
  <c r="R33" i="9" s="1"/>
  <c r="P33" i="9"/>
  <c r="L33" i="9"/>
  <c r="J32" i="6"/>
  <c r="B34" i="9" s="1"/>
  <c r="A33" i="6"/>
  <c r="A35" i="9" s="1"/>
  <c r="H32" i="4"/>
  <c r="H33" i="6" s="1"/>
  <c r="G32" i="4"/>
  <c r="G33" i="6" s="1"/>
  <c r="D32" i="4"/>
  <c r="D33" i="6" s="1"/>
  <c r="F32" i="4"/>
  <c r="F33" i="6" s="1"/>
  <c r="E32" i="4"/>
  <c r="E33" i="6" s="1"/>
  <c r="A33" i="4"/>
  <c r="I33" i="4" s="1"/>
  <c r="B32" i="4"/>
  <c r="B33" i="6" s="1"/>
  <c r="I33" i="6"/>
  <c r="C32" i="4"/>
  <c r="C33" i="6" s="1"/>
  <c r="J34" i="9"/>
  <c r="F34" i="9"/>
  <c r="G34" i="9" s="1"/>
  <c r="N34" i="9" s="1"/>
  <c r="C34" i="9" l="1"/>
  <c r="M34" i="9" s="1"/>
  <c r="D33" i="9"/>
  <c r="E33" i="9" s="1"/>
  <c r="Q33" i="9" s="1"/>
  <c r="L34" i="9"/>
  <c r="P34" i="9"/>
  <c r="J33" i="6"/>
  <c r="B35" i="9" s="1"/>
  <c r="H34" i="9"/>
  <c r="I34" i="9" s="1"/>
  <c r="R34" i="9" s="1"/>
  <c r="A34" i="6"/>
  <c r="A36" i="9" s="1"/>
  <c r="G33" i="4"/>
  <c r="G34" i="6" s="1"/>
  <c r="C33" i="4"/>
  <c r="C34" i="6" s="1"/>
  <c r="F33" i="4"/>
  <c r="F34" i="6" s="1"/>
  <c r="E33" i="4"/>
  <c r="E34" i="6" s="1"/>
  <c r="D33" i="4"/>
  <c r="D34" i="6" s="1"/>
  <c r="I34" i="6"/>
  <c r="H33" i="4"/>
  <c r="H34" i="6" s="1"/>
  <c r="B33" i="4"/>
  <c r="B34" i="6" s="1"/>
  <c r="A34" i="4"/>
  <c r="I34" i="4" s="1"/>
  <c r="F35" i="9"/>
  <c r="G35" i="9" s="1"/>
  <c r="N35" i="9" s="1"/>
  <c r="J35" i="9"/>
  <c r="C35" i="9" l="1"/>
  <c r="D35" i="9" s="1"/>
  <c r="E35" i="9" s="1"/>
  <c r="Q35" i="9" s="1"/>
  <c r="D34" i="9"/>
  <c r="E34" i="9" s="1"/>
  <c r="Q34" i="9" s="1"/>
  <c r="P35" i="9"/>
  <c r="L35" i="9"/>
  <c r="J34" i="6"/>
  <c r="B36" i="9" s="1"/>
  <c r="H35" i="9"/>
  <c r="I35" i="9" s="1"/>
  <c r="R35" i="9" s="1"/>
  <c r="A35" i="6"/>
  <c r="A37" i="9" s="1"/>
  <c r="F34" i="4"/>
  <c r="F35" i="6" s="1"/>
  <c r="A35" i="4"/>
  <c r="I35" i="4" s="1"/>
  <c r="E34" i="4"/>
  <c r="E35" i="6" s="1"/>
  <c r="B34" i="4"/>
  <c r="B35" i="6" s="1"/>
  <c r="D34" i="4"/>
  <c r="D35" i="6" s="1"/>
  <c r="C34" i="4"/>
  <c r="C35" i="6" s="1"/>
  <c r="H34" i="4"/>
  <c r="H35" i="6" s="1"/>
  <c r="I35" i="6"/>
  <c r="G34" i="4"/>
  <c r="G35" i="6" s="1"/>
  <c r="F36" i="9"/>
  <c r="G36" i="9" s="1"/>
  <c r="N36" i="9" s="1"/>
  <c r="J36" i="9"/>
  <c r="C36" i="9" l="1"/>
  <c r="M36" i="9" s="1"/>
  <c r="M35" i="9"/>
  <c r="P36" i="9"/>
  <c r="L36" i="9"/>
  <c r="J35" i="6"/>
  <c r="B37" i="9" s="1"/>
  <c r="A36" i="6"/>
  <c r="A38" i="9" s="1"/>
  <c r="E35" i="4"/>
  <c r="E36" i="6" s="1"/>
  <c r="D35" i="4"/>
  <c r="D36" i="6" s="1"/>
  <c r="I36" i="6"/>
  <c r="C35" i="4"/>
  <c r="C36" i="6" s="1"/>
  <c r="A36" i="4"/>
  <c r="I36" i="4" s="1"/>
  <c r="B35" i="4"/>
  <c r="B36" i="6" s="1"/>
  <c r="G35" i="4"/>
  <c r="G36" i="6" s="1"/>
  <c r="H35" i="4"/>
  <c r="H36" i="6" s="1"/>
  <c r="F35" i="4"/>
  <c r="F36" i="6" s="1"/>
  <c r="J37" i="9"/>
  <c r="F37" i="9"/>
  <c r="G37" i="9" s="1"/>
  <c r="N37" i="9" s="1"/>
  <c r="H36" i="9"/>
  <c r="I36" i="9" s="1"/>
  <c r="R36" i="9" s="1"/>
  <c r="C37" i="9" l="1"/>
  <c r="M37" i="9" s="1"/>
  <c r="D36" i="9"/>
  <c r="E36" i="9" s="1"/>
  <c r="Q36" i="9" s="1"/>
  <c r="L37" i="9"/>
  <c r="P37" i="9"/>
  <c r="J36" i="6"/>
  <c r="B38" i="9" s="1"/>
  <c r="H37" i="9"/>
  <c r="I37" i="9" s="1"/>
  <c r="R37" i="9" s="1"/>
  <c r="A37" i="6"/>
  <c r="A39" i="9" s="1"/>
  <c r="D36" i="4"/>
  <c r="D37" i="6" s="1"/>
  <c r="H36" i="4"/>
  <c r="H37" i="6" s="1"/>
  <c r="C36" i="4"/>
  <c r="C37" i="6" s="1"/>
  <c r="A37" i="4"/>
  <c r="I37" i="4" s="1"/>
  <c r="B36" i="4"/>
  <c r="B37" i="6" s="1"/>
  <c r="I37" i="6"/>
  <c r="F36" i="4"/>
  <c r="F37" i="6" s="1"/>
  <c r="G36" i="4"/>
  <c r="G37" i="6" s="1"/>
  <c r="E36" i="4"/>
  <c r="E37" i="6" s="1"/>
  <c r="J38" i="9"/>
  <c r="F38" i="9"/>
  <c r="G38" i="9" s="1"/>
  <c r="N38" i="9" s="1"/>
  <c r="D37" i="9" l="1"/>
  <c r="E37" i="9" s="1"/>
  <c r="Q37" i="9" s="1"/>
  <c r="C38" i="9"/>
  <c r="M38" i="9" s="1"/>
  <c r="L38" i="9"/>
  <c r="P38" i="9"/>
  <c r="J37" i="6"/>
  <c r="B39" i="9" s="1"/>
  <c r="H38" i="9"/>
  <c r="I38" i="9" s="1"/>
  <c r="R38" i="9" s="1"/>
  <c r="C37" i="4"/>
  <c r="C38" i="6" s="1"/>
  <c r="A38" i="4"/>
  <c r="I38" i="4" s="1"/>
  <c r="B37" i="4"/>
  <c r="B38" i="6" s="1"/>
  <c r="G37" i="4"/>
  <c r="G38" i="6" s="1"/>
  <c r="I38" i="6"/>
  <c r="A38" i="6"/>
  <c r="A40" i="9" s="1"/>
  <c r="H37" i="4"/>
  <c r="H38" i="6" s="1"/>
  <c r="E37" i="4"/>
  <c r="E38" i="6" s="1"/>
  <c r="D37" i="4"/>
  <c r="D38" i="6" s="1"/>
  <c r="F37" i="4"/>
  <c r="F38" i="6" s="1"/>
  <c r="F39" i="9"/>
  <c r="G39" i="9" s="1"/>
  <c r="N39" i="9" s="1"/>
  <c r="J39" i="9"/>
  <c r="D38" i="9" l="1"/>
  <c r="E38" i="9" s="1"/>
  <c r="Q38" i="9" s="1"/>
  <c r="C39" i="9"/>
  <c r="M39" i="9" s="1"/>
  <c r="P39" i="9"/>
  <c r="L39" i="9"/>
  <c r="J38" i="6"/>
  <c r="B40" i="9" s="1"/>
  <c r="H39" i="9"/>
  <c r="I39" i="9" s="1"/>
  <c r="R39" i="9" s="1"/>
  <c r="F40" i="9"/>
  <c r="G40" i="9" s="1"/>
  <c r="N40" i="9" s="1"/>
  <c r="J40" i="9"/>
  <c r="A39" i="6"/>
  <c r="A41" i="9" s="1"/>
  <c r="A39" i="4"/>
  <c r="I39" i="4" s="1"/>
  <c r="B38" i="4"/>
  <c r="B39" i="6" s="1"/>
  <c r="F38" i="4"/>
  <c r="F39" i="6" s="1"/>
  <c r="I39" i="6"/>
  <c r="H38" i="4"/>
  <c r="H39" i="6" s="1"/>
  <c r="G38" i="4"/>
  <c r="G39" i="6" s="1"/>
  <c r="D38" i="4"/>
  <c r="D39" i="6" s="1"/>
  <c r="E38" i="4"/>
  <c r="E39" i="6" s="1"/>
  <c r="C38" i="4"/>
  <c r="C39" i="6" s="1"/>
  <c r="C40" i="9" l="1"/>
  <c r="M40" i="9" s="1"/>
  <c r="D39" i="9"/>
  <c r="E39" i="9" s="1"/>
  <c r="Q39" i="9" s="1"/>
  <c r="P40" i="9"/>
  <c r="L40" i="9"/>
  <c r="J39" i="6"/>
  <c r="B41" i="9" s="1"/>
  <c r="H40" i="9"/>
  <c r="I40" i="9" s="1"/>
  <c r="R40" i="9" s="1"/>
  <c r="A40" i="6"/>
  <c r="A42" i="9" s="1"/>
  <c r="I40" i="6"/>
  <c r="H39" i="4"/>
  <c r="H40" i="6" s="1"/>
  <c r="E39" i="4"/>
  <c r="E40" i="6" s="1"/>
  <c r="G39" i="4"/>
  <c r="G40" i="6" s="1"/>
  <c r="F39" i="4"/>
  <c r="F40" i="6" s="1"/>
  <c r="C39" i="4"/>
  <c r="C40" i="6" s="1"/>
  <c r="A40" i="4"/>
  <c r="I40" i="4" s="1"/>
  <c r="D39" i="4"/>
  <c r="D40" i="6" s="1"/>
  <c r="B39" i="4"/>
  <c r="B40" i="6" s="1"/>
  <c r="J41" i="9"/>
  <c r="F41" i="9"/>
  <c r="G41" i="9" s="1"/>
  <c r="N41" i="9" s="1"/>
  <c r="C41" i="9" l="1"/>
  <c r="M41" i="9" s="1"/>
  <c r="D40" i="9"/>
  <c r="E40" i="9" s="1"/>
  <c r="Q40" i="9" s="1"/>
  <c r="P41" i="9"/>
  <c r="L41" i="9"/>
  <c r="J40" i="6"/>
  <c r="B42" i="9" s="1"/>
  <c r="H41" i="9"/>
  <c r="I41" i="9" s="1"/>
  <c r="R41" i="9" s="1"/>
  <c r="F42" i="9"/>
  <c r="G42" i="9" s="1"/>
  <c r="N42" i="9" s="1"/>
  <c r="J42" i="9"/>
  <c r="A41" i="6"/>
  <c r="A43" i="9" s="1"/>
  <c r="H40" i="4"/>
  <c r="H41" i="6" s="1"/>
  <c r="G40" i="4"/>
  <c r="G41" i="6" s="1"/>
  <c r="F40" i="4"/>
  <c r="F41" i="6" s="1"/>
  <c r="E40" i="4"/>
  <c r="E41" i="6" s="1"/>
  <c r="A41" i="4"/>
  <c r="I41" i="4" s="1"/>
  <c r="B40" i="4"/>
  <c r="B41" i="6" s="1"/>
  <c r="D40" i="4"/>
  <c r="D41" i="6" s="1"/>
  <c r="C40" i="4"/>
  <c r="C41" i="6" s="1"/>
  <c r="I41" i="6"/>
  <c r="D41" i="9" l="1"/>
  <c r="E41" i="9" s="1"/>
  <c r="Q41" i="9" s="1"/>
  <c r="C42" i="9"/>
  <c r="M42" i="9" s="1"/>
  <c r="L42" i="9"/>
  <c r="P42" i="9"/>
  <c r="J41" i="6"/>
  <c r="B43" i="9" s="1"/>
  <c r="H42" i="9"/>
  <c r="I42" i="9" s="1"/>
  <c r="R42" i="9" s="1"/>
  <c r="J43" i="9"/>
  <c r="F43" i="9"/>
  <c r="G43" i="9" s="1"/>
  <c r="N43" i="9" s="1"/>
  <c r="A42" i="6"/>
  <c r="A44" i="9" s="1"/>
  <c r="G41" i="4"/>
  <c r="G42" i="6" s="1"/>
  <c r="C41" i="4"/>
  <c r="C42" i="6" s="1"/>
  <c r="F41" i="4"/>
  <c r="F42" i="6" s="1"/>
  <c r="E41" i="4"/>
  <c r="E42" i="6" s="1"/>
  <c r="D41" i="4"/>
  <c r="D42" i="6" s="1"/>
  <c r="I42" i="6"/>
  <c r="A42" i="4"/>
  <c r="I42" i="4" s="1"/>
  <c r="H41" i="4"/>
  <c r="H42" i="6" s="1"/>
  <c r="B41" i="4"/>
  <c r="B42" i="6" s="1"/>
  <c r="C43" i="9" l="1"/>
  <c r="M43" i="9" s="1"/>
  <c r="D42" i="9"/>
  <c r="E42" i="9" s="1"/>
  <c r="Q42" i="9" s="1"/>
  <c r="P43" i="9"/>
  <c r="L43" i="9"/>
  <c r="J42" i="6"/>
  <c r="B44" i="9" s="1"/>
  <c r="H43" i="9"/>
  <c r="I43" i="9" s="1"/>
  <c r="R43" i="9" s="1"/>
  <c r="J44" i="9"/>
  <c r="F44" i="9"/>
  <c r="G44" i="9" s="1"/>
  <c r="A43" i="6"/>
  <c r="A45" i="9" s="1"/>
  <c r="F42" i="4"/>
  <c r="F43" i="6" s="1"/>
  <c r="E42" i="4"/>
  <c r="E43" i="6" s="1"/>
  <c r="A43" i="4"/>
  <c r="I43" i="4" s="1"/>
  <c r="B42" i="4"/>
  <c r="B43" i="6" s="1"/>
  <c r="D42" i="4"/>
  <c r="D43" i="6" s="1"/>
  <c r="C42" i="4"/>
  <c r="C43" i="6" s="1"/>
  <c r="H42" i="4"/>
  <c r="H43" i="6" s="1"/>
  <c r="G42" i="4"/>
  <c r="G43" i="6" s="1"/>
  <c r="I43" i="6"/>
  <c r="D43" i="9" l="1"/>
  <c r="E43" i="9" s="1"/>
  <c r="Q43" i="9" s="1"/>
  <c r="C44" i="9"/>
  <c r="M44" i="9" s="1"/>
  <c r="P44" i="9"/>
  <c r="L44" i="9"/>
  <c r="H44" i="9"/>
  <c r="I44" i="9" s="1"/>
  <c r="R44" i="9" s="1"/>
  <c r="N44" i="9"/>
  <c r="J43" i="6"/>
  <c r="B45" i="9" s="1"/>
  <c r="C45" i="9" s="1"/>
  <c r="M45" i="9" s="1"/>
  <c r="A44" i="6"/>
  <c r="A46" i="9" s="1"/>
  <c r="E43" i="4"/>
  <c r="E44" i="6" s="1"/>
  <c r="I44" i="6"/>
  <c r="D43" i="4"/>
  <c r="D44" i="6" s="1"/>
  <c r="C43" i="4"/>
  <c r="C44" i="6" s="1"/>
  <c r="A44" i="4"/>
  <c r="I44" i="4" s="1"/>
  <c r="B43" i="4"/>
  <c r="B44" i="6" s="1"/>
  <c r="G43" i="4"/>
  <c r="G44" i="6" s="1"/>
  <c r="H43" i="4"/>
  <c r="H44" i="6" s="1"/>
  <c r="F43" i="4"/>
  <c r="F44" i="6" s="1"/>
  <c r="J45" i="9"/>
  <c r="F45" i="9"/>
  <c r="G45" i="9" s="1"/>
  <c r="N45" i="9" s="1"/>
  <c r="D44" i="9" l="1"/>
  <c r="E44" i="9" s="1"/>
  <c r="Q44" i="9" s="1"/>
  <c r="L45" i="9"/>
  <c r="P45" i="9"/>
  <c r="D45" i="9"/>
  <c r="E45" i="9" s="1"/>
  <c r="Q45" i="9" s="1"/>
  <c r="J44" i="6"/>
  <c r="B46" i="9" s="1"/>
  <c r="C46" i="9" s="1"/>
  <c r="M46" i="9" s="1"/>
  <c r="H45" i="9"/>
  <c r="I45" i="9" s="1"/>
  <c r="R45" i="9" s="1"/>
  <c r="A45" i="6"/>
  <c r="A47" i="9" s="1"/>
  <c r="D44" i="4"/>
  <c r="D45" i="6" s="1"/>
  <c r="C44" i="4"/>
  <c r="C45" i="6" s="1"/>
  <c r="H44" i="4"/>
  <c r="H45" i="6" s="1"/>
  <c r="A45" i="4"/>
  <c r="I45" i="4" s="1"/>
  <c r="B44" i="4"/>
  <c r="B45" i="6" s="1"/>
  <c r="I45" i="6"/>
  <c r="F44" i="4"/>
  <c r="F45" i="6" s="1"/>
  <c r="E44" i="4"/>
  <c r="E45" i="6" s="1"/>
  <c r="G44" i="4"/>
  <c r="G45" i="6" s="1"/>
  <c r="F46" i="9"/>
  <c r="G46" i="9" s="1"/>
  <c r="N46" i="9" s="1"/>
  <c r="J46" i="9"/>
  <c r="L46" i="9" l="1"/>
  <c r="P46" i="9"/>
  <c r="D46" i="9"/>
  <c r="E46" i="9" s="1"/>
  <c r="Q46" i="9" s="1"/>
  <c r="J45" i="6"/>
  <c r="B47" i="9" s="1"/>
  <c r="C47" i="9" s="1"/>
  <c r="H46" i="9"/>
  <c r="I46" i="9" s="1"/>
  <c r="R46" i="9" s="1"/>
  <c r="A46" i="6"/>
  <c r="A48" i="9" s="1"/>
  <c r="C45" i="4"/>
  <c r="C46" i="6" s="1"/>
  <c r="G45" i="4"/>
  <c r="G46" i="6" s="1"/>
  <c r="A46" i="4"/>
  <c r="I46" i="4" s="1"/>
  <c r="B45" i="4"/>
  <c r="B46" i="6" s="1"/>
  <c r="I46" i="6"/>
  <c r="H45" i="4"/>
  <c r="H46" i="6" s="1"/>
  <c r="E45" i="4"/>
  <c r="E46" i="6" s="1"/>
  <c r="D45" i="4"/>
  <c r="D46" i="6" s="1"/>
  <c r="F45" i="4"/>
  <c r="F46" i="6" s="1"/>
  <c r="F47" i="9"/>
  <c r="G47" i="9" s="1"/>
  <c r="N47" i="9" s="1"/>
  <c r="J47" i="9"/>
  <c r="D47" i="9" l="1"/>
  <c r="E47" i="9" s="1"/>
  <c r="Q47" i="9" s="1"/>
  <c r="M47" i="9"/>
  <c r="P47" i="9"/>
  <c r="L47" i="9"/>
  <c r="J46" i="6"/>
  <c r="B48" i="9" s="1"/>
  <c r="C48" i="9" s="1"/>
  <c r="M48" i="9" s="1"/>
  <c r="H47" i="9"/>
  <c r="I47" i="9" s="1"/>
  <c r="R47" i="9" s="1"/>
  <c r="A47" i="6"/>
  <c r="A49" i="9" s="1"/>
  <c r="A47" i="4"/>
  <c r="I47" i="4" s="1"/>
  <c r="B46" i="4"/>
  <c r="B47" i="6" s="1"/>
  <c r="I47" i="6"/>
  <c r="F46" i="4"/>
  <c r="F47" i="6" s="1"/>
  <c r="H46" i="4"/>
  <c r="H47" i="6" s="1"/>
  <c r="G46" i="4"/>
  <c r="G47" i="6" s="1"/>
  <c r="D46" i="4"/>
  <c r="D47" i="6" s="1"/>
  <c r="E46" i="4"/>
  <c r="E47" i="6" s="1"/>
  <c r="C46" i="4"/>
  <c r="C47" i="6" s="1"/>
  <c r="J48" i="9"/>
  <c r="F48" i="9"/>
  <c r="G48" i="9" s="1"/>
  <c r="N48" i="9" s="1"/>
  <c r="P48" i="9" l="1"/>
  <c r="L48" i="9"/>
  <c r="J47" i="6"/>
  <c r="B49" i="9" s="1"/>
  <c r="C49" i="9" s="1"/>
  <c r="D48" i="9"/>
  <c r="E48" i="9" s="1"/>
  <c r="Q48" i="9" s="1"/>
  <c r="H48" i="9"/>
  <c r="I48" i="9" s="1"/>
  <c r="R48" i="9" s="1"/>
  <c r="A48" i="6"/>
  <c r="A50" i="9" s="1"/>
  <c r="I48" i="6"/>
  <c r="E47" i="4"/>
  <c r="E48" i="6" s="1"/>
  <c r="H47" i="4"/>
  <c r="H48" i="6" s="1"/>
  <c r="G47" i="4"/>
  <c r="G48" i="6" s="1"/>
  <c r="F47" i="4"/>
  <c r="F48" i="6" s="1"/>
  <c r="C47" i="4"/>
  <c r="C48" i="6" s="1"/>
  <c r="D47" i="4"/>
  <c r="D48" i="6" s="1"/>
  <c r="B47" i="4"/>
  <c r="B48" i="6" s="1"/>
  <c r="A48" i="4"/>
  <c r="I48" i="4" s="1"/>
  <c r="J49" i="9"/>
  <c r="F49" i="9"/>
  <c r="G49" i="9" s="1"/>
  <c r="N49" i="9" s="1"/>
  <c r="P49" i="9" l="1"/>
  <c r="L49" i="9"/>
  <c r="D49" i="9"/>
  <c r="E49" i="9" s="1"/>
  <c r="Q49" i="9" s="1"/>
  <c r="M49" i="9"/>
  <c r="J48" i="6"/>
  <c r="B50" i="9" s="1"/>
  <c r="C50" i="9" s="1"/>
  <c r="M50" i="9" s="1"/>
  <c r="H49" i="9"/>
  <c r="I49" i="9" s="1"/>
  <c r="R49" i="9" s="1"/>
  <c r="A49" i="6"/>
  <c r="A51" i="9" s="1"/>
  <c r="A49" i="4"/>
  <c r="I49" i="4" s="1"/>
  <c r="B48" i="4"/>
  <c r="B49" i="6" s="1"/>
  <c r="I49" i="6"/>
  <c r="H48" i="4"/>
  <c r="H49" i="6" s="1"/>
  <c r="E48" i="4"/>
  <c r="E49" i="6" s="1"/>
  <c r="G48" i="4"/>
  <c r="G49" i="6" s="1"/>
  <c r="F48" i="4"/>
  <c r="F49" i="6" s="1"/>
  <c r="C48" i="4"/>
  <c r="C49" i="6" s="1"/>
  <c r="D48" i="4"/>
  <c r="D49" i="6" s="1"/>
  <c r="F50" i="9"/>
  <c r="G50" i="9" s="1"/>
  <c r="N50" i="9" s="1"/>
  <c r="J50" i="9"/>
  <c r="L50" i="9" l="1"/>
  <c r="P50" i="9"/>
  <c r="D50" i="9"/>
  <c r="E50" i="9" s="1"/>
  <c r="Q50" i="9" s="1"/>
  <c r="J49" i="6"/>
  <c r="B51" i="9" s="1"/>
  <c r="C51" i="9" s="1"/>
  <c r="M51" i="9" s="1"/>
  <c r="H50" i="9"/>
  <c r="I50" i="9" s="1"/>
  <c r="R50" i="9" s="1"/>
  <c r="I50" i="6"/>
  <c r="A50" i="6"/>
  <c r="A52" i="9" s="1"/>
  <c r="A50" i="4"/>
  <c r="I50" i="4" s="1"/>
  <c r="E49" i="4"/>
  <c r="E50" i="6" s="1"/>
  <c r="H49" i="4"/>
  <c r="H50" i="6" s="1"/>
  <c r="G49" i="4"/>
  <c r="G50" i="6" s="1"/>
  <c r="F49" i="4"/>
  <c r="F50" i="6" s="1"/>
  <c r="C49" i="4"/>
  <c r="C50" i="6" s="1"/>
  <c r="B49" i="4"/>
  <c r="B50" i="6" s="1"/>
  <c r="D49" i="4"/>
  <c r="D50" i="6" s="1"/>
  <c r="J51" i="9"/>
  <c r="F51" i="9"/>
  <c r="G51" i="9" s="1"/>
  <c r="N51" i="9" s="1"/>
  <c r="P51" i="9" l="1"/>
  <c r="L51" i="9"/>
  <c r="J50" i="6"/>
  <c r="B52" i="9" s="1"/>
  <c r="C52" i="9" s="1"/>
  <c r="M52" i="9" s="1"/>
  <c r="D51" i="9"/>
  <c r="E51" i="9" s="1"/>
  <c r="Q51" i="9" s="1"/>
  <c r="H51" i="9"/>
  <c r="I51" i="9" s="1"/>
  <c r="R51" i="9" s="1"/>
  <c r="A51" i="6"/>
  <c r="A53" i="9" s="1"/>
  <c r="H50" i="4"/>
  <c r="H51" i="6" s="1"/>
  <c r="A51" i="4"/>
  <c r="I51" i="4" s="1"/>
  <c r="I51" i="6"/>
  <c r="E50" i="4"/>
  <c r="E51" i="6" s="1"/>
  <c r="G50" i="4"/>
  <c r="G51" i="6" s="1"/>
  <c r="F50" i="4"/>
  <c r="F51" i="6" s="1"/>
  <c r="C50" i="4"/>
  <c r="C51" i="6" s="1"/>
  <c r="B50" i="4"/>
  <c r="B51" i="6" s="1"/>
  <c r="D50" i="4"/>
  <c r="D51" i="6" s="1"/>
  <c r="J52" i="9"/>
  <c r="F52" i="9"/>
  <c r="G52" i="9" s="1"/>
  <c r="P52" i="9" l="1"/>
  <c r="L52" i="9"/>
  <c r="H52" i="9"/>
  <c r="I52" i="9" s="1"/>
  <c r="R52" i="9" s="1"/>
  <c r="N52" i="9"/>
  <c r="J51" i="6"/>
  <c r="B53" i="9" s="1"/>
  <c r="C53" i="9" s="1"/>
  <c r="D52" i="9"/>
  <c r="E52" i="9" s="1"/>
  <c r="Q52" i="9" s="1"/>
  <c r="A52" i="6"/>
  <c r="A54" i="9" s="1"/>
  <c r="G51" i="4"/>
  <c r="G52" i="6" s="1"/>
  <c r="A52" i="4"/>
  <c r="I52" i="4" s="1"/>
  <c r="E51" i="4"/>
  <c r="E52" i="6" s="1"/>
  <c r="I52" i="6"/>
  <c r="H51" i="4"/>
  <c r="H52" i="6" s="1"/>
  <c r="F51" i="4"/>
  <c r="F52" i="6" s="1"/>
  <c r="C51" i="4"/>
  <c r="C52" i="6" s="1"/>
  <c r="D51" i="4"/>
  <c r="D52" i="6" s="1"/>
  <c r="B51" i="4"/>
  <c r="B52" i="6" s="1"/>
  <c r="J53" i="9"/>
  <c r="F53" i="9"/>
  <c r="G53" i="9" s="1"/>
  <c r="N53" i="9" s="1"/>
  <c r="D53" i="9" l="1"/>
  <c r="E53" i="9" s="1"/>
  <c r="Q53" i="9" s="1"/>
  <c r="M53" i="9"/>
  <c r="L53" i="9"/>
  <c r="P53" i="9"/>
  <c r="J52" i="6"/>
  <c r="B54" i="9" s="1"/>
  <c r="C54" i="9" s="1"/>
  <c r="H53" i="9"/>
  <c r="I53" i="9" s="1"/>
  <c r="R53" i="9" s="1"/>
  <c r="A53" i="6"/>
  <c r="A55" i="9" s="1"/>
  <c r="F52" i="4"/>
  <c r="F53" i="6" s="1"/>
  <c r="A53" i="4"/>
  <c r="I53" i="4" s="1"/>
  <c r="I53" i="6"/>
  <c r="E52" i="4"/>
  <c r="E53" i="6" s="1"/>
  <c r="H52" i="4"/>
  <c r="H53" i="6" s="1"/>
  <c r="G52" i="4"/>
  <c r="G53" i="6" s="1"/>
  <c r="C52" i="4"/>
  <c r="C53" i="6" s="1"/>
  <c r="B52" i="4"/>
  <c r="B53" i="6" s="1"/>
  <c r="D52" i="4"/>
  <c r="D53" i="6" s="1"/>
  <c r="F54" i="9"/>
  <c r="G54" i="9" s="1"/>
  <c r="J54" i="9"/>
  <c r="D54" i="9" l="1"/>
  <c r="E54" i="9" s="1"/>
  <c r="Q54" i="9" s="1"/>
  <c r="M54" i="9"/>
  <c r="L54" i="9"/>
  <c r="P54" i="9"/>
  <c r="H54" i="9"/>
  <c r="I54" i="9" s="1"/>
  <c r="R54" i="9" s="1"/>
  <c r="N54" i="9"/>
  <c r="J53" i="6"/>
  <c r="B55" i="9" s="1"/>
  <c r="C55" i="9" s="1"/>
  <c r="M55" i="9" s="1"/>
  <c r="A54" i="6"/>
  <c r="A56" i="9" s="1"/>
  <c r="E53" i="4"/>
  <c r="E54" i="6" s="1"/>
  <c r="A54" i="4"/>
  <c r="I54" i="4" s="1"/>
  <c r="I54" i="6"/>
  <c r="F53" i="4"/>
  <c r="F54" i="6" s="1"/>
  <c r="H53" i="4"/>
  <c r="H54" i="6" s="1"/>
  <c r="G53" i="4"/>
  <c r="G54" i="6" s="1"/>
  <c r="C53" i="4"/>
  <c r="C54" i="6" s="1"/>
  <c r="D53" i="4"/>
  <c r="D54" i="6" s="1"/>
  <c r="B53" i="4"/>
  <c r="B54" i="6" s="1"/>
  <c r="F55" i="9"/>
  <c r="G55" i="9" s="1"/>
  <c r="N55" i="9" s="1"/>
  <c r="J55" i="9"/>
  <c r="P55" i="9" l="1"/>
  <c r="L55" i="9"/>
  <c r="J54" i="6"/>
  <c r="B56" i="9" s="1"/>
  <c r="C56" i="9" s="1"/>
  <c r="M56" i="9" s="1"/>
  <c r="D55" i="9"/>
  <c r="E55" i="9" s="1"/>
  <c r="Q55" i="9" s="1"/>
  <c r="H55" i="9"/>
  <c r="I55" i="9" s="1"/>
  <c r="R55" i="9" s="1"/>
  <c r="A55" i="6"/>
  <c r="A57" i="9" s="1"/>
  <c r="D54" i="4"/>
  <c r="D55" i="6" s="1"/>
  <c r="A55" i="4"/>
  <c r="I55" i="4" s="1"/>
  <c r="F54" i="4"/>
  <c r="F55" i="6" s="1"/>
  <c r="I55" i="6"/>
  <c r="H54" i="4"/>
  <c r="H55" i="6" s="1"/>
  <c r="G54" i="4"/>
  <c r="G55" i="6" s="1"/>
  <c r="C54" i="4"/>
  <c r="C55" i="6" s="1"/>
  <c r="E54" i="4"/>
  <c r="E55" i="6" s="1"/>
  <c r="B54" i="4"/>
  <c r="B55" i="6" s="1"/>
  <c r="J56" i="9"/>
  <c r="F56" i="9"/>
  <c r="G56" i="9" s="1"/>
  <c r="P56" i="9" l="1"/>
  <c r="L56" i="9"/>
  <c r="H56" i="9"/>
  <c r="I56" i="9" s="1"/>
  <c r="R56" i="9" s="1"/>
  <c r="N56" i="9"/>
  <c r="D56" i="9"/>
  <c r="E56" i="9" s="1"/>
  <c r="Q56" i="9" s="1"/>
  <c r="J55" i="6"/>
  <c r="B57" i="9" s="1"/>
  <c r="C57" i="9" s="1"/>
  <c r="M57" i="9" s="1"/>
  <c r="A56" i="6"/>
  <c r="A58" i="9" s="1"/>
  <c r="C55" i="4"/>
  <c r="C56" i="6" s="1"/>
  <c r="A56" i="4"/>
  <c r="I56" i="4" s="1"/>
  <c r="I56" i="6"/>
  <c r="F55" i="4"/>
  <c r="F56" i="6" s="1"/>
  <c r="H55" i="4"/>
  <c r="H56" i="6" s="1"/>
  <c r="G55" i="4"/>
  <c r="G56" i="6" s="1"/>
  <c r="D55" i="4"/>
  <c r="D56" i="6" s="1"/>
  <c r="E55" i="4"/>
  <c r="E56" i="6" s="1"/>
  <c r="B55" i="4"/>
  <c r="B56" i="6" s="1"/>
  <c r="F57" i="9"/>
  <c r="G57" i="9" s="1"/>
  <c r="N57" i="9" s="1"/>
  <c r="J57" i="9"/>
  <c r="L57" i="9" l="1"/>
  <c r="P57" i="9"/>
  <c r="J56" i="6"/>
  <c r="B58" i="9" s="1"/>
  <c r="C58" i="9" s="1"/>
  <c r="D57" i="9"/>
  <c r="E57" i="9" s="1"/>
  <c r="Q57" i="9" s="1"/>
  <c r="H57" i="9"/>
  <c r="I57" i="9" s="1"/>
  <c r="R57" i="9" s="1"/>
  <c r="A57" i="6"/>
  <c r="A59" i="9" s="1"/>
  <c r="A57" i="4"/>
  <c r="I57" i="4" s="1"/>
  <c r="B56" i="4"/>
  <c r="B57" i="6" s="1"/>
  <c r="F56" i="4"/>
  <c r="F57" i="6" s="1"/>
  <c r="I57" i="6"/>
  <c r="H56" i="4"/>
  <c r="H57" i="6" s="1"/>
  <c r="G56" i="4"/>
  <c r="G57" i="6" s="1"/>
  <c r="D56" i="4"/>
  <c r="D57" i="6" s="1"/>
  <c r="E56" i="4"/>
  <c r="E57" i="6" s="1"/>
  <c r="C56" i="4"/>
  <c r="C57" i="6" s="1"/>
  <c r="F58" i="9"/>
  <c r="G58" i="9" s="1"/>
  <c r="N58" i="9" s="1"/>
  <c r="J58" i="9"/>
  <c r="D58" i="9" l="1"/>
  <c r="E58" i="9" s="1"/>
  <c r="Q58" i="9" s="1"/>
  <c r="M58" i="9"/>
  <c r="L58" i="9"/>
  <c r="P58" i="9"/>
  <c r="J57" i="6"/>
  <c r="B59" i="9" s="1"/>
  <c r="C59" i="9" s="1"/>
  <c r="M59" i="9" s="1"/>
  <c r="H58" i="9"/>
  <c r="I58" i="9" s="1"/>
  <c r="R58" i="9" s="1"/>
  <c r="I58" i="6"/>
  <c r="A58" i="6"/>
  <c r="A60" i="9" s="1"/>
  <c r="B57" i="4"/>
  <c r="B58" i="6" s="1"/>
  <c r="A58" i="4"/>
  <c r="I58" i="4" s="1"/>
  <c r="F57" i="4"/>
  <c r="F58" i="6" s="1"/>
  <c r="H57" i="4"/>
  <c r="H58" i="6" s="1"/>
  <c r="G57" i="4"/>
  <c r="G58" i="6" s="1"/>
  <c r="D57" i="4"/>
  <c r="D58" i="6" s="1"/>
  <c r="E57" i="4"/>
  <c r="E58" i="6" s="1"/>
  <c r="C57" i="4"/>
  <c r="C58" i="6" s="1"/>
  <c r="F59" i="9"/>
  <c r="G59" i="9" s="1"/>
  <c r="N59" i="9" s="1"/>
  <c r="J59" i="9"/>
  <c r="P59" i="9" l="1"/>
  <c r="L59" i="9"/>
  <c r="J58" i="6"/>
  <c r="B60" i="9" s="1"/>
  <c r="C60" i="9" s="1"/>
  <c r="M60" i="9" s="1"/>
  <c r="D59" i="9"/>
  <c r="E59" i="9" s="1"/>
  <c r="Q59" i="9" s="1"/>
  <c r="H59" i="9"/>
  <c r="I59" i="9" s="1"/>
  <c r="R59" i="9" s="1"/>
  <c r="A59" i="6"/>
  <c r="A61" i="9" s="1"/>
  <c r="H58" i="4"/>
  <c r="H59" i="6" s="1"/>
  <c r="B58" i="4"/>
  <c r="B59" i="6" s="1"/>
  <c r="F58" i="4"/>
  <c r="F59" i="6" s="1"/>
  <c r="A59" i="4"/>
  <c r="I59" i="4" s="1"/>
  <c r="I59" i="6"/>
  <c r="G58" i="4"/>
  <c r="G59" i="6" s="1"/>
  <c r="D58" i="4"/>
  <c r="D59" i="6" s="1"/>
  <c r="C58" i="4"/>
  <c r="C59" i="6" s="1"/>
  <c r="E58" i="4"/>
  <c r="E59" i="6" s="1"/>
  <c r="J60" i="9"/>
  <c r="F60" i="9"/>
  <c r="G60" i="9" s="1"/>
  <c r="N60" i="9" s="1"/>
  <c r="P60" i="9" l="1"/>
  <c r="L60" i="9"/>
  <c r="D60" i="9"/>
  <c r="E60" i="9" s="1"/>
  <c r="Q60" i="9" s="1"/>
  <c r="J59" i="6"/>
  <c r="B61" i="9" s="1"/>
  <c r="C61" i="9" s="1"/>
  <c r="M61" i="9" s="1"/>
  <c r="H60" i="9"/>
  <c r="I60" i="9" s="1"/>
  <c r="R60" i="9" s="1"/>
  <c r="A60" i="6"/>
  <c r="A62" i="9" s="1"/>
  <c r="G59" i="4"/>
  <c r="G60" i="6" s="1"/>
  <c r="B59" i="4"/>
  <c r="B60" i="6" s="1"/>
  <c r="A60" i="4"/>
  <c r="I60" i="4" s="1"/>
  <c r="F59" i="4"/>
  <c r="F60" i="6" s="1"/>
  <c r="I60" i="6"/>
  <c r="H59" i="4"/>
  <c r="H60" i="6" s="1"/>
  <c r="D59" i="4"/>
  <c r="D60" i="6" s="1"/>
  <c r="E59" i="4"/>
  <c r="E60" i="6" s="1"/>
  <c r="C59" i="4"/>
  <c r="C60" i="6" s="1"/>
  <c r="J61" i="9"/>
  <c r="F61" i="9"/>
  <c r="G61" i="9" s="1"/>
  <c r="N61" i="9" s="1"/>
  <c r="L61" i="9" l="1"/>
  <c r="P61" i="9"/>
  <c r="J60" i="6"/>
  <c r="B62" i="9" s="1"/>
  <c r="C62" i="9" s="1"/>
  <c r="M62" i="9" s="1"/>
  <c r="D61" i="9"/>
  <c r="E61" i="9" s="1"/>
  <c r="Q61" i="9" s="1"/>
  <c r="H61" i="9"/>
  <c r="I61" i="9" s="1"/>
  <c r="R61" i="9" s="1"/>
  <c r="A61" i="6"/>
  <c r="A63" i="9" s="1"/>
  <c r="F60" i="4"/>
  <c r="F61" i="6" s="1"/>
  <c r="B60" i="4"/>
  <c r="B61" i="6" s="1"/>
  <c r="G60" i="4"/>
  <c r="G61" i="6" s="1"/>
  <c r="A61" i="4"/>
  <c r="I61" i="4" s="1"/>
  <c r="I61" i="6"/>
  <c r="H60" i="4"/>
  <c r="H61" i="6" s="1"/>
  <c r="D60" i="4"/>
  <c r="D61" i="6" s="1"/>
  <c r="C60" i="4"/>
  <c r="C61" i="6" s="1"/>
  <c r="E60" i="4"/>
  <c r="E61" i="6" s="1"/>
  <c r="F62" i="9"/>
  <c r="G62" i="9" s="1"/>
  <c r="N62" i="9" s="1"/>
  <c r="J62" i="9"/>
  <c r="L62" i="9" l="1"/>
  <c r="P62" i="9"/>
  <c r="D62" i="9"/>
  <c r="E62" i="9" s="1"/>
  <c r="Q62" i="9" s="1"/>
  <c r="J61" i="6"/>
  <c r="B63" i="9" s="1"/>
  <c r="C63" i="9" s="1"/>
  <c r="M63" i="9" s="1"/>
  <c r="A62" i="6"/>
  <c r="A64" i="9" s="1"/>
  <c r="E61" i="4"/>
  <c r="E62" i="6" s="1"/>
  <c r="B61" i="4"/>
  <c r="B62" i="6" s="1"/>
  <c r="A62" i="4"/>
  <c r="I62" i="4" s="1"/>
  <c r="G61" i="4"/>
  <c r="G62" i="6" s="1"/>
  <c r="I62" i="6"/>
  <c r="H61" i="4"/>
  <c r="H62" i="6" s="1"/>
  <c r="D61" i="4"/>
  <c r="D62" i="6" s="1"/>
  <c r="C61" i="4"/>
  <c r="C62" i="6" s="1"/>
  <c r="F61" i="4"/>
  <c r="F62" i="6" s="1"/>
  <c r="H62" i="9"/>
  <c r="I62" i="9" s="1"/>
  <c r="R62" i="9" s="1"/>
  <c r="J63" i="9"/>
  <c r="F63" i="9"/>
  <c r="G63" i="9" s="1"/>
  <c r="N63" i="9" s="1"/>
  <c r="P63" i="9" l="1"/>
  <c r="L63" i="9"/>
  <c r="J62" i="6"/>
  <c r="B64" i="9" s="1"/>
  <c r="C64" i="9" s="1"/>
  <c r="M64" i="9" s="1"/>
  <c r="D63" i="9"/>
  <c r="E63" i="9" s="1"/>
  <c r="Q63" i="9" s="1"/>
  <c r="H63" i="9"/>
  <c r="I63" i="9" s="1"/>
  <c r="R63" i="9" s="1"/>
  <c r="A63" i="6"/>
  <c r="A65" i="9" s="1"/>
  <c r="D62" i="4"/>
  <c r="D63" i="6" s="1"/>
  <c r="B62" i="4"/>
  <c r="B63" i="6" s="1"/>
  <c r="G62" i="4"/>
  <c r="G63" i="6" s="1"/>
  <c r="A63" i="4"/>
  <c r="I63" i="4" s="1"/>
  <c r="I63" i="6"/>
  <c r="H62" i="4"/>
  <c r="H63" i="6" s="1"/>
  <c r="E62" i="4"/>
  <c r="E63" i="6" s="1"/>
  <c r="F62" i="4"/>
  <c r="F63" i="6" s="1"/>
  <c r="C62" i="4"/>
  <c r="C63" i="6" s="1"/>
  <c r="J64" i="9"/>
  <c r="F64" i="9"/>
  <c r="G64" i="9" s="1"/>
  <c r="H64" i="9" l="1"/>
  <c r="I64" i="9" s="1"/>
  <c r="R64" i="9" s="1"/>
  <c r="N64" i="9"/>
  <c r="P64" i="9"/>
  <c r="L64" i="9"/>
  <c r="D64" i="9"/>
  <c r="E64" i="9" s="1"/>
  <c r="Q64" i="9" s="1"/>
  <c r="J63" i="6"/>
  <c r="B65" i="9" s="1"/>
  <c r="C65" i="9" s="1"/>
  <c r="M65" i="9" s="1"/>
  <c r="A64" i="6"/>
  <c r="A66" i="9" s="1"/>
  <c r="C63" i="4"/>
  <c r="C64" i="6" s="1"/>
  <c r="B63" i="4"/>
  <c r="B64" i="6" s="1"/>
  <c r="G63" i="4"/>
  <c r="G64" i="6" s="1"/>
  <c r="A64" i="4"/>
  <c r="I64" i="4" s="1"/>
  <c r="I64" i="6"/>
  <c r="H63" i="4"/>
  <c r="H64" i="6" s="1"/>
  <c r="E63" i="4"/>
  <c r="E64" i="6" s="1"/>
  <c r="F63" i="4"/>
  <c r="F64" i="6" s="1"/>
  <c r="D63" i="4"/>
  <c r="D64" i="6" s="1"/>
  <c r="J65" i="9"/>
  <c r="F65" i="9"/>
  <c r="G65" i="9" s="1"/>
  <c r="N65" i="9" s="1"/>
  <c r="L65" i="9" l="1"/>
  <c r="P65" i="9"/>
  <c r="J64" i="6"/>
  <c r="B66" i="9" s="1"/>
  <c r="C66" i="9" s="1"/>
  <c r="M66" i="9" s="1"/>
  <c r="D65" i="9"/>
  <c r="E65" i="9" s="1"/>
  <c r="Q65" i="9" s="1"/>
  <c r="H65" i="9"/>
  <c r="I65" i="9" s="1"/>
  <c r="R65" i="9" s="1"/>
  <c r="A65" i="6"/>
  <c r="A67" i="9" s="1"/>
  <c r="A65" i="4"/>
  <c r="I65" i="4" s="1"/>
  <c r="B64" i="4"/>
  <c r="B65" i="6" s="1"/>
  <c r="C64" i="4"/>
  <c r="C65" i="6" s="1"/>
  <c r="G64" i="4"/>
  <c r="G65" i="6" s="1"/>
  <c r="I65" i="6"/>
  <c r="H64" i="4"/>
  <c r="H65" i="6" s="1"/>
  <c r="E64" i="4"/>
  <c r="E65" i="6" s="1"/>
  <c r="F64" i="4"/>
  <c r="F65" i="6" s="1"/>
  <c r="D64" i="4"/>
  <c r="D65" i="6" s="1"/>
  <c r="F66" i="9"/>
  <c r="G66" i="9" s="1"/>
  <c r="N66" i="9" s="1"/>
  <c r="J66" i="9"/>
  <c r="L66" i="9" l="1"/>
  <c r="P66" i="9"/>
  <c r="D66" i="9"/>
  <c r="E66" i="9" s="1"/>
  <c r="Q66" i="9" s="1"/>
  <c r="J65" i="6"/>
  <c r="B67" i="9" s="1"/>
  <c r="C67" i="9" s="1"/>
  <c r="H66" i="9"/>
  <c r="I66" i="9" s="1"/>
  <c r="R66" i="9" s="1"/>
  <c r="A66" i="6"/>
  <c r="A68" i="9" s="1"/>
  <c r="I66" i="6"/>
  <c r="C65" i="4"/>
  <c r="C66" i="6" s="1"/>
  <c r="G65" i="4"/>
  <c r="G66" i="6" s="1"/>
  <c r="B65" i="4"/>
  <c r="B66" i="6" s="1"/>
  <c r="A66" i="4"/>
  <c r="I66" i="4" s="1"/>
  <c r="H65" i="4"/>
  <c r="H66" i="6" s="1"/>
  <c r="E65" i="4"/>
  <c r="E66" i="6" s="1"/>
  <c r="D65" i="4"/>
  <c r="D66" i="6" s="1"/>
  <c r="F65" i="4"/>
  <c r="F66" i="6" s="1"/>
  <c r="J67" i="9"/>
  <c r="F67" i="9"/>
  <c r="G67" i="9" s="1"/>
  <c r="N67" i="9" s="1"/>
  <c r="P67" i="9" l="1"/>
  <c r="L67" i="9"/>
  <c r="D67" i="9"/>
  <c r="E67" i="9" s="1"/>
  <c r="Q67" i="9" s="1"/>
  <c r="M67" i="9"/>
  <c r="J66" i="6"/>
  <c r="B68" i="9" s="1"/>
  <c r="C68" i="9" s="1"/>
  <c r="M68" i="9" s="1"/>
  <c r="H67" i="9"/>
  <c r="I67" i="9" s="1"/>
  <c r="R67" i="9" s="1"/>
  <c r="A67" i="6"/>
  <c r="A69" i="9" s="1"/>
  <c r="H66" i="4"/>
  <c r="H67" i="6" s="1"/>
  <c r="C66" i="4"/>
  <c r="C67" i="6" s="1"/>
  <c r="B66" i="4"/>
  <c r="B67" i="6" s="1"/>
  <c r="G66" i="4"/>
  <c r="G67" i="6" s="1"/>
  <c r="A67" i="4"/>
  <c r="I67" i="4" s="1"/>
  <c r="I67" i="6"/>
  <c r="E66" i="4"/>
  <c r="E67" i="6" s="1"/>
  <c r="D66" i="4"/>
  <c r="D67" i="6" s="1"/>
  <c r="F66" i="4"/>
  <c r="F67" i="6" s="1"/>
  <c r="J68" i="9"/>
  <c r="F68" i="9"/>
  <c r="G68" i="9" s="1"/>
  <c r="N68" i="9" s="1"/>
  <c r="P68" i="9" l="1"/>
  <c r="L68" i="9"/>
  <c r="J67" i="6"/>
  <c r="B69" i="9" s="1"/>
  <c r="C69" i="9" s="1"/>
  <c r="M69" i="9" s="1"/>
  <c r="D68" i="9"/>
  <c r="E68" i="9" s="1"/>
  <c r="Q68" i="9" s="1"/>
  <c r="H68" i="9"/>
  <c r="I68" i="9" s="1"/>
  <c r="R68" i="9" s="1"/>
  <c r="J69" i="9"/>
  <c r="F69" i="9"/>
  <c r="G69" i="9" s="1"/>
  <c r="N69" i="9" s="1"/>
  <c r="A68" i="6"/>
  <c r="A70" i="9" s="1"/>
  <c r="G67" i="4"/>
  <c r="G68" i="6" s="1"/>
  <c r="C67" i="4"/>
  <c r="C68" i="6" s="1"/>
  <c r="H67" i="4"/>
  <c r="H68" i="6" s="1"/>
  <c r="B67" i="4"/>
  <c r="B68" i="6" s="1"/>
  <c r="A68" i="4"/>
  <c r="I68" i="4" s="1"/>
  <c r="I68" i="6"/>
  <c r="E67" i="4"/>
  <c r="E68" i="6" s="1"/>
  <c r="F67" i="4"/>
  <c r="F68" i="6" s="1"/>
  <c r="D67" i="4"/>
  <c r="D68" i="6" s="1"/>
  <c r="L69" i="9" l="1"/>
  <c r="P69" i="9"/>
  <c r="D69" i="9"/>
  <c r="E69" i="9" s="1"/>
  <c r="Q69" i="9" s="1"/>
  <c r="J68" i="6"/>
  <c r="B70" i="9" s="1"/>
  <c r="C70" i="9" s="1"/>
  <c r="M70" i="9" s="1"/>
  <c r="H69" i="9"/>
  <c r="I69" i="9" s="1"/>
  <c r="R69" i="9" s="1"/>
  <c r="A69" i="6"/>
  <c r="A71" i="9" s="1"/>
  <c r="F68" i="4"/>
  <c r="F69" i="6" s="1"/>
  <c r="C68" i="4"/>
  <c r="C69" i="6" s="1"/>
  <c r="B68" i="4"/>
  <c r="B69" i="6" s="1"/>
  <c r="H68" i="4"/>
  <c r="H69" i="6" s="1"/>
  <c r="A69" i="4"/>
  <c r="I69" i="4" s="1"/>
  <c r="I69" i="6"/>
  <c r="E68" i="4"/>
  <c r="E69" i="6" s="1"/>
  <c r="D68" i="4"/>
  <c r="D69" i="6" s="1"/>
  <c r="G68" i="4"/>
  <c r="G69" i="6" s="1"/>
  <c r="F70" i="9"/>
  <c r="G70" i="9" s="1"/>
  <c r="N70" i="9" s="1"/>
  <c r="J70" i="9"/>
  <c r="L70" i="9" l="1"/>
  <c r="P70" i="9"/>
  <c r="D70" i="9"/>
  <c r="E70" i="9" s="1"/>
  <c r="Q70" i="9" s="1"/>
  <c r="J69" i="6"/>
  <c r="B71" i="9" s="1"/>
  <c r="C71" i="9" s="1"/>
  <c r="M71" i="9" s="1"/>
  <c r="H70" i="9"/>
  <c r="I70" i="9" s="1"/>
  <c r="R70" i="9" s="1"/>
  <c r="J71" i="9"/>
  <c r="F71" i="9"/>
  <c r="G71" i="9" s="1"/>
  <c r="N71" i="9" s="1"/>
  <c r="A70" i="6"/>
  <c r="A72" i="9" s="1"/>
  <c r="E69" i="4"/>
  <c r="E70" i="6" s="1"/>
  <c r="C69" i="4"/>
  <c r="C70" i="6" s="1"/>
  <c r="H69" i="4"/>
  <c r="H70" i="6" s="1"/>
  <c r="B69" i="4"/>
  <c r="B70" i="6" s="1"/>
  <c r="A70" i="4"/>
  <c r="I70" i="4" s="1"/>
  <c r="I70" i="6"/>
  <c r="F69" i="4"/>
  <c r="F70" i="6" s="1"/>
  <c r="G69" i="4"/>
  <c r="G70" i="6" s="1"/>
  <c r="D69" i="4"/>
  <c r="D70" i="6" s="1"/>
  <c r="P71" i="9" l="1"/>
  <c r="L71" i="9"/>
  <c r="J70" i="6"/>
  <c r="B72" i="9" s="1"/>
  <c r="C72" i="9" s="1"/>
  <c r="M72" i="9" s="1"/>
  <c r="D71" i="9"/>
  <c r="E71" i="9" s="1"/>
  <c r="Q71" i="9" s="1"/>
  <c r="H71" i="9"/>
  <c r="I71" i="9" s="1"/>
  <c r="R71" i="9" s="1"/>
  <c r="J72" i="9"/>
  <c r="F72" i="9"/>
  <c r="G72" i="9" s="1"/>
  <c r="N72" i="9" s="1"/>
  <c r="A71" i="6"/>
  <c r="A73" i="9" s="1"/>
  <c r="D70" i="4"/>
  <c r="D71" i="6" s="1"/>
  <c r="C70" i="4"/>
  <c r="C71" i="6" s="1"/>
  <c r="B70" i="4"/>
  <c r="B71" i="6" s="1"/>
  <c r="H70" i="4"/>
  <c r="H71" i="6" s="1"/>
  <c r="A71" i="4"/>
  <c r="I71" i="4" s="1"/>
  <c r="I71" i="6"/>
  <c r="F70" i="4"/>
  <c r="F71" i="6" s="1"/>
  <c r="G70" i="4"/>
  <c r="G71" i="6" s="1"/>
  <c r="E70" i="4"/>
  <c r="E71" i="6" s="1"/>
  <c r="P72" i="9" l="1"/>
  <c r="L72" i="9"/>
  <c r="D72" i="9"/>
  <c r="E72" i="9" s="1"/>
  <c r="Q72" i="9" s="1"/>
  <c r="J71" i="6"/>
  <c r="B73" i="9" s="1"/>
  <c r="C73" i="9" s="1"/>
  <c r="M73" i="9" s="1"/>
  <c r="H72" i="9"/>
  <c r="I72" i="9" s="1"/>
  <c r="R72" i="9" s="1"/>
  <c r="J73" i="9"/>
  <c r="F73" i="9"/>
  <c r="G73" i="9" s="1"/>
  <c r="N73" i="9" s="1"/>
  <c r="A72" i="6"/>
  <c r="A74" i="9" s="1"/>
  <c r="C71" i="4"/>
  <c r="C72" i="6" s="1"/>
  <c r="D71" i="4"/>
  <c r="D72" i="6" s="1"/>
  <c r="H71" i="4"/>
  <c r="H72" i="6" s="1"/>
  <c r="B71" i="4"/>
  <c r="B72" i="6" s="1"/>
  <c r="A72" i="4"/>
  <c r="I72" i="4" s="1"/>
  <c r="I72" i="6"/>
  <c r="F71" i="4"/>
  <c r="F72" i="6" s="1"/>
  <c r="G71" i="4"/>
  <c r="G72" i="6" s="1"/>
  <c r="E71" i="4"/>
  <c r="E72" i="6" s="1"/>
  <c r="L73" i="9" l="1"/>
  <c r="P73" i="9"/>
  <c r="J72" i="6"/>
  <c r="B74" i="9" s="1"/>
  <c r="C74" i="9" s="1"/>
  <c r="M74" i="9" s="1"/>
  <c r="D73" i="9"/>
  <c r="E73" i="9" s="1"/>
  <c r="Q73" i="9" s="1"/>
  <c r="H73" i="9"/>
  <c r="I73" i="9" s="1"/>
  <c r="R73" i="9" s="1"/>
  <c r="F74" i="9"/>
  <c r="G74" i="9" s="1"/>
  <c r="N74" i="9" s="1"/>
  <c r="J74" i="9"/>
  <c r="A73" i="6"/>
  <c r="A75" i="9" s="1"/>
  <c r="A73" i="4"/>
  <c r="I73" i="4" s="1"/>
  <c r="B72" i="4"/>
  <c r="B73" i="6" s="1"/>
  <c r="D72" i="4"/>
  <c r="D73" i="6" s="1"/>
  <c r="C72" i="4"/>
  <c r="C73" i="6" s="1"/>
  <c r="H72" i="4"/>
  <c r="H73" i="6" s="1"/>
  <c r="I73" i="6"/>
  <c r="F72" i="4"/>
  <c r="F73" i="6" s="1"/>
  <c r="G72" i="4"/>
  <c r="G73" i="6" s="1"/>
  <c r="E72" i="4"/>
  <c r="E73" i="6" s="1"/>
  <c r="L74" i="9" l="1"/>
  <c r="P74" i="9"/>
  <c r="D74" i="9"/>
  <c r="E74" i="9" s="1"/>
  <c r="Q74" i="9" s="1"/>
  <c r="J73" i="6"/>
  <c r="B75" i="9" s="1"/>
  <c r="C75" i="9" s="1"/>
  <c r="H74" i="9"/>
  <c r="I74" i="9" s="1"/>
  <c r="R74" i="9" s="1"/>
  <c r="A74" i="6"/>
  <c r="A76" i="9" s="1"/>
  <c r="I74" i="6"/>
  <c r="D73" i="4"/>
  <c r="D74" i="6" s="1"/>
  <c r="H73" i="4"/>
  <c r="H74" i="6" s="1"/>
  <c r="C73" i="4"/>
  <c r="C74" i="6" s="1"/>
  <c r="B73" i="4"/>
  <c r="B74" i="6" s="1"/>
  <c r="A74" i="4"/>
  <c r="I74" i="4" s="1"/>
  <c r="F73" i="4"/>
  <c r="F74" i="6" s="1"/>
  <c r="G73" i="4"/>
  <c r="G74" i="6" s="1"/>
  <c r="E73" i="4"/>
  <c r="E74" i="6" s="1"/>
  <c r="J75" i="9"/>
  <c r="F75" i="9"/>
  <c r="G75" i="9" s="1"/>
  <c r="N75" i="9" s="1"/>
  <c r="P75" i="9" l="1"/>
  <c r="L75" i="9"/>
  <c r="D75" i="9"/>
  <c r="E75" i="9" s="1"/>
  <c r="Q75" i="9" s="1"/>
  <c r="M75" i="9"/>
  <c r="J74" i="6"/>
  <c r="B76" i="9" s="1"/>
  <c r="C76" i="9" s="1"/>
  <c r="M76" i="9" s="1"/>
  <c r="H75" i="9"/>
  <c r="I75" i="9" s="1"/>
  <c r="R75" i="9" s="1"/>
  <c r="J76" i="9"/>
  <c r="F76" i="9"/>
  <c r="G76" i="9" s="1"/>
  <c r="N76" i="9" s="1"/>
  <c r="H74" i="4"/>
  <c r="H75" i="6" s="1"/>
  <c r="D74" i="4"/>
  <c r="D75" i="6" s="1"/>
  <c r="C74" i="4"/>
  <c r="C75" i="6" s="1"/>
  <c r="I75" i="6"/>
  <c r="B74" i="4"/>
  <c r="B75" i="6" s="1"/>
  <c r="A75" i="6"/>
  <c r="A77" i="9" s="1"/>
  <c r="A75" i="4"/>
  <c r="I75" i="4" s="1"/>
  <c r="F74" i="4"/>
  <c r="F75" i="6" s="1"/>
  <c r="E74" i="4"/>
  <c r="E75" i="6" s="1"/>
  <c r="G74" i="4"/>
  <c r="G75" i="6" s="1"/>
  <c r="P76" i="9" l="1"/>
  <c r="L76" i="9"/>
  <c r="D76" i="9"/>
  <c r="E76" i="9" s="1"/>
  <c r="Q76" i="9" s="1"/>
  <c r="J75" i="6"/>
  <c r="B77" i="9" s="1"/>
  <c r="C77" i="9" s="1"/>
  <c r="M77" i="9" s="1"/>
  <c r="H76" i="9"/>
  <c r="I76" i="9" s="1"/>
  <c r="R76" i="9" s="1"/>
  <c r="A76" i="6"/>
  <c r="A78" i="9" s="1"/>
  <c r="G75" i="4"/>
  <c r="G76" i="6" s="1"/>
  <c r="D75" i="4"/>
  <c r="D76" i="6" s="1"/>
  <c r="I76" i="6"/>
  <c r="C75" i="4"/>
  <c r="C76" i="6" s="1"/>
  <c r="B75" i="4"/>
  <c r="B76" i="6" s="1"/>
  <c r="A76" i="4"/>
  <c r="I76" i="4" s="1"/>
  <c r="F75" i="4"/>
  <c r="F76" i="6" s="1"/>
  <c r="H75" i="4"/>
  <c r="H76" i="6" s="1"/>
  <c r="E75" i="4"/>
  <c r="E76" i="6" s="1"/>
  <c r="F77" i="9"/>
  <c r="G77" i="9" s="1"/>
  <c r="N77" i="9" s="1"/>
  <c r="J77" i="9"/>
  <c r="L77" i="9" l="1"/>
  <c r="P77" i="9"/>
  <c r="D77" i="9"/>
  <c r="E77" i="9" s="1"/>
  <c r="Q77" i="9" s="1"/>
  <c r="J76" i="6"/>
  <c r="B78" i="9" s="1"/>
  <c r="C78" i="9" s="1"/>
  <c r="M78" i="9" s="1"/>
  <c r="H77" i="9"/>
  <c r="I77" i="9" s="1"/>
  <c r="R77" i="9" s="1"/>
  <c r="F78" i="9"/>
  <c r="G78" i="9" s="1"/>
  <c r="N78" i="9" s="1"/>
  <c r="J78" i="9"/>
  <c r="A77" i="6"/>
  <c r="A79" i="9" s="1"/>
  <c r="F76" i="4"/>
  <c r="F77" i="6" s="1"/>
  <c r="D76" i="4"/>
  <c r="D77" i="6" s="1"/>
  <c r="C76" i="4"/>
  <c r="C77" i="6" s="1"/>
  <c r="I77" i="6"/>
  <c r="B76" i="4"/>
  <c r="B77" i="6" s="1"/>
  <c r="A77" i="4"/>
  <c r="I77" i="4" s="1"/>
  <c r="G76" i="4"/>
  <c r="G77" i="6" s="1"/>
  <c r="E76" i="4"/>
  <c r="E77" i="6" s="1"/>
  <c r="H76" i="4"/>
  <c r="H77" i="6" s="1"/>
  <c r="L78" i="9" l="1"/>
  <c r="P78" i="9"/>
  <c r="D78" i="9"/>
  <c r="E78" i="9" s="1"/>
  <c r="Q78" i="9" s="1"/>
  <c r="J77" i="6"/>
  <c r="B79" i="9" s="1"/>
  <c r="C79" i="9" s="1"/>
  <c r="M79" i="9" s="1"/>
  <c r="H78" i="9"/>
  <c r="I78" i="9" s="1"/>
  <c r="R78" i="9" s="1"/>
  <c r="F79" i="9"/>
  <c r="G79" i="9" s="1"/>
  <c r="J79" i="9"/>
  <c r="A78" i="6"/>
  <c r="A80" i="9" s="1"/>
  <c r="E77" i="4"/>
  <c r="E78" i="6" s="1"/>
  <c r="D77" i="4"/>
  <c r="D78" i="6" s="1"/>
  <c r="I78" i="6"/>
  <c r="C77" i="4"/>
  <c r="C78" i="6" s="1"/>
  <c r="B77" i="4"/>
  <c r="B78" i="6" s="1"/>
  <c r="A78" i="4"/>
  <c r="I78" i="4" s="1"/>
  <c r="G77" i="4"/>
  <c r="G78" i="6" s="1"/>
  <c r="F77" i="4"/>
  <c r="F78" i="6" s="1"/>
  <c r="H77" i="4"/>
  <c r="H78" i="6" s="1"/>
  <c r="H79" i="9" l="1"/>
  <c r="I79" i="9" s="1"/>
  <c r="R79" i="9" s="1"/>
  <c r="N79" i="9"/>
  <c r="P79" i="9"/>
  <c r="L79" i="9"/>
  <c r="J78" i="6"/>
  <c r="B80" i="9" s="1"/>
  <c r="C80" i="9" s="1"/>
  <c r="M80" i="9" s="1"/>
  <c r="D79" i="9"/>
  <c r="E79" i="9" s="1"/>
  <c r="Q79" i="9" s="1"/>
  <c r="J80" i="9"/>
  <c r="F80" i="9"/>
  <c r="G80" i="9" s="1"/>
  <c r="N80" i="9" s="1"/>
  <c r="A79" i="6"/>
  <c r="A81" i="9" s="1"/>
  <c r="D78" i="4"/>
  <c r="D79" i="6" s="1"/>
  <c r="E78" i="4"/>
  <c r="E79" i="6" s="1"/>
  <c r="C78" i="4"/>
  <c r="C79" i="6" s="1"/>
  <c r="I79" i="6"/>
  <c r="B78" i="4"/>
  <c r="B79" i="6" s="1"/>
  <c r="A79" i="4"/>
  <c r="I79" i="4" s="1"/>
  <c r="G78" i="4"/>
  <c r="G79" i="6" s="1"/>
  <c r="F78" i="4"/>
  <c r="F79" i="6" s="1"/>
  <c r="H78" i="4"/>
  <c r="H79" i="6" s="1"/>
  <c r="P80" i="9" l="1"/>
  <c r="L80" i="9"/>
  <c r="D80" i="9"/>
  <c r="E80" i="9" s="1"/>
  <c r="Q80" i="9" s="1"/>
  <c r="J79" i="6"/>
  <c r="B81" i="9" s="1"/>
  <c r="C81" i="9" s="1"/>
  <c r="M81" i="9" s="1"/>
  <c r="H80" i="9"/>
  <c r="I80" i="9" s="1"/>
  <c r="R80" i="9" s="1"/>
  <c r="A80" i="6"/>
  <c r="A82" i="9" s="1"/>
  <c r="C79" i="4"/>
  <c r="C80" i="6" s="1"/>
  <c r="E79" i="4"/>
  <c r="E80" i="6" s="1"/>
  <c r="I80" i="6"/>
  <c r="D79" i="4"/>
  <c r="D80" i="6" s="1"/>
  <c r="B79" i="4"/>
  <c r="B80" i="6" s="1"/>
  <c r="A80" i="4"/>
  <c r="I80" i="4" s="1"/>
  <c r="G79" i="4"/>
  <c r="G80" i="6" s="1"/>
  <c r="H79" i="4"/>
  <c r="H80" i="6" s="1"/>
  <c r="F79" i="4"/>
  <c r="F80" i="6" s="1"/>
  <c r="J81" i="9"/>
  <c r="F81" i="9"/>
  <c r="G81" i="9" s="1"/>
  <c r="N81" i="9" s="1"/>
  <c r="L81" i="9" l="1"/>
  <c r="P81" i="9"/>
  <c r="D81" i="9"/>
  <c r="E81" i="9" s="1"/>
  <c r="Q81" i="9" s="1"/>
  <c r="J80" i="6"/>
  <c r="B82" i="9" s="1"/>
  <c r="C82" i="9" s="1"/>
  <c r="M82" i="9" s="1"/>
  <c r="H81" i="9"/>
  <c r="I81" i="9" s="1"/>
  <c r="R81" i="9" s="1"/>
  <c r="F82" i="9"/>
  <c r="G82" i="9" s="1"/>
  <c r="N82" i="9" s="1"/>
  <c r="J82" i="9"/>
  <c r="A81" i="6"/>
  <c r="A83" i="9" s="1"/>
  <c r="A81" i="4"/>
  <c r="I81" i="4" s="1"/>
  <c r="B80" i="4"/>
  <c r="B81" i="6" s="1"/>
  <c r="E80" i="4"/>
  <c r="E81" i="6" s="1"/>
  <c r="D80" i="4"/>
  <c r="D81" i="6" s="1"/>
  <c r="I81" i="6"/>
  <c r="C80" i="4"/>
  <c r="C81" i="6" s="1"/>
  <c r="G80" i="4"/>
  <c r="G81" i="6" s="1"/>
  <c r="H80" i="4"/>
  <c r="H81" i="6" s="1"/>
  <c r="F80" i="4"/>
  <c r="F81" i="6" s="1"/>
  <c r="L82" i="9" l="1"/>
  <c r="P82" i="9"/>
  <c r="D82" i="9"/>
  <c r="E82" i="9" s="1"/>
  <c r="Q82" i="9" s="1"/>
  <c r="J81" i="6"/>
  <c r="B83" i="9" s="1"/>
  <c r="C83" i="9" s="1"/>
  <c r="H82" i="9"/>
  <c r="I82" i="9" s="1"/>
  <c r="R82" i="9" s="1"/>
  <c r="A82" i="6"/>
  <c r="A84" i="9" s="1"/>
  <c r="I82" i="6"/>
  <c r="E81" i="4"/>
  <c r="E82" i="6" s="1"/>
  <c r="A82" i="4"/>
  <c r="I82" i="4" s="1"/>
  <c r="D81" i="4"/>
  <c r="D82" i="6" s="1"/>
  <c r="C81" i="4"/>
  <c r="C82" i="6" s="1"/>
  <c r="B81" i="4"/>
  <c r="B82" i="6" s="1"/>
  <c r="G81" i="4"/>
  <c r="G82" i="6" s="1"/>
  <c r="F81" i="4"/>
  <c r="F82" i="6" s="1"/>
  <c r="H81" i="4"/>
  <c r="H82" i="6" s="1"/>
  <c r="J83" i="9"/>
  <c r="F83" i="9"/>
  <c r="G83" i="9" s="1"/>
  <c r="N83" i="9" s="1"/>
  <c r="D83" i="9" l="1"/>
  <c r="E83" i="9" s="1"/>
  <c r="Q83" i="9" s="1"/>
  <c r="M83" i="9"/>
  <c r="P83" i="9"/>
  <c r="L83" i="9"/>
  <c r="J82" i="6"/>
  <c r="B84" i="9" s="1"/>
  <c r="C84" i="9" s="1"/>
  <c r="M84" i="9" s="1"/>
  <c r="H83" i="9"/>
  <c r="I83" i="9" s="1"/>
  <c r="R83" i="9" s="1"/>
  <c r="A83" i="6"/>
  <c r="A85" i="9" s="1"/>
  <c r="H82" i="4"/>
  <c r="H83" i="6" s="1"/>
  <c r="E82" i="4"/>
  <c r="E83" i="6" s="1"/>
  <c r="D82" i="4"/>
  <c r="D83" i="6" s="1"/>
  <c r="C82" i="4"/>
  <c r="C83" i="6" s="1"/>
  <c r="A83" i="4"/>
  <c r="I83" i="4" s="1"/>
  <c r="B82" i="4"/>
  <c r="B83" i="6" s="1"/>
  <c r="G82" i="4"/>
  <c r="G83" i="6" s="1"/>
  <c r="I83" i="6"/>
  <c r="F82" i="4"/>
  <c r="F83" i="6" s="1"/>
  <c r="J84" i="9"/>
  <c r="F84" i="9"/>
  <c r="G84" i="9" s="1"/>
  <c r="H84" i="9" l="1"/>
  <c r="I84" i="9" s="1"/>
  <c r="R84" i="9" s="1"/>
  <c r="N84" i="9"/>
  <c r="P84" i="9"/>
  <c r="L84" i="9"/>
  <c r="D84" i="9"/>
  <c r="E84" i="9" s="1"/>
  <c r="Q84" i="9" s="1"/>
  <c r="J83" i="6"/>
  <c r="B85" i="9" s="1"/>
  <c r="C85" i="9" s="1"/>
  <c r="M85" i="9" s="1"/>
  <c r="A84" i="6"/>
  <c r="A86" i="9" s="1"/>
  <c r="G83" i="4"/>
  <c r="G84" i="6" s="1"/>
  <c r="E83" i="4"/>
  <c r="E84" i="6" s="1"/>
  <c r="D83" i="4"/>
  <c r="D84" i="6" s="1"/>
  <c r="A84" i="4"/>
  <c r="I84" i="4" s="1"/>
  <c r="C83" i="4"/>
  <c r="C84" i="6" s="1"/>
  <c r="B83" i="4"/>
  <c r="B84" i="6" s="1"/>
  <c r="H83" i="4"/>
  <c r="H84" i="6" s="1"/>
  <c r="I84" i="6"/>
  <c r="F83" i="4"/>
  <c r="F84" i="6" s="1"/>
  <c r="J85" i="9"/>
  <c r="F85" i="9"/>
  <c r="G85" i="9" s="1"/>
  <c r="N85" i="9" s="1"/>
  <c r="L85" i="9" l="1"/>
  <c r="P85" i="9"/>
  <c r="D85" i="9"/>
  <c r="E85" i="9" s="1"/>
  <c r="Q85" i="9" s="1"/>
  <c r="J84" i="6"/>
  <c r="B86" i="9" s="1"/>
  <c r="C86" i="9" s="1"/>
  <c r="M86" i="9" s="1"/>
  <c r="H85" i="9"/>
  <c r="I85" i="9" s="1"/>
  <c r="R85" i="9" s="1"/>
  <c r="A85" i="6"/>
  <c r="A87" i="9" s="1"/>
  <c r="F84" i="4"/>
  <c r="F85" i="6" s="1"/>
  <c r="E84" i="4"/>
  <c r="E85" i="6" s="1"/>
  <c r="A85" i="4"/>
  <c r="I85" i="4" s="1"/>
  <c r="D84" i="4"/>
  <c r="D85" i="6" s="1"/>
  <c r="C84" i="4"/>
  <c r="C85" i="6" s="1"/>
  <c r="B84" i="4"/>
  <c r="B85" i="6" s="1"/>
  <c r="H84" i="4"/>
  <c r="H85" i="6" s="1"/>
  <c r="G84" i="4"/>
  <c r="G85" i="6" s="1"/>
  <c r="I85" i="6"/>
  <c r="F86" i="9"/>
  <c r="G86" i="9" s="1"/>
  <c r="N86" i="9" s="1"/>
  <c r="J86" i="9"/>
  <c r="L86" i="9" l="1"/>
  <c r="P86" i="9"/>
  <c r="D86" i="9"/>
  <c r="E86" i="9" s="1"/>
  <c r="Q86" i="9" s="1"/>
  <c r="J85" i="6"/>
  <c r="B87" i="9" s="1"/>
  <c r="C87" i="9" s="1"/>
  <c r="H86" i="9"/>
  <c r="I86" i="9" s="1"/>
  <c r="R86" i="9" s="1"/>
  <c r="A86" i="6"/>
  <c r="A88" i="9" s="1"/>
  <c r="E85" i="4"/>
  <c r="E86" i="6" s="1"/>
  <c r="F85" i="4"/>
  <c r="F86" i="6" s="1"/>
  <c r="D85" i="4"/>
  <c r="D86" i="6" s="1"/>
  <c r="C85" i="4"/>
  <c r="C86" i="6" s="1"/>
  <c r="A86" i="4"/>
  <c r="I86" i="4" s="1"/>
  <c r="B85" i="4"/>
  <c r="B86" i="6" s="1"/>
  <c r="H85" i="4"/>
  <c r="H86" i="6" s="1"/>
  <c r="I86" i="6"/>
  <c r="G85" i="4"/>
  <c r="G86" i="6" s="1"/>
  <c r="F87" i="9"/>
  <c r="G87" i="9" s="1"/>
  <c r="N87" i="9" s="1"/>
  <c r="J87" i="9"/>
  <c r="D87" i="9" l="1"/>
  <c r="E87" i="9" s="1"/>
  <c r="Q87" i="9" s="1"/>
  <c r="M87" i="9"/>
  <c r="P87" i="9"/>
  <c r="L87" i="9"/>
  <c r="J86" i="6"/>
  <c r="B88" i="9" s="1"/>
  <c r="C88" i="9" s="1"/>
  <c r="M88" i="9" s="1"/>
  <c r="H87" i="9"/>
  <c r="I87" i="9" s="1"/>
  <c r="R87" i="9" s="1"/>
  <c r="A87" i="6"/>
  <c r="A89" i="9" s="1"/>
  <c r="E86" i="4"/>
  <c r="E87" i="6" s="1"/>
  <c r="D86" i="4"/>
  <c r="D87" i="6" s="1"/>
  <c r="C86" i="4"/>
  <c r="C87" i="6" s="1"/>
  <c r="H86" i="4"/>
  <c r="H87" i="6" s="1"/>
  <c r="G86" i="4"/>
  <c r="G87" i="6" s="1"/>
  <c r="F86" i="4"/>
  <c r="F87" i="6" s="1"/>
  <c r="B86" i="4"/>
  <c r="B87" i="6" s="1"/>
  <c r="A87" i="4"/>
  <c r="I87" i="4" s="1"/>
  <c r="I87" i="6"/>
  <c r="J88" i="9"/>
  <c r="F88" i="9"/>
  <c r="G88" i="9" s="1"/>
  <c r="P88" i="9" l="1"/>
  <c r="L88" i="9"/>
  <c r="H88" i="9"/>
  <c r="I88" i="9" s="1"/>
  <c r="R88" i="9" s="1"/>
  <c r="N88" i="9"/>
  <c r="D88" i="9"/>
  <c r="E88" i="9" s="1"/>
  <c r="Q88" i="9" s="1"/>
  <c r="J87" i="6"/>
  <c r="B89" i="9" s="1"/>
  <c r="C89" i="9" s="1"/>
  <c r="M89" i="9" s="1"/>
  <c r="A88" i="6"/>
  <c r="A90" i="9" s="1"/>
  <c r="D87" i="4"/>
  <c r="D88" i="6" s="1"/>
  <c r="C87" i="4"/>
  <c r="C88" i="6" s="1"/>
  <c r="A88" i="4"/>
  <c r="I88" i="4" s="1"/>
  <c r="B87" i="4"/>
  <c r="B88" i="6" s="1"/>
  <c r="I88" i="6"/>
  <c r="F87" i="4"/>
  <c r="F88" i="6" s="1"/>
  <c r="H87" i="4"/>
  <c r="H88" i="6" s="1"/>
  <c r="G87" i="4"/>
  <c r="G88" i="6" s="1"/>
  <c r="E87" i="4"/>
  <c r="E88" i="6" s="1"/>
  <c r="F89" i="9"/>
  <c r="G89" i="9" s="1"/>
  <c r="N89" i="9" s="1"/>
  <c r="J89" i="9"/>
  <c r="L89" i="9" l="1"/>
  <c r="P89" i="9"/>
  <c r="D89" i="9"/>
  <c r="E89" i="9" s="1"/>
  <c r="Q89" i="9" s="1"/>
  <c r="J88" i="6"/>
  <c r="B90" i="9" s="1"/>
  <c r="C90" i="9" s="1"/>
  <c r="M90" i="9" s="1"/>
  <c r="H89" i="9"/>
  <c r="I89" i="9" s="1"/>
  <c r="R89" i="9" s="1"/>
  <c r="A89" i="6"/>
  <c r="A91" i="9" s="1"/>
  <c r="C88" i="4"/>
  <c r="C89" i="6" s="1"/>
  <c r="A89" i="4"/>
  <c r="I89" i="4" s="1"/>
  <c r="B88" i="4"/>
  <c r="B89" i="6" s="1"/>
  <c r="I89" i="6"/>
  <c r="D88" i="4"/>
  <c r="D89" i="6" s="1"/>
  <c r="H88" i="4"/>
  <c r="H89" i="6" s="1"/>
  <c r="F88" i="4"/>
  <c r="F89" i="6" s="1"/>
  <c r="G88" i="4"/>
  <c r="G89" i="6" s="1"/>
  <c r="E88" i="4"/>
  <c r="E89" i="6" s="1"/>
  <c r="F90" i="9"/>
  <c r="G90" i="9" s="1"/>
  <c r="N90" i="9" s="1"/>
  <c r="J90" i="9"/>
  <c r="L90" i="9" l="1"/>
  <c r="P90" i="9"/>
  <c r="D90" i="9"/>
  <c r="E90" i="9" s="1"/>
  <c r="Q90" i="9" s="1"/>
  <c r="J89" i="6"/>
  <c r="B91" i="9" s="1"/>
  <c r="C91" i="9" s="1"/>
  <c r="H90" i="9"/>
  <c r="I90" i="9" s="1"/>
  <c r="R90" i="9" s="1"/>
  <c r="A90" i="6"/>
  <c r="A92" i="9" s="1"/>
  <c r="A90" i="4"/>
  <c r="I90" i="4" s="1"/>
  <c r="B89" i="4"/>
  <c r="B90" i="6" s="1"/>
  <c r="I90" i="6"/>
  <c r="H89" i="4"/>
  <c r="H90" i="6" s="1"/>
  <c r="F89" i="4"/>
  <c r="F90" i="6" s="1"/>
  <c r="E89" i="4"/>
  <c r="E90" i="6" s="1"/>
  <c r="D89" i="4"/>
  <c r="D90" i="6" s="1"/>
  <c r="C89" i="4"/>
  <c r="C90" i="6" s="1"/>
  <c r="G89" i="4"/>
  <c r="G90" i="6" s="1"/>
  <c r="F91" i="9"/>
  <c r="G91" i="9" s="1"/>
  <c r="N91" i="9" s="1"/>
  <c r="J91" i="9"/>
  <c r="D91" i="9" l="1"/>
  <c r="E91" i="9" s="1"/>
  <c r="Q91" i="9" s="1"/>
  <c r="M91" i="9"/>
  <c r="P91" i="9"/>
  <c r="L91" i="9"/>
  <c r="J90" i="6"/>
  <c r="B92" i="9" s="1"/>
  <c r="C92" i="9" s="1"/>
  <c r="M92" i="9" s="1"/>
  <c r="H91" i="9"/>
  <c r="I91" i="9" s="1"/>
  <c r="R91" i="9" s="1"/>
  <c r="A91" i="6"/>
  <c r="A93" i="9" s="1"/>
  <c r="I91" i="6"/>
  <c r="H90" i="4"/>
  <c r="H91" i="6" s="1"/>
  <c r="G90" i="4"/>
  <c r="G91" i="6" s="1"/>
  <c r="A91" i="4"/>
  <c r="I91" i="4" s="1"/>
  <c r="F90" i="4"/>
  <c r="F91" i="6" s="1"/>
  <c r="D90" i="4"/>
  <c r="D91" i="6" s="1"/>
  <c r="E90" i="4"/>
  <c r="E91" i="6" s="1"/>
  <c r="B90" i="4"/>
  <c r="B91" i="6" s="1"/>
  <c r="C90" i="4"/>
  <c r="C91" i="6" s="1"/>
  <c r="J92" i="9"/>
  <c r="F92" i="9"/>
  <c r="G92" i="9" s="1"/>
  <c r="N92" i="9" s="1"/>
  <c r="P92" i="9" l="1"/>
  <c r="L92" i="9"/>
  <c r="J91" i="6"/>
  <c r="B93" i="9" s="1"/>
  <c r="C93" i="9" s="1"/>
  <c r="D92" i="9"/>
  <c r="E92" i="9" s="1"/>
  <c r="Q92" i="9" s="1"/>
  <c r="H92" i="9"/>
  <c r="I92" i="9" s="1"/>
  <c r="R92" i="9" s="1"/>
  <c r="A92" i="6"/>
  <c r="A94" i="9" s="1"/>
  <c r="H91" i="4"/>
  <c r="H92" i="6" s="1"/>
  <c r="G91" i="4"/>
  <c r="G92" i="6" s="1"/>
  <c r="F91" i="4"/>
  <c r="F92" i="6" s="1"/>
  <c r="B91" i="4"/>
  <c r="B92" i="6" s="1"/>
  <c r="I92" i="6"/>
  <c r="A92" i="4"/>
  <c r="I92" i="4" s="1"/>
  <c r="D91" i="4"/>
  <c r="D92" i="6" s="1"/>
  <c r="C91" i="4"/>
  <c r="C92" i="6" s="1"/>
  <c r="E91" i="4"/>
  <c r="E92" i="6" s="1"/>
  <c r="J93" i="9"/>
  <c r="F93" i="9"/>
  <c r="G93" i="9" s="1"/>
  <c r="L93" i="9" l="1"/>
  <c r="P93" i="9"/>
  <c r="D93" i="9"/>
  <c r="E93" i="9" s="1"/>
  <c r="Q93" i="9" s="1"/>
  <c r="M93" i="9"/>
  <c r="H93" i="9"/>
  <c r="I93" i="9" s="1"/>
  <c r="R93" i="9" s="1"/>
  <c r="N93" i="9"/>
  <c r="J92" i="6"/>
  <c r="B94" i="9" s="1"/>
  <c r="C94" i="9" s="1"/>
  <c r="M94" i="9" s="1"/>
  <c r="F94" i="9"/>
  <c r="G94" i="9" s="1"/>
  <c r="N94" i="9" s="1"/>
  <c r="J94" i="9"/>
  <c r="A93" i="6"/>
  <c r="A95" i="9" s="1"/>
  <c r="G92" i="4"/>
  <c r="G93" i="6" s="1"/>
  <c r="F92" i="4"/>
  <c r="F93" i="6" s="1"/>
  <c r="E92" i="4"/>
  <c r="E93" i="6" s="1"/>
  <c r="D92" i="4"/>
  <c r="D93" i="6" s="1"/>
  <c r="C92" i="4"/>
  <c r="C93" i="6" s="1"/>
  <c r="B92" i="4"/>
  <c r="B93" i="6" s="1"/>
  <c r="I93" i="6"/>
  <c r="A93" i="4"/>
  <c r="I93" i="4" s="1"/>
  <c r="H92" i="4"/>
  <c r="H93" i="6" s="1"/>
  <c r="L94" i="9" l="1"/>
  <c r="P94" i="9"/>
  <c r="J93" i="6"/>
  <c r="B95" i="9" s="1"/>
  <c r="C95" i="9" s="1"/>
  <c r="M95" i="9" s="1"/>
  <c r="D94" i="9"/>
  <c r="E94" i="9" s="1"/>
  <c r="Q94" i="9" s="1"/>
  <c r="H94" i="9"/>
  <c r="I94" i="9" s="1"/>
  <c r="R94" i="9" s="1"/>
  <c r="A94" i="6"/>
  <c r="A96" i="9" s="1"/>
  <c r="F93" i="4"/>
  <c r="F94" i="6" s="1"/>
  <c r="E93" i="4"/>
  <c r="E94" i="6" s="1"/>
  <c r="D93" i="4"/>
  <c r="D94" i="6" s="1"/>
  <c r="I94" i="6"/>
  <c r="H93" i="4"/>
  <c r="H94" i="6" s="1"/>
  <c r="G93" i="4"/>
  <c r="G94" i="6" s="1"/>
  <c r="B93" i="4"/>
  <c r="B94" i="6" s="1"/>
  <c r="C93" i="4"/>
  <c r="C94" i="6" s="1"/>
  <c r="A94" i="4"/>
  <c r="I94" i="4" s="1"/>
  <c r="J95" i="9"/>
  <c r="F95" i="9"/>
  <c r="G95" i="9" s="1"/>
  <c r="N95" i="9" s="1"/>
  <c r="P95" i="9" l="1"/>
  <c r="L95" i="9"/>
  <c r="D95" i="9"/>
  <c r="E95" i="9" s="1"/>
  <c r="Q95" i="9" s="1"/>
  <c r="J94" i="6"/>
  <c r="B96" i="9" s="1"/>
  <c r="C96" i="9" s="1"/>
  <c r="M96" i="9" s="1"/>
  <c r="H95" i="9"/>
  <c r="I95" i="9" s="1"/>
  <c r="R95" i="9" s="1"/>
  <c r="E94" i="4"/>
  <c r="E95" i="6" s="1"/>
  <c r="D94" i="4"/>
  <c r="D95" i="6" s="1"/>
  <c r="C94" i="4"/>
  <c r="C95" i="6" s="1"/>
  <c r="A95" i="6"/>
  <c r="A97" i="9" s="1"/>
  <c r="G94" i="4"/>
  <c r="G95" i="6" s="1"/>
  <c r="A95" i="4"/>
  <c r="I95" i="4" s="1"/>
  <c r="I95" i="6"/>
  <c r="H94" i="4"/>
  <c r="H95" i="6" s="1"/>
  <c r="B94" i="4"/>
  <c r="B95" i="6" s="1"/>
  <c r="F94" i="4"/>
  <c r="F95" i="6" s="1"/>
  <c r="J96" i="9"/>
  <c r="F96" i="9"/>
  <c r="G96" i="9" s="1"/>
  <c r="P96" i="9" l="1"/>
  <c r="L96" i="9"/>
  <c r="H96" i="9"/>
  <c r="I96" i="9" s="1"/>
  <c r="R96" i="9" s="1"/>
  <c r="N96" i="9"/>
  <c r="D96" i="9"/>
  <c r="E96" i="9" s="1"/>
  <c r="Q96" i="9" s="1"/>
  <c r="J95" i="6"/>
  <c r="B97" i="9" s="1"/>
  <c r="C97" i="9" s="1"/>
  <c r="A96" i="6"/>
  <c r="A98" i="9" s="1"/>
  <c r="D95" i="4"/>
  <c r="D96" i="6" s="1"/>
  <c r="C95" i="4"/>
  <c r="C96" i="6" s="1"/>
  <c r="A96" i="4"/>
  <c r="I96" i="4" s="1"/>
  <c r="B95" i="4"/>
  <c r="B96" i="6" s="1"/>
  <c r="E95" i="4"/>
  <c r="E96" i="6" s="1"/>
  <c r="I96" i="6"/>
  <c r="G95" i="4"/>
  <c r="G96" i="6" s="1"/>
  <c r="F95" i="4"/>
  <c r="F96" i="6" s="1"/>
  <c r="H95" i="4"/>
  <c r="H96" i="6" s="1"/>
  <c r="J97" i="9"/>
  <c r="F97" i="9"/>
  <c r="G97" i="9" s="1"/>
  <c r="N97" i="9" s="1"/>
  <c r="D97" i="9" l="1"/>
  <c r="E97" i="9" s="1"/>
  <c r="Q97" i="9" s="1"/>
  <c r="M97" i="9"/>
  <c r="L97" i="9"/>
  <c r="P97" i="9"/>
  <c r="J96" i="6"/>
  <c r="B98" i="9" s="1"/>
  <c r="C98" i="9" s="1"/>
  <c r="H97" i="9"/>
  <c r="I97" i="9" s="1"/>
  <c r="R97" i="9" s="1"/>
  <c r="A97" i="6"/>
  <c r="A99" i="9" s="1"/>
  <c r="C96" i="4"/>
  <c r="C97" i="6" s="1"/>
  <c r="A97" i="4"/>
  <c r="I97" i="4" s="1"/>
  <c r="B96" i="4"/>
  <c r="B97" i="6" s="1"/>
  <c r="I97" i="6"/>
  <c r="G96" i="4"/>
  <c r="G97" i="6" s="1"/>
  <c r="F96" i="4"/>
  <c r="F97" i="6" s="1"/>
  <c r="E96" i="4"/>
  <c r="E97" i="6" s="1"/>
  <c r="D96" i="4"/>
  <c r="D97" i="6" s="1"/>
  <c r="H96" i="4"/>
  <c r="H97" i="6" s="1"/>
  <c r="F98" i="9"/>
  <c r="G98" i="9" s="1"/>
  <c r="N98" i="9" s="1"/>
  <c r="J98" i="9"/>
  <c r="D98" i="9" l="1"/>
  <c r="E98" i="9" s="1"/>
  <c r="Q98" i="9" s="1"/>
  <c r="M98" i="9"/>
  <c r="L98" i="9"/>
  <c r="P98" i="9"/>
  <c r="J97" i="6"/>
  <c r="B99" i="9" s="1"/>
  <c r="C99" i="9" s="1"/>
  <c r="M99" i="9" s="1"/>
  <c r="H98" i="9"/>
  <c r="I98" i="9" s="1"/>
  <c r="R98" i="9" s="1"/>
  <c r="A98" i="6"/>
  <c r="A100" i="9" s="1"/>
  <c r="A98" i="4"/>
  <c r="I98" i="4" s="1"/>
  <c r="B97" i="4"/>
  <c r="B98" i="6" s="1"/>
  <c r="I98" i="6"/>
  <c r="H97" i="4"/>
  <c r="H98" i="6" s="1"/>
  <c r="G97" i="4"/>
  <c r="G98" i="6" s="1"/>
  <c r="E97" i="4"/>
  <c r="E98" i="6" s="1"/>
  <c r="F97" i="4"/>
  <c r="F98" i="6" s="1"/>
  <c r="C97" i="4"/>
  <c r="C98" i="6" s="1"/>
  <c r="D97" i="4"/>
  <c r="D98" i="6" s="1"/>
  <c r="J99" i="9"/>
  <c r="F99" i="9"/>
  <c r="G99" i="9" s="1"/>
  <c r="N99" i="9" s="1"/>
  <c r="P99" i="9" l="1"/>
  <c r="L99" i="9"/>
  <c r="J98" i="6"/>
  <c r="B100" i="9" s="1"/>
  <c r="C100" i="9" s="1"/>
  <c r="M100" i="9" s="1"/>
  <c r="D99" i="9"/>
  <c r="E99" i="9" s="1"/>
  <c r="Q99" i="9" s="1"/>
  <c r="H99" i="9"/>
  <c r="I99" i="9" s="1"/>
  <c r="R99" i="9" s="1"/>
  <c r="A99" i="6"/>
  <c r="A101" i="9" s="1"/>
  <c r="I99" i="6"/>
  <c r="H98" i="4"/>
  <c r="H99" i="6" s="1"/>
  <c r="G98" i="4"/>
  <c r="G99" i="6" s="1"/>
  <c r="C98" i="4"/>
  <c r="C99" i="6" s="1"/>
  <c r="A99" i="4"/>
  <c r="I99" i="4" s="1"/>
  <c r="B98" i="4"/>
  <c r="B99" i="6" s="1"/>
  <c r="E98" i="4"/>
  <c r="E99" i="6" s="1"/>
  <c r="D98" i="4"/>
  <c r="D99" i="6" s="1"/>
  <c r="F98" i="4"/>
  <c r="F99" i="6" s="1"/>
  <c r="J100" i="9"/>
  <c r="F100" i="9"/>
  <c r="G100" i="9" s="1"/>
  <c r="P100" i="9" l="1"/>
  <c r="L100" i="9"/>
  <c r="H100" i="9"/>
  <c r="I100" i="9" s="1"/>
  <c r="R100" i="9" s="1"/>
  <c r="N100" i="9"/>
  <c r="D100" i="9"/>
  <c r="E100" i="9" s="1"/>
  <c r="Q100" i="9" s="1"/>
  <c r="J99" i="6"/>
  <c r="B101" i="9" s="1"/>
  <c r="C101" i="9" s="1"/>
  <c r="A100" i="6"/>
  <c r="A102" i="9" s="1"/>
  <c r="H99" i="4"/>
  <c r="H100" i="6" s="1"/>
  <c r="G99" i="4"/>
  <c r="G100" i="6" s="1"/>
  <c r="F99" i="4"/>
  <c r="F100" i="6" s="1"/>
  <c r="E99" i="4"/>
  <c r="E100" i="6" s="1"/>
  <c r="D99" i="4"/>
  <c r="D100" i="6" s="1"/>
  <c r="C99" i="4"/>
  <c r="C100" i="6" s="1"/>
  <c r="B99" i="4"/>
  <c r="B100" i="6" s="1"/>
  <c r="A100" i="4"/>
  <c r="I100" i="4" s="1"/>
  <c r="I100" i="6"/>
  <c r="J101" i="9"/>
  <c r="F101" i="9"/>
  <c r="G101" i="9" s="1"/>
  <c r="N101" i="9" s="1"/>
  <c r="D101" i="9" l="1"/>
  <c r="M101" i="9"/>
  <c r="L101" i="9"/>
  <c r="P101" i="9"/>
  <c r="J100" i="6"/>
  <c r="B102" i="9" s="1"/>
  <c r="C102" i="9" s="1"/>
  <c r="M102" i="9" s="1"/>
  <c r="E101" i="9"/>
  <c r="Q101" i="9" s="1"/>
  <c r="H101" i="9"/>
  <c r="I101" i="9" s="1"/>
  <c r="R101" i="9" s="1"/>
  <c r="A101" i="6"/>
  <c r="A103" i="9" s="1"/>
  <c r="G100" i="4"/>
  <c r="G101" i="6" s="1"/>
  <c r="F100" i="4"/>
  <c r="F101" i="6" s="1"/>
  <c r="E100" i="4"/>
  <c r="E101" i="6" s="1"/>
  <c r="A101" i="4"/>
  <c r="I101" i="4" s="1"/>
  <c r="I101" i="6"/>
  <c r="H100" i="4"/>
  <c r="H101" i="6" s="1"/>
  <c r="C100" i="4"/>
  <c r="C101" i="6" s="1"/>
  <c r="D100" i="4"/>
  <c r="D101" i="6" s="1"/>
  <c r="B100" i="4"/>
  <c r="B101" i="6" s="1"/>
  <c r="J102" i="9"/>
  <c r="F102" i="9"/>
  <c r="G102" i="9" s="1"/>
  <c r="N102" i="9" s="1"/>
  <c r="L102" i="9" l="1"/>
  <c r="P102" i="9"/>
  <c r="D102" i="9"/>
  <c r="E102" i="9" s="1"/>
  <c r="Q102" i="9" s="1"/>
  <c r="J101" i="6"/>
  <c r="B103" i="9" s="1"/>
  <c r="C103" i="9" s="1"/>
  <c r="M103" i="9" s="1"/>
  <c r="H102" i="9"/>
  <c r="I102" i="9" s="1"/>
  <c r="R102" i="9" s="1"/>
  <c r="A102" i="6"/>
  <c r="A104" i="9" s="1"/>
  <c r="F101" i="4"/>
  <c r="F102" i="6" s="1"/>
  <c r="E101" i="4"/>
  <c r="E102" i="6" s="1"/>
  <c r="D101" i="4"/>
  <c r="D102" i="6" s="1"/>
  <c r="H101" i="4"/>
  <c r="H102" i="6" s="1"/>
  <c r="A102" i="4"/>
  <c r="I102" i="4" s="1"/>
  <c r="I102" i="6"/>
  <c r="C101" i="4"/>
  <c r="C102" i="6" s="1"/>
  <c r="G101" i="4"/>
  <c r="G102" i="6" s="1"/>
  <c r="B101" i="4"/>
  <c r="B102" i="6" s="1"/>
  <c r="F103" i="9"/>
  <c r="G103" i="9" s="1"/>
  <c r="N103" i="9" s="1"/>
  <c r="J103" i="9"/>
  <c r="P103" i="9" l="1"/>
  <c r="L103" i="9"/>
  <c r="D103" i="9"/>
  <c r="E103" i="9" s="1"/>
  <c r="Q103" i="9" s="1"/>
  <c r="J102" i="6"/>
  <c r="B104" i="9" s="1"/>
  <c r="C104" i="9" s="1"/>
  <c r="M104" i="9" s="1"/>
  <c r="H103" i="9"/>
  <c r="I103" i="9" s="1"/>
  <c r="R103" i="9" s="1"/>
  <c r="J104" i="9"/>
  <c r="F104" i="9"/>
  <c r="G104" i="9" s="1"/>
  <c r="N104" i="9" s="1"/>
  <c r="A103" i="6"/>
  <c r="A105" i="9" s="1"/>
  <c r="E102" i="4"/>
  <c r="E103" i="6" s="1"/>
  <c r="D102" i="4"/>
  <c r="D103" i="6" s="1"/>
  <c r="C102" i="4"/>
  <c r="C103" i="6" s="1"/>
  <c r="F102" i="4"/>
  <c r="F103" i="6" s="1"/>
  <c r="B102" i="4"/>
  <c r="B103" i="6" s="1"/>
  <c r="A103" i="4"/>
  <c r="I103" i="4" s="1"/>
  <c r="H102" i="4"/>
  <c r="H103" i="6" s="1"/>
  <c r="I103" i="6"/>
  <c r="G102" i="4"/>
  <c r="G103" i="6" s="1"/>
  <c r="P104" i="9" l="1"/>
  <c r="L104" i="9"/>
  <c r="D104" i="9"/>
  <c r="E104" i="9" s="1"/>
  <c r="Q104" i="9" s="1"/>
  <c r="J103" i="6"/>
  <c r="B105" i="9" s="1"/>
  <c r="C105" i="9" s="1"/>
  <c r="M105" i="9" s="1"/>
  <c r="H104" i="9"/>
  <c r="I104" i="9" s="1"/>
  <c r="R104" i="9" s="1"/>
  <c r="J105" i="9"/>
  <c r="F105" i="9"/>
  <c r="G105" i="9" s="1"/>
  <c r="N105" i="9" s="1"/>
  <c r="A104" i="6"/>
  <c r="A106" i="9" s="1"/>
  <c r="D103" i="4"/>
  <c r="D104" i="6" s="1"/>
  <c r="C103" i="4"/>
  <c r="C104" i="6" s="1"/>
  <c r="A104" i="4"/>
  <c r="I104" i="4" s="1"/>
  <c r="B103" i="4"/>
  <c r="B104" i="6" s="1"/>
  <c r="H103" i="4"/>
  <c r="H104" i="6" s="1"/>
  <c r="G103" i="4"/>
  <c r="G104" i="6" s="1"/>
  <c r="F103" i="4"/>
  <c r="F104" i="6" s="1"/>
  <c r="E103" i="4"/>
  <c r="E104" i="6" s="1"/>
  <c r="I104" i="6"/>
  <c r="L105" i="9" l="1"/>
  <c r="P105" i="9"/>
  <c r="D105" i="9"/>
  <c r="E105" i="9" s="1"/>
  <c r="Q105" i="9" s="1"/>
  <c r="J104" i="6"/>
  <c r="B106" i="9" s="1"/>
  <c r="C106" i="9" s="1"/>
  <c r="H105" i="9"/>
  <c r="I105" i="9" s="1"/>
  <c r="R105" i="9" s="1"/>
  <c r="C104" i="4"/>
  <c r="C105" i="6" s="1"/>
  <c r="A105" i="6"/>
  <c r="A107" i="9" s="1"/>
  <c r="A105" i="4"/>
  <c r="I105" i="4" s="1"/>
  <c r="B104" i="4"/>
  <c r="B105" i="6" s="1"/>
  <c r="I105" i="6"/>
  <c r="F104" i="4"/>
  <c r="F105" i="6" s="1"/>
  <c r="H104" i="4"/>
  <c r="H105" i="6" s="1"/>
  <c r="G104" i="4"/>
  <c r="G105" i="6" s="1"/>
  <c r="D104" i="4"/>
  <c r="D105" i="6" s="1"/>
  <c r="E104" i="4"/>
  <c r="E105" i="6" s="1"/>
  <c r="F106" i="9"/>
  <c r="G106" i="9" s="1"/>
  <c r="N106" i="9" s="1"/>
  <c r="J106" i="9"/>
  <c r="D106" i="9" l="1"/>
  <c r="E106" i="9" s="1"/>
  <c r="Q106" i="9" s="1"/>
  <c r="M106" i="9"/>
  <c r="L106" i="9"/>
  <c r="P106" i="9"/>
  <c r="J105" i="6"/>
  <c r="B107" i="9" s="1"/>
  <c r="C107" i="9" s="1"/>
  <c r="M107" i="9" s="1"/>
  <c r="H106" i="9"/>
  <c r="I106" i="9" s="1"/>
  <c r="R106" i="9" s="1"/>
  <c r="A106" i="6"/>
  <c r="A108" i="9" s="1"/>
  <c r="A106" i="4"/>
  <c r="I106" i="4" s="1"/>
  <c r="B105" i="4"/>
  <c r="B106" i="6" s="1"/>
  <c r="I106" i="6"/>
  <c r="H105" i="4"/>
  <c r="H106" i="6" s="1"/>
  <c r="D105" i="4"/>
  <c r="D106" i="6" s="1"/>
  <c r="C105" i="4"/>
  <c r="C106" i="6" s="1"/>
  <c r="F105" i="4"/>
  <c r="F106" i="6" s="1"/>
  <c r="G105" i="4"/>
  <c r="G106" i="6" s="1"/>
  <c r="E105" i="4"/>
  <c r="E106" i="6" s="1"/>
  <c r="F107" i="9"/>
  <c r="G107" i="9" s="1"/>
  <c r="J107" i="9"/>
  <c r="H107" i="9" l="1"/>
  <c r="I107" i="9" s="1"/>
  <c r="R107" i="9" s="1"/>
  <c r="N107" i="9"/>
  <c r="P107" i="9"/>
  <c r="L107" i="9"/>
  <c r="D107" i="9"/>
  <c r="E107" i="9" s="1"/>
  <c r="Q107" i="9" s="1"/>
  <c r="J106" i="6"/>
  <c r="B108" i="9" s="1"/>
  <c r="C108" i="9" s="1"/>
  <c r="M108" i="9" s="1"/>
  <c r="A107" i="6"/>
  <c r="A109" i="9" s="1"/>
  <c r="I107" i="6"/>
  <c r="H106" i="4"/>
  <c r="H107" i="6" s="1"/>
  <c r="G106" i="4"/>
  <c r="G107" i="6" s="1"/>
  <c r="F106" i="4"/>
  <c r="F107" i="6" s="1"/>
  <c r="A107" i="4"/>
  <c r="I107" i="4" s="1"/>
  <c r="E106" i="4"/>
  <c r="E107" i="6" s="1"/>
  <c r="D106" i="4"/>
  <c r="D107" i="6" s="1"/>
  <c r="B106" i="4"/>
  <c r="B107" i="6" s="1"/>
  <c r="C106" i="4"/>
  <c r="C107" i="6" s="1"/>
  <c r="J108" i="9"/>
  <c r="F108" i="9"/>
  <c r="G108" i="9" s="1"/>
  <c r="P108" i="9" l="1"/>
  <c r="L108" i="9"/>
  <c r="H108" i="9"/>
  <c r="I108" i="9" s="1"/>
  <c r="R108" i="9" s="1"/>
  <c r="N108" i="9"/>
  <c r="D108" i="9"/>
  <c r="E108" i="9" s="1"/>
  <c r="Q108" i="9" s="1"/>
  <c r="J107" i="6"/>
  <c r="B109" i="9" s="1"/>
  <c r="C109" i="9" s="1"/>
  <c r="M109" i="9" s="1"/>
  <c r="A108" i="6"/>
  <c r="A110" i="9" s="1"/>
  <c r="H107" i="4"/>
  <c r="H108" i="6" s="1"/>
  <c r="G107" i="4"/>
  <c r="G108" i="6" s="1"/>
  <c r="F107" i="4"/>
  <c r="F108" i="6" s="1"/>
  <c r="E107" i="4"/>
  <c r="E108" i="6" s="1"/>
  <c r="I108" i="6"/>
  <c r="A108" i="4"/>
  <c r="I108" i="4" s="1"/>
  <c r="C107" i="4"/>
  <c r="C108" i="6" s="1"/>
  <c r="B107" i="4"/>
  <c r="B108" i="6" s="1"/>
  <c r="D107" i="4"/>
  <c r="D108" i="6" s="1"/>
  <c r="J109" i="9"/>
  <c r="F109" i="9"/>
  <c r="G109" i="9" s="1"/>
  <c r="N109" i="9" s="1"/>
  <c r="L109" i="9" l="1"/>
  <c r="P109" i="9"/>
  <c r="D109" i="9"/>
  <c r="E109" i="9" s="1"/>
  <c r="Q109" i="9" s="1"/>
  <c r="J108" i="6"/>
  <c r="B110" i="9" s="1"/>
  <c r="C110" i="9" s="1"/>
  <c r="H109" i="9"/>
  <c r="I109" i="9" s="1"/>
  <c r="R109" i="9" s="1"/>
  <c r="A109" i="6"/>
  <c r="A111" i="9" s="1"/>
  <c r="G108" i="4"/>
  <c r="G109" i="6" s="1"/>
  <c r="F108" i="4"/>
  <c r="F109" i="6" s="1"/>
  <c r="E108" i="4"/>
  <c r="E109" i="6" s="1"/>
  <c r="D108" i="4"/>
  <c r="D109" i="6" s="1"/>
  <c r="H108" i="4"/>
  <c r="C108" i="4"/>
  <c r="C109" i="6" s="1"/>
  <c r="B108" i="4"/>
  <c r="B109" i="6" s="1"/>
  <c r="A109" i="4"/>
  <c r="I109" i="4" s="1"/>
  <c r="I109" i="6"/>
  <c r="F110" i="9"/>
  <c r="G110" i="9" s="1"/>
  <c r="N110" i="9" s="1"/>
  <c r="J110" i="9"/>
  <c r="D110" i="9" l="1"/>
  <c r="E110" i="9" s="1"/>
  <c r="Q110" i="9" s="1"/>
  <c r="M110" i="9"/>
  <c r="L110" i="9"/>
  <c r="P110" i="9"/>
  <c r="H109" i="6"/>
  <c r="J109" i="6" s="1"/>
  <c r="H110" i="9"/>
  <c r="I110" i="9" s="1"/>
  <c r="R110" i="9" s="1"/>
  <c r="A110" i="6"/>
  <c r="A112" i="9" s="1"/>
  <c r="F109" i="4"/>
  <c r="F110" i="6" s="1"/>
  <c r="E109" i="4"/>
  <c r="E110" i="6" s="1"/>
  <c r="D109" i="4"/>
  <c r="D110" i="6" s="1"/>
  <c r="C109" i="4"/>
  <c r="C110" i="6" s="1"/>
  <c r="A110" i="4"/>
  <c r="I110" i="4" s="1"/>
  <c r="I110" i="6"/>
  <c r="G109" i="4"/>
  <c r="G110" i="6" s="1"/>
  <c r="H109" i="4"/>
  <c r="H110" i="6" s="1"/>
  <c r="B109" i="4"/>
  <c r="B110" i="6" s="1"/>
  <c r="F111" i="9"/>
  <c r="G111" i="9" s="1"/>
  <c r="N111" i="9" s="1"/>
  <c r="J111" i="9"/>
  <c r="P111" i="9" l="1"/>
  <c r="L111" i="9"/>
  <c r="M5" i="6"/>
  <c r="M4" i="6"/>
  <c r="M6" i="6"/>
  <c r="B111" i="9"/>
  <c r="C111" i="9" s="1"/>
  <c r="M111" i="9" s="1"/>
  <c r="J110" i="6"/>
  <c r="H111" i="9"/>
  <c r="I111" i="9" s="1"/>
  <c r="R111" i="9" s="1"/>
  <c r="A111" i="6"/>
  <c r="A113" i="9" s="1"/>
  <c r="E110" i="4"/>
  <c r="E111" i="6" s="1"/>
  <c r="D110" i="4"/>
  <c r="D111" i="6" s="1"/>
  <c r="C110" i="4"/>
  <c r="C111" i="6" s="1"/>
  <c r="A111" i="4"/>
  <c r="I111" i="4" s="1"/>
  <c r="B110" i="4"/>
  <c r="F110" i="4"/>
  <c r="F111" i="6" s="1"/>
  <c r="H110" i="4"/>
  <c r="H111" i="6" s="1"/>
  <c r="G110" i="4"/>
  <c r="G111" i="6" s="1"/>
  <c r="I111" i="6"/>
  <c r="E112" i="9"/>
  <c r="Q112" i="9" s="1"/>
  <c r="D112" i="9"/>
  <c r="C112" i="9"/>
  <c r="M112" i="9" s="1"/>
  <c r="J112" i="9"/>
  <c r="B112" i="9"/>
  <c r="I112" i="9"/>
  <c r="R112" i="9" s="1"/>
  <c r="H112" i="9"/>
  <c r="F112" i="9"/>
  <c r="G112" i="9"/>
  <c r="N112" i="9" s="1"/>
  <c r="L112" i="9" l="1"/>
  <c r="P112" i="9"/>
  <c r="B111" i="6"/>
  <c r="J111" i="6" s="1"/>
  <c r="D111" i="9"/>
  <c r="E111" i="9" s="1"/>
  <c r="Q111" i="9" s="1"/>
  <c r="A112" i="6"/>
  <c r="A114" i="9" s="1"/>
  <c r="D111" i="4"/>
  <c r="D112" i="6" s="1"/>
  <c r="C111" i="4"/>
  <c r="C112" i="6" s="1"/>
  <c r="A112" i="4"/>
  <c r="I112" i="4" s="1"/>
  <c r="B111" i="4"/>
  <c r="B112" i="6" s="1"/>
  <c r="I112" i="6"/>
  <c r="H111" i="4"/>
  <c r="H112" i="6" s="1"/>
  <c r="E111" i="4"/>
  <c r="E112" i="6" s="1"/>
  <c r="G111" i="4"/>
  <c r="G112" i="6" s="1"/>
  <c r="F111" i="4"/>
  <c r="F112" i="6" s="1"/>
  <c r="C113" i="9"/>
  <c r="M113" i="9" s="1"/>
  <c r="J113" i="9"/>
  <c r="B113" i="9"/>
  <c r="I113" i="9"/>
  <c r="R113" i="9" s="1"/>
  <c r="H113" i="9"/>
  <c r="G113" i="9"/>
  <c r="N113" i="9" s="1"/>
  <c r="F113" i="9"/>
  <c r="D113" i="9"/>
  <c r="E113" i="9"/>
  <c r="Q113" i="9" s="1"/>
  <c r="L113" i="9" l="1"/>
  <c r="P113" i="9"/>
  <c r="J112" i="6"/>
  <c r="A113" i="6"/>
  <c r="A115" i="9" s="1"/>
  <c r="C112" i="4"/>
  <c r="C113" i="6" s="1"/>
  <c r="A113" i="4"/>
  <c r="I113" i="4" s="1"/>
  <c r="B112" i="4"/>
  <c r="I113" i="6"/>
  <c r="H112" i="4"/>
  <c r="H113" i="6" s="1"/>
  <c r="D112" i="4"/>
  <c r="D113" i="6" s="1"/>
  <c r="F112" i="4"/>
  <c r="F113" i="6" s="1"/>
  <c r="G112" i="4"/>
  <c r="G113" i="6" s="1"/>
  <c r="E112" i="4"/>
  <c r="E113" i="6" s="1"/>
  <c r="I114" i="9"/>
  <c r="R114" i="9" s="1"/>
  <c r="H114" i="9"/>
  <c r="G114" i="9"/>
  <c r="N114" i="9" s="1"/>
  <c r="F114" i="9"/>
  <c r="E114" i="9"/>
  <c r="Q114" i="9" s="1"/>
  <c r="D114" i="9"/>
  <c r="J114" i="9"/>
  <c r="B114" i="9"/>
  <c r="C114" i="9"/>
  <c r="M114" i="9" s="1"/>
  <c r="L114" i="9" l="1"/>
  <c r="P114" i="9"/>
  <c r="B113" i="6"/>
  <c r="J113" i="6" s="1"/>
  <c r="A114" i="4"/>
  <c r="I114" i="4" s="1"/>
  <c r="B113" i="4"/>
  <c r="B114" i="6" s="1"/>
  <c r="I114" i="6"/>
  <c r="H113" i="4"/>
  <c r="H114" i="6" s="1"/>
  <c r="G113" i="4"/>
  <c r="G114" i="6" s="1"/>
  <c r="A114" i="6"/>
  <c r="A116" i="9" s="1"/>
  <c r="C113" i="4"/>
  <c r="C114" i="6" s="1"/>
  <c r="F113" i="4"/>
  <c r="F114" i="6" s="1"/>
  <c r="E113" i="4"/>
  <c r="E114" i="6" s="1"/>
  <c r="D113" i="4"/>
  <c r="D114" i="6" s="1"/>
  <c r="G115" i="9"/>
  <c r="N115" i="9" s="1"/>
  <c r="F115" i="9"/>
  <c r="E115" i="9"/>
  <c r="Q115" i="9" s="1"/>
  <c r="D115" i="9"/>
  <c r="C115" i="9"/>
  <c r="M115" i="9" s="1"/>
  <c r="J115" i="9"/>
  <c r="B115" i="9"/>
  <c r="H115" i="9"/>
  <c r="I115" i="9"/>
  <c r="R115" i="9" s="1"/>
  <c r="L115" i="9" l="1"/>
  <c r="P115" i="9"/>
  <c r="E116" i="9"/>
  <c r="Q116" i="9" s="1"/>
  <c r="D116" i="9"/>
  <c r="C116" i="9"/>
  <c r="M116" i="9" s="1"/>
  <c r="J116" i="9"/>
  <c r="B116" i="9"/>
  <c r="I116" i="9"/>
  <c r="R116" i="9" s="1"/>
  <c r="H116" i="9"/>
  <c r="F116" i="9"/>
  <c r="G116" i="9"/>
  <c r="N116" i="9" s="1"/>
  <c r="J114" i="6"/>
  <c r="A115" i="6"/>
  <c r="A117" i="9" s="1"/>
  <c r="I115" i="6"/>
  <c r="H114" i="4"/>
  <c r="H115" i="6" s="1"/>
  <c r="G114" i="4"/>
  <c r="G115" i="6" s="1"/>
  <c r="F114" i="4"/>
  <c r="F115" i="6" s="1"/>
  <c r="B114" i="4"/>
  <c r="A115" i="4"/>
  <c r="I115" i="4" s="1"/>
  <c r="D114" i="4"/>
  <c r="D115" i="6" s="1"/>
  <c r="E114" i="4"/>
  <c r="E115" i="6" s="1"/>
  <c r="C114" i="4"/>
  <c r="C115" i="6" s="1"/>
  <c r="L116" i="9" l="1"/>
  <c r="P116" i="9"/>
  <c r="B115" i="6"/>
  <c r="J115" i="6" s="1"/>
  <c r="C117" i="9"/>
  <c r="M117" i="9" s="1"/>
  <c r="J117" i="9"/>
  <c r="B117" i="9"/>
  <c r="I117" i="9"/>
  <c r="R117" i="9" s="1"/>
  <c r="H117" i="9"/>
  <c r="G117" i="9"/>
  <c r="N117" i="9" s="1"/>
  <c r="F117" i="9"/>
  <c r="D117" i="9"/>
  <c r="E117" i="9"/>
  <c r="Q117" i="9" s="1"/>
  <c r="A116" i="6"/>
  <c r="A118" i="9" s="1"/>
  <c r="H115" i="4"/>
  <c r="H116" i="6" s="1"/>
  <c r="G115" i="4"/>
  <c r="G116" i="6" s="1"/>
  <c r="F115" i="4"/>
  <c r="F116" i="6" s="1"/>
  <c r="E115" i="4"/>
  <c r="E116" i="6" s="1"/>
  <c r="I116" i="6"/>
  <c r="D115" i="4"/>
  <c r="D116" i="6" s="1"/>
  <c r="C115" i="4"/>
  <c r="C116" i="6" s="1"/>
  <c r="B115" i="4"/>
  <c r="B116" i="6" s="1"/>
  <c r="A116" i="4"/>
  <c r="I116" i="4" s="1"/>
  <c r="L117" i="9" l="1"/>
  <c r="P117" i="9"/>
  <c r="J116" i="6"/>
  <c r="I118" i="9"/>
  <c r="R118" i="9" s="1"/>
  <c r="H118" i="9"/>
  <c r="G118" i="9"/>
  <c r="N118" i="9" s="1"/>
  <c r="F118" i="9"/>
  <c r="E118" i="9"/>
  <c r="Q118" i="9" s="1"/>
  <c r="D118" i="9"/>
  <c r="J118" i="9"/>
  <c r="B118" i="9"/>
  <c r="C118" i="9"/>
  <c r="M118" i="9" s="1"/>
  <c r="A117" i="6"/>
  <c r="A119" i="9" s="1"/>
  <c r="G116" i="4"/>
  <c r="G117" i="6" s="1"/>
  <c r="F116" i="4"/>
  <c r="F117" i="6" s="1"/>
  <c r="E116" i="4"/>
  <c r="E117" i="6" s="1"/>
  <c r="D116" i="4"/>
  <c r="D117" i="6" s="1"/>
  <c r="H116" i="4"/>
  <c r="H117" i="6" s="1"/>
  <c r="A117" i="4"/>
  <c r="I117" i="4" s="1"/>
  <c r="I117" i="6"/>
  <c r="B116" i="4"/>
  <c r="C116" i="4"/>
  <c r="C117" i="6" s="1"/>
  <c r="L118" i="9" l="1"/>
  <c r="P118" i="9"/>
  <c r="B117" i="6"/>
  <c r="J117" i="6" s="1"/>
  <c r="G119" i="9"/>
  <c r="N119" i="9" s="1"/>
  <c r="F119" i="9"/>
  <c r="E119" i="9"/>
  <c r="Q119" i="9" s="1"/>
  <c r="D119" i="9"/>
  <c r="C119" i="9"/>
  <c r="M119" i="9" s="1"/>
  <c r="J119" i="9"/>
  <c r="B119" i="9"/>
  <c r="H119" i="9"/>
  <c r="I119" i="9"/>
  <c r="R119" i="9" s="1"/>
  <c r="A118" i="6"/>
  <c r="A120" i="9" s="1"/>
  <c r="F117" i="4"/>
  <c r="F118" i="6" s="1"/>
  <c r="E117" i="4"/>
  <c r="E118" i="6" s="1"/>
  <c r="D117" i="4"/>
  <c r="D118" i="6" s="1"/>
  <c r="C117" i="4"/>
  <c r="C118" i="6" s="1"/>
  <c r="G117" i="4"/>
  <c r="G118" i="6" s="1"/>
  <c r="B117" i="4"/>
  <c r="B118" i="6" s="1"/>
  <c r="I118" i="6"/>
  <c r="A118" i="4"/>
  <c r="I118" i="4" s="1"/>
  <c r="H117" i="4"/>
  <c r="H118" i="6" s="1"/>
  <c r="L119" i="9" l="1"/>
  <c r="P119" i="9"/>
  <c r="J118" i="6"/>
  <c r="E120" i="9"/>
  <c r="Q120" i="9" s="1"/>
  <c r="D120" i="9"/>
  <c r="C120" i="9"/>
  <c r="M120" i="9" s="1"/>
  <c r="J120" i="9"/>
  <c r="B120" i="9"/>
  <c r="I120" i="9"/>
  <c r="R120" i="9" s="1"/>
  <c r="H120" i="9"/>
  <c r="F120" i="9"/>
  <c r="G120" i="9"/>
  <c r="N120" i="9" s="1"/>
  <c r="A119" i="6"/>
  <c r="A121" i="9" s="1"/>
  <c r="E118" i="4"/>
  <c r="E119" i="6" s="1"/>
  <c r="D118" i="4"/>
  <c r="D119" i="6" s="1"/>
  <c r="C118" i="4"/>
  <c r="C119" i="6" s="1"/>
  <c r="A119" i="4"/>
  <c r="I119" i="4" s="1"/>
  <c r="B118" i="4"/>
  <c r="I119" i="6"/>
  <c r="H118" i="4"/>
  <c r="H119" i="6" s="1"/>
  <c r="F118" i="4"/>
  <c r="F119" i="6" s="1"/>
  <c r="G118" i="4"/>
  <c r="G119" i="6" s="1"/>
  <c r="L120" i="9" l="1"/>
  <c r="P120" i="9"/>
  <c r="B119" i="6"/>
  <c r="J119" i="6" s="1"/>
  <c r="A120" i="6"/>
  <c r="A122" i="9" s="1"/>
  <c r="D119" i="4"/>
  <c r="D120" i="6" s="1"/>
  <c r="C119" i="4"/>
  <c r="C120" i="6" s="1"/>
  <c r="A120" i="4"/>
  <c r="I120" i="4" s="1"/>
  <c r="B119" i="4"/>
  <c r="B120" i="6" s="1"/>
  <c r="I120" i="6"/>
  <c r="E119" i="4"/>
  <c r="E120" i="6" s="1"/>
  <c r="G119" i="4"/>
  <c r="G120" i="6" s="1"/>
  <c r="H119" i="4"/>
  <c r="H120" i="6" s="1"/>
  <c r="F119" i="4"/>
  <c r="F120" i="6" s="1"/>
  <c r="C121" i="9"/>
  <c r="M121" i="9" s="1"/>
  <c r="J121" i="9"/>
  <c r="B121" i="9"/>
  <c r="I121" i="9"/>
  <c r="R121" i="9" s="1"/>
  <c r="H121" i="9"/>
  <c r="G121" i="9"/>
  <c r="N121" i="9" s="1"/>
  <c r="F121" i="9"/>
  <c r="D121" i="9"/>
  <c r="E121" i="9"/>
  <c r="Q121" i="9" s="1"/>
  <c r="L121" i="9" l="1"/>
  <c r="P121" i="9"/>
  <c r="J120" i="6"/>
  <c r="A121" i="6"/>
  <c r="A123" i="9" s="1"/>
  <c r="C120" i="4"/>
  <c r="C121" i="6" s="1"/>
  <c r="A121" i="4"/>
  <c r="I121" i="4" s="1"/>
  <c r="B120" i="4"/>
  <c r="B121" i="6" s="1"/>
  <c r="I121" i="6"/>
  <c r="H120" i="4"/>
  <c r="H121" i="6" s="1"/>
  <c r="G120" i="4"/>
  <c r="G121" i="6" s="1"/>
  <c r="F120" i="4"/>
  <c r="F121" i="6" s="1"/>
  <c r="D120" i="4"/>
  <c r="D121" i="6" s="1"/>
  <c r="E120" i="4"/>
  <c r="E121" i="6" s="1"/>
  <c r="I122" i="9"/>
  <c r="R122" i="9" s="1"/>
  <c r="H122" i="9"/>
  <c r="G122" i="9"/>
  <c r="N122" i="9" s="1"/>
  <c r="F122" i="9"/>
  <c r="E122" i="9"/>
  <c r="Q122" i="9" s="1"/>
  <c r="D122" i="9"/>
  <c r="J122" i="9"/>
  <c r="B122" i="9"/>
  <c r="C122" i="9"/>
  <c r="M122" i="9" s="1"/>
  <c r="L122" i="9" l="1"/>
  <c r="P122" i="9"/>
  <c r="J121" i="6"/>
  <c r="A122" i="6"/>
  <c r="A124" i="9" s="1"/>
  <c r="A122" i="4"/>
  <c r="I122" i="4" s="1"/>
  <c r="B121" i="4"/>
  <c r="B122" i="6" s="1"/>
  <c r="I122" i="6"/>
  <c r="H121" i="4"/>
  <c r="H122" i="6" s="1"/>
  <c r="G121" i="4"/>
  <c r="G122" i="6" s="1"/>
  <c r="C121" i="4"/>
  <c r="C122" i="6" s="1"/>
  <c r="E121" i="4"/>
  <c r="E122" i="6" s="1"/>
  <c r="D121" i="4"/>
  <c r="D122" i="6" s="1"/>
  <c r="F121" i="4"/>
  <c r="F122" i="6" s="1"/>
  <c r="G123" i="9"/>
  <c r="N123" i="9" s="1"/>
  <c r="F123" i="9"/>
  <c r="E123" i="9"/>
  <c r="Q123" i="9" s="1"/>
  <c r="D123" i="9"/>
  <c r="C123" i="9"/>
  <c r="M123" i="9" s="1"/>
  <c r="J123" i="9"/>
  <c r="B123" i="9"/>
  <c r="H123" i="9"/>
  <c r="I123" i="9"/>
  <c r="R123" i="9" s="1"/>
  <c r="L123" i="9" l="1"/>
  <c r="P123" i="9"/>
  <c r="J122" i="6"/>
  <c r="A123" i="6"/>
  <c r="A125" i="9" s="1"/>
  <c r="I123" i="6"/>
  <c r="H122" i="4"/>
  <c r="H123" i="6" s="1"/>
  <c r="G122" i="4"/>
  <c r="G123" i="6" s="1"/>
  <c r="F122" i="4"/>
  <c r="F123" i="6" s="1"/>
  <c r="A123" i="4"/>
  <c r="I123" i="4" s="1"/>
  <c r="B122" i="4"/>
  <c r="B123" i="6" s="1"/>
  <c r="E122" i="4"/>
  <c r="E123" i="6" s="1"/>
  <c r="D122" i="4"/>
  <c r="D123" i="6" s="1"/>
  <c r="C122" i="4"/>
  <c r="C123" i="6" s="1"/>
  <c r="E124" i="9"/>
  <c r="Q124" i="9" s="1"/>
  <c r="D124" i="9"/>
  <c r="C124" i="9"/>
  <c r="M124" i="9" s="1"/>
  <c r="J124" i="9"/>
  <c r="B124" i="9"/>
  <c r="I124" i="9"/>
  <c r="R124" i="9" s="1"/>
  <c r="H124" i="9"/>
  <c r="F124" i="9"/>
  <c r="G124" i="9"/>
  <c r="N124" i="9" s="1"/>
  <c r="L124" i="9" l="1"/>
  <c r="P124" i="9"/>
  <c r="J123" i="6"/>
  <c r="A124" i="6"/>
  <c r="A126" i="9" s="1"/>
  <c r="H123" i="4"/>
  <c r="H124" i="6" s="1"/>
  <c r="G123" i="4"/>
  <c r="G124" i="6" s="1"/>
  <c r="F123" i="4"/>
  <c r="F124" i="6" s="1"/>
  <c r="E123" i="4"/>
  <c r="E124" i="6" s="1"/>
  <c r="I124" i="6"/>
  <c r="A124" i="4"/>
  <c r="I124" i="4" s="1"/>
  <c r="C123" i="4"/>
  <c r="C124" i="6" s="1"/>
  <c r="B123" i="4"/>
  <c r="B124" i="6" s="1"/>
  <c r="D123" i="4"/>
  <c r="D124" i="6" s="1"/>
  <c r="C125" i="9"/>
  <c r="M125" i="9" s="1"/>
  <c r="J125" i="9"/>
  <c r="B125" i="9"/>
  <c r="I125" i="9"/>
  <c r="R125" i="9" s="1"/>
  <c r="H125" i="9"/>
  <c r="G125" i="9"/>
  <c r="N125" i="9" s="1"/>
  <c r="F125" i="9"/>
  <c r="D125" i="9"/>
  <c r="E125" i="9"/>
  <c r="Q125" i="9" s="1"/>
  <c r="L125" i="9" l="1"/>
  <c r="P125" i="9"/>
  <c r="A125" i="6"/>
  <c r="A127" i="9" s="1"/>
  <c r="G124" i="4"/>
  <c r="G125" i="6" s="1"/>
  <c r="F124" i="4"/>
  <c r="F125" i="6" s="1"/>
  <c r="E124" i="4"/>
  <c r="E125" i="6" s="1"/>
  <c r="D124" i="4"/>
  <c r="D125" i="6" s="1"/>
  <c r="H124" i="4"/>
  <c r="H125" i="6" s="1"/>
  <c r="C124" i="4"/>
  <c r="C125" i="6" s="1"/>
  <c r="B124" i="4"/>
  <c r="B125" i="6" s="1"/>
  <c r="A125" i="4"/>
  <c r="I125" i="4" s="1"/>
  <c r="I125" i="6"/>
  <c r="J124" i="6"/>
  <c r="I126" i="9"/>
  <c r="R126" i="9" s="1"/>
  <c r="H126" i="9"/>
  <c r="G126" i="9"/>
  <c r="N126" i="9" s="1"/>
  <c r="F126" i="9"/>
  <c r="E126" i="9"/>
  <c r="Q126" i="9" s="1"/>
  <c r="D126" i="9"/>
  <c r="J126" i="9"/>
  <c r="B126" i="9"/>
  <c r="C126" i="9"/>
  <c r="M126" i="9" s="1"/>
  <c r="L126" i="9" l="1"/>
  <c r="P126" i="9"/>
  <c r="J125" i="6"/>
  <c r="A126" i="6"/>
  <c r="A128" i="9" s="1"/>
  <c r="F125" i="4"/>
  <c r="F126" i="6" s="1"/>
  <c r="E125" i="4"/>
  <c r="E126" i="6" s="1"/>
  <c r="D125" i="4"/>
  <c r="D126" i="6" s="1"/>
  <c r="C125" i="4"/>
  <c r="C126" i="6" s="1"/>
  <c r="A126" i="4"/>
  <c r="I126" i="4" s="1"/>
  <c r="I126" i="6"/>
  <c r="G125" i="4"/>
  <c r="G126" i="6" s="1"/>
  <c r="H125" i="4"/>
  <c r="H126" i="6" s="1"/>
  <c r="B125" i="4"/>
  <c r="B126" i="6" s="1"/>
  <c r="G127" i="9"/>
  <c r="N127" i="9" s="1"/>
  <c r="F127" i="9"/>
  <c r="E127" i="9"/>
  <c r="Q127" i="9" s="1"/>
  <c r="D127" i="9"/>
  <c r="C127" i="9"/>
  <c r="M127" i="9" s="1"/>
  <c r="J127" i="9"/>
  <c r="B127" i="9"/>
  <c r="H127" i="9"/>
  <c r="I127" i="9"/>
  <c r="R127" i="9" s="1"/>
  <c r="L127" i="9" l="1"/>
  <c r="P127" i="9"/>
  <c r="A127" i="6"/>
  <c r="A129" i="9" s="1"/>
  <c r="E126" i="4"/>
  <c r="E127" i="6" s="1"/>
  <c r="D126" i="4"/>
  <c r="D127" i="6" s="1"/>
  <c r="C126" i="4"/>
  <c r="C127" i="6" s="1"/>
  <c r="A127" i="4"/>
  <c r="I127" i="4" s="1"/>
  <c r="B126" i="4"/>
  <c r="B127" i="6" s="1"/>
  <c r="F126" i="4"/>
  <c r="F127" i="6" s="1"/>
  <c r="H126" i="4"/>
  <c r="H127" i="6" s="1"/>
  <c r="I127" i="6"/>
  <c r="G126" i="4"/>
  <c r="G127" i="6" s="1"/>
  <c r="J126" i="6"/>
  <c r="E128" i="9"/>
  <c r="Q128" i="9" s="1"/>
  <c r="D128" i="9"/>
  <c r="C128" i="9"/>
  <c r="M128" i="9" s="1"/>
  <c r="J128" i="9"/>
  <c r="B128" i="9"/>
  <c r="I128" i="9"/>
  <c r="R128" i="9" s="1"/>
  <c r="H128" i="9"/>
  <c r="F128" i="9"/>
  <c r="G128" i="9"/>
  <c r="N128" i="9" s="1"/>
  <c r="L128" i="9" l="1"/>
  <c r="P128" i="9"/>
  <c r="J127" i="6"/>
  <c r="A128" i="6"/>
  <c r="A130" i="9" s="1"/>
  <c r="D127" i="4"/>
  <c r="D128" i="6" s="1"/>
  <c r="C127" i="4"/>
  <c r="C128" i="6" s="1"/>
  <c r="A128" i="4"/>
  <c r="I128" i="4" s="1"/>
  <c r="B127" i="4"/>
  <c r="B128" i="6" s="1"/>
  <c r="I128" i="6"/>
  <c r="E127" i="4"/>
  <c r="E128" i="6" s="1"/>
  <c r="H127" i="4"/>
  <c r="H128" i="6" s="1"/>
  <c r="G127" i="4"/>
  <c r="G128" i="6" s="1"/>
  <c r="F127" i="4"/>
  <c r="F128" i="6" s="1"/>
  <c r="C129" i="9"/>
  <c r="M129" i="9" s="1"/>
  <c r="J129" i="9"/>
  <c r="B129" i="9"/>
  <c r="I129" i="9"/>
  <c r="R129" i="9" s="1"/>
  <c r="H129" i="9"/>
  <c r="G129" i="9"/>
  <c r="N129" i="9" s="1"/>
  <c r="F129" i="9"/>
  <c r="D129" i="9"/>
  <c r="E129" i="9"/>
  <c r="Q129" i="9" s="1"/>
  <c r="L129" i="9" l="1"/>
  <c r="P129" i="9"/>
  <c r="J128" i="6"/>
  <c r="A129" i="6"/>
  <c r="A131" i="9" s="1"/>
  <c r="C128" i="4"/>
  <c r="C129" i="6" s="1"/>
  <c r="A129" i="4"/>
  <c r="I129" i="4" s="1"/>
  <c r="B128" i="4"/>
  <c r="B129" i="6" s="1"/>
  <c r="I129" i="6"/>
  <c r="H128" i="4"/>
  <c r="H129" i="6" s="1"/>
  <c r="D128" i="4"/>
  <c r="D129" i="6" s="1"/>
  <c r="F128" i="4"/>
  <c r="F129" i="6" s="1"/>
  <c r="G128" i="4"/>
  <c r="G129" i="6" s="1"/>
  <c r="E128" i="4"/>
  <c r="E129" i="6" s="1"/>
  <c r="I130" i="9"/>
  <c r="R130" i="9" s="1"/>
  <c r="H130" i="9"/>
  <c r="G130" i="9"/>
  <c r="N130" i="9" s="1"/>
  <c r="F130" i="9"/>
  <c r="E130" i="9"/>
  <c r="Q130" i="9" s="1"/>
  <c r="D130" i="9"/>
  <c r="J130" i="9"/>
  <c r="B130" i="9"/>
  <c r="C130" i="9"/>
  <c r="M130" i="9" s="1"/>
  <c r="L130" i="9" l="1"/>
  <c r="P130" i="9"/>
  <c r="J129" i="6"/>
  <c r="A130" i="6"/>
  <c r="A132" i="9" s="1"/>
  <c r="A130" i="4"/>
  <c r="I130" i="4" s="1"/>
  <c r="B129" i="4"/>
  <c r="B130" i="6" s="1"/>
  <c r="I130" i="6"/>
  <c r="H129" i="4"/>
  <c r="H130" i="6" s="1"/>
  <c r="G129" i="4"/>
  <c r="G130" i="6" s="1"/>
  <c r="F129" i="4"/>
  <c r="F130" i="6" s="1"/>
  <c r="E129" i="4"/>
  <c r="E130" i="6" s="1"/>
  <c r="C129" i="4"/>
  <c r="C130" i="6" s="1"/>
  <c r="D129" i="4"/>
  <c r="D130" i="6" s="1"/>
  <c r="G131" i="9"/>
  <c r="N131" i="9" s="1"/>
  <c r="F131" i="9"/>
  <c r="E131" i="9"/>
  <c r="Q131" i="9" s="1"/>
  <c r="D131" i="9"/>
  <c r="C131" i="9"/>
  <c r="M131" i="9" s="1"/>
  <c r="J131" i="9"/>
  <c r="B131" i="9"/>
  <c r="H131" i="9"/>
  <c r="I131" i="9"/>
  <c r="R131" i="9" s="1"/>
  <c r="L131" i="9" l="1"/>
  <c r="P131" i="9"/>
  <c r="J130" i="6"/>
  <c r="A131" i="6"/>
  <c r="A133" i="9" s="1"/>
  <c r="I131" i="6"/>
  <c r="H130" i="4"/>
  <c r="H131" i="6" s="1"/>
  <c r="G130" i="4"/>
  <c r="G131" i="6" s="1"/>
  <c r="F130" i="4"/>
  <c r="F131" i="6" s="1"/>
  <c r="B130" i="4"/>
  <c r="B131" i="6" s="1"/>
  <c r="A131" i="4"/>
  <c r="I131" i="4" s="1"/>
  <c r="D130" i="4"/>
  <c r="D131" i="6" s="1"/>
  <c r="E130" i="4"/>
  <c r="E131" i="6" s="1"/>
  <c r="C130" i="4"/>
  <c r="C131" i="6" s="1"/>
  <c r="E132" i="9"/>
  <c r="Q132" i="9" s="1"/>
  <c r="D132" i="9"/>
  <c r="C132" i="9"/>
  <c r="M132" i="9" s="1"/>
  <c r="J132" i="9"/>
  <c r="B132" i="9"/>
  <c r="I132" i="9"/>
  <c r="R132" i="9" s="1"/>
  <c r="H132" i="9"/>
  <c r="F132" i="9"/>
  <c r="G132" i="9"/>
  <c r="N132" i="9" s="1"/>
  <c r="L132" i="9" l="1"/>
  <c r="P132" i="9"/>
  <c r="J131" i="6"/>
  <c r="H131" i="4"/>
  <c r="H132" i="6" s="1"/>
  <c r="G131" i="4"/>
  <c r="G132" i="6" s="1"/>
  <c r="F131" i="4"/>
  <c r="F132" i="6" s="1"/>
  <c r="A132" i="6"/>
  <c r="A134" i="9" s="1"/>
  <c r="E131" i="4"/>
  <c r="E132" i="6" s="1"/>
  <c r="I132" i="6"/>
  <c r="D131" i="4"/>
  <c r="D132" i="6" s="1"/>
  <c r="C131" i="4"/>
  <c r="C132" i="6" s="1"/>
  <c r="B131" i="4"/>
  <c r="B132" i="6" s="1"/>
  <c r="A132" i="4"/>
  <c r="I132" i="4" s="1"/>
  <c r="C133" i="9"/>
  <c r="M133" i="9" s="1"/>
  <c r="J133" i="9"/>
  <c r="B133" i="9"/>
  <c r="I133" i="9"/>
  <c r="R133" i="9" s="1"/>
  <c r="H133" i="9"/>
  <c r="G133" i="9"/>
  <c r="N133" i="9" s="1"/>
  <c r="F133" i="9"/>
  <c r="D133" i="9"/>
  <c r="E133" i="9"/>
  <c r="Q133" i="9" s="1"/>
  <c r="L133" i="9" l="1"/>
  <c r="P133" i="9"/>
  <c r="I134" i="9"/>
  <c r="R134" i="9" s="1"/>
  <c r="H134" i="9"/>
  <c r="G134" i="9"/>
  <c r="N134" i="9" s="1"/>
  <c r="F134" i="9"/>
  <c r="E134" i="9"/>
  <c r="Q134" i="9" s="1"/>
  <c r="D134" i="9"/>
  <c r="J134" i="9"/>
  <c r="B134" i="9"/>
  <c r="C134" i="9"/>
  <c r="M134" i="9" s="1"/>
  <c r="A133" i="6"/>
  <c r="A135" i="9" s="1"/>
  <c r="G132" i="4"/>
  <c r="G133" i="6" s="1"/>
  <c r="F132" i="4"/>
  <c r="F133" i="6" s="1"/>
  <c r="E132" i="4"/>
  <c r="E133" i="6" s="1"/>
  <c r="D132" i="4"/>
  <c r="D133" i="6" s="1"/>
  <c r="A133" i="4"/>
  <c r="H132" i="4"/>
  <c r="H133" i="6" s="1"/>
  <c r="I133" i="6"/>
  <c r="B132" i="4"/>
  <c r="B133" i="6" s="1"/>
  <c r="C132" i="4"/>
  <c r="C133" i="6" s="1"/>
  <c r="J132" i="6"/>
  <c r="L134" i="9" l="1"/>
  <c r="P134" i="9"/>
  <c r="G12" i="3" a="1"/>
  <c r="G12" i="3" s="1"/>
  <c r="G13" i="3" a="1"/>
  <c r="G13" i="3" s="1"/>
  <c r="G10" i="3" a="1"/>
  <c r="G10" i="3" s="1"/>
  <c r="G11" i="3" a="1"/>
  <c r="G11" i="3" s="1"/>
  <c r="G8" i="3" a="1"/>
  <c r="G8" i="3" s="1"/>
  <c r="G9" i="3" a="1"/>
  <c r="G9" i="3" s="1"/>
  <c r="I133" i="4"/>
  <c r="G7" i="3" a="1"/>
  <c r="G7" i="3" s="1"/>
  <c r="A134" i="6"/>
  <c r="F133" i="4"/>
  <c r="F134" i="6" s="1"/>
  <c r="E133" i="4"/>
  <c r="E134" i="6" s="1"/>
  <c r="D133" i="4"/>
  <c r="D134" i="6" s="1"/>
  <c r="C133" i="4"/>
  <c r="C134" i="6" s="1"/>
  <c r="G133" i="4"/>
  <c r="G134" i="6" s="1"/>
  <c r="B133" i="4"/>
  <c r="B134" i="6" s="1"/>
  <c r="H133" i="4"/>
  <c r="H134" i="6" s="1"/>
  <c r="F13" i="3"/>
  <c r="J13" i="3" s="1"/>
  <c r="F12" i="3"/>
  <c r="J12" i="3" s="1"/>
  <c r="I33" i="3"/>
  <c r="F8" i="3"/>
  <c r="J8" i="3" s="1"/>
  <c r="F9" i="3"/>
  <c r="J9" i="3" s="1"/>
  <c r="G35" i="3"/>
  <c r="I35" i="3" s="1"/>
  <c r="F7" i="3"/>
  <c r="J7" i="3" s="1"/>
  <c r="B8" i="2"/>
  <c r="B60" i="1" s="1"/>
  <c r="F10" i="3"/>
  <c r="J10" i="3" s="1"/>
  <c r="B7" i="2"/>
  <c r="G33" i="3"/>
  <c r="F11" i="3"/>
  <c r="J11" i="3" s="1"/>
  <c r="G135" i="9"/>
  <c r="N135" i="9" s="1"/>
  <c r="F135" i="9"/>
  <c r="E135" i="9"/>
  <c r="Q135" i="9" s="1"/>
  <c r="D135" i="9"/>
  <c r="C135" i="9"/>
  <c r="M135" i="9" s="1"/>
  <c r="J135" i="9"/>
  <c r="B135" i="9"/>
  <c r="H135" i="9"/>
  <c r="I135" i="9"/>
  <c r="R135" i="9" s="1"/>
  <c r="J133" i="6"/>
  <c r="L135" i="9" l="1"/>
  <c r="P135" i="9"/>
  <c r="A135" i="4"/>
  <c r="G34" i="3"/>
  <c r="I34" i="3" s="1"/>
  <c r="B63" i="1" s="1"/>
  <c r="J134" i="6"/>
  <c r="I134" i="6"/>
  <c r="F8" i="11"/>
  <c r="G8" i="11" s="1"/>
  <c r="H43" i="7"/>
  <c r="K9" i="3"/>
  <c r="F11" i="11"/>
  <c r="G11" i="11" s="1"/>
  <c r="H46" i="7"/>
  <c r="K12" i="3"/>
  <c r="F9" i="11"/>
  <c r="G9" i="11" s="1"/>
  <c r="H44" i="7"/>
  <c r="K10" i="3"/>
  <c r="B61" i="1"/>
  <c r="A3" i="12"/>
  <c r="F10" i="11"/>
  <c r="G10" i="11" s="1"/>
  <c r="H45" i="7"/>
  <c r="K11" i="3"/>
  <c r="F7" i="11"/>
  <c r="G7" i="11" s="1"/>
  <c r="H42" i="7"/>
  <c r="K8" i="3"/>
  <c r="F6" i="11"/>
  <c r="G6" i="11" s="1"/>
  <c r="H41" i="7"/>
  <c r="K7" i="3"/>
  <c r="F12" i="11"/>
  <c r="G12" i="11" s="1"/>
  <c r="H47" i="7"/>
  <c r="K13" i="3"/>
  <c r="A136" i="9"/>
  <c r="D8" i="8"/>
  <c r="F31" i="8"/>
  <c r="E12" i="8"/>
  <c r="F13" i="8"/>
  <c r="F11" i="8"/>
  <c r="F10" i="8"/>
  <c r="D13" i="8"/>
  <c r="F41" i="7"/>
  <c r="G7" i="8"/>
  <c r="C8" i="8"/>
  <c r="G37" i="3"/>
  <c r="G137" i="6"/>
  <c r="F19" i="8"/>
  <c r="C138" i="6"/>
  <c r="E44" i="7"/>
  <c r="F8" i="8"/>
  <c r="C12" i="8"/>
  <c r="E138" i="6"/>
  <c r="B27" i="7"/>
  <c r="G36" i="3"/>
  <c r="B9" i="7"/>
  <c r="I37" i="3"/>
  <c r="G139" i="6"/>
  <c r="G9" i="8"/>
  <c r="D7" i="8"/>
  <c r="C15" i="7"/>
  <c r="C19" i="10" s="1"/>
  <c r="I137" i="6"/>
  <c r="C140" i="6"/>
  <c r="B10" i="8"/>
  <c r="F36" i="8"/>
  <c r="C9" i="8"/>
  <c r="F138" i="6"/>
  <c r="B8" i="7"/>
  <c r="H137" i="6"/>
  <c r="H10" i="8"/>
  <c r="H8" i="8"/>
  <c r="B12" i="8"/>
  <c r="H13" i="8"/>
  <c r="E43" i="7"/>
  <c r="C136" i="6"/>
  <c r="G142" i="6"/>
  <c r="J140" i="6"/>
  <c r="H140" i="6"/>
  <c r="C14" i="7"/>
  <c r="I141" i="6"/>
  <c r="D138" i="6"/>
  <c r="C137" i="6"/>
  <c r="D137" i="6"/>
  <c r="E41" i="7"/>
  <c r="G8" i="8"/>
  <c r="H7" i="8"/>
  <c r="D10" i="8"/>
  <c r="C9" i="7"/>
  <c r="B142" i="6"/>
  <c r="F22" i="8"/>
  <c r="H141" i="6"/>
  <c r="H12" i="8"/>
  <c r="J139" i="6"/>
  <c r="F28" i="8"/>
  <c r="F30" i="8"/>
  <c r="B36" i="7"/>
  <c r="B20" i="10" s="1"/>
  <c r="F42" i="7"/>
  <c r="E46" i="7"/>
  <c r="F26" i="8"/>
  <c r="B9" i="2"/>
  <c r="B9" i="1" s="1"/>
  <c r="I139" i="6"/>
  <c r="B137" i="6"/>
  <c r="C10" i="7"/>
  <c r="D136" i="6"/>
  <c r="I138" i="6"/>
  <c r="J141" i="6"/>
  <c r="B6" i="7"/>
  <c r="B10" i="7"/>
  <c r="C7" i="7"/>
  <c r="B15" i="7"/>
  <c r="C13" i="8"/>
  <c r="F25" i="8"/>
  <c r="C8" i="7"/>
  <c r="F137" i="6"/>
  <c r="B37" i="7"/>
  <c r="B21" i="10" s="1"/>
  <c r="D12" i="8"/>
  <c r="F24" i="8"/>
  <c r="E13" i="8"/>
  <c r="B13" i="7"/>
  <c r="D11" i="8"/>
  <c r="J142" i="6"/>
  <c r="H142" i="6"/>
  <c r="E136" i="6"/>
  <c r="B8" i="8"/>
  <c r="H136" i="6"/>
  <c r="I140" i="6"/>
  <c r="C22" i="7"/>
  <c r="E42" i="7"/>
  <c r="F43" i="7"/>
  <c r="J138" i="6"/>
  <c r="B30" i="7"/>
  <c r="B14" i="7"/>
  <c r="D139" i="6"/>
  <c r="B139" i="6"/>
  <c r="F21" i="8"/>
  <c r="F139" i="6"/>
  <c r="F32" i="8"/>
  <c r="D141" i="6"/>
  <c r="G11" i="8"/>
  <c r="E140" i="6"/>
  <c r="D9" i="8"/>
  <c r="F37" i="8"/>
  <c r="B7" i="7"/>
  <c r="F46" i="7"/>
  <c r="D142" i="6"/>
  <c r="C7" i="8"/>
  <c r="F12" i="8"/>
  <c r="I136" i="6"/>
  <c r="E137" i="6"/>
  <c r="B9" i="8"/>
  <c r="G140" i="6"/>
  <c r="B141" i="6"/>
  <c r="C141" i="6"/>
  <c r="E9" i="8"/>
  <c r="B136" i="6"/>
  <c r="E142" i="6"/>
  <c r="H139" i="6"/>
  <c r="J136" i="6"/>
  <c r="F136" i="6"/>
  <c r="E47" i="7"/>
  <c r="E45" i="7"/>
  <c r="G12" i="8"/>
  <c r="B29" i="7"/>
  <c r="F34" i="8"/>
  <c r="F23" i="8"/>
  <c r="B140" i="6"/>
  <c r="F33" i="8"/>
  <c r="C11" i="8"/>
  <c r="H9" i="8"/>
  <c r="E7" i="8"/>
  <c r="B11" i="8"/>
  <c r="C13" i="7"/>
  <c r="B7" i="8"/>
  <c r="F29" i="8"/>
  <c r="H138" i="6"/>
  <c r="F45" i="7"/>
  <c r="F18" i="8"/>
  <c r="I36" i="3"/>
  <c r="F35" i="8"/>
  <c r="J137" i="6"/>
  <c r="E11" i="8"/>
  <c r="F47" i="7"/>
  <c r="G141" i="6"/>
  <c r="F27" i="8"/>
  <c r="F142" i="6"/>
  <c r="B22" i="7"/>
  <c r="G13" i="8"/>
  <c r="F7" i="8"/>
  <c r="F17" i="8"/>
  <c r="C6" i="7"/>
  <c r="G138" i="6"/>
  <c r="C139" i="6"/>
  <c r="E8" i="8"/>
  <c r="F9" i="8"/>
  <c r="F140" i="6"/>
  <c r="B28" i="7"/>
  <c r="G136" i="6"/>
  <c r="G10" i="8"/>
  <c r="F20" i="8"/>
  <c r="E141" i="6"/>
  <c r="F44" i="7"/>
  <c r="C10" i="8"/>
  <c r="F141" i="6"/>
  <c r="E10" i="8"/>
  <c r="E139" i="6"/>
  <c r="I142" i="6"/>
  <c r="C142" i="6"/>
  <c r="B13" i="8"/>
  <c r="D140" i="6"/>
  <c r="B138" i="6"/>
  <c r="H11" i="8"/>
  <c r="I47" i="3" l="1"/>
  <c r="K14" i="3"/>
  <c r="G13" i="11"/>
  <c r="G47" i="3"/>
  <c r="D14" i="7"/>
  <c r="D22" i="7"/>
  <c r="D7" i="7"/>
  <c r="D13" i="7"/>
  <c r="D8" i="7"/>
  <c r="I23" i="8"/>
  <c r="G23" i="8"/>
  <c r="A23" i="8"/>
  <c r="X56" i="12"/>
  <c r="G21" i="11"/>
  <c r="A29" i="8"/>
  <c r="I29" i="8"/>
  <c r="G29" i="8"/>
  <c r="B20" i="11"/>
  <c r="S55" i="12"/>
  <c r="A37" i="8"/>
  <c r="I37" i="8"/>
  <c r="G37" i="8"/>
  <c r="C28" i="11"/>
  <c r="D41" i="7"/>
  <c r="V59" i="12"/>
  <c r="E24" i="11"/>
  <c r="B19" i="10"/>
  <c r="D19" i="10" s="1"/>
  <c r="D15" i="7"/>
  <c r="I28" i="8"/>
  <c r="G28" i="8"/>
  <c r="A28" i="8"/>
  <c r="H18" i="11"/>
  <c r="Y53" i="12"/>
  <c r="Y56" i="12"/>
  <c r="H21" i="11"/>
  <c r="J8" i="12"/>
  <c r="E26" i="10"/>
  <c r="B26" i="10"/>
  <c r="J6" i="12"/>
  <c r="E10" i="10"/>
  <c r="A51" i="7"/>
  <c r="B32" i="7"/>
  <c r="R7" i="12" s="1"/>
  <c r="E48" i="7"/>
  <c r="B10" i="10"/>
  <c r="J73" i="12" s="1"/>
  <c r="E23" i="11"/>
  <c r="V58" i="12"/>
  <c r="B43" i="8"/>
  <c r="C42" i="8"/>
  <c r="B42" i="8"/>
  <c r="B45" i="8"/>
  <c r="C44" i="8"/>
  <c r="C41" i="8"/>
  <c r="I17" i="8"/>
  <c r="B41" i="8"/>
  <c r="G17" i="8"/>
  <c r="B46" i="8"/>
  <c r="B44" i="8"/>
  <c r="A17" i="8"/>
  <c r="G24" i="8"/>
  <c r="I24" i="8"/>
  <c r="A24" i="8"/>
  <c r="E21" i="11"/>
  <c r="V56" i="12"/>
  <c r="B17" i="10"/>
  <c r="F48" i="7"/>
  <c r="W53" i="12"/>
  <c r="F18" i="11"/>
  <c r="I34" i="8"/>
  <c r="G34" i="8"/>
  <c r="A34" i="8"/>
  <c r="B19" i="11"/>
  <c r="S54" i="12"/>
  <c r="U58" i="12"/>
  <c r="D23" i="11"/>
  <c r="B40" i="11"/>
  <c r="B7" i="10"/>
  <c r="V6" i="12"/>
  <c r="E28" i="10"/>
  <c r="B28" i="10"/>
  <c r="V8" i="12"/>
  <c r="E7" i="10"/>
  <c r="D10" i="7"/>
  <c r="D48" i="7"/>
  <c r="H23" i="11"/>
  <c r="Y58" i="12"/>
  <c r="U53" i="12"/>
  <c r="D18" i="11"/>
  <c r="T58" i="12"/>
  <c r="C23" i="11"/>
  <c r="X53" i="12"/>
  <c r="G18" i="11"/>
  <c r="D19" i="11"/>
  <c r="U54" i="12"/>
  <c r="D20" i="11"/>
  <c r="U55" i="12"/>
  <c r="C9" i="11"/>
  <c r="D9" i="11" s="1"/>
  <c r="C44" i="7"/>
  <c r="H10" i="3"/>
  <c r="Y57" i="12"/>
  <c r="H22" i="11"/>
  <c r="G24" i="11"/>
  <c r="X59" i="12"/>
  <c r="A35" i="8"/>
  <c r="I35" i="8"/>
  <c r="G35" i="8"/>
  <c r="S57" i="12"/>
  <c r="B22" i="11"/>
  <c r="B18" i="10"/>
  <c r="A55" i="7"/>
  <c r="F23" i="11"/>
  <c r="W58" i="12"/>
  <c r="G22" i="11"/>
  <c r="X57" i="12"/>
  <c r="I26" i="8"/>
  <c r="G26" i="8"/>
  <c r="A26" i="8"/>
  <c r="C10" i="11"/>
  <c r="D10" i="11" s="1"/>
  <c r="C45" i="7"/>
  <c r="H11" i="3"/>
  <c r="X55" i="12"/>
  <c r="G20" i="11"/>
  <c r="W54" i="12"/>
  <c r="F19" i="11"/>
  <c r="E136" i="9"/>
  <c r="Q136" i="9" s="1"/>
  <c r="D136" i="9"/>
  <c r="C136" i="9"/>
  <c r="M136" i="9" s="1"/>
  <c r="J136" i="9"/>
  <c r="B136" i="9"/>
  <c r="I136" i="9"/>
  <c r="R136" i="9" s="1"/>
  <c r="H136" i="9"/>
  <c r="F136" i="9"/>
  <c r="G136" i="9"/>
  <c r="N136" i="9" s="1"/>
  <c r="C143" i="9"/>
  <c r="M143" i="9" s="1"/>
  <c r="B141" i="9"/>
  <c r="B146" i="9"/>
  <c r="C141" i="9"/>
  <c r="M141" i="9" s="1"/>
  <c r="B142" i="9"/>
  <c r="C140" i="9"/>
  <c r="M140" i="9" s="1"/>
  <c r="C146" i="9"/>
  <c r="M146" i="9" s="1"/>
  <c r="B143" i="9"/>
  <c r="B140" i="9"/>
  <c r="B145" i="9"/>
  <c r="C147" i="9"/>
  <c r="M147" i="9" s="1"/>
  <c r="B147" i="9"/>
  <c r="C144" i="9"/>
  <c r="M144" i="9" s="1"/>
  <c r="C142" i="9"/>
  <c r="M142" i="9" s="1"/>
  <c r="B144" i="9"/>
  <c r="C145" i="9"/>
  <c r="M145" i="9" s="1"/>
  <c r="C31" i="11"/>
  <c r="D44" i="7"/>
  <c r="C34" i="11"/>
  <c r="D47" i="7"/>
  <c r="A31" i="8"/>
  <c r="I31" i="8"/>
  <c r="G31" i="8"/>
  <c r="C6" i="11"/>
  <c r="D6" i="11" s="1"/>
  <c r="C41" i="7"/>
  <c r="H7" i="3"/>
  <c r="C21" i="11"/>
  <c r="T56" i="12"/>
  <c r="W55" i="12"/>
  <c r="F20" i="11"/>
  <c r="V53" i="12"/>
  <c r="E18" i="11"/>
  <c r="G23" i="11"/>
  <c r="X58" i="12"/>
  <c r="E20" i="11"/>
  <c r="V55" i="12"/>
  <c r="C18" i="11"/>
  <c r="T53" i="12"/>
  <c r="G22" i="8"/>
  <c r="I22" i="8"/>
  <c r="A22" i="8"/>
  <c r="C20" i="11"/>
  <c r="T55" i="12"/>
  <c r="C33" i="11"/>
  <c r="D46" i="7"/>
  <c r="U59" i="12"/>
  <c r="D24" i="11"/>
  <c r="E22" i="11"/>
  <c r="V57" i="12"/>
  <c r="X54" i="12"/>
  <c r="G19" i="11"/>
  <c r="C19" i="11"/>
  <c r="T54" i="12"/>
  <c r="V54" i="12"/>
  <c r="E19" i="11"/>
  <c r="G18" i="8"/>
  <c r="I18" i="8"/>
  <c r="A18" i="8"/>
  <c r="Y55" i="12"/>
  <c r="H20" i="11"/>
  <c r="I32" i="8"/>
  <c r="G32" i="8"/>
  <c r="A32" i="8"/>
  <c r="C8" i="11"/>
  <c r="D8" i="11" s="1"/>
  <c r="C43" i="7"/>
  <c r="H9" i="3"/>
  <c r="H24" i="11"/>
  <c r="Y59" i="12"/>
  <c r="I36" i="8"/>
  <c r="G36" i="8"/>
  <c r="A36" i="8"/>
  <c r="C7" i="11"/>
  <c r="D7" i="11" s="1"/>
  <c r="C42" i="7"/>
  <c r="H8" i="3"/>
  <c r="F21" i="11"/>
  <c r="W56" i="12"/>
  <c r="B18" i="11"/>
  <c r="S53" i="12"/>
  <c r="I42" i="3"/>
  <c r="G42" i="3"/>
  <c r="I43" i="3"/>
  <c r="G43" i="3"/>
  <c r="C30" i="11"/>
  <c r="D43" i="7"/>
  <c r="S59" i="12"/>
  <c r="B24" i="11"/>
  <c r="C29" i="11"/>
  <c r="D42" i="7"/>
  <c r="A27" i="8"/>
  <c r="I27" i="8"/>
  <c r="G27" i="8"/>
  <c r="T57" i="12"/>
  <c r="C22" i="11"/>
  <c r="C32" i="11"/>
  <c r="D45" i="7"/>
  <c r="D22" i="11"/>
  <c r="U57" i="12"/>
  <c r="I25" i="8"/>
  <c r="G25" i="8"/>
  <c r="A25" i="8"/>
  <c r="B7" i="12"/>
  <c r="C6" i="10"/>
  <c r="M68" i="12" s="1"/>
  <c r="C23" i="7"/>
  <c r="C9" i="10" s="1"/>
  <c r="C20" i="7"/>
  <c r="C34" i="7"/>
  <c r="C16" i="10" s="1"/>
  <c r="C21" i="7"/>
  <c r="S58" i="12"/>
  <c r="B23" i="11"/>
  <c r="S56" i="12"/>
  <c r="B21" i="11"/>
  <c r="E6" i="10"/>
  <c r="Q67" i="12"/>
  <c r="B8" i="12"/>
  <c r="B25" i="10"/>
  <c r="B6" i="10"/>
  <c r="B6" i="12"/>
  <c r="B34" i="7"/>
  <c r="B16" i="10" s="1"/>
  <c r="B21" i="7"/>
  <c r="D9" i="7"/>
  <c r="B33" i="7"/>
  <c r="B23" i="7"/>
  <c r="B31" i="7"/>
  <c r="B14" i="10" s="1"/>
  <c r="C48" i="7"/>
  <c r="B20" i="7"/>
  <c r="I19" i="8"/>
  <c r="G19" i="8"/>
  <c r="A19" i="8"/>
  <c r="F22" i="11"/>
  <c r="W57" i="12"/>
  <c r="G20" i="8"/>
  <c r="I20" i="8"/>
  <c r="A20" i="8"/>
  <c r="C11" i="11"/>
  <c r="D11" i="11" s="1"/>
  <c r="C46" i="7"/>
  <c r="H12" i="3"/>
  <c r="C12" i="11"/>
  <c r="D12" i="11" s="1"/>
  <c r="C47" i="7"/>
  <c r="H13" i="3"/>
  <c r="A33" i="8"/>
  <c r="I33" i="8"/>
  <c r="G33" i="8"/>
  <c r="I21" i="8"/>
  <c r="G21" i="8"/>
  <c r="A21" i="8"/>
  <c r="T59" i="12"/>
  <c r="C24" i="11"/>
  <c r="C7" i="10"/>
  <c r="M69" i="12" s="1"/>
  <c r="V7" i="12"/>
  <c r="I30" i="8"/>
  <c r="G30" i="8"/>
  <c r="A30" i="8"/>
  <c r="D21" i="11"/>
  <c r="U56" i="12"/>
  <c r="Y54" i="12"/>
  <c r="H19" i="11"/>
  <c r="F24" i="11"/>
  <c r="W59" i="12"/>
  <c r="L136" i="9" l="1"/>
  <c r="P136" i="9"/>
  <c r="C11" i="7"/>
  <c r="C12" i="10" s="1"/>
  <c r="M72" i="12" s="1"/>
  <c r="C12" i="7"/>
  <c r="C13" i="10" s="1"/>
  <c r="C35" i="7"/>
  <c r="N7" i="12" s="1"/>
  <c r="G41" i="7"/>
  <c r="D144" i="9"/>
  <c r="G46" i="7"/>
  <c r="D145" i="9"/>
  <c r="G47" i="7"/>
  <c r="E29" i="10"/>
  <c r="B36" i="10"/>
  <c r="D16" i="10"/>
  <c r="E8" i="11"/>
  <c r="I48" i="3"/>
  <c r="G48" i="3"/>
  <c r="D20" i="7"/>
  <c r="E7" i="11"/>
  <c r="E11" i="11"/>
  <c r="D32" i="11"/>
  <c r="E32" i="11" s="1"/>
  <c r="E15" i="10"/>
  <c r="D31" i="11"/>
  <c r="E31" i="11" s="1"/>
  <c r="D34" i="11"/>
  <c r="E34" i="11" s="1"/>
  <c r="D28" i="11"/>
  <c r="E28" i="11" s="1"/>
  <c r="G44" i="7"/>
  <c r="D33" i="11"/>
  <c r="E33" i="11" s="1"/>
  <c r="E9" i="11"/>
  <c r="D30" i="11"/>
  <c r="E30" i="11" s="1"/>
  <c r="G45" i="7"/>
  <c r="D29" i="11"/>
  <c r="E29" i="11" s="1"/>
  <c r="E12" i="11"/>
  <c r="G42" i="7"/>
  <c r="G43" i="7"/>
  <c r="E10" i="11"/>
  <c r="B39" i="11"/>
  <c r="B43" i="11" s="1"/>
  <c r="B9" i="10"/>
  <c r="D9" i="10" s="1"/>
  <c r="D23" i="7"/>
  <c r="D146" i="9"/>
  <c r="B12" i="7"/>
  <c r="B31" i="10"/>
  <c r="B15" i="10"/>
  <c r="R6" i="12"/>
  <c r="R8" i="12"/>
  <c r="E31" i="10"/>
  <c r="A52" i="7"/>
  <c r="F7" i="12"/>
  <c r="C8" i="10"/>
  <c r="M70" i="12" s="1"/>
  <c r="D140" i="9"/>
  <c r="B35" i="7"/>
  <c r="B27" i="10"/>
  <c r="F8" i="12"/>
  <c r="E8" i="10"/>
  <c r="B35" i="10"/>
  <c r="B8" i="10"/>
  <c r="E27" i="10"/>
  <c r="F6" i="12"/>
  <c r="D21" i="7"/>
  <c r="A53" i="7"/>
  <c r="G48" i="7"/>
  <c r="N12" i="11"/>
  <c r="M12" i="11" s="1"/>
  <c r="N11" i="11"/>
  <c r="M11" i="11" s="1"/>
  <c r="N10" i="11"/>
  <c r="M10" i="11" s="1"/>
  <c r="N9" i="11"/>
  <c r="M9" i="11" s="1"/>
  <c r="N8" i="11"/>
  <c r="M8" i="11" s="1"/>
  <c r="N7" i="11"/>
  <c r="M7" i="11" s="1"/>
  <c r="N6" i="11"/>
  <c r="M6" i="11" s="1"/>
  <c r="B38" i="10"/>
  <c r="A47" i="11"/>
  <c r="A46" i="11"/>
  <c r="E6" i="11"/>
  <c r="D13" i="11"/>
  <c r="D14" i="11" s="1"/>
  <c r="J69" i="12"/>
  <c r="P69" i="12" s="1"/>
  <c r="D7" i="10"/>
  <c r="J68" i="12"/>
  <c r="P68" i="12" s="1"/>
  <c r="D6" i="10"/>
  <c r="D147" i="9"/>
  <c r="B11" i="7"/>
  <c r="C11" i="10" l="1"/>
  <c r="M71" i="12" s="1"/>
  <c r="A54" i="7"/>
  <c r="F28" i="11"/>
  <c r="G28" i="11" s="1"/>
  <c r="E13" i="11"/>
  <c r="B42" i="11"/>
  <c r="B30" i="10" s="1"/>
  <c r="B41" i="11"/>
  <c r="F29" i="11"/>
  <c r="G29" i="11" s="1"/>
  <c r="F34" i="11"/>
  <c r="G34" i="11" s="1"/>
  <c r="F31" i="11"/>
  <c r="G31" i="11" s="1"/>
  <c r="F30" i="11"/>
  <c r="G30" i="11" s="1"/>
  <c r="F32" i="11"/>
  <c r="G32" i="11" s="1"/>
  <c r="Q70" i="12"/>
  <c r="E35" i="11"/>
  <c r="E36" i="11" s="1"/>
  <c r="F36" i="11" s="1"/>
  <c r="F33" i="11"/>
  <c r="G33" i="11" s="1"/>
  <c r="E25" i="10"/>
  <c r="B34" i="10"/>
  <c r="N8" i="12"/>
  <c r="B40" i="10"/>
  <c r="E11" i="10"/>
  <c r="N6" i="12"/>
  <c r="B29" i="10"/>
  <c r="B11" i="10"/>
  <c r="D35" i="7"/>
  <c r="I41" i="3"/>
  <c r="G41" i="3"/>
  <c r="B12" i="10"/>
  <c r="H48" i="7"/>
  <c r="D11" i="7"/>
  <c r="G40" i="3"/>
  <c r="I40" i="3"/>
  <c r="E14" i="11"/>
  <c r="G44" i="3"/>
  <c r="I44" i="3"/>
  <c r="D8" i="10"/>
  <c r="J70" i="12"/>
  <c r="P70" i="12" s="1"/>
  <c r="E13" i="10"/>
  <c r="B13" i="10"/>
  <c r="D13" i="10" s="1"/>
  <c r="D12" i="7"/>
  <c r="B37" i="10" l="1"/>
  <c r="A49" i="11"/>
  <c r="E30" i="10"/>
  <c r="Q73" i="12"/>
  <c r="G45" i="3"/>
  <c r="I45" i="3"/>
  <c r="G53" i="3" s="1"/>
  <c r="A48" i="11"/>
  <c r="F35" i="11"/>
  <c r="B39" i="10"/>
  <c r="J71" i="12"/>
  <c r="P71" i="12" s="1"/>
  <c r="D11" i="10"/>
  <c r="J72" i="12"/>
  <c r="P72" i="12" s="1"/>
  <c r="D12" i="10"/>
  <c r="I53" i="3" l="1"/>
  <c r="B5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2F1D378-4F5D-44CD-AE02-FFBD3CE59C84}" keepAlive="1" name="Query - Query1" description="Connection to the 'Query1' query in the workbook." type="5" refreshedVersion="8" background="1" saveData="1">
    <dbPr connection="Provider=Microsoft.Mashup.OleDb.1;Data Source=$Workbook$;Location=Query1;Extended Properties=&quot;&quot;" command="SELECT * FROM [Query1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83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  <bk>
      <extLst>
        <ext uri="{3e2802c4-a4d2-4d8b-9148-e3be6c30e623}">
          <xlrd:rvb i="353"/>
        </ext>
      </extLst>
    </bk>
    <bk>
      <extLst>
        <ext uri="{3e2802c4-a4d2-4d8b-9148-e3be6c30e623}">
          <xlrd:rvb i="354"/>
        </ext>
      </extLst>
    </bk>
    <bk>
      <extLst>
        <ext uri="{3e2802c4-a4d2-4d8b-9148-e3be6c30e623}">
          <xlrd:rvb i="355"/>
        </ext>
      </extLst>
    </bk>
    <bk>
      <extLst>
        <ext uri="{3e2802c4-a4d2-4d8b-9148-e3be6c30e623}">
          <xlrd:rvb i="356"/>
        </ext>
      </extLst>
    </bk>
    <bk>
      <extLst>
        <ext uri="{3e2802c4-a4d2-4d8b-9148-e3be6c30e623}">
          <xlrd:rvb i="357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59"/>
        </ext>
      </extLst>
    </bk>
    <bk>
      <extLst>
        <ext uri="{3e2802c4-a4d2-4d8b-9148-e3be6c30e623}">
          <xlrd:rvb i="360"/>
        </ext>
      </extLst>
    </bk>
    <bk>
      <extLst>
        <ext uri="{3e2802c4-a4d2-4d8b-9148-e3be6c30e623}">
          <xlrd:rvb i="361"/>
        </ext>
      </extLst>
    </bk>
    <bk>
      <extLst>
        <ext uri="{3e2802c4-a4d2-4d8b-9148-e3be6c30e623}">
          <xlrd:rvb i="362"/>
        </ext>
      </extLst>
    </bk>
    <bk>
      <extLst>
        <ext uri="{3e2802c4-a4d2-4d8b-9148-e3be6c30e623}">
          <xlrd:rvb i="363"/>
        </ext>
      </extLst>
    </bk>
    <bk>
      <extLst>
        <ext uri="{3e2802c4-a4d2-4d8b-9148-e3be6c30e623}">
          <xlrd:rvb i="364"/>
        </ext>
      </extLst>
    </bk>
    <bk>
      <extLst>
        <ext uri="{3e2802c4-a4d2-4d8b-9148-e3be6c30e623}">
          <xlrd:rvb i="365"/>
        </ext>
      </extLst>
    </bk>
    <bk>
      <extLst>
        <ext uri="{3e2802c4-a4d2-4d8b-9148-e3be6c30e623}">
          <xlrd:rvb i="366"/>
        </ext>
      </extLst>
    </bk>
    <bk>
      <extLst>
        <ext uri="{3e2802c4-a4d2-4d8b-9148-e3be6c30e623}">
          <xlrd:rvb i="367"/>
        </ext>
      </extLst>
    </bk>
    <bk>
      <extLst>
        <ext uri="{3e2802c4-a4d2-4d8b-9148-e3be6c30e623}">
          <xlrd:rvb i="36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70"/>
        </ext>
      </extLst>
    </bk>
    <bk>
      <extLst>
        <ext uri="{3e2802c4-a4d2-4d8b-9148-e3be6c30e623}">
          <xlrd:rvb i="371"/>
        </ext>
      </extLst>
    </bk>
    <bk>
      <extLst>
        <ext uri="{3e2802c4-a4d2-4d8b-9148-e3be6c30e623}">
          <xlrd:rvb i="372"/>
        </ext>
      </extLst>
    </bk>
    <bk>
      <extLst>
        <ext uri="{3e2802c4-a4d2-4d8b-9148-e3be6c30e623}">
          <xlrd:rvb i="373"/>
        </ext>
      </extLst>
    </bk>
    <bk>
      <extLst>
        <ext uri="{3e2802c4-a4d2-4d8b-9148-e3be6c30e623}">
          <xlrd:rvb i="374"/>
        </ext>
      </extLst>
    </bk>
    <bk>
      <extLst>
        <ext uri="{3e2802c4-a4d2-4d8b-9148-e3be6c30e623}">
          <xlrd:rvb i="375"/>
        </ext>
      </extLst>
    </bk>
    <bk>
      <extLst>
        <ext uri="{3e2802c4-a4d2-4d8b-9148-e3be6c30e623}">
          <xlrd:rvb i="376"/>
        </ext>
      </extLst>
    </bk>
    <bk>
      <extLst>
        <ext uri="{3e2802c4-a4d2-4d8b-9148-e3be6c30e623}">
          <xlrd:rvb i="377"/>
        </ext>
      </extLst>
    </bk>
    <bk>
      <extLst>
        <ext uri="{3e2802c4-a4d2-4d8b-9148-e3be6c30e623}">
          <xlrd:rvb i="378"/>
        </ext>
      </extLst>
    </bk>
    <bk>
      <extLst>
        <ext uri="{3e2802c4-a4d2-4d8b-9148-e3be6c30e623}">
          <xlrd:rvb i="379"/>
        </ext>
      </extLst>
    </bk>
    <bk>
      <extLst>
        <ext uri="{3e2802c4-a4d2-4d8b-9148-e3be6c30e623}">
          <xlrd:rvb i="380"/>
        </ext>
      </extLst>
    </bk>
    <bk>
      <extLst>
        <ext uri="{3e2802c4-a4d2-4d8b-9148-e3be6c30e623}">
          <xlrd:rvb i="381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83"/>
        </ext>
      </extLst>
    </bk>
    <bk>
      <extLst>
        <ext uri="{3e2802c4-a4d2-4d8b-9148-e3be6c30e623}">
          <xlrd:rvb i="384"/>
        </ext>
      </extLst>
    </bk>
    <bk>
      <extLst>
        <ext uri="{3e2802c4-a4d2-4d8b-9148-e3be6c30e623}">
          <xlrd:rvb i="385"/>
        </ext>
      </extLst>
    </bk>
    <bk>
      <extLst>
        <ext uri="{3e2802c4-a4d2-4d8b-9148-e3be6c30e623}">
          <xlrd:rvb i="386"/>
        </ext>
      </extLst>
    </bk>
    <bk>
      <extLst>
        <ext uri="{3e2802c4-a4d2-4d8b-9148-e3be6c30e623}">
          <xlrd:rvb i="387"/>
        </ext>
      </extLst>
    </bk>
    <bk>
      <extLst>
        <ext uri="{3e2802c4-a4d2-4d8b-9148-e3be6c30e623}">
          <xlrd:rvb i="388"/>
        </ext>
      </extLst>
    </bk>
    <bk>
      <extLst>
        <ext uri="{3e2802c4-a4d2-4d8b-9148-e3be6c30e623}">
          <xlrd:rvb i="389"/>
        </ext>
      </extLst>
    </bk>
    <bk>
      <extLst>
        <ext uri="{3e2802c4-a4d2-4d8b-9148-e3be6c30e623}">
          <xlrd:rvb i="390"/>
        </ext>
      </extLst>
    </bk>
    <bk>
      <extLst>
        <ext uri="{3e2802c4-a4d2-4d8b-9148-e3be6c30e623}">
          <xlrd:rvb i="391"/>
        </ext>
      </extLst>
    </bk>
    <bk>
      <extLst>
        <ext uri="{3e2802c4-a4d2-4d8b-9148-e3be6c30e623}">
          <xlrd:rvb i="392"/>
        </ext>
      </extLst>
    </bk>
    <bk>
      <extLst>
        <ext uri="{3e2802c4-a4d2-4d8b-9148-e3be6c30e623}">
          <xlrd:rvb i="393"/>
        </ext>
      </extLst>
    </bk>
    <bk>
      <extLst>
        <ext uri="{3e2802c4-a4d2-4d8b-9148-e3be6c30e623}">
          <xlrd:rvb i="394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396"/>
        </ext>
      </extLst>
    </bk>
    <bk>
      <extLst>
        <ext uri="{3e2802c4-a4d2-4d8b-9148-e3be6c30e623}">
          <xlrd:rvb i="397"/>
        </ext>
      </extLst>
    </bk>
    <bk>
      <extLst>
        <ext uri="{3e2802c4-a4d2-4d8b-9148-e3be6c30e623}">
          <xlrd:rvb i="398"/>
        </ext>
      </extLst>
    </bk>
    <bk>
      <extLst>
        <ext uri="{3e2802c4-a4d2-4d8b-9148-e3be6c30e623}">
          <xlrd:rvb i="399"/>
        </ext>
      </extLst>
    </bk>
    <bk>
      <extLst>
        <ext uri="{3e2802c4-a4d2-4d8b-9148-e3be6c30e623}">
          <xlrd:rvb i="400"/>
        </ext>
      </extLst>
    </bk>
    <bk>
      <extLst>
        <ext uri="{3e2802c4-a4d2-4d8b-9148-e3be6c30e623}">
          <xlrd:rvb i="401"/>
        </ext>
      </extLst>
    </bk>
    <bk>
      <extLst>
        <ext uri="{3e2802c4-a4d2-4d8b-9148-e3be6c30e623}">
          <xlrd:rvb i="402"/>
        </ext>
      </extLst>
    </bk>
    <bk>
      <extLst>
        <ext uri="{3e2802c4-a4d2-4d8b-9148-e3be6c30e623}">
          <xlrd:rvb i="403"/>
        </ext>
      </extLst>
    </bk>
    <bk>
      <extLst>
        <ext uri="{3e2802c4-a4d2-4d8b-9148-e3be6c30e623}">
          <xlrd:rvb i="404"/>
        </ext>
      </extLst>
    </bk>
    <bk>
      <extLst>
        <ext uri="{3e2802c4-a4d2-4d8b-9148-e3be6c30e623}">
          <xlrd:rvb i="405"/>
        </ext>
      </extLst>
    </bk>
    <bk>
      <extLst>
        <ext uri="{3e2802c4-a4d2-4d8b-9148-e3be6c30e623}">
          <xlrd:rvb i="406"/>
        </ext>
      </extLst>
    </bk>
    <bk>
      <extLst>
        <ext uri="{3e2802c4-a4d2-4d8b-9148-e3be6c30e623}">
          <xlrd:rvb i="407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09"/>
        </ext>
      </extLst>
    </bk>
    <bk>
      <extLst>
        <ext uri="{3e2802c4-a4d2-4d8b-9148-e3be6c30e623}">
          <xlrd:rvb i="410"/>
        </ext>
      </extLst>
    </bk>
    <bk>
      <extLst>
        <ext uri="{3e2802c4-a4d2-4d8b-9148-e3be6c30e623}">
          <xlrd:rvb i="411"/>
        </ext>
      </extLst>
    </bk>
    <bk>
      <extLst>
        <ext uri="{3e2802c4-a4d2-4d8b-9148-e3be6c30e623}">
          <xlrd:rvb i="412"/>
        </ext>
      </extLst>
    </bk>
    <bk>
      <extLst>
        <ext uri="{3e2802c4-a4d2-4d8b-9148-e3be6c30e623}">
          <xlrd:rvb i="413"/>
        </ext>
      </extLst>
    </bk>
    <bk>
      <extLst>
        <ext uri="{3e2802c4-a4d2-4d8b-9148-e3be6c30e623}">
          <xlrd:rvb i="414"/>
        </ext>
      </extLst>
    </bk>
    <bk>
      <extLst>
        <ext uri="{3e2802c4-a4d2-4d8b-9148-e3be6c30e623}">
          <xlrd:rvb i="415"/>
        </ext>
      </extLst>
    </bk>
    <bk>
      <extLst>
        <ext uri="{3e2802c4-a4d2-4d8b-9148-e3be6c30e623}">
          <xlrd:rvb i="416"/>
        </ext>
      </extLst>
    </bk>
    <bk>
      <extLst>
        <ext uri="{3e2802c4-a4d2-4d8b-9148-e3be6c30e623}">
          <xlrd:rvb i="417"/>
        </ext>
      </extLst>
    </bk>
    <bk>
      <extLst>
        <ext uri="{3e2802c4-a4d2-4d8b-9148-e3be6c30e623}">
          <xlrd:rvb i="418"/>
        </ext>
      </extLst>
    </bk>
    <bk>
      <extLst>
        <ext uri="{3e2802c4-a4d2-4d8b-9148-e3be6c30e623}">
          <xlrd:rvb i="419"/>
        </ext>
      </extLst>
    </bk>
    <bk>
      <extLst>
        <ext uri="{3e2802c4-a4d2-4d8b-9148-e3be6c30e623}">
          <xlrd:rvb i="420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22"/>
        </ext>
      </extLst>
    </bk>
    <bk>
      <extLst>
        <ext uri="{3e2802c4-a4d2-4d8b-9148-e3be6c30e623}">
          <xlrd:rvb i="423"/>
        </ext>
      </extLst>
    </bk>
    <bk>
      <extLst>
        <ext uri="{3e2802c4-a4d2-4d8b-9148-e3be6c30e623}">
          <xlrd:rvb i="424"/>
        </ext>
      </extLst>
    </bk>
    <bk>
      <extLst>
        <ext uri="{3e2802c4-a4d2-4d8b-9148-e3be6c30e623}">
          <xlrd:rvb i="425"/>
        </ext>
      </extLst>
    </bk>
    <bk>
      <extLst>
        <ext uri="{3e2802c4-a4d2-4d8b-9148-e3be6c30e623}">
          <xlrd:rvb i="426"/>
        </ext>
      </extLst>
    </bk>
    <bk>
      <extLst>
        <ext uri="{3e2802c4-a4d2-4d8b-9148-e3be6c30e623}">
          <xlrd:rvb i="427"/>
        </ext>
      </extLst>
    </bk>
    <bk>
      <extLst>
        <ext uri="{3e2802c4-a4d2-4d8b-9148-e3be6c30e623}">
          <xlrd:rvb i="428"/>
        </ext>
      </extLst>
    </bk>
    <bk>
      <extLst>
        <ext uri="{3e2802c4-a4d2-4d8b-9148-e3be6c30e623}">
          <xlrd:rvb i="429"/>
        </ext>
      </extLst>
    </bk>
    <bk>
      <extLst>
        <ext uri="{3e2802c4-a4d2-4d8b-9148-e3be6c30e623}">
          <xlrd:rvb i="430"/>
        </ext>
      </extLst>
    </bk>
    <bk>
      <extLst>
        <ext uri="{3e2802c4-a4d2-4d8b-9148-e3be6c30e623}">
          <xlrd:rvb i="431"/>
        </ext>
      </extLst>
    </bk>
    <bk>
      <extLst>
        <ext uri="{3e2802c4-a4d2-4d8b-9148-e3be6c30e623}">
          <xlrd:rvb i="432"/>
        </ext>
      </extLst>
    </bk>
    <bk>
      <extLst>
        <ext uri="{3e2802c4-a4d2-4d8b-9148-e3be6c30e623}">
          <xlrd:rvb i="433"/>
        </ext>
      </extLst>
    </bk>
    <bk>
      <extLst>
        <ext uri="{3e2802c4-a4d2-4d8b-9148-e3be6c30e623}">
          <xlrd:rvb i="434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36"/>
        </ext>
      </extLst>
    </bk>
    <bk>
      <extLst>
        <ext uri="{3e2802c4-a4d2-4d8b-9148-e3be6c30e623}">
          <xlrd:rvb i="437"/>
        </ext>
      </extLst>
    </bk>
    <bk>
      <extLst>
        <ext uri="{3e2802c4-a4d2-4d8b-9148-e3be6c30e623}">
          <xlrd:rvb i="438"/>
        </ext>
      </extLst>
    </bk>
    <bk>
      <extLst>
        <ext uri="{3e2802c4-a4d2-4d8b-9148-e3be6c30e623}">
          <xlrd:rvb i="439"/>
        </ext>
      </extLst>
    </bk>
    <bk>
      <extLst>
        <ext uri="{3e2802c4-a4d2-4d8b-9148-e3be6c30e623}">
          <xlrd:rvb i="440"/>
        </ext>
      </extLst>
    </bk>
    <bk>
      <extLst>
        <ext uri="{3e2802c4-a4d2-4d8b-9148-e3be6c30e623}">
          <xlrd:rvb i="441"/>
        </ext>
      </extLst>
    </bk>
    <bk>
      <extLst>
        <ext uri="{3e2802c4-a4d2-4d8b-9148-e3be6c30e623}">
          <xlrd:rvb i="442"/>
        </ext>
      </extLst>
    </bk>
    <bk>
      <extLst>
        <ext uri="{3e2802c4-a4d2-4d8b-9148-e3be6c30e623}">
          <xlrd:rvb i="443"/>
        </ext>
      </extLst>
    </bk>
    <bk>
      <extLst>
        <ext uri="{3e2802c4-a4d2-4d8b-9148-e3be6c30e623}">
          <xlrd:rvb i="444"/>
        </ext>
      </extLst>
    </bk>
    <bk>
      <extLst>
        <ext uri="{3e2802c4-a4d2-4d8b-9148-e3be6c30e623}">
          <xlrd:rvb i="445"/>
        </ext>
      </extLst>
    </bk>
    <bk>
      <extLst>
        <ext uri="{3e2802c4-a4d2-4d8b-9148-e3be6c30e623}">
          <xlrd:rvb i="446"/>
        </ext>
      </extLst>
    </bk>
    <bk>
      <extLst>
        <ext uri="{3e2802c4-a4d2-4d8b-9148-e3be6c30e623}">
          <xlrd:rvb i="447"/>
        </ext>
      </extLst>
    </bk>
    <bk>
      <extLst>
        <ext uri="{3e2802c4-a4d2-4d8b-9148-e3be6c30e623}">
          <xlrd:rvb i="448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50"/>
        </ext>
      </extLst>
    </bk>
    <bk>
      <extLst>
        <ext uri="{3e2802c4-a4d2-4d8b-9148-e3be6c30e623}">
          <xlrd:rvb i="451"/>
        </ext>
      </extLst>
    </bk>
    <bk>
      <extLst>
        <ext uri="{3e2802c4-a4d2-4d8b-9148-e3be6c30e623}">
          <xlrd:rvb i="452"/>
        </ext>
      </extLst>
    </bk>
    <bk>
      <extLst>
        <ext uri="{3e2802c4-a4d2-4d8b-9148-e3be6c30e623}">
          <xlrd:rvb i="453"/>
        </ext>
      </extLst>
    </bk>
    <bk>
      <extLst>
        <ext uri="{3e2802c4-a4d2-4d8b-9148-e3be6c30e623}">
          <xlrd:rvb i="454"/>
        </ext>
      </extLst>
    </bk>
    <bk>
      <extLst>
        <ext uri="{3e2802c4-a4d2-4d8b-9148-e3be6c30e623}">
          <xlrd:rvb i="455"/>
        </ext>
      </extLst>
    </bk>
    <bk>
      <extLst>
        <ext uri="{3e2802c4-a4d2-4d8b-9148-e3be6c30e623}">
          <xlrd:rvb i="456"/>
        </ext>
      </extLst>
    </bk>
    <bk>
      <extLst>
        <ext uri="{3e2802c4-a4d2-4d8b-9148-e3be6c30e623}">
          <xlrd:rvb i="457"/>
        </ext>
      </extLst>
    </bk>
    <bk>
      <extLst>
        <ext uri="{3e2802c4-a4d2-4d8b-9148-e3be6c30e623}">
          <xlrd:rvb i="458"/>
        </ext>
      </extLst>
    </bk>
    <bk>
      <extLst>
        <ext uri="{3e2802c4-a4d2-4d8b-9148-e3be6c30e623}">
          <xlrd:rvb i="459"/>
        </ext>
      </extLst>
    </bk>
    <bk>
      <extLst>
        <ext uri="{3e2802c4-a4d2-4d8b-9148-e3be6c30e623}">
          <xlrd:rvb i="460"/>
        </ext>
      </extLst>
    </bk>
    <bk>
      <extLst>
        <ext uri="{3e2802c4-a4d2-4d8b-9148-e3be6c30e623}">
          <xlrd:rvb i="461"/>
        </ext>
      </extLst>
    </bk>
    <bk>
      <extLst>
        <ext uri="{3e2802c4-a4d2-4d8b-9148-e3be6c30e623}">
          <xlrd:rvb i="462"/>
        </ext>
      </extLst>
    </bk>
    <bk>
      <extLst>
        <ext uri="{3e2802c4-a4d2-4d8b-9148-e3be6c30e623}">
          <xlrd:rvb i="463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65"/>
        </ext>
      </extLst>
    </bk>
    <bk>
      <extLst>
        <ext uri="{3e2802c4-a4d2-4d8b-9148-e3be6c30e623}">
          <xlrd:rvb i="466"/>
        </ext>
      </extLst>
    </bk>
    <bk>
      <extLst>
        <ext uri="{3e2802c4-a4d2-4d8b-9148-e3be6c30e623}">
          <xlrd:rvb i="467"/>
        </ext>
      </extLst>
    </bk>
    <bk>
      <extLst>
        <ext uri="{3e2802c4-a4d2-4d8b-9148-e3be6c30e623}">
          <xlrd:rvb i="468"/>
        </ext>
      </extLst>
    </bk>
    <bk>
      <extLst>
        <ext uri="{3e2802c4-a4d2-4d8b-9148-e3be6c30e623}">
          <xlrd:rvb i="469"/>
        </ext>
      </extLst>
    </bk>
    <bk>
      <extLst>
        <ext uri="{3e2802c4-a4d2-4d8b-9148-e3be6c30e623}">
          <xlrd:rvb i="470"/>
        </ext>
      </extLst>
    </bk>
    <bk>
      <extLst>
        <ext uri="{3e2802c4-a4d2-4d8b-9148-e3be6c30e623}">
          <xlrd:rvb i="471"/>
        </ext>
      </extLst>
    </bk>
    <bk>
      <extLst>
        <ext uri="{3e2802c4-a4d2-4d8b-9148-e3be6c30e623}">
          <xlrd:rvb i="472"/>
        </ext>
      </extLst>
    </bk>
    <bk>
      <extLst>
        <ext uri="{3e2802c4-a4d2-4d8b-9148-e3be6c30e623}">
          <xlrd:rvb i="473"/>
        </ext>
      </extLst>
    </bk>
    <bk>
      <extLst>
        <ext uri="{3e2802c4-a4d2-4d8b-9148-e3be6c30e623}">
          <xlrd:rvb i="474"/>
        </ext>
      </extLst>
    </bk>
    <bk>
      <extLst>
        <ext uri="{3e2802c4-a4d2-4d8b-9148-e3be6c30e623}">
          <xlrd:rvb i="475"/>
        </ext>
      </extLst>
    </bk>
    <bk>
      <extLst>
        <ext uri="{3e2802c4-a4d2-4d8b-9148-e3be6c30e623}">
          <xlrd:rvb i="476"/>
        </ext>
      </extLst>
    </bk>
    <bk>
      <extLst>
        <ext uri="{3e2802c4-a4d2-4d8b-9148-e3be6c30e623}">
          <xlrd:rvb i="477"/>
        </ext>
      </extLst>
    </bk>
    <bk>
      <extLst>
        <ext uri="{3e2802c4-a4d2-4d8b-9148-e3be6c30e623}">
          <xlrd:rvb i="478"/>
        </ext>
      </extLst>
    </bk>
    <bk>
      <extLst>
        <ext uri="{3e2802c4-a4d2-4d8b-9148-e3be6c30e623}">
          <xlrd:rvb i="479"/>
        </ext>
      </extLst>
    </bk>
    <bk>
      <extLst>
        <ext uri="{3e2802c4-a4d2-4d8b-9148-e3be6c30e623}">
          <xlrd:rvb i="480"/>
        </ext>
      </extLst>
    </bk>
    <bk>
      <extLst>
        <ext uri="{3e2802c4-a4d2-4d8b-9148-e3be6c30e623}">
          <xlrd:rvb i="481"/>
        </ext>
      </extLst>
    </bk>
    <bk>
      <extLst>
        <ext uri="{3e2802c4-a4d2-4d8b-9148-e3be6c30e623}">
          <xlrd:rvb i="482"/>
        </ext>
      </extLst>
    </bk>
    <bk>
      <extLst>
        <ext uri="{3e2802c4-a4d2-4d8b-9148-e3be6c30e623}">
          <xlrd:rvb i="483"/>
        </ext>
      </extLst>
    </bk>
    <bk>
      <extLst>
        <ext uri="{3e2802c4-a4d2-4d8b-9148-e3be6c30e623}">
          <xlrd:rvb i="484"/>
        </ext>
      </extLst>
    </bk>
    <bk>
      <extLst>
        <ext uri="{3e2802c4-a4d2-4d8b-9148-e3be6c30e623}">
          <xlrd:rvb i="485"/>
        </ext>
      </extLst>
    </bk>
    <bk>
      <extLst>
        <ext uri="{3e2802c4-a4d2-4d8b-9148-e3be6c30e623}">
          <xlrd:rvb i="486"/>
        </ext>
      </extLst>
    </bk>
    <bk>
      <extLst>
        <ext uri="{3e2802c4-a4d2-4d8b-9148-e3be6c30e623}">
          <xlrd:rvb i="487"/>
        </ext>
      </extLst>
    </bk>
    <bk>
      <extLst>
        <ext uri="{3e2802c4-a4d2-4d8b-9148-e3be6c30e623}">
          <xlrd:rvb i="488"/>
        </ext>
      </extLst>
    </bk>
    <bk>
      <extLst>
        <ext uri="{3e2802c4-a4d2-4d8b-9148-e3be6c30e623}">
          <xlrd:rvb i="489"/>
        </ext>
      </extLst>
    </bk>
    <bk>
      <extLst>
        <ext uri="{3e2802c4-a4d2-4d8b-9148-e3be6c30e623}">
          <xlrd:rvb i="490"/>
        </ext>
      </extLst>
    </bk>
    <bk>
      <extLst>
        <ext uri="{3e2802c4-a4d2-4d8b-9148-e3be6c30e623}">
          <xlrd:rvb i="491"/>
        </ext>
      </extLst>
    </bk>
    <bk>
      <extLst>
        <ext uri="{3e2802c4-a4d2-4d8b-9148-e3be6c30e623}">
          <xlrd:rvb i="492"/>
        </ext>
      </extLst>
    </bk>
    <bk>
      <extLst>
        <ext uri="{3e2802c4-a4d2-4d8b-9148-e3be6c30e623}">
          <xlrd:rvb i="493"/>
        </ext>
      </extLst>
    </bk>
    <bk>
      <extLst>
        <ext uri="{3e2802c4-a4d2-4d8b-9148-e3be6c30e623}">
          <xlrd:rvb i="494"/>
        </ext>
      </extLst>
    </bk>
    <bk>
      <extLst>
        <ext uri="{3e2802c4-a4d2-4d8b-9148-e3be6c30e623}">
          <xlrd:rvb i="495"/>
        </ext>
      </extLst>
    </bk>
    <bk>
      <extLst>
        <ext uri="{3e2802c4-a4d2-4d8b-9148-e3be6c30e623}">
          <xlrd:rvb i="496"/>
        </ext>
      </extLst>
    </bk>
    <bk>
      <extLst>
        <ext uri="{3e2802c4-a4d2-4d8b-9148-e3be6c30e623}">
          <xlrd:rvb i="497"/>
        </ext>
      </extLst>
    </bk>
    <bk>
      <extLst>
        <ext uri="{3e2802c4-a4d2-4d8b-9148-e3be6c30e623}">
          <xlrd:rvb i="498"/>
        </ext>
      </extLst>
    </bk>
    <bk>
      <extLst>
        <ext uri="{3e2802c4-a4d2-4d8b-9148-e3be6c30e623}">
          <xlrd:rvb i="499"/>
        </ext>
      </extLst>
    </bk>
    <bk>
      <extLst>
        <ext uri="{3e2802c4-a4d2-4d8b-9148-e3be6c30e623}">
          <xlrd:rvb i="500"/>
        </ext>
      </extLst>
    </bk>
    <bk>
      <extLst>
        <ext uri="{3e2802c4-a4d2-4d8b-9148-e3be6c30e623}">
          <xlrd:rvb i="501"/>
        </ext>
      </extLst>
    </bk>
    <bk>
      <extLst>
        <ext uri="{3e2802c4-a4d2-4d8b-9148-e3be6c30e623}">
          <xlrd:rvb i="502"/>
        </ext>
      </extLst>
    </bk>
    <bk>
      <extLst>
        <ext uri="{3e2802c4-a4d2-4d8b-9148-e3be6c30e623}">
          <xlrd:rvb i="503"/>
        </ext>
      </extLst>
    </bk>
    <bk>
      <extLst>
        <ext uri="{3e2802c4-a4d2-4d8b-9148-e3be6c30e623}">
          <xlrd:rvb i="504"/>
        </ext>
      </extLst>
    </bk>
    <bk>
      <extLst>
        <ext uri="{3e2802c4-a4d2-4d8b-9148-e3be6c30e623}">
          <xlrd:rvb i="505"/>
        </ext>
      </extLst>
    </bk>
    <bk>
      <extLst>
        <ext uri="{3e2802c4-a4d2-4d8b-9148-e3be6c30e623}">
          <xlrd:rvb i="506"/>
        </ext>
      </extLst>
    </bk>
    <bk>
      <extLst>
        <ext uri="{3e2802c4-a4d2-4d8b-9148-e3be6c30e623}">
          <xlrd:rvb i="507"/>
        </ext>
      </extLst>
    </bk>
    <bk>
      <extLst>
        <ext uri="{3e2802c4-a4d2-4d8b-9148-e3be6c30e623}">
          <xlrd:rvb i="508"/>
        </ext>
      </extLst>
    </bk>
    <bk>
      <extLst>
        <ext uri="{3e2802c4-a4d2-4d8b-9148-e3be6c30e623}">
          <xlrd:rvb i="509"/>
        </ext>
      </extLst>
    </bk>
    <bk>
      <extLst>
        <ext uri="{3e2802c4-a4d2-4d8b-9148-e3be6c30e623}">
          <xlrd:rvb i="510"/>
        </ext>
      </extLst>
    </bk>
    <bk>
      <extLst>
        <ext uri="{3e2802c4-a4d2-4d8b-9148-e3be6c30e623}">
          <xlrd:rvb i="511"/>
        </ext>
      </extLst>
    </bk>
    <bk>
      <extLst>
        <ext uri="{3e2802c4-a4d2-4d8b-9148-e3be6c30e623}">
          <xlrd:rvb i="512"/>
        </ext>
      </extLst>
    </bk>
    <bk>
      <extLst>
        <ext uri="{3e2802c4-a4d2-4d8b-9148-e3be6c30e623}">
          <xlrd:rvb i="513"/>
        </ext>
      </extLst>
    </bk>
    <bk>
      <extLst>
        <ext uri="{3e2802c4-a4d2-4d8b-9148-e3be6c30e623}">
          <xlrd:rvb i="514"/>
        </ext>
      </extLst>
    </bk>
    <bk>
      <extLst>
        <ext uri="{3e2802c4-a4d2-4d8b-9148-e3be6c30e623}">
          <xlrd:rvb i="515"/>
        </ext>
      </extLst>
    </bk>
    <bk>
      <extLst>
        <ext uri="{3e2802c4-a4d2-4d8b-9148-e3be6c30e623}">
          <xlrd:rvb i="516"/>
        </ext>
      </extLst>
    </bk>
    <bk>
      <extLst>
        <ext uri="{3e2802c4-a4d2-4d8b-9148-e3be6c30e623}">
          <xlrd:rvb i="517"/>
        </ext>
      </extLst>
    </bk>
    <bk>
      <extLst>
        <ext uri="{3e2802c4-a4d2-4d8b-9148-e3be6c30e623}">
          <xlrd:rvb i="518"/>
        </ext>
      </extLst>
    </bk>
    <bk>
      <extLst>
        <ext uri="{3e2802c4-a4d2-4d8b-9148-e3be6c30e623}">
          <xlrd:rvb i="519"/>
        </ext>
      </extLst>
    </bk>
    <bk>
      <extLst>
        <ext uri="{3e2802c4-a4d2-4d8b-9148-e3be6c30e623}">
          <xlrd:rvb i="520"/>
        </ext>
      </extLst>
    </bk>
    <bk>
      <extLst>
        <ext uri="{3e2802c4-a4d2-4d8b-9148-e3be6c30e623}">
          <xlrd:rvb i="521"/>
        </ext>
      </extLst>
    </bk>
    <bk>
      <extLst>
        <ext uri="{3e2802c4-a4d2-4d8b-9148-e3be6c30e623}">
          <xlrd:rvb i="522"/>
        </ext>
      </extLst>
    </bk>
    <bk>
      <extLst>
        <ext uri="{3e2802c4-a4d2-4d8b-9148-e3be6c30e623}">
          <xlrd:rvb i="523"/>
        </ext>
      </extLst>
    </bk>
    <bk>
      <extLst>
        <ext uri="{3e2802c4-a4d2-4d8b-9148-e3be6c30e623}">
          <xlrd:rvb i="524"/>
        </ext>
      </extLst>
    </bk>
    <bk>
      <extLst>
        <ext uri="{3e2802c4-a4d2-4d8b-9148-e3be6c30e623}">
          <xlrd:rvb i="525"/>
        </ext>
      </extLst>
    </bk>
    <bk>
      <extLst>
        <ext uri="{3e2802c4-a4d2-4d8b-9148-e3be6c30e623}">
          <xlrd:rvb i="526"/>
        </ext>
      </extLst>
    </bk>
    <bk>
      <extLst>
        <ext uri="{3e2802c4-a4d2-4d8b-9148-e3be6c30e623}">
          <xlrd:rvb i="527"/>
        </ext>
      </extLst>
    </bk>
    <bk>
      <extLst>
        <ext uri="{3e2802c4-a4d2-4d8b-9148-e3be6c30e623}">
          <xlrd:rvb i="528"/>
        </ext>
      </extLst>
    </bk>
    <bk>
      <extLst>
        <ext uri="{3e2802c4-a4d2-4d8b-9148-e3be6c30e623}">
          <xlrd:rvb i="529"/>
        </ext>
      </extLst>
    </bk>
    <bk>
      <extLst>
        <ext uri="{3e2802c4-a4d2-4d8b-9148-e3be6c30e623}">
          <xlrd:rvb i="530"/>
        </ext>
      </extLst>
    </bk>
    <bk>
      <extLst>
        <ext uri="{3e2802c4-a4d2-4d8b-9148-e3be6c30e623}">
          <xlrd:rvb i="531"/>
        </ext>
      </extLst>
    </bk>
    <bk>
      <extLst>
        <ext uri="{3e2802c4-a4d2-4d8b-9148-e3be6c30e623}">
          <xlrd:rvb i="532"/>
        </ext>
      </extLst>
    </bk>
    <bk>
      <extLst>
        <ext uri="{3e2802c4-a4d2-4d8b-9148-e3be6c30e623}">
          <xlrd:rvb i="533"/>
        </ext>
      </extLst>
    </bk>
    <bk>
      <extLst>
        <ext uri="{3e2802c4-a4d2-4d8b-9148-e3be6c30e623}">
          <xlrd:rvb i="534"/>
        </ext>
      </extLst>
    </bk>
    <bk>
      <extLst>
        <ext uri="{3e2802c4-a4d2-4d8b-9148-e3be6c30e623}">
          <xlrd:rvb i="535"/>
        </ext>
      </extLst>
    </bk>
    <bk>
      <extLst>
        <ext uri="{3e2802c4-a4d2-4d8b-9148-e3be6c30e623}">
          <xlrd:rvb i="536"/>
        </ext>
      </extLst>
    </bk>
    <bk>
      <extLst>
        <ext uri="{3e2802c4-a4d2-4d8b-9148-e3be6c30e623}">
          <xlrd:rvb i="537"/>
        </ext>
      </extLst>
    </bk>
    <bk>
      <extLst>
        <ext uri="{3e2802c4-a4d2-4d8b-9148-e3be6c30e623}">
          <xlrd:rvb i="538"/>
        </ext>
      </extLst>
    </bk>
    <bk>
      <extLst>
        <ext uri="{3e2802c4-a4d2-4d8b-9148-e3be6c30e623}">
          <xlrd:rvb i="539"/>
        </ext>
      </extLst>
    </bk>
    <bk>
      <extLst>
        <ext uri="{3e2802c4-a4d2-4d8b-9148-e3be6c30e623}">
          <xlrd:rvb i="540"/>
        </ext>
      </extLst>
    </bk>
    <bk>
      <extLst>
        <ext uri="{3e2802c4-a4d2-4d8b-9148-e3be6c30e623}">
          <xlrd:rvb i="541"/>
        </ext>
      </extLst>
    </bk>
    <bk>
      <extLst>
        <ext uri="{3e2802c4-a4d2-4d8b-9148-e3be6c30e623}">
          <xlrd:rvb i="542"/>
        </ext>
      </extLst>
    </bk>
    <bk>
      <extLst>
        <ext uri="{3e2802c4-a4d2-4d8b-9148-e3be6c30e623}">
          <xlrd:rvb i="543"/>
        </ext>
      </extLst>
    </bk>
    <bk>
      <extLst>
        <ext uri="{3e2802c4-a4d2-4d8b-9148-e3be6c30e623}">
          <xlrd:rvb i="544"/>
        </ext>
      </extLst>
    </bk>
    <bk>
      <extLst>
        <ext uri="{3e2802c4-a4d2-4d8b-9148-e3be6c30e623}">
          <xlrd:rvb i="545"/>
        </ext>
      </extLst>
    </bk>
    <bk>
      <extLst>
        <ext uri="{3e2802c4-a4d2-4d8b-9148-e3be6c30e623}">
          <xlrd:rvb i="546"/>
        </ext>
      </extLst>
    </bk>
    <bk>
      <extLst>
        <ext uri="{3e2802c4-a4d2-4d8b-9148-e3be6c30e623}">
          <xlrd:rvb i="547"/>
        </ext>
      </extLst>
    </bk>
    <bk>
      <extLst>
        <ext uri="{3e2802c4-a4d2-4d8b-9148-e3be6c30e623}">
          <xlrd:rvb i="548"/>
        </ext>
      </extLst>
    </bk>
    <bk>
      <extLst>
        <ext uri="{3e2802c4-a4d2-4d8b-9148-e3be6c30e623}">
          <xlrd:rvb i="549"/>
        </ext>
      </extLst>
    </bk>
    <bk>
      <extLst>
        <ext uri="{3e2802c4-a4d2-4d8b-9148-e3be6c30e623}">
          <xlrd:rvb i="550"/>
        </ext>
      </extLst>
    </bk>
    <bk>
      <extLst>
        <ext uri="{3e2802c4-a4d2-4d8b-9148-e3be6c30e623}">
          <xlrd:rvb i="551"/>
        </ext>
      </extLst>
    </bk>
    <bk>
      <extLst>
        <ext uri="{3e2802c4-a4d2-4d8b-9148-e3be6c30e623}">
          <xlrd:rvb i="552"/>
        </ext>
      </extLst>
    </bk>
    <bk>
      <extLst>
        <ext uri="{3e2802c4-a4d2-4d8b-9148-e3be6c30e623}">
          <xlrd:rvb i="553"/>
        </ext>
      </extLst>
    </bk>
    <bk>
      <extLst>
        <ext uri="{3e2802c4-a4d2-4d8b-9148-e3be6c30e623}">
          <xlrd:rvb i="554"/>
        </ext>
      </extLst>
    </bk>
    <bk>
      <extLst>
        <ext uri="{3e2802c4-a4d2-4d8b-9148-e3be6c30e623}">
          <xlrd:rvb i="555"/>
        </ext>
      </extLst>
    </bk>
    <bk>
      <extLst>
        <ext uri="{3e2802c4-a4d2-4d8b-9148-e3be6c30e623}">
          <xlrd:rvb i="556"/>
        </ext>
      </extLst>
    </bk>
    <bk>
      <extLst>
        <ext uri="{3e2802c4-a4d2-4d8b-9148-e3be6c30e623}">
          <xlrd:rvb i="557"/>
        </ext>
      </extLst>
    </bk>
    <bk>
      <extLst>
        <ext uri="{3e2802c4-a4d2-4d8b-9148-e3be6c30e623}">
          <xlrd:rvb i="558"/>
        </ext>
      </extLst>
    </bk>
    <bk>
      <extLst>
        <ext uri="{3e2802c4-a4d2-4d8b-9148-e3be6c30e623}">
          <xlrd:rvb i="559"/>
        </ext>
      </extLst>
    </bk>
    <bk>
      <extLst>
        <ext uri="{3e2802c4-a4d2-4d8b-9148-e3be6c30e623}">
          <xlrd:rvb i="560"/>
        </ext>
      </extLst>
    </bk>
    <bk>
      <extLst>
        <ext uri="{3e2802c4-a4d2-4d8b-9148-e3be6c30e623}">
          <xlrd:rvb i="561"/>
        </ext>
      </extLst>
    </bk>
    <bk>
      <extLst>
        <ext uri="{3e2802c4-a4d2-4d8b-9148-e3be6c30e623}">
          <xlrd:rvb i="562"/>
        </ext>
      </extLst>
    </bk>
    <bk>
      <extLst>
        <ext uri="{3e2802c4-a4d2-4d8b-9148-e3be6c30e623}">
          <xlrd:rvb i="563"/>
        </ext>
      </extLst>
    </bk>
    <bk>
      <extLst>
        <ext uri="{3e2802c4-a4d2-4d8b-9148-e3be6c30e623}">
          <xlrd:rvb i="564"/>
        </ext>
      </extLst>
    </bk>
    <bk>
      <extLst>
        <ext uri="{3e2802c4-a4d2-4d8b-9148-e3be6c30e623}">
          <xlrd:rvb i="565"/>
        </ext>
      </extLst>
    </bk>
    <bk>
      <extLst>
        <ext uri="{3e2802c4-a4d2-4d8b-9148-e3be6c30e623}">
          <xlrd:rvb i="566"/>
        </ext>
      </extLst>
    </bk>
    <bk>
      <extLst>
        <ext uri="{3e2802c4-a4d2-4d8b-9148-e3be6c30e623}">
          <xlrd:rvb i="567"/>
        </ext>
      </extLst>
    </bk>
    <bk>
      <extLst>
        <ext uri="{3e2802c4-a4d2-4d8b-9148-e3be6c30e623}">
          <xlrd:rvb i="568"/>
        </ext>
      </extLst>
    </bk>
    <bk>
      <extLst>
        <ext uri="{3e2802c4-a4d2-4d8b-9148-e3be6c30e623}">
          <xlrd:rvb i="569"/>
        </ext>
      </extLst>
    </bk>
    <bk>
      <extLst>
        <ext uri="{3e2802c4-a4d2-4d8b-9148-e3be6c30e623}">
          <xlrd:rvb i="570"/>
        </ext>
      </extLst>
    </bk>
    <bk>
      <extLst>
        <ext uri="{3e2802c4-a4d2-4d8b-9148-e3be6c30e623}">
          <xlrd:rvb i="571"/>
        </ext>
      </extLst>
    </bk>
    <bk>
      <extLst>
        <ext uri="{3e2802c4-a4d2-4d8b-9148-e3be6c30e623}">
          <xlrd:rvb i="572"/>
        </ext>
      </extLst>
    </bk>
    <bk>
      <extLst>
        <ext uri="{3e2802c4-a4d2-4d8b-9148-e3be6c30e623}">
          <xlrd:rvb i="573"/>
        </ext>
      </extLst>
    </bk>
    <bk>
      <extLst>
        <ext uri="{3e2802c4-a4d2-4d8b-9148-e3be6c30e623}">
          <xlrd:rvb i="574"/>
        </ext>
      </extLst>
    </bk>
    <bk>
      <extLst>
        <ext uri="{3e2802c4-a4d2-4d8b-9148-e3be6c30e623}">
          <xlrd:rvb i="575"/>
        </ext>
      </extLst>
    </bk>
    <bk>
      <extLst>
        <ext uri="{3e2802c4-a4d2-4d8b-9148-e3be6c30e623}">
          <xlrd:rvb i="576"/>
        </ext>
      </extLst>
    </bk>
    <bk>
      <extLst>
        <ext uri="{3e2802c4-a4d2-4d8b-9148-e3be6c30e623}">
          <xlrd:rvb i="577"/>
        </ext>
      </extLst>
    </bk>
    <bk>
      <extLst>
        <ext uri="{3e2802c4-a4d2-4d8b-9148-e3be6c30e623}">
          <xlrd:rvb i="578"/>
        </ext>
      </extLst>
    </bk>
    <bk>
      <extLst>
        <ext uri="{3e2802c4-a4d2-4d8b-9148-e3be6c30e623}">
          <xlrd:rvb i="579"/>
        </ext>
      </extLst>
    </bk>
    <bk>
      <extLst>
        <ext uri="{3e2802c4-a4d2-4d8b-9148-e3be6c30e623}">
          <xlrd:rvb i="580"/>
        </ext>
      </extLst>
    </bk>
    <bk>
      <extLst>
        <ext uri="{3e2802c4-a4d2-4d8b-9148-e3be6c30e623}">
          <xlrd:rvb i="581"/>
        </ext>
      </extLst>
    </bk>
    <bk>
      <extLst>
        <ext uri="{3e2802c4-a4d2-4d8b-9148-e3be6c30e623}">
          <xlrd:rvb i="582"/>
        </ext>
      </extLst>
    </bk>
    <bk>
      <extLst>
        <ext uri="{3e2802c4-a4d2-4d8b-9148-e3be6c30e623}">
          <xlrd:rvb i="583"/>
        </ext>
      </extLst>
    </bk>
    <bk>
      <extLst>
        <ext uri="{3e2802c4-a4d2-4d8b-9148-e3be6c30e623}">
          <xlrd:rvb i="584"/>
        </ext>
      </extLst>
    </bk>
    <bk>
      <extLst>
        <ext uri="{3e2802c4-a4d2-4d8b-9148-e3be6c30e623}">
          <xlrd:rvb i="585"/>
        </ext>
      </extLst>
    </bk>
    <bk>
      <extLst>
        <ext uri="{3e2802c4-a4d2-4d8b-9148-e3be6c30e623}">
          <xlrd:rvb i="586"/>
        </ext>
      </extLst>
    </bk>
    <bk>
      <extLst>
        <ext uri="{3e2802c4-a4d2-4d8b-9148-e3be6c30e623}">
          <xlrd:rvb i="587"/>
        </ext>
      </extLst>
    </bk>
    <bk>
      <extLst>
        <ext uri="{3e2802c4-a4d2-4d8b-9148-e3be6c30e623}">
          <xlrd:rvb i="588"/>
        </ext>
      </extLst>
    </bk>
    <bk>
      <extLst>
        <ext uri="{3e2802c4-a4d2-4d8b-9148-e3be6c30e623}">
          <xlrd:rvb i="589"/>
        </ext>
      </extLst>
    </bk>
    <bk>
      <extLst>
        <ext uri="{3e2802c4-a4d2-4d8b-9148-e3be6c30e623}">
          <xlrd:rvb i="590"/>
        </ext>
      </extLst>
    </bk>
    <bk>
      <extLst>
        <ext uri="{3e2802c4-a4d2-4d8b-9148-e3be6c30e623}">
          <xlrd:rvb i="591"/>
        </ext>
      </extLst>
    </bk>
    <bk>
      <extLst>
        <ext uri="{3e2802c4-a4d2-4d8b-9148-e3be6c30e623}">
          <xlrd:rvb i="592"/>
        </ext>
      </extLst>
    </bk>
    <bk>
      <extLst>
        <ext uri="{3e2802c4-a4d2-4d8b-9148-e3be6c30e623}">
          <xlrd:rvb i="593"/>
        </ext>
      </extLst>
    </bk>
    <bk>
      <extLst>
        <ext uri="{3e2802c4-a4d2-4d8b-9148-e3be6c30e623}">
          <xlrd:rvb i="594"/>
        </ext>
      </extLst>
    </bk>
    <bk>
      <extLst>
        <ext uri="{3e2802c4-a4d2-4d8b-9148-e3be6c30e623}">
          <xlrd:rvb i="595"/>
        </ext>
      </extLst>
    </bk>
    <bk>
      <extLst>
        <ext uri="{3e2802c4-a4d2-4d8b-9148-e3be6c30e623}">
          <xlrd:rvb i="596"/>
        </ext>
      </extLst>
    </bk>
    <bk>
      <extLst>
        <ext uri="{3e2802c4-a4d2-4d8b-9148-e3be6c30e623}">
          <xlrd:rvb i="597"/>
        </ext>
      </extLst>
    </bk>
    <bk>
      <extLst>
        <ext uri="{3e2802c4-a4d2-4d8b-9148-e3be6c30e623}">
          <xlrd:rvb i="598"/>
        </ext>
      </extLst>
    </bk>
    <bk>
      <extLst>
        <ext uri="{3e2802c4-a4d2-4d8b-9148-e3be6c30e623}">
          <xlrd:rvb i="599"/>
        </ext>
      </extLst>
    </bk>
    <bk>
      <extLst>
        <ext uri="{3e2802c4-a4d2-4d8b-9148-e3be6c30e623}">
          <xlrd:rvb i="600"/>
        </ext>
      </extLst>
    </bk>
    <bk>
      <extLst>
        <ext uri="{3e2802c4-a4d2-4d8b-9148-e3be6c30e623}">
          <xlrd:rvb i="601"/>
        </ext>
      </extLst>
    </bk>
    <bk>
      <extLst>
        <ext uri="{3e2802c4-a4d2-4d8b-9148-e3be6c30e623}">
          <xlrd:rvb i="602"/>
        </ext>
      </extLst>
    </bk>
    <bk>
      <extLst>
        <ext uri="{3e2802c4-a4d2-4d8b-9148-e3be6c30e623}">
          <xlrd:rvb i="603"/>
        </ext>
      </extLst>
    </bk>
    <bk>
      <extLst>
        <ext uri="{3e2802c4-a4d2-4d8b-9148-e3be6c30e623}">
          <xlrd:rvb i="604"/>
        </ext>
      </extLst>
    </bk>
    <bk>
      <extLst>
        <ext uri="{3e2802c4-a4d2-4d8b-9148-e3be6c30e623}">
          <xlrd:rvb i="605"/>
        </ext>
      </extLst>
    </bk>
    <bk>
      <extLst>
        <ext uri="{3e2802c4-a4d2-4d8b-9148-e3be6c30e623}">
          <xlrd:rvb i="606"/>
        </ext>
      </extLst>
    </bk>
    <bk>
      <extLst>
        <ext uri="{3e2802c4-a4d2-4d8b-9148-e3be6c30e623}">
          <xlrd:rvb i="607"/>
        </ext>
      </extLst>
    </bk>
    <bk>
      <extLst>
        <ext uri="{3e2802c4-a4d2-4d8b-9148-e3be6c30e623}">
          <xlrd:rvb i="608"/>
        </ext>
      </extLst>
    </bk>
    <bk>
      <extLst>
        <ext uri="{3e2802c4-a4d2-4d8b-9148-e3be6c30e623}">
          <xlrd:rvb i="609"/>
        </ext>
      </extLst>
    </bk>
    <bk>
      <extLst>
        <ext uri="{3e2802c4-a4d2-4d8b-9148-e3be6c30e623}">
          <xlrd:rvb i="610"/>
        </ext>
      </extLst>
    </bk>
    <bk>
      <extLst>
        <ext uri="{3e2802c4-a4d2-4d8b-9148-e3be6c30e623}">
          <xlrd:rvb i="611"/>
        </ext>
      </extLst>
    </bk>
    <bk>
      <extLst>
        <ext uri="{3e2802c4-a4d2-4d8b-9148-e3be6c30e623}">
          <xlrd:rvb i="612"/>
        </ext>
      </extLst>
    </bk>
    <bk>
      <extLst>
        <ext uri="{3e2802c4-a4d2-4d8b-9148-e3be6c30e623}">
          <xlrd:rvb i="613"/>
        </ext>
      </extLst>
    </bk>
    <bk>
      <extLst>
        <ext uri="{3e2802c4-a4d2-4d8b-9148-e3be6c30e623}">
          <xlrd:rvb i="614"/>
        </ext>
      </extLst>
    </bk>
    <bk>
      <extLst>
        <ext uri="{3e2802c4-a4d2-4d8b-9148-e3be6c30e623}">
          <xlrd:rvb i="615"/>
        </ext>
      </extLst>
    </bk>
    <bk>
      <extLst>
        <ext uri="{3e2802c4-a4d2-4d8b-9148-e3be6c30e623}">
          <xlrd:rvb i="616"/>
        </ext>
      </extLst>
    </bk>
    <bk>
      <extLst>
        <ext uri="{3e2802c4-a4d2-4d8b-9148-e3be6c30e623}">
          <xlrd:rvb i="617"/>
        </ext>
      </extLst>
    </bk>
    <bk>
      <extLst>
        <ext uri="{3e2802c4-a4d2-4d8b-9148-e3be6c30e623}">
          <xlrd:rvb i="618"/>
        </ext>
      </extLst>
    </bk>
    <bk>
      <extLst>
        <ext uri="{3e2802c4-a4d2-4d8b-9148-e3be6c30e623}">
          <xlrd:rvb i="619"/>
        </ext>
      </extLst>
    </bk>
    <bk>
      <extLst>
        <ext uri="{3e2802c4-a4d2-4d8b-9148-e3be6c30e623}">
          <xlrd:rvb i="620"/>
        </ext>
      </extLst>
    </bk>
    <bk>
      <extLst>
        <ext uri="{3e2802c4-a4d2-4d8b-9148-e3be6c30e623}">
          <xlrd:rvb i="621"/>
        </ext>
      </extLst>
    </bk>
    <bk>
      <extLst>
        <ext uri="{3e2802c4-a4d2-4d8b-9148-e3be6c30e623}">
          <xlrd:rvb i="622"/>
        </ext>
      </extLst>
    </bk>
    <bk>
      <extLst>
        <ext uri="{3e2802c4-a4d2-4d8b-9148-e3be6c30e623}">
          <xlrd:rvb i="623"/>
        </ext>
      </extLst>
    </bk>
    <bk>
      <extLst>
        <ext uri="{3e2802c4-a4d2-4d8b-9148-e3be6c30e623}">
          <xlrd:rvb i="624"/>
        </ext>
      </extLst>
    </bk>
    <bk>
      <extLst>
        <ext uri="{3e2802c4-a4d2-4d8b-9148-e3be6c30e623}">
          <xlrd:rvb i="625"/>
        </ext>
      </extLst>
    </bk>
    <bk>
      <extLst>
        <ext uri="{3e2802c4-a4d2-4d8b-9148-e3be6c30e623}">
          <xlrd:rvb i="626"/>
        </ext>
      </extLst>
    </bk>
    <bk>
      <extLst>
        <ext uri="{3e2802c4-a4d2-4d8b-9148-e3be6c30e623}">
          <xlrd:rvb i="627"/>
        </ext>
      </extLst>
    </bk>
    <bk>
      <extLst>
        <ext uri="{3e2802c4-a4d2-4d8b-9148-e3be6c30e623}">
          <xlrd:rvb i="628"/>
        </ext>
      </extLst>
    </bk>
    <bk>
      <extLst>
        <ext uri="{3e2802c4-a4d2-4d8b-9148-e3be6c30e623}">
          <xlrd:rvb i="629"/>
        </ext>
      </extLst>
    </bk>
    <bk>
      <extLst>
        <ext uri="{3e2802c4-a4d2-4d8b-9148-e3be6c30e623}">
          <xlrd:rvb i="630"/>
        </ext>
      </extLst>
    </bk>
    <bk>
      <extLst>
        <ext uri="{3e2802c4-a4d2-4d8b-9148-e3be6c30e623}">
          <xlrd:rvb i="631"/>
        </ext>
      </extLst>
    </bk>
    <bk>
      <extLst>
        <ext uri="{3e2802c4-a4d2-4d8b-9148-e3be6c30e623}">
          <xlrd:rvb i="632"/>
        </ext>
      </extLst>
    </bk>
    <bk>
      <extLst>
        <ext uri="{3e2802c4-a4d2-4d8b-9148-e3be6c30e623}">
          <xlrd:rvb i="633"/>
        </ext>
      </extLst>
    </bk>
    <bk>
      <extLst>
        <ext uri="{3e2802c4-a4d2-4d8b-9148-e3be6c30e623}">
          <xlrd:rvb i="634"/>
        </ext>
      </extLst>
    </bk>
    <bk>
      <extLst>
        <ext uri="{3e2802c4-a4d2-4d8b-9148-e3be6c30e623}">
          <xlrd:rvb i="635"/>
        </ext>
      </extLst>
    </bk>
    <bk>
      <extLst>
        <ext uri="{3e2802c4-a4d2-4d8b-9148-e3be6c30e623}">
          <xlrd:rvb i="636"/>
        </ext>
      </extLst>
    </bk>
    <bk>
      <extLst>
        <ext uri="{3e2802c4-a4d2-4d8b-9148-e3be6c30e623}">
          <xlrd:rvb i="637"/>
        </ext>
      </extLst>
    </bk>
    <bk>
      <extLst>
        <ext uri="{3e2802c4-a4d2-4d8b-9148-e3be6c30e623}">
          <xlrd:rvb i="638"/>
        </ext>
      </extLst>
    </bk>
    <bk>
      <extLst>
        <ext uri="{3e2802c4-a4d2-4d8b-9148-e3be6c30e623}">
          <xlrd:rvb i="639"/>
        </ext>
      </extLst>
    </bk>
    <bk>
      <extLst>
        <ext uri="{3e2802c4-a4d2-4d8b-9148-e3be6c30e623}">
          <xlrd:rvb i="640"/>
        </ext>
      </extLst>
    </bk>
    <bk>
      <extLst>
        <ext uri="{3e2802c4-a4d2-4d8b-9148-e3be6c30e623}">
          <xlrd:rvb i="641"/>
        </ext>
      </extLst>
    </bk>
    <bk>
      <extLst>
        <ext uri="{3e2802c4-a4d2-4d8b-9148-e3be6c30e623}">
          <xlrd:rvb i="642"/>
        </ext>
      </extLst>
    </bk>
    <bk>
      <extLst>
        <ext uri="{3e2802c4-a4d2-4d8b-9148-e3be6c30e623}">
          <xlrd:rvb i="643"/>
        </ext>
      </extLst>
    </bk>
    <bk>
      <extLst>
        <ext uri="{3e2802c4-a4d2-4d8b-9148-e3be6c30e623}">
          <xlrd:rvb i="644"/>
        </ext>
      </extLst>
    </bk>
    <bk>
      <extLst>
        <ext uri="{3e2802c4-a4d2-4d8b-9148-e3be6c30e623}">
          <xlrd:rvb i="645"/>
        </ext>
      </extLst>
    </bk>
    <bk>
      <extLst>
        <ext uri="{3e2802c4-a4d2-4d8b-9148-e3be6c30e623}">
          <xlrd:rvb i="646"/>
        </ext>
      </extLst>
    </bk>
    <bk>
      <extLst>
        <ext uri="{3e2802c4-a4d2-4d8b-9148-e3be6c30e623}">
          <xlrd:rvb i="647"/>
        </ext>
      </extLst>
    </bk>
    <bk>
      <extLst>
        <ext uri="{3e2802c4-a4d2-4d8b-9148-e3be6c30e623}">
          <xlrd:rvb i="648"/>
        </ext>
      </extLst>
    </bk>
    <bk>
      <extLst>
        <ext uri="{3e2802c4-a4d2-4d8b-9148-e3be6c30e623}">
          <xlrd:rvb i="649"/>
        </ext>
      </extLst>
    </bk>
    <bk>
      <extLst>
        <ext uri="{3e2802c4-a4d2-4d8b-9148-e3be6c30e623}">
          <xlrd:rvb i="650"/>
        </ext>
      </extLst>
    </bk>
    <bk>
      <extLst>
        <ext uri="{3e2802c4-a4d2-4d8b-9148-e3be6c30e623}">
          <xlrd:rvb i="651"/>
        </ext>
      </extLst>
    </bk>
    <bk>
      <extLst>
        <ext uri="{3e2802c4-a4d2-4d8b-9148-e3be6c30e623}">
          <xlrd:rvb i="652"/>
        </ext>
      </extLst>
    </bk>
    <bk>
      <extLst>
        <ext uri="{3e2802c4-a4d2-4d8b-9148-e3be6c30e623}">
          <xlrd:rvb i="653"/>
        </ext>
      </extLst>
    </bk>
    <bk>
      <extLst>
        <ext uri="{3e2802c4-a4d2-4d8b-9148-e3be6c30e623}">
          <xlrd:rvb i="654"/>
        </ext>
      </extLst>
    </bk>
    <bk>
      <extLst>
        <ext uri="{3e2802c4-a4d2-4d8b-9148-e3be6c30e623}">
          <xlrd:rvb i="655"/>
        </ext>
      </extLst>
    </bk>
    <bk>
      <extLst>
        <ext uri="{3e2802c4-a4d2-4d8b-9148-e3be6c30e623}">
          <xlrd:rvb i="656"/>
        </ext>
      </extLst>
    </bk>
    <bk>
      <extLst>
        <ext uri="{3e2802c4-a4d2-4d8b-9148-e3be6c30e623}">
          <xlrd:rvb i="657"/>
        </ext>
      </extLst>
    </bk>
    <bk>
      <extLst>
        <ext uri="{3e2802c4-a4d2-4d8b-9148-e3be6c30e623}">
          <xlrd:rvb i="658"/>
        </ext>
      </extLst>
    </bk>
    <bk>
      <extLst>
        <ext uri="{3e2802c4-a4d2-4d8b-9148-e3be6c30e623}">
          <xlrd:rvb i="659"/>
        </ext>
      </extLst>
    </bk>
    <bk>
      <extLst>
        <ext uri="{3e2802c4-a4d2-4d8b-9148-e3be6c30e623}">
          <xlrd:rvb i="660"/>
        </ext>
      </extLst>
    </bk>
    <bk>
      <extLst>
        <ext uri="{3e2802c4-a4d2-4d8b-9148-e3be6c30e623}">
          <xlrd:rvb i="661"/>
        </ext>
      </extLst>
    </bk>
    <bk>
      <extLst>
        <ext uri="{3e2802c4-a4d2-4d8b-9148-e3be6c30e623}">
          <xlrd:rvb i="662"/>
        </ext>
      </extLst>
    </bk>
    <bk>
      <extLst>
        <ext uri="{3e2802c4-a4d2-4d8b-9148-e3be6c30e623}">
          <xlrd:rvb i="663"/>
        </ext>
      </extLst>
    </bk>
    <bk>
      <extLst>
        <ext uri="{3e2802c4-a4d2-4d8b-9148-e3be6c30e623}">
          <xlrd:rvb i="664"/>
        </ext>
      </extLst>
    </bk>
    <bk>
      <extLst>
        <ext uri="{3e2802c4-a4d2-4d8b-9148-e3be6c30e623}">
          <xlrd:rvb i="665"/>
        </ext>
      </extLst>
    </bk>
    <bk>
      <extLst>
        <ext uri="{3e2802c4-a4d2-4d8b-9148-e3be6c30e623}">
          <xlrd:rvb i="666"/>
        </ext>
      </extLst>
    </bk>
    <bk>
      <extLst>
        <ext uri="{3e2802c4-a4d2-4d8b-9148-e3be6c30e623}">
          <xlrd:rvb i="667"/>
        </ext>
      </extLst>
    </bk>
    <bk>
      <extLst>
        <ext uri="{3e2802c4-a4d2-4d8b-9148-e3be6c30e623}">
          <xlrd:rvb i="668"/>
        </ext>
      </extLst>
    </bk>
    <bk>
      <extLst>
        <ext uri="{3e2802c4-a4d2-4d8b-9148-e3be6c30e623}">
          <xlrd:rvb i="669"/>
        </ext>
      </extLst>
    </bk>
    <bk>
      <extLst>
        <ext uri="{3e2802c4-a4d2-4d8b-9148-e3be6c30e623}">
          <xlrd:rvb i="670"/>
        </ext>
      </extLst>
    </bk>
    <bk>
      <extLst>
        <ext uri="{3e2802c4-a4d2-4d8b-9148-e3be6c30e623}">
          <xlrd:rvb i="671"/>
        </ext>
      </extLst>
    </bk>
    <bk>
      <extLst>
        <ext uri="{3e2802c4-a4d2-4d8b-9148-e3be6c30e623}">
          <xlrd:rvb i="672"/>
        </ext>
      </extLst>
    </bk>
    <bk>
      <extLst>
        <ext uri="{3e2802c4-a4d2-4d8b-9148-e3be6c30e623}">
          <xlrd:rvb i="673"/>
        </ext>
      </extLst>
    </bk>
    <bk>
      <extLst>
        <ext uri="{3e2802c4-a4d2-4d8b-9148-e3be6c30e623}">
          <xlrd:rvb i="674"/>
        </ext>
      </extLst>
    </bk>
    <bk>
      <extLst>
        <ext uri="{3e2802c4-a4d2-4d8b-9148-e3be6c30e623}">
          <xlrd:rvb i="675"/>
        </ext>
      </extLst>
    </bk>
    <bk>
      <extLst>
        <ext uri="{3e2802c4-a4d2-4d8b-9148-e3be6c30e623}">
          <xlrd:rvb i="676"/>
        </ext>
      </extLst>
    </bk>
    <bk>
      <extLst>
        <ext uri="{3e2802c4-a4d2-4d8b-9148-e3be6c30e623}">
          <xlrd:rvb i="677"/>
        </ext>
      </extLst>
    </bk>
    <bk>
      <extLst>
        <ext uri="{3e2802c4-a4d2-4d8b-9148-e3be6c30e623}">
          <xlrd:rvb i="678"/>
        </ext>
      </extLst>
    </bk>
    <bk>
      <extLst>
        <ext uri="{3e2802c4-a4d2-4d8b-9148-e3be6c30e623}">
          <xlrd:rvb i="679"/>
        </ext>
      </extLst>
    </bk>
    <bk>
      <extLst>
        <ext uri="{3e2802c4-a4d2-4d8b-9148-e3be6c30e623}">
          <xlrd:rvb i="680"/>
        </ext>
      </extLst>
    </bk>
    <bk>
      <extLst>
        <ext uri="{3e2802c4-a4d2-4d8b-9148-e3be6c30e623}">
          <xlrd:rvb i="681"/>
        </ext>
      </extLst>
    </bk>
    <bk>
      <extLst>
        <ext uri="{3e2802c4-a4d2-4d8b-9148-e3be6c30e623}">
          <xlrd:rvb i="682"/>
        </ext>
      </extLst>
    </bk>
    <bk>
      <extLst>
        <ext uri="{3e2802c4-a4d2-4d8b-9148-e3be6c30e623}">
          <xlrd:rvb i="683"/>
        </ext>
      </extLst>
    </bk>
    <bk>
      <extLst>
        <ext uri="{3e2802c4-a4d2-4d8b-9148-e3be6c30e623}">
          <xlrd:rvb i="684"/>
        </ext>
      </extLst>
    </bk>
    <bk>
      <extLst>
        <ext uri="{3e2802c4-a4d2-4d8b-9148-e3be6c30e623}">
          <xlrd:rvb i="685"/>
        </ext>
      </extLst>
    </bk>
    <bk>
      <extLst>
        <ext uri="{3e2802c4-a4d2-4d8b-9148-e3be6c30e623}">
          <xlrd:rvb i="686"/>
        </ext>
      </extLst>
    </bk>
    <bk>
      <extLst>
        <ext uri="{3e2802c4-a4d2-4d8b-9148-e3be6c30e623}">
          <xlrd:rvb i="687"/>
        </ext>
      </extLst>
    </bk>
    <bk>
      <extLst>
        <ext uri="{3e2802c4-a4d2-4d8b-9148-e3be6c30e623}">
          <xlrd:rvb i="688"/>
        </ext>
      </extLst>
    </bk>
    <bk>
      <extLst>
        <ext uri="{3e2802c4-a4d2-4d8b-9148-e3be6c30e623}">
          <xlrd:rvb i="689"/>
        </ext>
      </extLst>
    </bk>
    <bk>
      <extLst>
        <ext uri="{3e2802c4-a4d2-4d8b-9148-e3be6c30e623}">
          <xlrd:rvb i="690"/>
        </ext>
      </extLst>
    </bk>
    <bk>
      <extLst>
        <ext uri="{3e2802c4-a4d2-4d8b-9148-e3be6c30e623}">
          <xlrd:rvb i="691"/>
        </ext>
      </extLst>
    </bk>
    <bk>
      <extLst>
        <ext uri="{3e2802c4-a4d2-4d8b-9148-e3be6c30e623}">
          <xlrd:rvb i="692"/>
        </ext>
      </extLst>
    </bk>
    <bk>
      <extLst>
        <ext uri="{3e2802c4-a4d2-4d8b-9148-e3be6c30e623}">
          <xlrd:rvb i="693"/>
        </ext>
      </extLst>
    </bk>
    <bk>
      <extLst>
        <ext uri="{3e2802c4-a4d2-4d8b-9148-e3be6c30e623}">
          <xlrd:rvb i="694"/>
        </ext>
      </extLst>
    </bk>
    <bk>
      <extLst>
        <ext uri="{3e2802c4-a4d2-4d8b-9148-e3be6c30e623}">
          <xlrd:rvb i="695"/>
        </ext>
      </extLst>
    </bk>
    <bk>
      <extLst>
        <ext uri="{3e2802c4-a4d2-4d8b-9148-e3be6c30e623}">
          <xlrd:rvb i="696"/>
        </ext>
      </extLst>
    </bk>
    <bk>
      <extLst>
        <ext uri="{3e2802c4-a4d2-4d8b-9148-e3be6c30e623}">
          <xlrd:rvb i="697"/>
        </ext>
      </extLst>
    </bk>
    <bk>
      <extLst>
        <ext uri="{3e2802c4-a4d2-4d8b-9148-e3be6c30e623}">
          <xlrd:rvb i="698"/>
        </ext>
      </extLst>
    </bk>
    <bk>
      <extLst>
        <ext uri="{3e2802c4-a4d2-4d8b-9148-e3be6c30e623}">
          <xlrd:rvb i="699"/>
        </ext>
      </extLst>
    </bk>
    <bk>
      <extLst>
        <ext uri="{3e2802c4-a4d2-4d8b-9148-e3be6c30e623}">
          <xlrd:rvb i="700"/>
        </ext>
      </extLst>
    </bk>
    <bk>
      <extLst>
        <ext uri="{3e2802c4-a4d2-4d8b-9148-e3be6c30e623}">
          <xlrd:rvb i="701"/>
        </ext>
      </extLst>
    </bk>
    <bk>
      <extLst>
        <ext uri="{3e2802c4-a4d2-4d8b-9148-e3be6c30e623}">
          <xlrd:rvb i="702"/>
        </ext>
      </extLst>
    </bk>
    <bk>
      <extLst>
        <ext uri="{3e2802c4-a4d2-4d8b-9148-e3be6c30e623}">
          <xlrd:rvb i="703"/>
        </ext>
      </extLst>
    </bk>
    <bk>
      <extLst>
        <ext uri="{3e2802c4-a4d2-4d8b-9148-e3be6c30e623}">
          <xlrd:rvb i="704"/>
        </ext>
      </extLst>
    </bk>
    <bk>
      <extLst>
        <ext uri="{3e2802c4-a4d2-4d8b-9148-e3be6c30e623}">
          <xlrd:rvb i="705"/>
        </ext>
      </extLst>
    </bk>
    <bk>
      <extLst>
        <ext uri="{3e2802c4-a4d2-4d8b-9148-e3be6c30e623}">
          <xlrd:rvb i="706"/>
        </ext>
      </extLst>
    </bk>
    <bk>
      <extLst>
        <ext uri="{3e2802c4-a4d2-4d8b-9148-e3be6c30e623}">
          <xlrd:rvb i="707"/>
        </ext>
      </extLst>
    </bk>
    <bk>
      <extLst>
        <ext uri="{3e2802c4-a4d2-4d8b-9148-e3be6c30e623}">
          <xlrd:rvb i="708"/>
        </ext>
      </extLst>
    </bk>
    <bk>
      <extLst>
        <ext uri="{3e2802c4-a4d2-4d8b-9148-e3be6c30e623}">
          <xlrd:rvb i="709"/>
        </ext>
      </extLst>
    </bk>
    <bk>
      <extLst>
        <ext uri="{3e2802c4-a4d2-4d8b-9148-e3be6c30e623}">
          <xlrd:rvb i="710"/>
        </ext>
      </extLst>
    </bk>
    <bk>
      <extLst>
        <ext uri="{3e2802c4-a4d2-4d8b-9148-e3be6c30e623}">
          <xlrd:rvb i="711"/>
        </ext>
      </extLst>
    </bk>
    <bk>
      <extLst>
        <ext uri="{3e2802c4-a4d2-4d8b-9148-e3be6c30e623}">
          <xlrd:rvb i="712"/>
        </ext>
      </extLst>
    </bk>
    <bk>
      <extLst>
        <ext uri="{3e2802c4-a4d2-4d8b-9148-e3be6c30e623}">
          <xlrd:rvb i="713"/>
        </ext>
      </extLst>
    </bk>
    <bk>
      <extLst>
        <ext uri="{3e2802c4-a4d2-4d8b-9148-e3be6c30e623}">
          <xlrd:rvb i="714"/>
        </ext>
      </extLst>
    </bk>
    <bk>
      <extLst>
        <ext uri="{3e2802c4-a4d2-4d8b-9148-e3be6c30e623}">
          <xlrd:rvb i="715"/>
        </ext>
      </extLst>
    </bk>
    <bk>
      <extLst>
        <ext uri="{3e2802c4-a4d2-4d8b-9148-e3be6c30e623}">
          <xlrd:rvb i="716"/>
        </ext>
      </extLst>
    </bk>
    <bk>
      <extLst>
        <ext uri="{3e2802c4-a4d2-4d8b-9148-e3be6c30e623}">
          <xlrd:rvb i="717"/>
        </ext>
      </extLst>
    </bk>
    <bk>
      <extLst>
        <ext uri="{3e2802c4-a4d2-4d8b-9148-e3be6c30e623}">
          <xlrd:rvb i="718"/>
        </ext>
      </extLst>
    </bk>
    <bk>
      <extLst>
        <ext uri="{3e2802c4-a4d2-4d8b-9148-e3be6c30e623}">
          <xlrd:rvb i="719"/>
        </ext>
      </extLst>
    </bk>
    <bk>
      <extLst>
        <ext uri="{3e2802c4-a4d2-4d8b-9148-e3be6c30e623}">
          <xlrd:rvb i="720"/>
        </ext>
      </extLst>
    </bk>
    <bk>
      <extLst>
        <ext uri="{3e2802c4-a4d2-4d8b-9148-e3be6c30e623}">
          <xlrd:rvb i="721"/>
        </ext>
      </extLst>
    </bk>
    <bk>
      <extLst>
        <ext uri="{3e2802c4-a4d2-4d8b-9148-e3be6c30e623}">
          <xlrd:rvb i="722"/>
        </ext>
      </extLst>
    </bk>
    <bk>
      <extLst>
        <ext uri="{3e2802c4-a4d2-4d8b-9148-e3be6c30e623}">
          <xlrd:rvb i="723"/>
        </ext>
      </extLst>
    </bk>
    <bk>
      <extLst>
        <ext uri="{3e2802c4-a4d2-4d8b-9148-e3be6c30e623}">
          <xlrd:rvb i="724"/>
        </ext>
      </extLst>
    </bk>
    <bk>
      <extLst>
        <ext uri="{3e2802c4-a4d2-4d8b-9148-e3be6c30e623}">
          <xlrd:rvb i="725"/>
        </ext>
      </extLst>
    </bk>
    <bk>
      <extLst>
        <ext uri="{3e2802c4-a4d2-4d8b-9148-e3be6c30e623}">
          <xlrd:rvb i="726"/>
        </ext>
      </extLst>
    </bk>
    <bk>
      <extLst>
        <ext uri="{3e2802c4-a4d2-4d8b-9148-e3be6c30e623}">
          <xlrd:rvb i="727"/>
        </ext>
      </extLst>
    </bk>
    <bk>
      <extLst>
        <ext uri="{3e2802c4-a4d2-4d8b-9148-e3be6c30e623}">
          <xlrd:rvb i="728"/>
        </ext>
      </extLst>
    </bk>
    <bk>
      <extLst>
        <ext uri="{3e2802c4-a4d2-4d8b-9148-e3be6c30e623}">
          <xlrd:rvb i="729"/>
        </ext>
      </extLst>
    </bk>
    <bk>
      <extLst>
        <ext uri="{3e2802c4-a4d2-4d8b-9148-e3be6c30e623}">
          <xlrd:rvb i="730"/>
        </ext>
      </extLst>
    </bk>
    <bk>
      <extLst>
        <ext uri="{3e2802c4-a4d2-4d8b-9148-e3be6c30e623}">
          <xlrd:rvb i="731"/>
        </ext>
      </extLst>
    </bk>
    <bk>
      <extLst>
        <ext uri="{3e2802c4-a4d2-4d8b-9148-e3be6c30e623}">
          <xlrd:rvb i="732"/>
        </ext>
      </extLst>
    </bk>
    <bk>
      <extLst>
        <ext uri="{3e2802c4-a4d2-4d8b-9148-e3be6c30e623}">
          <xlrd:rvb i="733"/>
        </ext>
      </extLst>
    </bk>
    <bk>
      <extLst>
        <ext uri="{3e2802c4-a4d2-4d8b-9148-e3be6c30e623}">
          <xlrd:rvb i="734"/>
        </ext>
      </extLst>
    </bk>
    <bk>
      <extLst>
        <ext uri="{3e2802c4-a4d2-4d8b-9148-e3be6c30e623}">
          <xlrd:rvb i="735"/>
        </ext>
      </extLst>
    </bk>
    <bk>
      <extLst>
        <ext uri="{3e2802c4-a4d2-4d8b-9148-e3be6c30e623}">
          <xlrd:rvb i="736"/>
        </ext>
      </extLst>
    </bk>
    <bk>
      <extLst>
        <ext uri="{3e2802c4-a4d2-4d8b-9148-e3be6c30e623}">
          <xlrd:rvb i="737"/>
        </ext>
      </extLst>
    </bk>
    <bk>
      <extLst>
        <ext uri="{3e2802c4-a4d2-4d8b-9148-e3be6c30e623}">
          <xlrd:rvb i="738"/>
        </ext>
      </extLst>
    </bk>
    <bk>
      <extLst>
        <ext uri="{3e2802c4-a4d2-4d8b-9148-e3be6c30e623}">
          <xlrd:rvb i="739"/>
        </ext>
      </extLst>
    </bk>
    <bk>
      <extLst>
        <ext uri="{3e2802c4-a4d2-4d8b-9148-e3be6c30e623}">
          <xlrd:rvb i="740"/>
        </ext>
      </extLst>
    </bk>
    <bk>
      <extLst>
        <ext uri="{3e2802c4-a4d2-4d8b-9148-e3be6c30e623}">
          <xlrd:rvb i="741"/>
        </ext>
      </extLst>
    </bk>
    <bk>
      <extLst>
        <ext uri="{3e2802c4-a4d2-4d8b-9148-e3be6c30e623}">
          <xlrd:rvb i="742"/>
        </ext>
      </extLst>
    </bk>
    <bk>
      <extLst>
        <ext uri="{3e2802c4-a4d2-4d8b-9148-e3be6c30e623}">
          <xlrd:rvb i="743"/>
        </ext>
      </extLst>
    </bk>
    <bk>
      <extLst>
        <ext uri="{3e2802c4-a4d2-4d8b-9148-e3be6c30e623}">
          <xlrd:rvb i="744"/>
        </ext>
      </extLst>
    </bk>
    <bk>
      <extLst>
        <ext uri="{3e2802c4-a4d2-4d8b-9148-e3be6c30e623}">
          <xlrd:rvb i="745"/>
        </ext>
      </extLst>
    </bk>
    <bk>
      <extLst>
        <ext uri="{3e2802c4-a4d2-4d8b-9148-e3be6c30e623}">
          <xlrd:rvb i="746"/>
        </ext>
      </extLst>
    </bk>
    <bk>
      <extLst>
        <ext uri="{3e2802c4-a4d2-4d8b-9148-e3be6c30e623}">
          <xlrd:rvb i="747"/>
        </ext>
      </extLst>
    </bk>
    <bk>
      <extLst>
        <ext uri="{3e2802c4-a4d2-4d8b-9148-e3be6c30e623}">
          <xlrd:rvb i="748"/>
        </ext>
      </extLst>
    </bk>
    <bk>
      <extLst>
        <ext uri="{3e2802c4-a4d2-4d8b-9148-e3be6c30e623}">
          <xlrd:rvb i="749"/>
        </ext>
      </extLst>
    </bk>
    <bk>
      <extLst>
        <ext uri="{3e2802c4-a4d2-4d8b-9148-e3be6c30e623}">
          <xlrd:rvb i="750"/>
        </ext>
      </extLst>
    </bk>
    <bk>
      <extLst>
        <ext uri="{3e2802c4-a4d2-4d8b-9148-e3be6c30e623}">
          <xlrd:rvb i="751"/>
        </ext>
      </extLst>
    </bk>
    <bk>
      <extLst>
        <ext uri="{3e2802c4-a4d2-4d8b-9148-e3be6c30e623}">
          <xlrd:rvb i="752"/>
        </ext>
      </extLst>
    </bk>
    <bk>
      <extLst>
        <ext uri="{3e2802c4-a4d2-4d8b-9148-e3be6c30e623}">
          <xlrd:rvb i="753"/>
        </ext>
      </extLst>
    </bk>
    <bk>
      <extLst>
        <ext uri="{3e2802c4-a4d2-4d8b-9148-e3be6c30e623}">
          <xlrd:rvb i="754"/>
        </ext>
      </extLst>
    </bk>
    <bk>
      <extLst>
        <ext uri="{3e2802c4-a4d2-4d8b-9148-e3be6c30e623}">
          <xlrd:rvb i="755"/>
        </ext>
      </extLst>
    </bk>
    <bk>
      <extLst>
        <ext uri="{3e2802c4-a4d2-4d8b-9148-e3be6c30e623}">
          <xlrd:rvb i="756"/>
        </ext>
      </extLst>
    </bk>
    <bk>
      <extLst>
        <ext uri="{3e2802c4-a4d2-4d8b-9148-e3be6c30e623}">
          <xlrd:rvb i="757"/>
        </ext>
      </extLst>
    </bk>
    <bk>
      <extLst>
        <ext uri="{3e2802c4-a4d2-4d8b-9148-e3be6c30e623}">
          <xlrd:rvb i="758"/>
        </ext>
      </extLst>
    </bk>
    <bk>
      <extLst>
        <ext uri="{3e2802c4-a4d2-4d8b-9148-e3be6c30e623}">
          <xlrd:rvb i="759"/>
        </ext>
      </extLst>
    </bk>
    <bk>
      <extLst>
        <ext uri="{3e2802c4-a4d2-4d8b-9148-e3be6c30e623}">
          <xlrd:rvb i="760"/>
        </ext>
      </extLst>
    </bk>
    <bk>
      <extLst>
        <ext uri="{3e2802c4-a4d2-4d8b-9148-e3be6c30e623}">
          <xlrd:rvb i="761"/>
        </ext>
      </extLst>
    </bk>
    <bk>
      <extLst>
        <ext uri="{3e2802c4-a4d2-4d8b-9148-e3be6c30e623}">
          <xlrd:rvb i="762"/>
        </ext>
      </extLst>
    </bk>
    <bk>
      <extLst>
        <ext uri="{3e2802c4-a4d2-4d8b-9148-e3be6c30e623}">
          <xlrd:rvb i="763"/>
        </ext>
      </extLst>
    </bk>
    <bk>
      <extLst>
        <ext uri="{3e2802c4-a4d2-4d8b-9148-e3be6c30e623}">
          <xlrd:rvb i="764"/>
        </ext>
      </extLst>
    </bk>
    <bk>
      <extLst>
        <ext uri="{3e2802c4-a4d2-4d8b-9148-e3be6c30e623}">
          <xlrd:rvb i="765"/>
        </ext>
      </extLst>
    </bk>
    <bk>
      <extLst>
        <ext uri="{3e2802c4-a4d2-4d8b-9148-e3be6c30e623}">
          <xlrd:rvb i="766"/>
        </ext>
      </extLst>
    </bk>
    <bk>
      <extLst>
        <ext uri="{3e2802c4-a4d2-4d8b-9148-e3be6c30e623}">
          <xlrd:rvb i="767"/>
        </ext>
      </extLst>
    </bk>
    <bk>
      <extLst>
        <ext uri="{3e2802c4-a4d2-4d8b-9148-e3be6c30e623}">
          <xlrd:rvb i="768"/>
        </ext>
      </extLst>
    </bk>
    <bk>
      <extLst>
        <ext uri="{3e2802c4-a4d2-4d8b-9148-e3be6c30e623}">
          <xlrd:rvb i="769"/>
        </ext>
      </extLst>
    </bk>
    <bk>
      <extLst>
        <ext uri="{3e2802c4-a4d2-4d8b-9148-e3be6c30e623}">
          <xlrd:rvb i="770"/>
        </ext>
      </extLst>
    </bk>
    <bk>
      <extLst>
        <ext uri="{3e2802c4-a4d2-4d8b-9148-e3be6c30e623}">
          <xlrd:rvb i="771"/>
        </ext>
      </extLst>
    </bk>
    <bk>
      <extLst>
        <ext uri="{3e2802c4-a4d2-4d8b-9148-e3be6c30e623}">
          <xlrd:rvb i="772"/>
        </ext>
      </extLst>
    </bk>
    <bk>
      <extLst>
        <ext uri="{3e2802c4-a4d2-4d8b-9148-e3be6c30e623}">
          <xlrd:rvb i="773"/>
        </ext>
      </extLst>
    </bk>
    <bk>
      <extLst>
        <ext uri="{3e2802c4-a4d2-4d8b-9148-e3be6c30e623}">
          <xlrd:rvb i="774"/>
        </ext>
      </extLst>
    </bk>
    <bk>
      <extLst>
        <ext uri="{3e2802c4-a4d2-4d8b-9148-e3be6c30e623}">
          <xlrd:rvb i="775"/>
        </ext>
      </extLst>
    </bk>
    <bk>
      <extLst>
        <ext uri="{3e2802c4-a4d2-4d8b-9148-e3be6c30e623}">
          <xlrd:rvb i="776"/>
        </ext>
      </extLst>
    </bk>
    <bk>
      <extLst>
        <ext uri="{3e2802c4-a4d2-4d8b-9148-e3be6c30e623}">
          <xlrd:rvb i="777"/>
        </ext>
      </extLst>
    </bk>
    <bk>
      <extLst>
        <ext uri="{3e2802c4-a4d2-4d8b-9148-e3be6c30e623}">
          <xlrd:rvb i="778"/>
        </ext>
      </extLst>
    </bk>
    <bk>
      <extLst>
        <ext uri="{3e2802c4-a4d2-4d8b-9148-e3be6c30e623}">
          <xlrd:rvb i="779"/>
        </ext>
      </extLst>
    </bk>
    <bk>
      <extLst>
        <ext uri="{3e2802c4-a4d2-4d8b-9148-e3be6c30e623}">
          <xlrd:rvb i="780"/>
        </ext>
      </extLst>
    </bk>
    <bk>
      <extLst>
        <ext uri="{3e2802c4-a4d2-4d8b-9148-e3be6c30e623}">
          <xlrd:rvb i="781"/>
        </ext>
      </extLst>
    </bk>
    <bk>
      <extLst>
        <ext uri="{3e2802c4-a4d2-4d8b-9148-e3be6c30e623}">
          <xlrd:rvb i="782"/>
        </ext>
      </extLst>
    </bk>
    <bk>
      <extLst>
        <ext uri="{3e2802c4-a4d2-4d8b-9148-e3be6c30e623}">
          <xlrd:rvb i="783"/>
        </ext>
      </extLst>
    </bk>
    <bk>
      <extLst>
        <ext uri="{3e2802c4-a4d2-4d8b-9148-e3be6c30e623}">
          <xlrd:rvb i="784"/>
        </ext>
      </extLst>
    </bk>
    <bk>
      <extLst>
        <ext uri="{3e2802c4-a4d2-4d8b-9148-e3be6c30e623}">
          <xlrd:rvb i="785"/>
        </ext>
      </extLst>
    </bk>
    <bk>
      <extLst>
        <ext uri="{3e2802c4-a4d2-4d8b-9148-e3be6c30e623}">
          <xlrd:rvb i="786"/>
        </ext>
      </extLst>
    </bk>
    <bk>
      <extLst>
        <ext uri="{3e2802c4-a4d2-4d8b-9148-e3be6c30e623}">
          <xlrd:rvb i="787"/>
        </ext>
      </extLst>
    </bk>
    <bk>
      <extLst>
        <ext uri="{3e2802c4-a4d2-4d8b-9148-e3be6c30e623}">
          <xlrd:rvb i="788"/>
        </ext>
      </extLst>
    </bk>
    <bk>
      <extLst>
        <ext uri="{3e2802c4-a4d2-4d8b-9148-e3be6c30e623}">
          <xlrd:rvb i="789"/>
        </ext>
      </extLst>
    </bk>
    <bk>
      <extLst>
        <ext uri="{3e2802c4-a4d2-4d8b-9148-e3be6c30e623}">
          <xlrd:rvb i="790"/>
        </ext>
      </extLst>
    </bk>
    <bk>
      <extLst>
        <ext uri="{3e2802c4-a4d2-4d8b-9148-e3be6c30e623}">
          <xlrd:rvb i="791"/>
        </ext>
      </extLst>
    </bk>
    <bk>
      <extLst>
        <ext uri="{3e2802c4-a4d2-4d8b-9148-e3be6c30e623}">
          <xlrd:rvb i="792"/>
        </ext>
      </extLst>
    </bk>
    <bk>
      <extLst>
        <ext uri="{3e2802c4-a4d2-4d8b-9148-e3be6c30e623}">
          <xlrd:rvb i="793"/>
        </ext>
      </extLst>
    </bk>
    <bk>
      <extLst>
        <ext uri="{3e2802c4-a4d2-4d8b-9148-e3be6c30e623}">
          <xlrd:rvb i="794"/>
        </ext>
      </extLst>
    </bk>
    <bk>
      <extLst>
        <ext uri="{3e2802c4-a4d2-4d8b-9148-e3be6c30e623}">
          <xlrd:rvb i="795"/>
        </ext>
      </extLst>
    </bk>
    <bk>
      <extLst>
        <ext uri="{3e2802c4-a4d2-4d8b-9148-e3be6c30e623}">
          <xlrd:rvb i="796"/>
        </ext>
      </extLst>
    </bk>
    <bk>
      <extLst>
        <ext uri="{3e2802c4-a4d2-4d8b-9148-e3be6c30e623}">
          <xlrd:rvb i="797"/>
        </ext>
      </extLst>
    </bk>
    <bk>
      <extLst>
        <ext uri="{3e2802c4-a4d2-4d8b-9148-e3be6c30e623}">
          <xlrd:rvb i="798"/>
        </ext>
      </extLst>
    </bk>
    <bk>
      <extLst>
        <ext uri="{3e2802c4-a4d2-4d8b-9148-e3be6c30e623}">
          <xlrd:rvb i="799"/>
        </ext>
      </extLst>
    </bk>
    <bk>
      <extLst>
        <ext uri="{3e2802c4-a4d2-4d8b-9148-e3be6c30e623}">
          <xlrd:rvb i="800"/>
        </ext>
      </extLst>
    </bk>
    <bk>
      <extLst>
        <ext uri="{3e2802c4-a4d2-4d8b-9148-e3be6c30e623}">
          <xlrd:rvb i="801"/>
        </ext>
      </extLst>
    </bk>
    <bk>
      <extLst>
        <ext uri="{3e2802c4-a4d2-4d8b-9148-e3be6c30e623}">
          <xlrd:rvb i="802"/>
        </ext>
      </extLst>
    </bk>
    <bk>
      <extLst>
        <ext uri="{3e2802c4-a4d2-4d8b-9148-e3be6c30e623}">
          <xlrd:rvb i="803"/>
        </ext>
      </extLst>
    </bk>
    <bk>
      <extLst>
        <ext uri="{3e2802c4-a4d2-4d8b-9148-e3be6c30e623}">
          <xlrd:rvb i="804"/>
        </ext>
      </extLst>
    </bk>
    <bk>
      <extLst>
        <ext uri="{3e2802c4-a4d2-4d8b-9148-e3be6c30e623}">
          <xlrd:rvb i="805"/>
        </ext>
      </extLst>
    </bk>
    <bk>
      <extLst>
        <ext uri="{3e2802c4-a4d2-4d8b-9148-e3be6c30e623}">
          <xlrd:rvb i="806"/>
        </ext>
      </extLst>
    </bk>
    <bk>
      <extLst>
        <ext uri="{3e2802c4-a4d2-4d8b-9148-e3be6c30e623}">
          <xlrd:rvb i="807"/>
        </ext>
      </extLst>
    </bk>
    <bk>
      <extLst>
        <ext uri="{3e2802c4-a4d2-4d8b-9148-e3be6c30e623}">
          <xlrd:rvb i="808"/>
        </ext>
      </extLst>
    </bk>
    <bk>
      <extLst>
        <ext uri="{3e2802c4-a4d2-4d8b-9148-e3be6c30e623}">
          <xlrd:rvb i="809"/>
        </ext>
      </extLst>
    </bk>
    <bk>
      <extLst>
        <ext uri="{3e2802c4-a4d2-4d8b-9148-e3be6c30e623}">
          <xlrd:rvb i="810"/>
        </ext>
      </extLst>
    </bk>
    <bk>
      <extLst>
        <ext uri="{3e2802c4-a4d2-4d8b-9148-e3be6c30e623}">
          <xlrd:rvb i="811"/>
        </ext>
      </extLst>
    </bk>
    <bk>
      <extLst>
        <ext uri="{3e2802c4-a4d2-4d8b-9148-e3be6c30e623}">
          <xlrd:rvb i="812"/>
        </ext>
      </extLst>
    </bk>
    <bk>
      <extLst>
        <ext uri="{3e2802c4-a4d2-4d8b-9148-e3be6c30e623}">
          <xlrd:rvb i="813"/>
        </ext>
      </extLst>
    </bk>
    <bk>
      <extLst>
        <ext uri="{3e2802c4-a4d2-4d8b-9148-e3be6c30e623}">
          <xlrd:rvb i="814"/>
        </ext>
      </extLst>
    </bk>
    <bk>
      <extLst>
        <ext uri="{3e2802c4-a4d2-4d8b-9148-e3be6c30e623}">
          <xlrd:rvb i="815"/>
        </ext>
      </extLst>
    </bk>
    <bk>
      <extLst>
        <ext uri="{3e2802c4-a4d2-4d8b-9148-e3be6c30e623}">
          <xlrd:rvb i="816"/>
        </ext>
      </extLst>
    </bk>
    <bk>
      <extLst>
        <ext uri="{3e2802c4-a4d2-4d8b-9148-e3be6c30e623}">
          <xlrd:rvb i="817"/>
        </ext>
      </extLst>
    </bk>
    <bk>
      <extLst>
        <ext uri="{3e2802c4-a4d2-4d8b-9148-e3be6c30e623}">
          <xlrd:rvb i="818"/>
        </ext>
      </extLst>
    </bk>
    <bk>
      <extLst>
        <ext uri="{3e2802c4-a4d2-4d8b-9148-e3be6c30e623}">
          <xlrd:rvb i="819"/>
        </ext>
      </extLst>
    </bk>
    <bk>
      <extLst>
        <ext uri="{3e2802c4-a4d2-4d8b-9148-e3be6c30e623}">
          <xlrd:rvb i="820"/>
        </ext>
      </extLst>
    </bk>
    <bk>
      <extLst>
        <ext uri="{3e2802c4-a4d2-4d8b-9148-e3be6c30e623}">
          <xlrd:rvb i="821"/>
        </ext>
      </extLst>
    </bk>
    <bk>
      <extLst>
        <ext uri="{3e2802c4-a4d2-4d8b-9148-e3be6c30e623}">
          <xlrd:rvb i="822"/>
        </ext>
      </extLst>
    </bk>
    <bk>
      <extLst>
        <ext uri="{3e2802c4-a4d2-4d8b-9148-e3be6c30e623}">
          <xlrd:rvb i="823"/>
        </ext>
      </extLst>
    </bk>
    <bk>
      <extLst>
        <ext uri="{3e2802c4-a4d2-4d8b-9148-e3be6c30e623}">
          <xlrd:rvb i="824"/>
        </ext>
      </extLst>
    </bk>
    <bk>
      <extLst>
        <ext uri="{3e2802c4-a4d2-4d8b-9148-e3be6c30e623}">
          <xlrd:rvb i="825"/>
        </ext>
      </extLst>
    </bk>
    <bk>
      <extLst>
        <ext uri="{3e2802c4-a4d2-4d8b-9148-e3be6c30e623}">
          <xlrd:rvb i="826"/>
        </ext>
      </extLst>
    </bk>
    <bk>
      <extLst>
        <ext uri="{3e2802c4-a4d2-4d8b-9148-e3be6c30e623}">
          <xlrd:rvb i="827"/>
        </ext>
      </extLst>
    </bk>
    <bk>
      <extLst>
        <ext uri="{3e2802c4-a4d2-4d8b-9148-e3be6c30e623}">
          <xlrd:rvb i="828"/>
        </ext>
      </extLst>
    </bk>
    <bk>
      <extLst>
        <ext uri="{3e2802c4-a4d2-4d8b-9148-e3be6c30e623}">
          <xlrd:rvb i="829"/>
        </ext>
      </extLst>
    </bk>
    <bk>
      <extLst>
        <ext uri="{3e2802c4-a4d2-4d8b-9148-e3be6c30e623}">
          <xlrd:rvb i="830"/>
        </ext>
      </extLst>
    </bk>
    <bk>
      <extLst>
        <ext uri="{3e2802c4-a4d2-4d8b-9148-e3be6c30e623}">
          <xlrd:rvb i="831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832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  <bk>
      <rc t="1" v="267"/>
    </bk>
    <bk>
      <rc t="1" v="268"/>
    </bk>
    <bk>
      <rc t="1" v="269"/>
    </bk>
    <bk>
      <rc t="1" v="270"/>
    </bk>
    <bk>
      <rc t="1" v="271"/>
    </bk>
    <bk>
      <rc t="1" v="272"/>
    </bk>
    <bk>
      <rc t="1" v="273"/>
    </bk>
    <bk>
      <rc t="1" v="274"/>
    </bk>
    <bk>
      <rc t="1" v="275"/>
    </bk>
    <bk>
      <rc t="1" v="276"/>
    </bk>
    <bk>
      <rc t="1" v="277"/>
    </bk>
    <bk>
      <rc t="1" v="278"/>
    </bk>
    <bk>
      <rc t="1" v="279"/>
    </bk>
    <bk>
      <rc t="1" v="280"/>
    </bk>
    <bk>
      <rc t="1" v="281"/>
    </bk>
    <bk>
      <rc t="1" v="282"/>
    </bk>
    <bk>
      <rc t="1" v="283"/>
    </bk>
    <bk>
      <rc t="1" v="284"/>
    </bk>
    <bk>
      <rc t="1" v="285"/>
    </bk>
    <bk>
      <rc t="1" v="286"/>
    </bk>
    <bk>
      <rc t="1" v="287"/>
    </bk>
    <bk>
      <rc t="1" v="288"/>
    </bk>
    <bk>
      <rc t="1" v="289"/>
    </bk>
    <bk>
      <rc t="1" v="290"/>
    </bk>
    <bk>
      <rc t="1" v="291"/>
    </bk>
    <bk>
      <rc t="1" v="292"/>
    </bk>
    <bk>
      <rc t="1" v="293"/>
    </bk>
    <bk>
      <rc t="1" v="294"/>
    </bk>
    <bk>
      <rc t="1" v="295"/>
    </bk>
    <bk>
      <rc t="1" v="296"/>
    </bk>
    <bk>
      <rc t="1" v="297"/>
    </bk>
    <bk>
      <rc t="1" v="298"/>
    </bk>
    <bk>
      <rc t="1" v="299"/>
    </bk>
    <bk>
      <rc t="1" v="300"/>
    </bk>
    <bk>
      <rc t="1" v="301"/>
    </bk>
    <bk>
      <rc t="1" v="302"/>
    </bk>
    <bk>
      <rc t="1" v="303"/>
    </bk>
    <bk>
      <rc t="1" v="304"/>
    </bk>
    <bk>
      <rc t="1" v="305"/>
    </bk>
    <bk>
      <rc t="1" v="306"/>
    </bk>
    <bk>
      <rc t="1" v="307"/>
    </bk>
    <bk>
      <rc t="1" v="308"/>
    </bk>
    <bk>
      <rc t="1" v="309"/>
    </bk>
    <bk>
      <rc t="1" v="310"/>
    </bk>
    <bk>
      <rc t="1" v="311"/>
    </bk>
    <bk>
      <rc t="1" v="312"/>
    </bk>
    <bk>
      <rc t="1" v="313"/>
    </bk>
    <bk>
      <rc t="1" v="314"/>
    </bk>
    <bk>
      <rc t="1" v="315"/>
    </bk>
    <bk>
      <rc t="1" v="316"/>
    </bk>
    <bk>
      <rc t="1" v="317"/>
    </bk>
    <bk>
      <rc t="1" v="318"/>
    </bk>
    <bk>
      <rc t="1" v="319"/>
    </bk>
    <bk>
      <rc t="1" v="320"/>
    </bk>
    <bk>
      <rc t="1" v="321"/>
    </bk>
    <bk>
      <rc t="1" v="322"/>
    </bk>
    <bk>
      <rc t="1" v="323"/>
    </bk>
    <bk>
      <rc t="1" v="324"/>
    </bk>
    <bk>
      <rc t="1" v="325"/>
    </bk>
    <bk>
      <rc t="1" v="326"/>
    </bk>
    <bk>
      <rc t="1" v="327"/>
    </bk>
    <bk>
      <rc t="1" v="328"/>
    </bk>
    <bk>
      <rc t="1" v="329"/>
    </bk>
    <bk>
      <rc t="1" v="330"/>
    </bk>
    <bk>
      <rc t="1" v="331"/>
    </bk>
    <bk>
      <rc t="1" v="332"/>
    </bk>
    <bk>
      <rc t="1" v="333"/>
    </bk>
    <bk>
      <rc t="1" v="334"/>
    </bk>
    <bk>
      <rc t="1" v="335"/>
    </bk>
    <bk>
      <rc t="1" v="336"/>
    </bk>
    <bk>
      <rc t="1" v="337"/>
    </bk>
    <bk>
      <rc t="1" v="338"/>
    </bk>
    <bk>
      <rc t="1" v="339"/>
    </bk>
    <bk>
      <rc t="1" v="340"/>
    </bk>
    <bk>
      <rc t="1" v="341"/>
    </bk>
    <bk>
      <rc t="1" v="342"/>
    </bk>
    <bk>
      <rc t="1" v="343"/>
    </bk>
    <bk>
      <rc t="1" v="344"/>
    </bk>
    <bk>
      <rc t="1" v="345"/>
    </bk>
    <bk>
      <rc t="1" v="346"/>
    </bk>
    <bk>
      <rc t="1" v="347"/>
    </bk>
    <bk>
      <rc t="1" v="348"/>
    </bk>
    <bk>
      <rc t="1" v="349"/>
    </bk>
    <bk>
      <rc t="1" v="350"/>
    </bk>
    <bk>
      <rc t="1" v="351"/>
    </bk>
    <bk>
      <rc t="1" v="352"/>
    </bk>
    <bk>
      <rc t="1" v="353"/>
    </bk>
    <bk>
      <rc t="1" v="354"/>
    </bk>
    <bk>
      <rc t="1" v="355"/>
    </bk>
    <bk>
      <rc t="1" v="356"/>
    </bk>
    <bk>
      <rc t="1" v="357"/>
    </bk>
    <bk>
      <rc t="1" v="358"/>
    </bk>
    <bk>
      <rc t="1" v="359"/>
    </bk>
    <bk>
      <rc t="1" v="360"/>
    </bk>
    <bk>
      <rc t="1" v="361"/>
    </bk>
    <bk>
      <rc t="1" v="362"/>
    </bk>
    <bk>
      <rc t="1" v="363"/>
    </bk>
    <bk>
      <rc t="1" v="364"/>
    </bk>
    <bk>
      <rc t="1" v="365"/>
    </bk>
    <bk>
      <rc t="1" v="366"/>
    </bk>
    <bk>
      <rc t="1" v="367"/>
    </bk>
    <bk>
      <rc t="1" v="368"/>
    </bk>
    <bk>
      <rc t="1" v="369"/>
    </bk>
    <bk>
      <rc t="1" v="370"/>
    </bk>
    <bk>
      <rc t="1" v="371"/>
    </bk>
    <bk>
      <rc t="1" v="372"/>
    </bk>
    <bk>
      <rc t="1" v="373"/>
    </bk>
    <bk>
      <rc t="1" v="374"/>
    </bk>
    <bk>
      <rc t="1" v="375"/>
    </bk>
    <bk>
      <rc t="1" v="376"/>
    </bk>
    <bk>
      <rc t="1" v="377"/>
    </bk>
    <bk>
      <rc t="1" v="378"/>
    </bk>
    <bk>
      <rc t="1" v="379"/>
    </bk>
    <bk>
      <rc t="1" v="380"/>
    </bk>
    <bk>
      <rc t="1" v="381"/>
    </bk>
    <bk>
      <rc t="1" v="382"/>
    </bk>
    <bk>
      <rc t="1" v="383"/>
    </bk>
    <bk>
      <rc t="1" v="384"/>
    </bk>
    <bk>
      <rc t="1" v="385"/>
    </bk>
    <bk>
      <rc t="1" v="386"/>
    </bk>
    <bk>
      <rc t="1" v="387"/>
    </bk>
    <bk>
      <rc t="1" v="388"/>
    </bk>
    <bk>
      <rc t="1" v="389"/>
    </bk>
    <bk>
      <rc t="1" v="390"/>
    </bk>
    <bk>
      <rc t="1" v="391"/>
    </bk>
    <bk>
      <rc t="1" v="392"/>
    </bk>
    <bk>
      <rc t="1" v="393"/>
    </bk>
    <bk>
      <rc t="1" v="394"/>
    </bk>
    <bk>
      <rc t="1" v="395"/>
    </bk>
    <bk>
      <rc t="1" v="396"/>
    </bk>
    <bk>
      <rc t="1" v="397"/>
    </bk>
    <bk>
      <rc t="1" v="398"/>
    </bk>
    <bk>
      <rc t="1" v="399"/>
    </bk>
    <bk>
      <rc t="1" v="400"/>
    </bk>
    <bk>
      <rc t="1" v="401"/>
    </bk>
    <bk>
      <rc t="1" v="402"/>
    </bk>
    <bk>
      <rc t="1" v="403"/>
    </bk>
    <bk>
      <rc t="1" v="404"/>
    </bk>
    <bk>
      <rc t="1" v="405"/>
    </bk>
    <bk>
      <rc t="1" v="406"/>
    </bk>
    <bk>
      <rc t="1" v="407"/>
    </bk>
    <bk>
      <rc t="1" v="408"/>
    </bk>
    <bk>
      <rc t="1" v="409"/>
    </bk>
    <bk>
      <rc t="1" v="410"/>
    </bk>
    <bk>
      <rc t="1" v="411"/>
    </bk>
    <bk>
      <rc t="1" v="412"/>
    </bk>
    <bk>
      <rc t="1" v="413"/>
    </bk>
    <bk>
      <rc t="1" v="414"/>
    </bk>
    <bk>
      <rc t="1" v="415"/>
    </bk>
    <bk>
      <rc t="1" v="416"/>
    </bk>
    <bk>
      <rc t="1" v="417"/>
    </bk>
    <bk>
      <rc t="1" v="418"/>
    </bk>
    <bk>
      <rc t="1" v="419"/>
    </bk>
    <bk>
      <rc t="1" v="420"/>
    </bk>
    <bk>
      <rc t="1" v="421"/>
    </bk>
    <bk>
      <rc t="1" v="422"/>
    </bk>
    <bk>
      <rc t="1" v="423"/>
    </bk>
    <bk>
      <rc t="1" v="424"/>
    </bk>
    <bk>
      <rc t="1" v="425"/>
    </bk>
    <bk>
      <rc t="1" v="426"/>
    </bk>
    <bk>
      <rc t="1" v="427"/>
    </bk>
    <bk>
      <rc t="1" v="428"/>
    </bk>
    <bk>
      <rc t="1" v="429"/>
    </bk>
    <bk>
      <rc t="1" v="430"/>
    </bk>
    <bk>
      <rc t="1" v="431"/>
    </bk>
    <bk>
      <rc t="1" v="432"/>
    </bk>
    <bk>
      <rc t="1" v="433"/>
    </bk>
    <bk>
      <rc t="1" v="434"/>
    </bk>
    <bk>
      <rc t="1" v="435"/>
    </bk>
    <bk>
      <rc t="1" v="436"/>
    </bk>
    <bk>
      <rc t="1" v="437"/>
    </bk>
    <bk>
      <rc t="1" v="438"/>
    </bk>
    <bk>
      <rc t="1" v="439"/>
    </bk>
    <bk>
      <rc t="1" v="440"/>
    </bk>
    <bk>
      <rc t="1" v="441"/>
    </bk>
    <bk>
      <rc t="1" v="442"/>
    </bk>
    <bk>
      <rc t="1" v="443"/>
    </bk>
    <bk>
      <rc t="1" v="444"/>
    </bk>
    <bk>
      <rc t="1" v="445"/>
    </bk>
    <bk>
      <rc t="1" v="446"/>
    </bk>
    <bk>
      <rc t="1" v="447"/>
    </bk>
    <bk>
      <rc t="1" v="448"/>
    </bk>
    <bk>
      <rc t="1" v="449"/>
    </bk>
    <bk>
      <rc t="1" v="450"/>
    </bk>
    <bk>
      <rc t="1" v="451"/>
    </bk>
    <bk>
      <rc t="1" v="452"/>
    </bk>
    <bk>
      <rc t="1" v="453"/>
    </bk>
    <bk>
      <rc t="1" v="454"/>
    </bk>
    <bk>
      <rc t="1" v="455"/>
    </bk>
    <bk>
      <rc t="1" v="456"/>
    </bk>
    <bk>
      <rc t="1" v="457"/>
    </bk>
    <bk>
      <rc t="1" v="458"/>
    </bk>
    <bk>
      <rc t="1" v="459"/>
    </bk>
    <bk>
      <rc t="1" v="460"/>
    </bk>
    <bk>
      <rc t="1" v="461"/>
    </bk>
    <bk>
      <rc t="1" v="462"/>
    </bk>
    <bk>
      <rc t="1" v="463"/>
    </bk>
    <bk>
      <rc t="1" v="464"/>
    </bk>
    <bk>
      <rc t="1" v="465"/>
    </bk>
    <bk>
      <rc t="1" v="466"/>
    </bk>
    <bk>
      <rc t="1" v="467"/>
    </bk>
    <bk>
      <rc t="1" v="468"/>
    </bk>
    <bk>
      <rc t="1" v="469"/>
    </bk>
    <bk>
      <rc t="1" v="470"/>
    </bk>
    <bk>
      <rc t="1" v="471"/>
    </bk>
    <bk>
      <rc t="1" v="472"/>
    </bk>
    <bk>
      <rc t="1" v="473"/>
    </bk>
    <bk>
      <rc t="1" v="474"/>
    </bk>
    <bk>
      <rc t="1" v="475"/>
    </bk>
    <bk>
      <rc t="1" v="476"/>
    </bk>
    <bk>
      <rc t="1" v="477"/>
    </bk>
    <bk>
      <rc t="1" v="478"/>
    </bk>
    <bk>
      <rc t="1" v="479"/>
    </bk>
    <bk>
      <rc t="1" v="480"/>
    </bk>
    <bk>
      <rc t="1" v="481"/>
    </bk>
    <bk>
      <rc t="1" v="482"/>
    </bk>
    <bk>
      <rc t="1" v="483"/>
    </bk>
    <bk>
      <rc t="1" v="484"/>
    </bk>
    <bk>
      <rc t="1" v="485"/>
    </bk>
    <bk>
      <rc t="1" v="486"/>
    </bk>
    <bk>
      <rc t="1" v="487"/>
    </bk>
    <bk>
      <rc t="1" v="488"/>
    </bk>
    <bk>
      <rc t="1" v="489"/>
    </bk>
    <bk>
      <rc t="1" v="490"/>
    </bk>
    <bk>
      <rc t="1" v="491"/>
    </bk>
    <bk>
      <rc t="1" v="492"/>
    </bk>
    <bk>
      <rc t="1" v="493"/>
    </bk>
    <bk>
      <rc t="1" v="494"/>
    </bk>
    <bk>
      <rc t="1" v="495"/>
    </bk>
    <bk>
      <rc t="1" v="496"/>
    </bk>
    <bk>
      <rc t="1" v="497"/>
    </bk>
    <bk>
      <rc t="1" v="498"/>
    </bk>
    <bk>
      <rc t="1" v="499"/>
    </bk>
    <bk>
      <rc t="1" v="500"/>
    </bk>
    <bk>
      <rc t="1" v="501"/>
    </bk>
    <bk>
      <rc t="1" v="502"/>
    </bk>
    <bk>
      <rc t="1" v="503"/>
    </bk>
    <bk>
      <rc t="1" v="504"/>
    </bk>
    <bk>
      <rc t="1" v="505"/>
    </bk>
    <bk>
      <rc t="1" v="506"/>
    </bk>
    <bk>
      <rc t="1" v="507"/>
    </bk>
    <bk>
      <rc t="1" v="508"/>
    </bk>
    <bk>
      <rc t="1" v="509"/>
    </bk>
    <bk>
      <rc t="1" v="510"/>
    </bk>
    <bk>
      <rc t="1" v="511"/>
    </bk>
    <bk>
      <rc t="1" v="512"/>
    </bk>
    <bk>
      <rc t="1" v="513"/>
    </bk>
    <bk>
      <rc t="1" v="514"/>
    </bk>
    <bk>
      <rc t="1" v="515"/>
    </bk>
    <bk>
      <rc t="1" v="516"/>
    </bk>
    <bk>
      <rc t="1" v="517"/>
    </bk>
    <bk>
      <rc t="1" v="518"/>
    </bk>
    <bk>
      <rc t="1" v="519"/>
    </bk>
    <bk>
      <rc t="1" v="520"/>
    </bk>
    <bk>
      <rc t="1" v="521"/>
    </bk>
    <bk>
      <rc t="1" v="522"/>
    </bk>
    <bk>
      <rc t="1" v="523"/>
    </bk>
    <bk>
      <rc t="1" v="524"/>
    </bk>
    <bk>
      <rc t="1" v="525"/>
    </bk>
    <bk>
      <rc t="1" v="526"/>
    </bk>
    <bk>
      <rc t="1" v="527"/>
    </bk>
    <bk>
      <rc t="1" v="528"/>
    </bk>
    <bk>
      <rc t="1" v="529"/>
    </bk>
    <bk>
      <rc t="1" v="530"/>
    </bk>
    <bk>
      <rc t="1" v="531"/>
    </bk>
    <bk>
      <rc t="1" v="532"/>
    </bk>
    <bk>
      <rc t="1" v="533"/>
    </bk>
    <bk>
      <rc t="1" v="534"/>
    </bk>
    <bk>
      <rc t="1" v="535"/>
    </bk>
    <bk>
      <rc t="1" v="536"/>
    </bk>
    <bk>
      <rc t="1" v="537"/>
    </bk>
    <bk>
      <rc t="1" v="538"/>
    </bk>
    <bk>
      <rc t="1" v="539"/>
    </bk>
    <bk>
      <rc t="1" v="540"/>
    </bk>
    <bk>
      <rc t="1" v="541"/>
    </bk>
    <bk>
      <rc t="1" v="542"/>
    </bk>
    <bk>
      <rc t="1" v="543"/>
    </bk>
    <bk>
      <rc t="1" v="544"/>
    </bk>
    <bk>
      <rc t="1" v="545"/>
    </bk>
    <bk>
      <rc t="1" v="546"/>
    </bk>
    <bk>
      <rc t="1" v="547"/>
    </bk>
    <bk>
      <rc t="1" v="548"/>
    </bk>
    <bk>
      <rc t="1" v="549"/>
    </bk>
    <bk>
      <rc t="1" v="550"/>
    </bk>
    <bk>
      <rc t="1" v="551"/>
    </bk>
    <bk>
      <rc t="1" v="552"/>
    </bk>
    <bk>
      <rc t="1" v="553"/>
    </bk>
    <bk>
      <rc t="1" v="554"/>
    </bk>
    <bk>
      <rc t="1" v="555"/>
    </bk>
    <bk>
      <rc t="1" v="556"/>
    </bk>
    <bk>
      <rc t="1" v="557"/>
    </bk>
    <bk>
      <rc t="1" v="558"/>
    </bk>
    <bk>
      <rc t="1" v="559"/>
    </bk>
    <bk>
      <rc t="1" v="560"/>
    </bk>
    <bk>
      <rc t="1" v="561"/>
    </bk>
    <bk>
      <rc t="1" v="562"/>
    </bk>
    <bk>
      <rc t="1" v="563"/>
    </bk>
    <bk>
      <rc t="1" v="564"/>
    </bk>
    <bk>
      <rc t="1" v="565"/>
    </bk>
    <bk>
      <rc t="1" v="566"/>
    </bk>
    <bk>
      <rc t="1" v="567"/>
    </bk>
    <bk>
      <rc t="1" v="568"/>
    </bk>
    <bk>
      <rc t="1" v="569"/>
    </bk>
    <bk>
      <rc t="1" v="570"/>
    </bk>
    <bk>
      <rc t="1" v="571"/>
    </bk>
    <bk>
      <rc t="1" v="572"/>
    </bk>
    <bk>
      <rc t="1" v="573"/>
    </bk>
    <bk>
      <rc t="1" v="574"/>
    </bk>
    <bk>
      <rc t="1" v="575"/>
    </bk>
    <bk>
      <rc t="1" v="576"/>
    </bk>
    <bk>
      <rc t="1" v="577"/>
    </bk>
    <bk>
      <rc t="1" v="578"/>
    </bk>
    <bk>
      <rc t="1" v="579"/>
    </bk>
    <bk>
      <rc t="1" v="580"/>
    </bk>
    <bk>
      <rc t="1" v="581"/>
    </bk>
    <bk>
      <rc t="1" v="582"/>
    </bk>
    <bk>
      <rc t="1" v="583"/>
    </bk>
    <bk>
      <rc t="1" v="584"/>
    </bk>
    <bk>
      <rc t="1" v="585"/>
    </bk>
    <bk>
      <rc t="1" v="586"/>
    </bk>
    <bk>
      <rc t="1" v="587"/>
    </bk>
    <bk>
      <rc t="1" v="588"/>
    </bk>
    <bk>
      <rc t="1" v="589"/>
    </bk>
    <bk>
      <rc t="1" v="590"/>
    </bk>
    <bk>
      <rc t="1" v="591"/>
    </bk>
    <bk>
      <rc t="1" v="592"/>
    </bk>
    <bk>
      <rc t="1" v="593"/>
    </bk>
    <bk>
      <rc t="1" v="594"/>
    </bk>
    <bk>
      <rc t="1" v="595"/>
    </bk>
    <bk>
      <rc t="1" v="596"/>
    </bk>
    <bk>
      <rc t="1" v="597"/>
    </bk>
    <bk>
      <rc t="1" v="598"/>
    </bk>
    <bk>
      <rc t="1" v="599"/>
    </bk>
    <bk>
      <rc t="1" v="600"/>
    </bk>
    <bk>
      <rc t="1" v="601"/>
    </bk>
    <bk>
      <rc t="1" v="602"/>
    </bk>
    <bk>
      <rc t="1" v="603"/>
    </bk>
    <bk>
      <rc t="1" v="604"/>
    </bk>
    <bk>
      <rc t="1" v="605"/>
    </bk>
    <bk>
      <rc t="1" v="606"/>
    </bk>
    <bk>
      <rc t="1" v="607"/>
    </bk>
    <bk>
      <rc t="1" v="608"/>
    </bk>
    <bk>
      <rc t="1" v="609"/>
    </bk>
    <bk>
      <rc t="1" v="610"/>
    </bk>
    <bk>
      <rc t="1" v="611"/>
    </bk>
    <bk>
      <rc t="1" v="612"/>
    </bk>
    <bk>
      <rc t="1" v="613"/>
    </bk>
    <bk>
      <rc t="1" v="614"/>
    </bk>
    <bk>
      <rc t="1" v="615"/>
    </bk>
    <bk>
      <rc t="1" v="616"/>
    </bk>
    <bk>
      <rc t="1" v="617"/>
    </bk>
    <bk>
      <rc t="1" v="618"/>
    </bk>
    <bk>
      <rc t="1" v="619"/>
    </bk>
    <bk>
      <rc t="1" v="620"/>
    </bk>
    <bk>
      <rc t="1" v="621"/>
    </bk>
    <bk>
      <rc t="1" v="622"/>
    </bk>
    <bk>
      <rc t="1" v="623"/>
    </bk>
    <bk>
      <rc t="1" v="624"/>
    </bk>
    <bk>
      <rc t="1" v="625"/>
    </bk>
    <bk>
      <rc t="1" v="626"/>
    </bk>
    <bk>
      <rc t="1" v="627"/>
    </bk>
    <bk>
      <rc t="1" v="628"/>
    </bk>
    <bk>
      <rc t="1" v="629"/>
    </bk>
    <bk>
      <rc t="1" v="630"/>
    </bk>
    <bk>
      <rc t="1" v="631"/>
    </bk>
    <bk>
      <rc t="1" v="632"/>
    </bk>
    <bk>
      <rc t="1" v="633"/>
    </bk>
    <bk>
      <rc t="1" v="634"/>
    </bk>
    <bk>
      <rc t="1" v="635"/>
    </bk>
    <bk>
      <rc t="1" v="636"/>
    </bk>
    <bk>
      <rc t="1" v="637"/>
    </bk>
    <bk>
      <rc t="1" v="638"/>
    </bk>
    <bk>
      <rc t="1" v="639"/>
    </bk>
    <bk>
      <rc t="1" v="640"/>
    </bk>
    <bk>
      <rc t="1" v="641"/>
    </bk>
    <bk>
      <rc t="1" v="642"/>
    </bk>
    <bk>
      <rc t="1" v="643"/>
    </bk>
    <bk>
      <rc t="1" v="644"/>
    </bk>
    <bk>
      <rc t="1" v="645"/>
    </bk>
    <bk>
      <rc t="1" v="646"/>
    </bk>
    <bk>
      <rc t="1" v="647"/>
    </bk>
    <bk>
      <rc t="1" v="648"/>
    </bk>
    <bk>
      <rc t="1" v="649"/>
    </bk>
    <bk>
      <rc t="1" v="650"/>
    </bk>
    <bk>
      <rc t="1" v="651"/>
    </bk>
    <bk>
      <rc t="1" v="652"/>
    </bk>
    <bk>
      <rc t="1" v="653"/>
    </bk>
    <bk>
      <rc t="1" v="654"/>
    </bk>
    <bk>
      <rc t="1" v="655"/>
    </bk>
    <bk>
      <rc t="1" v="656"/>
    </bk>
    <bk>
      <rc t="1" v="657"/>
    </bk>
    <bk>
      <rc t="1" v="658"/>
    </bk>
    <bk>
      <rc t="1" v="659"/>
    </bk>
    <bk>
      <rc t="1" v="660"/>
    </bk>
    <bk>
      <rc t="1" v="661"/>
    </bk>
    <bk>
      <rc t="1" v="662"/>
    </bk>
    <bk>
      <rc t="1" v="663"/>
    </bk>
    <bk>
      <rc t="1" v="664"/>
    </bk>
    <bk>
      <rc t="1" v="665"/>
    </bk>
    <bk>
      <rc t="1" v="666"/>
    </bk>
    <bk>
      <rc t="1" v="667"/>
    </bk>
    <bk>
      <rc t="1" v="668"/>
    </bk>
    <bk>
      <rc t="1" v="669"/>
    </bk>
    <bk>
      <rc t="1" v="670"/>
    </bk>
    <bk>
      <rc t="1" v="671"/>
    </bk>
    <bk>
      <rc t="1" v="672"/>
    </bk>
    <bk>
      <rc t="1" v="673"/>
    </bk>
    <bk>
      <rc t="1" v="674"/>
    </bk>
    <bk>
      <rc t="1" v="675"/>
    </bk>
    <bk>
      <rc t="1" v="676"/>
    </bk>
    <bk>
      <rc t="1" v="677"/>
    </bk>
    <bk>
      <rc t="1" v="678"/>
    </bk>
    <bk>
      <rc t="1" v="679"/>
    </bk>
    <bk>
      <rc t="1" v="680"/>
    </bk>
    <bk>
      <rc t="1" v="681"/>
    </bk>
    <bk>
      <rc t="1" v="682"/>
    </bk>
    <bk>
      <rc t="1" v="683"/>
    </bk>
    <bk>
      <rc t="1" v="684"/>
    </bk>
    <bk>
      <rc t="1" v="685"/>
    </bk>
    <bk>
      <rc t="1" v="686"/>
    </bk>
    <bk>
      <rc t="1" v="687"/>
    </bk>
    <bk>
      <rc t="1" v="688"/>
    </bk>
    <bk>
      <rc t="1" v="689"/>
    </bk>
    <bk>
      <rc t="1" v="690"/>
    </bk>
    <bk>
      <rc t="1" v="691"/>
    </bk>
    <bk>
      <rc t="1" v="692"/>
    </bk>
    <bk>
      <rc t="1" v="693"/>
    </bk>
    <bk>
      <rc t="1" v="694"/>
    </bk>
    <bk>
      <rc t="1" v="695"/>
    </bk>
    <bk>
      <rc t="1" v="696"/>
    </bk>
    <bk>
      <rc t="1" v="697"/>
    </bk>
    <bk>
      <rc t="1" v="698"/>
    </bk>
    <bk>
      <rc t="1" v="699"/>
    </bk>
    <bk>
      <rc t="1" v="700"/>
    </bk>
    <bk>
      <rc t="1" v="701"/>
    </bk>
    <bk>
      <rc t="1" v="702"/>
    </bk>
    <bk>
      <rc t="1" v="703"/>
    </bk>
    <bk>
      <rc t="1" v="704"/>
    </bk>
    <bk>
      <rc t="1" v="705"/>
    </bk>
    <bk>
      <rc t="1" v="706"/>
    </bk>
    <bk>
      <rc t="1" v="707"/>
    </bk>
    <bk>
      <rc t="1" v="708"/>
    </bk>
    <bk>
      <rc t="1" v="709"/>
    </bk>
    <bk>
      <rc t="1" v="710"/>
    </bk>
    <bk>
      <rc t="1" v="711"/>
    </bk>
    <bk>
      <rc t="1" v="712"/>
    </bk>
    <bk>
      <rc t="1" v="713"/>
    </bk>
    <bk>
      <rc t="1" v="714"/>
    </bk>
    <bk>
      <rc t="1" v="715"/>
    </bk>
    <bk>
      <rc t="1" v="716"/>
    </bk>
    <bk>
      <rc t="1" v="717"/>
    </bk>
    <bk>
      <rc t="1" v="718"/>
    </bk>
    <bk>
      <rc t="1" v="719"/>
    </bk>
    <bk>
      <rc t="1" v="720"/>
    </bk>
    <bk>
      <rc t="1" v="721"/>
    </bk>
    <bk>
      <rc t="1" v="722"/>
    </bk>
    <bk>
      <rc t="1" v="723"/>
    </bk>
    <bk>
      <rc t="1" v="724"/>
    </bk>
    <bk>
      <rc t="1" v="725"/>
    </bk>
    <bk>
      <rc t="1" v="726"/>
    </bk>
    <bk>
      <rc t="1" v="727"/>
    </bk>
    <bk>
      <rc t="1" v="728"/>
    </bk>
    <bk>
      <rc t="1" v="729"/>
    </bk>
    <bk>
      <rc t="1" v="730"/>
    </bk>
    <bk>
      <rc t="1" v="731"/>
    </bk>
    <bk>
      <rc t="1" v="732"/>
    </bk>
    <bk>
      <rc t="1" v="733"/>
    </bk>
    <bk>
      <rc t="1" v="734"/>
    </bk>
    <bk>
      <rc t="1" v="735"/>
    </bk>
    <bk>
      <rc t="1" v="736"/>
    </bk>
    <bk>
      <rc t="1" v="737"/>
    </bk>
    <bk>
      <rc t="1" v="738"/>
    </bk>
    <bk>
      <rc t="1" v="739"/>
    </bk>
    <bk>
      <rc t="1" v="740"/>
    </bk>
    <bk>
      <rc t="1" v="741"/>
    </bk>
    <bk>
      <rc t="1" v="742"/>
    </bk>
    <bk>
      <rc t="1" v="743"/>
    </bk>
    <bk>
      <rc t="1" v="744"/>
    </bk>
    <bk>
      <rc t="1" v="745"/>
    </bk>
    <bk>
      <rc t="1" v="746"/>
    </bk>
    <bk>
      <rc t="1" v="747"/>
    </bk>
    <bk>
      <rc t="1" v="748"/>
    </bk>
    <bk>
      <rc t="1" v="749"/>
    </bk>
    <bk>
      <rc t="1" v="750"/>
    </bk>
    <bk>
      <rc t="1" v="751"/>
    </bk>
    <bk>
      <rc t="1" v="752"/>
    </bk>
    <bk>
      <rc t="1" v="753"/>
    </bk>
    <bk>
      <rc t="1" v="754"/>
    </bk>
    <bk>
      <rc t="1" v="755"/>
    </bk>
    <bk>
      <rc t="1" v="756"/>
    </bk>
    <bk>
      <rc t="1" v="757"/>
    </bk>
    <bk>
      <rc t="1" v="758"/>
    </bk>
    <bk>
      <rc t="1" v="759"/>
    </bk>
    <bk>
      <rc t="1" v="760"/>
    </bk>
    <bk>
      <rc t="1" v="761"/>
    </bk>
    <bk>
      <rc t="1" v="762"/>
    </bk>
    <bk>
      <rc t="1" v="763"/>
    </bk>
    <bk>
      <rc t="1" v="764"/>
    </bk>
    <bk>
      <rc t="1" v="765"/>
    </bk>
    <bk>
      <rc t="1" v="766"/>
    </bk>
    <bk>
      <rc t="1" v="767"/>
    </bk>
    <bk>
      <rc t="1" v="768"/>
    </bk>
    <bk>
      <rc t="1" v="769"/>
    </bk>
    <bk>
      <rc t="1" v="770"/>
    </bk>
    <bk>
      <rc t="1" v="771"/>
    </bk>
    <bk>
      <rc t="1" v="772"/>
    </bk>
    <bk>
      <rc t="1" v="773"/>
    </bk>
    <bk>
      <rc t="1" v="774"/>
    </bk>
    <bk>
      <rc t="1" v="775"/>
    </bk>
    <bk>
      <rc t="1" v="776"/>
    </bk>
    <bk>
      <rc t="1" v="777"/>
    </bk>
    <bk>
      <rc t="1" v="778"/>
    </bk>
    <bk>
      <rc t="1" v="779"/>
    </bk>
    <bk>
      <rc t="1" v="780"/>
    </bk>
    <bk>
      <rc t="1" v="781"/>
    </bk>
    <bk>
      <rc t="1" v="782"/>
    </bk>
    <bk>
      <rc t="1" v="783"/>
    </bk>
    <bk>
      <rc t="1" v="784"/>
    </bk>
    <bk>
      <rc t="1" v="785"/>
    </bk>
    <bk>
      <rc t="1" v="786"/>
    </bk>
    <bk>
      <rc t="1" v="787"/>
    </bk>
    <bk>
      <rc t="1" v="788"/>
    </bk>
    <bk>
      <rc t="1" v="789"/>
    </bk>
    <bk>
      <rc t="1" v="790"/>
    </bk>
    <bk>
      <rc t="1" v="791"/>
    </bk>
    <bk>
      <rc t="1" v="792"/>
    </bk>
    <bk>
      <rc t="1" v="793"/>
    </bk>
    <bk>
      <rc t="1" v="794"/>
    </bk>
    <bk>
      <rc t="1" v="795"/>
    </bk>
    <bk>
      <rc t="1" v="796"/>
    </bk>
    <bk>
      <rc t="1" v="797"/>
    </bk>
    <bk>
      <rc t="1" v="798"/>
    </bk>
    <bk>
      <rc t="1" v="799"/>
    </bk>
    <bk>
      <rc t="1" v="800"/>
    </bk>
    <bk>
      <rc t="1" v="801"/>
    </bk>
    <bk>
      <rc t="1" v="802"/>
    </bk>
    <bk>
      <rc t="1" v="803"/>
    </bk>
    <bk>
      <rc t="1" v="804"/>
    </bk>
    <bk>
      <rc t="1" v="805"/>
    </bk>
    <bk>
      <rc t="1" v="806"/>
    </bk>
    <bk>
      <rc t="1" v="807"/>
    </bk>
    <bk>
      <rc t="1" v="808"/>
    </bk>
    <bk>
      <rc t="1" v="809"/>
    </bk>
    <bk>
      <rc t="1" v="810"/>
    </bk>
    <bk>
      <rc t="1" v="811"/>
    </bk>
    <bk>
      <rc t="1" v="812"/>
    </bk>
    <bk>
      <rc t="1" v="813"/>
    </bk>
    <bk>
      <rc t="1" v="814"/>
    </bk>
    <bk>
      <rc t="1" v="815"/>
    </bk>
    <bk>
      <rc t="1" v="816"/>
    </bk>
    <bk>
      <rc t="1" v="817"/>
    </bk>
    <bk>
      <rc t="1" v="818"/>
    </bk>
    <bk>
      <rc t="1" v="819"/>
    </bk>
    <bk>
      <rc t="1" v="820"/>
    </bk>
    <bk>
      <rc t="1" v="821"/>
    </bk>
    <bk>
      <rc t="1" v="822"/>
    </bk>
    <bk>
      <rc t="1" v="823"/>
    </bk>
    <bk>
      <rc t="1" v="824"/>
    </bk>
    <bk>
      <rc t="1" v="825"/>
    </bk>
    <bk>
      <rc t="1" v="826"/>
    </bk>
    <bk>
      <rc t="1" v="827"/>
    </bk>
    <bk>
      <rc t="1" v="828"/>
    </bk>
    <bk>
      <rc t="1" v="829"/>
    </bk>
    <bk>
      <rc t="1" v="830"/>
    </bk>
    <bk>
      <rc t="1" v="831"/>
    </bk>
  </valueMetadata>
</metadata>
</file>

<file path=xl/sharedStrings.xml><?xml version="1.0" encoding="utf-8"?>
<sst xmlns="http://schemas.openxmlformats.org/spreadsheetml/2006/main" count="824" uniqueCount="501">
  <si>
    <t>Ticker →</t>
  </si>
  <si>
    <t>RELIANCE.NS</t>
  </si>
  <si>
    <t>BHARTIARTL.NS</t>
  </si>
  <si>
    <t>HDFCBANK.NS</t>
  </si>
  <si>
    <t>LT.NS</t>
  </si>
  <si>
    <t>CIPLA.NS</t>
  </si>
  <si>
    <t>MARUTI.NS</t>
  </si>
  <si>
    <t>HCLTECH.NS</t>
  </si>
  <si>
    <t>^NSEI</t>
  </si>
  <si>
    <t>Date</t>
  </si>
  <si>
    <t>Reliance Industries</t>
  </si>
  <si>
    <t>Bharti Airtel</t>
  </si>
  <si>
    <t>HDFC Bank</t>
  </si>
  <si>
    <t>Larsen &amp; Toubro</t>
  </si>
  <si>
    <t>Cipla</t>
  </si>
  <si>
    <t>Maruti Suzuki</t>
  </si>
  <si>
    <t>HCL Technologies</t>
  </si>
  <si>
    <t>NIFTY 50</t>
  </si>
  <si>
    <t xml:space="preserve">  PERSONAL PORTFOLIO ANALYSIS</t>
  </si>
  <si>
    <t xml:space="preserve">  Indian Equity Portfolio vs NIFTY 50   ·   7 holdings   ·   weekly data   ·   Excel 365</t>
  </si>
  <si>
    <t>PORTFOLIO OBJECTIVE</t>
  </si>
  <si>
    <t>Objective</t>
  </si>
  <si>
    <t>Measure return, risk, risk-adjusted return, systematic risk (beta/alpha), diversification and drawdown for a seven-stock Indian equity book against the NIFTY 50 — from one weekly return series, with every figure a live formula.</t>
  </si>
  <si>
    <t>KEY FACTS</t>
  </si>
  <si>
    <t>Benchmark</t>
  </si>
  <si>
    <t>NIFTY 50 (^NSEI) — price index</t>
  </si>
  <si>
    <t>Analysis period</t>
  </si>
  <si>
    <t>Data frequency</t>
  </si>
  <si>
    <t>Weekly (Monday week-start), adjusted close</t>
  </si>
  <si>
    <t>Risk-free rate</t>
  </si>
  <si>
    <t>Holdings / sectors</t>
  </si>
  <si>
    <t>7 holdings across 7 sectors, static target weights, no rebalancing drift</t>
  </si>
  <si>
    <t>PORTFOLIO HOLDINGS  &amp;  WEIGHTS</t>
  </si>
  <si>
    <t>#</t>
  </si>
  <si>
    <t>Ticker</t>
  </si>
  <si>
    <t>Company</t>
  </si>
  <si>
    <t>Sector</t>
  </si>
  <si>
    <t>Weight</t>
  </si>
  <si>
    <t>Energy / Conglomerate</t>
  </si>
  <si>
    <t>Telecom</t>
  </si>
  <si>
    <t>Banking</t>
  </si>
  <si>
    <t>Industrials / Infrastructure</t>
  </si>
  <si>
    <t>Pharmaceuticals</t>
  </si>
  <si>
    <t>Automobile</t>
  </si>
  <si>
    <t>Information Technology</t>
  </si>
  <si>
    <t>TOTAL — must equal 100%</t>
  </si>
  <si>
    <t>METRICS CALCULATED</t>
  </si>
  <si>
    <t>Return &amp; risk</t>
  </si>
  <si>
    <t>Weekly return, annualised return (×52), annualised volatility (×√52), cumulative return and growth of ₹100 — for the portfolio and NIFTY 50 alike.</t>
  </si>
  <si>
    <t>Risk-adjusted</t>
  </si>
  <si>
    <t>Sharpe, Sortino and Treynor ratios on a documented, editable risk-free rate; beta, R² and CAPM-based Jensen's alpha vs NIFTY 50.</t>
  </si>
  <si>
    <t>Diversification &amp; drawdown</t>
  </si>
  <si>
    <t>7×7 correlation matrix on returns, running-peak drawdown engine, and return / risk contribution by holding via covariance decomposition.</t>
  </si>
  <si>
    <t>WORKBOOK NAVIGATION</t>
  </si>
  <si>
    <t>Overview</t>
  </si>
  <si>
    <t>This page — objective, holdings, methodology snapshot and navigation</t>
  </si>
  <si>
    <t>Inputs</t>
  </si>
  <si>
    <t>Every assumption and lever: risk-free rate, annualisation factor, data provenance</t>
  </si>
  <si>
    <t>Holdings</t>
  </si>
  <si>
    <t>Holdings table, weight check, sector allocation, full model quality checks</t>
  </si>
  <si>
    <t>Prices</t>
  </si>
  <si>
    <t>Rolling ~2-year dynamic price lookup layer (STOCKHISTORY-fed via Market_Data) — no calculations, no hardcoded prices</t>
  </si>
  <si>
    <t>Returns</t>
  </si>
  <si>
    <t>Weekly return series per security, benchmark and weighted portfolio — 100% formulas</t>
  </si>
  <si>
    <t>Risk_Analysis</t>
  </si>
  <si>
    <t>Return, volatility, Sharpe, Sortino, beta, alpha, Treynor, capture, per-security stats</t>
  </si>
  <si>
    <t>Correlation</t>
  </si>
  <si>
    <t>7×7 matrix, ranked pairwise ladder, diversification diagnostics</t>
  </si>
  <si>
    <t>Drawdown</t>
  </si>
  <si>
    <t>Growth of ₹100, running peak and drawdown for portfolio and index</t>
  </si>
  <si>
    <t>Head-to-head comparison, the six key questions, analyst commentary</t>
  </si>
  <si>
    <t>Contribution</t>
  </si>
  <si>
    <t>Return and risk attribution by holding</t>
  </si>
  <si>
    <t>Dashboard</t>
  </si>
  <si>
    <t>One-page premium factsheet — KPIs, charts, heatmap, insights</t>
  </si>
  <si>
    <t>MODEL ASSUMPTIONS</t>
  </si>
  <si>
    <t>Construction &amp; costs</t>
  </si>
  <si>
    <t>Static target weights, no rebalancing drift, no transaction costs, taxes or dividend tax. Simple (not log) weekly returns; arithmetic annualisation (×52 / ×√52) shown alongside compounded cumulative return.</t>
  </si>
  <si>
    <t>Risk-free &amp; benchmark</t>
  </si>
  <si>
    <t>Risk-free rate is a single editable input (India 10Y G-Sec, documented on Inputs) held constant over the window. NIFTY 50 price index is used, not the TRI — see limitations. Benchmark source is Power Query (primary, once set up — Market_Data §3) with a documented emergency static fallback, never STOCKHISTORY (tested, confirmed not to resolve for this index).</t>
  </si>
  <si>
    <t>LIMITATIONS</t>
  </si>
  <si>
    <t>Sample &amp; regime risk</t>
  </si>
  <si>
    <t>Two years of weekly data is a short, single-regime sample; correlations measured here are a calm-market figure that compresses under stress. Beta and alpha are specific to this window.</t>
  </si>
  <si>
    <t>Excluded costs &amp; bias</t>
  </si>
  <si>
    <t>Transaction costs, taxes and slippage are excluded; the NIFTY 50 TRI (not the price index used here) would be a harder, more realistic benchmark. Historical results do not predict future returns.</t>
  </si>
  <si>
    <t>MODEL STATUS</t>
  </si>
  <si>
    <t>Quality control</t>
  </si>
  <si>
    <t>DATA STATUS</t>
  </si>
  <si>
    <t>Data source</t>
  </si>
  <si>
    <t>Analysis window</t>
  </si>
  <si>
    <t>Rolling ~2 years — the date range itself moves forward every time the workbook recalculates (never a fixed range)</t>
  </si>
  <si>
    <t>Frequency</t>
  </si>
  <si>
    <t>Weekly</t>
  </si>
  <si>
    <t>Data mode</t>
  </si>
  <si>
    <t>Dynamic / Refreshable Portfolio Analytics Model — NOT real-time. Prices update on open/recalculation with an active Excel 365 + Microsoft 365 connection, not tick-by-tick.</t>
  </si>
  <si>
    <t>Benchmark (NIFTY 50) mode</t>
  </si>
  <si>
    <t>Weekly observations currently loaded</t>
  </si>
  <si>
    <t>Latest weekly observation</t>
  </si>
  <si>
    <t>Oldest weekly observation (in window)</t>
  </si>
  <si>
    <t>Price data status</t>
  </si>
  <si>
    <t>Last recalculated</t>
  </si>
  <si>
    <t>Excel does not expose a stored recalculation timestamp to a formula; the workbook recalculates automatically whenever it is opened or F9 is pressed with a live Microsoft 365 connection. Check File &gt; Info for the last-saved time as a proxy.</t>
  </si>
  <si>
    <t>DISCLAIMER</t>
  </si>
  <si>
    <t>Educational portfolio-analytics exercise on public historical market data. A MODEL portfolio only — not an actual holding, investment advice, or a recommendation. Data sourced from Yahoo Finance and Trading Economics, documented on the Inputs tab.</t>
  </si>
  <si>
    <t>INPUTS &amp; ASSUMPTIONS</t>
  </si>
  <si>
    <t>All model levers live here. Blue = hardcoded input you may edit · black = formula · green = link to another sheet.</t>
  </si>
  <si>
    <t>1  ·  ANALYSIS PARAMETERS</t>
  </si>
  <si>
    <t>Parameter</t>
  </si>
  <si>
    <t>Value</t>
  </si>
  <si>
    <t>Unit</t>
  </si>
  <si>
    <t>Source / Basis</t>
  </si>
  <si>
    <t>Analysis start date</t>
  </si>
  <si>
    <t>date</t>
  </si>
  <si>
    <t>First weekly observation in source dataset</t>
  </si>
  <si>
    <t>Analysis end date</t>
  </si>
  <si>
    <t>Last COMPLETED weekly observation (in-progress week excluded)</t>
  </si>
  <si>
    <t>Price observations</t>
  </si>
  <si>
    <t>count</t>
  </si>
  <si>
    <t>Weekly closes per security, identical dates across all series</t>
  </si>
  <si>
    <t>Return observations</t>
  </si>
  <si>
    <t>= price observations − 1</t>
  </si>
  <si>
    <t>Weekly (Monday week-start)</t>
  </si>
  <si>
    <t>text</t>
  </si>
  <si>
    <t>Weekly reduces noise vs daily while retaining ~104 observations</t>
  </si>
  <si>
    <t>Periods per year</t>
  </si>
  <si>
    <t>weeks</t>
  </si>
  <si>
    <t>Annualisation factor. Return × 52; volatility × SQRT(52)</t>
  </si>
  <si>
    <t>Growth index base</t>
  </si>
  <si>
    <t>₹</t>
  </si>
  <si>
    <t>Both portfolio and benchmark growth series start at exactly ₹100</t>
  </si>
  <si>
    <t>Notional portfolio value</t>
  </si>
  <si>
    <t>Modelling convention for allocation display only — NOT an actual investment</t>
  </si>
  <si>
    <t>Rebalancing assumption</t>
  </si>
  <si>
    <t>None — static target weights</t>
  </si>
  <si>
    <t>Weights held constant every week; no drift, no transaction costs</t>
  </si>
  <si>
    <t>2  ·  RISK-FREE RATE  (editable — all Sharpe / Treynor / alpha outputs update)</t>
  </si>
  <si>
    <t>Risk-free rate (annual)</t>
  </si>
  <si>
    <t>% p.a.</t>
  </si>
  <si>
    <t>India 10-Year Government Bond benchmark yield</t>
  </si>
  <si>
    <t>Rate as at</t>
  </si>
  <si>
    <t>Latest quote available at time of build</t>
  </si>
  <si>
    <t>Source</t>
  </si>
  <si>
    <t>Trading Economics — India Government Bond 10Y</t>
  </si>
  <si>
    <t>https://tradingeconomics.com/india/government-bond-yield</t>
  </si>
  <si>
    <t>Note</t>
  </si>
  <si>
    <t>This is an editable assumption, not a calculated output. Replace the yield above with your own sourced rate and every risk-adjusted metric in the workbook recalculates.</t>
  </si>
  <si>
    <t>3  ·  MARKET DATA SOURCE</t>
  </si>
  <si>
    <t>Data provider</t>
  </si>
  <si>
    <t>Yahoo Finance (chart API v8)</t>
  </si>
  <si>
    <t>Retrieved programmatically; raw dataset preserved in data/prices_backup.csv</t>
  </si>
  <si>
    <t>Retrieved on</t>
  </si>
  <si>
    <t>Snapshot date — dataset is static, not live-linked</t>
  </si>
  <si>
    <t>Price basis</t>
  </si>
  <si>
    <t>Adjusted close</t>
  </si>
  <si>
    <t>Adjusted for splits and dividends — required for correct return series</t>
  </si>
  <si>
    <t>Currency</t>
  </si>
  <si>
    <t>INR (₹)</t>
  </si>
  <si>
    <t>All securities and the benchmark quote in INR</t>
  </si>
  <si>
    <t>Exchange</t>
  </si>
  <si>
    <t>NSE (National Stock Exchange of India)</t>
  </si>
  <si>
    <t>Yahoo suffix .NS</t>
  </si>
  <si>
    <t>NIFTY 50 (^NSEI)</t>
  </si>
  <si>
    <t>Price index level; NIFTY 50 TRI not used — see limitations</t>
  </si>
  <si>
    <t>Date alignment</t>
  </si>
  <si>
    <t>Identical weekly dates across all 8 series</t>
  </si>
  <si>
    <t>Intersection of week-start dates; no forward-filling applied</t>
  </si>
  <si>
    <t>4  ·  CORRELATION INTERPRETATION BANDS</t>
  </si>
  <si>
    <t>Band</t>
  </si>
  <si>
    <t>Threshold</t>
  </si>
  <si>
    <t>Interpretation</t>
  </si>
  <si>
    <t>Potentially poor diversification</t>
  </si>
  <si>
    <t>ρ &gt;</t>
  </si>
  <si>
    <t>Pair behaves close to a single bet — review for redundancy</t>
  </si>
  <si>
    <t>Moderate / high relationship</t>
  </si>
  <si>
    <t>Meaningful shared risk driver</t>
  </si>
  <si>
    <t>Moderate relationship</t>
  </si>
  <si>
    <t>Some shared exposure, still diversifying</t>
  </si>
  <si>
    <t>Stronger diversification benefit</t>
  </si>
  <si>
    <t>ρ &lt;</t>
  </si>
  <si>
    <t>Largely independent return drivers</t>
  </si>
  <si>
    <t>5  ·  FORMATTING CONVENTIONS</t>
  </si>
  <si>
    <t>Blue font</t>
  </si>
  <si>
    <t>Hardcoded input or assumption — safe to edit</t>
  </si>
  <si>
    <t>Black font</t>
  </si>
  <si>
    <t>Formula calculated within the sheet</t>
  </si>
  <si>
    <t>Green font</t>
  </si>
  <si>
    <t>Link to another sheet in this workbook</t>
  </si>
  <si>
    <t>HOLDINGS  —  PORTFOLIO CONSTRUCTION</t>
  </si>
  <si>
    <t>Model portfolio: 7 NSE-listed large caps across 7 sectors, held at fixed target weights. No personal purchase prices or units are assumed.</t>
  </si>
  <si>
    <t>1  ·  HOLDINGS TABLE</t>
  </si>
  <si>
    <t>Target
Weight</t>
  </si>
  <si>
    <t>Latest Price
(₹)</t>
  </si>
  <si>
    <t>Period
Return</t>
  </si>
  <si>
    <t>Annualised
Return</t>
  </si>
  <si>
    <t>Notional
Allocation (₹)</t>
  </si>
  <si>
    <t>Indicative
Units</t>
  </si>
  <si>
    <t>Contribution to
Period Return</t>
  </si>
  <si>
    <t>TOTAL PORTFOLIO</t>
  </si>
  <si>
    <t>WEIGHT CHECK</t>
  </si>
  <si>
    <t>2  ·  SECTOR ALLOCATION</t>
  </si>
  <si>
    <t>Notional (₹)</t>
  </si>
  <si>
    <t>TOTAL</t>
  </si>
  <si>
    <t>3  ·  MODEL QUALITY CHECKS</t>
  </si>
  <si>
    <t>Check</t>
  </si>
  <si>
    <t>Result</t>
  </si>
  <si>
    <t>Portfolio weights sum to exactly 100%</t>
  </si>
  <si>
    <t>All 7 holdings present</t>
  </si>
  <si>
    <t>Price observations ≥ 100 (approx. 2 years weekly)</t>
  </si>
  <si>
    <t>No missing price observations within the populated window (blank cells)</t>
  </si>
  <si>
    <t>Price dates aligned and strictly ascending</t>
  </si>
  <si>
    <t>Return observations = price observations − 1</t>
  </si>
  <si>
    <t>Benchmark observations aligned with portfolio</t>
  </si>
  <si>
    <t>Portfolio return uses target weights (recomputed independently)</t>
  </si>
  <si>
    <t>Growth of ₹100 series both start at exactly 100</t>
  </si>
  <si>
    <t>Cumulative return reconciles to growth index</t>
  </si>
  <si>
    <t>Maximum drawdown is negative or zero</t>
  </si>
  <si>
    <t>Correlation matrix diagonal equals 1.00</t>
  </si>
  <si>
    <t>Correlation matrix symmetric (sum = 7 + 2 x sum of 21 unique pairs)</t>
  </si>
  <si>
    <t>Return contributions sum to portfolio annualised return</t>
  </si>
  <si>
    <t>Risk contributions sum to portfolio variance</t>
  </si>
  <si>
    <t>Sector weights reconcile to holding weights</t>
  </si>
  <si>
    <t>No errors anywhere in the return series</t>
  </si>
  <si>
    <t>No errors in the drawdown engine</t>
  </si>
  <si>
    <t>Risk-free rate is a documented input, not a hardcoded constant</t>
  </si>
  <si>
    <t>All 7 stock STOCKHISTORY feeds resolving (Market_Data)</t>
  </si>
  <si>
    <t>NIFTY 50 benchmark mode is explicitly documented (not silently guessed)</t>
  </si>
  <si>
    <t>OVERALL MODEL STATUS</t>
  </si>
  <si>
    <t>MARKET DATA  —  DYNAMIC PRICE FEED (STOCKHISTORY)</t>
  </si>
  <si>
    <t>Every live price in this workbook is pulled here, once, via Excel's STOCKHISTORY function. Prices reads from this sheet through lookup formulas — no raw spill range is ever referenced directly by an analytical sheet.</t>
  </si>
  <si>
    <t>REQUIRES Microsoft Excel 365 (Windows/Mac) with an active Microsoft 365 subscription + internet access. STOCKHISTORY will show blank in LibreOffice, Google Sheets, older Excel, or Excel without a signed-in Microsoft 365 account — that is expected, not a bug.</t>
  </si>
  <si>
    <t>1 · SECURITY IDENTIFIERS</t>
  </si>
  <si>
    <t>Edit the STOCKHISTORY identifier below and re-open if a security fails to resolve. Identifiers use the XNSE: MIC-code prefix — the National Stock Exchange of India's ISO 10383 exchange code — the same convention you personally confirmed works for XNSE:RELIANCE. Note: the 7 live stock formulas in Section 2 use each identifier typed directly into the formula (this is the exact form that resolved successfully for you), not a cell reference — if a feed ever needs a new identifier, edit its STOCKHISTORY formula in Section 2 directly. NIFTY 50 is no longer part of this STOCKHISTORY table at all — see Section 3 for how it's sourced now.</t>
  </si>
  <si>
    <t>Model ticker (.NS)</t>
  </si>
  <si>
    <t>STOCKHISTORY identifier</t>
  </si>
  <si>
    <t>Confidence / status</t>
  </si>
  <si>
    <t>XNSE:RELIANCE</t>
  </si>
  <si>
    <t>CONFIRMED — you personally tested this exact identifier in Excel.</t>
  </si>
  <si>
    <t>XNSE:BHARTIARTL</t>
  </si>
  <si>
    <t>CONFIRMED — resolved successfully with real data in your Excel (105 weekly observations through 07-Sep-2026, verified before this update). Re-verify after any long gap without opening the file.</t>
  </si>
  <si>
    <t>XNSE:HDFCBANK</t>
  </si>
  <si>
    <t>XNSE:LT</t>
  </si>
  <si>
    <t>XNSE:CIPLA</t>
  </si>
  <si>
    <t>XNSE:MARUTI</t>
  </si>
  <si>
    <t>XNSE:HCLTECH</t>
  </si>
  <si>
    <t>2 · LIVE STOCKHISTORY FEEDS  (rolling ~2 years, weekly interval, Date + Close)</t>
  </si>
  <si>
    <t>STOCKHISTORY(identifier, TODAY()-730, TODAY(), 1, 1, 0, 1)  ·  1=weekly interval · 1=show headers · 0,1 = Date, Close. Each block spills downward from its anchor cell — do not type anything else into these columns below this point; leave the space empty so the spill has room to grow.</t>
  </si>
  <si>
    <t>Close</t>
  </si>
  <si>
    <t>RETURNS  —  WEEKLY SIMPLE RETURN SERIES</t>
  </si>
  <si>
    <t>Everything downstream in this workbook flows from these two series: column J (portfolio) and column I (NIFTY 50).</t>
  </si>
  <si>
    <t>MODEL CHECKS</t>
  </si>
  <si>
    <t>STATUS</t>
  </si>
  <si>
    <t>Stock / index return:  = Price(t) / Price(t−1) − 1        ·        Portfolio return:  = SUMPRODUCT(Weights, StockReturns(t))  — target weights, NOT a simple average of the seven stocks.</t>
  </si>
  <si>
    <t>Weights</t>
  </si>
  <si>
    <t>Target weight →</t>
  </si>
  <si>
    <t>Weekly observations</t>
  </si>
  <si>
    <t>Portfolio</t>
  </si>
  <si>
    <t>Missing returns</t>
  </si>
  <si>
    <t>Benchmark aligned</t>
  </si>
  <si>
    <t>COLUMN STATISTICS  —  computed directly from the series above (dynamic range: adapts to however many weeks are populated)</t>
  </si>
  <si>
    <t>Mean weekly return</t>
  </si>
  <si>
    <t>Weekly volatility  (STDEV.S)</t>
  </si>
  <si>
    <t>Annualised return  (mean × 52)</t>
  </si>
  <si>
    <t>Annualised volatility  (σ × √52)</t>
  </si>
  <si>
    <t>Beta vs NIFTY 50  (SLOPE)</t>
  </si>
  <si>
    <t>Correlation vs NIFTY 50</t>
  </si>
  <si>
    <t>Positive weeks</t>
  </si>
  <si>
    <t>RISK &amp; RETURN ANALYSIS</t>
  </si>
  <si>
    <t>Every figure below is a live formula over the weekly return series on the Returns sheet. No calculated output is hardcoded anywhere in this workbook.</t>
  </si>
  <si>
    <t>1  ·  RETURN &amp; RISK SUMMARY</t>
  </si>
  <si>
    <t>Metric</t>
  </si>
  <si>
    <t>Difference</t>
  </si>
  <si>
    <t>Excel formula used</t>
  </si>
  <si>
    <t>Interpretation note</t>
  </si>
  <si>
    <t>Observations (weekly returns)</t>
  </si>
  <si>
    <t>—</t>
  </si>
  <si>
    <t>=COUNT(PortRet)</t>
  </si>
  <si>
    <t>104 weekly observations ≈ 2 years</t>
  </si>
  <si>
    <t>=AVERAGE(PortRet)</t>
  </si>
  <si>
    <t>Arithmetic mean of weekly simple returns</t>
  </si>
  <si>
    <t>Weekly volatility</t>
  </si>
  <si>
    <t>=STDEV.S(PortRet)</t>
  </si>
  <si>
    <t>Sample standard deviation — correct choice for a return sample</t>
  </si>
  <si>
    <t>Annualised return</t>
  </si>
  <si>
    <t>=AVERAGE(PortRet)*52</t>
  </si>
  <si>
    <t>Mean weekly return scaled by 52 weeks</t>
  </si>
  <si>
    <t>Annualised volatility</t>
  </si>
  <si>
    <t>=STDEV.S(PortRet)*SQRT(52)</t>
  </si>
  <si>
    <t>Variance scales with time, so σ scales with √time</t>
  </si>
  <si>
    <t>Cumulative return (full period)</t>
  </si>
  <si>
    <t>=Drawdown value / 100 − 1</t>
  </si>
  <si>
    <t>Actual compounded return, not the annualised approximation</t>
  </si>
  <si>
    <t>Growth of ₹100</t>
  </si>
  <si>
    <t>=100 × Π(1 + weekly return)</t>
  </si>
  <si>
    <t>Both series start at exactly ₹100</t>
  </si>
  <si>
    <t>Best week</t>
  </si>
  <si>
    <t>=MAX(PortRet)</t>
  </si>
  <si>
    <t>Largest single-week gain</t>
  </si>
  <si>
    <t>Worst week</t>
  </si>
  <si>
    <t>=MIN(PortRet)</t>
  </si>
  <si>
    <t>Largest single-week loss</t>
  </si>
  <si>
    <t>=COUNTIF(PortRet,"&gt;0")/COUNT(PortRet)</t>
  </si>
  <si>
    <t>Hit rate — share of weeks with a positive return</t>
  </si>
  <si>
    <t>2  ·  RISK-ADJUSTED PERFORMANCE</t>
  </si>
  <si>
    <t>=RiskFree   (named range → Inputs tab)</t>
  </si>
  <si>
    <t>India 10Y G-Sec, documented on the Inputs sheet</t>
  </si>
  <si>
    <t>Excess return over risk-free</t>
  </si>
  <si>
    <t>=AnnualReturn − RiskFree</t>
  </si>
  <si>
    <t>Numerator of the Sharpe ratio</t>
  </si>
  <si>
    <t>Sharpe ratio</t>
  </si>
  <si>
    <t>=(AnnReturn − RiskFree)/AnnVol</t>
  </si>
  <si>
    <t>Excess return per unit of TOTAL risk</t>
  </si>
  <si>
    <t>Downside deviation (annualised)</t>
  </si>
  <si>
    <t>=SQRT(SUMPRODUCT((r&lt;0)*r^2)/(n−1))*√52</t>
  </si>
  <si>
    <t>Volatility of negative weeks only</t>
  </si>
  <si>
    <t>Sortino ratio</t>
  </si>
  <si>
    <t>=(AnnReturn − RiskFree)/DownsideDev</t>
  </si>
  <si>
    <t>Sharpe's fix for penalising upside volatility</t>
  </si>
  <si>
    <t>3  ·  SYSTEMATIC RISK  —  BETA, ALPHA AND MARKET SENSITIVITY</t>
  </si>
  <si>
    <t>Beta vs NIFTY 50</t>
  </si>
  <si>
    <t>=SLOPE(PortRet,BenchRet)</t>
  </si>
  <si>
    <t>Regression slope of portfolio returns on benchmark returns</t>
  </si>
  <si>
    <t>=CORREL(PortRet,BenchRet)</t>
  </si>
  <si>
    <t>How closely the portfolio tracks the index week to week</t>
  </si>
  <si>
    <t>R² (variance explained by market)</t>
  </si>
  <si>
    <t>=RSQ(PortRet,BenchRet)</t>
  </si>
  <si>
    <t>Share of portfolio variance attributable to market movement</t>
  </si>
  <si>
    <t>Regression intercept (weekly)</t>
  </si>
  <si>
    <t>=INTERCEPT(PortRet,BenchRet)</t>
  </si>
  <si>
    <t>Weekly return unexplained by market exposure</t>
  </si>
  <si>
    <t>Raw excess return vs NIFTY</t>
  </si>
  <si>
    <t>=PortAnnRet − BenchAnnRet</t>
  </si>
  <si>
    <t>NOT alpha — makes no adjustment for risk taken</t>
  </si>
  <si>
    <t>CAPM expected return</t>
  </si>
  <si>
    <t>=Rf + β × (Rb − Rf)</t>
  </si>
  <si>
    <t>What the portfolio's market exposure alone should have delivered</t>
  </si>
  <si>
    <t>Jensen's alpha (annualised)</t>
  </si>
  <si>
    <t>=Rp − [Rf + β(Rb − Rf)]</t>
  </si>
  <si>
    <t>Return above what market exposure predicts — the real test of skill</t>
  </si>
  <si>
    <t>Treynor ratio</t>
  </si>
  <si>
    <t>=(Rp − Rf)/β</t>
  </si>
  <si>
    <t>Excess return per unit of SYSTEMATIC risk</t>
  </si>
  <si>
    <t>Maximum drawdown</t>
  </si>
  <si>
    <t>=MIN(DrawdownRange)</t>
  </si>
  <si>
    <t>Worst peak-to-trough loss — the number practitioners feel</t>
  </si>
  <si>
    <t>Upside capture vs NIFTY</t>
  </si>
  <si>
    <t>=AVERAGEIF(BenchRet,"&gt;0",PortRet)/AVERAGEIF(BenchRet,"&gt;0",BenchRet)</t>
  </si>
  <si>
    <t>Share of the index's average up-week captured</t>
  </si>
  <si>
    <t>Downside capture vs NIFTY</t>
  </si>
  <si>
    <t>=AVERAGEIF(BenchRet,"&lt;0",PortRet)/AVERAGEIF(BenchRet,"&lt;0",BenchRet)</t>
  </si>
  <si>
    <t>Share of the index's average down-week suffered (lower is better)</t>
  </si>
  <si>
    <t>4  ·  INDIVIDUAL SECURITY STATISTICS</t>
  </si>
  <si>
    <t>Security</t>
  </si>
  <si>
    <t>Annualised
Volatility</t>
  </si>
  <si>
    <t>Beta vs
NIFTY</t>
  </si>
  <si>
    <t>Correlation
vs NIFTY</t>
  </si>
  <si>
    <t>Sharpe
Ratio</t>
  </si>
  <si>
    <t>Cumulative
Return</t>
  </si>
  <si>
    <t>PORTFOLIO (weighted)</t>
  </si>
  <si>
    <t>5  ·  INTERPRETATION  (auto-generated from the calculations above)</t>
  </si>
  <si>
    <t>CORRELATION  —  DIVERSIFICATION DIAGNOSTICS</t>
  </si>
  <si>
    <t>Pairwise correlation of WEEKLY RETURNS (not price levels). Low correlation is the mechanism by which a portfolio's volatility falls below the average volatility of its holdings.</t>
  </si>
  <si>
    <t>Matrix cell:  =CORREL(Returns!&lt;column A&gt;, Returns!&lt;column B&gt;)  — direct column ranges on the Returns sheet, robust across Excel versions (no INDEX/MATCH array extraction).</t>
  </si>
  <si>
    <t>1  ·  7 × 7 CORRELATION MATRIX  (weekly returns)</t>
  </si>
  <si>
    <t>Heatmap: green = lower correlation (diversifying) · white = moderate · red = higher correlation (shared risk driver). Diagonal is 1.00 by construction.</t>
  </si>
  <si>
    <t>2  ·  PAIRWISE CORRELATION LADDER  (21 unique pairs, ranked)</t>
  </si>
  <si>
    <t>Rank</t>
  </si>
  <si>
    <t>Security A</t>
  </si>
  <si>
    <t>Security B</t>
  </si>
  <si>
    <t>3  ·  AUTOMATED DIVERSIFICATION OBSERVATIONS</t>
  </si>
  <si>
    <t>Observation</t>
  </si>
  <si>
    <t>Detail</t>
  </si>
  <si>
    <t>Highest correlated pair</t>
  </si>
  <si>
    <t>Lowest correlated pair</t>
  </si>
  <si>
    <t>Average pairwise correlation</t>
  </si>
  <si>
    <t>Pairs above 0.80</t>
  </si>
  <si>
    <t>Pairs 0.50 – 0.80</t>
  </si>
  <si>
    <t>Moderate-to-high relationships. Acceptable within a single-country equity book, where all names share market beta.</t>
  </si>
  <si>
    <t>Pairs below 0.30</t>
  </si>
  <si>
    <t>Pairs contributing the strongest diversification benefit.</t>
  </si>
  <si>
    <t>DRAWDOWN ENGINE  —  GROWTH OF ₹100 AND PEAK-TO-TROUGH LOSS</t>
  </si>
  <si>
    <t>Cumulative value → running peak → drawdown. Both series start at exactly ₹100 so they are directly comparable.</t>
  </si>
  <si>
    <t>Value(t) = Value(t−1) × (1 + Return(t))   ·   Peak(t) = MAX($C$7:C t)   ·   Drawdown(t) = Value(t) / Peak(t) − 1   ·   Maximum Drawdown = MIN(drawdown column)</t>
  </si>
  <si>
    <t>PORTFOLIO</t>
  </si>
  <si>
    <t>NIFTY 50 (BENCHMARK)</t>
  </si>
  <si>
    <t>Weekly
Return</t>
  </si>
  <si>
    <t>Value
(₹100 base)</t>
  </si>
  <si>
    <t>Running
Peak</t>
  </si>
  <si>
    <t>Chart Label</t>
  </si>
  <si>
    <t>DRAWDOWN SUMMARY</t>
  </si>
  <si>
    <t>Comment</t>
  </si>
  <si>
    <t>Worst peak-to-trough loss over the analysis window</t>
  </si>
  <si>
    <t>Date of trough</t>
  </si>
  <si>
    <t>Week in which the maximum drawdown was recorded</t>
  </si>
  <si>
    <t>Peak value before trough (₹)</t>
  </si>
  <si>
    <t>Running peak of the ₹100 growth index at the point of maximum loss</t>
  </si>
  <si>
    <t>Trough value (₹)</t>
  </si>
  <si>
    <t>Value of the ₹100 growth index at the trough</t>
  </si>
  <si>
    <t>Current drawdown (latest week)</t>
  </si>
  <si>
    <t>Distance below the all-time peak as at the last observation</t>
  </si>
  <si>
    <t>Weeks in drawdown (&gt;1% below peak)</t>
  </si>
  <si>
    <t>Count of weekly observations spent more than 1% below the running peak</t>
  </si>
  <si>
    <t>Final value of ₹100 (₹)</t>
  </si>
  <si>
    <t>Growth of ₹100 invested at the start of the analysis window</t>
  </si>
  <si>
    <t>Cumulative return</t>
  </si>
  <si>
    <t>Total return over the full period (not annualised)</t>
  </si>
  <si>
    <t>BENCHMARK ANALYSIS  —  PORTFOLIO vs NIFTY 50</t>
  </si>
  <si>
    <t>The question is not whether the portfolio made money. It is whether the return justified the risk taken to earn it.</t>
  </si>
  <si>
    <t>1  ·  HEAD-TO-HEAD COMPARISON</t>
  </si>
  <si>
    <t>Analytical comment</t>
  </si>
  <si>
    <t>Downside-only version of Sharpe. Sharpe punishes upside volatility identically to downside volatility; Sortino does not.</t>
  </si>
  <si>
    <t>Beta</t>
  </si>
  <si>
    <t>Actual compounded outcome over the analysis window — the number an investor would have experienced.</t>
  </si>
  <si>
    <t>Simple return difference. This is NOT alpha — it makes no allowance for the market risk taken to earn it.</t>
  </si>
  <si>
    <t>Excess return per unit of systematic (non-diversifiable) risk, rather than per unit of total risk.</t>
  </si>
  <si>
    <t>Correlation with NIFTY 50</t>
  </si>
  <si>
    <t>How tightly the portfolio tracks the index week to week.</t>
  </si>
  <si>
    <t>R² (variance explained)</t>
  </si>
  <si>
    <t>Share of portfolio variance attributable to market movement; the balance is stock-specific risk.</t>
  </si>
  <si>
    <t>Hit rate. A higher hit rate with similar returns implies smaller, steadier gains rather than a few large ones.</t>
  </si>
  <si>
    <t>Upside capture</t>
  </si>
  <si>
    <t>Average portfolio return in weeks the index rose, divided by the index's average up-week.</t>
  </si>
  <si>
    <t>Downside capture</t>
  </si>
  <si>
    <t>Average portfolio return in weeks the index fell, divided by the index's average down-week. Lower is better.</t>
  </si>
  <si>
    <t>2  ·  THE SIX QUESTIONS THIS ANALYSIS MUST ANSWER</t>
  </si>
  <si>
    <t>Question</t>
  </si>
  <si>
    <t>Verdict</t>
  </si>
  <si>
    <t>Evidence from the model</t>
  </si>
  <si>
    <t>Did the portfolio outperform NIFTY 50?</t>
  </si>
  <si>
    <t>If so, was it simply because it took more market risk?</t>
  </si>
  <si>
    <t>Did it produce better return per unit of risk?</t>
  </si>
  <si>
    <t>Was the portfolio more or less volatile than the index?</t>
  </si>
  <si>
    <t>How severe was the worst drawdown?</t>
  </si>
  <si>
    <t>Did diversification materially reduce risk?</t>
  </si>
  <si>
    <t>Did the portfolio generate positive risk-adjusted alpha?</t>
  </si>
  <si>
    <t>3  ·  ANALYST COMMENTARY  (auto-generated — every figure is a live reference)</t>
  </si>
  <si>
    <t>Performance</t>
  </si>
  <si>
    <t>Diversification</t>
  </si>
  <si>
    <t>Return drivers</t>
  </si>
  <si>
    <t>Risk drivers</t>
  </si>
  <si>
    <t>Limitation</t>
  </si>
  <si>
    <t>Two years of weekly data is a short, single-regime sample. Correlations measured in calm markets rise toward 1 in a crash, so the diversification benefit quantified above is a fair-weather figure. Static weights assume costless continuous rebalancing; transaction costs, taxes and the NIFTY 50 total-return differential are all excluded. See the Overview tab for the full limitations list.</t>
  </si>
  <si>
    <t>CONTRIBUTION ANALYSIS  —  RETURN AND RISK DECOMPOSITION</t>
  </si>
  <si>
    <t>Which holdings drove performance, and which consumed the risk budget. Return contribution uses weight × return; risk contribution uses the covariance decomposition of portfolio variance.</t>
  </si>
  <si>
    <t>1  ·  RETURN CONTRIBUTION</t>
  </si>
  <si>
    <t>Weighted Return
Contribution</t>
  </si>
  <si>
    <t>Share of Total
Contribution</t>
  </si>
  <si>
    <t>Weighted Cumulative
Contribution</t>
  </si>
  <si>
    <t>Holding (sorted)</t>
  </si>
  <si>
    <t>Contrib. (sorted)</t>
  </si>
  <si>
    <t>Check: sum of weighted contributions = portfolio annualised return</t>
  </si>
  <si>
    <t>2  ·  ANNUALISED COVARIANCE MATRIX  (ρ × σᵢ × σⱼ × 52)</t>
  </si>
  <si>
    <t>3  ·  RISK CONTRIBUTION  (covariance decomposition of portfolio variance)</t>
  </si>
  <si>
    <t>Marginal Risk
Contribution</t>
  </si>
  <si>
    <t>Risk Contribution
(variance)</t>
  </si>
  <si>
    <t>Share of
Portfolio Risk</t>
  </si>
  <si>
    <t>Weight minus
Risk Share</t>
  </si>
  <si>
    <t>Check: Σ risk contributions = portfolio variance</t>
  </si>
  <si>
    <t>4  ·  DIVERSIFICATION EFFECT</t>
  </si>
  <si>
    <t>Weighted-average standalone volatility</t>
  </si>
  <si>
    <t>What portfolio volatility WOULD be if every holding moved in perfect lockstep (ρ = 1 across the book).</t>
  </si>
  <si>
    <t>Actual portfolio volatility</t>
  </si>
  <si>
    <t>Realised annualised volatility of the weighted return series.</t>
  </si>
  <si>
    <t>Volatility reduction from diversification</t>
  </si>
  <si>
    <t>Absolute volatility saved by holding imperfectly correlated assets.</t>
  </si>
  <si>
    <t>Diversification ratio</t>
  </si>
  <si>
    <t>Weighted-average standalone volatility ÷ actual portfolio volatility. Above 1.0 means diversification is working; 1.0 would mean none at all.</t>
  </si>
  <si>
    <t>Risk reduction achieved</t>
  </si>
  <si>
    <t>Percentage of the naive (fully correlated) risk that diversification removed.</t>
  </si>
  <si>
    <t>5  ·  AUTOMATED OBSERVATIONS</t>
  </si>
  <si>
    <t xml:space="preserve">   PERSONAL PORTFOLIO ANALYSIS</t>
  </si>
  <si>
    <t xml:space="preserve">   Indian Equity Portfolio  |  NIFTY 50 Benchmark</t>
  </si>
  <si>
    <t>ANNUALISED RETURN</t>
  </si>
  <si>
    <t>SHARPE RATIO</t>
  </si>
  <si>
    <t>BETA vs NIFTY 50</t>
  </si>
  <si>
    <t>MAXIMUM DRAWDOWN</t>
  </si>
  <si>
    <t>JENSEN’S ALPHA</t>
  </si>
  <si>
    <t>ANNUALISED VOLATILITY</t>
  </si>
  <si>
    <t xml:space="preserve">  GROWTH OF ₹100  —  PORTFOLIO vs NIFTY 50   ·   HERO METRIC</t>
  </si>
  <si>
    <t xml:space="preserve">  PORTFOLIO ALLOCATION</t>
  </si>
  <si>
    <t xml:space="preserve">  PORTFOLIO DRAWDOWN VS NIFTY</t>
  </si>
  <si>
    <t xml:space="preserve">  SECTOR EXPOSURE  (highest → lowest)</t>
  </si>
  <si>
    <t xml:space="preserve">  RETURN CONTRIBUTION BY HOLDING  (sorted, annualised)</t>
  </si>
  <si>
    <t xml:space="preserve">  CORRELATION HEATMAP  (weekly returns)</t>
  </si>
  <si>
    <t>REL</t>
  </si>
  <si>
    <t>AIR</t>
  </si>
  <si>
    <t>HDFC</t>
  </si>
  <si>
    <t>L&amp;T</t>
  </si>
  <si>
    <t>CIP</t>
  </si>
  <si>
    <t>MAR</t>
  </si>
  <si>
    <t>HCL</t>
  </si>
  <si>
    <t xml:space="preserve">  BENCHMARK SCORECARD</t>
  </si>
  <si>
    <t xml:space="preserve">  PORTFOLIO INSIGHTS  —  formula-derived, not written by hand</t>
  </si>
  <si>
    <t>Diff.</t>
  </si>
  <si>
    <t>Source: Yahoo Finance adjusted weekly closes · risk-free rate: India 10Y G-Sec 6.95% (Trading Economics, 07-Sep-2026) · model portfolio, analytical purposes only — not investment advice.</t>
  </si>
  <si>
    <t xml:space="preserve">NIFTY 50 </t>
  </si>
  <si>
    <t>Power Query / Yahoo Finance</t>
  </si>
  <si>
    <t>Period</t>
  </si>
  <si>
    <t>Equities: Microsoft STOCKHISTORY (Excel 365 connected stock data) — all 7 NSE-listed feeds confirmed resolving. Benchmark (NIFTY 50): Power Query pulling daily closes from Yahoo Finance into Market_Data W:X — set up and loading; it falls back to a labeled emergency static snapshot only if the query ever returns empty.</t>
  </si>
  <si>
    <t>NIFTY 50 Yahoo Finance Power Query source is live (not the emergency static fallback)</t>
  </si>
  <si>
    <t>REL Reliance · AIR Airtel · HDFC Bank · L&amp;T · CIP Cipla · MAR Maruti · HCL Tech</t>
  </si>
  <si>
    <t>PRICES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</si>
</sst>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dd\-mmm\-yy"/>
    <numFmt numFmtId="165" formatCode="\₹#,##0"/>
    <numFmt numFmtId="166" formatCode="\₹#,##0.00"/>
    <numFmt numFmtId="167" formatCode="0.00%;\(0.00%\);\-"/>
    <numFmt numFmtId="168" formatCode="0.0000000000"/>
    <numFmt numFmtId="169" formatCode="0.0%;\(0.0%\);\-"/>
    <numFmt numFmtId="170" formatCode="0.000000%"/>
    <numFmt numFmtId="171" formatCode="0.0000"/>
    <numFmt numFmtId="172" formatCode="0.00000000"/>
    <numFmt numFmtId="173" formatCode="#,##0.00;[Red]\(#,##0.00\);\-"/>
    <numFmt numFmtId="174" formatCode="0.00%;[Red]\(0.00%\);\-"/>
  </numFmts>
  <fonts count="70" x14ac:knownFonts="1">
    <font>
      <sz val="11"/>
      <color theme="1"/>
      <name val="Calibri"/>
    </font>
    <font>
      <b/>
      <sz val="18"/>
      <color rgb="FFFFFFFF"/>
      <name val="Arial"/>
      <family val="2"/>
    </font>
    <font>
      <sz val="10"/>
      <color rgb="FF22D3EE"/>
      <name val="Arial"/>
      <family val="2"/>
    </font>
    <font>
      <b/>
      <sz val="10"/>
      <color rgb="FF22D3EE"/>
      <name val="Arial"/>
      <family val="2"/>
    </font>
    <font>
      <sz val="9"/>
      <color rgb="FFE7ECF5"/>
      <name val="Arial"/>
      <family val="2"/>
    </font>
    <font>
      <sz val="10"/>
      <color rgb="FF38BDF8"/>
      <name val="Arial"/>
      <family val="2"/>
    </font>
    <font>
      <sz val="10"/>
      <color rgb="FF2DD4BF"/>
      <name val="Arial"/>
      <family val="2"/>
    </font>
    <font>
      <b/>
      <sz val="9"/>
      <color rgb="FFFFFFFF"/>
      <name val="Arial"/>
      <family val="2"/>
    </font>
    <font>
      <sz val="10"/>
      <color rgb="FFE7ECF5"/>
      <name val="Arial"/>
      <family val="2"/>
    </font>
    <font>
      <b/>
      <sz val="10"/>
      <color rgb="FFFFFFFF"/>
      <name val="Arial"/>
      <family val="2"/>
    </font>
    <font>
      <b/>
      <sz val="10"/>
      <color rgb="FF34D399"/>
      <name val="Arial"/>
      <family val="2"/>
    </font>
    <font>
      <i/>
      <sz val="9"/>
      <color rgb="FF8FA0BE"/>
      <name val="Arial"/>
      <family val="2"/>
    </font>
    <font>
      <b/>
      <sz val="14"/>
      <color rgb="FFFFFFFF"/>
      <name val="Arial"/>
      <family val="2"/>
    </font>
    <font>
      <b/>
      <sz val="10"/>
      <color rgb="FF38BDF8"/>
      <name val="Arial"/>
      <family val="2"/>
    </font>
    <font>
      <b/>
      <sz val="10"/>
      <color rgb="FFE7ECF5"/>
      <name val="Arial"/>
      <family val="2"/>
    </font>
    <font>
      <b/>
      <sz val="10"/>
      <color rgb="FF2DD4BF"/>
      <name val="Arial"/>
      <family val="2"/>
    </font>
    <font>
      <sz val="8"/>
      <color rgb="FF8FA0BE"/>
      <name val="Arial"/>
      <family val="2"/>
    </font>
    <font>
      <sz val="10"/>
      <name val="Arial"/>
      <family val="2"/>
    </font>
    <font>
      <sz val="1"/>
      <color rgb="FFFFFFFF"/>
      <name val="Arial"/>
      <family val="2"/>
    </font>
    <font>
      <b/>
      <sz val="8"/>
      <color rgb="FFFFFFFF"/>
      <name val="Arial"/>
      <family val="2"/>
    </font>
    <font>
      <b/>
      <sz val="19"/>
      <color rgb="FFFFFFFF"/>
      <name val="Arial"/>
      <family val="2"/>
    </font>
    <font>
      <b/>
      <sz val="11"/>
      <color rgb="FF22D3EE"/>
      <name val="Arial"/>
      <family val="2"/>
    </font>
    <font>
      <sz val="8"/>
      <color rgb="FF8FA0BE"/>
      <name val="Arial"/>
      <family val="2"/>
    </font>
    <font>
      <b/>
      <sz val="8"/>
      <color rgb="FF8FA0BE"/>
      <name val="Arial"/>
      <family val="2"/>
    </font>
    <font>
      <b/>
      <sz val="19"/>
      <color rgb="FF34D399"/>
      <name val="Arial"/>
      <family val="2"/>
    </font>
    <font>
      <b/>
      <sz val="19"/>
      <color rgb="FF22D3EE"/>
      <name val="Arial"/>
      <family val="2"/>
    </font>
    <font>
      <b/>
      <sz val="19"/>
      <color rgb="FFFB7185"/>
      <name val="Arial"/>
      <family val="2"/>
    </font>
    <font>
      <sz val="8"/>
      <color rgb="FF60A5FA"/>
      <name val="Arial"/>
      <family val="2"/>
    </font>
    <font>
      <i/>
      <sz val="7"/>
      <color rgb="FF8FA0BE"/>
      <name val="Arial"/>
      <family val="2"/>
    </font>
    <font>
      <b/>
      <sz val="9"/>
      <color rgb="FF22D3EE"/>
      <name val="Arial"/>
      <family val="2"/>
    </font>
    <font>
      <b/>
      <sz val="7"/>
      <color rgb="FFFFFFFF"/>
      <name val="Arial"/>
      <family val="2"/>
    </font>
    <font>
      <sz val="8"/>
      <color rgb="FFE7ECF5"/>
      <name val="Arial"/>
      <family val="2"/>
    </font>
    <font>
      <b/>
      <sz val="8"/>
      <color rgb="FF60A5FA"/>
      <name val="Arial"/>
      <family val="2"/>
    </font>
    <font>
      <sz val="10"/>
      <color rgb="FFE5E7EB"/>
      <name val="Aptos"/>
      <family val="2"/>
    </font>
    <font>
      <b/>
      <sz val="16"/>
      <color rgb="FFFFFFFF"/>
      <name val="Aptos Display"/>
      <family val="2"/>
    </font>
    <font>
      <i/>
      <sz val="9"/>
      <color rgb="FF94A3B8"/>
      <name val="Aptos"/>
      <family val="2"/>
    </font>
    <font>
      <sz val="9"/>
      <color rgb="FF94A3B8"/>
      <name val="Aptos"/>
      <family val="2"/>
    </font>
    <font>
      <b/>
      <sz val="9"/>
      <color rgb="FF22D3EE"/>
      <name val="Aptos"/>
      <family val="2"/>
    </font>
    <font>
      <b/>
      <sz val="10"/>
      <color rgb="FFFFFFFF"/>
      <name val="Aptos"/>
      <family val="2"/>
    </font>
    <font>
      <b/>
      <sz val="10"/>
      <color rgb="FFCBD5E1"/>
      <name val="Aptos"/>
      <family val="2"/>
    </font>
    <font>
      <sz val="10"/>
      <color rgb="FFCBD5E1"/>
      <name val="Aptos"/>
      <family val="2"/>
    </font>
    <font>
      <b/>
      <sz val="10"/>
      <color rgb="FF22D3EE"/>
      <name val="Aptos"/>
      <family val="2"/>
    </font>
    <font>
      <b/>
      <sz val="10"/>
      <color rgb="FFD1FAE5"/>
      <name val="Aptos"/>
      <family val="2"/>
    </font>
    <font>
      <b/>
      <sz val="10"/>
      <color rgb="FF34D399"/>
      <name val="Aptos"/>
      <family val="2"/>
    </font>
    <font>
      <sz val="9"/>
      <color rgb="FFD6E2F0"/>
      <name val="Aptos"/>
      <family val="2"/>
    </font>
    <font>
      <b/>
      <sz val="16"/>
      <color rgb="FFFFFFFF"/>
      <name val="Aptos Display"/>
      <family val="2"/>
    </font>
    <font>
      <sz val="9"/>
      <color rgb="FF94A3B8"/>
      <name val="Aptos"/>
      <family val="2"/>
    </font>
    <font>
      <b/>
      <sz val="9"/>
      <color rgb="FFDCB35C"/>
      <name val="Aptos"/>
      <family val="2"/>
    </font>
    <font>
      <i/>
      <sz val="8"/>
      <color rgb="FF94A3B8"/>
      <name val="Aptos"/>
      <family val="2"/>
    </font>
    <font>
      <b/>
      <sz val="9"/>
      <color rgb="FFFFFFFF"/>
      <name val="Aptos"/>
      <family val="2"/>
    </font>
    <font>
      <b/>
      <sz val="9"/>
      <color rgb="FF60A5FA"/>
      <name val="Aptos"/>
      <family val="2"/>
    </font>
    <font>
      <sz val="9"/>
      <color rgb="FFFFFFFF"/>
      <name val="Aptos"/>
      <family val="2"/>
    </font>
    <font>
      <sz val="9"/>
      <color theme="1"/>
      <name val="Aptos"/>
      <family val="2"/>
    </font>
    <font>
      <sz val="9"/>
      <color theme="3" tint="-0.249977111117893"/>
      <name val="Aptos"/>
      <family val="2"/>
    </font>
    <font>
      <i/>
      <sz val="8"/>
      <color theme="3" tint="-0.249977111117893"/>
      <name val="Aptos"/>
      <family val="2"/>
    </font>
    <font>
      <sz val="9"/>
      <color theme="0"/>
      <name val="Arial"/>
      <family val="2"/>
    </font>
    <font>
      <sz val="10"/>
      <color theme="0" tint="-0.249977111117893"/>
      <name val="Arial"/>
      <family val="2"/>
    </font>
    <font>
      <sz val="11"/>
      <color theme="1"/>
      <name val="Calibri"/>
      <family val="2"/>
    </font>
    <font>
      <i/>
      <sz val="9"/>
      <color theme="3" tint="-0.499984740745262"/>
      <name val="Aptos"/>
      <family val="2"/>
    </font>
    <font>
      <sz val="11"/>
      <color theme="3" tint="-0.499984740745262"/>
      <name val="Calibri"/>
      <family val="2"/>
    </font>
    <font>
      <b/>
      <sz val="11"/>
      <color rgb="FF007F99"/>
      <name val="Aptos"/>
      <family val="2"/>
    </font>
    <font>
      <i/>
      <sz val="8"/>
      <color rgb="FF3F5167"/>
      <name val="Aptos"/>
      <family val="2"/>
    </font>
    <font>
      <b/>
      <sz val="10"/>
      <color rgb="FF222222"/>
      <name val="Arial"/>
      <family val="2"/>
    </font>
    <font>
      <sz val="11"/>
      <color rgb="FF222222"/>
      <name val="Calibri"/>
      <family val="2"/>
    </font>
    <font>
      <b/>
      <sz val="10"/>
      <color theme="1"/>
      <name val="Arial"/>
      <family val="2"/>
    </font>
    <font>
      <sz val="1"/>
      <color rgb="FFA1A6B2"/>
      <name val="Arial"/>
      <family val="2"/>
    </font>
    <font>
      <sz val="9"/>
      <color theme="0"/>
      <name val="Aptos"/>
      <family val="2"/>
    </font>
    <font>
      <b/>
      <sz val="14"/>
      <color theme="0"/>
      <name val="Arial"/>
      <family val="2"/>
    </font>
    <font>
      <sz val="8"/>
      <name val="Calibri"/>
      <family val="2"/>
    </font>
    <font>
      <sz val="8"/>
      <color theme="0" tint="-4.9989318521683403E-2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rgb="FF16233F"/>
      </patternFill>
    </fill>
    <fill>
      <patternFill patternType="solid">
        <fgColor rgb="FF0A1220"/>
      </patternFill>
    </fill>
    <fill>
      <patternFill patternType="solid">
        <fgColor rgb="FF1C3159"/>
      </patternFill>
    </fill>
    <fill>
      <patternFill patternType="solid">
        <fgColor rgb="FF17253F"/>
      </patternFill>
    </fill>
    <fill>
      <patternFill patternType="solid">
        <fgColor rgb="FF0B1220"/>
      </patternFill>
    </fill>
    <fill>
      <patternFill patternType="solid">
        <fgColor rgb="FF111B2E"/>
      </patternFill>
    </fill>
    <fill>
      <patternFill patternType="solid">
        <fgColor rgb="FF17233A"/>
      </patternFill>
    </fill>
    <fill>
      <patternFill patternType="solid">
        <fgColor rgb="FF1E293B"/>
      </patternFill>
    </fill>
    <fill>
      <patternFill patternType="solid">
        <fgColor rgb="FF132238"/>
      </patternFill>
    </fill>
    <fill>
      <patternFill patternType="solid">
        <fgColor rgb="FF0F192B"/>
      </patternFill>
    </fill>
    <fill>
      <patternFill patternType="solid">
        <fgColor rgb="FF334155"/>
      </patternFill>
    </fill>
    <fill>
      <patternFill patternType="solid">
        <fgColor rgb="FF0F766E"/>
      </patternFill>
    </fill>
    <fill>
      <patternFill patternType="solid">
        <fgColor rgb="FF111F33"/>
      </patternFill>
    </fill>
    <fill>
      <patternFill patternType="solid">
        <fgColor rgb="FF0C2B2B"/>
      </patternFill>
    </fill>
    <fill>
      <patternFill patternType="solid">
        <fgColor rgb="FF102B27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28">
    <border>
      <left/>
      <right/>
      <top/>
      <bottom/>
      <diagonal/>
    </border>
    <border>
      <left style="thin">
        <color rgb="FF2A3B57"/>
      </left>
      <right style="thin">
        <color rgb="FF2A3B57"/>
      </right>
      <top style="thin">
        <color rgb="FF2A3B57"/>
      </top>
      <bottom style="thin">
        <color rgb="FF2A3B57"/>
      </bottom>
      <diagonal/>
    </border>
    <border>
      <left style="thin">
        <color rgb="FF2A3B57"/>
      </left>
      <right/>
      <top style="thin">
        <color rgb="FF2A3B57"/>
      </top>
      <bottom style="thin">
        <color rgb="FF2A3B5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3A5580"/>
      </left>
      <right style="thin">
        <color rgb="FF050A14"/>
      </right>
      <top style="thin">
        <color rgb="FF3A5580"/>
      </top>
      <bottom/>
      <diagonal/>
    </border>
    <border>
      <left style="thin">
        <color rgb="FF3A5580"/>
      </left>
      <right style="thin">
        <color rgb="FF050A14"/>
      </right>
      <top/>
      <bottom/>
      <diagonal/>
    </border>
    <border>
      <left style="thin">
        <color rgb="FF3A5580"/>
      </left>
      <right style="thin">
        <color rgb="FF050A14"/>
      </right>
      <top/>
      <bottom style="thin">
        <color rgb="FF050A14"/>
      </bottom>
      <diagonal/>
    </border>
    <border>
      <left style="thin">
        <color rgb="FF3A5580"/>
      </left>
      <right/>
      <top style="thin">
        <color rgb="FF3A5580"/>
      </top>
      <bottom/>
      <diagonal/>
    </border>
    <border>
      <left/>
      <right/>
      <top style="thin">
        <color rgb="FF3A5580"/>
      </top>
      <bottom/>
      <diagonal/>
    </border>
    <border>
      <left/>
      <right style="thin">
        <color rgb="FF050A14"/>
      </right>
      <top style="thin">
        <color rgb="FF3A5580"/>
      </top>
      <bottom/>
      <diagonal/>
    </border>
    <border>
      <left style="thin">
        <color rgb="FF3A5580"/>
      </left>
      <right/>
      <top/>
      <bottom/>
      <diagonal/>
    </border>
    <border>
      <left/>
      <right style="thin">
        <color rgb="FF050A14"/>
      </right>
      <top/>
      <bottom/>
      <diagonal/>
    </border>
    <border>
      <left/>
      <right/>
      <top style="thin">
        <color rgb="FF2A3B57"/>
      </top>
      <bottom style="thin">
        <color rgb="FF2A3B57"/>
      </bottom>
      <diagonal/>
    </border>
    <border>
      <left/>
      <right style="thin">
        <color rgb="FF2A3B57"/>
      </right>
      <top style="thin">
        <color rgb="FF2A3B57"/>
      </top>
      <bottom style="thin">
        <color rgb="FF2A3B57"/>
      </bottom>
      <diagonal/>
    </border>
    <border>
      <left style="thin">
        <color rgb="FF3A5580"/>
      </left>
      <right/>
      <top/>
      <bottom style="thin">
        <color rgb="FF050A14"/>
      </bottom>
      <diagonal/>
    </border>
    <border>
      <left/>
      <right/>
      <top/>
      <bottom style="thin">
        <color rgb="FF050A14"/>
      </bottom>
      <diagonal/>
    </border>
    <border>
      <left/>
      <right style="thin">
        <color rgb="FF050A14"/>
      </right>
      <top/>
      <bottom style="thin">
        <color rgb="FF050A14"/>
      </bottom>
      <diagonal/>
    </border>
    <border>
      <left style="thin">
        <color rgb="FF2A3B58"/>
      </left>
      <right style="thin">
        <color rgb="FF2A3B58"/>
      </right>
      <top style="thin">
        <color rgb="FF2A3B58"/>
      </top>
      <bottom style="thin">
        <color rgb="FF2A3B58"/>
      </bottom>
      <diagonal/>
    </border>
    <border>
      <left/>
      <right style="thin">
        <color rgb="FF2A3B58"/>
      </right>
      <top style="thin">
        <color rgb="FF2A3B58"/>
      </top>
      <bottom style="thin">
        <color rgb="FF2A3B58"/>
      </bottom>
      <diagonal/>
    </border>
    <border>
      <left style="thin">
        <color rgb="FF2A3B58"/>
      </left>
      <right/>
      <top/>
      <bottom/>
      <diagonal/>
    </border>
    <border>
      <left style="thin">
        <color rgb="FF2A3B58"/>
      </left>
      <right style="thin">
        <color rgb="FF2A3B58"/>
      </right>
      <top style="thin">
        <color rgb="FF2A3B58"/>
      </top>
      <bottom/>
      <diagonal/>
    </border>
    <border>
      <left/>
      <right/>
      <top/>
      <bottom style="thin">
        <color rgb="FF2A3B58"/>
      </bottom>
      <diagonal/>
    </border>
    <border>
      <left/>
      <right/>
      <top/>
      <bottom style="thin">
        <color rgb="FF2A3B57"/>
      </bottom>
      <diagonal/>
    </border>
    <border>
      <left style="thin">
        <color rgb="FF2A3B57"/>
      </left>
      <right/>
      <top style="thin">
        <color rgb="FF2A3B57"/>
      </top>
      <bottom style="thin">
        <color theme="3" tint="-0.249977111117893"/>
      </bottom>
      <diagonal/>
    </border>
    <border>
      <left/>
      <right style="thin">
        <color theme="3" tint="-0.249977111117893"/>
      </right>
      <top style="thin">
        <color rgb="FF2A3B57"/>
      </top>
      <bottom style="thin">
        <color theme="3" tint="-0.249977111117893"/>
      </bottom>
      <diagonal/>
    </border>
    <border>
      <left style="thin">
        <color theme="3" tint="-0.249977111117893"/>
      </left>
      <right/>
      <top/>
      <bottom/>
      <diagonal/>
    </border>
    <border>
      <left style="thin">
        <color theme="3" tint="-0.249977111117893"/>
      </left>
      <right style="thin">
        <color theme="3" tint="-0.249977111117893"/>
      </right>
      <top style="thin">
        <color theme="3" tint="-0.249977111117893"/>
      </top>
      <bottom style="thin">
        <color theme="3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7">
    <xf numFmtId="0" fontId="0" fillId="0" borderId="0"/>
    <xf numFmtId="43" fontId="17" fillId="0" borderId="0"/>
    <xf numFmtId="41" fontId="17" fillId="0" borderId="0"/>
    <xf numFmtId="44" fontId="17" fillId="0" borderId="0"/>
    <xf numFmtId="42" fontId="17" fillId="0" borderId="0"/>
    <xf numFmtId="9" fontId="17" fillId="0" borderId="0"/>
    <xf numFmtId="0" fontId="49" fillId="9" borderId="0" applyFont="0" applyAlignment="0">
      <alignment horizontal="center" vertical="center" wrapText="1"/>
    </xf>
  </cellStyleXfs>
  <cellXfs count="224">
    <xf numFmtId="0" fontId="0" fillId="0" borderId="0" xfId="0"/>
    <xf numFmtId="0" fontId="7" fillId="4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left" vertical="center"/>
    </xf>
    <xf numFmtId="0" fontId="0" fillId="3" borderId="0" xfId="0" applyFill="1"/>
    <xf numFmtId="0" fontId="3" fillId="3" borderId="1" xfId="0" applyFont="1" applyFill="1" applyBorder="1" applyAlignment="1">
      <alignment vertical="center" wrapText="1"/>
    </xf>
    <xf numFmtId="0" fontId="4" fillId="3" borderId="1" xfId="0" applyFont="1" applyFill="1" applyBorder="1"/>
    <xf numFmtId="0" fontId="4" fillId="3" borderId="1" xfId="0" applyFont="1" applyFill="1" applyBorder="1" applyAlignment="1">
      <alignment horizontal="center" vertical="center"/>
    </xf>
    <xf numFmtId="0" fontId="8" fillId="4" borderId="1" xfId="0" applyFont="1" applyFill="1" applyBorder="1"/>
    <xf numFmtId="0" fontId="10" fillId="3" borderId="1" xfId="0" applyFont="1" applyFill="1" applyBorder="1" applyAlignment="1">
      <alignment horizontal="center" vertical="center"/>
    </xf>
    <xf numFmtId="0" fontId="3" fillId="3" borderId="1" xfId="0" applyFont="1" applyFill="1" applyBorder="1"/>
    <xf numFmtId="164" fontId="6" fillId="3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vertical="center" wrapText="1"/>
    </xf>
    <xf numFmtId="3" fontId="8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 wrapText="1"/>
    </xf>
    <xf numFmtId="3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0" fontId="5" fillId="3" borderId="1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/>
    <xf numFmtId="0" fontId="14" fillId="3" borderId="1" xfId="0" applyFont="1" applyFill="1" applyBorder="1"/>
    <xf numFmtId="0" fontId="15" fillId="3" borderId="1" xfId="0" applyFont="1" applyFill="1" applyBorder="1"/>
    <xf numFmtId="0" fontId="5" fillId="3" borderId="1" xfId="0" applyFont="1" applyFill="1" applyBorder="1"/>
    <xf numFmtId="166" fontId="6" fillId="3" borderId="1" xfId="0" applyNumberFormat="1" applyFont="1" applyFill="1" applyBorder="1"/>
    <xf numFmtId="167" fontId="8" fillId="3" borderId="1" xfId="0" applyNumberFormat="1" applyFont="1" applyFill="1" applyBorder="1"/>
    <xf numFmtId="167" fontId="6" fillId="3" borderId="1" xfId="0" applyNumberFormat="1" applyFont="1" applyFill="1" applyBorder="1"/>
    <xf numFmtId="165" fontId="8" fillId="3" borderId="1" xfId="0" applyNumberFormat="1" applyFont="1" applyFill="1" applyBorder="1"/>
    <xf numFmtId="3" fontId="8" fillId="3" borderId="1" xfId="0" applyNumberFormat="1" applyFont="1" applyFill="1" applyBorder="1"/>
    <xf numFmtId="10" fontId="9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/>
    <xf numFmtId="165" fontId="9" fillId="4" borderId="1" xfId="0" applyNumberFormat="1" applyFont="1" applyFill="1" applyBorder="1" applyAlignment="1">
      <alignment horizontal="center" vertical="center"/>
    </xf>
    <xf numFmtId="167" fontId="9" fillId="4" borderId="1" xfId="0" applyNumberFormat="1" applyFont="1" applyFill="1" applyBorder="1" applyAlignment="1">
      <alignment horizontal="center" vertical="center"/>
    </xf>
    <xf numFmtId="0" fontId="3" fillId="3" borderId="0" xfId="0" applyFont="1" applyFill="1"/>
    <xf numFmtId="10" fontId="14" fillId="3" borderId="1" xfId="0" applyNumberFormat="1" applyFont="1" applyFill="1" applyBorder="1" applyAlignment="1">
      <alignment horizontal="center" vertical="center"/>
    </xf>
    <xf numFmtId="0" fontId="14" fillId="3" borderId="0" xfId="0" applyFont="1" applyFill="1"/>
    <xf numFmtId="10" fontId="8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/>
    <xf numFmtId="3" fontId="9" fillId="4" borderId="1" xfId="0" applyNumberFormat="1" applyFont="1" applyFill="1" applyBorder="1" applyAlignment="1">
      <alignment horizontal="center" vertical="center"/>
    </xf>
    <xf numFmtId="165" fontId="9" fillId="4" borderId="1" xfId="0" applyNumberFormat="1" applyFont="1" applyFill="1" applyBorder="1"/>
    <xf numFmtId="168" fontId="8" fillId="3" borderId="1" xfId="0" applyNumberFormat="1" applyFont="1" applyFill="1" applyBorder="1" applyAlignment="1">
      <alignment horizontal="center" vertical="center"/>
    </xf>
    <xf numFmtId="4" fontId="8" fillId="3" borderId="1" xfId="0" applyNumberFormat="1" applyFont="1" applyFill="1" applyBorder="1" applyAlignment="1">
      <alignment horizontal="center" vertical="center"/>
    </xf>
    <xf numFmtId="167" fontId="8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3" fontId="14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6" fillId="3" borderId="1" xfId="0" applyFont="1" applyFill="1" applyBorder="1"/>
    <xf numFmtId="167" fontId="14" fillId="3" borderId="1" xfId="0" applyNumberFormat="1" applyFont="1" applyFill="1" applyBorder="1" applyAlignment="1">
      <alignment horizontal="center" vertical="center"/>
    </xf>
    <xf numFmtId="4" fontId="14" fillId="3" borderId="1" xfId="0" applyNumberFormat="1" applyFont="1" applyFill="1" applyBorder="1" applyAlignment="1">
      <alignment horizontal="center" vertical="center"/>
    </xf>
    <xf numFmtId="169" fontId="14" fillId="3" borderId="1" xfId="0" applyNumberFormat="1" applyFont="1" applyFill="1" applyBorder="1" applyAlignment="1">
      <alignment horizontal="center" vertical="center"/>
    </xf>
    <xf numFmtId="169" fontId="8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10" fontId="6" fillId="3" borderId="1" xfId="0" applyNumberFormat="1" applyFont="1" applyFill="1" applyBorder="1" applyAlignment="1">
      <alignment horizontal="center" vertical="center"/>
    </xf>
    <xf numFmtId="167" fontId="6" fillId="3" borderId="1" xfId="0" applyNumberFormat="1" applyFont="1" applyFill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11" fillId="3" borderId="0" xfId="0" applyFont="1" applyFill="1"/>
    <xf numFmtId="0" fontId="7" fillId="4" borderId="1" xfId="0" applyFont="1" applyFill="1" applyBorder="1"/>
    <xf numFmtId="3" fontId="4" fillId="3" borderId="1" xfId="0" applyNumberFormat="1" applyFont="1" applyFill="1" applyBorder="1" applyAlignment="1">
      <alignment horizontal="center" vertical="center"/>
    </xf>
    <xf numFmtId="0" fontId="18" fillId="3" borderId="0" xfId="0" applyFont="1" applyFill="1"/>
    <xf numFmtId="4" fontId="8" fillId="3" borderId="1" xfId="0" applyNumberFormat="1" applyFont="1" applyFill="1" applyBorder="1"/>
    <xf numFmtId="0" fontId="4" fillId="3" borderId="1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6" fillId="3" borderId="1" xfId="0" applyFont="1" applyFill="1" applyBorder="1"/>
    <xf numFmtId="169" fontId="9" fillId="4" borderId="1" xfId="0" applyNumberFormat="1" applyFont="1" applyFill="1" applyBorder="1" applyAlignment="1">
      <alignment horizontal="center" vertical="center"/>
    </xf>
    <xf numFmtId="170" fontId="8" fillId="3" borderId="1" xfId="0" applyNumberFormat="1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/>
    <xf numFmtId="171" fontId="8" fillId="3" borderId="1" xfId="0" applyNumberFormat="1" applyFont="1" applyFill="1" applyBorder="1" applyAlignment="1">
      <alignment horizontal="center" vertical="center"/>
    </xf>
    <xf numFmtId="171" fontId="9" fillId="4" borderId="1" xfId="0" applyNumberFormat="1" applyFont="1" applyFill="1" applyBorder="1" applyAlignment="1">
      <alignment horizontal="center" vertical="center"/>
    </xf>
    <xf numFmtId="172" fontId="8" fillId="3" borderId="1" xfId="0" applyNumberFormat="1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/>
    </xf>
    <xf numFmtId="2" fontId="7" fillId="3" borderId="1" xfId="0" applyNumberFormat="1" applyFont="1" applyFill="1" applyBorder="1" applyAlignment="1">
      <alignment horizontal="center"/>
    </xf>
    <xf numFmtId="0" fontId="19" fillId="4" borderId="9" xfId="0" applyFont="1" applyFill="1" applyBorder="1" applyAlignment="1">
      <alignment horizontal="center" vertical="center"/>
    </xf>
    <xf numFmtId="167" fontId="31" fillId="3" borderId="11" xfId="0" applyNumberFormat="1" applyFont="1" applyFill="1" applyBorder="1" applyAlignment="1">
      <alignment horizontal="center" vertical="center"/>
    </xf>
    <xf numFmtId="2" fontId="31" fillId="3" borderId="11" xfId="0" applyNumberFormat="1" applyFont="1" applyFill="1" applyBorder="1" applyAlignment="1">
      <alignment horizontal="center" vertical="center"/>
    </xf>
    <xf numFmtId="169" fontId="31" fillId="3" borderId="11" xfId="0" applyNumberFormat="1" applyFont="1" applyFill="1" applyBorder="1" applyAlignment="1">
      <alignment horizontal="center" vertical="center"/>
    </xf>
    <xf numFmtId="0" fontId="31" fillId="3" borderId="11" xfId="0" applyFont="1" applyFill="1" applyBorder="1" applyAlignment="1">
      <alignment horizontal="center" vertical="center"/>
    </xf>
    <xf numFmtId="0" fontId="33" fillId="6" borderId="0" xfId="0" applyFont="1" applyFill="1" applyAlignment="1">
      <alignment vertical="center"/>
    </xf>
    <xf numFmtId="164" fontId="33" fillId="6" borderId="3" xfId="0" applyNumberFormat="1" applyFont="1" applyFill="1" applyBorder="1" applyAlignment="1">
      <alignment horizontal="center" vertical="center"/>
    </xf>
    <xf numFmtId="0" fontId="35" fillId="7" borderId="0" xfId="0" applyFont="1" applyFill="1" applyAlignment="1">
      <alignment vertical="center" wrapText="1"/>
    </xf>
    <xf numFmtId="0" fontId="36" fillId="7" borderId="0" xfId="0" applyFont="1" applyFill="1" applyAlignment="1">
      <alignment vertical="center" wrapText="1"/>
    </xf>
    <xf numFmtId="0" fontId="37" fillId="8" borderId="0" xfId="0" applyFont="1" applyFill="1" applyAlignment="1">
      <alignment horizontal="center" vertical="center"/>
    </xf>
    <xf numFmtId="0" fontId="38" fillId="9" borderId="1" xfId="0" applyFont="1" applyFill="1" applyBorder="1" applyAlignment="1">
      <alignment horizontal="center" vertical="center" wrapText="1"/>
    </xf>
    <xf numFmtId="0" fontId="41" fillId="10" borderId="0" xfId="0" applyFont="1" applyFill="1" applyAlignment="1">
      <alignment horizontal="center" vertical="center"/>
    </xf>
    <xf numFmtId="0" fontId="41" fillId="10" borderId="1" xfId="0" applyFont="1" applyFill="1" applyBorder="1" applyAlignment="1">
      <alignment horizontal="center" vertical="center" wrapText="1"/>
    </xf>
    <xf numFmtId="164" fontId="33" fillId="11" borderId="3" xfId="0" applyNumberFormat="1" applyFont="1" applyFill="1" applyBorder="1" applyAlignment="1">
      <alignment horizontal="center" vertical="center"/>
    </xf>
    <xf numFmtId="173" fontId="33" fillId="11" borderId="3" xfId="0" applyNumberFormat="1" applyFont="1" applyFill="1" applyBorder="1" applyAlignment="1">
      <alignment horizontal="right" vertical="center"/>
    </xf>
    <xf numFmtId="173" fontId="40" fillId="10" borderId="3" xfId="0" applyNumberFormat="1" applyFont="1" applyFill="1" applyBorder="1" applyAlignment="1">
      <alignment horizontal="right" vertical="center"/>
    </xf>
    <xf numFmtId="9" fontId="37" fillId="8" borderId="0" xfId="0" applyNumberFormat="1" applyFont="1" applyFill="1" applyAlignment="1">
      <alignment horizontal="center" vertical="center"/>
    </xf>
    <xf numFmtId="0" fontId="39" fillId="12" borderId="1" xfId="0" applyFont="1" applyFill="1" applyBorder="1" applyAlignment="1">
      <alignment horizontal="center" vertical="center" wrapText="1"/>
    </xf>
    <xf numFmtId="0" fontId="42" fillId="13" borderId="1" xfId="0" applyFont="1" applyFill="1" applyBorder="1" applyAlignment="1">
      <alignment horizontal="center" vertical="center" wrapText="1"/>
    </xf>
    <xf numFmtId="174" fontId="40" fillId="14" borderId="3" xfId="0" applyNumberFormat="1" applyFont="1" applyFill="1" applyBorder="1" applyAlignment="1">
      <alignment horizontal="right" vertical="center"/>
    </xf>
    <xf numFmtId="174" fontId="42" fillId="15" borderId="3" xfId="0" applyNumberFormat="1" applyFont="1" applyFill="1" applyBorder="1" applyAlignment="1">
      <alignment horizontal="right" vertical="center"/>
    </xf>
    <xf numFmtId="174" fontId="33" fillId="6" borderId="3" xfId="0" applyNumberFormat="1" applyFont="1" applyFill="1" applyBorder="1" applyAlignment="1">
      <alignment horizontal="right" vertical="center"/>
    </xf>
    <xf numFmtId="0" fontId="41" fillId="8" borderId="0" xfId="0" applyFont="1" applyFill="1" applyAlignment="1">
      <alignment horizontal="center" vertical="center"/>
    </xf>
    <xf numFmtId="0" fontId="39" fillId="6" borderId="0" xfId="0" applyFont="1" applyFill="1" applyAlignment="1">
      <alignment horizontal="center" vertical="center"/>
    </xf>
    <xf numFmtId="9" fontId="43" fillId="16" borderId="0" xfId="0" applyNumberFormat="1" applyFont="1" applyFill="1" applyAlignment="1">
      <alignment horizontal="center" vertical="center"/>
    </xf>
    <xf numFmtId="1" fontId="43" fillId="16" borderId="0" xfId="0" applyNumberFormat="1" applyFont="1" applyFill="1" applyAlignment="1">
      <alignment horizontal="center" vertical="center"/>
    </xf>
    <xf numFmtId="0" fontId="43" fillId="16" borderId="0" xfId="0" applyFont="1" applyFill="1" applyAlignment="1">
      <alignment horizontal="center" vertical="center"/>
    </xf>
    <xf numFmtId="0" fontId="49" fillId="9" borderId="0" xfId="0" applyFont="1" applyFill="1" applyAlignment="1">
      <alignment horizontal="center" vertical="center" wrapText="1"/>
    </xf>
    <xf numFmtId="0" fontId="0" fillId="9" borderId="0" xfId="0" applyFill="1"/>
    <xf numFmtId="0" fontId="51" fillId="6" borderId="17" xfId="0" applyFont="1" applyFill="1" applyBorder="1"/>
    <xf numFmtId="0" fontId="3" fillId="3" borderId="0" xfId="0" applyFont="1" applyFill="1" applyAlignment="1">
      <alignment vertical="center" wrapText="1"/>
    </xf>
    <xf numFmtId="0" fontId="48" fillId="0" borderId="0" xfId="0" applyFont="1" applyAlignment="1">
      <alignment horizontal="left" vertical="center" wrapText="1"/>
    </xf>
    <xf numFmtId="0" fontId="48" fillId="0" borderId="0" xfId="0" applyFont="1" applyAlignment="1">
      <alignment horizontal="center" vertical="center"/>
    </xf>
    <xf numFmtId="0" fontId="0" fillId="17" borderId="0" xfId="0" applyFill="1"/>
    <xf numFmtId="0" fontId="53" fillId="0" borderId="0" xfId="0" applyFont="1" applyAlignment="1">
      <alignment horizontal="left" vertical="center" wrapText="1"/>
    </xf>
    <xf numFmtId="0" fontId="54" fillId="0" borderId="0" xfId="0" applyFont="1"/>
    <xf numFmtId="14" fontId="0" fillId="17" borderId="0" xfId="0" applyNumberFormat="1" applyFill="1"/>
    <xf numFmtId="2" fontId="0" fillId="17" borderId="0" xfId="0" applyNumberFormat="1" applyFill="1"/>
    <xf numFmtId="164" fontId="33" fillId="17" borderId="3" xfId="0" applyNumberFormat="1" applyFont="1" applyFill="1" applyBorder="1" applyAlignment="1">
      <alignment horizontal="center" vertical="center"/>
    </xf>
    <xf numFmtId="0" fontId="33" fillId="17" borderId="0" xfId="0" applyFont="1" applyFill="1" applyAlignment="1">
      <alignment vertical="center"/>
    </xf>
    <xf numFmtId="171" fontId="55" fillId="3" borderId="1" xfId="0" applyNumberFormat="1" applyFont="1" applyFill="1" applyBorder="1" applyAlignment="1">
      <alignment horizontal="center"/>
    </xf>
    <xf numFmtId="2" fontId="56" fillId="3" borderId="1" xfId="0" applyNumberFormat="1" applyFont="1" applyFill="1" applyBorder="1" applyAlignment="1">
      <alignment horizontal="center"/>
    </xf>
    <xf numFmtId="0" fontId="7" fillId="4" borderId="0" xfId="0" applyFont="1" applyFill="1" applyAlignment="1">
      <alignment horizontal="center" vertical="center" wrapText="1"/>
    </xf>
    <xf numFmtId="0" fontId="60" fillId="0" borderId="0" xfId="0" applyFont="1"/>
    <xf numFmtId="0" fontId="61" fillId="0" borderId="0" xfId="0" applyFont="1"/>
    <xf numFmtId="0" fontId="65" fillId="3" borderId="0" xfId="0" applyFont="1" applyFill="1"/>
    <xf numFmtId="0" fontId="52" fillId="17" borderId="20" xfId="0" applyFont="1" applyFill="1" applyBorder="1"/>
    <xf numFmtId="0" fontId="66" fillId="6" borderId="20" xfId="0" applyFont="1" applyFill="1" applyBorder="1"/>
    <xf numFmtId="0" fontId="9" fillId="4" borderId="2" xfId="0" applyFont="1" applyFill="1" applyBorder="1"/>
    <xf numFmtId="0" fontId="0" fillId="20" borderId="0" xfId="0" applyFill="1"/>
    <xf numFmtId="0" fontId="9" fillId="4" borderId="12" xfId="0" applyFont="1" applyFill="1" applyBorder="1"/>
    <xf numFmtId="0" fontId="9" fillId="4" borderId="13" xfId="0" applyFont="1" applyFill="1" applyBorder="1"/>
    <xf numFmtId="10" fontId="8" fillId="3" borderId="1" xfId="0" applyNumberFormat="1" applyFont="1" applyFill="1" applyBorder="1" applyAlignment="1">
      <alignment horizontal="center" vertical="center" wrapText="1"/>
    </xf>
    <xf numFmtId="0" fontId="0" fillId="3" borderId="25" xfId="0" applyFill="1" applyBorder="1"/>
    <xf numFmtId="0" fontId="0" fillId="0" borderId="26" xfId="0" applyBorder="1"/>
    <xf numFmtId="164" fontId="33" fillId="6" borderId="27" xfId="0" applyNumberFormat="1" applyFont="1" applyFill="1" applyBorder="1" applyAlignment="1">
      <alignment horizontal="center" vertical="center"/>
    </xf>
    <xf numFmtId="174" fontId="33" fillId="6" borderId="27" xfId="0" applyNumberFormat="1" applyFont="1" applyFill="1" applyBorder="1" applyAlignment="1">
      <alignment horizontal="right" vertical="center"/>
    </xf>
    <xf numFmtId="174" fontId="40" fillId="14" borderId="27" xfId="0" applyNumberFormat="1" applyFont="1" applyFill="1" applyBorder="1" applyAlignment="1">
      <alignment horizontal="right" vertical="center"/>
    </xf>
    <xf numFmtId="174" fontId="42" fillId="15" borderId="27" xfId="0" applyNumberFormat="1" applyFont="1" applyFill="1" applyBorder="1" applyAlignment="1">
      <alignment horizontal="right" vertical="center"/>
    </xf>
    <xf numFmtId="4" fontId="0" fillId="0" borderId="0" xfId="0" applyNumberFormat="1"/>
    <xf numFmtId="167" fontId="0" fillId="0" borderId="0" xfId="0" applyNumberFormat="1"/>
    <xf numFmtId="169" fontId="26" fillId="5" borderId="5" xfId="0" applyNumberFormat="1" applyFont="1" applyFill="1" applyBorder="1" applyAlignment="1">
      <alignment horizontal="center" vertical="center"/>
    </xf>
    <xf numFmtId="0" fontId="0" fillId="0" borderId="0" xfId="0"/>
    <xf numFmtId="0" fontId="0" fillId="0" borderId="11" xfId="0" applyBorder="1"/>
    <xf numFmtId="2" fontId="16" fillId="3" borderId="0" xfId="0" applyNumberFormat="1" applyFont="1" applyFill="1" applyAlignment="1">
      <alignment horizontal="center" vertical="center"/>
    </xf>
    <xf numFmtId="167" fontId="16" fillId="3" borderId="0" xfId="0" applyNumberFormat="1" applyFont="1" applyFill="1" applyAlignment="1">
      <alignment horizontal="center" vertical="center"/>
    </xf>
    <xf numFmtId="0" fontId="29" fillId="5" borderId="0" xfId="0" applyFont="1" applyFill="1" applyAlignment="1">
      <alignment horizontal="left" vertical="center"/>
    </xf>
    <xf numFmtId="0" fontId="44" fillId="5" borderId="4" xfId="0" applyFont="1" applyFill="1" applyBorder="1" applyAlignment="1">
      <alignment horizontal="left" vertical="top" wrapText="1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167" fontId="24" fillId="5" borderId="5" xfId="0" applyNumberFormat="1" applyFont="1" applyFill="1" applyBorder="1" applyAlignment="1">
      <alignment horizontal="center" vertical="center"/>
    </xf>
    <xf numFmtId="0" fontId="27" fillId="5" borderId="5" xfId="0" applyFont="1" applyFill="1" applyBorder="1" applyAlignment="1">
      <alignment horizontal="center" vertical="center"/>
    </xf>
    <xf numFmtId="0" fontId="69" fillId="20" borderId="0" xfId="0" applyFont="1" applyFill="1" applyAlignment="1">
      <alignment horizontal="center" wrapText="1"/>
    </xf>
    <xf numFmtId="0" fontId="23" fillId="5" borderId="4" xfId="0" applyFont="1" applyFill="1" applyBorder="1" applyAlignment="1">
      <alignment horizontal="center" vertical="center"/>
    </xf>
    <xf numFmtId="0" fontId="31" fillId="3" borderId="10" xfId="0" applyFont="1" applyFill="1" applyBorder="1"/>
    <xf numFmtId="0" fontId="44" fillId="5" borderId="5" xfId="0" applyFont="1" applyFill="1" applyBorder="1" applyAlignment="1">
      <alignment horizontal="left" vertical="top" wrapText="1"/>
    </xf>
    <xf numFmtId="0" fontId="19" fillId="4" borderId="7" xfId="0" applyFont="1" applyFill="1" applyBorder="1" applyAlignment="1">
      <alignment horizontal="center" vertical="center"/>
    </xf>
    <xf numFmtId="0" fontId="29" fillId="5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69" fontId="32" fillId="3" borderId="0" xfId="0" applyNumberFormat="1" applyFont="1" applyFill="1" applyAlignment="1">
      <alignment horizontal="center" vertical="center"/>
    </xf>
    <xf numFmtId="169" fontId="16" fillId="3" borderId="0" xfId="0" applyNumberFormat="1" applyFont="1" applyFill="1" applyAlignment="1">
      <alignment horizontal="center" vertical="center"/>
    </xf>
    <xf numFmtId="0" fontId="19" fillId="4" borderId="8" xfId="0" applyFont="1" applyFill="1" applyBorder="1" applyAlignment="1">
      <alignment horizontal="center" vertical="center"/>
    </xf>
    <xf numFmtId="167" fontId="32" fillId="3" borderId="0" xfId="0" applyNumberFormat="1" applyFont="1" applyFill="1" applyAlignment="1">
      <alignment horizontal="center" vertical="center"/>
    </xf>
    <xf numFmtId="0" fontId="20" fillId="2" borderId="0" xfId="0" applyFont="1" applyFill="1" applyAlignment="1">
      <alignment horizontal="left" vertical="center"/>
    </xf>
    <xf numFmtId="0" fontId="28" fillId="5" borderId="6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16" xfId="0" applyBorder="1"/>
    <xf numFmtId="2" fontId="24" fillId="5" borderId="5" xfId="0" applyNumberFormat="1" applyFont="1" applyFill="1" applyBorder="1" applyAlignment="1">
      <alignment horizontal="center" vertical="center"/>
    </xf>
    <xf numFmtId="0" fontId="22" fillId="3" borderId="0" xfId="0" applyFont="1" applyFill="1" applyAlignment="1">
      <alignment horizontal="left" vertical="center"/>
    </xf>
    <xf numFmtId="167" fontId="25" fillId="5" borderId="5" xfId="0" applyNumberFormat="1" applyFont="1" applyFill="1" applyBorder="1" applyAlignment="1">
      <alignment horizontal="center" vertical="center"/>
    </xf>
    <xf numFmtId="0" fontId="28" fillId="3" borderId="0" xfId="0" applyFont="1" applyFill="1"/>
    <xf numFmtId="2" fontId="25" fillId="5" borderId="5" xfId="0" applyNumberFormat="1" applyFont="1" applyFill="1" applyBorder="1" applyAlignment="1">
      <alignment horizontal="center" vertical="center"/>
    </xf>
    <xf numFmtId="0" fontId="21" fillId="4" borderId="0" xfId="0" applyFont="1" applyFill="1" applyAlignment="1">
      <alignment horizontal="left" vertical="center"/>
    </xf>
    <xf numFmtId="2" fontId="32" fillId="3" borderId="0" xfId="0" applyNumberFormat="1" applyFont="1" applyFill="1" applyAlignment="1">
      <alignment horizontal="center" vertical="center"/>
    </xf>
    <xf numFmtId="0" fontId="44" fillId="5" borderId="6" xfId="0" applyFont="1" applyFill="1" applyBorder="1" applyAlignment="1">
      <alignment horizontal="left" vertical="top" wrapText="1"/>
    </xf>
    <xf numFmtId="0" fontId="0" fillId="0" borderId="14" xfId="0" applyBorder="1"/>
    <xf numFmtId="0" fontId="11" fillId="3" borderId="6" xfId="0" applyFont="1" applyFill="1" applyBorder="1" applyAlignment="1">
      <alignment vertical="center" wrapText="1"/>
    </xf>
    <xf numFmtId="0" fontId="1" fillId="2" borderId="0" xfId="0" applyFont="1" applyFill="1" applyAlignment="1">
      <alignment horizontal="left" vertical="center"/>
    </xf>
    <xf numFmtId="10" fontId="6" fillId="3" borderId="2" xfId="0" applyNumberFormat="1" applyFont="1" applyFill="1" applyBorder="1" applyAlignment="1">
      <alignment horizontal="center" vertical="center"/>
    </xf>
    <xf numFmtId="0" fontId="0" fillId="0" borderId="12" xfId="0" applyBorder="1"/>
    <xf numFmtId="0" fontId="4" fillId="3" borderId="2" xfId="0" applyFont="1" applyFill="1" applyBorder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3" fillId="2" borderId="0" xfId="0" applyFont="1" applyFill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0" fontId="3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0" fillId="0" borderId="13" xfId="0" applyBorder="1"/>
    <xf numFmtId="0" fontId="5" fillId="3" borderId="2" xfId="0" applyFont="1" applyFill="1" applyBorder="1" applyAlignment="1">
      <alignment horizontal="left" vertical="center"/>
    </xf>
    <xf numFmtId="10" fontId="9" fillId="4" borderId="2" xfId="0" applyNumberFormat="1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vertical="center" wrapText="1"/>
    </xf>
    <xf numFmtId="0" fontId="10" fillId="3" borderId="2" xfId="0" applyFont="1" applyFill="1" applyBorder="1" applyAlignment="1">
      <alignment horizontal="center"/>
    </xf>
    <xf numFmtId="0" fontId="10" fillId="3" borderId="12" xfId="0" applyFont="1" applyFill="1" applyBorder="1" applyAlignment="1">
      <alignment horizontal="center"/>
    </xf>
    <xf numFmtId="0" fontId="2" fillId="4" borderId="0" xfId="0" applyFont="1" applyFill="1" applyAlignment="1">
      <alignment horizontal="left" vertical="center"/>
    </xf>
    <xf numFmtId="10" fontId="6" fillId="3" borderId="2" xfId="0" applyNumberFormat="1" applyFont="1" applyFill="1" applyBorder="1" applyAlignment="1">
      <alignment horizontal="left" vertical="center"/>
    </xf>
    <xf numFmtId="0" fontId="9" fillId="4" borderId="2" xfId="0" applyFont="1" applyFill="1" applyBorder="1"/>
    <xf numFmtId="0" fontId="67" fillId="2" borderId="22" xfId="0" applyFont="1" applyFill="1" applyBorder="1" applyAlignment="1">
      <alignment horizontal="left" vertical="center"/>
    </xf>
    <xf numFmtId="0" fontId="3" fillId="2" borderId="22" xfId="0" applyFont="1" applyFill="1" applyBorder="1" applyAlignment="1">
      <alignment horizontal="left" vertical="center"/>
    </xf>
    <xf numFmtId="0" fontId="4" fillId="3" borderId="2" xfId="0" applyFont="1" applyFill="1" applyBorder="1"/>
    <xf numFmtId="0" fontId="11" fillId="3" borderId="0" xfId="0" applyFont="1" applyFill="1" applyAlignment="1">
      <alignment horizontal="left" vertical="center"/>
    </xf>
    <xf numFmtId="0" fontId="14" fillId="3" borderId="2" xfId="0" applyFont="1" applyFill="1" applyBorder="1" applyAlignment="1">
      <alignment horizontal="center" vertical="center"/>
    </xf>
    <xf numFmtId="0" fontId="12" fillId="2" borderId="0" xfId="0" applyFont="1" applyFill="1" applyAlignment="1">
      <alignment horizontal="left" vertical="center"/>
    </xf>
    <xf numFmtId="0" fontId="14" fillId="3" borderId="23" xfId="0" applyFont="1" applyFill="1" applyBorder="1" applyAlignment="1">
      <alignment horizontal="center" vertical="center" wrapText="1"/>
    </xf>
    <xf numFmtId="0" fontId="0" fillId="0" borderId="24" xfId="0" applyBorder="1" applyAlignment="1">
      <alignment wrapText="1"/>
    </xf>
    <xf numFmtId="0" fontId="14" fillId="3" borderId="26" xfId="0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34" fillId="7" borderId="0" xfId="0" applyFont="1" applyFill="1" applyAlignment="1">
      <alignment horizontal="left" vertical="center"/>
    </xf>
    <xf numFmtId="0" fontId="58" fillId="0" borderId="0" xfId="0" applyFont="1"/>
    <xf numFmtId="0" fontId="59" fillId="0" borderId="0" xfId="0" applyFont="1"/>
    <xf numFmtId="0" fontId="35" fillId="7" borderId="0" xfId="0" applyFont="1" applyFill="1" applyAlignment="1">
      <alignment horizontal="left" vertical="center" wrapText="1"/>
    </xf>
    <xf numFmtId="0" fontId="49" fillId="9" borderId="0" xfId="0" applyFont="1" applyFill="1" applyAlignment="1">
      <alignment horizontal="center" vertical="center" wrapText="1"/>
    </xf>
    <xf numFmtId="0" fontId="54" fillId="0" borderId="19" xfId="0" applyFont="1" applyBorder="1" applyAlignment="1">
      <alignment horizontal="left" vertical="center" wrapText="1"/>
    </xf>
    <xf numFmtId="0" fontId="48" fillId="0" borderId="0" xfId="0" applyFont="1" applyAlignment="1">
      <alignment horizontal="left" vertical="center" wrapText="1"/>
    </xf>
    <xf numFmtId="0" fontId="53" fillId="0" borderId="0" xfId="0" applyFont="1" applyAlignment="1">
      <alignment horizontal="left" vertical="center" wrapText="1"/>
    </xf>
    <xf numFmtId="0" fontId="47" fillId="7" borderId="0" xfId="0" applyFont="1" applyFill="1" applyAlignment="1">
      <alignment horizontal="left" vertical="center" wrapText="1"/>
    </xf>
    <xf numFmtId="0" fontId="45" fillId="7" borderId="0" xfId="0" applyFont="1" applyFill="1" applyAlignment="1">
      <alignment horizontal="left" vertical="center" wrapText="1"/>
    </xf>
    <xf numFmtId="0" fontId="50" fillId="6" borderId="17" xfId="0" applyFont="1" applyFill="1" applyBorder="1" applyAlignment="1">
      <alignment horizontal="center" vertical="center" wrapText="1"/>
    </xf>
    <xf numFmtId="0" fontId="0" fillId="0" borderId="18" xfId="0" applyBorder="1"/>
    <xf numFmtId="0" fontId="46" fillId="7" borderId="0" xfId="0" applyFont="1" applyFill="1" applyAlignment="1">
      <alignment horizontal="left" vertical="center" wrapText="1"/>
    </xf>
    <xf numFmtId="0" fontId="49" fillId="9" borderId="21" xfId="0" applyFont="1" applyFill="1" applyBorder="1" applyAlignment="1">
      <alignment horizontal="center" vertical="center" wrapText="1"/>
    </xf>
    <xf numFmtId="0" fontId="0" fillId="0" borderId="26" xfId="0" applyBorder="1"/>
    <xf numFmtId="0" fontId="8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11" fillId="3" borderId="1" xfId="0" applyFont="1" applyFill="1" applyBorder="1" applyAlignment="1">
      <alignment vertical="center" wrapText="1"/>
    </xf>
    <xf numFmtId="0" fontId="11" fillId="3" borderId="1" xfId="0" applyFont="1" applyFill="1" applyBorder="1" applyAlignment="1">
      <alignment horizontal="left" vertical="center"/>
    </xf>
    <xf numFmtId="0" fontId="64" fillId="18" borderId="2" xfId="0" applyFont="1" applyFill="1" applyBorder="1" applyAlignment="1">
      <alignment horizontal="center" vertical="center"/>
    </xf>
    <xf numFmtId="0" fontId="57" fillId="18" borderId="12" xfId="0" applyFont="1" applyFill="1" applyBorder="1"/>
    <xf numFmtId="0" fontId="62" fillId="19" borderId="2" xfId="0" applyFont="1" applyFill="1" applyBorder="1" applyAlignment="1">
      <alignment horizontal="center" vertical="center"/>
    </xf>
    <xf numFmtId="0" fontId="63" fillId="19" borderId="12" xfId="0" applyFont="1" applyFill="1" applyBorder="1"/>
    <xf numFmtId="0" fontId="14" fillId="3" borderId="2" xfId="0" applyFont="1" applyFill="1" applyBorder="1" applyAlignment="1">
      <alignment horizontal="center" vertical="center" wrapText="1"/>
    </xf>
  </cellXfs>
  <cellStyles count="7">
    <cellStyle name="Comma" xfId="1" xr:uid="{00000000-0005-0000-0000-000001000000}"/>
    <cellStyle name="Comma [0]" xfId="2" xr:uid="{00000000-0005-0000-0000-000002000000}"/>
    <cellStyle name="Currency" xfId="3" xr:uid="{00000000-0005-0000-0000-000003000000}"/>
    <cellStyle name="Currency [0]" xfId="4" xr:uid="{00000000-0005-0000-0000-000004000000}"/>
    <cellStyle name="Normal" xfId="0" builtinId="0"/>
    <cellStyle name="Percent" xfId="5" xr:uid="{00000000-0005-0000-0000-000005000000}"/>
    <cellStyle name="Style 1" xfId="6" xr:uid="{E950D79B-422D-42CE-B429-9487BB486B67}"/>
  </cellStyles>
  <dxfs count="21">
    <dxf>
      <font>
        <b/>
        <sz val="19"/>
        <color rgb="FFFB7185"/>
        <name val="Arial"/>
      </font>
    </dxf>
    <dxf>
      <font>
        <b/>
        <sz val="19"/>
        <color rgb="FF34D399"/>
        <name val="Arial"/>
      </font>
    </dxf>
    <dxf>
      <font>
        <b/>
        <sz val="19"/>
        <color rgb="FFFB7185"/>
        <name val="Arial"/>
      </font>
    </dxf>
    <dxf>
      <font>
        <b/>
        <sz val="19"/>
        <color rgb="FF34D399"/>
        <name val="Arial"/>
      </font>
    </dxf>
    <dxf>
      <font>
        <b/>
        <sz val="8"/>
        <color rgb="FFFB7185"/>
        <name val="Arial"/>
      </font>
    </dxf>
    <dxf>
      <font>
        <b/>
        <sz val="8"/>
        <color rgb="FF34D399"/>
        <name val="Arial"/>
      </font>
    </dxf>
    <dxf>
      <font>
        <b/>
        <sz val="8"/>
        <color rgb="FFFB7185"/>
        <name val="Arial"/>
      </font>
    </dxf>
    <dxf>
      <font>
        <b/>
        <sz val="8"/>
        <color rgb="FF34D399"/>
        <name val="Arial"/>
      </font>
    </dxf>
    <dxf>
      <font>
        <b/>
        <sz val="19"/>
        <color rgb="FFFB7185"/>
        <name val="Arial"/>
      </font>
    </dxf>
    <dxf>
      <font>
        <b/>
        <sz val="19"/>
        <color rgb="FF34D399"/>
        <name val="Arial"/>
      </font>
    </dxf>
    <dxf>
      <font>
        <b/>
        <sz val="19"/>
        <color rgb="FFFB7185"/>
        <name val="Arial"/>
      </font>
    </dxf>
    <dxf>
      <font>
        <b/>
        <sz val="19"/>
        <color rgb="FF34D399"/>
        <name val="Arial"/>
      </font>
    </dxf>
    <dxf>
      <font>
        <b/>
        <sz val="10"/>
        <color rgb="FFFCA5A5"/>
        <name val="Arial"/>
      </font>
      <fill>
        <patternFill>
          <bgColor rgb="FF4C1D1D"/>
        </patternFill>
      </fill>
    </dxf>
    <dxf>
      <font>
        <b/>
        <sz val="10"/>
        <color rgb="FF6EE7B7"/>
        <name val="Arial"/>
      </font>
      <fill>
        <patternFill>
          <bgColor rgb="FF123626"/>
        </patternFill>
      </fill>
    </dxf>
    <dxf>
      <font>
        <b/>
        <sz val="10"/>
        <color rgb="FFFCA5A5"/>
        <name val="Arial"/>
      </font>
      <fill>
        <patternFill>
          <bgColor rgb="FF4C1D1D"/>
        </patternFill>
      </fill>
    </dxf>
    <dxf>
      <font>
        <b/>
        <sz val="10"/>
        <color rgb="FF6EE7B7"/>
        <name val="Arial"/>
      </font>
      <fill>
        <patternFill>
          <bgColor rgb="FF123626"/>
        </patternFill>
      </fill>
    </dxf>
    <dxf>
      <font>
        <b/>
        <sz val="10"/>
        <color rgb="FF6EE7B7"/>
        <name val="Arial"/>
      </font>
      <fill>
        <patternFill>
          <bgColor rgb="FF123626"/>
        </patternFill>
      </fill>
    </dxf>
    <dxf>
      <numFmt numFmtId="2" formatCode="0.00"/>
      <fill>
        <patternFill patternType="solid">
          <fgColor indexed="64"/>
          <bgColor theme="0"/>
        </patternFill>
      </fill>
    </dxf>
    <dxf>
      <numFmt numFmtId="19" formatCode="m/d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family val="2"/>
        <scheme val="none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34D399"/>
      <rgbColor rgb="FF111D33"/>
      <rgbColor rgb="FF008000"/>
      <rgbColor rgb="FF04121F"/>
      <rgbColor rgb="FF808000"/>
      <rgbColor rgb="FF050A14"/>
      <rgbColor rgb="FF38BDF8"/>
      <rgbColor rgb="FFBFBFBF"/>
      <rgbColor rgb="FF808080"/>
      <rgbColor rgb="FF8FA0BE"/>
      <rgbColor rgb="FF595959"/>
      <rgbColor rgb="FFEDF2FA"/>
      <rgbColor rgb="FFE7ECF5"/>
      <rgbColor rgb="FF16233F"/>
      <rgbColor rgb="FFFF8A65"/>
      <rgbColor rgb="FF3A5580"/>
      <rgbColor rgb="FFC7D2E8"/>
      <rgbColor rgb="FF0A1220"/>
      <rgbColor rgb="FFFF00FF"/>
      <rgbColor rgb="FFFFFF00"/>
      <rgbColor rgb="FF5EEAD4"/>
      <rgbColor rgb="FF800080"/>
      <rgbColor rgb="FF17253F"/>
      <rgbColor rgb="FF60A5FA"/>
      <rgbColor rgb="FF0000FF"/>
      <rgbColor rgb="FF22D3EE"/>
      <rgbColor rgb="FFCCFFFF"/>
      <rgbColor rgb="FF6EE7B7"/>
      <rgbColor rgb="FFFFFF99"/>
      <rgbColor rgb="FFA9B6D0"/>
      <rgbColor rgb="FFFCA5A5"/>
      <rgbColor rgb="FFC084FC"/>
      <rgbColor rgb="FFFFCC99"/>
      <rgbColor rgb="FF4A7EBB"/>
      <rgbColor rgb="FF2DD4BF"/>
      <rgbColor rgb="FF99CC00"/>
      <rgbColor rgb="FFFBBF24"/>
      <rgbColor rgb="FFFF9900"/>
      <rgbColor rgb="FFFB7185"/>
      <rgbColor rgb="FF64748B"/>
      <rgbColor rgb="FF94A3B8"/>
      <rgbColor rgb="FF1C3159"/>
      <rgbColor rgb="FF4F81BD"/>
      <rgbColor rgb="FF123626"/>
      <rgbColor rgb="FF4C1D1D"/>
      <rgbColor rgb="FF993300"/>
      <rgbColor rgb="FF993366"/>
      <rgbColor rgb="FF41527A"/>
      <rgbColor rgb="FF2A3B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eetMetadata" Target="metadata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06/relationships/rdArray" Target="richData/rdarray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5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SupportingPropertyBag" Target="richData/rdsupportingpropertybag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microsoft.com/office/2017/06/relationships/rdSupportingPropertyBagStructure" Target="richData/rdsupportingpropertybagstructure.xml"/><Relationship Id="rId10" Type="http://schemas.openxmlformats.org/officeDocument/2006/relationships/worksheet" Target="worksheets/sheet10.xml"/><Relationship Id="rId19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microsoft.com/office/2017/06/relationships/richStyles" Target="richData/richStyles.xml"/><Relationship Id="rId27" Type="http://schemas.openxmlformats.org/officeDocument/2006/relationships/customXml" Target="../customXml/item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en-US" sz="1400" b="1">
                <a:solidFill>
                  <a:srgbClr val="E7ECF5"/>
                </a:solidFill>
                <a:latin typeface="Arial"/>
                <a:ea typeface="Arial"/>
                <a:cs typeface="Arial"/>
              </a:rPr>
              <a:t>7
HOLDINGS</a:t>
            </a:r>
          </a:p>
        </c:rich>
      </c:tx>
      <c:layout>
        <c:manualLayout>
          <c:xMode val="edge"/>
          <c:yMode val="edge"/>
          <c:x val="0.48312865148444029"/>
          <c:y val="8.6868442292171083E-2"/>
        </c:manualLayout>
      </c:layout>
      <c:overlay val="1"/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  <a:prstDash val="solid"/>
            </a:ln>
          </c:spPr>
          <c:dPt>
            <c:idx val="0"/>
            <c:bubble3D val="0"/>
            <c:spPr>
              <a:solidFill>
                <a:srgbClr val="22D3EE"/>
              </a:solidFill>
              <a:ln w="19080">
                <a:solidFill>
                  <a:srgbClr val="17253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212-478B-839B-4482203C0C5C}"/>
              </c:ext>
            </c:extLst>
          </c:dPt>
          <c:dPt>
            <c:idx val="1"/>
            <c:bubble3D val="0"/>
            <c:spPr>
              <a:solidFill>
                <a:srgbClr val="FF8A65"/>
              </a:solidFill>
              <a:ln w="19080">
                <a:solidFill>
                  <a:srgbClr val="17253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212-478B-839B-4482203C0C5C}"/>
              </c:ext>
            </c:extLst>
          </c:dPt>
          <c:dPt>
            <c:idx val="2"/>
            <c:bubble3D val="0"/>
            <c:spPr>
              <a:solidFill>
                <a:srgbClr val="34D399"/>
              </a:solidFill>
              <a:ln w="19080">
                <a:solidFill>
                  <a:srgbClr val="17253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212-478B-839B-4482203C0C5C}"/>
              </c:ext>
            </c:extLst>
          </c:dPt>
          <c:dPt>
            <c:idx val="3"/>
            <c:bubble3D val="0"/>
            <c:spPr>
              <a:solidFill>
                <a:srgbClr val="C084FC"/>
              </a:solidFill>
              <a:ln w="19080">
                <a:solidFill>
                  <a:srgbClr val="17253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212-478B-839B-4482203C0C5C}"/>
              </c:ext>
            </c:extLst>
          </c:dPt>
          <c:dPt>
            <c:idx val="4"/>
            <c:bubble3D val="0"/>
            <c:spPr>
              <a:solidFill>
                <a:srgbClr val="FBBF24"/>
              </a:solidFill>
              <a:ln w="19080">
                <a:solidFill>
                  <a:srgbClr val="17253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8212-478B-839B-4482203C0C5C}"/>
              </c:ext>
            </c:extLst>
          </c:dPt>
          <c:dPt>
            <c:idx val="5"/>
            <c:bubble3D val="0"/>
            <c:spPr>
              <a:solidFill>
                <a:srgbClr val="5EEAD4"/>
              </a:solidFill>
              <a:ln w="19080">
                <a:solidFill>
                  <a:srgbClr val="17253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8212-478B-839B-4482203C0C5C}"/>
              </c:ext>
            </c:extLst>
          </c:dPt>
          <c:dPt>
            <c:idx val="6"/>
            <c:bubble3D val="0"/>
            <c:spPr>
              <a:solidFill>
                <a:srgbClr val="94A3B8"/>
              </a:solidFill>
              <a:ln w="19080">
                <a:solidFill>
                  <a:srgbClr val="17253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8212-478B-839B-4482203C0C5C}"/>
              </c:ext>
            </c:extLst>
          </c:dPt>
          <c:dLbls>
            <c:dLbl>
              <c:idx val="0"/>
              <c:spPr>
                <a:ln>
                  <a:prstDash val="solid"/>
                </a:ln>
              </c:spPr>
              <c:txPr>
                <a:bodyPr anchorCtr="1"/>
                <a:lstStyle/>
                <a:p>
                  <a:pPr>
                    <a:defRPr sz="1000" b="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8212-478B-839B-4482203C0C5C}"/>
                </c:ext>
              </c:extLst>
            </c:dLbl>
            <c:dLbl>
              <c:idx val="1"/>
              <c:spPr>
                <a:ln>
                  <a:prstDash val="solid"/>
                </a:ln>
              </c:spPr>
              <c:txPr>
                <a:bodyPr anchorCtr="1"/>
                <a:lstStyle/>
                <a:p>
                  <a:pPr>
                    <a:defRPr sz="1000" b="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8212-478B-839B-4482203C0C5C}"/>
                </c:ext>
              </c:extLst>
            </c:dLbl>
            <c:dLbl>
              <c:idx val="2"/>
              <c:spPr>
                <a:ln>
                  <a:prstDash val="solid"/>
                </a:ln>
              </c:spPr>
              <c:txPr>
                <a:bodyPr anchorCtr="1"/>
                <a:lstStyle/>
                <a:p>
                  <a:pPr>
                    <a:defRPr sz="1000" b="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8212-478B-839B-4482203C0C5C}"/>
                </c:ext>
              </c:extLst>
            </c:dLbl>
            <c:dLbl>
              <c:idx val="3"/>
              <c:spPr>
                <a:ln>
                  <a:prstDash val="solid"/>
                </a:ln>
              </c:spPr>
              <c:txPr>
                <a:bodyPr anchorCtr="1"/>
                <a:lstStyle/>
                <a:p>
                  <a:pPr>
                    <a:defRPr sz="1000" b="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8212-478B-839B-4482203C0C5C}"/>
                </c:ext>
              </c:extLst>
            </c:dLbl>
            <c:dLbl>
              <c:idx val="4"/>
              <c:spPr>
                <a:ln>
                  <a:prstDash val="solid"/>
                </a:ln>
              </c:spPr>
              <c:txPr>
                <a:bodyPr anchorCtr="1"/>
                <a:lstStyle/>
                <a:p>
                  <a:pPr>
                    <a:defRPr sz="1000" b="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9-8212-478B-839B-4482203C0C5C}"/>
                </c:ext>
              </c:extLst>
            </c:dLbl>
            <c:dLbl>
              <c:idx val="5"/>
              <c:spPr>
                <a:ln>
                  <a:prstDash val="solid"/>
                </a:ln>
              </c:spPr>
              <c:txPr>
                <a:bodyPr anchorCtr="1"/>
                <a:lstStyle/>
                <a:p>
                  <a:pPr>
                    <a:defRPr sz="1000" b="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B-8212-478B-839B-4482203C0C5C}"/>
                </c:ext>
              </c:extLst>
            </c:dLbl>
            <c:dLbl>
              <c:idx val="6"/>
              <c:spPr>
                <a:ln>
                  <a:prstDash val="solid"/>
                </a:ln>
              </c:spPr>
              <c:txPr>
                <a:bodyPr anchorCtr="1"/>
                <a:lstStyle/>
                <a:p>
                  <a:pPr>
                    <a:defRPr sz="1000" b="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D-8212-478B-839B-4482203C0C5C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anchorCtr="1"/>
              <a:lstStyle/>
              <a:p>
                <a:pPr>
                  <a:defRPr sz="1000" b="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Holdings!$C$7:$C$13</c:f>
              <c:strCache>
                <c:ptCount val="7"/>
                <c:pt idx="0">
                  <c:v>Reliance Industries</c:v>
                </c:pt>
                <c:pt idx="1">
                  <c:v>Bharti Airtel</c:v>
                </c:pt>
                <c:pt idx="2">
                  <c:v>HDFC Bank</c:v>
                </c:pt>
                <c:pt idx="3">
                  <c:v>Larsen &amp; Toubro</c:v>
                </c:pt>
                <c:pt idx="4">
                  <c:v>Cipla</c:v>
                </c:pt>
                <c:pt idx="5">
                  <c:v>Maruti Suzuki</c:v>
                </c:pt>
                <c:pt idx="6">
                  <c:v>HCL Technologies</c:v>
                </c:pt>
              </c:strCache>
            </c:strRef>
          </c:cat>
          <c:val>
            <c:numRef>
              <c:f>Holdings!$E$7:$E$13</c:f>
              <c:numCache>
                <c:formatCode>0.00%</c:formatCode>
                <c:ptCount val="7"/>
                <c:pt idx="0">
                  <c:v>0.23</c:v>
                </c:pt>
                <c:pt idx="1">
                  <c:v>0.15</c:v>
                </c:pt>
                <c:pt idx="2">
                  <c:v>0.15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212-478B-839B-4482203C0C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overlay val="0"/>
      <c:spPr>
        <a:noFill/>
        <a:ln>
          <a:prstDash val="solid"/>
        </a:ln>
      </c:spPr>
      <c:txPr>
        <a:bodyPr anchorCtr="1"/>
        <a:lstStyle/>
        <a:p>
          <a:pPr>
            <a:defRPr sz="700" b="0">
              <a:solidFill>
                <a:srgbClr val="C7D2E8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17253F"/>
    </a:solidFill>
    <a:ln w="9360">
      <a:noFill/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22D3EE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87B-4D92-86D2-F393A7421809}"/>
              </c:ext>
            </c:extLst>
          </c:dPt>
          <c:dPt>
            <c:idx val="1"/>
            <c:invertIfNegative val="1"/>
            <c:bubble3D val="0"/>
            <c:spPr>
              <a:solidFill>
                <a:srgbClr val="FF8A65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87B-4D92-86D2-F393A7421809}"/>
              </c:ext>
            </c:extLst>
          </c:dPt>
          <c:dPt>
            <c:idx val="2"/>
            <c:invertIfNegative val="1"/>
            <c:bubble3D val="0"/>
            <c:spPr>
              <a:solidFill>
                <a:srgbClr val="34D399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87B-4D92-86D2-F393A7421809}"/>
              </c:ext>
            </c:extLst>
          </c:dPt>
          <c:dPt>
            <c:idx val="3"/>
            <c:invertIfNegative val="1"/>
            <c:bubble3D val="0"/>
            <c:spPr>
              <a:solidFill>
                <a:srgbClr val="C084FC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87B-4D92-86D2-F393A7421809}"/>
              </c:ext>
            </c:extLst>
          </c:dPt>
          <c:dPt>
            <c:idx val="4"/>
            <c:invertIfNegative val="1"/>
            <c:bubble3D val="0"/>
            <c:spPr>
              <a:solidFill>
                <a:srgbClr val="FBBF24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87B-4D92-86D2-F393A7421809}"/>
              </c:ext>
            </c:extLst>
          </c:dPt>
          <c:dPt>
            <c:idx val="5"/>
            <c:invertIfNegative val="1"/>
            <c:bubble3D val="0"/>
            <c:spPr>
              <a:solidFill>
                <a:srgbClr val="5EEAD4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87B-4D92-86D2-F393A7421809}"/>
              </c:ext>
            </c:extLst>
          </c:dPt>
          <c:dPt>
            <c:idx val="6"/>
            <c:invertIfNegative val="1"/>
            <c:bubble3D val="0"/>
            <c:spPr>
              <a:solidFill>
                <a:srgbClr val="94A3B8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987B-4D92-86D2-F393A7421809}"/>
              </c:ext>
            </c:extLst>
          </c:dPt>
          <c:dLbls>
            <c:dLbl>
              <c:idx val="0"/>
              <c:spPr>
                <a:ln>
                  <a:prstDash val="solid"/>
                </a:ln>
              </c:spPr>
              <c:txPr>
                <a:bodyPr anchorCtr="1"/>
                <a:lstStyle/>
                <a:p>
                  <a:pPr>
                    <a:defRPr sz="1000" b="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987B-4D92-86D2-F393A7421809}"/>
                </c:ext>
              </c:extLst>
            </c:dLbl>
            <c:dLbl>
              <c:idx val="1"/>
              <c:spPr>
                <a:ln>
                  <a:prstDash val="solid"/>
                </a:ln>
              </c:spPr>
              <c:txPr>
                <a:bodyPr anchorCtr="1"/>
                <a:lstStyle/>
                <a:p>
                  <a:pPr>
                    <a:defRPr sz="1000" b="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987B-4D92-86D2-F393A7421809}"/>
                </c:ext>
              </c:extLst>
            </c:dLbl>
            <c:dLbl>
              <c:idx val="2"/>
              <c:spPr>
                <a:ln>
                  <a:prstDash val="solid"/>
                </a:ln>
              </c:spPr>
              <c:txPr>
                <a:bodyPr anchorCtr="1"/>
                <a:lstStyle/>
                <a:p>
                  <a:pPr>
                    <a:defRPr sz="1000" b="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987B-4D92-86D2-F393A7421809}"/>
                </c:ext>
              </c:extLst>
            </c:dLbl>
            <c:dLbl>
              <c:idx val="3"/>
              <c:spPr>
                <a:ln>
                  <a:prstDash val="solid"/>
                </a:ln>
              </c:spPr>
              <c:txPr>
                <a:bodyPr anchorCtr="1"/>
                <a:lstStyle/>
                <a:p>
                  <a:pPr>
                    <a:defRPr sz="1000" b="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987B-4D92-86D2-F393A7421809}"/>
                </c:ext>
              </c:extLst>
            </c:dLbl>
            <c:dLbl>
              <c:idx val="4"/>
              <c:spPr>
                <a:ln>
                  <a:prstDash val="solid"/>
                </a:ln>
              </c:spPr>
              <c:txPr>
                <a:bodyPr anchorCtr="1"/>
                <a:lstStyle/>
                <a:p>
                  <a:pPr>
                    <a:defRPr sz="1000" b="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9-987B-4D92-86D2-F393A7421809}"/>
                </c:ext>
              </c:extLst>
            </c:dLbl>
            <c:dLbl>
              <c:idx val="5"/>
              <c:spPr>
                <a:ln>
                  <a:prstDash val="solid"/>
                </a:ln>
              </c:spPr>
              <c:txPr>
                <a:bodyPr anchorCtr="1"/>
                <a:lstStyle/>
                <a:p>
                  <a:pPr>
                    <a:defRPr sz="1000" b="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B-987B-4D92-86D2-F393A7421809}"/>
                </c:ext>
              </c:extLst>
            </c:dLbl>
            <c:dLbl>
              <c:idx val="6"/>
              <c:spPr>
                <a:ln>
                  <a:prstDash val="solid"/>
                </a:ln>
              </c:spPr>
              <c:txPr>
                <a:bodyPr anchorCtr="1"/>
                <a:lstStyle/>
                <a:p>
                  <a:pPr>
                    <a:defRPr sz="1000" b="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D-987B-4D92-86D2-F393A7421809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anchorCtr="1"/>
              <a:lstStyle/>
              <a:p>
                <a:pPr>
                  <a:defRPr sz="1000" b="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Holdings!$D$20:$D$26</c:f>
              <c:strCache>
                <c:ptCount val="7"/>
                <c:pt idx="0">
                  <c:v>Energy / Conglomerate</c:v>
                </c:pt>
                <c:pt idx="1">
                  <c:v>Telecom</c:v>
                </c:pt>
                <c:pt idx="2">
                  <c:v>Banking</c:v>
                </c:pt>
                <c:pt idx="3">
                  <c:v>Industrials / Infrastructure</c:v>
                </c:pt>
                <c:pt idx="4">
                  <c:v>Pharmaceuticals</c:v>
                </c:pt>
                <c:pt idx="5">
                  <c:v>Automobile</c:v>
                </c:pt>
                <c:pt idx="6">
                  <c:v>Information Technology</c:v>
                </c:pt>
              </c:strCache>
            </c:strRef>
          </c:cat>
          <c:val>
            <c:numRef>
              <c:f>Holdings!$F$20:$F$26</c:f>
              <c:numCache>
                <c:formatCode>0.00%</c:formatCode>
                <c:ptCount val="7"/>
                <c:pt idx="0">
                  <c:v>0.23</c:v>
                </c:pt>
                <c:pt idx="1">
                  <c:v>0.15</c:v>
                </c:pt>
                <c:pt idx="2">
                  <c:v>0.15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0.09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w="0"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E-987B-4D92-86D2-F393A74218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27497758"/>
        <c:axId val="86940726"/>
      </c:barChart>
      <c:catAx>
        <c:axId val="27497758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low"/>
        <c:spPr>
          <a:ln w="9360">
            <a:solidFill>
              <a:srgbClr val="41527A"/>
            </a:solidFill>
            <a:prstDash val="solid"/>
          </a:ln>
        </c:spPr>
        <c:txPr>
          <a:bodyPr anchorCtr="1"/>
          <a:lstStyle/>
          <a:p>
            <a:pPr>
              <a:defRPr sz="800" b="0">
                <a:solidFill>
                  <a:srgbClr val="A9B6D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86940726"/>
        <c:crosses val="autoZero"/>
        <c:auto val="1"/>
        <c:lblAlgn val="ctr"/>
        <c:lblOffset val="100"/>
        <c:noMultiLvlLbl val="0"/>
      </c:catAx>
      <c:valAx>
        <c:axId val="86940726"/>
        <c:scaling>
          <c:orientation val="minMax"/>
        </c:scaling>
        <c:delete val="0"/>
        <c:axPos val="t"/>
        <c:numFmt formatCode="0%" sourceLinked="0"/>
        <c:majorTickMark val="out"/>
        <c:minorTickMark val="none"/>
        <c:tickLblPos val="nextTo"/>
        <c:spPr>
          <a:ln w="9360">
            <a:solidFill>
              <a:srgbClr val="41527A"/>
            </a:solidFill>
            <a:prstDash val="solid"/>
          </a:ln>
        </c:spPr>
        <c:txPr>
          <a:bodyPr anchorCtr="1"/>
          <a:lstStyle/>
          <a:p>
            <a:pPr>
              <a:defRPr sz="800" b="0">
                <a:solidFill>
                  <a:srgbClr val="A9B6D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7497758"/>
        <c:crosses val="autoZero"/>
        <c:crossBetween val="between"/>
      </c:valAx>
    </c:plotArea>
    <c:plotVisOnly val="1"/>
    <c:dispBlanksAs val="zero"/>
    <c:showDLblsOverMax val="1"/>
  </c:chart>
  <c:spPr>
    <a:solidFill>
      <a:srgbClr val="17253F"/>
    </a:solidFill>
    <a:ln w="9360">
      <a:noFill/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6663286988238049"/>
          <c:y val="8.6964000865168853E-2"/>
          <c:w val="0.78424065987384761"/>
          <c:h val="0.86582346500121665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rgbClr val="34D399"/>
            </a:solidFill>
            <a:ln w="0">
              <a:noFill/>
              <a:prstDash val="solid"/>
            </a:ln>
          </c:spPr>
          <c:invertIfNegative val="0"/>
          <c:dPt>
            <c:idx val="3"/>
            <c:invertIfNegative val="1"/>
            <c:bubble3D val="0"/>
            <c:spPr>
              <a:solidFill>
                <a:srgbClr val="FB7185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BD3-4B4B-A116-7C2563B96449}"/>
              </c:ext>
            </c:extLst>
          </c:dPt>
          <c:dPt>
            <c:idx val="4"/>
            <c:invertIfNegative val="1"/>
            <c:bubble3D val="0"/>
            <c:spPr>
              <a:solidFill>
                <a:srgbClr val="FB7185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BD3-4B4B-A116-7C2563B96449}"/>
              </c:ext>
            </c:extLst>
          </c:dPt>
          <c:dPt>
            <c:idx val="5"/>
            <c:invertIfNegative val="1"/>
            <c:bubble3D val="0"/>
            <c:spPr>
              <a:solidFill>
                <a:srgbClr val="FB7185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BD3-4B4B-A116-7C2563B96449}"/>
              </c:ext>
            </c:extLst>
          </c:dPt>
          <c:dPt>
            <c:idx val="6"/>
            <c:invertIfNegative val="1"/>
            <c:bubble3D val="0"/>
            <c:spPr>
              <a:solidFill>
                <a:srgbClr val="FB7185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BD3-4B4B-A116-7C2563B96449}"/>
              </c:ext>
            </c:extLst>
          </c:dPt>
          <c:dLbls>
            <c:dLbl>
              <c:idx val="3"/>
              <c:spPr>
                <a:ln>
                  <a:prstDash val="solid"/>
                </a:ln>
              </c:spPr>
              <c:txPr>
                <a:bodyPr anchorCtr="1"/>
                <a:lstStyle/>
                <a:p>
                  <a:pPr>
                    <a:defRPr sz="1000" b="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FBD3-4B4B-A116-7C2563B96449}"/>
                </c:ext>
              </c:extLst>
            </c:dLbl>
            <c:dLbl>
              <c:idx val="4"/>
              <c:spPr>
                <a:ln>
                  <a:prstDash val="solid"/>
                </a:ln>
              </c:spPr>
              <c:txPr>
                <a:bodyPr anchorCtr="1"/>
                <a:lstStyle/>
                <a:p>
                  <a:pPr>
                    <a:defRPr sz="1000" b="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FBD3-4B4B-A116-7C2563B96449}"/>
                </c:ext>
              </c:extLst>
            </c:dLbl>
            <c:dLbl>
              <c:idx val="5"/>
              <c:spPr>
                <a:ln>
                  <a:prstDash val="solid"/>
                </a:ln>
              </c:spPr>
              <c:txPr>
                <a:bodyPr anchorCtr="1"/>
                <a:lstStyle/>
                <a:p>
                  <a:pPr>
                    <a:defRPr sz="1000" b="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FBD3-4B4B-A116-7C2563B96449}"/>
                </c:ext>
              </c:extLst>
            </c:dLbl>
            <c:dLbl>
              <c:idx val="6"/>
              <c:spPr>
                <a:ln>
                  <a:prstDash val="solid"/>
                </a:ln>
              </c:spPr>
              <c:txPr>
                <a:bodyPr anchorCtr="1"/>
                <a:lstStyle/>
                <a:p>
                  <a:pPr>
                    <a:defRPr sz="1000" b="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FBD3-4B4B-A116-7C2563B96449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anchorCtr="1"/>
              <a:lstStyle/>
              <a:p>
                <a:pPr>
                  <a:defRPr sz="1000" b="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Contribution!$M$6:$M$12</c:f>
              <c:strCache>
                <c:ptCount val="7"/>
                <c:pt idx="0">
                  <c:v>Bharti Airtel</c:v>
                </c:pt>
                <c:pt idx="1">
                  <c:v>Larsen &amp; Toubro</c:v>
                </c:pt>
                <c:pt idx="2">
                  <c:v>Maruti Suzuki</c:v>
                </c:pt>
                <c:pt idx="3">
                  <c:v>Reliance Industries</c:v>
                </c:pt>
                <c:pt idx="4">
                  <c:v>Cipla</c:v>
                </c:pt>
                <c:pt idx="5">
                  <c:v>HDFC Bank</c:v>
                </c:pt>
                <c:pt idx="6">
                  <c:v>HCL Technologies</c:v>
                </c:pt>
              </c:strCache>
            </c:strRef>
          </c:cat>
          <c:val>
            <c:numRef>
              <c:f>Contribution!$N$6:$N$12</c:f>
              <c:numCache>
                <c:formatCode>0.00%;\(0.00%\);\-</c:formatCode>
                <c:ptCount val="7"/>
                <c:pt idx="0">
                  <c:v>1.2216741704698952E-2</c:v>
                </c:pt>
                <c:pt idx="1">
                  <c:v>1.1833479596844814E-2</c:v>
                </c:pt>
                <c:pt idx="2">
                  <c:v>5.6272716270180509E-3</c:v>
                </c:pt>
                <c:pt idx="3">
                  <c:v>-8.2398814953018665E-3</c:v>
                </c:pt>
                <c:pt idx="4">
                  <c:v>-8.3265291069681419E-3</c:v>
                </c:pt>
                <c:pt idx="5">
                  <c:v>-9.0909546000155824E-3</c:v>
                </c:pt>
                <c:pt idx="6">
                  <c:v>-1.1653970014602883E-2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BD3-4B4B-A116-7C2563B96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23642829"/>
        <c:axId val="41521838"/>
      </c:barChart>
      <c:catAx>
        <c:axId val="23642829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low"/>
        <c:spPr>
          <a:ln w="9360">
            <a:solidFill>
              <a:srgbClr val="41527A"/>
            </a:solidFill>
            <a:prstDash val="solid"/>
          </a:ln>
        </c:spPr>
        <c:txPr>
          <a:bodyPr anchorCtr="1"/>
          <a:lstStyle/>
          <a:p>
            <a:pPr>
              <a:defRPr sz="800" b="0">
                <a:solidFill>
                  <a:srgbClr val="A9B6D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21838"/>
        <c:crosses val="autoZero"/>
        <c:auto val="1"/>
        <c:lblAlgn val="ctr"/>
        <c:lblOffset val="100"/>
        <c:noMultiLvlLbl val="0"/>
      </c:catAx>
      <c:valAx>
        <c:axId val="41521838"/>
        <c:scaling>
          <c:orientation val="minMax"/>
        </c:scaling>
        <c:delete val="0"/>
        <c:axPos val="t"/>
        <c:numFmt formatCode="0.0%" sourceLinked="0"/>
        <c:majorTickMark val="out"/>
        <c:minorTickMark val="none"/>
        <c:tickLblPos val="nextTo"/>
        <c:spPr>
          <a:ln w="9360">
            <a:solidFill>
              <a:srgbClr val="41527A"/>
            </a:solidFill>
            <a:prstDash val="solid"/>
          </a:ln>
        </c:spPr>
        <c:txPr>
          <a:bodyPr anchorCtr="1"/>
          <a:lstStyle/>
          <a:p>
            <a:pPr>
              <a:defRPr sz="800" b="0">
                <a:solidFill>
                  <a:srgbClr val="A9B6D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3642829"/>
        <c:crosses val="autoZero"/>
        <c:crossBetween val="between"/>
      </c:valAx>
    </c:plotArea>
    <c:plotVisOnly val="1"/>
    <c:dispBlanksAs val="zero"/>
    <c:showDLblsOverMax val="1"/>
  </c:chart>
  <c:spPr>
    <a:solidFill>
      <a:srgbClr val="17253F"/>
    </a:solidFill>
    <a:ln w="9360">
      <a:noFill/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Drawdown!$M$6</c:f>
              <c:strCache>
                <c:ptCount val="1"/>
                <c:pt idx="0">
                  <c:v>Portfolio</c:v>
                </c:pt>
              </c:strCache>
            </c:strRef>
          </c:tx>
          <c:spPr>
            <a:ln w="28575" cap="rnd">
              <a:solidFill>
                <a:srgbClr val="22D3EE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Drawdown!$L$7:$L$111</c:f>
              <c:strCache>
                <c:ptCount val="105"/>
                <c:pt idx="0">
                  <c:v>Sep-24</c:v>
                </c:pt>
                <c:pt idx="1">
                  <c:v>Sep-24</c:v>
                </c:pt>
                <c:pt idx="2">
                  <c:v>Sep-24</c:v>
                </c:pt>
                <c:pt idx="3">
                  <c:v>Sep-24</c:v>
                </c:pt>
                <c:pt idx="4">
                  <c:v>Oct-24</c:v>
                </c:pt>
                <c:pt idx="5">
                  <c:v>Oct-24</c:v>
                </c:pt>
                <c:pt idx="6">
                  <c:v>Oct-24</c:v>
                </c:pt>
                <c:pt idx="7">
                  <c:v>Oct-24</c:v>
                </c:pt>
                <c:pt idx="8">
                  <c:v>Nov-24</c:v>
                </c:pt>
                <c:pt idx="9">
                  <c:v>Nov-24</c:v>
                </c:pt>
                <c:pt idx="10">
                  <c:v>Nov-24</c:v>
                </c:pt>
                <c:pt idx="11">
                  <c:v>Nov-24</c:v>
                </c:pt>
                <c:pt idx="12">
                  <c:v>Dec-24</c:v>
                </c:pt>
                <c:pt idx="13">
                  <c:v>Dec-24</c:v>
                </c:pt>
                <c:pt idx="14">
                  <c:v>Dec-24</c:v>
                </c:pt>
                <c:pt idx="15">
                  <c:v>Dec-24</c:v>
                </c:pt>
                <c:pt idx="16">
                  <c:v>Dec-24</c:v>
                </c:pt>
                <c:pt idx="17">
                  <c:v>Jan-25</c:v>
                </c:pt>
                <c:pt idx="18">
                  <c:v>Jan-25</c:v>
                </c:pt>
                <c:pt idx="19">
                  <c:v>Jan-25</c:v>
                </c:pt>
                <c:pt idx="20">
                  <c:v>Jan-25</c:v>
                </c:pt>
                <c:pt idx="21">
                  <c:v>Feb-25</c:v>
                </c:pt>
                <c:pt idx="22">
                  <c:v>Feb-25</c:v>
                </c:pt>
                <c:pt idx="23">
                  <c:v>Feb-25</c:v>
                </c:pt>
                <c:pt idx="24">
                  <c:v>Feb-25</c:v>
                </c:pt>
                <c:pt idx="25">
                  <c:v>Mar-25</c:v>
                </c:pt>
                <c:pt idx="26">
                  <c:v>Mar-25</c:v>
                </c:pt>
                <c:pt idx="27">
                  <c:v>Mar-25</c:v>
                </c:pt>
                <c:pt idx="28">
                  <c:v>Mar-25</c:v>
                </c:pt>
                <c:pt idx="29">
                  <c:v>Mar-25</c:v>
                </c:pt>
                <c:pt idx="30">
                  <c:v>Apr-25</c:v>
                </c:pt>
                <c:pt idx="31">
                  <c:v>Apr-25</c:v>
                </c:pt>
                <c:pt idx="32">
                  <c:v>Apr-25</c:v>
                </c:pt>
                <c:pt idx="33">
                  <c:v>Apr-25</c:v>
                </c:pt>
                <c:pt idx="34">
                  <c:v>May-25</c:v>
                </c:pt>
                <c:pt idx="35">
                  <c:v>May-25</c:v>
                </c:pt>
                <c:pt idx="36">
                  <c:v>May-25</c:v>
                </c:pt>
                <c:pt idx="37">
                  <c:v>May-25</c:v>
                </c:pt>
                <c:pt idx="38">
                  <c:v>Jun-25</c:v>
                </c:pt>
                <c:pt idx="39">
                  <c:v>Jun-25</c:v>
                </c:pt>
                <c:pt idx="40">
                  <c:v>Jun-25</c:v>
                </c:pt>
                <c:pt idx="41">
                  <c:v>Jun-25</c:v>
                </c:pt>
                <c:pt idx="42">
                  <c:v>Jun-25</c:v>
                </c:pt>
                <c:pt idx="43">
                  <c:v>Jul-25</c:v>
                </c:pt>
                <c:pt idx="44">
                  <c:v>Jul-25</c:v>
                </c:pt>
                <c:pt idx="45">
                  <c:v>Jul-25</c:v>
                </c:pt>
                <c:pt idx="46">
                  <c:v>Jul-25</c:v>
                </c:pt>
                <c:pt idx="47">
                  <c:v>Aug-25</c:v>
                </c:pt>
                <c:pt idx="48">
                  <c:v>Aug-25</c:v>
                </c:pt>
                <c:pt idx="49">
                  <c:v>Aug-25</c:v>
                </c:pt>
                <c:pt idx="50">
                  <c:v>Aug-25</c:v>
                </c:pt>
                <c:pt idx="51">
                  <c:v>Sep-25</c:v>
                </c:pt>
                <c:pt idx="52">
                  <c:v>Sep-25</c:v>
                </c:pt>
                <c:pt idx="53">
                  <c:v>Sep-25</c:v>
                </c:pt>
                <c:pt idx="54">
                  <c:v>Sep-25</c:v>
                </c:pt>
                <c:pt idx="55">
                  <c:v>Sep-25</c:v>
                </c:pt>
                <c:pt idx="56">
                  <c:v>Oct-25</c:v>
                </c:pt>
                <c:pt idx="57">
                  <c:v>Oct-25</c:v>
                </c:pt>
                <c:pt idx="58">
                  <c:v>Oct-25</c:v>
                </c:pt>
                <c:pt idx="59">
                  <c:v>Oct-25</c:v>
                </c:pt>
                <c:pt idx="60">
                  <c:v>Nov-25</c:v>
                </c:pt>
                <c:pt idx="61">
                  <c:v>Nov-25</c:v>
                </c:pt>
                <c:pt idx="62">
                  <c:v>Nov-25</c:v>
                </c:pt>
                <c:pt idx="63">
                  <c:v>Nov-25</c:v>
                </c:pt>
                <c:pt idx="64">
                  <c:v>Dec-25</c:v>
                </c:pt>
                <c:pt idx="65">
                  <c:v>Dec-25</c:v>
                </c:pt>
                <c:pt idx="66">
                  <c:v>Dec-25</c:v>
                </c:pt>
                <c:pt idx="67">
                  <c:v>Dec-25</c:v>
                </c:pt>
                <c:pt idx="68">
                  <c:v>Dec-25</c:v>
                </c:pt>
                <c:pt idx="69">
                  <c:v>Jan-26</c:v>
                </c:pt>
                <c:pt idx="70">
                  <c:v>Jan-26</c:v>
                </c:pt>
                <c:pt idx="71">
                  <c:v>Jan-26</c:v>
                </c:pt>
                <c:pt idx="72">
                  <c:v>Jan-26</c:v>
                </c:pt>
                <c:pt idx="73">
                  <c:v>Feb-26</c:v>
                </c:pt>
                <c:pt idx="74">
                  <c:v>Feb-26</c:v>
                </c:pt>
                <c:pt idx="75">
                  <c:v>Feb-26</c:v>
                </c:pt>
                <c:pt idx="76">
                  <c:v>Feb-26</c:v>
                </c:pt>
                <c:pt idx="77">
                  <c:v>Mar-26</c:v>
                </c:pt>
                <c:pt idx="78">
                  <c:v>Mar-26</c:v>
                </c:pt>
                <c:pt idx="79">
                  <c:v>Mar-26</c:v>
                </c:pt>
                <c:pt idx="80">
                  <c:v>Mar-26</c:v>
                </c:pt>
                <c:pt idx="81">
                  <c:v>Mar-26</c:v>
                </c:pt>
                <c:pt idx="82">
                  <c:v>Apr-26</c:v>
                </c:pt>
                <c:pt idx="83">
                  <c:v>Apr-26</c:v>
                </c:pt>
                <c:pt idx="84">
                  <c:v>Apr-26</c:v>
                </c:pt>
                <c:pt idx="85">
                  <c:v>Apr-26</c:v>
                </c:pt>
                <c:pt idx="86">
                  <c:v>May-26</c:v>
                </c:pt>
                <c:pt idx="87">
                  <c:v>May-26</c:v>
                </c:pt>
                <c:pt idx="88">
                  <c:v>May-26</c:v>
                </c:pt>
                <c:pt idx="89">
                  <c:v>May-26</c:v>
                </c:pt>
                <c:pt idx="90">
                  <c:v>Jun-26</c:v>
                </c:pt>
                <c:pt idx="91">
                  <c:v>Jun-26</c:v>
                </c:pt>
                <c:pt idx="92">
                  <c:v>Jun-26</c:v>
                </c:pt>
                <c:pt idx="93">
                  <c:v>Jun-26</c:v>
                </c:pt>
                <c:pt idx="94">
                  <c:v>Jun-26</c:v>
                </c:pt>
                <c:pt idx="95">
                  <c:v>Jul-26</c:v>
                </c:pt>
                <c:pt idx="96">
                  <c:v>Jul-26</c:v>
                </c:pt>
                <c:pt idx="97">
                  <c:v>Jul-26</c:v>
                </c:pt>
                <c:pt idx="98">
                  <c:v>Jul-26</c:v>
                </c:pt>
                <c:pt idx="99">
                  <c:v>Aug-26</c:v>
                </c:pt>
                <c:pt idx="100">
                  <c:v>Aug-26</c:v>
                </c:pt>
                <c:pt idx="101">
                  <c:v>Aug-26</c:v>
                </c:pt>
                <c:pt idx="102">
                  <c:v>Aug-26</c:v>
                </c:pt>
                <c:pt idx="103">
                  <c:v>Aug-26</c:v>
                </c:pt>
                <c:pt idx="104">
                  <c:v>Sep-26</c:v>
                </c:pt>
              </c:strCache>
            </c:strRef>
          </c:cat>
          <c:val>
            <c:numRef>
              <c:f>Drawdown!$M$7:$M$111</c:f>
              <c:numCache>
                <c:formatCode>General</c:formatCode>
                <c:ptCount val="105"/>
                <c:pt idx="0">
                  <c:v>100</c:v>
                </c:pt>
                <c:pt idx="1">
                  <c:v>102.17235487129442</c:v>
                </c:pt>
                <c:pt idx="2">
                  <c:v>104.14380490619243</c:v>
                </c:pt>
                <c:pt idx="3">
                  <c:v>98.072001964730944</c:v>
                </c:pt>
                <c:pt idx="4">
                  <c:v>98.423456300910829</c:v>
                </c:pt>
                <c:pt idx="5">
                  <c:v>98.184032287896926</c:v>
                </c:pt>
                <c:pt idx="6">
                  <c:v>95.785297121300673</c:v>
                </c:pt>
                <c:pt idx="7">
                  <c:v>96.407062387187977</c:v>
                </c:pt>
                <c:pt idx="8">
                  <c:v>96.191967386197447</c:v>
                </c:pt>
                <c:pt idx="9">
                  <c:v>93.85954855107542</c:v>
                </c:pt>
                <c:pt idx="10">
                  <c:v>94.858875692355895</c:v>
                </c:pt>
                <c:pt idx="11">
                  <c:v>96.85119069465236</c:v>
                </c:pt>
                <c:pt idx="12">
                  <c:v>98.103228306484922</c:v>
                </c:pt>
                <c:pt idx="13">
                  <c:v>98.332928082913966</c:v>
                </c:pt>
                <c:pt idx="14">
                  <c:v>94.07751231806273</c:v>
                </c:pt>
                <c:pt idx="15">
                  <c:v>94.909596595631044</c:v>
                </c:pt>
                <c:pt idx="16">
                  <c:v>96.557006905616504</c:v>
                </c:pt>
                <c:pt idx="17">
                  <c:v>94.921194152558144</c:v>
                </c:pt>
                <c:pt idx="18">
                  <c:v>95.468439128176584</c:v>
                </c:pt>
                <c:pt idx="19">
                  <c:v>93.990686540248262</c:v>
                </c:pt>
                <c:pt idx="20">
                  <c:v>95.086472775071897</c:v>
                </c:pt>
                <c:pt idx="21">
                  <c:v>96.055366002418424</c:v>
                </c:pt>
                <c:pt idx="22">
                  <c:v>94.325556357707896</c:v>
                </c:pt>
                <c:pt idx="23">
                  <c:v>93.930601312880583</c:v>
                </c:pt>
                <c:pt idx="24">
                  <c:v>91.084630954339787</c:v>
                </c:pt>
                <c:pt idx="25">
                  <c:v>92.513111655087627</c:v>
                </c:pt>
                <c:pt idx="26">
                  <c:v>92.168661235131722</c:v>
                </c:pt>
                <c:pt idx="27">
                  <c:v>95.735969914578931</c:v>
                </c:pt>
                <c:pt idx="28">
                  <c:v>95.866541705706354</c:v>
                </c:pt>
                <c:pt idx="29">
                  <c:v>95.866541705706354</c:v>
                </c:pt>
                <c:pt idx="30">
                  <c:v>92.621921865174826</c:v>
                </c:pt>
                <c:pt idx="31">
                  <c:v>92.621921865174826</c:v>
                </c:pt>
                <c:pt idx="32">
                  <c:v>97.674882730326516</c:v>
                </c:pt>
                <c:pt idx="33">
                  <c:v>101.1068222001757</c:v>
                </c:pt>
                <c:pt idx="34">
                  <c:v>99.989926735684463</c:v>
                </c:pt>
                <c:pt idx="35">
                  <c:v>103.45411357469939</c:v>
                </c:pt>
                <c:pt idx="36">
                  <c:v>102.38045616562366</c:v>
                </c:pt>
                <c:pt idx="37">
                  <c:v>102.52746996534599</c:v>
                </c:pt>
                <c:pt idx="38">
                  <c:v>103.68457203743013</c:v>
                </c:pt>
                <c:pt idx="39">
                  <c:v>102.70780708543798</c:v>
                </c:pt>
                <c:pt idx="40">
                  <c:v>105.40357225115017</c:v>
                </c:pt>
                <c:pt idx="41">
                  <c:v>107.21327026944009</c:v>
                </c:pt>
                <c:pt idx="42">
                  <c:v>106.89087356715329</c:v>
                </c:pt>
                <c:pt idx="43">
                  <c:v>104.5455412928001</c:v>
                </c:pt>
                <c:pt idx="44">
                  <c:v>102.85350329182225</c:v>
                </c:pt>
                <c:pt idx="45">
                  <c:v>102.17441291574819</c:v>
                </c:pt>
                <c:pt idx="46">
                  <c:v>101.87017822127407</c:v>
                </c:pt>
                <c:pt idx="47">
                  <c:v>101.31231263251209</c:v>
                </c:pt>
                <c:pt idx="48">
                  <c:v>103.00518923690429</c:v>
                </c:pt>
                <c:pt idx="49">
                  <c:v>105.01371958200758</c:v>
                </c:pt>
                <c:pt idx="50">
                  <c:v>103.57599402084817</c:v>
                </c:pt>
                <c:pt idx="51">
                  <c:v>103.52015840192379</c:v>
                </c:pt>
                <c:pt idx="52">
                  <c:v>104.94062544873273</c:v>
                </c:pt>
                <c:pt idx="53">
                  <c:v>106.48955414459427</c:v>
                </c:pt>
                <c:pt idx="54">
                  <c:v>104.70609579214502</c:v>
                </c:pt>
                <c:pt idx="55">
                  <c:v>104.41385192833502</c:v>
                </c:pt>
                <c:pt idx="56">
                  <c:v>106.96359716736559</c:v>
                </c:pt>
                <c:pt idx="57">
                  <c:v>108.9355712227996</c:v>
                </c:pt>
                <c:pt idx="58">
                  <c:v>110.02770039968433</c:v>
                </c:pt>
                <c:pt idx="59">
                  <c:v>110.56389730672825</c:v>
                </c:pt>
                <c:pt idx="60">
                  <c:v>108.60758633967487</c:v>
                </c:pt>
                <c:pt idx="61">
                  <c:v>111.63967958848167</c:v>
                </c:pt>
                <c:pt idx="62">
                  <c:v>112.98239387941943</c:v>
                </c:pt>
                <c:pt idx="63">
                  <c:v>113.4045727811465</c:v>
                </c:pt>
                <c:pt idx="64">
                  <c:v>113.42327470816092</c:v>
                </c:pt>
                <c:pt idx="65">
                  <c:v>113.70899000357899</c:v>
                </c:pt>
                <c:pt idx="66">
                  <c:v>113.41545073592434</c:v>
                </c:pt>
                <c:pt idx="67">
                  <c:v>113.55767583847465</c:v>
                </c:pt>
                <c:pt idx="68">
                  <c:v>114.96074955758542</c:v>
                </c:pt>
                <c:pt idx="69">
                  <c:v>110.09898392221567</c:v>
                </c:pt>
                <c:pt idx="70">
                  <c:v>108.01731419953362</c:v>
                </c:pt>
                <c:pt idx="71">
                  <c:v>104.80404602025135</c:v>
                </c:pt>
                <c:pt idx="72">
                  <c:v>104.80404602025135</c:v>
                </c:pt>
                <c:pt idx="73">
                  <c:v>107.18821044226355</c:v>
                </c:pt>
                <c:pt idx="74">
                  <c:v>105.52893242708734</c:v>
                </c:pt>
                <c:pt idx="75">
                  <c:v>105.93398038506926</c:v>
                </c:pt>
                <c:pt idx="76">
                  <c:v>103.59247992981611</c:v>
                </c:pt>
                <c:pt idx="77">
                  <c:v>101.00713142311376</c:v>
                </c:pt>
                <c:pt idx="78">
                  <c:v>95.914311381598807</c:v>
                </c:pt>
                <c:pt idx="79">
                  <c:v>95.686177374858744</c:v>
                </c:pt>
                <c:pt idx="80">
                  <c:v>94.571958345615641</c:v>
                </c:pt>
                <c:pt idx="81">
                  <c:v>94.277943541390641</c:v>
                </c:pt>
                <c:pt idx="82">
                  <c:v>98.907253496953075</c:v>
                </c:pt>
                <c:pt idx="83">
                  <c:v>99.092041297686819</c:v>
                </c:pt>
                <c:pt idx="84">
                  <c:v>96.336455776771928</c:v>
                </c:pt>
                <c:pt idx="85">
                  <c:v>98.724374417627857</c:v>
                </c:pt>
                <c:pt idx="86">
                  <c:v>99.123040384556731</c:v>
                </c:pt>
                <c:pt idx="87">
                  <c:v>97.469359722482096</c:v>
                </c:pt>
                <c:pt idx="88">
                  <c:v>97.327685451819789</c:v>
                </c:pt>
                <c:pt idx="89">
                  <c:v>96.833062440236134</c:v>
                </c:pt>
                <c:pt idx="90">
                  <c:v>95.438208221711918</c:v>
                </c:pt>
                <c:pt idx="91">
                  <c:v>96.32179554548901</c:v>
                </c:pt>
                <c:pt idx="92">
                  <c:v>97.86010606461501</c:v>
                </c:pt>
                <c:pt idx="93">
                  <c:v>98.712262308129525</c:v>
                </c:pt>
                <c:pt idx="94">
                  <c:v>99.406459715469538</c:v>
                </c:pt>
                <c:pt idx="95">
                  <c:v>99.334978573159702</c:v>
                </c:pt>
                <c:pt idx="96">
                  <c:v>99.11484742864063</c:v>
                </c:pt>
                <c:pt idx="97">
                  <c:v>96.807164747559128</c:v>
                </c:pt>
                <c:pt idx="98">
                  <c:v>100.26462647880618</c:v>
                </c:pt>
                <c:pt idx="99">
                  <c:v>100.54269076202534</c:v>
                </c:pt>
                <c:pt idx="100">
                  <c:v>100.016217429524</c:v>
                </c:pt>
                <c:pt idx="101">
                  <c:v>99.136332027306509</c:v>
                </c:pt>
                <c:pt idx="102">
                  <c:v>97.706929365874501</c:v>
                </c:pt>
                <c:pt idx="103">
                  <c:v>96.478282630984836</c:v>
                </c:pt>
                <c:pt idx="104">
                  <c:v>96.537602494721938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BB-4B77-9C1A-0A8FE9A7AD1E}"/>
            </c:ext>
          </c:extLst>
        </c:ser>
        <c:ser>
          <c:idx val="1"/>
          <c:order val="1"/>
          <c:tx>
            <c:strRef>
              <c:f>Drawdown!$N$6</c:f>
              <c:strCache>
                <c:ptCount val="1"/>
                <c:pt idx="0">
                  <c:v>NIFTY 50</c:v>
                </c:pt>
              </c:strCache>
            </c:strRef>
          </c:tx>
          <c:spPr>
            <a:ln w="19050" cap="rnd">
              <a:solidFill>
                <a:srgbClr val="94A3B8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Drawdown!$L$7:$L$111</c:f>
              <c:strCache>
                <c:ptCount val="105"/>
                <c:pt idx="0">
                  <c:v>Sep-24</c:v>
                </c:pt>
                <c:pt idx="1">
                  <c:v>Sep-24</c:v>
                </c:pt>
                <c:pt idx="2">
                  <c:v>Sep-24</c:v>
                </c:pt>
                <c:pt idx="3">
                  <c:v>Sep-24</c:v>
                </c:pt>
                <c:pt idx="4">
                  <c:v>Oct-24</c:v>
                </c:pt>
                <c:pt idx="5">
                  <c:v>Oct-24</c:v>
                </c:pt>
                <c:pt idx="6">
                  <c:v>Oct-24</c:v>
                </c:pt>
                <c:pt idx="7">
                  <c:v>Oct-24</c:v>
                </c:pt>
                <c:pt idx="8">
                  <c:v>Nov-24</c:v>
                </c:pt>
                <c:pt idx="9">
                  <c:v>Nov-24</c:v>
                </c:pt>
                <c:pt idx="10">
                  <c:v>Nov-24</c:v>
                </c:pt>
                <c:pt idx="11">
                  <c:v>Nov-24</c:v>
                </c:pt>
                <c:pt idx="12">
                  <c:v>Dec-24</c:v>
                </c:pt>
                <c:pt idx="13">
                  <c:v>Dec-24</c:v>
                </c:pt>
                <c:pt idx="14">
                  <c:v>Dec-24</c:v>
                </c:pt>
                <c:pt idx="15">
                  <c:v>Dec-24</c:v>
                </c:pt>
                <c:pt idx="16">
                  <c:v>Dec-24</c:v>
                </c:pt>
                <c:pt idx="17">
                  <c:v>Jan-25</c:v>
                </c:pt>
                <c:pt idx="18">
                  <c:v>Jan-25</c:v>
                </c:pt>
                <c:pt idx="19">
                  <c:v>Jan-25</c:v>
                </c:pt>
                <c:pt idx="20">
                  <c:v>Jan-25</c:v>
                </c:pt>
                <c:pt idx="21">
                  <c:v>Feb-25</c:v>
                </c:pt>
                <c:pt idx="22">
                  <c:v>Feb-25</c:v>
                </c:pt>
                <c:pt idx="23">
                  <c:v>Feb-25</c:v>
                </c:pt>
                <c:pt idx="24">
                  <c:v>Feb-25</c:v>
                </c:pt>
                <c:pt idx="25">
                  <c:v>Mar-25</c:v>
                </c:pt>
                <c:pt idx="26">
                  <c:v>Mar-25</c:v>
                </c:pt>
                <c:pt idx="27">
                  <c:v>Mar-25</c:v>
                </c:pt>
                <c:pt idx="28">
                  <c:v>Mar-25</c:v>
                </c:pt>
                <c:pt idx="29">
                  <c:v>Mar-25</c:v>
                </c:pt>
                <c:pt idx="30">
                  <c:v>Apr-25</c:v>
                </c:pt>
                <c:pt idx="31">
                  <c:v>Apr-25</c:v>
                </c:pt>
                <c:pt idx="32">
                  <c:v>Apr-25</c:v>
                </c:pt>
                <c:pt idx="33">
                  <c:v>Apr-25</c:v>
                </c:pt>
                <c:pt idx="34">
                  <c:v>May-25</c:v>
                </c:pt>
                <c:pt idx="35">
                  <c:v>May-25</c:v>
                </c:pt>
                <c:pt idx="36">
                  <c:v>May-25</c:v>
                </c:pt>
                <c:pt idx="37">
                  <c:v>May-25</c:v>
                </c:pt>
                <c:pt idx="38">
                  <c:v>Jun-25</c:v>
                </c:pt>
                <c:pt idx="39">
                  <c:v>Jun-25</c:v>
                </c:pt>
                <c:pt idx="40">
                  <c:v>Jun-25</c:v>
                </c:pt>
                <c:pt idx="41">
                  <c:v>Jun-25</c:v>
                </c:pt>
                <c:pt idx="42">
                  <c:v>Jun-25</c:v>
                </c:pt>
                <c:pt idx="43">
                  <c:v>Jul-25</c:v>
                </c:pt>
                <c:pt idx="44">
                  <c:v>Jul-25</c:v>
                </c:pt>
                <c:pt idx="45">
                  <c:v>Jul-25</c:v>
                </c:pt>
                <c:pt idx="46">
                  <c:v>Jul-25</c:v>
                </c:pt>
                <c:pt idx="47">
                  <c:v>Aug-25</c:v>
                </c:pt>
                <c:pt idx="48">
                  <c:v>Aug-25</c:v>
                </c:pt>
                <c:pt idx="49">
                  <c:v>Aug-25</c:v>
                </c:pt>
                <c:pt idx="50">
                  <c:v>Aug-25</c:v>
                </c:pt>
                <c:pt idx="51">
                  <c:v>Sep-25</c:v>
                </c:pt>
                <c:pt idx="52">
                  <c:v>Sep-25</c:v>
                </c:pt>
                <c:pt idx="53">
                  <c:v>Sep-25</c:v>
                </c:pt>
                <c:pt idx="54">
                  <c:v>Sep-25</c:v>
                </c:pt>
                <c:pt idx="55">
                  <c:v>Sep-25</c:v>
                </c:pt>
                <c:pt idx="56">
                  <c:v>Oct-25</c:v>
                </c:pt>
                <c:pt idx="57">
                  <c:v>Oct-25</c:v>
                </c:pt>
                <c:pt idx="58">
                  <c:v>Oct-25</c:v>
                </c:pt>
                <c:pt idx="59">
                  <c:v>Oct-25</c:v>
                </c:pt>
                <c:pt idx="60">
                  <c:v>Nov-25</c:v>
                </c:pt>
                <c:pt idx="61">
                  <c:v>Nov-25</c:v>
                </c:pt>
                <c:pt idx="62">
                  <c:v>Nov-25</c:v>
                </c:pt>
                <c:pt idx="63">
                  <c:v>Nov-25</c:v>
                </c:pt>
                <c:pt idx="64">
                  <c:v>Dec-25</c:v>
                </c:pt>
                <c:pt idx="65">
                  <c:v>Dec-25</c:v>
                </c:pt>
                <c:pt idx="66">
                  <c:v>Dec-25</c:v>
                </c:pt>
                <c:pt idx="67">
                  <c:v>Dec-25</c:v>
                </c:pt>
                <c:pt idx="68">
                  <c:v>Dec-25</c:v>
                </c:pt>
                <c:pt idx="69">
                  <c:v>Jan-26</c:v>
                </c:pt>
                <c:pt idx="70">
                  <c:v>Jan-26</c:v>
                </c:pt>
                <c:pt idx="71">
                  <c:v>Jan-26</c:v>
                </c:pt>
                <c:pt idx="72">
                  <c:v>Jan-26</c:v>
                </c:pt>
                <c:pt idx="73">
                  <c:v>Feb-26</c:v>
                </c:pt>
                <c:pt idx="74">
                  <c:v>Feb-26</c:v>
                </c:pt>
                <c:pt idx="75">
                  <c:v>Feb-26</c:v>
                </c:pt>
                <c:pt idx="76">
                  <c:v>Feb-26</c:v>
                </c:pt>
                <c:pt idx="77">
                  <c:v>Mar-26</c:v>
                </c:pt>
                <c:pt idx="78">
                  <c:v>Mar-26</c:v>
                </c:pt>
                <c:pt idx="79">
                  <c:v>Mar-26</c:v>
                </c:pt>
                <c:pt idx="80">
                  <c:v>Mar-26</c:v>
                </c:pt>
                <c:pt idx="81">
                  <c:v>Mar-26</c:v>
                </c:pt>
                <c:pt idx="82">
                  <c:v>Apr-26</c:v>
                </c:pt>
                <c:pt idx="83">
                  <c:v>Apr-26</c:v>
                </c:pt>
                <c:pt idx="84">
                  <c:v>Apr-26</c:v>
                </c:pt>
                <c:pt idx="85">
                  <c:v>Apr-26</c:v>
                </c:pt>
                <c:pt idx="86">
                  <c:v>May-26</c:v>
                </c:pt>
                <c:pt idx="87">
                  <c:v>May-26</c:v>
                </c:pt>
                <c:pt idx="88">
                  <c:v>May-26</c:v>
                </c:pt>
                <c:pt idx="89">
                  <c:v>May-26</c:v>
                </c:pt>
                <c:pt idx="90">
                  <c:v>Jun-26</c:v>
                </c:pt>
                <c:pt idx="91">
                  <c:v>Jun-26</c:v>
                </c:pt>
                <c:pt idx="92">
                  <c:v>Jun-26</c:v>
                </c:pt>
                <c:pt idx="93">
                  <c:v>Jun-26</c:v>
                </c:pt>
                <c:pt idx="94">
                  <c:v>Jun-26</c:v>
                </c:pt>
                <c:pt idx="95">
                  <c:v>Jul-26</c:v>
                </c:pt>
                <c:pt idx="96">
                  <c:v>Jul-26</c:v>
                </c:pt>
                <c:pt idx="97">
                  <c:v>Jul-26</c:v>
                </c:pt>
                <c:pt idx="98">
                  <c:v>Jul-26</c:v>
                </c:pt>
                <c:pt idx="99">
                  <c:v>Aug-26</c:v>
                </c:pt>
                <c:pt idx="100">
                  <c:v>Aug-26</c:v>
                </c:pt>
                <c:pt idx="101">
                  <c:v>Aug-26</c:v>
                </c:pt>
                <c:pt idx="102">
                  <c:v>Aug-26</c:v>
                </c:pt>
                <c:pt idx="103">
                  <c:v>Aug-26</c:v>
                </c:pt>
                <c:pt idx="104">
                  <c:v>Sep-26</c:v>
                </c:pt>
              </c:strCache>
            </c:strRef>
          </c:cat>
          <c:val>
            <c:numRef>
              <c:f>Drawdown!$N$7:$N$111</c:f>
              <c:numCache>
                <c:formatCode>General</c:formatCode>
                <c:ptCount val="105"/>
                <c:pt idx="0">
                  <c:v>100</c:v>
                </c:pt>
                <c:pt idx="1">
                  <c:v>101.79396224943189</c:v>
                </c:pt>
                <c:pt idx="2">
                  <c:v>104.0208304924473</c:v>
                </c:pt>
                <c:pt idx="3">
                  <c:v>103.50671791057202</c:v>
                </c:pt>
                <c:pt idx="4">
                  <c:v>99.435963537552595</c:v>
                </c:pt>
                <c:pt idx="5">
                  <c:v>100.76814947275635</c:v>
                </c:pt>
                <c:pt idx="6">
                  <c:v>99.377212513365052</c:v>
                </c:pt>
                <c:pt idx="7">
                  <c:v>97.604906920629404</c:v>
                </c:pt>
                <c:pt idx="8">
                  <c:v>96.226196377550167</c:v>
                </c:pt>
                <c:pt idx="9">
                  <c:v>96.811490042989831</c:v>
                </c:pt>
                <c:pt idx="10">
                  <c:v>94.054476242960888</c:v>
                </c:pt>
                <c:pt idx="11">
                  <c:v>97.134710748915367</c:v>
                </c:pt>
                <c:pt idx="12">
                  <c:v>97.351864747795489</c:v>
                </c:pt>
                <c:pt idx="13">
                  <c:v>98.727160353326965</c:v>
                </c:pt>
                <c:pt idx="14">
                  <c:v>98.924662796456317</c:v>
                </c:pt>
                <c:pt idx="15">
                  <c:v>95.256126973643958</c:v>
                </c:pt>
                <c:pt idx="16">
                  <c:v>94.820824257836549</c:v>
                </c:pt>
                <c:pt idx="17">
                  <c:v>94.705131499767717</c:v>
                </c:pt>
                <c:pt idx="18">
                  <c:v>92.579317211434045</c:v>
                </c:pt>
                <c:pt idx="19">
                  <c:v>93.61716059378243</c:v>
                </c:pt>
                <c:pt idx="20">
                  <c:v>91.549502065293112</c:v>
                </c:pt>
                <c:pt idx="21">
                  <c:v>93.682530017575161</c:v>
                </c:pt>
                <c:pt idx="22">
                  <c:v>93.764934966978871</c:v>
                </c:pt>
                <c:pt idx="23">
                  <c:v>92.072230315293496</c:v>
                </c:pt>
                <c:pt idx="24">
                  <c:v>90.44348525079856</c:v>
                </c:pt>
                <c:pt idx="25">
                  <c:v>88.702861819486543</c:v>
                </c:pt>
                <c:pt idx="26">
                  <c:v>90.070340664300886</c:v>
                </c:pt>
                <c:pt idx="27">
                  <c:v>90.264631812947243</c:v>
                </c:pt>
                <c:pt idx="28">
                  <c:v>94.874758340299607</c:v>
                </c:pt>
                <c:pt idx="29">
                  <c:v>92.899130812237388</c:v>
                </c:pt>
                <c:pt idx="30">
                  <c:v>88.872488660018433</c:v>
                </c:pt>
                <c:pt idx="31">
                  <c:v>93.552198456119257</c:v>
                </c:pt>
                <c:pt idx="32">
                  <c:v>96.748329363207347</c:v>
                </c:pt>
                <c:pt idx="33">
                  <c:v>97.562196704005672</c:v>
                </c:pt>
                <c:pt idx="34">
                  <c:v>98.094151551325453</c:v>
                </c:pt>
                <c:pt idx="35">
                  <c:v>99.953075938420525</c:v>
                </c:pt>
                <c:pt idx="36">
                  <c:v>100.03628762765777</c:v>
                </c:pt>
                <c:pt idx="37">
                  <c:v>100.25966057243909</c:v>
                </c:pt>
                <c:pt idx="38">
                  <c:v>99.118554491398712</c:v>
                </c:pt>
                <c:pt idx="39">
                  <c:v>100.66889697595532</c:v>
                </c:pt>
                <c:pt idx="40">
                  <c:v>100.0405014726135</c:v>
                </c:pt>
                <c:pt idx="41">
                  <c:v>100.14236216712877</c:v>
                </c:pt>
                <c:pt idx="42">
                  <c:v>102.3285252944659</c:v>
                </c:pt>
                <c:pt idx="43">
                  <c:v>102.10495653904538</c:v>
                </c:pt>
                <c:pt idx="44">
                  <c:v>100.58509002237489</c:v>
                </c:pt>
                <c:pt idx="45">
                  <c:v>100.61876945231843</c:v>
                </c:pt>
                <c:pt idx="46">
                  <c:v>98.975393416861976</c:v>
                </c:pt>
                <c:pt idx="47">
                  <c:v>99.143218799513164</c:v>
                </c:pt>
                <c:pt idx="48">
                  <c:v>98.59101713209941</c:v>
                </c:pt>
                <c:pt idx="49">
                  <c:v>99.761588798127605</c:v>
                </c:pt>
                <c:pt idx="50">
                  <c:v>100.12571826279618</c:v>
                </c:pt>
                <c:pt idx="51">
                  <c:v>98.751425207737441</c:v>
                </c:pt>
                <c:pt idx="52">
                  <c:v>99.345334541302194</c:v>
                </c:pt>
                <c:pt idx="53">
                  <c:v>100.53255011166296</c:v>
                </c:pt>
                <c:pt idx="54">
                  <c:v>101.06651005992822</c:v>
                </c:pt>
                <c:pt idx="55">
                  <c:v>98.790924129878206</c:v>
                </c:pt>
                <c:pt idx="56">
                  <c:v>100.56644101709684</c:v>
                </c:pt>
                <c:pt idx="57">
                  <c:v>101.16676510720201</c:v>
                </c:pt>
                <c:pt idx="58">
                  <c:v>103.63625056461997</c:v>
                </c:pt>
                <c:pt idx="59">
                  <c:v>104.12910594350298</c:v>
                </c:pt>
                <c:pt idx="60">
                  <c:v>103.31623332075183</c:v>
                </c:pt>
                <c:pt idx="61">
                  <c:v>102.55830516336206</c:v>
                </c:pt>
                <c:pt idx="62">
                  <c:v>104.31918324719362</c:v>
                </c:pt>
                <c:pt idx="63">
                  <c:v>104.10283598814704</c:v>
                </c:pt>
                <c:pt idx="64">
                  <c:v>104.97004214706521</c:v>
                </c:pt>
                <c:pt idx="65">
                  <c:v>104.10704983310275</c:v>
                </c:pt>
                <c:pt idx="66">
                  <c:v>104.37473080932374</c:v>
                </c:pt>
                <c:pt idx="67">
                  <c:v>104.95660953721563</c:v>
                </c:pt>
                <c:pt idx="68">
                  <c:v>104.03305690875933</c:v>
                </c:pt>
                <c:pt idx="69">
                  <c:v>105.26900583100581</c:v>
                </c:pt>
                <c:pt idx="70">
                  <c:v>103.4241093181035</c:v>
                </c:pt>
                <c:pt idx="71">
                  <c:v>102.60302048093125</c:v>
                </c:pt>
                <c:pt idx="72">
                  <c:v>100.9584382519373</c:v>
                </c:pt>
                <c:pt idx="73">
                  <c:v>100.60955068742454</c:v>
                </c:pt>
                <c:pt idx="74">
                  <c:v>103.73309850677151</c:v>
                </c:pt>
                <c:pt idx="75">
                  <c:v>102.99301261482626</c:v>
                </c:pt>
                <c:pt idx="76">
                  <c:v>103.11432122202753</c:v>
                </c:pt>
                <c:pt idx="77">
                  <c:v>99.716474026854371</c:v>
                </c:pt>
                <c:pt idx="78">
                  <c:v>96.357334678839578</c:v>
                </c:pt>
                <c:pt idx="79">
                  <c:v>93.874017157868067</c:v>
                </c:pt>
                <c:pt idx="80">
                  <c:v>90.280273166807063</c:v>
                </c:pt>
                <c:pt idx="81">
                  <c:v>89.553424074072169</c:v>
                </c:pt>
                <c:pt idx="82">
                  <c:v>92.107319581839306</c:v>
                </c:pt>
                <c:pt idx="83">
                  <c:v>95.613841681772129</c:v>
                </c:pt>
                <c:pt idx="84">
                  <c:v>97.707965976256602</c:v>
                </c:pt>
                <c:pt idx="85">
                  <c:v>96.616587965149122</c:v>
                </c:pt>
                <c:pt idx="86">
                  <c:v>96.723265601388889</c:v>
                </c:pt>
                <c:pt idx="87">
                  <c:v>95.506365138124423</c:v>
                </c:pt>
                <c:pt idx="88">
                  <c:v>94.841071077930508</c:v>
                </c:pt>
                <c:pt idx="89">
                  <c:v>96.371965649801126</c:v>
                </c:pt>
                <c:pt idx="90">
                  <c:v>93.768945168869834</c:v>
                </c:pt>
                <c:pt idx="91">
                  <c:v>92.727898324464022</c:v>
                </c:pt>
                <c:pt idx="92">
                  <c:v>95.658956453045363</c:v>
                </c:pt>
                <c:pt idx="93">
                  <c:v>96.657496723892208</c:v>
                </c:pt>
                <c:pt idx="94">
                  <c:v>96.0292970311896</c:v>
                </c:pt>
                <c:pt idx="95">
                  <c:v>97.970634200113935</c:v>
                </c:pt>
                <c:pt idx="96">
                  <c:v>97.090997981818902</c:v>
                </c:pt>
                <c:pt idx="97">
                  <c:v>97.201278533820059</c:v>
                </c:pt>
                <c:pt idx="98">
                  <c:v>96.228600932199626</c:v>
                </c:pt>
                <c:pt idx="99">
                  <c:v>99.349947839961928</c:v>
                </c:pt>
                <c:pt idx="100">
                  <c:v>98.586004379735726</c:v>
                </c:pt>
                <c:pt idx="101">
                  <c:v>97.398381523245419</c:v>
                </c:pt>
                <c:pt idx="102">
                  <c:v>97.123283240011276</c:v>
                </c:pt>
                <c:pt idx="103">
                  <c:v>96.567267181345784</c:v>
                </c:pt>
                <c:pt idx="104">
                  <c:v>95.359193861696738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CBB-4B77-9C1A-0A8FE9A7AD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0054624"/>
        <c:axId val="700820976"/>
      </c:lineChart>
      <c:catAx>
        <c:axId val="890054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CBD5E1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00820976"/>
        <c:crosses val="autoZero"/>
        <c:auto val="1"/>
        <c:lblAlgn val="ctr"/>
        <c:lblOffset val="100"/>
        <c:tickLblSkip val="13"/>
        <c:noMultiLvlLbl val="0"/>
      </c:catAx>
      <c:valAx>
        <c:axId val="700820976"/>
        <c:scaling>
          <c:orientation val="minMax"/>
          <c:min val="80"/>
        </c:scaling>
        <c:delete val="0"/>
        <c:axPos val="l"/>
        <c:majorGridlines>
          <c:spPr>
            <a:ln w="9525" cap="flat" cmpd="sng" algn="ctr">
              <a:solidFill>
                <a:srgbClr val="1E293B"/>
              </a:solidFill>
              <a:prstDash val="solid"/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CBD5E1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890054624"/>
        <c:crosses val="autoZero"/>
        <c:crossBetween val="between"/>
        <c:majorUnit val="10"/>
      </c:valAx>
      <c:spPr>
        <a:solidFill>
          <a:srgbClr val="0A1220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CBD5E1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A1220"/>
    </a:solidFill>
    <a:ln w="25400" cap="flat" cmpd="sng" algn="ctr">
      <a:noFill/>
      <a:round/>
    </a:ln>
    <a:effectLst/>
  </c:spPr>
  <c:txPr>
    <a:bodyPr/>
    <a:lstStyle/>
    <a:p>
      <a:pPr>
        <a:defRPr sz="800">
          <a:solidFill>
            <a:srgbClr val="CBD5E1"/>
          </a:solidFill>
          <a:latin typeface="Arial"/>
          <a:ea typeface="Arial"/>
          <a:cs typeface="Arial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Drawdown!$Q$6</c:f>
              <c:strCache>
                <c:ptCount val="1"/>
                <c:pt idx="0">
                  <c:v>Portfolio</c:v>
                </c:pt>
              </c:strCache>
            </c:strRef>
          </c:tx>
          <c:spPr>
            <a:ln w="28575" cap="rnd">
              <a:solidFill>
                <a:srgbClr val="22D3EE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Drawdown!$P$7:$P$111</c:f>
              <c:strCache>
                <c:ptCount val="105"/>
                <c:pt idx="0">
                  <c:v>Sep-24</c:v>
                </c:pt>
                <c:pt idx="1">
                  <c:v>Sep-24</c:v>
                </c:pt>
                <c:pt idx="2">
                  <c:v>Sep-24</c:v>
                </c:pt>
                <c:pt idx="3">
                  <c:v>Sep-24</c:v>
                </c:pt>
                <c:pt idx="4">
                  <c:v>Oct-24</c:v>
                </c:pt>
                <c:pt idx="5">
                  <c:v>Oct-24</c:v>
                </c:pt>
                <c:pt idx="6">
                  <c:v>Oct-24</c:v>
                </c:pt>
                <c:pt idx="7">
                  <c:v>Oct-24</c:v>
                </c:pt>
                <c:pt idx="8">
                  <c:v>Nov-24</c:v>
                </c:pt>
                <c:pt idx="9">
                  <c:v>Nov-24</c:v>
                </c:pt>
                <c:pt idx="10">
                  <c:v>Nov-24</c:v>
                </c:pt>
                <c:pt idx="11">
                  <c:v>Nov-24</c:v>
                </c:pt>
                <c:pt idx="12">
                  <c:v>Dec-24</c:v>
                </c:pt>
                <c:pt idx="13">
                  <c:v>Dec-24</c:v>
                </c:pt>
                <c:pt idx="14">
                  <c:v>Dec-24</c:v>
                </c:pt>
                <c:pt idx="15">
                  <c:v>Dec-24</c:v>
                </c:pt>
                <c:pt idx="16">
                  <c:v>Dec-24</c:v>
                </c:pt>
                <c:pt idx="17">
                  <c:v>Jan-25</c:v>
                </c:pt>
                <c:pt idx="18">
                  <c:v>Jan-25</c:v>
                </c:pt>
                <c:pt idx="19">
                  <c:v>Jan-25</c:v>
                </c:pt>
                <c:pt idx="20">
                  <c:v>Jan-25</c:v>
                </c:pt>
                <c:pt idx="21">
                  <c:v>Feb-25</c:v>
                </c:pt>
                <c:pt idx="22">
                  <c:v>Feb-25</c:v>
                </c:pt>
                <c:pt idx="23">
                  <c:v>Feb-25</c:v>
                </c:pt>
                <c:pt idx="24">
                  <c:v>Feb-25</c:v>
                </c:pt>
                <c:pt idx="25">
                  <c:v>Mar-25</c:v>
                </c:pt>
                <c:pt idx="26">
                  <c:v>Mar-25</c:v>
                </c:pt>
                <c:pt idx="27">
                  <c:v>Mar-25</c:v>
                </c:pt>
                <c:pt idx="28">
                  <c:v>Mar-25</c:v>
                </c:pt>
                <c:pt idx="29">
                  <c:v>Mar-25</c:v>
                </c:pt>
                <c:pt idx="30">
                  <c:v>Apr-25</c:v>
                </c:pt>
                <c:pt idx="31">
                  <c:v>Apr-25</c:v>
                </c:pt>
                <c:pt idx="32">
                  <c:v>Apr-25</c:v>
                </c:pt>
                <c:pt idx="33">
                  <c:v>Apr-25</c:v>
                </c:pt>
                <c:pt idx="34">
                  <c:v>May-25</c:v>
                </c:pt>
                <c:pt idx="35">
                  <c:v>May-25</c:v>
                </c:pt>
                <c:pt idx="36">
                  <c:v>May-25</c:v>
                </c:pt>
                <c:pt idx="37">
                  <c:v>May-25</c:v>
                </c:pt>
                <c:pt idx="38">
                  <c:v>Jun-25</c:v>
                </c:pt>
                <c:pt idx="39">
                  <c:v>Jun-25</c:v>
                </c:pt>
                <c:pt idx="40">
                  <c:v>Jun-25</c:v>
                </c:pt>
                <c:pt idx="41">
                  <c:v>Jun-25</c:v>
                </c:pt>
                <c:pt idx="42">
                  <c:v>Jun-25</c:v>
                </c:pt>
                <c:pt idx="43">
                  <c:v>Jul-25</c:v>
                </c:pt>
                <c:pt idx="44">
                  <c:v>Jul-25</c:v>
                </c:pt>
                <c:pt idx="45">
                  <c:v>Jul-25</c:v>
                </c:pt>
                <c:pt idx="46">
                  <c:v>Jul-25</c:v>
                </c:pt>
                <c:pt idx="47">
                  <c:v>Aug-25</c:v>
                </c:pt>
                <c:pt idx="48">
                  <c:v>Aug-25</c:v>
                </c:pt>
                <c:pt idx="49">
                  <c:v>Aug-25</c:v>
                </c:pt>
                <c:pt idx="50">
                  <c:v>Aug-25</c:v>
                </c:pt>
                <c:pt idx="51">
                  <c:v>Sep-25</c:v>
                </c:pt>
                <c:pt idx="52">
                  <c:v>Sep-25</c:v>
                </c:pt>
                <c:pt idx="53">
                  <c:v>Sep-25</c:v>
                </c:pt>
                <c:pt idx="54">
                  <c:v>Sep-25</c:v>
                </c:pt>
                <c:pt idx="55">
                  <c:v>Sep-25</c:v>
                </c:pt>
                <c:pt idx="56">
                  <c:v>Oct-25</c:v>
                </c:pt>
                <c:pt idx="57">
                  <c:v>Oct-25</c:v>
                </c:pt>
                <c:pt idx="58">
                  <c:v>Oct-25</c:v>
                </c:pt>
                <c:pt idx="59">
                  <c:v>Oct-25</c:v>
                </c:pt>
                <c:pt idx="60">
                  <c:v>Nov-25</c:v>
                </c:pt>
                <c:pt idx="61">
                  <c:v>Nov-25</c:v>
                </c:pt>
                <c:pt idx="62">
                  <c:v>Nov-25</c:v>
                </c:pt>
                <c:pt idx="63">
                  <c:v>Nov-25</c:v>
                </c:pt>
                <c:pt idx="64">
                  <c:v>Dec-25</c:v>
                </c:pt>
                <c:pt idx="65">
                  <c:v>Dec-25</c:v>
                </c:pt>
                <c:pt idx="66">
                  <c:v>Dec-25</c:v>
                </c:pt>
                <c:pt idx="67">
                  <c:v>Dec-25</c:v>
                </c:pt>
                <c:pt idx="68">
                  <c:v>Dec-25</c:v>
                </c:pt>
                <c:pt idx="69">
                  <c:v>Jan-26</c:v>
                </c:pt>
                <c:pt idx="70">
                  <c:v>Jan-26</c:v>
                </c:pt>
                <c:pt idx="71">
                  <c:v>Jan-26</c:v>
                </c:pt>
                <c:pt idx="72">
                  <c:v>Jan-26</c:v>
                </c:pt>
                <c:pt idx="73">
                  <c:v>Feb-26</c:v>
                </c:pt>
                <c:pt idx="74">
                  <c:v>Feb-26</c:v>
                </c:pt>
                <c:pt idx="75">
                  <c:v>Feb-26</c:v>
                </c:pt>
                <c:pt idx="76">
                  <c:v>Feb-26</c:v>
                </c:pt>
                <c:pt idx="77">
                  <c:v>Mar-26</c:v>
                </c:pt>
                <c:pt idx="78">
                  <c:v>Mar-26</c:v>
                </c:pt>
                <c:pt idx="79">
                  <c:v>Mar-26</c:v>
                </c:pt>
                <c:pt idx="80">
                  <c:v>Mar-26</c:v>
                </c:pt>
                <c:pt idx="81">
                  <c:v>Mar-26</c:v>
                </c:pt>
                <c:pt idx="82">
                  <c:v>Apr-26</c:v>
                </c:pt>
                <c:pt idx="83">
                  <c:v>Apr-26</c:v>
                </c:pt>
                <c:pt idx="84">
                  <c:v>Apr-26</c:v>
                </c:pt>
                <c:pt idx="85">
                  <c:v>Apr-26</c:v>
                </c:pt>
                <c:pt idx="86">
                  <c:v>May-26</c:v>
                </c:pt>
                <c:pt idx="87">
                  <c:v>May-26</c:v>
                </c:pt>
                <c:pt idx="88">
                  <c:v>May-26</c:v>
                </c:pt>
                <c:pt idx="89">
                  <c:v>May-26</c:v>
                </c:pt>
                <c:pt idx="90">
                  <c:v>Jun-26</c:v>
                </c:pt>
                <c:pt idx="91">
                  <c:v>Jun-26</c:v>
                </c:pt>
                <c:pt idx="92">
                  <c:v>Jun-26</c:v>
                </c:pt>
                <c:pt idx="93">
                  <c:v>Jun-26</c:v>
                </c:pt>
                <c:pt idx="94">
                  <c:v>Jun-26</c:v>
                </c:pt>
                <c:pt idx="95">
                  <c:v>Jul-26</c:v>
                </c:pt>
                <c:pt idx="96">
                  <c:v>Jul-26</c:v>
                </c:pt>
                <c:pt idx="97">
                  <c:v>Jul-26</c:v>
                </c:pt>
                <c:pt idx="98">
                  <c:v>Jul-26</c:v>
                </c:pt>
                <c:pt idx="99">
                  <c:v>Aug-26</c:v>
                </c:pt>
                <c:pt idx="100">
                  <c:v>Aug-26</c:v>
                </c:pt>
                <c:pt idx="101">
                  <c:v>Aug-26</c:v>
                </c:pt>
                <c:pt idx="102">
                  <c:v>Aug-26</c:v>
                </c:pt>
                <c:pt idx="103">
                  <c:v>Aug-26</c:v>
                </c:pt>
                <c:pt idx="104">
                  <c:v>Sep-26</c:v>
                </c:pt>
              </c:strCache>
            </c:strRef>
          </c:cat>
          <c:val>
            <c:numRef>
              <c:f>Drawdown!$Q$7:$Q$111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-5.8302103969896879E-2</c:v>
                </c:pt>
                <c:pt idx="4">
                  <c:v>-5.492740168687138E-2</c:v>
                </c:pt>
                <c:pt idx="5">
                  <c:v>-5.7226376774535681E-2</c:v>
                </c:pt>
                <c:pt idx="6">
                  <c:v>-8.0259289474018058E-2</c:v>
                </c:pt>
                <c:pt idx="7">
                  <c:v>-7.4289032611909334E-2</c:v>
                </c:pt>
                <c:pt idx="8">
                  <c:v>-7.6354397913131811E-2</c:v>
                </c:pt>
                <c:pt idx="9">
                  <c:v>-9.8750534075267904E-2</c:v>
                </c:pt>
                <c:pt idx="10">
                  <c:v>-8.9154887534596439E-2</c:v>
                </c:pt>
                <c:pt idx="11">
                  <c:v>-7.0024464903206574E-2</c:v>
                </c:pt>
                <c:pt idx="12">
                  <c:v>-5.8002265282592225E-2</c:v>
                </c:pt>
                <c:pt idx="13">
                  <c:v>-5.5796663359021781E-2</c:v>
                </c:pt>
                <c:pt idx="14">
                  <c:v>-9.6657622574832125E-2</c:v>
                </c:pt>
                <c:pt idx="15">
                  <c:v>-8.8667859973803553E-2</c:v>
                </c:pt>
                <c:pt idx="16">
                  <c:v>-7.2849249241562997E-2</c:v>
                </c:pt>
                <c:pt idx="17">
                  <c:v>-8.8556498986584464E-2</c:v>
                </c:pt>
                <c:pt idx="18">
                  <c:v>-8.3301793955292691E-2</c:v>
                </c:pt>
                <c:pt idx="19">
                  <c:v>-9.7491333018700388E-2</c:v>
                </c:pt>
                <c:pt idx="20">
                  <c:v>-8.6969475901892856E-2</c:v>
                </c:pt>
                <c:pt idx="21">
                  <c:v>-7.7666059071489379E-2</c:v>
                </c:pt>
                <c:pt idx="22">
                  <c:v>-9.4275877065643221E-2</c:v>
                </c:pt>
                <c:pt idx="23">
                  <c:v>-9.8068277825180239E-2</c:v>
                </c:pt>
                <c:pt idx="24">
                  <c:v>-0.1253955908718305</c:v>
                </c:pt>
                <c:pt idx="25">
                  <c:v>-0.11167916576104697</c:v>
                </c:pt>
                <c:pt idx="26">
                  <c:v>-0.11498661568825264</c:v>
                </c:pt>
                <c:pt idx="27">
                  <c:v>-8.0732934610818763E-2</c:v>
                </c:pt>
                <c:pt idx="28">
                  <c:v>-7.9479170248694331E-2</c:v>
                </c:pt>
                <c:pt idx="29">
                  <c:v>-7.9479170248694331E-2</c:v>
                </c:pt>
                <c:pt idx="30">
                  <c:v>-0.11063435843731606</c:v>
                </c:pt>
                <c:pt idx="31">
                  <c:v>-0.11063435843731606</c:v>
                </c:pt>
                <c:pt idx="32">
                  <c:v>-6.2115285510192297E-2</c:v>
                </c:pt>
                <c:pt idx="33">
                  <c:v>-2.9161434122291663E-2</c:v>
                </c:pt>
                <c:pt idx="34">
                  <c:v>-3.9885984329548707E-2</c:v>
                </c:pt>
                <c:pt idx="35">
                  <c:v>-6.6224902394749208E-3</c:v>
                </c:pt>
                <c:pt idx="36">
                  <c:v>-1.6931863994762875E-2</c:v>
                </c:pt>
                <c:pt idx="37">
                  <c:v>-1.5520221700199621E-2</c:v>
                </c:pt>
                <c:pt idx="38">
                  <c:v>-4.4096033285508929E-3</c:v>
                </c:pt>
                <c:pt idx="39">
                  <c:v>-1.378860530444348E-2</c:v>
                </c:pt>
                <c:pt idx="40">
                  <c:v>0</c:v>
                </c:pt>
                <c:pt idx="41">
                  <c:v>0</c:v>
                </c:pt>
                <c:pt idx="42">
                  <c:v>-3.0070596809198546E-3</c:v>
                </c:pt>
                <c:pt idx="43">
                  <c:v>-2.488245130416844E-2</c:v>
                </c:pt>
                <c:pt idx="44">
                  <c:v>-4.0664434231520108E-2</c:v>
                </c:pt>
                <c:pt idx="45">
                  <c:v>-4.6998448429272144E-2</c:v>
                </c:pt>
                <c:pt idx="46">
                  <c:v>-4.9836107365610283E-2</c:v>
                </c:pt>
                <c:pt idx="47">
                  <c:v>-5.5039433291216411E-2</c:v>
                </c:pt>
                <c:pt idx="48">
                  <c:v>-3.9249628539082648E-2</c:v>
                </c:pt>
                <c:pt idx="49">
                  <c:v>-2.051565708148595E-2</c:v>
                </c:pt>
                <c:pt idx="50">
                  <c:v>-3.3925616105646261E-2</c:v>
                </c:pt>
                <c:pt idx="51">
                  <c:v>-3.4446406291264609E-2</c:v>
                </c:pt>
                <c:pt idx="52">
                  <c:v>-2.1197420944216283E-2</c:v>
                </c:pt>
                <c:pt idx="53">
                  <c:v>-6.7502476421719138E-3</c:v>
                </c:pt>
                <c:pt idx="54">
                  <c:v>-2.3384926800518513E-2</c:v>
                </c:pt>
                <c:pt idx="55">
                  <c:v>-2.6110744817966935E-2</c:v>
                </c:pt>
                <c:pt idx="56">
                  <c:v>-2.328751855502964E-3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-1.7693940017564302E-2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-2.5814956904058883E-3</c:v>
                </c:pt>
                <c:pt idx="67">
                  <c:v>-1.3307141774768771E-3</c:v>
                </c:pt>
                <c:pt idx="68">
                  <c:v>0</c:v>
                </c:pt>
                <c:pt idx="69">
                  <c:v>-4.2290657064082748E-2</c:v>
                </c:pt>
                <c:pt idx="70">
                  <c:v>-6.0398313204923393E-2</c:v>
                </c:pt>
                <c:pt idx="71">
                  <c:v>-8.8349315539617557E-2</c:v>
                </c:pt>
                <c:pt idx="72">
                  <c:v>-8.8349315539617557E-2</c:v>
                </c:pt>
                <c:pt idx="73">
                  <c:v>-6.761037262921199E-2</c:v>
                </c:pt>
                <c:pt idx="74">
                  <c:v>-8.204380335719319E-2</c:v>
                </c:pt>
                <c:pt idx="75">
                  <c:v>-7.8520444649628152E-2</c:v>
                </c:pt>
                <c:pt idx="76">
                  <c:v>-9.8888269879232049E-2</c:v>
                </c:pt>
                <c:pt idx="77">
                  <c:v>-0.12137723691060398</c:v>
                </c:pt>
                <c:pt idx="78">
                  <c:v>-0.16567774870366503</c:v>
                </c:pt>
                <c:pt idx="79">
                  <c:v>-0.16766219998480236</c:v>
                </c:pt>
                <c:pt idx="80">
                  <c:v>-0.17735436912540958</c:v>
                </c:pt>
                <c:pt idx="81">
                  <c:v>-0.17991189250061801</c:v>
                </c:pt>
                <c:pt idx="82">
                  <c:v>-0.139643279314136</c:v>
                </c:pt>
                <c:pt idx="83">
                  <c:v>-0.13803588025450153</c:v>
                </c:pt>
                <c:pt idx="84">
                  <c:v>-0.1620056745670776</c:v>
                </c:pt>
                <c:pt idx="85">
                  <c:v>-0.14123407512948183</c:v>
                </c:pt>
                <c:pt idx="86">
                  <c:v>-0.13776623094385232</c:v>
                </c:pt>
                <c:pt idx="87">
                  <c:v>-0.15215097241812647</c:v>
                </c:pt>
                <c:pt idx="88">
                  <c:v>-0.15338334321605118</c:v>
                </c:pt>
                <c:pt idx="89">
                  <c:v>-0.15768588137352801</c:v>
                </c:pt>
                <c:pt idx="90">
                  <c:v>-0.16981918968868925</c:v>
                </c:pt>
                <c:pt idx="91">
                  <c:v>-0.16213319836401985</c:v>
                </c:pt>
                <c:pt idx="92">
                  <c:v>-0.14875201804772908</c:v>
                </c:pt>
                <c:pt idx="93">
                  <c:v>-0.1413394337805427</c:v>
                </c:pt>
                <c:pt idx="94">
                  <c:v>-0.13530087357619847</c:v>
                </c:pt>
                <c:pt idx="95">
                  <c:v>-0.13592266094784422</c:v>
                </c:pt>
                <c:pt idx="96">
                  <c:v>-0.13783749836292913</c:v>
                </c:pt>
                <c:pt idx="97">
                  <c:v>-0.15791115558909008</c:v>
                </c:pt>
                <c:pt idx="98">
                  <c:v>-0.12783600607455803</c:v>
                </c:pt>
                <c:pt idx="99">
                  <c:v>-0.12541723023768092</c:v>
                </c:pt>
                <c:pt idx="100">
                  <c:v>-0.12999682226824283</c:v>
                </c:pt>
                <c:pt idx="101">
                  <c:v>-0.13765061197998052</c:v>
                </c:pt>
                <c:pt idx="102">
                  <c:v>-0.15008444410905863</c:v>
                </c:pt>
                <c:pt idx="103">
                  <c:v>-0.16077197650266239</c:v>
                </c:pt>
                <c:pt idx="104">
                  <c:v>-0.16025597548522486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74-4781-99DE-168F5AB430FE}"/>
            </c:ext>
          </c:extLst>
        </c:ser>
        <c:ser>
          <c:idx val="1"/>
          <c:order val="1"/>
          <c:tx>
            <c:strRef>
              <c:f>Drawdown!$R$6</c:f>
              <c:strCache>
                <c:ptCount val="1"/>
                <c:pt idx="0">
                  <c:v>NIFTY 50</c:v>
                </c:pt>
              </c:strCache>
            </c:strRef>
          </c:tx>
          <c:spPr>
            <a:ln w="19050" cap="rnd">
              <a:solidFill>
                <a:srgbClr val="94A3B8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Drawdown!$P$7:$P$111</c:f>
              <c:strCache>
                <c:ptCount val="105"/>
                <c:pt idx="0">
                  <c:v>Sep-24</c:v>
                </c:pt>
                <c:pt idx="1">
                  <c:v>Sep-24</c:v>
                </c:pt>
                <c:pt idx="2">
                  <c:v>Sep-24</c:v>
                </c:pt>
                <c:pt idx="3">
                  <c:v>Sep-24</c:v>
                </c:pt>
                <c:pt idx="4">
                  <c:v>Oct-24</c:v>
                </c:pt>
                <c:pt idx="5">
                  <c:v>Oct-24</c:v>
                </c:pt>
                <c:pt idx="6">
                  <c:v>Oct-24</c:v>
                </c:pt>
                <c:pt idx="7">
                  <c:v>Oct-24</c:v>
                </c:pt>
                <c:pt idx="8">
                  <c:v>Nov-24</c:v>
                </c:pt>
                <c:pt idx="9">
                  <c:v>Nov-24</c:v>
                </c:pt>
                <c:pt idx="10">
                  <c:v>Nov-24</c:v>
                </c:pt>
                <c:pt idx="11">
                  <c:v>Nov-24</c:v>
                </c:pt>
                <c:pt idx="12">
                  <c:v>Dec-24</c:v>
                </c:pt>
                <c:pt idx="13">
                  <c:v>Dec-24</c:v>
                </c:pt>
                <c:pt idx="14">
                  <c:v>Dec-24</c:v>
                </c:pt>
                <c:pt idx="15">
                  <c:v>Dec-24</c:v>
                </c:pt>
                <c:pt idx="16">
                  <c:v>Dec-24</c:v>
                </c:pt>
                <c:pt idx="17">
                  <c:v>Jan-25</c:v>
                </c:pt>
                <c:pt idx="18">
                  <c:v>Jan-25</c:v>
                </c:pt>
                <c:pt idx="19">
                  <c:v>Jan-25</c:v>
                </c:pt>
                <c:pt idx="20">
                  <c:v>Jan-25</c:v>
                </c:pt>
                <c:pt idx="21">
                  <c:v>Feb-25</c:v>
                </c:pt>
                <c:pt idx="22">
                  <c:v>Feb-25</c:v>
                </c:pt>
                <c:pt idx="23">
                  <c:v>Feb-25</c:v>
                </c:pt>
                <c:pt idx="24">
                  <c:v>Feb-25</c:v>
                </c:pt>
                <c:pt idx="25">
                  <c:v>Mar-25</c:v>
                </c:pt>
                <c:pt idx="26">
                  <c:v>Mar-25</c:v>
                </c:pt>
                <c:pt idx="27">
                  <c:v>Mar-25</c:v>
                </c:pt>
                <c:pt idx="28">
                  <c:v>Mar-25</c:v>
                </c:pt>
                <c:pt idx="29">
                  <c:v>Mar-25</c:v>
                </c:pt>
                <c:pt idx="30">
                  <c:v>Apr-25</c:v>
                </c:pt>
                <c:pt idx="31">
                  <c:v>Apr-25</c:v>
                </c:pt>
                <c:pt idx="32">
                  <c:v>Apr-25</c:v>
                </c:pt>
                <c:pt idx="33">
                  <c:v>Apr-25</c:v>
                </c:pt>
                <c:pt idx="34">
                  <c:v>May-25</c:v>
                </c:pt>
                <c:pt idx="35">
                  <c:v>May-25</c:v>
                </c:pt>
                <c:pt idx="36">
                  <c:v>May-25</c:v>
                </c:pt>
                <c:pt idx="37">
                  <c:v>May-25</c:v>
                </c:pt>
                <c:pt idx="38">
                  <c:v>Jun-25</c:v>
                </c:pt>
                <c:pt idx="39">
                  <c:v>Jun-25</c:v>
                </c:pt>
                <c:pt idx="40">
                  <c:v>Jun-25</c:v>
                </c:pt>
                <c:pt idx="41">
                  <c:v>Jun-25</c:v>
                </c:pt>
                <c:pt idx="42">
                  <c:v>Jun-25</c:v>
                </c:pt>
                <c:pt idx="43">
                  <c:v>Jul-25</c:v>
                </c:pt>
                <c:pt idx="44">
                  <c:v>Jul-25</c:v>
                </c:pt>
                <c:pt idx="45">
                  <c:v>Jul-25</c:v>
                </c:pt>
                <c:pt idx="46">
                  <c:v>Jul-25</c:v>
                </c:pt>
                <c:pt idx="47">
                  <c:v>Aug-25</c:v>
                </c:pt>
                <c:pt idx="48">
                  <c:v>Aug-25</c:v>
                </c:pt>
                <c:pt idx="49">
                  <c:v>Aug-25</c:v>
                </c:pt>
                <c:pt idx="50">
                  <c:v>Aug-25</c:v>
                </c:pt>
                <c:pt idx="51">
                  <c:v>Sep-25</c:v>
                </c:pt>
                <c:pt idx="52">
                  <c:v>Sep-25</c:v>
                </c:pt>
                <c:pt idx="53">
                  <c:v>Sep-25</c:v>
                </c:pt>
                <c:pt idx="54">
                  <c:v>Sep-25</c:v>
                </c:pt>
                <c:pt idx="55">
                  <c:v>Sep-25</c:v>
                </c:pt>
                <c:pt idx="56">
                  <c:v>Oct-25</c:v>
                </c:pt>
                <c:pt idx="57">
                  <c:v>Oct-25</c:v>
                </c:pt>
                <c:pt idx="58">
                  <c:v>Oct-25</c:v>
                </c:pt>
                <c:pt idx="59">
                  <c:v>Oct-25</c:v>
                </c:pt>
                <c:pt idx="60">
                  <c:v>Nov-25</c:v>
                </c:pt>
                <c:pt idx="61">
                  <c:v>Nov-25</c:v>
                </c:pt>
                <c:pt idx="62">
                  <c:v>Nov-25</c:v>
                </c:pt>
                <c:pt idx="63">
                  <c:v>Nov-25</c:v>
                </c:pt>
                <c:pt idx="64">
                  <c:v>Dec-25</c:v>
                </c:pt>
                <c:pt idx="65">
                  <c:v>Dec-25</c:v>
                </c:pt>
                <c:pt idx="66">
                  <c:v>Dec-25</c:v>
                </c:pt>
                <c:pt idx="67">
                  <c:v>Dec-25</c:v>
                </c:pt>
                <c:pt idx="68">
                  <c:v>Dec-25</c:v>
                </c:pt>
                <c:pt idx="69">
                  <c:v>Jan-26</c:v>
                </c:pt>
                <c:pt idx="70">
                  <c:v>Jan-26</c:v>
                </c:pt>
                <c:pt idx="71">
                  <c:v>Jan-26</c:v>
                </c:pt>
                <c:pt idx="72">
                  <c:v>Jan-26</c:v>
                </c:pt>
                <c:pt idx="73">
                  <c:v>Feb-26</c:v>
                </c:pt>
                <c:pt idx="74">
                  <c:v>Feb-26</c:v>
                </c:pt>
                <c:pt idx="75">
                  <c:v>Feb-26</c:v>
                </c:pt>
                <c:pt idx="76">
                  <c:v>Feb-26</c:v>
                </c:pt>
                <c:pt idx="77">
                  <c:v>Mar-26</c:v>
                </c:pt>
                <c:pt idx="78">
                  <c:v>Mar-26</c:v>
                </c:pt>
                <c:pt idx="79">
                  <c:v>Mar-26</c:v>
                </c:pt>
                <c:pt idx="80">
                  <c:v>Mar-26</c:v>
                </c:pt>
                <c:pt idx="81">
                  <c:v>Mar-26</c:v>
                </c:pt>
                <c:pt idx="82">
                  <c:v>Apr-26</c:v>
                </c:pt>
                <c:pt idx="83">
                  <c:v>Apr-26</c:v>
                </c:pt>
                <c:pt idx="84">
                  <c:v>Apr-26</c:v>
                </c:pt>
                <c:pt idx="85">
                  <c:v>Apr-26</c:v>
                </c:pt>
                <c:pt idx="86">
                  <c:v>May-26</c:v>
                </c:pt>
                <c:pt idx="87">
                  <c:v>May-26</c:v>
                </c:pt>
                <c:pt idx="88">
                  <c:v>May-26</c:v>
                </c:pt>
                <c:pt idx="89">
                  <c:v>May-26</c:v>
                </c:pt>
                <c:pt idx="90">
                  <c:v>Jun-26</c:v>
                </c:pt>
                <c:pt idx="91">
                  <c:v>Jun-26</c:v>
                </c:pt>
                <c:pt idx="92">
                  <c:v>Jun-26</c:v>
                </c:pt>
                <c:pt idx="93">
                  <c:v>Jun-26</c:v>
                </c:pt>
                <c:pt idx="94">
                  <c:v>Jun-26</c:v>
                </c:pt>
                <c:pt idx="95">
                  <c:v>Jul-26</c:v>
                </c:pt>
                <c:pt idx="96">
                  <c:v>Jul-26</c:v>
                </c:pt>
                <c:pt idx="97">
                  <c:v>Jul-26</c:v>
                </c:pt>
                <c:pt idx="98">
                  <c:v>Jul-26</c:v>
                </c:pt>
                <c:pt idx="99">
                  <c:v>Aug-26</c:v>
                </c:pt>
                <c:pt idx="100">
                  <c:v>Aug-26</c:v>
                </c:pt>
                <c:pt idx="101">
                  <c:v>Aug-26</c:v>
                </c:pt>
                <c:pt idx="102">
                  <c:v>Aug-26</c:v>
                </c:pt>
                <c:pt idx="103">
                  <c:v>Aug-26</c:v>
                </c:pt>
                <c:pt idx="104">
                  <c:v>Sep-26</c:v>
                </c:pt>
              </c:strCache>
            </c:strRef>
          </c:cat>
          <c:val>
            <c:numRef>
              <c:f>Drawdown!$R$7:$R$111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-4.9424002811879753E-3</c:v>
                </c:pt>
                <c:pt idx="4">
                  <c:v>-4.4076430972425307E-2</c:v>
                </c:pt>
                <c:pt idx="5">
                  <c:v>-3.1269515964181038E-2</c:v>
                </c:pt>
                <c:pt idx="6">
                  <c:v>-4.4641231540824999E-2</c:v>
                </c:pt>
                <c:pt idx="7">
                  <c:v>-6.1679218878027964E-2</c:v>
                </c:pt>
                <c:pt idx="8">
                  <c:v>-7.4933396301456012E-2</c:v>
                </c:pt>
                <c:pt idx="9">
                  <c:v>-6.9306699584377185E-2</c:v>
                </c:pt>
                <c:pt idx="10">
                  <c:v>-9.5811139002683232E-2</c:v>
                </c:pt>
                <c:pt idx="11">
                  <c:v>-6.619943054609545E-2</c:v>
                </c:pt>
                <c:pt idx="12">
                  <c:v>-6.4111829458389447E-2</c:v>
                </c:pt>
                <c:pt idx="13">
                  <c:v>-5.0890481397422582E-2</c:v>
                </c:pt>
                <c:pt idx="14">
                  <c:v>-4.8991799737274744E-2</c:v>
                </c:pt>
                <c:pt idx="15">
                  <c:v>-8.4259118844852265E-2</c:v>
                </c:pt>
                <c:pt idx="16">
                  <c:v>-8.8443883701531778E-2</c:v>
                </c:pt>
                <c:pt idx="17">
                  <c:v>-8.9556091299963003E-2</c:v>
                </c:pt>
                <c:pt idx="18">
                  <c:v>-0.10999252002553472</c:v>
                </c:pt>
                <c:pt idx="19">
                  <c:v>-0.10001525511200626</c:v>
                </c:pt>
                <c:pt idx="20">
                  <c:v>-0.11989260581859806</c:v>
                </c:pt>
                <c:pt idx="21">
                  <c:v>-9.9386828829661988E-2</c:v>
                </c:pt>
                <c:pt idx="22">
                  <c:v>-9.8594632218525602E-2</c:v>
                </c:pt>
                <c:pt idx="23">
                  <c:v>-0.11486737916422773</c:v>
                </c:pt>
                <c:pt idx="24">
                  <c:v>-0.13052525323410646</c:v>
                </c:pt>
                <c:pt idx="25">
                  <c:v>-0.1472586654081075</c:v>
                </c:pt>
                <c:pt idx="26">
                  <c:v>-0.13411246345662786</c:v>
                </c:pt>
                <c:pt idx="27">
                  <c:v>-0.13224465344466618</c:v>
                </c:pt>
                <c:pt idx="28">
                  <c:v>-8.7925390605411158E-2</c:v>
                </c:pt>
                <c:pt idx="29">
                  <c:v>-0.1069180050530113</c:v>
                </c:pt>
                <c:pt idx="30">
                  <c:v>-0.14562796471355566</c:v>
                </c:pt>
                <c:pt idx="31">
                  <c:v>-0.10063976596579993</c:v>
                </c:pt>
                <c:pt idx="32">
                  <c:v>-6.9913892196505678E-2</c:v>
                </c:pt>
                <c:pt idx="33">
                  <c:v>-6.2089811798902828E-2</c:v>
                </c:pt>
                <c:pt idx="34">
                  <c:v>-5.6975885628524847E-2</c:v>
                </c:pt>
                <c:pt idx="35">
                  <c:v>-3.9105192054029292E-2</c:v>
                </c:pt>
                <c:pt idx="36">
                  <c:v>-3.8305239882494901E-2</c:v>
                </c:pt>
                <c:pt idx="37">
                  <c:v>-3.6157853212691937E-2</c:v>
                </c:pt>
                <c:pt idx="38">
                  <c:v>-4.7127829857160464E-2</c:v>
                </c:pt>
                <c:pt idx="39">
                  <c:v>-3.2223675783239925E-2</c:v>
                </c:pt>
                <c:pt idx="40">
                  <c:v>-3.8264730256338475E-2</c:v>
                </c:pt>
                <c:pt idx="41">
                  <c:v>-3.7285496635216187E-2</c:v>
                </c:pt>
                <c:pt idx="42">
                  <c:v>-1.6268906813854622E-2</c:v>
                </c:pt>
                <c:pt idx="43">
                  <c:v>-1.8418175901230072E-2</c:v>
                </c:pt>
                <c:pt idx="44">
                  <c:v>-3.3029350504194199E-2</c:v>
                </c:pt>
                <c:pt idx="45">
                  <c:v>-3.2705574681754612E-2</c:v>
                </c:pt>
                <c:pt idx="46">
                  <c:v>-4.8504102992637299E-2</c:v>
                </c:pt>
                <c:pt idx="47">
                  <c:v>-4.6890720539750852E-2</c:v>
                </c:pt>
                <c:pt idx="48">
                  <c:v>-5.2199288687107104E-2</c:v>
                </c:pt>
                <c:pt idx="49">
                  <c:v>-4.0946045846355306E-2</c:v>
                </c:pt>
                <c:pt idx="50">
                  <c:v>-3.7445502128863772E-2</c:v>
                </c:pt>
                <c:pt idx="51">
                  <c:v>-5.065721221186037E-2</c:v>
                </c:pt>
                <c:pt idx="52">
                  <c:v>-4.494768912159941E-2</c:v>
                </c:pt>
                <c:pt idx="53">
                  <c:v>-3.3534440787200026E-2</c:v>
                </c:pt>
                <c:pt idx="54">
                  <c:v>-2.84012386608814E-2</c:v>
                </c:pt>
                <c:pt idx="55">
                  <c:v>-5.0277490939171332E-2</c:v>
                </c:pt>
                <c:pt idx="56">
                  <c:v>-3.320863195378243E-2</c:v>
                </c:pt>
                <c:pt idx="57">
                  <c:v>-2.7437440863851914E-2</c:v>
                </c:pt>
                <c:pt idx="58">
                  <c:v>-3.6971434087449406E-3</c:v>
                </c:pt>
                <c:pt idx="59">
                  <c:v>0</c:v>
                </c:pt>
                <c:pt idx="60">
                  <c:v>-7.8063920302184897E-3</c:v>
                </c:pt>
                <c:pt idx="61">
                  <c:v>-1.5085126928806813E-2</c:v>
                </c:pt>
                <c:pt idx="62">
                  <c:v>0</c:v>
                </c:pt>
                <c:pt idx="63">
                  <c:v>-2.0738971712799259E-3</c:v>
                </c:pt>
                <c:pt idx="64">
                  <c:v>0</c:v>
                </c:pt>
                <c:pt idx="65">
                  <c:v>-8.2213200672377473E-3</c:v>
                </c:pt>
                <c:pt idx="66">
                  <c:v>-5.6712498686761759E-3</c:v>
                </c:pt>
                <c:pt idx="67">
                  <c:v>-1.2796612800025642E-4</c:v>
                </c:pt>
                <c:pt idx="68">
                  <c:v>-8.9262157006009257E-3</c:v>
                </c:pt>
                <c:pt idx="69">
                  <c:v>0</c:v>
                </c:pt>
                <c:pt idx="70">
                  <c:v>-1.7525543234102825E-2</c:v>
                </c:pt>
                <c:pt idx="71">
                  <c:v>-2.5325453860126856E-2</c:v>
                </c:pt>
                <c:pt idx="72">
                  <c:v>-4.094811711234847E-2</c:v>
                </c:pt>
                <c:pt idx="73">
                  <c:v>-4.4262364850878866E-2</c:v>
                </c:pt>
                <c:pt idx="74">
                  <c:v>-1.4590309009852143E-2</c:v>
                </c:pt>
                <c:pt idx="75">
                  <c:v>-2.1620734405275344E-2</c:v>
                </c:pt>
                <c:pt idx="76">
                  <c:v>-2.0468366657108161E-2</c:v>
                </c:pt>
                <c:pt idx="77">
                  <c:v>-5.2746121807830448E-2</c:v>
                </c:pt>
                <c:pt idx="78">
                  <c:v>-8.4656172838495691E-2</c:v>
                </c:pt>
                <c:pt idx="79">
                  <c:v>-0.10824637872452936</c:v>
                </c:pt>
                <c:pt idx="80">
                  <c:v>-0.14238505005225366</c:v>
                </c:pt>
                <c:pt idx="81">
                  <c:v>-0.14928973284085856</c:v>
                </c:pt>
                <c:pt idx="82">
                  <c:v>-0.12502907332758229</c:v>
                </c:pt>
                <c:pt idx="83">
                  <c:v>-9.1718963934490416E-2</c:v>
                </c:pt>
                <c:pt idx="84">
                  <c:v>-7.1825888304553498E-2</c:v>
                </c:pt>
                <c:pt idx="85">
                  <c:v>-8.2193403438680646E-2</c:v>
                </c:pt>
                <c:pt idx="86">
                  <c:v>-8.1180022193197865E-2</c:v>
                </c:pt>
                <c:pt idx="87">
                  <c:v>-9.273993437872774E-2</c:v>
                </c:pt>
                <c:pt idx="88">
                  <c:v>-9.9059876843672789E-2</c:v>
                </c:pt>
                <c:pt idx="89">
                  <c:v>-8.4517186335810957E-2</c:v>
                </c:pt>
                <c:pt idx="90">
                  <c:v>-0.10924450716859302</c:v>
                </c:pt>
                <c:pt idx="91">
                  <c:v>-0.11913390278117308</c:v>
                </c:pt>
                <c:pt idx="92">
                  <c:v>-9.1290397416576741E-2</c:v>
                </c:pt>
                <c:pt idx="93">
                  <c:v>-8.1804791820093148E-2</c:v>
                </c:pt>
                <c:pt idx="94">
                  <c:v>-8.7772357370309306E-2</c:v>
                </c:pt>
                <c:pt idx="95">
                  <c:v>-6.9330678800257339E-2</c:v>
                </c:pt>
                <c:pt idx="96">
                  <c:v>-7.768675864874719E-2</c:v>
                </c:pt>
                <c:pt idx="97">
                  <c:v>-7.6639151604958933E-2</c:v>
                </c:pt>
                <c:pt idx="98">
                  <c:v>-8.5879075492735768E-2</c:v>
                </c:pt>
                <c:pt idx="99">
                  <c:v>-5.6227927150239054E-2</c:v>
                </c:pt>
                <c:pt idx="100">
                  <c:v>-6.3484986853572845E-2</c:v>
                </c:pt>
                <c:pt idx="101">
                  <c:v>-7.4766777225915293E-2</c:v>
                </c:pt>
                <c:pt idx="102">
                  <c:v>-7.7380065734365511E-2</c:v>
                </c:pt>
                <c:pt idx="103">
                  <c:v>-8.2661924855920166E-2</c:v>
                </c:pt>
                <c:pt idx="104">
                  <c:v>-9.4137983835601569E-2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74-4781-99DE-168F5AB430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0097776"/>
        <c:axId val="700843536"/>
      </c:lineChart>
      <c:catAx>
        <c:axId val="890097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CBD5E1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00843536"/>
        <c:crosses val="autoZero"/>
        <c:auto val="1"/>
        <c:lblAlgn val="ctr"/>
        <c:lblOffset val="100"/>
        <c:tickLblSkip val="13"/>
        <c:noMultiLvlLbl val="0"/>
      </c:catAx>
      <c:valAx>
        <c:axId val="70084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1E293B"/>
              </a:solidFill>
              <a:prstDash val="solid"/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CBD5E1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890097776"/>
        <c:crosses val="autoZero"/>
        <c:crossBetween val="between"/>
      </c:valAx>
      <c:spPr>
        <a:solidFill>
          <a:srgbClr val="0A1220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CBD5E1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A1220"/>
    </a:solidFill>
    <a:ln w="25400" cap="flat" cmpd="sng" algn="ctr">
      <a:noFill/>
      <a:round/>
    </a:ln>
    <a:effectLst/>
  </c:spPr>
  <c:txPr>
    <a:bodyPr/>
    <a:lstStyle/>
    <a:p>
      <a:pPr>
        <a:defRPr sz="800">
          <a:solidFill>
            <a:srgbClr val="CBD5E1"/>
          </a:solidFill>
          <a:latin typeface="Arial"/>
          <a:ea typeface="Arial"/>
          <a:cs typeface="Arial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251460</xdr:colOff>
      <xdr:row>12</xdr:row>
      <xdr:rowOff>83820</xdr:rowOff>
    </xdr:from>
    <xdr:to>
      <xdr:col>26</xdr:col>
      <xdr:colOff>24660</xdr:colOff>
      <xdr:row>28</xdr:row>
      <xdr:rowOff>131340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350520</xdr:colOff>
      <xdr:row>33</xdr:row>
      <xdr:rowOff>114300</xdr:rowOff>
    </xdr:from>
    <xdr:to>
      <xdr:col>26</xdr:col>
      <xdr:colOff>182880</xdr:colOff>
      <xdr:row>45</xdr:row>
      <xdr:rowOff>175260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91440</xdr:colOff>
      <xdr:row>50</xdr:row>
      <xdr:rowOff>0</xdr:rowOff>
    </xdr:from>
    <xdr:to>
      <xdr:col>16</xdr:col>
      <xdr:colOff>101880</xdr:colOff>
      <xdr:row>64</xdr:row>
      <xdr:rowOff>32880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16</xdr:col>
      <xdr:colOff>147600</xdr:colOff>
      <xdr:row>30</xdr:row>
      <xdr:rowOff>77760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6F0D3935-6F3D-C2DC-7662-CCFE45145E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32</xdr:row>
      <xdr:rowOff>0</xdr:rowOff>
    </xdr:from>
    <xdr:to>
      <xdr:col>17</xdr:col>
      <xdr:colOff>99060</xdr:colOff>
      <xdr:row>46</xdr:row>
      <xdr:rowOff>129540</xdr:rowOff>
    </xdr:to>
    <xdr:graphicFrame macro="">
      <xdr:nvGraphicFramePr>
        <xdr:cNvPr id="8" name="Chart 2">
          <a:extLst>
            <a:ext uri="{FF2B5EF4-FFF2-40B4-BE49-F238E27FC236}">
              <a16:creationId xmlns:a16="http://schemas.microsoft.com/office/drawing/2014/main" id="{58BBAA5F-9D64-2709-00C8-8C9752AAE5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hr\Downloads\Portfolio_Analysis_DYNAMIC_FINAL_V2.xlsx" TargetMode="External"/><Relationship Id="rId1" Type="http://schemas.openxmlformats.org/officeDocument/2006/relationships/externalLinkPath" Target="Portfolio_Analysis_DYNAMIC_FINAL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verview"/>
      <sheetName val="Inputs"/>
      <sheetName val="Holdings"/>
      <sheetName val="Prices"/>
      <sheetName val="Market_Data"/>
      <sheetName val="Returns"/>
      <sheetName val="Risk_Analysis"/>
      <sheetName val="Correlation"/>
      <sheetName val="Drawdown"/>
      <sheetName val="Benchmark"/>
      <sheetName val="Contribution"/>
      <sheetName val="Dashboar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41">
          <cell r="B41">
            <v>0.42911332161365057</v>
          </cell>
        </row>
        <row r="42">
          <cell r="B42">
            <v>-4.4990875352997242E-2</v>
          </cell>
        </row>
        <row r="43">
          <cell r="B43">
            <v>0.28696096988868125</v>
          </cell>
        </row>
      </sheetData>
      <sheetData sheetId="8"/>
      <sheetData sheetId="9"/>
      <sheetData sheetId="10"/>
      <sheetData sheetId="1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B9EC9C1-2228-44D3-A082-7F10F0EE7B35}" autoFormatId="16" applyNumberFormats="0" applyBorderFormats="0" applyFontFormats="0" applyPatternFormats="0" applyAlignmentFormats="0" applyWidthHeightFormats="0">
  <queryTableRefresh nextId="3">
    <queryTableFields count="2">
      <queryTableField id="1" name="Date" tableColumnId="1"/>
      <queryTableField id="2" name="Close" tableColumnId="2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8">
  <a r="1" c="105">
    <v t="i">1</v>
    <v t="i">8</v>
    <v t="i">15</v>
    <v t="i">22</v>
    <v t="i">29</v>
    <v t="i">36</v>
    <v t="i">43</v>
    <v t="i">50</v>
    <v t="i">57</v>
    <v t="i">64</v>
    <v t="i">71</v>
    <v t="i">78</v>
    <v t="i">85</v>
    <v t="i">92</v>
    <v t="i">99</v>
    <v t="i">106</v>
    <v t="i">113</v>
    <v t="i">120</v>
    <v t="i">127</v>
    <v t="i">134</v>
    <v t="i">141</v>
    <v t="i">148</v>
    <v t="i">155</v>
    <v t="i">162</v>
    <v t="i">169</v>
    <v t="i">176</v>
    <v t="i">183</v>
    <v t="i">190</v>
    <v t="i">197</v>
    <v t="i">205</v>
    <v t="i">211</v>
    <v t="i">219</v>
    <v t="i">225</v>
    <v t="i">232</v>
    <v t="i">239</v>
    <v t="i">246</v>
    <v t="i">253</v>
    <v t="i">260</v>
    <v t="i">267</v>
    <v t="i">274</v>
    <v t="i">281</v>
    <v t="i">288</v>
    <v t="i">295</v>
    <v t="i">302</v>
    <v t="i">309</v>
    <v t="i">316</v>
    <v t="i">323</v>
    <v t="i">330</v>
    <v t="i">337</v>
    <v t="i">344</v>
    <v t="i">351</v>
    <v t="i">358</v>
    <v t="i">365</v>
    <v t="i">372</v>
    <v t="i">379</v>
    <v t="i">386</v>
    <v t="i">393</v>
    <v t="i">400</v>
    <v t="i">407</v>
    <v t="i">414</v>
    <v t="i">421</v>
    <v t="i">428</v>
    <v t="i">435</v>
    <v t="i">442</v>
    <v t="i">449</v>
    <v t="i">456</v>
    <v t="i">463</v>
    <v t="i">470</v>
    <v t="i">477</v>
    <v t="i">484</v>
    <v t="i">491</v>
    <v t="i">498</v>
    <v t="i">506</v>
    <v t="i">511</v>
    <v t="i">519</v>
    <v t="i">526</v>
    <v t="i">533</v>
    <v t="i">540</v>
    <v t="i">547</v>
    <v t="i">554</v>
    <v t="i">561</v>
    <v t="i">568</v>
    <v t="i">575</v>
    <v t="i">582</v>
    <v t="i">589</v>
    <v t="i">596</v>
    <v t="i">603</v>
    <v t="i">610</v>
    <v t="i">617</v>
    <v t="i">624</v>
    <v t="i">631</v>
    <v t="i">638</v>
    <v t="i">645</v>
    <v t="i">652</v>
    <v t="i">659</v>
    <v t="i">666</v>
    <v t="i">673</v>
    <v t="i">680</v>
    <v t="i">687</v>
    <v t="i">694</v>
    <v t="i">701</v>
    <v t="i">708</v>
    <v t="i">715</v>
    <v t="i">722</v>
    <v t="i">729</v>
  </a>
  <a r="1" c="105">
    <v>1634.45</v>
    <v>1711.75</v>
    <v>1734.6</v>
    <v>1640.9</v>
    <v>1687.4</v>
    <v>1707.85</v>
    <v>1666</v>
    <v>1616.45</v>
    <v>1569.9</v>
    <v>1550.5</v>
    <v>1569.3</v>
    <v>1627.15</v>
    <v>1597.85</v>
    <v>1681.75</v>
    <v>1578.1</v>
    <v>1599.85</v>
    <v>1598.85</v>
    <v>1615.9</v>
    <v>1627.5</v>
    <v>1644.8</v>
    <v>1623.25</v>
    <v>1676.75</v>
    <v>1717.05</v>
    <v>1639.25</v>
    <v>1570.2</v>
    <v>1630.7</v>
    <v>1632.5</v>
    <v>1725.8</v>
    <v>1733.4</v>
    <v>1743.45</v>
    <v>1756.6</v>
    <v>1889.1</v>
    <v>1817.2</v>
    <v>1851.9</v>
    <v>1848.4</v>
    <v>1814</v>
    <v>1831.7</v>
    <v>1856.2</v>
    <v>1870.2</v>
    <v>1840.4</v>
    <v>1936.7</v>
    <v>2027.1</v>
    <v>2017.2</v>
    <v>1921.9</v>
    <v>1901</v>
    <v>1937.9</v>
    <v>1884.4</v>
    <v>1858.6</v>
    <v>1873.8</v>
    <v>1933.3</v>
    <v>1888.8</v>
    <v>1895.3</v>
    <v>1902.6</v>
    <v>1962.4</v>
    <v>1916.6</v>
    <v>1896.7</v>
    <v>1939.9</v>
    <v>2012</v>
    <v>2029.3</v>
    <v>2054.5</v>
    <v>2001.2</v>
    <v>2100.6999999999998</v>
    <v>2162.6999999999998</v>
    <v>2101.6</v>
    <v>2108.8000000000002</v>
    <v>2083.4</v>
    <v>2097.6999999999998</v>
    <v>2105.4</v>
    <v>2106.3000000000002</v>
    <v>2027.1</v>
    <v>2016.4</v>
    <v>1984.7</v>
    <v>1968.7</v>
    <v>2038.4</v>
    <v>2004.7</v>
    <v>1977.4</v>
    <v>1879.3</v>
    <v>1870.8</v>
    <v>1803.4</v>
    <v>1846.1</v>
    <v>1843.9</v>
    <v>1789.7</v>
    <v>1870</v>
    <v>1846.9</v>
    <v>1814.5</v>
    <v>1886.8</v>
    <v>1834.5</v>
    <v>1905.4</v>
    <v>1871.4</v>
    <v>1829</v>
    <v>1798.2</v>
    <v>1822.5</v>
    <v>1910.8</v>
    <v>1850.7</v>
    <v>1910.4</v>
    <v>1920.4</v>
    <v>1908.8</v>
    <v>1898.2</v>
    <v>1972</v>
    <v>1959.9</v>
    <v>1992.1</v>
    <v>1946</v>
    <v>1882.4</v>
    <v>1840</v>
    <v>1854</v>
  </a>
  <a r="1" c="105">
    <v>830.90920000000006</v>
    <v>868.44090000000006</v>
    <v>874.15170000000001</v>
    <v>826.76949999999999</v>
    <v>823.45280000000002</v>
    <v>838.83950000000004</v>
    <v>869.53819999999996</v>
    <v>866.49570000000006</v>
    <v>875.04949999999997</v>
    <v>844.27599999999995</v>
    <v>870.63549999999998</v>
    <v>895.79790000000003</v>
    <v>925.62369999999999</v>
    <v>933.55399999999997</v>
    <v>883.55330000000004</v>
    <v>896.89520000000005</v>
    <v>872.43100000000004</v>
    <v>826.32060000000001</v>
    <v>816.34540000000004</v>
    <v>822.85419999999999</v>
    <v>843.37819999999999</v>
    <v>864.22640000000001</v>
    <v>845.32339999999999</v>
    <v>844.15129999999999</v>
    <v>864.05179999999996</v>
    <v>842.53030000000001</v>
    <v>851.18380000000002</v>
    <v>882.97979999999995</v>
    <v>911.83299999999997</v>
    <v>906.39649999999995</v>
    <v>901.13459999999998</v>
    <v>950.98569999999995</v>
    <v>953.23009999999999</v>
    <v>960.11300000000006</v>
    <v>942.5068</v>
    <v>964.95100000000002</v>
    <v>964.40229999999997</v>
    <v>970.03830000000005</v>
    <v>986.89639999999997</v>
    <v>956.42219999999998</v>
    <v>979.91380000000004</v>
    <v>1004.9515</v>
    <v>992.18330000000003</v>
    <v>989.39020000000005</v>
    <v>976.27279999999996</v>
    <v>1002.3</v>
    <v>1006.1</v>
    <v>986.95</v>
    <v>995.55</v>
    <v>982.3</v>
    <v>951.6</v>
    <v>963.4</v>
    <v>967.3</v>
    <v>966.9</v>
    <v>945.05</v>
    <v>965.15</v>
    <v>980.9</v>
    <v>1002.55</v>
    <v>994.75</v>
    <v>987.3</v>
    <v>982.3</v>
    <v>989.6</v>
    <v>998.05</v>
    <v>1007.6</v>
    <v>1003.3</v>
    <v>1001.5</v>
    <v>985.5</v>
    <v>992.1</v>
    <v>1001.6</v>
    <v>939</v>
    <v>931.1</v>
    <v>916.1</v>
    <v>929.25</v>
    <v>941.1</v>
    <v>903.9</v>
    <v>911.85</v>
    <v>887.75</v>
    <v>857.05</v>
    <v>817</v>
    <v>780.45</v>
    <v>756.2</v>
    <v>750.9</v>
    <v>810.3</v>
    <v>799.9</v>
    <v>784.85</v>
    <v>771.7</v>
    <v>780.85</v>
    <v>767.5</v>
    <v>766.8</v>
    <v>744.55</v>
    <v>747.05</v>
    <v>772.45</v>
    <v>779.8</v>
    <v>796.3</v>
    <v>801.05</v>
    <v>824.95</v>
    <v>819.6</v>
    <v>742.8</v>
    <v>748.15</v>
    <v>731</v>
    <v>727</v>
    <v>726.95</v>
    <v>720.3</v>
    <v>712.1</v>
    <v>710.5</v>
  </a>
  <a r="1" c="105">
    <v>12316.05</v>
    <v>12614.5</v>
    <v>13495.6</v>
    <v>12605.75</v>
    <v>12776.65</v>
    <v>12105.1</v>
    <v>11502.85</v>
    <v>11110</v>
    <v>11303</v>
    <v>11006.05</v>
    <v>11063.6</v>
    <v>11074.2</v>
    <v>11317.95</v>
    <v>11272.55</v>
    <v>10901.05</v>
    <v>10941.05</v>
    <v>11934.25</v>
    <v>11631.1</v>
    <v>12136.35</v>
    <v>11967.9</v>
    <v>12916.5</v>
    <v>13049.5</v>
    <v>12680.25</v>
    <v>12323.45</v>
    <v>11945.85</v>
    <v>11664.15</v>
    <v>11513.8</v>
    <v>11732.8</v>
    <v>11522.15</v>
    <v>11482</v>
    <v>11599.05</v>
    <v>11695</v>
    <v>11698</v>
    <v>12406</v>
    <v>12250</v>
    <v>12995</v>
    <v>12453</v>
    <v>12319</v>
    <v>12462</v>
    <v>12408</v>
    <v>12791</v>
    <v>12642</v>
    <v>12646</v>
    <v>12574</v>
    <v>12419</v>
    <v>12404</v>
    <v>12302</v>
    <v>12590</v>
    <v>12936</v>
    <v>14349</v>
    <v>14791</v>
    <v>14895</v>
    <v>15325</v>
    <v>15864</v>
    <v>16286</v>
    <v>15806</v>
    <v>16265</v>
    <v>16401</v>
    <v>16274</v>
    <v>16186</v>
    <v>15479</v>
    <v>15684</v>
    <v>15977</v>
    <v>15900</v>
    <v>16282</v>
    <v>16522</v>
    <v>16414</v>
    <v>16596</v>
    <v>16960</v>
    <v>16501</v>
    <v>15859</v>
    <v>15469</v>
    <v>14599</v>
    <v>14997</v>
    <v>15237</v>
    <v>14977</v>
    <v>14857</v>
    <v>14159</v>
    <v>12591</v>
    <v>12601</v>
    <v>12389</v>
    <v>12631</v>
    <v>13709</v>
    <v>13453</v>
    <v>13048</v>
    <v>13314</v>
    <v>13726</v>
    <v>13221</v>
    <v>12987</v>
    <v>13127</v>
    <v>13050</v>
    <v>13366</v>
    <v>13395</v>
    <v>13745</v>
    <v>14366</v>
    <v>13854</v>
    <v>13803</v>
    <v>13442</v>
    <v>14234</v>
    <v>14037</v>
    <v>13834</v>
    <v>13565</v>
    <v>13376</v>
    <v>12694</v>
    <v>12760</v>
  </a>
  <a r="1" c="105">
    <v>1806.7271000000001</v>
    <v>1754.1538</v>
    <v>1802.3418999999999</v>
    <v>1770.6484</v>
    <v>1833.4872</v>
    <v>1851.4766999999999</v>
    <v>1846.1446000000001</v>
    <v>1751.5127</v>
    <v>1831.3444</v>
    <v>1852.7225000000001</v>
    <v>1892.0404000000001</v>
    <v>1841.8589999999999</v>
    <v>1916.259</v>
    <v>1962.2045000000001</v>
    <v>1904.9469999999999</v>
    <v>1885.6618000000001</v>
    <v>1940.1287</v>
    <v>1988.4164000000001</v>
    <v>1788.9</v>
    <v>1792.85</v>
    <v>1694</v>
    <v>1725.65</v>
    <v>1711.25</v>
    <v>1700.7</v>
    <v>1575.05</v>
    <v>1557.95</v>
    <v>1534.75</v>
    <v>1566.7</v>
    <v>1592.5</v>
    <v>1422.1</v>
    <v>1390.55</v>
    <v>1438</v>
    <v>1578.2</v>
    <v>1576.5</v>
    <v>1569.4</v>
    <v>1659.9</v>
    <v>1648.2</v>
    <v>1636.6</v>
    <v>1637.7</v>
    <v>1695.3</v>
    <v>1739.9</v>
    <v>1723.3</v>
    <v>1725.9</v>
    <v>1638.3</v>
    <v>1548.8</v>
    <v>1490.1</v>
    <v>1452.1</v>
    <v>1475.7</v>
    <v>1489.8</v>
    <v>1466.3</v>
    <v>1454.8</v>
    <v>1419</v>
    <v>1467.2</v>
    <v>1467.4</v>
    <v>1395.3</v>
    <v>1393.5</v>
    <v>1495.5</v>
    <v>1486.2</v>
    <v>1523.8</v>
    <v>1541.5</v>
    <v>1512.4</v>
    <v>1594.6</v>
    <v>1608</v>
    <v>1624.2</v>
    <v>1683</v>
    <v>1673.2</v>
    <v>1642.4</v>
    <v>1660.9</v>
    <v>1640.2</v>
    <v>1661.4</v>
    <v>1698</v>
    <v>1707</v>
    <v>1695.6</v>
    <v>1593.7</v>
    <v>1455.2</v>
    <v>1436.5</v>
    <v>1389.1</v>
    <v>1356.7</v>
    <v>1325.4</v>
    <v>1333.7</v>
    <v>1364.4</v>
    <v>1402.2</v>
    <v>1451.2</v>
    <v>1442.3</v>
    <v>1203.2</v>
    <v>1199.0999999999999</v>
    <v>1198.4000000000001</v>
    <v>1132.5999999999999</v>
    <v>1164</v>
    <v>1183.8</v>
    <v>1154.7</v>
    <v>1109.5999999999999</v>
    <v>1131.7</v>
    <v>1100.7</v>
    <v>1139</v>
    <v>1164.0999999999999</v>
    <v>1203.9000000000001</v>
    <v>1271</v>
    <v>1346.9</v>
    <v>1356.6</v>
    <v>1360</v>
    <v>1302.5</v>
    <v>1316.1</v>
    <v>1293.4000000000001</v>
    <v>1282.8</v>
  </a>
  <a r="1" c="105">
    <v>1659.7</v>
    <v>1638.65</v>
    <v>1672.5</v>
    <v>1623.3</v>
    <v>1595.75</v>
    <v>1551.7</v>
    <v>1488.9</v>
    <v>1559.55</v>
    <v>1592.6</v>
    <v>1499.75</v>
    <v>1486.5</v>
    <v>1533.9</v>
    <v>1477.4</v>
    <v>1447.3</v>
    <v>1472.05</v>
    <v>1506.6</v>
    <v>1511.25</v>
    <v>1468.8</v>
    <v>1442.3</v>
    <v>1411.4</v>
    <v>1439.5</v>
    <v>1472.25</v>
    <v>1459.45</v>
    <v>1475.75</v>
    <v>1407.5</v>
    <v>1458.45</v>
    <v>1461.9</v>
    <v>1523.85</v>
    <v>1442.2</v>
    <v>1415.25</v>
    <v>1463.05</v>
    <v>1515.2</v>
    <v>1525.9</v>
    <v>1525.6</v>
    <v>1480</v>
    <v>1499.9</v>
    <v>1484.2</v>
    <v>1465.7</v>
    <v>1504.2</v>
    <v>1505.2</v>
    <v>1499.7</v>
    <v>1502.4</v>
    <v>1513.3</v>
    <v>1485</v>
    <v>1482.3</v>
    <v>1532.5</v>
    <v>1502.8</v>
    <v>1485.8</v>
    <v>1564</v>
    <v>1592.8</v>
    <v>1589.4</v>
    <v>1553.4</v>
    <v>1574.6</v>
    <v>1575.8</v>
    <v>1499.4</v>
    <v>1517.7</v>
    <v>1561.8</v>
    <v>1577.6</v>
    <v>1584.4</v>
    <v>1501.3</v>
    <v>1505.7</v>
    <v>1532.1</v>
    <v>1511.8</v>
    <v>1531.3</v>
    <v>1520.8</v>
    <v>1517.4</v>
    <v>1517.1</v>
    <v>1506</v>
    <v>1511.6</v>
    <v>1465.7</v>
    <v>1397.5</v>
    <v>1315</v>
    <v>1324</v>
    <v>1330</v>
    <v>1331.5</v>
    <v>1341.1</v>
    <v>1348.2</v>
    <v>1321.2</v>
    <v>1314.7</v>
    <v>1256.4000000000001</v>
    <v>1242.3</v>
    <v>1192.4000000000001</v>
    <v>1229.5</v>
    <v>1240.8</v>
    <v>1295</v>
    <v>1309.5999999999999</v>
    <v>1347</v>
    <v>1432.1</v>
    <v>1399.2</v>
    <v>1401</v>
    <v>1401.3</v>
    <v>1389.4</v>
    <v>1351.8</v>
    <v>1440.1</v>
    <v>1458.2</v>
    <v>1439.4</v>
    <v>1418.7</v>
    <v>1410.6</v>
    <v>1473.2</v>
    <v>1463.8</v>
    <v>1450</v>
    <v>1432.2</v>
    <v>1423.5</v>
    <v>1385</v>
    <v>1395</v>
  </a>
  <a r="1" c="105">
    <v>3613</v>
    <v>3793.9</v>
    <v>3705.65</v>
    <v>3493.95</v>
    <v>3482.55</v>
    <v>3577.8</v>
    <v>3326.4</v>
    <v>3626.35</v>
    <v>3660.3</v>
    <v>3526.25</v>
    <v>3603.5</v>
    <v>3724.8</v>
    <v>3866.7</v>
    <v>3887</v>
    <v>3629.85</v>
    <v>3608.1</v>
    <v>3659.9</v>
    <v>3536.15</v>
    <v>3568.65</v>
    <v>3458.2</v>
    <v>3447.5</v>
    <v>3336.9</v>
    <v>3237.65</v>
    <v>3315.1</v>
    <v>3163.85</v>
    <v>3244.7</v>
    <v>3187.3</v>
    <v>3415.95</v>
    <v>3492.3</v>
    <v>3260.15</v>
    <v>3115.95</v>
    <v>3247.3</v>
    <v>3272.1</v>
    <v>3329.8</v>
    <v>3443.9</v>
    <v>3604.7</v>
    <v>3599.9</v>
    <v>3675.1</v>
    <v>3656.3</v>
    <v>3587.4</v>
    <v>3662</v>
    <v>3679.2</v>
    <v>3594.6</v>
    <v>3540.6</v>
    <v>3464.8</v>
    <v>3442.9</v>
    <v>3587.3</v>
    <v>3607.6</v>
    <v>3677</v>
    <v>3595.8</v>
    <v>3601</v>
    <v>3553.6</v>
    <v>3579.8</v>
    <v>3675.4</v>
    <v>3729.5</v>
    <v>3733.1</v>
    <v>3784</v>
    <v>3839.4</v>
    <v>3904.9</v>
    <v>4030.9</v>
    <v>3882.5</v>
    <v>4004.4</v>
    <v>4024.9</v>
    <v>4069.6</v>
    <v>4038.2</v>
    <v>4074.1</v>
    <v>4073.5</v>
    <v>4047.3</v>
    <v>4163.3999999999996</v>
    <v>4025.2</v>
    <v>3856.4</v>
    <v>3743.8</v>
    <v>3932.3</v>
    <v>4068.1</v>
    <v>4173.8999999999996</v>
    <v>4380.6000000000004</v>
    <v>4278.3</v>
    <v>3949.8</v>
    <v>3439</v>
    <v>3434.8</v>
    <v>3564.1</v>
    <v>3613.1</v>
    <v>3959.9</v>
    <v>4096.1000000000004</v>
    <v>4014.3</v>
    <v>4014</v>
    <v>3974.5</v>
    <v>3909</v>
    <v>3926.6</v>
    <v>4076.5</v>
    <v>3953.2</v>
    <v>4049.3</v>
    <v>4209.3999999999996</v>
    <v>4216.3999999999996</v>
    <v>4026.6</v>
    <v>3945.8</v>
    <v>3814.5</v>
    <v>3785.6</v>
    <v>3938.9</v>
    <v>4056</v>
    <v>4057</v>
    <v>4093</v>
    <v>4045.8</v>
    <v>3964.1</v>
    <v>3999</v>
  </a>
  <a r="1" c="105">
    <v>1472.625</v>
    <v>1485.925</v>
    <v>1526.175</v>
    <v>1386.5250000000001</v>
    <v>1372.1</v>
    <v>1359.3</v>
    <v>1327.85</v>
    <v>1338.65</v>
    <v>1283.75</v>
    <v>1267.5999999999999</v>
    <v>1265.4000000000001</v>
    <v>1292.2</v>
    <v>1311.55</v>
    <v>1272.8499999999999</v>
    <v>1205.3</v>
    <v>1221.05</v>
    <v>1251.1500000000001</v>
    <v>1241.9000000000001</v>
    <v>1302.3499999999999</v>
    <v>1246.3</v>
    <v>1264.5999999999999</v>
    <v>1266.7</v>
    <v>1217.25</v>
    <v>1228.1500000000001</v>
    <v>1200.0999999999999</v>
    <v>1249.8</v>
    <v>1247.9000000000001</v>
    <v>1276.3499999999999</v>
    <v>1275.0999999999999</v>
    <v>1204.7</v>
    <v>1218.95</v>
    <v>1274.5</v>
    <v>1300.4000000000001</v>
    <v>1422.4</v>
    <v>1377.2</v>
    <v>1456.4</v>
    <v>1426.8</v>
    <v>1420.9</v>
    <v>1443.5</v>
    <v>1427.9</v>
    <v>1466.2</v>
    <v>1515.4</v>
    <v>1527.3</v>
    <v>1495.2</v>
    <v>1476</v>
    <v>1391.7</v>
    <v>1393.7</v>
    <v>1367.8</v>
    <v>1373.8</v>
    <v>1409.2</v>
    <v>1357.2</v>
    <v>1375</v>
    <v>1395</v>
    <v>1407.4</v>
    <v>1377.6</v>
    <v>1363.4</v>
    <v>1381.7</v>
    <v>1416.8</v>
    <v>1451.6</v>
    <v>1486.4</v>
    <v>1478</v>
    <v>1518.9</v>
    <v>1546.6</v>
    <v>1567.5</v>
    <v>1540.6</v>
    <v>1556.5</v>
    <v>1565.1</v>
    <v>1559.2</v>
    <v>1592.3</v>
    <v>1475.3</v>
    <v>1457.9</v>
    <v>1386.1</v>
    <v>1395.4</v>
    <v>1450.8</v>
    <v>1419.6</v>
    <v>1419.4</v>
    <v>1393.9</v>
    <v>1404.8</v>
    <v>1380.7</v>
    <v>1414.4</v>
    <v>1348.1</v>
    <v>1350.5</v>
    <v>1350.2</v>
    <v>1365</v>
    <v>1327.8</v>
    <v>1430.8</v>
    <v>1435.2</v>
    <v>1336.4</v>
    <v>1354.5</v>
    <v>1321.2</v>
    <v>1291</v>
    <v>1293</v>
    <v>1309.5</v>
    <v>1318.1</v>
    <v>1304</v>
    <v>1307.8</v>
    <v>1327.2</v>
    <v>1278</v>
    <v>1307.8</v>
    <v>1334.8</v>
    <v>1310</v>
    <v>1316</v>
    <v>1287</v>
    <v>1322</v>
    <v>1309.5</v>
  </a>
</arrayData>
</file>

<file path=xl/richData/rdrichvalue.xml><?xml version="1.0" encoding="utf-8"?>
<rvData xmlns="http://schemas.microsoft.com/office/spreadsheetml/2017/richdata" count="839">
  <rv s="0">
    <fb>1309.5</fb>
    <v>0</v>
  </rv>
  <rv s="0">
    <fb>1854</fb>
    <v>0</v>
  </rv>
  <rv s="0">
    <fb>710.5</fb>
    <v>0</v>
  </rv>
  <rv s="0">
    <fb>3999</fb>
    <v>0</v>
  </rv>
  <rv s="0">
    <fb>1395</fb>
    <v>0</v>
  </rv>
  <rv s="0">
    <fb>12760</fb>
    <v>0</v>
  </rv>
  <rv s="0">
    <fb>1282.8</fb>
    <v>0</v>
  </rv>
  <rv s="0">
    <fb>1472.625</fb>
    <v>0</v>
  </rv>
  <rv s="0">
    <fb>1634.45</fb>
    <v>0</v>
  </rv>
  <rv s="0">
    <fb>830.90920000000006</fb>
    <v>0</v>
  </rv>
  <rv s="0">
    <fb>3613</fb>
    <v>0</v>
  </rv>
  <rv s="0">
    <fb>1659.7</fb>
    <v>0</v>
  </rv>
  <rv s="0">
    <fb>12316.05</fb>
    <v>0</v>
  </rv>
  <rv s="0">
    <fb>1806.7271000000001</fb>
    <v>0</v>
  </rv>
  <rv s="0">
    <fb>1485.925</fb>
    <v>0</v>
  </rv>
  <rv s="0">
    <fb>1711.75</fb>
    <v>0</v>
  </rv>
  <rv s="0">
    <fb>868.44090000000006</fb>
    <v>0</v>
  </rv>
  <rv s="0">
    <fb>3793.9</fb>
    <v>0</v>
  </rv>
  <rv s="0">
    <fb>1638.65</fb>
    <v>0</v>
  </rv>
  <rv s="0">
    <fb>12614.5</fb>
    <v>0</v>
  </rv>
  <rv s="0">
    <fb>1754.1538</fb>
    <v>0</v>
  </rv>
  <rv s="0">
    <fb>1526.175</fb>
    <v>0</v>
  </rv>
  <rv s="0">
    <fb>1734.6</fb>
    <v>0</v>
  </rv>
  <rv s="0">
    <fb>874.15170000000001</fb>
    <v>0</v>
  </rv>
  <rv s="0">
    <fb>3705.65</fb>
    <v>0</v>
  </rv>
  <rv s="0">
    <fb>1672.5</fb>
    <v>0</v>
  </rv>
  <rv s="0">
    <fb>13495.6</fb>
    <v>0</v>
  </rv>
  <rv s="0">
    <fb>1802.3418999999999</fb>
    <v>0</v>
  </rv>
  <rv s="0">
    <fb>1386.5250000000001</fb>
    <v>0</v>
  </rv>
  <rv s="0">
    <fb>1640.9</fb>
    <v>0</v>
  </rv>
  <rv s="0">
    <fb>826.76949999999999</fb>
    <v>0</v>
  </rv>
  <rv s="0">
    <fb>3493.95</fb>
    <v>0</v>
  </rv>
  <rv s="0">
    <fb>1623.3</fb>
    <v>0</v>
  </rv>
  <rv s="0">
    <fb>12605.75</fb>
    <v>0</v>
  </rv>
  <rv s="0">
    <fb>1770.6484</fb>
    <v>0</v>
  </rv>
  <rv s="0">
    <fb>1372.1</fb>
    <v>0</v>
  </rv>
  <rv s="0">
    <fb>1687.4</fb>
    <v>0</v>
  </rv>
  <rv s="0">
    <fb>823.45280000000002</fb>
    <v>0</v>
  </rv>
  <rv s="0">
    <fb>3482.55</fb>
    <v>0</v>
  </rv>
  <rv s="0">
    <fb>1595.75</fb>
    <v>0</v>
  </rv>
  <rv s="0">
    <fb>12776.65</fb>
    <v>0</v>
  </rv>
  <rv s="0">
    <fb>1833.4872</fb>
    <v>0</v>
  </rv>
  <rv s="0">
    <fb>1359.3</fb>
    <v>0</v>
  </rv>
  <rv s="0">
    <fb>1707.85</fb>
    <v>0</v>
  </rv>
  <rv s="0">
    <fb>838.83950000000004</fb>
    <v>0</v>
  </rv>
  <rv s="0">
    <fb>3577.8</fb>
    <v>0</v>
  </rv>
  <rv s="0">
    <fb>1551.7</fb>
    <v>0</v>
  </rv>
  <rv s="0">
    <fb>12105.1</fb>
    <v>0</v>
  </rv>
  <rv s="0">
    <fb>1851.4766999999999</fb>
    <v>0</v>
  </rv>
  <rv s="0">
    <fb>1327.85</fb>
    <v>0</v>
  </rv>
  <rv s="0">
    <fb>1666</fb>
    <v>0</v>
  </rv>
  <rv s="0">
    <fb>869.53819999999996</fb>
    <v>0</v>
  </rv>
  <rv s="0">
    <fb>3326.4</fb>
    <v>0</v>
  </rv>
  <rv s="0">
    <fb>1488.9</fb>
    <v>0</v>
  </rv>
  <rv s="0">
    <fb>11502.85</fb>
    <v>0</v>
  </rv>
  <rv s="0">
    <fb>1846.1446000000001</fb>
    <v>0</v>
  </rv>
  <rv s="0">
    <fb>1338.65</fb>
    <v>0</v>
  </rv>
  <rv s="0">
    <fb>1616.45</fb>
    <v>0</v>
  </rv>
  <rv s="0">
    <fb>866.49570000000006</fb>
    <v>0</v>
  </rv>
  <rv s="0">
    <fb>3626.35</fb>
    <v>0</v>
  </rv>
  <rv s="0">
    <fb>1559.55</fb>
    <v>0</v>
  </rv>
  <rv s="0">
    <fb>11110</fb>
    <v>0</v>
  </rv>
  <rv s="0">
    <fb>1751.5127</fb>
    <v>0</v>
  </rv>
  <rv s="0">
    <fb>1283.75</fb>
    <v>0</v>
  </rv>
  <rv s="0">
    <fb>1569.9</fb>
    <v>0</v>
  </rv>
  <rv s="0">
    <fb>875.04949999999997</fb>
    <v>0</v>
  </rv>
  <rv s="0">
    <fb>3660.3</fb>
    <v>0</v>
  </rv>
  <rv s="0">
    <fb>1592.6</fb>
    <v>0</v>
  </rv>
  <rv s="0">
    <fb>11303</fb>
    <v>0</v>
  </rv>
  <rv s="0">
    <fb>1831.3444</fb>
    <v>0</v>
  </rv>
  <rv s="0">
    <fb>1267.5999999999999</fb>
    <v>0</v>
  </rv>
  <rv s="0">
    <fb>1550.5</fb>
    <v>0</v>
  </rv>
  <rv s="0">
    <fb>844.27599999999995</fb>
    <v>0</v>
  </rv>
  <rv s="0">
    <fb>3526.25</fb>
    <v>0</v>
  </rv>
  <rv s="0">
    <fb>1499.75</fb>
    <v>0</v>
  </rv>
  <rv s="0">
    <fb>11006.05</fb>
    <v>0</v>
  </rv>
  <rv s="0">
    <fb>1852.7225000000001</fb>
    <v>0</v>
  </rv>
  <rv s="0">
    <fb>1265.4000000000001</fb>
    <v>0</v>
  </rv>
  <rv s="0">
    <fb>1569.3</fb>
    <v>0</v>
  </rv>
  <rv s="0">
    <fb>870.63549999999998</fb>
    <v>0</v>
  </rv>
  <rv s="0">
    <fb>3603.5</fb>
    <v>0</v>
  </rv>
  <rv s="0">
    <fb>1486.5</fb>
    <v>0</v>
  </rv>
  <rv s="0">
    <fb>11063.6</fb>
    <v>0</v>
  </rv>
  <rv s="0">
    <fb>1892.0404000000001</fb>
    <v>0</v>
  </rv>
  <rv s="0">
    <fb>1292.2</fb>
    <v>0</v>
  </rv>
  <rv s="0">
    <fb>1627.15</fb>
    <v>0</v>
  </rv>
  <rv s="0">
    <fb>895.79790000000003</fb>
    <v>0</v>
  </rv>
  <rv s="0">
    <fb>3724.8</fb>
    <v>0</v>
  </rv>
  <rv s="0">
    <fb>1533.9</fb>
    <v>0</v>
  </rv>
  <rv s="0">
    <fb>11074.2</fb>
    <v>0</v>
  </rv>
  <rv s="0">
    <fb>1841.8589999999999</fb>
    <v>0</v>
  </rv>
  <rv s="0">
    <fb>1311.55</fb>
    <v>0</v>
  </rv>
  <rv s="0">
    <fb>1597.85</fb>
    <v>0</v>
  </rv>
  <rv s="0">
    <fb>925.62369999999999</fb>
    <v>0</v>
  </rv>
  <rv s="0">
    <fb>3866.7</fb>
    <v>0</v>
  </rv>
  <rv s="0">
    <fb>1477.4</fb>
    <v>0</v>
  </rv>
  <rv s="0">
    <fb>11317.95</fb>
    <v>0</v>
  </rv>
  <rv s="0">
    <fb>1916.259</fb>
    <v>0</v>
  </rv>
  <rv s="0">
    <fb>1272.8499999999999</fb>
    <v>0</v>
  </rv>
  <rv s="0">
    <fb>1681.75</fb>
    <v>0</v>
  </rv>
  <rv s="0">
    <fb>933.55399999999997</fb>
    <v>0</v>
  </rv>
  <rv s="0">
    <fb>3887</fb>
    <v>0</v>
  </rv>
  <rv s="0">
    <fb>1447.3</fb>
    <v>0</v>
  </rv>
  <rv s="0">
    <fb>11272.55</fb>
    <v>0</v>
  </rv>
  <rv s="0">
    <fb>1962.2045000000001</fb>
    <v>0</v>
  </rv>
  <rv s="0">
    <fb>1205.3</fb>
    <v>0</v>
  </rv>
  <rv s="0">
    <fb>1578.1</fb>
    <v>0</v>
  </rv>
  <rv s="0">
    <fb>883.55330000000004</fb>
    <v>0</v>
  </rv>
  <rv s="0">
    <fb>3629.85</fb>
    <v>0</v>
  </rv>
  <rv s="0">
    <fb>1472.05</fb>
    <v>0</v>
  </rv>
  <rv s="0">
    <fb>10901.05</fb>
    <v>0</v>
  </rv>
  <rv s="0">
    <fb>1904.9469999999999</fb>
    <v>0</v>
  </rv>
  <rv s="0">
    <fb>1221.05</fb>
    <v>0</v>
  </rv>
  <rv s="0">
    <fb>1599.85</fb>
    <v>0</v>
  </rv>
  <rv s="0">
    <fb>896.89520000000005</fb>
    <v>0</v>
  </rv>
  <rv s="0">
    <fb>3608.1</fb>
    <v>0</v>
  </rv>
  <rv s="0">
    <fb>1506.6</fb>
    <v>0</v>
  </rv>
  <rv s="0">
    <fb>10941.05</fb>
    <v>0</v>
  </rv>
  <rv s="0">
    <fb>1885.6618000000001</fb>
    <v>0</v>
  </rv>
  <rv s="0">
    <fb>1251.1500000000001</fb>
    <v>0</v>
  </rv>
  <rv s="0">
    <fb>1598.85</fb>
    <v>0</v>
  </rv>
  <rv s="0">
    <fb>872.43100000000004</fb>
    <v>0</v>
  </rv>
  <rv s="0">
    <fb>3659.9</fb>
    <v>0</v>
  </rv>
  <rv s="0">
    <fb>1511.25</fb>
    <v>0</v>
  </rv>
  <rv s="0">
    <fb>11934.25</fb>
    <v>0</v>
  </rv>
  <rv s="0">
    <fb>1940.1287</fb>
    <v>0</v>
  </rv>
  <rv s="0">
    <fb>1241.9000000000001</fb>
    <v>0</v>
  </rv>
  <rv s="0">
    <fb>1615.9</fb>
    <v>0</v>
  </rv>
  <rv s="0">
    <fb>826.32060000000001</fb>
    <v>0</v>
  </rv>
  <rv s="0">
    <fb>3536.15</fb>
    <v>0</v>
  </rv>
  <rv s="0">
    <fb>1468.8</fb>
    <v>0</v>
  </rv>
  <rv s="0">
    <fb>11631.1</fb>
    <v>0</v>
  </rv>
  <rv s="0">
    <fb>1988.4164000000001</fb>
    <v>0</v>
  </rv>
  <rv s="0">
    <fb>1302.3499999999999</fb>
    <v>0</v>
  </rv>
  <rv s="0">
    <fb>1627.5</fb>
    <v>0</v>
  </rv>
  <rv s="0">
    <fb>816.34540000000004</fb>
    <v>0</v>
  </rv>
  <rv s="0">
    <fb>3568.65</fb>
    <v>0</v>
  </rv>
  <rv s="0">
    <fb>1442.3</fb>
    <v>0</v>
  </rv>
  <rv s="0">
    <fb>12136.35</fb>
    <v>0</v>
  </rv>
  <rv s="0">
    <fb>1788.9</fb>
    <v>0</v>
  </rv>
  <rv s="0">
    <fb>1246.3</fb>
    <v>0</v>
  </rv>
  <rv s="0">
    <fb>1644.8</fb>
    <v>0</v>
  </rv>
  <rv s="0">
    <fb>822.85419999999999</fb>
    <v>0</v>
  </rv>
  <rv s="0">
    <fb>3458.2</fb>
    <v>0</v>
  </rv>
  <rv s="0">
    <fb>1411.4</fb>
    <v>0</v>
  </rv>
  <rv s="0">
    <fb>11967.9</fb>
    <v>0</v>
  </rv>
  <rv s="0">
    <fb>1792.85</fb>
    <v>0</v>
  </rv>
  <rv s="0">
    <fb>1264.5999999999999</fb>
    <v>0</v>
  </rv>
  <rv s="0">
    <fb>1623.25</fb>
    <v>0</v>
  </rv>
  <rv s="0">
    <fb>843.37819999999999</fb>
    <v>0</v>
  </rv>
  <rv s="0">
    <fb>3447.5</fb>
    <v>0</v>
  </rv>
  <rv s="0">
    <fb>1439.5</fb>
    <v>0</v>
  </rv>
  <rv s="0">
    <fb>12916.5</fb>
    <v>0</v>
  </rv>
  <rv s="0">
    <fb>1694</fb>
    <v>0</v>
  </rv>
  <rv s="0">
    <fb>1266.7</fb>
    <v>0</v>
  </rv>
  <rv s="0">
    <fb>1676.75</fb>
    <v>0</v>
  </rv>
  <rv s="0">
    <fb>864.22640000000001</fb>
    <v>0</v>
  </rv>
  <rv s="0">
    <fb>3336.9</fb>
    <v>0</v>
  </rv>
  <rv s="0">
    <fb>1472.25</fb>
    <v>0</v>
  </rv>
  <rv s="0">
    <fb>13049.5</fb>
    <v>0</v>
  </rv>
  <rv s="0">
    <fb>1725.65</fb>
    <v>0</v>
  </rv>
  <rv s="0">
    <fb>1217.25</fb>
    <v>0</v>
  </rv>
  <rv s="0">
    <fb>1717.05</fb>
    <v>0</v>
  </rv>
  <rv s="0">
    <fb>845.32339999999999</fb>
    <v>0</v>
  </rv>
  <rv s="0">
    <fb>3237.65</fb>
    <v>0</v>
  </rv>
  <rv s="0">
    <fb>1459.45</fb>
    <v>0</v>
  </rv>
  <rv s="0">
    <fb>12680.25</fb>
    <v>0</v>
  </rv>
  <rv s="0">
    <fb>1711.25</fb>
    <v>0</v>
  </rv>
  <rv s="0">
    <fb>1228.1500000000001</fb>
    <v>0</v>
  </rv>
  <rv s="0">
    <fb>1639.25</fb>
    <v>0</v>
  </rv>
  <rv s="0">
    <fb>844.15129999999999</fb>
    <v>0</v>
  </rv>
  <rv s="0">
    <fb>3315.1</fb>
    <v>0</v>
  </rv>
  <rv s="0">
    <fb>1475.75</fb>
    <v>0</v>
  </rv>
  <rv s="0">
    <fb>12323.45</fb>
    <v>0</v>
  </rv>
  <rv s="0">
    <fb>1700.7</fb>
    <v>0</v>
  </rv>
  <rv s="0">
    <fb>1200.0999999999999</fb>
    <v>0</v>
  </rv>
  <rv s="0">
    <fb>1570.2</fb>
    <v>0</v>
  </rv>
  <rv s="0">
    <fb>864.05179999999996</fb>
    <v>0</v>
  </rv>
  <rv s="0">
    <fb>3163.85</fb>
    <v>0</v>
  </rv>
  <rv s="0">
    <fb>1407.5</fb>
    <v>0</v>
  </rv>
  <rv s="0">
    <fb>11945.85</fb>
    <v>0</v>
  </rv>
  <rv s="0">
    <fb>1575.05</fb>
    <v>0</v>
  </rv>
  <rv s="0">
    <fb>1249.8</fb>
    <v>0</v>
  </rv>
  <rv s="0">
    <fb>1630.7</fb>
    <v>0</v>
  </rv>
  <rv s="0">
    <fb>842.53030000000001</fb>
    <v>0</v>
  </rv>
  <rv s="0">
    <fb>3244.7</fb>
    <v>0</v>
  </rv>
  <rv s="0">
    <fb>1458.45</fb>
    <v>0</v>
  </rv>
  <rv s="0">
    <fb>11664.15</fb>
    <v>0</v>
  </rv>
  <rv s="0">
    <fb>1557.95</fb>
    <v>0</v>
  </rv>
  <rv s="0">
    <fb>1247.9000000000001</fb>
    <v>0</v>
  </rv>
  <rv s="0">
    <fb>1632.5</fb>
    <v>0</v>
  </rv>
  <rv s="0">
    <fb>851.18380000000002</fb>
    <v>0</v>
  </rv>
  <rv s="0">
    <fb>3187.3</fb>
    <v>0</v>
  </rv>
  <rv s="0">
    <fb>1461.9</fb>
    <v>0</v>
  </rv>
  <rv s="0">
    <fb>11513.8</fb>
    <v>0</v>
  </rv>
  <rv s="0">
    <fb>1534.75</fb>
    <v>0</v>
  </rv>
  <rv s="0">
    <fb>1276.3499999999999</fb>
    <v>0</v>
  </rv>
  <rv s="0">
    <fb>1725.8</fb>
    <v>0</v>
  </rv>
  <rv s="0">
    <fb>882.97979999999995</fb>
    <v>0</v>
  </rv>
  <rv s="0">
    <fb>3415.95</fb>
    <v>0</v>
  </rv>
  <rv s="0">
    <fb>1523.85</fb>
    <v>0</v>
  </rv>
  <rv s="0">
    <fb>11732.8</fb>
    <v>0</v>
  </rv>
  <rv s="0">
    <fb>1566.7</fb>
    <v>0</v>
  </rv>
  <rv s="0">
    <fb>1275.0999999999999</fb>
    <v>0</v>
  </rv>
  <rv s="0">
    <fb>1733.4</fb>
    <v>0</v>
  </rv>
  <rv s="0">
    <fb>911.83299999999997</fb>
    <v>0</v>
  </rv>
  <rv s="0">
    <fb>3492.3</fb>
    <v>0</v>
  </rv>
  <rv s="0">
    <fb>1442.2</fb>
    <v>0</v>
  </rv>
  <rv s="0">
    <fb>11522.15</fb>
    <v>0</v>
  </rv>
  <rv s="0">
    <fb>1592.5</fb>
    <v>0</v>
  </rv>
  <rv s="0">
    <fb>1218.95</fb>
    <v>0</v>
  </rv>
  <rv s="0">
    <fb>1756.6</fb>
    <v>0</v>
  </rv>
  <rv s="0">
    <fb>901.13459999999998</fb>
    <v>0</v>
  </rv>
  <rv s="0">
    <fb>3115.95</fb>
    <v>0</v>
  </rv>
  <rv s="0">
    <fb>1463.05</fb>
    <v>0</v>
  </rv>
  <rv s="0">
    <fb>11599.05</fb>
    <v>0</v>
  </rv>
  <rv s="0">
    <fb>1390.55</fb>
    <v>0</v>
  </rv>
  <rv s="0">
    <fb>1300.4000000000001</fb>
    <v>0</v>
  </rv>
  <rv s="0">
    <fb>1817.2</fb>
    <v>0</v>
  </rv>
  <rv s="0">
    <fb>953.23009999999999</fb>
    <v>0</v>
  </rv>
  <rv s="0">
    <fb>3272.1</fb>
    <v>0</v>
  </rv>
  <rv s="0">
    <fb>1525.9</fb>
    <v>0</v>
  </rv>
  <rv s="0">
    <fb>11698</fb>
    <v>0</v>
  </rv>
  <rv s="0">
    <fb>1578.2</fb>
    <v>0</v>
  </rv>
  <rv s="0">
    <fb>1422.4</fb>
    <v>0</v>
  </rv>
  <rv s="0">
    <fb>1851.9</fb>
    <v>0</v>
  </rv>
  <rv s="0">
    <fb>960.11300000000006</fb>
    <v>0</v>
  </rv>
  <rv s="0">
    <fb>3329.8</fb>
    <v>0</v>
  </rv>
  <rv s="0">
    <fb>1525.6</fb>
    <v>0</v>
  </rv>
  <rv s="0">
    <fb>12406</fb>
    <v>0</v>
  </rv>
  <rv s="0">
    <fb>1576.5</fb>
    <v>0</v>
  </rv>
  <rv s="0">
    <fb>1377.2</fb>
    <v>0</v>
  </rv>
  <rv s="0">
    <fb>1848.4</fb>
    <v>0</v>
  </rv>
  <rv s="0">
    <fb>942.5068</fb>
    <v>0</v>
  </rv>
  <rv s="0">
    <fb>3443.9</fb>
    <v>0</v>
  </rv>
  <rv s="0">
    <fb>1480</fb>
    <v>0</v>
  </rv>
  <rv s="0">
    <fb>12250</fb>
    <v>0</v>
  </rv>
  <rv s="0">
    <fb>1569.4</fb>
    <v>0</v>
  </rv>
  <rv s="0">
    <fb>1456.4</fb>
    <v>0</v>
  </rv>
  <rv s="0">
    <fb>1814</fb>
    <v>0</v>
  </rv>
  <rv s="0">
    <fb>964.95100000000002</fb>
    <v>0</v>
  </rv>
  <rv s="0">
    <fb>3604.7</fb>
    <v>0</v>
  </rv>
  <rv s="0">
    <fb>1499.9</fb>
    <v>0</v>
  </rv>
  <rv s="0">
    <fb>12995</fb>
    <v>0</v>
  </rv>
  <rv s="0">
    <fb>1659.9</fb>
    <v>0</v>
  </rv>
  <rv s="0">
    <fb>1426.8</fb>
    <v>0</v>
  </rv>
  <rv s="0">
    <fb>1831.7</fb>
    <v>0</v>
  </rv>
  <rv s="0">
    <fb>964.40229999999997</fb>
    <v>0</v>
  </rv>
  <rv s="0">
    <fb>3599.9</fb>
    <v>0</v>
  </rv>
  <rv s="0">
    <fb>1484.2</fb>
    <v>0</v>
  </rv>
  <rv s="0">
    <fb>12453</fb>
    <v>0</v>
  </rv>
  <rv s="0">
    <fb>1648.2</fb>
    <v>0</v>
  </rv>
  <rv s="0">
    <fb>1420.9</fb>
    <v>0</v>
  </rv>
  <rv s="0">
    <fb>1856.2</fb>
    <v>0</v>
  </rv>
  <rv s="0">
    <fb>970.03830000000005</fb>
    <v>0</v>
  </rv>
  <rv s="0">
    <fb>3675.1</fb>
    <v>0</v>
  </rv>
  <rv s="0">
    <fb>1465.7</fb>
    <v>0</v>
  </rv>
  <rv s="0">
    <fb>12319</fb>
    <v>0</v>
  </rv>
  <rv s="0">
    <fb>1636.6</fb>
    <v>0</v>
  </rv>
  <rv s="0">
    <fb>1443.5</fb>
    <v>0</v>
  </rv>
  <rv s="0">
    <fb>1870.2</fb>
    <v>0</v>
  </rv>
  <rv s="0">
    <fb>986.89639999999997</fb>
    <v>0</v>
  </rv>
  <rv s="0">
    <fb>3656.3</fb>
    <v>0</v>
  </rv>
  <rv s="0">
    <fb>1504.2</fb>
    <v>0</v>
  </rv>
  <rv s="0">
    <fb>12462</fb>
    <v>0</v>
  </rv>
  <rv s="0">
    <fb>1637.7</fb>
    <v>0</v>
  </rv>
  <rv s="0">
    <fb>1427.9</fb>
    <v>0</v>
  </rv>
  <rv s="0">
    <fb>1840.4</fb>
    <v>0</v>
  </rv>
  <rv s="0">
    <fb>956.42219999999998</fb>
    <v>0</v>
  </rv>
  <rv s="0">
    <fb>3587.4</fb>
    <v>0</v>
  </rv>
  <rv s="0">
    <fb>1505.2</fb>
    <v>0</v>
  </rv>
  <rv s="0">
    <fb>12408</fb>
    <v>0</v>
  </rv>
  <rv s="0">
    <fb>1695.3</fb>
    <v>0</v>
  </rv>
  <rv s="0">
    <fb>1466.2</fb>
    <v>0</v>
  </rv>
  <rv s="0">
    <fb>1936.7</fb>
    <v>0</v>
  </rv>
  <rv s="0">
    <fb>979.91380000000004</fb>
    <v>0</v>
  </rv>
  <rv s="0">
    <fb>3662</fb>
    <v>0</v>
  </rv>
  <rv s="0">
    <fb>1499.7</fb>
    <v>0</v>
  </rv>
  <rv s="0">
    <fb>12791</fb>
    <v>0</v>
  </rv>
  <rv s="0">
    <fb>1739.9</fb>
    <v>0</v>
  </rv>
  <rv s="0">
    <fb>1515.4</fb>
    <v>0</v>
  </rv>
  <rv s="0">
    <fb>2027.1</fb>
    <v>0</v>
  </rv>
  <rv s="0">
    <fb>1004.9515</fb>
    <v>0</v>
  </rv>
  <rv s="0">
    <fb>3679.2</fb>
    <v>0</v>
  </rv>
  <rv s="0">
    <fb>1502.4</fb>
    <v>0</v>
  </rv>
  <rv s="0">
    <fb>12642</fb>
    <v>0</v>
  </rv>
  <rv s="0">
    <fb>1723.3</fb>
    <v>0</v>
  </rv>
  <rv s="0">
    <fb>1527.3</fb>
    <v>0</v>
  </rv>
  <rv s="0">
    <fb>2017.2</fb>
    <v>0</v>
  </rv>
  <rv s="0">
    <fb>992.18330000000003</fb>
    <v>0</v>
  </rv>
  <rv s="0">
    <fb>3594.6</fb>
    <v>0</v>
  </rv>
  <rv s="0">
    <fb>1513.3</fb>
    <v>0</v>
  </rv>
  <rv s="0">
    <fb>12646</fb>
    <v>0</v>
  </rv>
  <rv s="0">
    <fb>1725.9</fb>
    <v>0</v>
  </rv>
  <rv s="0">
    <fb>1495.2</fb>
    <v>0</v>
  </rv>
  <rv s="0">
    <fb>1921.9</fb>
    <v>0</v>
  </rv>
  <rv s="0">
    <fb>989.39020000000005</fb>
    <v>0</v>
  </rv>
  <rv s="0">
    <fb>3540.6</fb>
    <v>0</v>
  </rv>
  <rv s="0">
    <fb>1485</fb>
    <v>0</v>
  </rv>
  <rv s="0">
    <fb>12574</fb>
    <v>0</v>
  </rv>
  <rv s="0">
    <fb>1638.3</fb>
    <v>0</v>
  </rv>
  <rv s="0">
    <fb>1476</fb>
    <v>0</v>
  </rv>
  <rv s="0">
    <fb>1901</fb>
    <v>0</v>
  </rv>
  <rv s="0">
    <fb>976.27279999999996</fb>
    <v>0</v>
  </rv>
  <rv s="0">
    <fb>3464.8</fb>
    <v>0</v>
  </rv>
  <rv s="0">
    <fb>1482.3</fb>
    <v>0</v>
  </rv>
  <rv s="0">
    <fb>12419</fb>
    <v>0</v>
  </rv>
  <rv s="0">
    <fb>1548.8</fb>
    <v>0</v>
  </rv>
  <rv s="0">
    <fb>1391.7</fb>
    <v>0</v>
  </rv>
  <rv s="0">
    <fb>1937.9</fb>
    <v>0</v>
  </rv>
  <rv s="0">
    <fb>1002.3</fb>
    <v>0</v>
  </rv>
  <rv s="0">
    <fb>3442.9</fb>
    <v>0</v>
  </rv>
  <rv s="0">
    <fb>1532.5</fb>
    <v>0</v>
  </rv>
  <rv s="0">
    <fb>12404</fb>
    <v>0</v>
  </rv>
  <rv s="0">
    <fb>1490.1</fb>
    <v>0</v>
  </rv>
  <rv s="0">
    <fb>1393.7</fb>
    <v>0</v>
  </rv>
  <rv s="0">
    <fb>1884.4</fb>
    <v>0</v>
  </rv>
  <rv s="0">
    <fb>1006.1</fb>
    <v>0</v>
  </rv>
  <rv s="0">
    <fb>3587.3</fb>
    <v>0</v>
  </rv>
  <rv s="0">
    <fb>1502.8</fb>
    <v>0</v>
  </rv>
  <rv s="0">
    <fb>12302</fb>
    <v>0</v>
  </rv>
  <rv s="0">
    <fb>1452.1</fb>
    <v>0</v>
  </rv>
  <rv s="0">
    <fb>1367.8</fb>
    <v>0</v>
  </rv>
  <rv s="0">
    <fb>1858.6</fb>
    <v>0</v>
  </rv>
  <rv s="0">
    <fb>986.95</fb>
    <v>0</v>
  </rv>
  <rv s="0">
    <fb>3607.6</fb>
    <v>0</v>
  </rv>
  <rv s="0">
    <fb>1485.8</fb>
    <v>0</v>
  </rv>
  <rv s="0">
    <fb>12590</fb>
    <v>0</v>
  </rv>
  <rv s="0">
    <fb>1475.7</fb>
    <v>0</v>
  </rv>
  <rv s="0">
    <fb>1373.8</fb>
    <v>0</v>
  </rv>
  <rv s="0">
    <fb>1873.8</fb>
    <v>0</v>
  </rv>
  <rv s="0">
    <fb>995.55</fb>
    <v>0</v>
  </rv>
  <rv s="0">
    <fb>3677</fb>
    <v>0</v>
  </rv>
  <rv s="0">
    <fb>1564</fb>
    <v>0</v>
  </rv>
  <rv s="0">
    <fb>12936</fb>
    <v>0</v>
  </rv>
  <rv s="0">
    <fb>1489.8</fb>
    <v>0</v>
  </rv>
  <rv s="0">
    <fb>1409.2</fb>
    <v>0</v>
  </rv>
  <rv s="0">
    <fb>1933.3</fb>
    <v>0</v>
  </rv>
  <rv s="0">
    <fb>982.3</fb>
    <v>0</v>
  </rv>
  <rv s="0">
    <fb>3595.8</fb>
    <v>0</v>
  </rv>
  <rv s="0">
    <fb>1592.8</fb>
    <v>0</v>
  </rv>
  <rv s="0">
    <fb>14349</fb>
    <v>0</v>
  </rv>
  <rv s="0">
    <fb>1466.3</fb>
    <v>0</v>
  </rv>
  <rv s="0">
    <fb>1357.2</fb>
    <v>0</v>
  </rv>
  <rv s="0">
    <fb>1888.8</fb>
    <v>0</v>
  </rv>
  <rv s="0">
    <fb>951.6</fb>
    <v>0</v>
  </rv>
  <rv s="0">
    <fb>3601</fb>
    <v>0</v>
  </rv>
  <rv s="0">
    <fb>1589.4</fb>
    <v>0</v>
  </rv>
  <rv s="0">
    <fb>14791</fb>
    <v>0</v>
  </rv>
  <rv s="0">
    <fb>1454.8</fb>
    <v>0</v>
  </rv>
  <rv s="0">
    <fb>1375</fb>
    <v>0</v>
  </rv>
  <rv s="0">
    <fb>1895.3</fb>
    <v>0</v>
  </rv>
  <rv s="0">
    <fb>963.4</fb>
    <v>0</v>
  </rv>
  <rv s="0">
    <fb>3553.6</fb>
    <v>0</v>
  </rv>
  <rv s="0">
    <fb>1553.4</fb>
    <v>0</v>
  </rv>
  <rv s="0">
    <fb>14895</fb>
    <v>0</v>
  </rv>
  <rv s="0">
    <fb>1419</fb>
    <v>0</v>
  </rv>
  <rv s="0">
    <fb>1902.6</fb>
    <v>0</v>
  </rv>
  <rv s="0">
    <fb>967.3</fb>
    <v>0</v>
  </rv>
  <rv s="0">
    <fb>3579.8</fb>
    <v>0</v>
  </rv>
  <rv s="0">
    <fb>1574.6</fb>
    <v>0</v>
  </rv>
  <rv s="0">
    <fb>15325</fb>
    <v>0</v>
  </rv>
  <rv s="0">
    <fb>1467.2</fb>
    <v>0</v>
  </rv>
  <rv s="0">
    <fb>1407.4</fb>
    <v>0</v>
  </rv>
  <rv s="0">
    <fb>1962.4</fb>
    <v>0</v>
  </rv>
  <rv s="0">
    <fb>966.9</fb>
    <v>0</v>
  </rv>
  <rv s="0">
    <fb>3675.4</fb>
    <v>0</v>
  </rv>
  <rv s="0">
    <fb>1575.8</fb>
    <v>0</v>
  </rv>
  <rv s="0">
    <fb>15864</fb>
    <v>0</v>
  </rv>
  <rv s="0">
    <fb>1467.4</fb>
    <v>0</v>
  </rv>
  <rv s="0">
    <fb>1377.6</fb>
    <v>0</v>
  </rv>
  <rv s="0">
    <fb>1916.6</fb>
    <v>0</v>
  </rv>
  <rv s="0">
    <fb>945.05</fb>
    <v>0</v>
  </rv>
  <rv s="0">
    <fb>3729.5</fb>
    <v>0</v>
  </rv>
  <rv s="0">
    <fb>1499.4</fb>
    <v>0</v>
  </rv>
  <rv s="0">
    <fb>16286</fb>
    <v>0</v>
  </rv>
  <rv s="0">
    <fb>1395.3</fb>
    <v>0</v>
  </rv>
  <rv s="0">
    <fb>1363.4</fb>
    <v>0</v>
  </rv>
  <rv s="0">
    <fb>1896.7</fb>
    <v>0</v>
  </rv>
  <rv s="0">
    <fb>965.15</fb>
    <v>0</v>
  </rv>
  <rv s="0">
    <fb>3733.1</fb>
    <v>0</v>
  </rv>
  <rv s="0">
    <fb>1517.7</fb>
    <v>0</v>
  </rv>
  <rv s="0">
    <fb>15806</fb>
    <v>0</v>
  </rv>
  <rv s="0">
    <fb>1393.5</fb>
    <v>0</v>
  </rv>
  <rv s="0">
    <fb>1381.7</fb>
    <v>0</v>
  </rv>
  <rv s="0">
    <fb>1939.9</fb>
    <v>0</v>
  </rv>
  <rv s="0">
    <fb>980.9</fb>
    <v>0</v>
  </rv>
  <rv s="0">
    <fb>3784</fb>
    <v>0</v>
  </rv>
  <rv s="0">
    <fb>1561.8</fb>
    <v>0</v>
  </rv>
  <rv s="0">
    <fb>16265</fb>
    <v>0</v>
  </rv>
  <rv s="0">
    <fb>1495.5</fb>
    <v>0</v>
  </rv>
  <rv s="0">
    <fb>1416.8</fb>
    <v>0</v>
  </rv>
  <rv s="0">
    <fb>2012</fb>
    <v>0</v>
  </rv>
  <rv s="0">
    <fb>1002.55</fb>
    <v>0</v>
  </rv>
  <rv s="0">
    <fb>3839.4</fb>
    <v>0</v>
  </rv>
  <rv s="0">
    <fb>1577.6</fb>
    <v>0</v>
  </rv>
  <rv s="0">
    <fb>16401</fb>
    <v>0</v>
  </rv>
  <rv s="0">
    <fb>1486.2</fb>
    <v>0</v>
  </rv>
  <rv s="0">
    <fb>1451.6</fb>
    <v>0</v>
  </rv>
  <rv s="0">
    <fb>2029.3</fb>
    <v>0</v>
  </rv>
  <rv s="0">
    <fb>994.75</fb>
    <v>0</v>
  </rv>
  <rv s="0">
    <fb>3904.9</fb>
    <v>0</v>
  </rv>
  <rv s="0">
    <fb>1584.4</fb>
    <v>0</v>
  </rv>
  <rv s="0">
    <fb>16274</fb>
    <v>0</v>
  </rv>
  <rv s="0">
    <fb>1523.8</fb>
    <v>0</v>
  </rv>
  <rv s="0">
    <fb>1486.4</fb>
    <v>0</v>
  </rv>
  <rv s="0">
    <fb>2054.5</fb>
    <v>0</v>
  </rv>
  <rv s="0">
    <fb>987.3</fb>
    <v>0</v>
  </rv>
  <rv s="0">
    <fb>4030.9</fb>
    <v>0</v>
  </rv>
  <rv s="0">
    <fb>1501.3</fb>
    <v>0</v>
  </rv>
  <rv s="0">
    <fb>16186</fb>
    <v>0</v>
  </rv>
  <rv s="0">
    <fb>1541.5</fb>
    <v>0</v>
  </rv>
  <rv s="0">
    <fb>1478</fb>
    <v>0</v>
  </rv>
  <rv s="0">
    <fb>2001.2</fb>
    <v>0</v>
  </rv>
  <rv s="0">
    <fb>3882.5</fb>
    <v>0</v>
  </rv>
  <rv s="0">
    <fb>1505.7</fb>
    <v>0</v>
  </rv>
  <rv s="0">
    <fb>15479</fb>
    <v>0</v>
  </rv>
  <rv s="0">
    <fb>1512.4</fb>
    <v>0</v>
  </rv>
  <rv s="0">
    <fb>1518.9</fb>
    <v>0</v>
  </rv>
  <rv s="0">
    <fb>2100.6999999999998</fb>
    <v>0</v>
  </rv>
  <rv s="0">
    <fb>989.6</fb>
    <v>0</v>
  </rv>
  <rv s="0">
    <fb>4004.4</fb>
    <v>0</v>
  </rv>
  <rv s="0">
    <fb>1532.1</fb>
    <v>0</v>
  </rv>
  <rv s="0">
    <fb>15684</fb>
    <v>0</v>
  </rv>
  <rv s="0">
    <fb>1594.6</fb>
    <v>0</v>
  </rv>
  <rv s="0">
    <fb>1546.6</fb>
    <v>0</v>
  </rv>
  <rv s="0">
    <fb>2162.6999999999998</fb>
    <v>0</v>
  </rv>
  <rv s="0">
    <fb>998.05</fb>
    <v>0</v>
  </rv>
  <rv s="0">
    <fb>4024.9</fb>
    <v>0</v>
  </rv>
  <rv s="0">
    <fb>1511.8</fb>
    <v>0</v>
  </rv>
  <rv s="0">
    <fb>15977</fb>
    <v>0</v>
  </rv>
  <rv s="0">
    <fb>1608</fb>
    <v>0</v>
  </rv>
  <rv s="0">
    <fb>1567.5</fb>
    <v>0</v>
  </rv>
  <rv s="0">
    <fb>2101.6</fb>
    <v>0</v>
  </rv>
  <rv s="0">
    <fb>1007.6</fb>
    <v>0</v>
  </rv>
  <rv s="0">
    <fb>4069.6</fb>
    <v>0</v>
  </rv>
  <rv s="0">
    <fb>1531.3</fb>
    <v>0</v>
  </rv>
  <rv s="0">
    <fb>15900</fb>
    <v>0</v>
  </rv>
  <rv s="0">
    <fb>1624.2</fb>
    <v>0</v>
  </rv>
  <rv s="0">
    <fb>1540.6</fb>
    <v>0</v>
  </rv>
  <rv s="0">
    <fb>2108.8000000000002</fb>
    <v>0</v>
  </rv>
  <rv s="0">
    <fb>1003.3</fb>
    <v>0</v>
  </rv>
  <rv s="0">
    <fb>4038.2</fb>
    <v>0</v>
  </rv>
  <rv s="0">
    <fb>1520.8</fb>
    <v>0</v>
  </rv>
  <rv s="0">
    <fb>16282</fb>
    <v>0</v>
  </rv>
  <rv s="0">
    <fb>1683</fb>
    <v>0</v>
  </rv>
  <rv s="0">
    <fb>1556.5</fb>
    <v>0</v>
  </rv>
  <rv s="0">
    <fb>2083.4</fb>
    <v>0</v>
  </rv>
  <rv s="0">
    <fb>1001.5</fb>
    <v>0</v>
  </rv>
  <rv s="0">
    <fb>4074.1</fb>
    <v>0</v>
  </rv>
  <rv s="0">
    <fb>1517.4</fb>
    <v>0</v>
  </rv>
  <rv s="0">
    <fb>16522</fb>
    <v>0</v>
  </rv>
  <rv s="0">
    <fb>1673.2</fb>
    <v>0</v>
  </rv>
  <rv s="0">
    <fb>1565.1</fb>
    <v>0</v>
  </rv>
  <rv s="0">
    <fb>2097.6999999999998</fb>
    <v>0</v>
  </rv>
  <rv s="0">
    <fb>985.5</fb>
    <v>0</v>
  </rv>
  <rv s="0">
    <fb>4073.5</fb>
    <v>0</v>
  </rv>
  <rv s="0">
    <fb>1517.1</fb>
    <v>0</v>
  </rv>
  <rv s="0">
    <fb>16414</fb>
    <v>0</v>
  </rv>
  <rv s="0">
    <fb>1642.4</fb>
    <v>0</v>
  </rv>
  <rv s="0">
    <fb>1559.2</fb>
    <v>0</v>
  </rv>
  <rv s="0">
    <fb>2105.4</fb>
    <v>0</v>
  </rv>
  <rv s="0">
    <fb>992.1</fb>
    <v>0</v>
  </rv>
  <rv s="0">
    <fb>4047.3</fb>
    <v>0</v>
  </rv>
  <rv s="0">
    <fb>1506</fb>
    <v>0</v>
  </rv>
  <rv s="0">
    <fb>16596</fb>
    <v>0</v>
  </rv>
  <rv s="0">
    <fb>1660.9</fb>
    <v>0</v>
  </rv>
  <rv s="0">
    <fb>1592.3</fb>
    <v>0</v>
  </rv>
  <rv s="0">
    <fb>2106.3000000000002</fb>
    <v>0</v>
  </rv>
  <rv s="0">
    <fb>1001.6</fb>
    <v>0</v>
  </rv>
  <rv s="0">
    <fb>4163.3999999999996</fb>
    <v>0</v>
  </rv>
  <rv s="0">
    <fb>1511.6</fb>
    <v>0</v>
  </rv>
  <rv s="0">
    <fb>16960</fb>
    <v>0</v>
  </rv>
  <rv s="0">
    <fb>1640.2</fb>
    <v>0</v>
  </rv>
  <rv s="0">
    <fb>1475.3</fb>
    <v>0</v>
  </rv>
  <rv s="0">
    <fb>939</fb>
    <v>0</v>
  </rv>
  <rv s="0">
    <fb>4025.2</fb>
    <v>0</v>
  </rv>
  <rv s="0">
    <fb>16501</fb>
    <v>0</v>
  </rv>
  <rv s="0">
    <fb>1661.4</fb>
    <v>0</v>
  </rv>
  <rv s="0">
    <fb>1457.9</fb>
    <v>0</v>
  </rv>
  <rv s="0">
    <fb>2016.4</fb>
    <v>0</v>
  </rv>
  <rv s="0">
    <fb>931.1</fb>
    <v>0</v>
  </rv>
  <rv s="0">
    <fb>3856.4</fb>
    <v>0</v>
  </rv>
  <rv s="0">
    <fb>1397.5</fb>
    <v>0</v>
  </rv>
  <rv s="0">
    <fb>15859</fb>
    <v>0</v>
  </rv>
  <rv s="0">
    <fb>1698</fb>
    <v>0</v>
  </rv>
  <rv s="0">
    <fb>1386.1</fb>
    <v>0</v>
  </rv>
  <rv s="0">
    <fb>1984.7</fb>
    <v>0</v>
  </rv>
  <rv s="0">
    <fb>916.1</fb>
    <v>0</v>
  </rv>
  <rv s="0">
    <fb>3743.8</fb>
    <v>0</v>
  </rv>
  <rv s="0">
    <fb>1315</fb>
    <v>0</v>
  </rv>
  <rv s="0">
    <fb>15469</fb>
    <v>0</v>
  </rv>
  <rv s="0">
    <fb>1707</fb>
    <v>0</v>
  </rv>
  <rv s="0">
    <fb>1450.8</fb>
    <v>0</v>
  </rv>
  <rv s="0">
    <fb>2038.4</fb>
    <v>0</v>
  </rv>
  <rv s="0">
    <fb>941.1</fb>
    <v>0</v>
  </rv>
  <rv s="0">
    <fb>4068.1</fb>
    <v>0</v>
  </rv>
  <rv s="0">
    <fb>1330</fb>
    <v>0</v>
  </rv>
  <rv s="0">
    <fb>14997</fb>
    <v>0</v>
  </rv>
  <rv s="0">
    <fb>1593.7</fb>
    <v>0</v>
  </rv>
  <rv s="0">
    <fb>1419.6</fb>
    <v>0</v>
  </rv>
  <rv s="0">
    <fb>2004.7</fb>
    <v>0</v>
  </rv>
  <rv s="0">
    <fb>903.9</fb>
    <v>0</v>
  </rv>
  <rv s="0">
    <fb>4173.8999999999996</fb>
    <v>0</v>
  </rv>
  <rv s="0">
    <fb>1331.5</fb>
    <v>0</v>
  </rv>
  <rv s="0">
    <fb>15237</fb>
    <v>0</v>
  </rv>
  <rv s="0">
    <fb>1455.2</fb>
    <v>0</v>
  </rv>
  <rv s="0">
    <fb>1419.4</fb>
    <v>0</v>
  </rv>
  <rv s="0">
    <fb>1977.4</fb>
    <v>0</v>
  </rv>
  <rv s="0">
    <fb>911.85</fb>
    <v>0</v>
  </rv>
  <rv s="0">
    <fb>4380.6000000000004</fb>
    <v>0</v>
  </rv>
  <rv s="0">
    <fb>1341.1</fb>
    <v>0</v>
  </rv>
  <rv s="0">
    <fb>14977</fb>
    <v>0</v>
  </rv>
  <rv s="0">
    <fb>1436.5</fb>
    <v>0</v>
  </rv>
  <rv s="0">
    <fb>1393.9</fb>
    <v>0</v>
  </rv>
  <rv s="0">
    <fb>1879.3</fb>
    <v>0</v>
  </rv>
  <rv s="0">
    <fb>887.75</fb>
    <v>0</v>
  </rv>
  <rv s="0">
    <fb>4278.3</fb>
    <v>0</v>
  </rv>
  <rv s="0">
    <fb>1348.2</fb>
    <v>0</v>
  </rv>
  <rv s="0">
    <fb>14857</fb>
    <v>0</v>
  </rv>
  <rv s="0">
    <fb>1389.1</fb>
    <v>0</v>
  </rv>
  <rv s="0">
    <fb>1404.8</fb>
    <v>0</v>
  </rv>
  <rv s="0">
    <fb>1870.8</fb>
    <v>0</v>
  </rv>
  <rv s="0">
    <fb>857.05</fb>
    <v>0</v>
  </rv>
  <rv s="0">
    <fb>3949.8</fb>
    <v>0</v>
  </rv>
  <rv s="0">
    <fb>1321.2</fb>
    <v>0</v>
  </rv>
  <rv s="0">
    <fb>14159</fb>
    <v>0</v>
  </rv>
  <rv s="0">
    <fb>1356.7</fb>
    <v>0</v>
  </rv>
  <rv s="0">
    <fb>1380.7</fb>
    <v>0</v>
  </rv>
  <rv s="0">
    <fb>1803.4</fb>
    <v>0</v>
  </rv>
  <rv s="0">
    <fb>817</fb>
    <v>0</v>
  </rv>
  <rv s="0">
    <fb>3439</fb>
    <v>0</v>
  </rv>
  <rv s="0">
    <fb>1314.7</fb>
    <v>0</v>
  </rv>
  <rv s="0">
    <fb>12591</fb>
    <v>0</v>
  </rv>
  <rv s="0">
    <fb>1325.4</fb>
    <v>0</v>
  </rv>
  <rv s="0">
    <fb>1414.4</fb>
    <v>0</v>
  </rv>
  <rv s="0">
    <fb>1846.1</fb>
    <v>0</v>
  </rv>
  <rv s="0">
    <fb>780.45</fb>
    <v>0</v>
  </rv>
  <rv s="0">
    <fb>3434.8</fb>
    <v>0</v>
  </rv>
  <rv s="0">
    <fb>1256.4000000000001</fb>
    <v>0</v>
  </rv>
  <rv s="0">
    <fb>12601</fb>
    <v>0</v>
  </rv>
  <rv s="0">
    <fb>1333.7</fb>
    <v>0</v>
  </rv>
  <rv s="0">
    <fb>1348.1</fb>
    <v>0</v>
  </rv>
  <rv s="0">
    <fb>1843.9</fb>
    <v>0</v>
  </rv>
  <rv s="0">
    <fb>756.2</fb>
    <v>0</v>
  </rv>
  <rv s="0">
    <fb>3564.1</fb>
    <v>0</v>
  </rv>
  <rv s="0">
    <fb>1242.3</fb>
    <v>0</v>
  </rv>
  <rv s="0">
    <fb>12389</fb>
    <v>0</v>
  </rv>
  <rv s="0">
    <fb>1364.4</fb>
    <v>0</v>
  </rv>
  <rv s="0">
    <fb>1350.5</fb>
    <v>0</v>
  </rv>
  <rv s="0">
    <fb>1789.7</fb>
    <v>0</v>
  </rv>
  <rv s="0">
    <fb>750.9</fb>
    <v>0</v>
  </rv>
  <rv s="0">
    <fb>3613.1</fb>
    <v>0</v>
  </rv>
  <rv s="0">
    <fb>1192.4000000000001</fb>
    <v>0</v>
  </rv>
  <rv s="0">
    <fb>12631</fb>
    <v>0</v>
  </rv>
  <rv s="0">
    <fb>1402.2</fb>
    <v>0</v>
  </rv>
  <rv s="0">
    <fb>1350.2</fb>
    <v>0</v>
  </rv>
  <rv s="0">
    <fb>1870</fb>
    <v>0</v>
  </rv>
  <rv s="0">
    <fb>810.3</fb>
    <v>0</v>
  </rv>
  <rv s="0">
    <fb>3959.9</fb>
    <v>0</v>
  </rv>
  <rv s="0">
    <fb>1229.5</fb>
    <v>0</v>
  </rv>
  <rv s="0">
    <fb>13709</fb>
    <v>0</v>
  </rv>
  <rv s="0">
    <fb>1451.2</fb>
    <v>0</v>
  </rv>
  <rv s="0">
    <fb>1365</fb>
    <v>0</v>
  </rv>
  <rv s="0">
    <fb>1846.9</fb>
    <v>0</v>
  </rv>
  <rv s="0">
    <fb>799.9</fb>
    <v>0</v>
  </rv>
  <rv s="0">
    <fb>4096.1000000000004</fb>
    <v>0</v>
  </rv>
  <rv s="0">
    <fb>1240.8</fb>
    <v>0</v>
  </rv>
  <rv s="0">
    <fb>13453</fb>
    <v>0</v>
  </rv>
  <rv s="0">
    <fb>1327.8</fb>
    <v>0</v>
  </rv>
  <rv s="0">
    <fb>1814.5</fb>
    <v>0</v>
  </rv>
  <rv s="0">
    <fb>784.85</fb>
    <v>0</v>
  </rv>
  <rv s="0">
    <fb>4014.3</fb>
    <v>0</v>
  </rv>
  <rv s="0">
    <fb>1295</fb>
    <v>0</v>
  </rv>
  <rv s="0">
    <fb>13048</fb>
    <v>0</v>
  </rv>
  <rv s="0">
    <fb>1203.2</fb>
    <v>0</v>
  </rv>
  <rv s="0">
    <fb>1430.8</fb>
    <v>0</v>
  </rv>
  <rv s="0">
    <fb>1886.8</fb>
    <v>0</v>
  </rv>
  <rv s="0">
    <fb>771.7</fb>
    <v>0</v>
  </rv>
  <rv s="0">
    <fb>4014</fb>
    <v>0</v>
  </rv>
  <rv s="0">
    <fb>1309.5999999999999</fb>
    <v>0</v>
  </rv>
  <rv s="0">
    <fb>13314</fb>
    <v>0</v>
  </rv>
  <rv s="0">
    <fb>1199.0999999999999</fb>
    <v>0</v>
  </rv>
  <rv s="0">
    <fb>1435.2</fb>
    <v>0</v>
  </rv>
  <rv s="0">
    <fb>1834.5</fb>
    <v>0</v>
  </rv>
  <rv s="0">
    <fb>780.85</fb>
    <v>0</v>
  </rv>
  <rv s="0">
    <fb>3974.5</fb>
    <v>0</v>
  </rv>
  <rv s="0">
    <fb>1347</fb>
    <v>0</v>
  </rv>
  <rv s="0">
    <fb>13726</fb>
    <v>0</v>
  </rv>
  <rv s="0">
    <fb>1198.4000000000001</fb>
    <v>0</v>
  </rv>
  <rv s="0">
    <fb>1336.4</fb>
    <v>0</v>
  </rv>
  <rv s="0">
    <fb>1905.4</fb>
    <v>0</v>
  </rv>
  <rv s="0">
    <fb>767.5</fb>
    <v>0</v>
  </rv>
  <rv s="0">
    <fb>3909</fb>
    <v>0</v>
  </rv>
  <rv s="0">
    <fb>1432.1</fb>
    <v>0</v>
  </rv>
  <rv s="0">
    <fb>13221</fb>
    <v>0</v>
  </rv>
  <rv s="0">
    <fb>1132.5999999999999</fb>
    <v>0</v>
  </rv>
  <rv s="0">
    <fb>1354.5</fb>
    <v>0</v>
  </rv>
  <rv s="0">
    <fb>1871.4</fb>
    <v>0</v>
  </rv>
  <rv s="0">
    <fb>766.8</fb>
    <v>0</v>
  </rv>
  <rv s="0">
    <fb>3926.6</fb>
    <v>0</v>
  </rv>
  <rv s="0">
    <fb>1399.2</fb>
    <v>0</v>
  </rv>
  <rv s="0">
    <fb>12987</fb>
    <v>0</v>
  </rv>
  <rv s="0">
    <fb>1164</fb>
    <v>0</v>
  </rv>
  <rv s="0">
    <fb>1829</fb>
    <v>0</v>
  </rv>
  <rv s="0">
    <fb>744.55</fb>
    <v>0</v>
  </rv>
  <rv s="0">
    <fb>4076.5</fb>
    <v>0</v>
  </rv>
  <rv s="0">
    <fb>1401</fb>
    <v>0</v>
  </rv>
  <rv s="0">
    <fb>13127</fb>
    <v>0</v>
  </rv>
  <rv s="0">
    <fb>1183.8</fb>
    <v>0</v>
  </rv>
  <rv s="0">
    <fb>1291</fb>
    <v>0</v>
  </rv>
  <rv s="0">
    <fb>1798.2</fb>
    <v>0</v>
  </rv>
  <rv s="0">
    <fb>747.05</fb>
    <v>0</v>
  </rv>
  <rv s="0">
    <fb>3953.2</fb>
    <v>0</v>
  </rv>
  <rv s="0">
    <fb>1401.3</fb>
    <v>0</v>
  </rv>
  <rv s="0">
    <fb>13050</fb>
    <v>0</v>
  </rv>
  <rv s="0">
    <fb>1154.7</fb>
    <v>0</v>
  </rv>
  <rv s="0">
    <fb>1293</fb>
    <v>0</v>
  </rv>
  <rv s="0">
    <fb>1822.5</fb>
    <v>0</v>
  </rv>
  <rv s="0">
    <fb>772.45</fb>
    <v>0</v>
  </rv>
  <rv s="0">
    <fb>4049.3</fb>
    <v>0</v>
  </rv>
  <rv s="0">
    <fb>1389.4</fb>
    <v>0</v>
  </rv>
  <rv s="0">
    <fb>13366</fb>
    <v>0</v>
  </rv>
  <rv s="0">
    <fb>1109.5999999999999</fb>
    <v>0</v>
  </rv>
  <rv s="0">
    <fb>1910.8</fb>
    <v>0</v>
  </rv>
  <rv s="0">
    <fb>779.8</fb>
    <v>0</v>
  </rv>
  <rv s="0">
    <fb>4209.3999999999996</fb>
    <v>0</v>
  </rv>
  <rv s="0">
    <fb>1351.8</fb>
    <v>0</v>
  </rv>
  <rv s="0">
    <fb>13395</fb>
    <v>0</v>
  </rv>
  <rv s="0">
    <fb>1131.7</fb>
    <v>0</v>
  </rv>
  <rv s="0">
    <fb>1318.1</fb>
    <v>0</v>
  </rv>
  <rv s="0">
    <fb>1850.7</fb>
    <v>0</v>
  </rv>
  <rv s="0">
    <fb>796.3</fb>
    <v>0</v>
  </rv>
  <rv s="0">
    <fb>4216.3999999999996</fb>
    <v>0</v>
  </rv>
  <rv s="0">
    <fb>1440.1</fb>
    <v>0</v>
  </rv>
  <rv s="0">
    <fb>13745</fb>
    <v>0</v>
  </rv>
  <rv s="0">
    <fb>1100.7</fb>
    <v>0</v>
  </rv>
  <rv s="0">
    <fb>1304</fb>
    <v>0</v>
  </rv>
  <rv s="0">
    <fb>1910.4</fb>
    <v>0</v>
  </rv>
  <rv s="0">
    <fb>801.05</fb>
    <v>0</v>
  </rv>
  <rv s="0">
    <fb>4026.6</fb>
    <v>0</v>
  </rv>
  <rv s="0">
    <fb>1458.2</fb>
    <v>0</v>
  </rv>
  <rv s="0">
    <fb>14366</fb>
    <v>0</v>
  </rv>
  <rv s="0">
    <fb>1139</fb>
    <v>0</v>
  </rv>
  <rv s="0">
    <fb>1307.8</fb>
    <v>0</v>
  </rv>
  <rv s="0">
    <fb>1920.4</fb>
    <v>0</v>
  </rv>
  <rv s="0">
    <fb>824.95</fb>
    <v>0</v>
  </rv>
  <rv s="0">
    <fb>3945.8</fb>
    <v>0</v>
  </rv>
  <rv s="0">
    <fb>1439.4</fb>
    <v>0</v>
  </rv>
  <rv s="0">
    <fb>13854</fb>
    <v>0</v>
  </rv>
  <rv s="0">
    <fb>1164.0999999999999</fb>
    <v>0</v>
  </rv>
  <rv s="0">
    <fb>1327.2</fb>
    <v>0</v>
  </rv>
  <rv s="0">
    <fb>1908.8</fb>
    <v>0</v>
  </rv>
  <rv s="0">
    <fb>819.6</fb>
    <v>0</v>
  </rv>
  <rv s="0">
    <fb>3814.5</fb>
    <v>0</v>
  </rv>
  <rv s="0">
    <fb>1418.7</fb>
    <v>0</v>
  </rv>
  <rv s="0">
    <fb>13803</fb>
    <v>0</v>
  </rv>
  <rv s="0">
    <fb>1203.9000000000001</fb>
    <v>0</v>
  </rv>
  <rv s="0">
    <fb>1278</fb>
    <v>0</v>
  </rv>
  <rv s="0">
    <fb>1898.2</fb>
    <v>0</v>
  </rv>
  <rv s="0">
    <fb>742.8</fb>
    <v>0</v>
  </rv>
  <rv s="0">
    <fb>3785.6</fb>
    <v>0</v>
  </rv>
  <rv s="0">
    <fb>1410.6</fb>
    <v>0</v>
  </rv>
  <rv s="0">
    <fb>13442</fb>
    <v>0</v>
  </rv>
  <rv s="0">
    <fb>1271</fb>
    <v>0</v>
  </rv>
  <rv s="0">
    <fb>1972</fb>
    <v>0</v>
  </rv>
  <rv s="0">
    <fb>748.15</fb>
    <v>0</v>
  </rv>
  <rv s="0">
    <fb>3938.9</fb>
    <v>0</v>
  </rv>
  <rv s="0">
    <fb>1473.2</fb>
    <v>0</v>
  </rv>
  <rv s="0">
    <fb>14234</fb>
    <v>0</v>
  </rv>
  <rv s="0">
    <fb>1346.9</fb>
    <v>0</v>
  </rv>
  <rv s="0">
    <fb>1334.8</fb>
    <v>0</v>
  </rv>
  <rv s="0">
    <fb>1959.9</fb>
    <v>0</v>
  </rv>
  <rv s="0">
    <fb>731</fb>
    <v>0</v>
  </rv>
  <rv s="0">
    <fb>4056</fb>
    <v>0</v>
  </rv>
  <rv s="0">
    <fb>1463.8</fb>
    <v>0</v>
  </rv>
  <rv s="0">
    <fb>14037</fb>
    <v>0</v>
  </rv>
  <rv s="0">
    <fb>1356.6</fb>
    <v>0</v>
  </rv>
  <rv s="0">
    <fb>1310</fb>
    <v>0</v>
  </rv>
  <rv s="0">
    <fb>1992.1</fb>
    <v>0</v>
  </rv>
  <rv s="0">
    <fb>727</fb>
    <v>0</v>
  </rv>
  <rv s="0">
    <fb>4057</fb>
    <v>0</v>
  </rv>
  <rv s="0">
    <fb>1450</fb>
    <v>0</v>
  </rv>
  <rv s="0">
    <fb>13834</fb>
    <v>0</v>
  </rv>
  <rv s="0">
    <fb>1360</fb>
    <v>0</v>
  </rv>
  <rv s="0">
    <fb>1316</fb>
    <v>0</v>
  </rv>
  <rv s="0">
    <fb>1946</fb>
    <v>0</v>
  </rv>
  <rv s="0">
    <fb>726.95</fb>
    <v>0</v>
  </rv>
  <rv s="0">
    <fb>4093</fb>
    <v>0</v>
  </rv>
  <rv s="0">
    <fb>1432.2</fb>
    <v>0</v>
  </rv>
  <rv s="0">
    <fb>13565</fb>
    <v>0</v>
  </rv>
  <rv s="0">
    <fb>1302.5</fb>
    <v>0</v>
  </rv>
  <rv s="0">
    <fb>1287</fb>
    <v>0</v>
  </rv>
  <rv s="0">
    <fb>1882.4</fb>
    <v>0</v>
  </rv>
  <rv s="0">
    <fb>720.3</fb>
    <v>0</v>
  </rv>
  <rv s="0">
    <fb>4045.8</fb>
    <v>0</v>
  </rv>
  <rv s="0">
    <fb>1423.5</fb>
    <v>0</v>
  </rv>
  <rv s="0">
    <fb>13376</fb>
    <v>0</v>
  </rv>
  <rv s="0">
    <fb>1316.1</fb>
    <v>0</v>
  </rv>
  <rv s="0">
    <fb>1322</fb>
    <v>0</v>
  </rv>
  <rv s="0">
    <fb>1840</fb>
    <v>0</v>
  </rv>
  <rv s="0">
    <fb>712.1</fb>
    <v>0</v>
  </rv>
  <rv s="0">
    <fb>3964.1</fb>
    <v>0</v>
  </rv>
  <rv s="0">
    <fb>1385</fb>
    <v>0</v>
  </rv>
  <rv s="0">
    <fb>12694</fb>
    <v>0</v>
  </rv>
  <rv s="0">
    <fb>1293.4000000000001</fb>
    <v>0</v>
  </rv>
  <rv s="0">
    <fb>45544</fb>
    <v>1</v>
  </rv>
  <rv s="0">
    <fb>45551</fb>
    <v>1</v>
  </rv>
  <rv s="0">
    <fb>45558</fb>
    <v>1</v>
  </rv>
  <rv s="0">
    <fb>45565</fb>
    <v>1</v>
  </rv>
  <rv s="0">
    <fb>45572</fb>
    <v>1</v>
  </rv>
  <rv s="0">
    <fb>45579</fb>
    <v>1</v>
  </rv>
  <rv s="0">
    <fb>45586</fb>
    <v>1</v>
  </rv>
  <rv s="0">
    <fb>45593</fb>
    <v>1</v>
  </rv>
  <rv s="0">
    <fb>45600</fb>
    <v>1</v>
  </rv>
  <rv s="0">
    <fb>45607</fb>
    <v>1</v>
  </rv>
  <rv s="0">
    <fb>45614</fb>
    <v>1</v>
  </rv>
  <rv s="0">
    <fb>45621</fb>
    <v>1</v>
  </rv>
  <rv s="0">
    <fb>45628</fb>
    <v>1</v>
  </rv>
  <rv s="0">
    <fb>45635</fb>
    <v>1</v>
  </rv>
  <rv s="0">
    <fb>45642</fb>
    <v>1</v>
  </rv>
  <rv s="0">
    <fb>45649</fb>
    <v>1</v>
  </rv>
  <rv s="0">
    <fb>45656</fb>
    <v>1</v>
  </rv>
  <rv s="0">
    <fb>45663</fb>
    <v>1</v>
  </rv>
  <rv s="0">
    <fb>45670</fb>
    <v>1</v>
  </rv>
  <rv s="0">
    <fb>45677</fb>
    <v>1</v>
  </rv>
  <rv s="0">
    <fb>45684</fb>
    <v>1</v>
  </rv>
  <rv s="0">
    <fb>45691</fb>
    <v>1</v>
  </rv>
  <rv s="0">
    <fb>45698</fb>
    <v>1</v>
  </rv>
  <rv s="0">
    <fb>45705</fb>
    <v>1</v>
  </rv>
  <rv s="0">
    <fb>45712</fb>
    <v>1</v>
  </rv>
  <rv s="0">
    <fb>45719</fb>
    <v>1</v>
  </rv>
  <rv s="0">
    <fb>45726</fb>
    <v>1</v>
  </rv>
  <rv s="0">
    <fb>45733</fb>
    <v>1</v>
  </rv>
  <rv s="0">
    <fb>45740</fb>
    <v>1</v>
  </rv>
  <rv s="0">
    <fb>45748</fb>
    <v>1</v>
  </rv>
  <rv s="0">
    <fb>1204.7</fb>
    <v>0</v>
  </rv>
  <rv s="0">
    <fb>1743.45</fb>
    <v>0</v>
  </rv>
  <rv s="0">
    <fb>906.39649999999995</fb>
    <v>0</v>
  </rv>
  <rv s="0">
    <fb>3260.15</fb>
    <v>0</v>
  </rv>
  <rv s="0">
    <fb>1415.25</fb>
    <v>0</v>
  </rv>
  <rv s="0">
    <fb>11482</fb>
    <v>0</v>
  </rv>
  <rv s="0">
    <fb>1422.1</fb>
    <v>0</v>
  </rv>
  <rv s="0">
    <fb>45754</fb>
    <v>1</v>
  </rv>
  <rv s="0">
    <fb>45762</fb>
    <v>1</v>
  </rv>
  <rv s="0">
    <fb>1274.5</fb>
    <v>0</v>
  </rv>
  <rv s="0">
    <fb>1889.1</fb>
    <v>0</v>
  </rv>
  <rv s="0">
    <fb>950.98569999999995</fb>
    <v>0</v>
  </rv>
  <rv s="0">
    <fb>3247.3</fb>
    <v>0</v>
  </rv>
  <rv s="0">
    <fb>1515.2</fb>
    <v>0</v>
  </rv>
  <rv s="0">
    <fb>11695</fb>
    <v>0</v>
  </rv>
  <rv s="0">
    <fb>1438</fb>
    <v>0</v>
  </rv>
  <rv s="0">
    <fb>45768</fb>
    <v>1</v>
  </rv>
  <rv s="0">
    <fb>45775</fb>
    <v>1</v>
  </rv>
  <rv s="0">
    <fb>45782</fb>
    <v>1</v>
  </rv>
  <rv s="0">
    <fb>45789</fb>
    <v>1</v>
  </rv>
  <rv s="0">
    <fb>45796</fb>
    <v>1</v>
  </rv>
  <rv s="0">
    <fb>45803</fb>
    <v>1</v>
  </rv>
  <rv s="0">
    <fb>45810</fb>
    <v>1</v>
  </rv>
  <rv s="0">
    <fb>45817</fb>
    <v>1</v>
  </rv>
  <rv s="0">
    <fb>45824</fb>
    <v>1</v>
  </rv>
  <rv s="0">
    <fb>45831</fb>
    <v>1</v>
  </rv>
  <rv s="0">
    <fb>45838</fb>
    <v>1</v>
  </rv>
  <rv s="0">
    <fb>45845</fb>
    <v>1</v>
  </rv>
  <rv s="0">
    <fb>45852</fb>
    <v>1</v>
  </rv>
  <rv s="0">
    <fb>45859</fb>
    <v>1</v>
  </rv>
  <rv s="0">
    <fb>45866</fb>
    <v>1</v>
  </rv>
  <rv s="0">
    <fb>45873</fb>
    <v>1</v>
  </rv>
  <rv s="0">
    <fb>45880</fb>
    <v>1</v>
  </rv>
  <rv s="0">
    <fb>45887</fb>
    <v>1</v>
  </rv>
  <rv s="0">
    <fb>45894</fb>
    <v>1</v>
  </rv>
  <rv s="0">
    <fb>45901</fb>
    <v>1</v>
  </rv>
  <rv s="0">
    <fb>45908</fb>
    <v>1</v>
  </rv>
  <rv s="0">
    <fb>45915</fb>
    <v>1</v>
  </rv>
  <rv s="0">
    <fb>45922</fb>
    <v>1</v>
  </rv>
  <rv s="0">
    <fb>45929</fb>
    <v>1</v>
  </rv>
  <rv s="0">
    <fb>45936</fb>
    <v>1</v>
  </rv>
  <rv s="0">
    <fb>45943</fb>
    <v>1</v>
  </rv>
  <rv s="0">
    <fb>45950</fb>
    <v>1</v>
  </rv>
  <rv s="0">
    <fb>45957</fb>
    <v>1</v>
  </rv>
  <rv s="0">
    <fb>45964</fb>
    <v>1</v>
  </rv>
  <rv s="0">
    <fb>45971</fb>
    <v>1</v>
  </rv>
  <rv s="0">
    <fb>45978</fb>
    <v>1</v>
  </rv>
  <rv s="0">
    <fb>45985</fb>
    <v>1</v>
  </rv>
  <rv s="0">
    <fb>45992</fb>
    <v>1</v>
  </rv>
  <rv s="0">
    <fb>45999</fb>
    <v>1</v>
  </rv>
  <rv s="0">
    <fb>46006</fb>
    <v>1</v>
  </rv>
  <rv s="0">
    <fb>46013</fb>
    <v>1</v>
  </rv>
  <rv s="0">
    <fb>46020</fb>
    <v>1</v>
  </rv>
  <rv s="0">
    <fb>46027</fb>
    <v>1</v>
  </rv>
  <rv s="0">
    <fb>46034</fb>
    <v>1</v>
  </rv>
  <rv s="0">
    <fb>46041</fb>
    <v>1</v>
  </rv>
  <rv s="0">
    <fb>46049</fb>
    <v>1</v>
  </rv>
  <rv s="0">
    <fb>1395.4</fb>
    <v>0</v>
  </rv>
  <rv s="0">
    <fb>1968.7</fb>
    <v>0</v>
  </rv>
  <rv s="0">
    <fb>929.25</fb>
    <v>0</v>
  </rv>
  <rv s="0">
    <fb>3932.3</fb>
    <v>0</v>
  </rv>
  <rv s="0">
    <fb>1324</fb>
    <v>0</v>
  </rv>
  <rv s="0">
    <fb>14599</fb>
    <v>0</v>
  </rv>
  <rv s="0">
    <fb>1695.6</fb>
    <v>0</v>
  </rv>
  <rv s="0">
    <fb>46054</fb>
    <v>1</v>
  </rv>
  <rv s="0">
    <fb>46062</fb>
    <v>1</v>
  </rv>
  <rv s="0">
    <fb>46069</fb>
    <v>1</v>
  </rv>
  <rv s="0">
    <fb>46076</fb>
    <v>1</v>
  </rv>
  <rv s="0">
    <fb>46083</fb>
    <v>1</v>
  </rv>
  <rv s="0">
    <fb>46090</fb>
    <v>1</v>
  </rv>
  <rv s="0">
    <fb>46097</fb>
    <v>1</v>
  </rv>
  <rv s="0">
    <fb>46104</fb>
    <v>1</v>
  </rv>
  <rv s="0">
    <fb>46111</fb>
    <v>1</v>
  </rv>
  <rv s="0">
    <fb>46118</fb>
    <v>1</v>
  </rv>
  <rv s="0">
    <fb>46125</fb>
    <v>1</v>
  </rv>
  <rv s="0">
    <fb>46132</fb>
    <v>1</v>
  </rv>
  <rv s="0">
    <fb>46139</fb>
    <v>1</v>
  </rv>
  <rv s="0">
    <fb>46146</fb>
    <v>1</v>
  </rv>
  <rv s="0">
    <fb>46153</fb>
    <v>1</v>
  </rv>
  <rv s="0">
    <fb>46160</fb>
    <v>1</v>
  </rv>
  <rv s="0">
    <fb>46167</fb>
    <v>1</v>
  </rv>
  <rv s="0">
    <fb>46174</fb>
    <v>1</v>
  </rv>
  <rv s="0">
    <fb>46181</fb>
    <v>1</v>
  </rv>
  <rv s="0">
    <fb>46188</fb>
    <v>1</v>
  </rv>
  <rv s="0">
    <fb>46195</fb>
    <v>1</v>
  </rv>
  <rv s="0">
    <fb>46202</fb>
    <v>1</v>
  </rv>
  <rv s="0">
    <fb>46209</fb>
    <v>1</v>
  </rv>
  <rv s="0">
    <fb>46216</fb>
    <v>1</v>
  </rv>
  <rv s="0">
    <fb>46223</fb>
    <v>1</v>
  </rv>
  <rv s="0">
    <fb>46230</fb>
    <v>1</v>
  </rv>
  <rv s="0">
    <fb>46237</fb>
    <v>1</v>
  </rv>
  <rv s="0">
    <fb>46244</fb>
    <v>1</v>
  </rv>
  <rv s="0">
    <fb>46251</fb>
    <v>1</v>
  </rv>
  <rv s="0">
    <fb>46258</fb>
    <v>1</v>
  </rv>
  <rv s="0">
    <fb>46265</fb>
    <v>1</v>
  </rv>
  <rv s="0">
    <fb>46272</fb>
    <v>1</v>
  </rv>
  <rv s="1">
    <v>2</v>
    <v>XNSE:BHARTIARTL</v>
    <v>Weekly</v>
    <v>45543</v>
    <v>46277</v>
    <v>0</v>
    <v>1</v>
    <v>639243360000000000,639245392743763199,0</v>
    <v>0</v>
    <v>ahh7a2</v>
    <v>XNSE:BHARTIARTL</v>
    <v>1</v>
  </rv>
  <rv s="1">
    <v>2</v>
    <v>XNSE:HDFCBANK</v>
    <v>Weekly</v>
    <v>45543</v>
    <v>46277</v>
    <v>0</v>
    <v>1</v>
    <v>639243360000000000,639245392743011131,0</v>
    <v>0</v>
    <v>ahi3jc</v>
    <v>XNSE:HDFCBANK</v>
    <v>2</v>
  </rv>
  <rv s="1">
    <v>2</v>
    <v>XNSE:MARUTI</v>
    <v>Weekly</v>
    <v>45543</v>
    <v>46277</v>
    <v>0</v>
    <v>1</v>
    <v>639243360000000000,639245392741499339,0</v>
    <v>0</v>
    <v>ahiwa2</v>
    <v>XNSE:MARUTI</v>
    <v>3</v>
  </rv>
  <rv s="1">
    <v>2</v>
    <v>XNSE:HCLTECH</v>
    <v>Weekly</v>
    <v>45543</v>
    <v>46277</v>
    <v>0</v>
    <v>1</v>
    <v>639243360000000000,639245392742252493,0</v>
    <v>0</v>
    <v>ahi3dm</v>
    <v>XNSE:HCLTECH</v>
    <v>4</v>
  </rv>
  <rv s="1">
    <v>2</v>
    <v>XNSE:CIPLA</v>
    <v>Weekly</v>
    <v>45543</v>
    <v>46277</v>
    <v>0</v>
    <v>1</v>
    <v>639243360000000000,639245392742635198,0</v>
    <v>0</v>
    <v>ahhedm</v>
    <v>XNSE:CIPLA</v>
    <v>5</v>
  </rv>
  <rv s="1">
    <v>2</v>
    <v>XNSE:LT</v>
    <v>Weekly</v>
    <v>45543</v>
    <v>46277</v>
    <v>0</v>
    <v>1</v>
    <v>639243360000000000,639245392741873244,0</v>
    <v>0</v>
    <v>ahirxm</v>
    <v>XNSE:LT</v>
    <v>6</v>
  </rv>
  <rv s="1">
    <v>2</v>
    <v>XNSE:RELIANCE</v>
    <v>Weekly</v>
    <v>45543</v>
    <v>46277</v>
    <v>0</v>
    <v>1</v>
    <v>639243360000000000,639245392743379384,0</v>
    <v>0</v>
    <v>ahjo52</v>
    <v>XNSE:RELIANCE</v>
    <v>7</v>
  </rv>
</rvData>
</file>

<file path=xl/richData/rdrichvaluestructure.xml><?xml version="1.0" encoding="utf-8"?>
<rvStructures xmlns="http://schemas.microsoft.com/office/spreadsheetml/2017/richdata" count="2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</s>
</rvStructures>
</file>

<file path=xl/richData/rdsupportingpropertybag.xml><?xml version="1.0" encoding="utf-8"?>
<supportingPropertyBags xmlns="http://schemas.microsoft.com/office/spreadsheetml/2017/richdata2">
  <spbData count="3">
    <spb s="0">
      <v>1</v>
    </spb>
    <spb s="0">
      <v>2</v>
    </spb>
    <spb s="1">
      <v>2</v>
      <v>1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Date" t="i"/>
    <k n="Clos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19" formatCode="m/d/yyyy"/>
    </x:dxf>
    <x:dxf>
      <x:numFmt numFmtId="0" formatCode="General"/>
    </x:dxf>
  </dxfs>
  <richProperties>
    <rPr n="NumberFormat" t="s"/>
  </richProperties>
  <richStyles>
    <rSty dxfid="1">
      <rpv i="0" xml:space="preserve">_ [$₹-as-IN] * #,##0.00_ ;_ [$₹-as-IN] * -#,##0.00_ ;_ [$₹-as-IN] * "-"??_ ;_ @_ </rpv>
    </rSty>
    <rSty dxfid="0"/>
  </richStyles>
</richStyleSheet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1C15D0B-28BA-4BBE-9F36-78F6A00549A9}" name="Query1" displayName="Query1" ref="W20:X125" tableType="queryTable" totalsRowShown="0" headerRowDxfId="20" dataDxfId="19">
  <autoFilter ref="W20:X125" xr:uid="{31C15D0B-28BA-4BBE-9F36-78F6A00549A9}"/>
  <tableColumns count="2">
    <tableColumn id="1" xr3:uid="{D79D2421-4091-4C44-93D6-4D64EACA76F7}" uniqueName="1" name="Date" queryTableFieldId="1" dataDxfId="18"/>
    <tableColumn id="2" xr3:uid="{2C549E9F-09A5-4C7A-A252-721B1795E923}" uniqueName="2" name="Close" queryTableFieldId="2" dataDxfId="17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880AE51-5F2F-48CB-A0D5-020BD8DB532A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c5254d3e-93c6-4a77-9816-10db4eec3999&quot;"/>
  </we:properties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2D3EE"/>
  </sheetPr>
  <dimension ref="A1:I71"/>
  <sheetViews>
    <sheetView showGridLines="0" workbookViewId="0">
      <selection activeCell="L37" sqref="L37"/>
    </sheetView>
  </sheetViews>
  <sheetFormatPr defaultColWidth="8.6640625" defaultRowHeight="14.4" x14ac:dyDescent="0.3"/>
  <cols>
    <col min="1" max="1" width="26" customWidth="1"/>
    <col min="2" max="2" width="13" customWidth="1"/>
    <col min="3" max="3" width="17" customWidth="1"/>
    <col min="4" max="4" width="26" customWidth="1"/>
    <col min="5" max="6" width="10" customWidth="1"/>
    <col min="7" max="8" width="12" customWidth="1"/>
  </cols>
  <sheetData>
    <row r="1" spans="1:9" ht="33.75" customHeight="1" x14ac:dyDescent="0.3">
      <c r="A1" s="172" t="s">
        <v>18</v>
      </c>
      <c r="B1" s="136"/>
      <c r="C1" s="136"/>
      <c r="D1" s="136"/>
      <c r="E1" s="136"/>
      <c r="F1" s="136"/>
      <c r="G1" s="136"/>
      <c r="H1" s="136"/>
      <c r="I1" s="3"/>
    </row>
    <row r="2" spans="1:9" ht="19.5" customHeight="1" x14ac:dyDescent="0.3">
      <c r="A2" s="187" t="s">
        <v>19</v>
      </c>
      <c r="B2" s="136"/>
      <c r="C2" s="136"/>
      <c r="D2" s="136"/>
      <c r="E2" s="136"/>
      <c r="F2" s="136"/>
      <c r="G2" s="136"/>
      <c r="H2" s="136"/>
      <c r="I2" s="3"/>
    </row>
    <row r="3" spans="1:9" x14ac:dyDescent="0.3">
      <c r="A3" s="3"/>
      <c r="B3" s="3"/>
      <c r="C3" s="3"/>
      <c r="D3" s="3"/>
      <c r="E3" s="3"/>
      <c r="F3" s="3"/>
      <c r="G3" s="3"/>
      <c r="H3" s="3"/>
      <c r="I3" s="3"/>
    </row>
    <row r="4" spans="1:9" ht="16.5" customHeight="1" x14ac:dyDescent="0.3">
      <c r="A4" s="177" t="s">
        <v>20</v>
      </c>
      <c r="B4" s="136"/>
      <c r="C4" s="136"/>
      <c r="D4" s="136"/>
      <c r="E4" s="136"/>
      <c r="F4" s="136"/>
      <c r="G4" s="136"/>
      <c r="H4" s="136"/>
      <c r="I4" s="3"/>
    </row>
    <row r="5" spans="1:9" ht="30" customHeight="1" x14ac:dyDescent="0.3">
      <c r="A5" s="4" t="s">
        <v>21</v>
      </c>
      <c r="B5" s="175" t="s">
        <v>22</v>
      </c>
      <c r="C5" s="174"/>
      <c r="D5" s="174"/>
      <c r="E5" s="174"/>
      <c r="F5" s="174"/>
      <c r="G5" s="174"/>
      <c r="H5" s="174"/>
      <c r="I5" s="3"/>
    </row>
    <row r="6" spans="1:9" x14ac:dyDescent="0.3">
      <c r="A6" s="3"/>
      <c r="B6" s="3"/>
      <c r="C6" s="3"/>
      <c r="D6" s="3"/>
      <c r="E6" s="3"/>
      <c r="F6" s="3"/>
      <c r="G6" s="3"/>
      <c r="H6" s="3"/>
      <c r="I6" s="3"/>
    </row>
    <row r="7" spans="1:9" ht="16.5" customHeight="1" x14ac:dyDescent="0.3">
      <c r="A7" s="177" t="s">
        <v>23</v>
      </c>
      <c r="B7" s="136"/>
      <c r="C7" s="136"/>
      <c r="D7" s="136"/>
      <c r="E7" s="136"/>
      <c r="F7" s="136"/>
      <c r="G7" s="136"/>
      <c r="H7" s="136"/>
      <c r="I7" s="3"/>
    </row>
    <row r="8" spans="1:9" ht="15.75" customHeight="1" x14ac:dyDescent="0.3">
      <c r="A8" s="5" t="s">
        <v>24</v>
      </c>
      <c r="B8" s="182" t="s">
        <v>25</v>
      </c>
      <c r="C8" s="174"/>
      <c r="D8" s="174"/>
      <c r="E8" s="174"/>
      <c r="F8" s="174"/>
      <c r="G8" s="174"/>
      <c r="H8" s="174"/>
      <c r="I8" s="3"/>
    </row>
    <row r="9" spans="1:9" ht="15.75" customHeight="1" x14ac:dyDescent="0.3">
      <c r="A9" s="5" t="s">
        <v>26</v>
      </c>
      <c r="B9" s="178" t="str">
        <f ca="1">"Weekly, "&amp;TEXT(Inputs!$B$6,"dd-mmm-yyyy")&amp;"  to  "&amp;TEXT(Inputs!$B$7,"dd-mmm-yyyy")&amp;"   ("&amp;TEXT(Inputs!$B$9,"0")&amp;" weekly returns, ≈2 years)"</f>
        <v>Weekly, 09-Sep-2024  to  07-Sep-2026   (104 weekly returns, ≈2 years)</v>
      </c>
      <c r="C9" s="174"/>
      <c r="D9" s="174"/>
      <c r="E9" s="174"/>
      <c r="F9" s="174"/>
      <c r="G9" s="174"/>
      <c r="H9" s="174"/>
      <c r="I9" s="3"/>
    </row>
    <row r="10" spans="1:9" ht="15.75" customHeight="1" x14ac:dyDescent="0.3">
      <c r="A10" s="5" t="s">
        <v>27</v>
      </c>
      <c r="B10" s="182" t="s">
        <v>28</v>
      </c>
      <c r="C10" s="174"/>
      <c r="D10" s="174"/>
      <c r="E10" s="174"/>
      <c r="F10" s="174"/>
      <c r="G10" s="174"/>
      <c r="H10" s="174"/>
      <c r="I10" s="3"/>
    </row>
    <row r="11" spans="1:9" ht="15.75" customHeight="1" x14ac:dyDescent="0.3">
      <c r="A11" s="5" t="s">
        <v>29</v>
      </c>
      <c r="B11" s="188">
        <f>RiskFree</f>
        <v>6.9500000000000006E-2</v>
      </c>
      <c r="C11" s="174"/>
      <c r="D11" s="174"/>
      <c r="E11" s="174"/>
      <c r="F11" s="174"/>
      <c r="G11" s="174"/>
      <c r="H11" s="174"/>
      <c r="I11" s="3"/>
    </row>
    <row r="12" spans="1:9" ht="15.75" customHeight="1" x14ac:dyDescent="0.3">
      <c r="A12" s="5" t="s">
        <v>30</v>
      </c>
      <c r="B12" s="182" t="s">
        <v>31</v>
      </c>
      <c r="C12" s="174"/>
      <c r="D12" s="174"/>
      <c r="E12" s="174"/>
      <c r="F12" s="174"/>
      <c r="G12" s="174"/>
      <c r="H12" s="174"/>
      <c r="I12" s="3"/>
    </row>
    <row r="13" spans="1:9" x14ac:dyDescent="0.3">
      <c r="A13" s="3"/>
      <c r="B13" s="3"/>
      <c r="C13" s="3"/>
      <c r="D13" s="3"/>
      <c r="E13" s="3"/>
      <c r="F13" s="3"/>
      <c r="G13" s="3"/>
      <c r="H13" s="3"/>
      <c r="I13" s="3"/>
    </row>
    <row r="14" spans="1:9" ht="16.5" customHeight="1" x14ac:dyDescent="0.3">
      <c r="A14" s="177" t="s">
        <v>32</v>
      </c>
      <c r="B14" s="136"/>
      <c r="C14" s="136"/>
      <c r="D14" s="136"/>
      <c r="E14" s="136"/>
      <c r="F14" s="136"/>
      <c r="G14" s="136"/>
      <c r="H14" s="136"/>
      <c r="I14" s="3"/>
    </row>
    <row r="15" spans="1:9" ht="27.75" customHeight="1" x14ac:dyDescent="0.3">
      <c r="A15" s="1" t="s">
        <v>33</v>
      </c>
      <c r="B15" s="1" t="s">
        <v>34</v>
      </c>
      <c r="C15" s="1" t="s">
        <v>35</v>
      </c>
      <c r="D15" s="1" t="s">
        <v>36</v>
      </c>
      <c r="E15" s="180" t="s">
        <v>37</v>
      </c>
      <c r="F15" s="181"/>
      <c r="G15" s="1"/>
      <c r="H15" s="1"/>
      <c r="I15" s="3"/>
    </row>
    <row r="16" spans="1:9" x14ac:dyDescent="0.3">
      <c r="A16" s="6">
        <v>1</v>
      </c>
      <c r="B16" s="5" t="s">
        <v>1</v>
      </c>
      <c r="C16" s="5" t="s">
        <v>10</v>
      </c>
      <c r="D16" s="5" t="s">
        <v>38</v>
      </c>
      <c r="E16" s="173">
        <f>Holdings!$E$7</f>
        <v>0.23</v>
      </c>
      <c r="F16" s="174"/>
      <c r="G16" s="3"/>
      <c r="H16" s="3"/>
      <c r="I16" s="3"/>
    </row>
    <row r="17" spans="1:9" x14ac:dyDescent="0.3">
      <c r="A17" s="6">
        <v>2</v>
      </c>
      <c r="B17" s="5" t="s">
        <v>2</v>
      </c>
      <c r="C17" s="5" t="s">
        <v>11</v>
      </c>
      <c r="D17" s="5" t="s">
        <v>39</v>
      </c>
      <c r="E17" s="173">
        <f>Holdings!$E$8</f>
        <v>0.15</v>
      </c>
      <c r="F17" s="174"/>
      <c r="G17" s="3"/>
      <c r="H17" s="3"/>
      <c r="I17" s="3"/>
    </row>
    <row r="18" spans="1:9" x14ac:dyDescent="0.3">
      <c r="A18" s="6">
        <v>3</v>
      </c>
      <c r="B18" s="5" t="s">
        <v>3</v>
      </c>
      <c r="C18" s="5" t="s">
        <v>12</v>
      </c>
      <c r="D18" s="5" t="s">
        <v>40</v>
      </c>
      <c r="E18" s="173">
        <f>Holdings!$E$9</f>
        <v>0.15</v>
      </c>
      <c r="F18" s="174"/>
      <c r="G18" s="3"/>
      <c r="H18" s="3"/>
      <c r="I18" s="3"/>
    </row>
    <row r="19" spans="1:9" x14ac:dyDescent="0.3">
      <c r="A19" s="6">
        <v>4</v>
      </c>
      <c r="B19" s="5" t="s">
        <v>4</v>
      </c>
      <c r="C19" s="5" t="s">
        <v>13</v>
      </c>
      <c r="D19" s="5" t="s">
        <v>41</v>
      </c>
      <c r="E19" s="173">
        <f>Holdings!$E$10</f>
        <v>0.14000000000000001</v>
      </c>
      <c r="F19" s="174"/>
      <c r="G19" s="3"/>
      <c r="H19" s="3"/>
      <c r="I19" s="3"/>
    </row>
    <row r="20" spans="1:9" x14ac:dyDescent="0.3">
      <c r="A20" s="6">
        <v>5</v>
      </c>
      <c r="B20" s="5" t="s">
        <v>5</v>
      </c>
      <c r="C20" s="5" t="s">
        <v>14</v>
      </c>
      <c r="D20" s="5" t="s">
        <v>42</v>
      </c>
      <c r="E20" s="173">
        <f>Holdings!$E$11</f>
        <v>0.12</v>
      </c>
      <c r="F20" s="174"/>
      <c r="G20" s="3"/>
      <c r="H20" s="3"/>
      <c r="I20" s="3"/>
    </row>
    <row r="21" spans="1:9" x14ac:dyDescent="0.3">
      <c r="A21" s="6">
        <v>6</v>
      </c>
      <c r="B21" s="5" t="s">
        <v>6</v>
      </c>
      <c r="C21" s="5" t="s">
        <v>15</v>
      </c>
      <c r="D21" s="5" t="s">
        <v>43</v>
      </c>
      <c r="E21" s="173">
        <f>Holdings!$E$12</f>
        <v>0.12</v>
      </c>
      <c r="F21" s="174"/>
      <c r="G21" s="3"/>
      <c r="H21" s="3"/>
      <c r="I21" s="3"/>
    </row>
    <row r="22" spans="1:9" x14ac:dyDescent="0.3">
      <c r="A22" s="6">
        <v>7</v>
      </c>
      <c r="B22" s="5" t="s">
        <v>7</v>
      </c>
      <c r="C22" s="5" t="s">
        <v>16</v>
      </c>
      <c r="D22" s="5" t="s">
        <v>44</v>
      </c>
      <c r="E22" s="173">
        <f>Holdings!$E$13</f>
        <v>0.09</v>
      </c>
      <c r="F22" s="174"/>
      <c r="G22" s="3"/>
      <c r="H22" s="3"/>
      <c r="I22" s="3"/>
    </row>
    <row r="23" spans="1:9" x14ac:dyDescent="0.3">
      <c r="A23" s="7"/>
      <c r="B23" s="7"/>
      <c r="C23" s="189" t="s">
        <v>45</v>
      </c>
      <c r="D23" s="174"/>
      <c r="E23" s="183">
        <f>SUM(WeightsCol)</f>
        <v>1</v>
      </c>
      <c r="F23" s="174"/>
      <c r="G23" s="8" t="str">
        <f>IF(ROUND(SUM(WeightsCol),6)=1,"✓ PASS","✗ FAIL")</f>
        <v>✓ PASS</v>
      </c>
      <c r="H23" s="3"/>
      <c r="I23" s="3"/>
    </row>
    <row r="24" spans="1:9" x14ac:dyDescent="0.3">
      <c r="A24" s="3"/>
      <c r="B24" s="3"/>
      <c r="C24" s="3"/>
      <c r="D24" s="3"/>
      <c r="E24" s="3"/>
      <c r="F24" s="3"/>
      <c r="G24" s="3"/>
      <c r="H24" s="3"/>
      <c r="I24" s="3"/>
    </row>
    <row r="25" spans="1:9" ht="16.5" customHeight="1" x14ac:dyDescent="0.3">
      <c r="A25" s="177" t="s">
        <v>46</v>
      </c>
      <c r="B25" s="136"/>
      <c r="C25" s="136"/>
      <c r="D25" s="136"/>
      <c r="E25" s="136"/>
      <c r="F25" s="136"/>
      <c r="G25" s="136"/>
      <c r="H25" s="136"/>
      <c r="I25" s="3"/>
    </row>
    <row r="26" spans="1:9" ht="27.75" customHeight="1" x14ac:dyDescent="0.3">
      <c r="A26" s="4" t="s">
        <v>47</v>
      </c>
      <c r="B26" s="175" t="s">
        <v>48</v>
      </c>
      <c r="C26" s="174"/>
      <c r="D26" s="174"/>
      <c r="E26" s="174"/>
      <c r="F26" s="174"/>
      <c r="G26" s="174"/>
      <c r="H26" s="174"/>
      <c r="I26" s="3"/>
    </row>
    <row r="27" spans="1:9" ht="27.75" customHeight="1" x14ac:dyDescent="0.3">
      <c r="A27" s="4" t="s">
        <v>49</v>
      </c>
      <c r="B27" s="175" t="s">
        <v>50</v>
      </c>
      <c r="C27" s="174"/>
      <c r="D27" s="174"/>
      <c r="E27" s="174"/>
      <c r="F27" s="174"/>
      <c r="G27" s="174"/>
      <c r="H27" s="174"/>
      <c r="I27" s="3"/>
    </row>
    <row r="28" spans="1:9" ht="27.75" customHeight="1" x14ac:dyDescent="0.3">
      <c r="A28" s="4" t="s">
        <v>51</v>
      </c>
      <c r="B28" s="175" t="s">
        <v>52</v>
      </c>
      <c r="C28" s="174"/>
      <c r="D28" s="174"/>
      <c r="E28" s="174"/>
      <c r="F28" s="174"/>
      <c r="G28" s="174"/>
      <c r="H28" s="174"/>
      <c r="I28" s="3"/>
    </row>
    <row r="29" spans="1:9" x14ac:dyDescent="0.3">
      <c r="A29" s="3"/>
      <c r="B29" s="3"/>
      <c r="C29" s="3"/>
      <c r="D29" s="3"/>
      <c r="E29" s="3"/>
      <c r="F29" s="3"/>
      <c r="G29" s="3"/>
      <c r="H29" s="3"/>
      <c r="I29" s="3"/>
    </row>
    <row r="30" spans="1:9" ht="16.5" customHeight="1" x14ac:dyDescent="0.3">
      <c r="A30" s="177" t="s">
        <v>53</v>
      </c>
      <c r="B30" s="136"/>
      <c r="C30" s="136"/>
      <c r="D30" s="136"/>
      <c r="E30" s="136"/>
      <c r="F30" s="136"/>
      <c r="G30" s="136"/>
      <c r="H30" s="136"/>
      <c r="I30" s="3"/>
    </row>
    <row r="31" spans="1:9" ht="15.75" customHeight="1" x14ac:dyDescent="0.3">
      <c r="A31" s="9" t="s">
        <v>54</v>
      </c>
      <c r="B31" s="175" t="s">
        <v>55</v>
      </c>
      <c r="C31" s="174"/>
      <c r="D31" s="174"/>
      <c r="E31" s="174"/>
      <c r="F31" s="174"/>
      <c r="G31" s="174"/>
      <c r="H31" s="174"/>
      <c r="I31" s="3"/>
    </row>
    <row r="32" spans="1:9" ht="15.75" customHeight="1" x14ac:dyDescent="0.3">
      <c r="A32" s="9" t="s">
        <v>56</v>
      </c>
      <c r="B32" s="175" t="s">
        <v>57</v>
      </c>
      <c r="C32" s="174"/>
      <c r="D32" s="174"/>
      <c r="E32" s="174"/>
      <c r="F32" s="174"/>
      <c r="G32" s="174"/>
      <c r="H32" s="174"/>
      <c r="I32" s="3"/>
    </row>
    <row r="33" spans="1:9" ht="15.75" customHeight="1" x14ac:dyDescent="0.3">
      <c r="A33" s="9" t="s">
        <v>58</v>
      </c>
      <c r="B33" s="175" t="s">
        <v>59</v>
      </c>
      <c r="C33" s="174"/>
      <c r="D33" s="174"/>
      <c r="E33" s="174"/>
      <c r="F33" s="174"/>
      <c r="G33" s="174"/>
      <c r="H33" s="174"/>
      <c r="I33" s="3"/>
    </row>
    <row r="34" spans="1:9" ht="15.75" customHeight="1" x14ac:dyDescent="0.3">
      <c r="A34" s="9" t="s">
        <v>60</v>
      </c>
      <c r="B34" s="175" t="s">
        <v>61</v>
      </c>
      <c r="C34" s="174"/>
      <c r="D34" s="174"/>
      <c r="E34" s="174"/>
      <c r="F34" s="174"/>
      <c r="G34" s="174"/>
      <c r="H34" s="174"/>
      <c r="I34" s="3"/>
    </row>
    <row r="35" spans="1:9" ht="15.75" customHeight="1" x14ac:dyDescent="0.3">
      <c r="A35" s="9" t="s">
        <v>62</v>
      </c>
      <c r="B35" s="175" t="s">
        <v>63</v>
      </c>
      <c r="C35" s="174"/>
      <c r="D35" s="174"/>
      <c r="E35" s="174"/>
      <c r="F35" s="174"/>
      <c r="G35" s="174"/>
      <c r="H35" s="174"/>
      <c r="I35" s="3"/>
    </row>
    <row r="36" spans="1:9" ht="15.75" customHeight="1" x14ac:dyDescent="0.3">
      <c r="A36" s="9" t="s">
        <v>64</v>
      </c>
      <c r="B36" s="175" t="s">
        <v>65</v>
      </c>
      <c r="C36" s="174"/>
      <c r="D36" s="174"/>
      <c r="E36" s="174"/>
      <c r="F36" s="174"/>
      <c r="G36" s="174"/>
      <c r="H36" s="174"/>
      <c r="I36" s="3"/>
    </row>
    <row r="37" spans="1:9" ht="15.75" customHeight="1" x14ac:dyDescent="0.3">
      <c r="A37" s="9" t="s">
        <v>66</v>
      </c>
      <c r="B37" s="175" t="s">
        <v>67</v>
      </c>
      <c r="C37" s="174"/>
      <c r="D37" s="174"/>
      <c r="E37" s="174"/>
      <c r="F37" s="174"/>
      <c r="G37" s="174"/>
      <c r="H37" s="174"/>
      <c r="I37" s="3"/>
    </row>
    <row r="38" spans="1:9" ht="15.75" customHeight="1" x14ac:dyDescent="0.3">
      <c r="A38" s="9" t="s">
        <v>68</v>
      </c>
      <c r="B38" s="175" t="s">
        <v>69</v>
      </c>
      <c r="C38" s="174"/>
      <c r="D38" s="174"/>
      <c r="E38" s="174"/>
      <c r="F38" s="174"/>
      <c r="G38" s="174"/>
      <c r="H38" s="174"/>
      <c r="I38" s="3"/>
    </row>
    <row r="39" spans="1:9" ht="15.75" customHeight="1" x14ac:dyDescent="0.3">
      <c r="A39" s="9" t="s">
        <v>24</v>
      </c>
      <c r="B39" s="175" t="s">
        <v>70</v>
      </c>
      <c r="C39" s="174"/>
      <c r="D39" s="174"/>
      <c r="E39" s="174"/>
      <c r="F39" s="174"/>
      <c r="G39" s="174"/>
      <c r="H39" s="174"/>
      <c r="I39" s="3"/>
    </row>
    <row r="40" spans="1:9" ht="15.75" customHeight="1" x14ac:dyDescent="0.3">
      <c r="A40" s="9" t="s">
        <v>71</v>
      </c>
      <c r="B40" s="175" t="s">
        <v>72</v>
      </c>
      <c r="C40" s="174"/>
      <c r="D40" s="174"/>
      <c r="E40" s="174"/>
      <c r="F40" s="174"/>
      <c r="G40" s="174"/>
      <c r="H40" s="174"/>
      <c r="I40" s="3"/>
    </row>
    <row r="41" spans="1:9" ht="15.75" customHeight="1" x14ac:dyDescent="0.3">
      <c r="A41" s="9" t="s">
        <v>73</v>
      </c>
      <c r="B41" s="175" t="s">
        <v>74</v>
      </c>
      <c r="C41" s="174"/>
      <c r="D41" s="174"/>
      <c r="E41" s="174"/>
      <c r="F41" s="174"/>
      <c r="G41" s="174"/>
      <c r="H41" s="174"/>
      <c r="I41" s="3"/>
    </row>
    <row r="42" spans="1:9" x14ac:dyDescent="0.3">
      <c r="A42" s="3"/>
      <c r="B42" s="3"/>
      <c r="C42" s="3"/>
      <c r="D42" s="3"/>
      <c r="E42" s="3"/>
      <c r="F42" s="3"/>
      <c r="G42" s="3"/>
      <c r="H42" s="3"/>
      <c r="I42" s="3"/>
    </row>
    <row r="43" spans="1:9" ht="16.5" customHeight="1" x14ac:dyDescent="0.3">
      <c r="A43" s="177" t="s">
        <v>75</v>
      </c>
      <c r="B43" s="136"/>
      <c r="C43" s="136"/>
      <c r="D43" s="136"/>
      <c r="E43" s="136"/>
      <c r="F43" s="136"/>
      <c r="G43" s="136"/>
      <c r="H43" s="136"/>
      <c r="I43" s="3"/>
    </row>
    <row r="44" spans="1:9" ht="27.75" customHeight="1" x14ac:dyDescent="0.3">
      <c r="A44" s="4" t="s">
        <v>76</v>
      </c>
      <c r="B44" s="175" t="s">
        <v>77</v>
      </c>
      <c r="C44" s="174"/>
      <c r="D44" s="174"/>
      <c r="E44" s="174"/>
      <c r="F44" s="174"/>
      <c r="G44" s="174"/>
      <c r="H44" s="174"/>
      <c r="I44" s="3"/>
    </row>
    <row r="45" spans="1:9" ht="27.75" customHeight="1" x14ac:dyDescent="0.3">
      <c r="A45" s="4" t="s">
        <v>78</v>
      </c>
      <c r="B45" s="175" t="s">
        <v>79</v>
      </c>
      <c r="C45" s="174"/>
      <c r="D45" s="174"/>
      <c r="E45" s="174"/>
      <c r="F45" s="174"/>
      <c r="G45" s="174"/>
      <c r="H45" s="174"/>
      <c r="I45" s="3"/>
    </row>
    <row r="46" spans="1:9" x14ac:dyDescent="0.3">
      <c r="A46" s="3"/>
      <c r="B46" s="3"/>
      <c r="C46" s="3"/>
      <c r="D46" s="3"/>
      <c r="E46" s="3"/>
      <c r="F46" s="3"/>
      <c r="G46" s="3"/>
      <c r="H46" s="3"/>
      <c r="I46" s="3"/>
    </row>
    <row r="47" spans="1:9" ht="16.5" customHeight="1" x14ac:dyDescent="0.3">
      <c r="A47" s="177" t="s">
        <v>80</v>
      </c>
      <c r="B47" s="136"/>
      <c r="C47" s="136"/>
      <c r="D47" s="136"/>
      <c r="E47" s="136"/>
      <c r="F47" s="136"/>
      <c r="G47" s="136"/>
      <c r="H47" s="136"/>
      <c r="I47" s="3"/>
    </row>
    <row r="48" spans="1:9" ht="27.75" customHeight="1" x14ac:dyDescent="0.3">
      <c r="A48" s="4" t="s">
        <v>81</v>
      </c>
      <c r="B48" s="175" t="s">
        <v>82</v>
      </c>
      <c r="C48" s="174"/>
      <c r="D48" s="174"/>
      <c r="E48" s="174"/>
      <c r="F48" s="174"/>
      <c r="G48" s="174"/>
      <c r="H48" s="174"/>
      <c r="I48" s="3"/>
    </row>
    <row r="49" spans="1:9" ht="27.75" customHeight="1" x14ac:dyDescent="0.3">
      <c r="A49" s="4" t="s">
        <v>83</v>
      </c>
      <c r="B49" s="175" t="s">
        <v>84</v>
      </c>
      <c r="C49" s="174"/>
      <c r="D49" s="174"/>
      <c r="E49" s="174"/>
      <c r="F49" s="174"/>
      <c r="G49" s="174"/>
      <c r="H49" s="174"/>
      <c r="I49" s="3"/>
    </row>
    <row r="50" spans="1:9" x14ac:dyDescent="0.3">
      <c r="A50" s="3"/>
      <c r="B50" s="3"/>
      <c r="C50" s="3"/>
      <c r="D50" s="3"/>
      <c r="E50" s="3"/>
      <c r="F50" s="3"/>
      <c r="G50" s="3"/>
      <c r="H50" s="3"/>
      <c r="I50" s="3"/>
    </row>
    <row r="51" spans="1:9" ht="16.5" customHeight="1" x14ac:dyDescent="0.3">
      <c r="A51" s="177" t="s">
        <v>85</v>
      </c>
      <c r="B51" s="136"/>
      <c r="C51" s="136"/>
      <c r="D51" s="136"/>
      <c r="E51" s="136"/>
      <c r="F51" s="136"/>
      <c r="G51" s="136"/>
      <c r="H51" s="136"/>
      <c r="I51" s="3"/>
    </row>
    <row r="52" spans="1:9" x14ac:dyDescent="0.3">
      <c r="A52" s="5" t="s">
        <v>86</v>
      </c>
      <c r="B52" s="185">
        <f>Holdings!$H$53</f>
        <v>0</v>
      </c>
      <c r="C52" s="186"/>
      <c r="D52" s="186"/>
      <c r="E52" s="186"/>
      <c r="F52" s="186"/>
      <c r="G52" s="186"/>
      <c r="H52" s="186"/>
      <c r="I52" s="3"/>
    </row>
    <row r="53" spans="1:9" x14ac:dyDescent="0.3">
      <c r="A53" s="3"/>
      <c r="B53" s="3"/>
      <c r="C53" s="3"/>
      <c r="D53" s="3"/>
      <c r="E53" s="3"/>
      <c r="F53" s="3"/>
      <c r="G53" s="3"/>
      <c r="H53" s="3"/>
      <c r="I53" s="3"/>
    </row>
    <row r="54" spans="1:9" ht="16.5" customHeight="1" x14ac:dyDescent="0.3">
      <c r="A54" s="179" t="s">
        <v>87</v>
      </c>
      <c r="B54" s="136"/>
      <c r="C54" s="136"/>
      <c r="D54" s="136"/>
      <c r="E54" s="136"/>
      <c r="F54" s="136"/>
      <c r="G54" s="136"/>
      <c r="H54" s="136"/>
      <c r="I54" s="123"/>
    </row>
    <row r="55" spans="1:9" ht="27.75" customHeight="1" x14ac:dyDescent="0.3">
      <c r="A55" s="104" t="s">
        <v>88</v>
      </c>
      <c r="B55" s="176" t="s">
        <v>497</v>
      </c>
      <c r="C55" s="136"/>
      <c r="D55" s="136"/>
      <c r="E55" s="136"/>
      <c r="F55" s="136"/>
      <c r="G55" s="136"/>
      <c r="H55" s="136"/>
      <c r="I55" s="3"/>
    </row>
    <row r="56" spans="1:9" ht="27.75" customHeight="1" x14ac:dyDescent="0.3">
      <c r="A56" s="104" t="s">
        <v>89</v>
      </c>
      <c r="B56" s="176" t="s">
        <v>90</v>
      </c>
      <c r="C56" s="136"/>
      <c r="D56" s="136"/>
      <c r="E56" s="136"/>
      <c r="F56" s="136"/>
      <c r="G56" s="136"/>
      <c r="H56" s="136"/>
      <c r="I56" s="3"/>
    </row>
    <row r="57" spans="1:9" ht="27.75" customHeight="1" x14ac:dyDescent="0.3">
      <c r="A57" s="104" t="s">
        <v>91</v>
      </c>
      <c r="B57" s="176" t="s">
        <v>92</v>
      </c>
      <c r="C57" s="136"/>
      <c r="D57" s="136"/>
      <c r="E57" s="136"/>
      <c r="F57" s="136"/>
      <c r="G57" s="136"/>
      <c r="H57" s="136"/>
      <c r="I57" s="3"/>
    </row>
    <row r="58" spans="1:9" ht="27.75" customHeight="1" x14ac:dyDescent="0.3">
      <c r="A58" s="104" t="s">
        <v>93</v>
      </c>
      <c r="B58" s="176" t="s">
        <v>94</v>
      </c>
      <c r="C58" s="136"/>
      <c r="D58" s="136"/>
      <c r="E58" s="136"/>
      <c r="F58" s="136"/>
      <c r="G58" s="136"/>
      <c r="H58" s="136"/>
      <c r="I58" s="3"/>
    </row>
    <row r="59" spans="1:9" ht="27.75" customHeight="1" x14ac:dyDescent="0.3">
      <c r="A59" s="104" t="s">
        <v>95</v>
      </c>
      <c r="B59" s="176" t="str">
        <f>IF(COUNT(Query1[Date])&gt;0,"LIVE — Power Query pulling daily closes from Yahoo Finance (Market_Data W:X), aligned to the weekly axis; "&amp;COUNT(Query1[Date])&amp;" rows loaded.","EMERGENCY STATIC FALLBACK — the Yahoo Finance Power Query table is empty or not refreshed (see Market_Data W:X).")</f>
        <v>LIVE — Power Query pulling daily closes from Yahoo Finance (Market_Data W:X), aligned to the weekly axis; 105 rows loaded.</v>
      </c>
      <c r="C59" s="136"/>
      <c r="D59" s="136"/>
      <c r="E59" s="136"/>
      <c r="F59" s="136"/>
      <c r="G59" s="136"/>
      <c r="H59" s="136"/>
      <c r="I59" s="3"/>
    </row>
    <row r="60" spans="1:9" ht="27.75" customHeight="1" x14ac:dyDescent="0.3">
      <c r="A60" s="104" t="s">
        <v>96</v>
      </c>
      <c r="B60" s="176" t="str">
        <f ca="1">Inputs!$B$8&amp;" (of up to 130 buffered rows)"</f>
        <v>105 (of up to 130 buffered rows)</v>
      </c>
      <c r="C60" s="136"/>
      <c r="D60" s="136"/>
      <c r="E60" s="136"/>
      <c r="F60" s="136"/>
      <c r="G60" s="136"/>
      <c r="H60" s="136"/>
      <c r="I60" s="3"/>
    </row>
    <row r="61" spans="1:9" ht="27.75" customHeight="1" x14ac:dyDescent="0.3">
      <c r="A61" s="104" t="s">
        <v>97</v>
      </c>
      <c r="B61" s="176" t="str">
        <f ca="1">TEXT(Inputs!$B$7,"dd-mmm-yyyy")</f>
        <v>07-Sep-2026</v>
      </c>
      <c r="C61" s="136"/>
      <c r="D61" s="136"/>
      <c r="E61" s="136"/>
      <c r="F61" s="136"/>
      <c r="G61" s="136"/>
      <c r="H61" s="136"/>
      <c r="I61" s="3"/>
    </row>
    <row r="62" spans="1:9" ht="27.75" customHeight="1" x14ac:dyDescent="0.3">
      <c r="A62" s="104" t="s">
        <v>98</v>
      </c>
      <c r="B62" s="176" t="str">
        <f ca="1">TEXT(Inputs!$B$6,"dd-mmm-yyyy")</f>
        <v>09-Sep-2024</v>
      </c>
      <c r="C62" s="136"/>
      <c r="D62" s="136"/>
      <c r="E62" s="136"/>
      <c r="F62" s="136"/>
      <c r="G62" s="136"/>
      <c r="H62" s="136"/>
      <c r="I62" s="3"/>
    </row>
    <row r="63" spans="1:9" ht="27.75" customHeight="1" x14ac:dyDescent="0.3">
      <c r="A63" s="104" t="s">
        <v>99</v>
      </c>
      <c r="B63" s="176" t="str">
        <f ca="1">Holdings!$I$34</f>
        <v>PASS</v>
      </c>
      <c r="C63" s="136"/>
      <c r="D63" s="136"/>
      <c r="E63" s="136"/>
      <c r="F63" s="136"/>
      <c r="G63" s="136"/>
      <c r="H63" s="136"/>
      <c r="I63" s="3"/>
    </row>
    <row r="64" spans="1:9" ht="27.75" customHeight="1" x14ac:dyDescent="0.3">
      <c r="A64" s="104" t="s">
        <v>100</v>
      </c>
      <c r="B64" s="176" t="s">
        <v>101</v>
      </c>
      <c r="C64" s="136"/>
      <c r="D64" s="136"/>
      <c r="E64" s="136"/>
      <c r="F64" s="136"/>
      <c r="G64" s="136"/>
      <c r="H64" s="136"/>
      <c r="I64" s="3"/>
    </row>
    <row r="65" spans="1:9" x14ac:dyDescent="0.3">
      <c r="A65" s="2" t="s">
        <v>102</v>
      </c>
      <c r="B65" s="2"/>
      <c r="C65" s="2"/>
      <c r="D65" s="2"/>
      <c r="E65" s="2"/>
      <c r="F65" s="2"/>
      <c r="G65" s="2"/>
      <c r="H65" s="2"/>
      <c r="I65" s="123"/>
    </row>
    <row r="66" spans="1:9" ht="27" customHeight="1" x14ac:dyDescent="0.3">
      <c r="A66" s="184" t="s">
        <v>103</v>
      </c>
      <c r="B66" s="174"/>
      <c r="C66" s="174"/>
      <c r="D66" s="174"/>
      <c r="E66" s="174"/>
      <c r="F66" s="174"/>
      <c r="G66" s="174"/>
      <c r="H66" s="174"/>
      <c r="I66" s="3"/>
    </row>
    <row r="67" spans="1:9" x14ac:dyDescent="0.3">
      <c r="A67" s="3"/>
      <c r="B67" s="3"/>
      <c r="C67" s="3"/>
      <c r="D67" s="3"/>
      <c r="E67" s="3"/>
      <c r="F67" s="3"/>
      <c r="G67" s="3"/>
      <c r="H67" s="3"/>
      <c r="I67" s="3"/>
    </row>
    <row r="68" spans="1:9" x14ac:dyDescent="0.3">
      <c r="A68" s="3"/>
      <c r="B68" s="3"/>
      <c r="C68" s="3"/>
      <c r="D68" s="3"/>
      <c r="E68" s="3"/>
      <c r="F68" s="3"/>
      <c r="G68" s="3"/>
      <c r="H68" s="3"/>
      <c r="I68" s="3"/>
    </row>
    <row r="69" spans="1:9" x14ac:dyDescent="0.3">
      <c r="A69" s="3"/>
      <c r="B69" s="3"/>
      <c r="C69" s="3"/>
      <c r="D69" s="3"/>
      <c r="E69" s="3"/>
      <c r="F69" s="3"/>
      <c r="G69" s="3"/>
      <c r="H69" s="3"/>
      <c r="I69" s="3"/>
    </row>
    <row r="70" spans="1:9" x14ac:dyDescent="0.3">
      <c r="A70" s="3"/>
      <c r="B70" s="3"/>
      <c r="C70" s="3"/>
      <c r="D70" s="3"/>
      <c r="E70" s="3"/>
      <c r="F70" s="3"/>
      <c r="G70" s="3"/>
      <c r="H70" s="3"/>
      <c r="I70" s="3"/>
    </row>
    <row r="71" spans="1:9" x14ac:dyDescent="0.3">
      <c r="A71" s="3"/>
      <c r="B71" s="3"/>
      <c r="C71" s="3"/>
      <c r="D71" s="3"/>
      <c r="E71" s="3"/>
      <c r="F71" s="3"/>
      <c r="G71" s="3"/>
      <c r="H71" s="3"/>
      <c r="I71" s="3"/>
    </row>
  </sheetData>
  <mergeCells count="57">
    <mergeCell ref="A2:H2"/>
    <mergeCell ref="B12:H12"/>
    <mergeCell ref="B39:H39"/>
    <mergeCell ref="B48:H48"/>
    <mergeCell ref="A14:H14"/>
    <mergeCell ref="A47:H47"/>
    <mergeCell ref="B11:H11"/>
    <mergeCell ref="C23:D23"/>
    <mergeCell ref="A4:H4"/>
    <mergeCell ref="B8:H8"/>
    <mergeCell ref="E16:F16"/>
    <mergeCell ref="E21:F21"/>
    <mergeCell ref="A43:H43"/>
    <mergeCell ref="B44:H44"/>
    <mergeCell ref="B38:H38"/>
    <mergeCell ref="B62:H62"/>
    <mergeCell ref="A66:H66"/>
    <mergeCell ref="B59:H59"/>
    <mergeCell ref="B31:H31"/>
    <mergeCell ref="B27:H27"/>
    <mergeCell ref="B56:H56"/>
    <mergeCell ref="B58:H58"/>
    <mergeCell ref="B60:H60"/>
    <mergeCell ref="B61:H61"/>
    <mergeCell ref="B57:H57"/>
    <mergeCell ref="B34:H34"/>
    <mergeCell ref="B28:H28"/>
    <mergeCell ref="B55:H55"/>
    <mergeCell ref="B64:H64"/>
    <mergeCell ref="B52:H52"/>
    <mergeCell ref="B35:H35"/>
    <mergeCell ref="A54:H54"/>
    <mergeCell ref="E19:F19"/>
    <mergeCell ref="E15:F15"/>
    <mergeCell ref="B10:H10"/>
    <mergeCell ref="E18:F18"/>
    <mergeCell ref="E23:F23"/>
    <mergeCell ref="B33:H33"/>
    <mergeCell ref="B49:H49"/>
    <mergeCell ref="A51:H51"/>
    <mergeCell ref="E22:F22"/>
    <mergeCell ref="A1:H1"/>
    <mergeCell ref="E17:F17"/>
    <mergeCell ref="B5:H5"/>
    <mergeCell ref="B37:H37"/>
    <mergeCell ref="B63:H63"/>
    <mergeCell ref="B45:H45"/>
    <mergeCell ref="B36:H36"/>
    <mergeCell ref="B32:H32"/>
    <mergeCell ref="E20:F20"/>
    <mergeCell ref="B26:H26"/>
    <mergeCell ref="B41:H41"/>
    <mergeCell ref="A30:H30"/>
    <mergeCell ref="B40:H40"/>
    <mergeCell ref="B9:H9"/>
    <mergeCell ref="A7:H7"/>
    <mergeCell ref="A25:H2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0"/>
  <sheetViews>
    <sheetView showGridLines="0" topLeftCell="A33" workbookViewId="0">
      <selection activeCell="M10" sqref="M10"/>
    </sheetView>
  </sheetViews>
  <sheetFormatPr defaultColWidth="8.6640625" defaultRowHeight="14.4" x14ac:dyDescent="0.3"/>
  <cols>
    <col min="1" max="1" width="34" customWidth="1"/>
    <col min="2" max="2" width="22" customWidth="1"/>
    <col min="3" max="3" width="12" customWidth="1"/>
    <col min="4" max="4" width="46" customWidth="1"/>
    <col min="5" max="6" width="10" customWidth="1"/>
  </cols>
  <sheetData>
    <row r="1" spans="1:8" ht="24" customHeight="1" x14ac:dyDescent="0.3">
      <c r="A1" s="190" t="s">
        <v>104</v>
      </c>
      <c r="B1" s="191"/>
      <c r="C1" s="191"/>
      <c r="D1" s="191"/>
      <c r="E1" s="3"/>
      <c r="F1" s="3"/>
      <c r="G1" s="3"/>
      <c r="H1" s="3"/>
    </row>
    <row r="2" spans="1:8" ht="13.5" customHeight="1" x14ac:dyDescent="0.3">
      <c r="A2" s="193" t="s">
        <v>105</v>
      </c>
      <c r="B2" s="136"/>
      <c r="C2" s="136"/>
      <c r="D2" s="136"/>
      <c r="E2" s="136"/>
      <c r="F2" s="136"/>
      <c r="G2" s="3"/>
      <c r="H2" s="3"/>
    </row>
    <row r="3" spans="1:8" x14ac:dyDescent="0.3">
      <c r="A3" s="3"/>
      <c r="B3" s="3"/>
      <c r="C3" s="3"/>
      <c r="D3" s="3"/>
      <c r="E3" s="3"/>
      <c r="F3" s="3"/>
      <c r="G3" s="3"/>
      <c r="H3" s="3"/>
    </row>
    <row r="4" spans="1:8" ht="16.5" customHeight="1" x14ac:dyDescent="0.3">
      <c r="A4" s="191" t="s">
        <v>106</v>
      </c>
      <c r="B4" s="191"/>
      <c r="C4" s="191"/>
      <c r="D4" s="191"/>
      <c r="E4" s="3"/>
      <c r="F4" s="3"/>
      <c r="G4" s="3"/>
      <c r="H4" s="3"/>
    </row>
    <row r="5" spans="1:8" ht="27.75" customHeight="1" x14ac:dyDescent="0.3">
      <c r="A5" s="1" t="s">
        <v>107</v>
      </c>
      <c r="B5" s="1" t="s">
        <v>108</v>
      </c>
      <c r="C5" s="1" t="s">
        <v>109</v>
      </c>
      <c r="D5" s="1" t="s">
        <v>110</v>
      </c>
      <c r="E5" s="3"/>
      <c r="F5" s="3"/>
      <c r="G5" s="3"/>
      <c r="H5" s="3"/>
    </row>
    <row r="6" spans="1:8" x14ac:dyDescent="0.3">
      <c r="A6" s="5" t="s">
        <v>111</v>
      </c>
      <c r="B6" s="10">
        <f ca="1">Prices!$A$4</f>
        <v>45544</v>
      </c>
      <c r="C6" s="11" t="s">
        <v>112</v>
      </c>
      <c r="D6" s="12" t="s">
        <v>113</v>
      </c>
      <c r="E6" s="3"/>
      <c r="F6" s="3"/>
      <c r="G6" s="3"/>
      <c r="H6" s="3"/>
    </row>
    <row r="7" spans="1:8" ht="22.8" customHeight="1" x14ac:dyDescent="0.3">
      <c r="A7" s="5" t="s">
        <v>114</v>
      </c>
      <c r="B7" s="10">
        <f ca="1">INDEX(Prices!$A$4:$A$133,COUNT(Prices!$A$4:$A$133))</f>
        <v>46272</v>
      </c>
      <c r="C7" s="11" t="s">
        <v>112</v>
      </c>
      <c r="D7" s="12" t="s">
        <v>115</v>
      </c>
      <c r="E7" s="3"/>
      <c r="F7" s="3"/>
      <c r="G7" s="3"/>
      <c r="H7" s="3"/>
    </row>
    <row r="8" spans="1:8" x14ac:dyDescent="0.3">
      <c r="A8" s="5" t="s">
        <v>116</v>
      </c>
      <c r="B8" s="13">
        <f ca="1">COUNT(Prices!$A$4:$A$133)</f>
        <v>105</v>
      </c>
      <c r="C8" s="11" t="s">
        <v>117</v>
      </c>
      <c r="D8" s="12" t="s">
        <v>118</v>
      </c>
      <c r="E8" s="3"/>
      <c r="F8" s="3"/>
      <c r="G8" s="3"/>
      <c r="H8" s="3"/>
    </row>
    <row r="9" spans="1:8" x14ac:dyDescent="0.3">
      <c r="A9" s="5" t="s">
        <v>119</v>
      </c>
      <c r="B9" s="13">
        <f ca="1">COUNT(PortRet)</f>
        <v>104</v>
      </c>
      <c r="C9" s="11" t="s">
        <v>117</v>
      </c>
      <c r="D9" s="12" t="s">
        <v>120</v>
      </c>
      <c r="E9" s="3"/>
      <c r="F9" s="3"/>
      <c r="G9" s="3"/>
      <c r="H9" s="3"/>
    </row>
    <row r="10" spans="1:8" ht="27.75" customHeight="1" x14ac:dyDescent="0.3">
      <c r="A10" s="5" t="s">
        <v>27</v>
      </c>
      <c r="B10" s="14" t="s">
        <v>121</v>
      </c>
      <c r="C10" s="11" t="s">
        <v>122</v>
      </c>
      <c r="D10" s="12" t="s">
        <v>123</v>
      </c>
      <c r="E10" s="3"/>
      <c r="F10" s="3"/>
      <c r="G10" s="3"/>
      <c r="H10" s="3"/>
    </row>
    <row r="11" spans="1:8" x14ac:dyDescent="0.3">
      <c r="A11" s="5" t="s">
        <v>124</v>
      </c>
      <c r="B11" s="15">
        <v>52</v>
      </c>
      <c r="C11" s="11" t="s">
        <v>125</v>
      </c>
      <c r="D11" s="12" t="s">
        <v>126</v>
      </c>
      <c r="E11" s="3"/>
      <c r="F11" s="3"/>
      <c r="G11" s="3"/>
      <c r="H11" s="3"/>
    </row>
    <row r="12" spans="1:8" ht="22.8" customHeight="1" x14ac:dyDescent="0.3">
      <c r="A12" s="5" t="s">
        <v>127</v>
      </c>
      <c r="B12" s="15">
        <v>100</v>
      </c>
      <c r="C12" s="11" t="s">
        <v>128</v>
      </c>
      <c r="D12" s="12" t="s">
        <v>129</v>
      </c>
      <c r="E12" s="3"/>
      <c r="F12" s="3"/>
      <c r="G12" s="3"/>
      <c r="H12" s="3"/>
    </row>
    <row r="13" spans="1:8" ht="22.8" customHeight="1" x14ac:dyDescent="0.3">
      <c r="A13" s="5" t="s">
        <v>130</v>
      </c>
      <c r="B13" s="16">
        <v>1000000</v>
      </c>
      <c r="C13" s="11" t="s">
        <v>128</v>
      </c>
      <c r="D13" s="12" t="s">
        <v>131</v>
      </c>
      <c r="E13" s="3"/>
      <c r="F13" s="3"/>
      <c r="G13" s="3"/>
      <c r="H13" s="3"/>
    </row>
    <row r="14" spans="1:8" ht="27.75" customHeight="1" x14ac:dyDescent="0.3">
      <c r="A14" s="5" t="s">
        <v>132</v>
      </c>
      <c r="B14" s="14" t="s">
        <v>133</v>
      </c>
      <c r="C14" s="11" t="s">
        <v>122</v>
      </c>
      <c r="D14" s="12" t="s">
        <v>134</v>
      </c>
      <c r="E14" s="3"/>
      <c r="F14" s="3"/>
      <c r="G14" s="3"/>
      <c r="H14" s="3"/>
    </row>
    <row r="15" spans="1:8" x14ac:dyDescent="0.3">
      <c r="A15" s="3"/>
      <c r="B15" s="3"/>
      <c r="C15" s="3"/>
      <c r="D15" s="3"/>
      <c r="E15" s="3"/>
      <c r="F15" s="3"/>
      <c r="G15" s="3"/>
      <c r="H15" s="3"/>
    </row>
    <row r="16" spans="1:8" ht="16.5" customHeight="1" x14ac:dyDescent="0.3">
      <c r="A16" s="191" t="s">
        <v>135</v>
      </c>
      <c r="B16" s="191"/>
      <c r="C16" s="191"/>
      <c r="D16" s="191"/>
      <c r="E16" s="3"/>
      <c r="F16" s="3"/>
      <c r="G16" s="3"/>
      <c r="H16" s="3"/>
    </row>
    <row r="17" spans="1:8" ht="27.75" customHeight="1" x14ac:dyDescent="0.3">
      <c r="A17" s="1" t="s">
        <v>107</v>
      </c>
      <c r="B17" s="1" t="s">
        <v>108</v>
      </c>
      <c r="C17" s="1" t="s">
        <v>109</v>
      </c>
      <c r="D17" s="1" t="s">
        <v>110</v>
      </c>
      <c r="E17" s="3"/>
      <c r="F17" s="3"/>
      <c r="G17" s="3"/>
      <c r="H17" s="3"/>
    </row>
    <row r="18" spans="1:8" x14ac:dyDescent="0.3">
      <c r="A18" s="5" t="s">
        <v>136</v>
      </c>
      <c r="B18" s="17">
        <v>6.9500000000000006E-2</v>
      </c>
      <c r="C18" s="11" t="s">
        <v>137</v>
      </c>
      <c r="D18" s="12" t="s">
        <v>138</v>
      </c>
      <c r="E18" s="3"/>
      <c r="F18" s="3"/>
      <c r="G18" s="3"/>
      <c r="H18" s="3"/>
    </row>
    <row r="19" spans="1:8" x14ac:dyDescent="0.3">
      <c r="A19" s="5" t="s">
        <v>139</v>
      </c>
      <c r="B19" s="18">
        <v>46272</v>
      </c>
      <c r="C19" s="11" t="s">
        <v>112</v>
      </c>
      <c r="D19" s="12" t="s">
        <v>140</v>
      </c>
      <c r="E19" s="3"/>
      <c r="F19" s="3"/>
      <c r="G19" s="3"/>
      <c r="H19" s="3"/>
    </row>
    <row r="20" spans="1:8" ht="39" customHeight="1" x14ac:dyDescent="0.3">
      <c r="A20" s="5" t="s">
        <v>141</v>
      </c>
      <c r="B20" s="14" t="s">
        <v>142</v>
      </c>
      <c r="C20" s="11" t="s">
        <v>122</v>
      </c>
      <c r="D20" s="12" t="s">
        <v>143</v>
      </c>
      <c r="E20" s="3"/>
      <c r="F20" s="3"/>
      <c r="G20" s="3"/>
      <c r="H20" s="3"/>
    </row>
    <row r="21" spans="1:8" ht="25.5" customHeight="1" x14ac:dyDescent="0.3">
      <c r="A21" s="5" t="s">
        <v>144</v>
      </c>
      <c r="B21" s="184" t="s">
        <v>145</v>
      </c>
      <c r="C21" s="174"/>
      <c r="D21" s="174"/>
      <c r="E21" s="3"/>
      <c r="F21" s="3"/>
      <c r="G21" s="3"/>
      <c r="H21" s="3"/>
    </row>
    <row r="22" spans="1:8" x14ac:dyDescent="0.3">
      <c r="A22" s="3"/>
      <c r="B22" s="3"/>
      <c r="C22" s="3"/>
      <c r="D22" s="3"/>
      <c r="E22" s="3"/>
      <c r="F22" s="3"/>
      <c r="G22" s="3"/>
      <c r="H22" s="3"/>
    </row>
    <row r="23" spans="1:8" ht="16.5" customHeight="1" x14ac:dyDescent="0.3">
      <c r="A23" s="191" t="s">
        <v>146</v>
      </c>
      <c r="B23" s="191"/>
      <c r="C23" s="191"/>
      <c r="D23" s="191"/>
      <c r="E23" s="3"/>
      <c r="F23" s="3"/>
      <c r="G23" s="3"/>
      <c r="H23" s="3"/>
    </row>
    <row r="24" spans="1:8" ht="27.75" customHeight="1" x14ac:dyDescent="0.3">
      <c r="A24" s="1" t="s">
        <v>107</v>
      </c>
      <c r="B24" s="1" t="s">
        <v>108</v>
      </c>
      <c r="C24" s="1" t="s">
        <v>109</v>
      </c>
      <c r="D24" s="1" t="s">
        <v>110</v>
      </c>
      <c r="E24" s="3"/>
      <c r="F24" s="3"/>
      <c r="G24" s="3"/>
      <c r="H24" s="3"/>
    </row>
    <row r="25" spans="1:8" ht="27.75" customHeight="1" x14ac:dyDescent="0.3">
      <c r="A25" s="5" t="s">
        <v>147</v>
      </c>
      <c r="B25" s="14" t="s">
        <v>148</v>
      </c>
      <c r="C25" s="11" t="s">
        <v>122</v>
      </c>
      <c r="D25" s="12" t="s">
        <v>149</v>
      </c>
      <c r="E25" s="3"/>
      <c r="F25" s="3"/>
      <c r="G25" s="3"/>
      <c r="H25" s="3"/>
    </row>
    <row r="26" spans="1:8" x14ac:dyDescent="0.3">
      <c r="A26" s="5" t="s">
        <v>150</v>
      </c>
      <c r="B26" s="18">
        <v>46273</v>
      </c>
      <c r="C26" s="11" t="s">
        <v>112</v>
      </c>
      <c r="D26" s="12" t="s">
        <v>151</v>
      </c>
      <c r="E26" s="3"/>
      <c r="F26" s="3"/>
      <c r="G26" s="3"/>
      <c r="H26" s="3"/>
    </row>
    <row r="27" spans="1:8" ht="22.8" customHeight="1" x14ac:dyDescent="0.3">
      <c r="A27" s="5" t="s">
        <v>152</v>
      </c>
      <c r="B27" s="19" t="s">
        <v>153</v>
      </c>
      <c r="C27" s="11" t="s">
        <v>122</v>
      </c>
      <c r="D27" s="12" t="s">
        <v>154</v>
      </c>
      <c r="E27" s="3"/>
      <c r="F27" s="3"/>
      <c r="G27" s="3"/>
      <c r="H27" s="3"/>
    </row>
    <row r="28" spans="1:8" x14ac:dyDescent="0.3">
      <c r="A28" s="5" t="s">
        <v>155</v>
      </c>
      <c r="B28" s="19" t="s">
        <v>156</v>
      </c>
      <c r="C28" s="11" t="s">
        <v>122</v>
      </c>
      <c r="D28" s="12" t="s">
        <v>157</v>
      </c>
      <c r="E28" s="3"/>
      <c r="F28" s="3"/>
      <c r="G28" s="3"/>
      <c r="H28" s="3"/>
    </row>
    <row r="29" spans="1:8" ht="27.75" customHeight="1" x14ac:dyDescent="0.3">
      <c r="A29" s="5" t="s">
        <v>158</v>
      </c>
      <c r="B29" s="14" t="s">
        <v>159</v>
      </c>
      <c r="C29" s="11" t="s">
        <v>122</v>
      </c>
      <c r="D29" s="12" t="s">
        <v>160</v>
      </c>
      <c r="E29" s="3"/>
      <c r="F29" s="3"/>
      <c r="G29" s="3"/>
      <c r="H29" s="3"/>
    </row>
    <row r="30" spans="1:8" x14ac:dyDescent="0.3">
      <c r="A30" s="5" t="s">
        <v>24</v>
      </c>
      <c r="B30" s="19" t="s">
        <v>161</v>
      </c>
      <c r="C30" s="11" t="s">
        <v>122</v>
      </c>
      <c r="D30" s="12" t="s">
        <v>162</v>
      </c>
      <c r="E30" s="3"/>
      <c r="F30" s="3"/>
      <c r="G30" s="3"/>
      <c r="H30" s="3"/>
    </row>
    <row r="31" spans="1:8" ht="27.75" customHeight="1" x14ac:dyDescent="0.3">
      <c r="A31" s="5" t="s">
        <v>163</v>
      </c>
      <c r="B31" s="14" t="s">
        <v>164</v>
      </c>
      <c r="C31" s="11" t="s">
        <v>122</v>
      </c>
      <c r="D31" s="12" t="s">
        <v>165</v>
      </c>
      <c r="E31" s="3"/>
      <c r="F31" s="3"/>
      <c r="G31" s="3"/>
      <c r="H31" s="3"/>
    </row>
    <row r="32" spans="1:8" x14ac:dyDescent="0.3">
      <c r="A32" s="3"/>
      <c r="B32" s="3"/>
      <c r="C32" s="3"/>
      <c r="D32" s="3"/>
      <c r="E32" s="3"/>
      <c r="F32" s="3"/>
      <c r="G32" s="3"/>
      <c r="H32" s="3"/>
    </row>
    <row r="33" spans="1:8" ht="16.5" customHeight="1" x14ac:dyDescent="0.3">
      <c r="A33" s="191" t="s">
        <v>166</v>
      </c>
      <c r="B33" s="191"/>
      <c r="C33" s="191"/>
      <c r="D33" s="191"/>
      <c r="E33" s="3"/>
      <c r="F33" s="3"/>
      <c r="G33" s="3"/>
      <c r="H33" s="3"/>
    </row>
    <row r="34" spans="1:8" ht="27.75" customHeight="1" x14ac:dyDescent="0.3">
      <c r="A34" s="1" t="s">
        <v>167</v>
      </c>
      <c r="B34" s="1" t="s">
        <v>168</v>
      </c>
      <c r="C34" s="1" t="s">
        <v>109</v>
      </c>
      <c r="D34" s="1" t="s">
        <v>169</v>
      </c>
      <c r="E34" s="3"/>
      <c r="F34" s="3"/>
      <c r="G34" s="3"/>
      <c r="H34" s="3"/>
    </row>
    <row r="35" spans="1:8" x14ac:dyDescent="0.3">
      <c r="A35" s="5" t="s">
        <v>170</v>
      </c>
      <c r="B35" s="20">
        <v>0.8</v>
      </c>
      <c r="C35" s="11" t="s">
        <v>171</v>
      </c>
      <c r="D35" s="12" t="s">
        <v>172</v>
      </c>
      <c r="E35" s="3"/>
      <c r="F35" s="3"/>
      <c r="G35" s="3"/>
      <c r="H35" s="3"/>
    </row>
    <row r="36" spans="1:8" x14ac:dyDescent="0.3">
      <c r="A36" s="5" t="s">
        <v>173</v>
      </c>
      <c r="B36" s="20">
        <v>0.5</v>
      </c>
      <c r="C36" s="11" t="s">
        <v>171</v>
      </c>
      <c r="D36" s="12" t="s">
        <v>174</v>
      </c>
      <c r="E36" s="3"/>
      <c r="F36" s="3"/>
      <c r="G36" s="3"/>
      <c r="H36" s="3"/>
    </row>
    <row r="37" spans="1:8" x14ac:dyDescent="0.3">
      <c r="A37" s="5" t="s">
        <v>175</v>
      </c>
      <c r="B37" s="20">
        <v>0.3</v>
      </c>
      <c r="C37" s="11" t="s">
        <v>171</v>
      </c>
      <c r="D37" s="12" t="s">
        <v>176</v>
      </c>
      <c r="E37" s="3"/>
      <c r="F37" s="3"/>
      <c r="G37" s="3"/>
      <c r="H37" s="3"/>
    </row>
    <row r="38" spans="1:8" x14ac:dyDescent="0.3">
      <c r="A38" s="5" t="s">
        <v>177</v>
      </c>
      <c r="B38" s="20">
        <v>0.3</v>
      </c>
      <c r="C38" s="11" t="s">
        <v>178</v>
      </c>
      <c r="D38" s="12" t="s">
        <v>179</v>
      </c>
      <c r="E38" s="3"/>
      <c r="F38" s="3"/>
      <c r="G38" s="3"/>
      <c r="H38" s="3"/>
    </row>
    <row r="39" spans="1:8" x14ac:dyDescent="0.3">
      <c r="A39" s="3"/>
      <c r="B39" s="3"/>
      <c r="C39" s="3"/>
      <c r="D39" s="3"/>
      <c r="E39" s="3"/>
      <c r="F39" s="3"/>
      <c r="G39" s="3"/>
      <c r="H39" s="3"/>
    </row>
    <row r="40" spans="1:8" ht="16.5" customHeight="1" x14ac:dyDescent="0.3">
      <c r="A40" s="191" t="s">
        <v>180</v>
      </c>
      <c r="B40" s="191"/>
      <c r="C40" s="191"/>
      <c r="D40" s="191"/>
      <c r="E40" s="3"/>
      <c r="F40" s="3"/>
      <c r="G40" s="3"/>
      <c r="H40" s="3"/>
    </row>
    <row r="41" spans="1:8" x14ac:dyDescent="0.3">
      <c r="A41" s="21" t="s">
        <v>181</v>
      </c>
      <c r="B41" s="192" t="s">
        <v>182</v>
      </c>
      <c r="C41" s="174"/>
      <c r="D41" s="174"/>
      <c r="E41" s="3"/>
      <c r="F41" s="3"/>
      <c r="G41" s="3"/>
      <c r="H41" s="3"/>
    </row>
    <row r="42" spans="1:8" x14ac:dyDescent="0.3">
      <c r="A42" s="22" t="s">
        <v>183</v>
      </c>
      <c r="B42" s="192" t="s">
        <v>184</v>
      </c>
      <c r="C42" s="174"/>
      <c r="D42" s="174"/>
      <c r="E42" s="3"/>
      <c r="F42" s="3"/>
      <c r="G42" s="3"/>
      <c r="H42" s="3"/>
    </row>
    <row r="43" spans="1:8" x14ac:dyDescent="0.3">
      <c r="A43" s="23" t="s">
        <v>185</v>
      </c>
      <c r="B43" s="192" t="s">
        <v>186</v>
      </c>
      <c r="C43" s="174"/>
      <c r="D43" s="174"/>
      <c r="E43" s="3"/>
      <c r="F43" s="3"/>
      <c r="G43" s="3"/>
      <c r="H43" s="3"/>
    </row>
    <row r="44" spans="1:8" x14ac:dyDescent="0.3">
      <c r="A44" s="3"/>
      <c r="B44" s="3"/>
      <c r="C44" s="3"/>
      <c r="D44" s="3"/>
      <c r="E44" s="3"/>
      <c r="F44" s="3"/>
      <c r="G44" s="3"/>
      <c r="H44" s="3"/>
    </row>
    <row r="45" spans="1:8" x14ac:dyDescent="0.3">
      <c r="A45" s="3"/>
      <c r="B45" s="3"/>
      <c r="C45" s="3"/>
      <c r="D45" s="3"/>
      <c r="E45" s="3"/>
      <c r="F45" s="3"/>
      <c r="G45" s="3"/>
      <c r="H45" s="3"/>
    </row>
    <row r="46" spans="1:8" x14ac:dyDescent="0.3">
      <c r="A46" s="3"/>
      <c r="B46" s="3"/>
      <c r="C46" s="3"/>
      <c r="D46" s="3"/>
      <c r="E46" s="3"/>
      <c r="F46" s="3"/>
      <c r="G46" s="3"/>
      <c r="H46" s="3"/>
    </row>
    <row r="47" spans="1:8" x14ac:dyDescent="0.3">
      <c r="A47" s="3"/>
      <c r="B47" s="3"/>
      <c r="C47" s="3"/>
      <c r="D47" s="3"/>
      <c r="E47" s="3"/>
      <c r="F47" s="3"/>
      <c r="G47" s="3"/>
      <c r="H47" s="3"/>
    </row>
    <row r="48" spans="1:8" x14ac:dyDescent="0.3">
      <c r="A48" s="3"/>
      <c r="B48" s="3"/>
      <c r="C48" s="3"/>
      <c r="D48" s="3"/>
      <c r="E48" s="3"/>
      <c r="F48" s="3"/>
      <c r="G48" s="3"/>
      <c r="H48" s="3"/>
    </row>
    <row r="49" spans="1:8" x14ac:dyDescent="0.3">
      <c r="A49" s="3"/>
      <c r="B49" s="3"/>
      <c r="C49" s="3"/>
      <c r="D49" s="3"/>
      <c r="E49" s="3"/>
      <c r="F49" s="3"/>
      <c r="G49" s="3"/>
      <c r="H49" s="3"/>
    </row>
    <row r="50" spans="1:8" x14ac:dyDescent="0.3">
      <c r="A50" s="3"/>
      <c r="B50" s="3"/>
      <c r="C50" s="3"/>
      <c r="D50" s="3"/>
      <c r="E50" s="3"/>
      <c r="F50" s="3"/>
      <c r="G50" s="3"/>
      <c r="H50" s="3"/>
    </row>
    <row r="51" spans="1:8" x14ac:dyDescent="0.3">
      <c r="A51" s="3"/>
      <c r="B51" s="3"/>
      <c r="C51" s="3"/>
      <c r="D51" s="3"/>
      <c r="E51" s="3"/>
      <c r="F51" s="3"/>
      <c r="G51" s="3"/>
      <c r="H51" s="3"/>
    </row>
    <row r="52" spans="1:8" x14ac:dyDescent="0.3">
      <c r="A52" s="3"/>
      <c r="B52" s="3"/>
      <c r="C52" s="3"/>
      <c r="D52" s="3"/>
      <c r="E52" s="3"/>
      <c r="F52" s="3"/>
      <c r="G52" s="3"/>
      <c r="H52" s="3"/>
    </row>
    <row r="53" spans="1:8" x14ac:dyDescent="0.3">
      <c r="A53" s="3"/>
      <c r="B53" s="3"/>
      <c r="C53" s="3"/>
      <c r="D53" s="3"/>
      <c r="E53" s="3"/>
      <c r="F53" s="3"/>
      <c r="G53" s="3"/>
      <c r="H53" s="3"/>
    </row>
    <row r="54" spans="1:8" x14ac:dyDescent="0.3">
      <c r="A54" s="3"/>
      <c r="B54" s="3"/>
      <c r="C54" s="3"/>
      <c r="D54" s="3"/>
      <c r="E54" s="3"/>
      <c r="F54" s="3"/>
      <c r="G54" s="3"/>
      <c r="H54" s="3"/>
    </row>
    <row r="55" spans="1:8" x14ac:dyDescent="0.3">
      <c r="A55" s="3"/>
      <c r="B55" s="3"/>
      <c r="C55" s="3"/>
      <c r="D55" s="3"/>
      <c r="E55" s="3"/>
      <c r="F55" s="3"/>
      <c r="G55" s="3"/>
      <c r="H55" s="3"/>
    </row>
    <row r="56" spans="1:8" x14ac:dyDescent="0.3">
      <c r="A56" s="3"/>
      <c r="B56" s="3"/>
      <c r="C56" s="3"/>
      <c r="D56" s="3"/>
      <c r="E56" s="3"/>
      <c r="F56" s="3"/>
      <c r="G56" s="3"/>
      <c r="H56" s="3"/>
    </row>
    <row r="57" spans="1:8" x14ac:dyDescent="0.3">
      <c r="A57" s="3"/>
      <c r="B57" s="3"/>
      <c r="C57" s="3"/>
      <c r="D57" s="3"/>
      <c r="E57" s="3"/>
      <c r="F57" s="3"/>
      <c r="G57" s="3"/>
      <c r="H57" s="3"/>
    </row>
    <row r="58" spans="1:8" x14ac:dyDescent="0.3">
      <c r="A58" s="3"/>
      <c r="B58" s="3"/>
      <c r="C58" s="3"/>
      <c r="D58" s="3"/>
      <c r="E58" s="3"/>
      <c r="F58" s="3"/>
      <c r="G58" s="3"/>
      <c r="H58" s="3"/>
    </row>
    <row r="59" spans="1:8" x14ac:dyDescent="0.3">
      <c r="A59" s="3"/>
      <c r="B59" s="3"/>
      <c r="C59" s="3"/>
      <c r="D59" s="3"/>
      <c r="E59" s="3"/>
      <c r="F59" s="3"/>
      <c r="G59" s="3"/>
      <c r="H59" s="3"/>
    </row>
    <row r="60" spans="1:8" x14ac:dyDescent="0.3">
      <c r="A60" s="3"/>
      <c r="B60" s="3"/>
      <c r="C60" s="3"/>
      <c r="D60" s="3"/>
      <c r="E60" s="3"/>
      <c r="F60" s="3"/>
      <c r="G60" s="3"/>
      <c r="H60" s="3"/>
    </row>
    <row r="61" spans="1:8" x14ac:dyDescent="0.3">
      <c r="A61" s="3"/>
      <c r="B61" s="3"/>
      <c r="C61" s="3"/>
      <c r="D61" s="3"/>
      <c r="E61" s="3"/>
      <c r="F61" s="3"/>
      <c r="G61" s="3"/>
      <c r="H61" s="3"/>
    </row>
    <row r="62" spans="1:8" x14ac:dyDescent="0.3">
      <c r="A62" s="3"/>
      <c r="B62" s="3"/>
      <c r="C62" s="3"/>
      <c r="D62" s="3"/>
      <c r="E62" s="3"/>
      <c r="F62" s="3"/>
      <c r="G62" s="3"/>
      <c r="H62" s="3"/>
    </row>
    <row r="63" spans="1:8" x14ac:dyDescent="0.3">
      <c r="A63" s="3"/>
      <c r="B63" s="3"/>
      <c r="C63" s="3"/>
      <c r="D63" s="3"/>
      <c r="E63" s="3"/>
      <c r="F63" s="3"/>
      <c r="G63" s="3"/>
      <c r="H63" s="3"/>
    </row>
    <row r="64" spans="1:8" x14ac:dyDescent="0.3">
      <c r="A64" s="3"/>
      <c r="B64" s="3"/>
      <c r="C64" s="3"/>
      <c r="D64" s="3"/>
      <c r="E64" s="3"/>
      <c r="F64" s="3"/>
      <c r="G64" s="3"/>
      <c r="H64" s="3"/>
    </row>
    <row r="65" spans="1:8" x14ac:dyDescent="0.3">
      <c r="A65" s="3"/>
      <c r="B65" s="3"/>
      <c r="C65" s="3"/>
      <c r="D65" s="3"/>
      <c r="E65" s="3"/>
      <c r="F65" s="3"/>
      <c r="G65" s="3"/>
      <c r="H65" s="3"/>
    </row>
    <row r="66" spans="1:8" x14ac:dyDescent="0.3">
      <c r="A66" s="3"/>
      <c r="B66" s="3"/>
      <c r="C66" s="3"/>
      <c r="D66" s="3"/>
      <c r="E66" s="3"/>
      <c r="F66" s="3"/>
      <c r="G66" s="3"/>
      <c r="H66" s="3"/>
    </row>
    <row r="67" spans="1:8" x14ac:dyDescent="0.3">
      <c r="A67" s="3"/>
      <c r="B67" s="3"/>
      <c r="C67" s="3"/>
      <c r="D67" s="3"/>
      <c r="E67" s="3"/>
      <c r="F67" s="3"/>
      <c r="G67" s="3"/>
      <c r="H67" s="3"/>
    </row>
    <row r="68" spans="1:8" x14ac:dyDescent="0.3">
      <c r="A68" s="3"/>
      <c r="B68" s="3"/>
      <c r="C68" s="3"/>
      <c r="D68" s="3"/>
      <c r="E68" s="3"/>
      <c r="F68" s="3"/>
      <c r="G68" s="3"/>
      <c r="H68" s="3"/>
    </row>
    <row r="69" spans="1:8" x14ac:dyDescent="0.3">
      <c r="A69" s="3"/>
      <c r="B69" s="3"/>
      <c r="C69" s="3"/>
      <c r="D69" s="3"/>
      <c r="E69" s="3"/>
      <c r="F69" s="3"/>
      <c r="G69" s="3"/>
      <c r="H69" s="3"/>
    </row>
    <row r="70" spans="1:8" x14ac:dyDescent="0.3">
      <c r="A70" s="3"/>
      <c r="B70" s="3"/>
      <c r="C70" s="3"/>
      <c r="D70" s="3"/>
      <c r="E70" s="3"/>
      <c r="F70" s="3"/>
      <c r="G70" s="3"/>
      <c r="H70" s="3"/>
    </row>
    <row r="71" spans="1:8" x14ac:dyDescent="0.3">
      <c r="A71" s="3"/>
      <c r="B71" s="3"/>
      <c r="C71" s="3"/>
      <c r="D71" s="3"/>
      <c r="E71" s="3"/>
      <c r="F71" s="3"/>
      <c r="G71" s="3"/>
      <c r="H71" s="3"/>
    </row>
    <row r="72" spans="1:8" x14ac:dyDescent="0.3">
      <c r="A72" s="3"/>
      <c r="B72" s="3"/>
      <c r="C72" s="3"/>
      <c r="D72" s="3"/>
      <c r="E72" s="3"/>
      <c r="F72" s="3"/>
      <c r="G72" s="3"/>
      <c r="H72" s="3"/>
    </row>
    <row r="73" spans="1:8" x14ac:dyDescent="0.3">
      <c r="A73" s="3"/>
      <c r="B73" s="3"/>
      <c r="C73" s="3"/>
      <c r="D73" s="3"/>
      <c r="E73" s="3"/>
      <c r="F73" s="3"/>
      <c r="G73" s="3"/>
      <c r="H73" s="3"/>
    </row>
    <row r="74" spans="1:8" x14ac:dyDescent="0.3">
      <c r="A74" s="3"/>
      <c r="B74" s="3"/>
      <c r="C74" s="3"/>
      <c r="D74" s="3"/>
      <c r="E74" s="3"/>
      <c r="F74" s="3"/>
      <c r="G74" s="3"/>
      <c r="H74" s="3"/>
    </row>
    <row r="75" spans="1:8" x14ac:dyDescent="0.3">
      <c r="A75" s="3"/>
      <c r="B75" s="3"/>
      <c r="C75" s="3"/>
      <c r="D75" s="3"/>
      <c r="E75" s="3"/>
      <c r="F75" s="3"/>
      <c r="G75" s="3"/>
      <c r="H75" s="3"/>
    </row>
    <row r="76" spans="1:8" x14ac:dyDescent="0.3">
      <c r="A76" s="3"/>
      <c r="B76" s="3"/>
      <c r="C76" s="3"/>
      <c r="D76" s="3"/>
      <c r="E76" s="3"/>
      <c r="F76" s="3"/>
      <c r="G76" s="3"/>
      <c r="H76" s="3"/>
    </row>
    <row r="77" spans="1:8" x14ac:dyDescent="0.3">
      <c r="A77" s="3"/>
      <c r="B77" s="3"/>
      <c r="C77" s="3"/>
      <c r="D77" s="3"/>
      <c r="E77" s="3"/>
      <c r="F77" s="3"/>
      <c r="G77" s="3"/>
      <c r="H77" s="3"/>
    </row>
    <row r="78" spans="1:8" x14ac:dyDescent="0.3">
      <c r="A78" s="3"/>
      <c r="B78" s="3"/>
      <c r="C78" s="3"/>
      <c r="D78" s="3"/>
      <c r="E78" s="3"/>
      <c r="F78" s="3"/>
      <c r="G78" s="3"/>
      <c r="H78" s="3"/>
    </row>
    <row r="79" spans="1:8" x14ac:dyDescent="0.3">
      <c r="A79" s="3"/>
      <c r="B79" s="3"/>
      <c r="C79" s="3"/>
      <c r="D79" s="3"/>
      <c r="E79" s="3"/>
      <c r="F79" s="3"/>
      <c r="G79" s="3"/>
      <c r="H79" s="3"/>
    </row>
    <row r="80" spans="1:8" x14ac:dyDescent="0.3">
      <c r="A80" s="3"/>
      <c r="B80" s="3"/>
      <c r="C80" s="3"/>
      <c r="D80" s="3"/>
      <c r="E80" s="3"/>
      <c r="F80" s="3"/>
      <c r="G80" s="3"/>
      <c r="H80" s="3"/>
    </row>
    <row r="81" spans="1:8" x14ac:dyDescent="0.3">
      <c r="A81" s="3"/>
      <c r="B81" s="3"/>
      <c r="C81" s="3"/>
      <c r="D81" s="3"/>
      <c r="E81" s="3"/>
      <c r="F81" s="3"/>
      <c r="G81" s="3"/>
      <c r="H81" s="3"/>
    </row>
    <row r="82" spans="1:8" x14ac:dyDescent="0.3">
      <c r="A82" s="3"/>
      <c r="B82" s="3"/>
      <c r="C82" s="3"/>
      <c r="D82" s="3"/>
      <c r="E82" s="3"/>
      <c r="F82" s="3"/>
      <c r="G82" s="3"/>
      <c r="H82" s="3"/>
    </row>
    <row r="83" spans="1:8" x14ac:dyDescent="0.3">
      <c r="A83" s="3"/>
      <c r="B83" s="3"/>
      <c r="C83" s="3"/>
      <c r="D83" s="3"/>
      <c r="E83" s="3"/>
      <c r="F83" s="3"/>
      <c r="G83" s="3"/>
      <c r="H83" s="3"/>
    </row>
    <row r="84" spans="1:8" x14ac:dyDescent="0.3">
      <c r="A84" s="3"/>
      <c r="B84" s="3"/>
      <c r="C84" s="3"/>
      <c r="D84" s="3"/>
      <c r="E84" s="3"/>
      <c r="F84" s="3"/>
      <c r="G84" s="3"/>
      <c r="H84" s="3"/>
    </row>
    <row r="85" spans="1:8" x14ac:dyDescent="0.3">
      <c r="A85" s="3"/>
      <c r="B85" s="3"/>
      <c r="C85" s="3"/>
      <c r="D85" s="3"/>
      <c r="E85" s="3"/>
      <c r="F85" s="3"/>
      <c r="G85" s="3"/>
      <c r="H85" s="3"/>
    </row>
    <row r="86" spans="1:8" x14ac:dyDescent="0.3">
      <c r="A86" s="3"/>
      <c r="B86" s="3"/>
      <c r="C86" s="3"/>
      <c r="D86" s="3"/>
      <c r="E86" s="3"/>
      <c r="F86" s="3"/>
      <c r="G86" s="3"/>
      <c r="H86" s="3"/>
    </row>
    <row r="87" spans="1:8" x14ac:dyDescent="0.3">
      <c r="A87" s="3"/>
      <c r="B87" s="3"/>
      <c r="C87" s="3"/>
      <c r="D87" s="3"/>
      <c r="E87" s="3"/>
      <c r="F87" s="3"/>
      <c r="G87" s="3"/>
      <c r="H87" s="3"/>
    </row>
    <row r="88" spans="1:8" x14ac:dyDescent="0.3">
      <c r="A88" s="3"/>
      <c r="B88" s="3"/>
      <c r="C88" s="3"/>
      <c r="D88" s="3"/>
      <c r="E88" s="3"/>
      <c r="F88" s="3"/>
      <c r="G88" s="3"/>
      <c r="H88" s="3"/>
    </row>
    <row r="89" spans="1:8" x14ac:dyDescent="0.3">
      <c r="A89" s="3"/>
      <c r="B89" s="3"/>
      <c r="C89" s="3"/>
      <c r="D89" s="3"/>
      <c r="E89" s="3"/>
      <c r="F89" s="3"/>
      <c r="G89" s="3"/>
      <c r="H89" s="3"/>
    </row>
    <row r="90" spans="1:8" x14ac:dyDescent="0.3">
      <c r="A90" s="3"/>
      <c r="B90" s="3"/>
      <c r="C90" s="3"/>
      <c r="D90" s="3"/>
      <c r="E90" s="3"/>
      <c r="F90" s="3"/>
      <c r="G90" s="3"/>
      <c r="H90" s="3"/>
    </row>
  </sheetData>
  <mergeCells count="11">
    <mergeCell ref="A1:D1"/>
    <mergeCell ref="B43:D43"/>
    <mergeCell ref="B21:D21"/>
    <mergeCell ref="A2:F2"/>
    <mergeCell ref="B42:D42"/>
    <mergeCell ref="B41:D41"/>
    <mergeCell ref="A33:D33"/>
    <mergeCell ref="A40:D40"/>
    <mergeCell ref="A4:D4"/>
    <mergeCell ref="A16:D16"/>
    <mergeCell ref="A23:D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93"/>
  <sheetViews>
    <sheetView showGridLines="0" topLeftCell="A45" zoomScale="82" workbookViewId="0">
      <selection activeCell="Y10" sqref="Y10"/>
    </sheetView>
  </sheetViews>
  <sheetFormatPr defaultColWidth="8.6640625" defaultRowHeight="14.4" x14ac:dyDescent="0.3"/>
  <cols>
    <col min="1" max="1" width="5" customWidth="1"/>
    <col min="2" max="2" width="15" customWidth="1"/>
    <col min="3" max="3" width="22" customWidth="1"/>
    <col min="4" max="4" width="30" customWidth="1"/>
    <col min="5" max="5" width="11" customWidth="1"/>
    <col min="6" max="7" width="14" customWidth="1"/>
    <col min="8" max="8" width="40.88671875" customWidth="1"/>
    <col min="9" max="9" width="16" customWidth="1"/>
    <col min="10" max="10" width="12" customWidth="1"/>
    <col min="11" max="11" width="18.33203125" customWidth="1"/>
  </cols>
  <sheetData>
    <row r="1" spans="1:13" ht="24" customHeight="1" x14ac:dyDescent="0.3">
      <c r="A1" s="195" t="s">
        <v>187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3"/>
      <c r="M1" s="3"/>
    </row>
    <row r="2" spans="1:13" ht="13.5" customHeight="1" x14ac:dyDescent="0.3">
      <c r="A2" s="193" t="s">
        <v>188</v>
      </c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3"/>
      <c r="M2" s="3"/>
    </row>
    <row r="3" spans="1:13" x14ac:dyDescent="0.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13" ht="16.5" customHeight="1" x14ac:dyDescent="0.3">
      <c r="A4" s="177" t="s">
        <v>189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3"/>
      <c r="M4" s="3"/>
    </row>
    <row r="5" spans="1:13" x14ac:dyDescent="0.3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ht="27.75" customHeight="1" x14ac:dyDescent="0.3">
      <c r="A6" s="1" t="s">
        <v>33</v>
      </c>
      <c r="B6" s="1" t="s">
        <v>34</v>
      </c>
      <c r="C6" s="1" t="s">
        <v>35</v>
      </c>
      <c r="D6" s="1" t="s">
        <v>36</v>
      </c>
      <c r="E6" s="1" t="s">
        <v>190</v>
      </c>
      <c r="F6" s="1" t="s">
        <v>191</v>
      </c>
      <c r="G6" s="1" t="s">
        <v>192</v>
      </c>
      <c r="H6" s="1" t="s">
        <v>193</v>
      </c>
      <c r="I6" s="1" t="s">
        <v>194</v>
      </c>
      <c r="J6" s="1" t="s">
        <v>195</v>
      </c>
      <c r="K6" s="1" t="s">
        <v>196</v>
      </c>
      <c r="L6" s="3"/>
      <c r="M6" s="3"/>
    </row>
    <row r="7" spans="1:13" x14ac:dyDescent="0.3">
      <c r="A7" s="6">
        <v>1</v>
      </c>
      <c r="B7" s="24" t="s">
        <v>1</v>
      </c>
      <c r="C7" s="24" t="s">
        <v>10</v>
      </c>
      <c r="D7" s="24" t="s">
        <v>38</v>
      </c>
      <c r="E7" s="17">
        <v>0.23</v>
      </c>
      <c r="F7" s="25" vm="1">
        <f ca="1">INDEX(Prices!$B$4:$B$133,COUNT(Prices!$A$4:$A$133))</f>
        <v>1309.5</v>
      </c>
      <c r="G7" s="26" cm="1">
        <f t="array" aca="1" ref="G7" ca="1">IFERROR(INDEX(Prices!$B$4:$B$133,COUNT(Prices!$A$4:$A$133))/Prices!$B$4-1,"")</f>
        <v>-0.11077158135981668</v>
      </c>
      <c r="H7" s="27">
        <f ca="1">Returns!B$138</f>
        <v>-3.5825571718703764E-2</v>
      </c>
      <c r="I7" s="28">
        <f t="shared" ref="I7:I13" si="0">$E7*NotionalValue</f>
        <v>230000</v>
      </c>
      <c r="J7" s="29">
        <f t="shared" ref="J7:J13" ca="1" si="1">IFERROR($I7/$F7,"")</f>
        <v>175.63955708285604</v>
      </c>
      <c r="K7" s="26">
        <f t="shared" ref="K7:K13" ca="1" si="2">$E7*$G7</f>
        <v>-2.5477463712757838E-2</v>
      </c>
      <c r="L7" s="3"/>
      <c r="M7" s="3"/>
    </row>
    <row r="8" spans="1:13" x14ac:dyDescent="0.3">
      <c r="A8" s="6">
        <v>2</v>
      </c>
      <c r="B8" s="24" t="s">
        <v>2</v>
      </c>
      <c r="C8" s="24" t="s">
        <v>11</v>
      </c>
      <c r="D8" s="24" t="s">
        <v>39</v>
      </c>
      <c r="E8" s="17">
        <v>0.15</v>
      </c>
      <c r="F8" s="25" vm="2">
        <f ca="1">INDEX(Prices!$C$4:$C$133,COUNT(Prices!$A$4:$A$133))</f>
        <v>1854</v>
      </c>
      <c r="G8" s="26" cm="1">
        <f t="array" aca="1" ref="G8" ca="1">IFERROR(INDEX(Prices!$C$4:$C$133,COUNT(Prices!$A$4:$A$133))/Prices!$C$4-1,"")</f>
        <v>0.13432653186087062</v>
      </c>
      <c r="H8" s="27">
        <f ca="1">Returns!C$138</f>
        <v>8.1444944697993016E-2</v>
      </c>
      <c r="I8" s="28">
        <f t="shared" si="0"/>
        <v>150000</v>
      </c>
      <c r="J8" s="29">
        <f t="shared" ca="1" si="1"/>
        <v>80.906148867313917</v>
      </c>
      <c r="K8" s="26">
        <f t="shared" ca="1" si="2"/>
        <v>2.0148979779130594E-2</v>
      </c>
      <c r="L8" s="3"/>
      <c r="M8" s="3"/>
    </row>
    <row r="9" spans="1:13" x14ac:dyDescent="0.3">
      <c r="A9" s="6">
        <v>3</v>
      </c>
      <c r="B9" s="24" t="s">
        <v>3</v>
      </c>
      <c r="C9" s="24" t="s">
        <v>12</v>
      </c>
      <c r="D9" s="24" t="s">
        <v>40</v>
      </c>
      <c r="E9" s="17">
        <v>0.15</v>
      </c>
      <c r="F9" s="25" vm="3">
        <f ca="1">INDEX(Prices!$D$4:$D$133,COUNT(Prices!$A$4:$A$133))</f>
        <v>710.5</v>
      </c>
      <c r="G9" s="26" cm="1">
        <f t="array" aca="1" ref="G9" ca="1">IFERROR(INDEX(Prices!$D$4:$D$133,COUNT(Prices!$A$4:$A$133))/Prices!$D$4-1,"")</f>
        <v>-0.14491258491300862</v>
      </c>
      <c r="H9" s="27">
        <f ca="1">Returns!D$138</f>
        <v>-6.0606364000103885E-2</v>
      </c>
      <c r="I9" s="28">
        <f t="shared" si="0"/>
        <v>150000</v>
      </c>
      <c r="J9" s="29">
        <f t="shared" ca="1" si="1"/>
        <v>211.11893033075299</v>
      </c>
      <c r="K9" s="26">
        <f t="shared" ca="1" si="2"/>
        <v>-2.1736887736951292E-2</v>
      </c>
      <c r="L9" s="3"/>
      <c r="M9" s="3"/>
    </row>
    <row r="10" spans="1:13" x14ac:dyDescent="0.3">
      <c r="A10" s="6">
        <v>4</v>
      </c>
      <c r="B10" s="24" t="s">
        <v>4</v>
      </c>
      <c r="C10" s="24" t="s">
        <v>13</v>
      </c>
      <c r="D10" s="24" t="s">
        <v>41</v>
      </c>
      <c r="E10" s="17">
        <v>0.14000000000000001</v>
      </c>
      <c r="F10" s="25" vm="4">
        <f ca="1">INDEX(Prices!$E$4:$E$133,COUNT(Prices!$A$4:$A$133))</f>
        <v>3999</v>
      </c>
      <c r="G10" s="26" cm="1">
        <f t="array" aca="1" ref="G10" ca="1">IFERROR(INDEX(Prices!$E$4:$E$133,COUNT(Prices!$A$4:$A$133))/Prices!$E$4-1,"")</f>
        <v>0.10683642402435645</v>
      </c>
      <c r="H10" s="27">
        <f ca="1">Returns!E$138</f>
        <v>8.452485426317724E-2</v>
      </c>
      <c r="I10" s="28">
        <f t="shared" si="0"/>
        <v>140000</v>
      </c>
      <c r="J10" s="29">
        <f t="shared" ca="1" si="1"/>
        <v>35.008752188047012</v>
      </c>
      <c r="K10" s="26">
        <f t="shared" ca="1" si="2"/>
        <v>1.4957099363409904E-2</v>
      </c>
      <c r="L10" s="3"/>
      <c r="M10" s="3"/>
    </row>
    <row r="11" spans="1:13" x14ac:dyDescent="0.3">
      <c r="A11" s="6">
        <v>5</v>
      </c>
      <c r="B11" s="24" t="s">
        <v>5</v>
      </c>
      <c r="C11" s="24" t="s">
        <v>14</v>
      </c>
      <c r="D11" s="24" t="s">
        <v>42</v>
      </c>
      <c r="E11" s="17">
        <v>0.12</v>
      </c>
      <c r="F11" s="25" vm="5">
        <f ca="1">INDEX(Prices!$F$4:$F$133,COUNT(Prices!$A$4:$A$133))</f>
        <v>1395</v>
      </c>
      <c r="G11" s="26" cm="1">
        <f t="array" aca="1" ref="G11" ca="1">IFERROR(INDEX(Prices!$F$4:$F$133,COUNT(Prices!$A$4:$A$133))/Prices!$F$4-1,"")</f>
        <v>-0.15948665421461716</v>
      </c>
      <c r="H11" s="27">
        <f ca="1">Returns!F$138</f>
        <v>-6.9387742558067844E-2</v>
      </c>
      <c r="I11" s="28">
        <f t="shared" si="0"/>
        <v>120000</v>
      </c>
      <c r="J11" s="29">
        <f t="shared" ca="1" si="1"/>
        <v>86.021505376344081</v>
      </c>
      <c r="K11" s="26">
        <f t="shared" ca="1" si="2"/>
        <v>-1.9138398505754058E-2</v>
      </c>
      <c r="L11" s="3"/>
      <c r="M11" s="3"/>
    </row>
    <row r="12" spans="1:13" x14ac:dyDescent="0.3">
      <c r="A12" s="6">
        <v>6</v>
      </c>
      <c r="B12" s="24" t="s">
        <v>6</v>
      </c>
      <c r="C12" s="24" t="s">
        <v>15</v>
      </c>
      <c r="D12" s="24" t="s">
        <v>43</v>
      </c>
      <c r="E12" s="17">
        <v>0.12</v>
      </c>
      <c r="F12" s="25" vm="6">
        <f ca="1">INDEX(Prices!$G$4:$G$133,COUNT(Prices!$A$4:$A$133))</f>
        <v>12760</v>
      </c>
      <c r="G12" s="26" cm="1">
        <f t="array" aca="1" ref="G12" ca="1">IFERROR(INDEX(Prices!$G$4:$G$133,COUNT(Prices!$A$4:$A$133))/Prices!$G$4-1,"")</f>
        <v>3.6046459700959321E-2</v>
      </c>
      <c r="H12" s="27">
        <f ca="1">Returns!G$138</f>
        <v>4.6893930225150426E-2</v>
      </c>
      <c r="I12" s="28">
        <f t="shared" si="0"/>
        <v>120000</v>
      </c>
      <c r="J12" s="29">
        <f t="shared" ca="1" si="1"/>
        <v>9.4043887147335425</v>
      </c>
      <c r="K12" s="26">
        <f t="shared" ca="1" si="2"/>
        <v>4.3255751641151181E-3</v>
      </c>
      <c r="L12" s="3"/>
      <c r="M12" s="3"/>
    </row>
    <row r="13" spans="1:13" x14ac:dyDescent="0.3">
      <c r="A13" s="6">
        <v>7</v>
      </c>
      <c r="B13" s="24" t="s">
        <v>7</v>
      </c>
      <c r="C13" s="24" t="s">
        <v>16</v>
      </c>
      <c r="D13" s="24" t="s">
        <v>44</v>
      </c>
      <c r="E13" s="17">
        <v>0.09</v>
      </c>
      <c r="F13" s="25" vm="7">
        <f ca="1">INDEX(Prices!$H$4:$H$133,COUNT(Prices!$A$4:$A$133))</f>
        <v>1282.8</v>
      </c>
      <c r="G13" s="26" cm="1">
        <f t="array" aca="1" ref="G13" ca="1">IFERROR(INDEX(Prices!$H$4:$H$133,COUNT(Prices!$A$4:$A$133))/Prices!$H$4-1,"")</f>
        <v>-0.28998684970187261</v>
      </c>
      <c r="H13" s="27">
        <f ca="1">Returns!H$138</f>
        <v>-0.12948855571780982</v>
      </c>
      <c r="I13" s="28">
        <f t="shared" si="0"/>
        <v>90000</v>
      </c>
      <c r="J13" s="29">
        <f t="shared" ca="1" si="1"/>
        <v>70.159027128157163</v>
      </c>
      <c r="K13" s="26">
        <f t="shared" ca="1" si="2"/>
        <v>-2.6098816473168533E-2</v>
      </c>
      <c r="L13" s="3"/>
      <c r="M13" s="3"/>
    </row>
    <row r="14" spans="1:13" x14ac:dyDescent="0.3">
      <c r="A14" s="7"/>
      <c r="B14" s="189" t="s">
        <v>197</v>
      </c>
      <c r="C14" s="174"/>
      <c r="D14" s="174"/>
      <c r="E14" s="30">
        <f>SUM(E7:E13)</f>
        <v>1</v>
      </c>
      <c r="F14" s="31"/>
      <c r="G14" s="31"/>
      <c r="H14" s="31"/>
      <c r="I14" s="32">
        <f>SUM(I7:I13)</f>
        <v>1000000</v>
      </c>
      <c r="J14" s="31"/>
      <c r="K14" s="33">
        <f ca="1">SUM(K7:K13)</f>
        <v>-5.3019912121976098E-2</v>
      </c>
      <c r="L14" s="3"/>
      <c r="M14" s="3"/>
    </row>
    <row r="15" spans="1:13" x14ac:dyDescent="0.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13" x14ac:dyDescent="0.3">
      <c r="A16" s="3"/>
      <c r="B16" s="34" t="s">
        <v>198</v>
      </c>
      <c r="C16" s="3"/>
      <c r="D16" s="35">
        <f>SUM(WeightsCol)</f>
        <v>1</v>
      </c>
      <c r="E16" s="36" t="str">
        <f>IF(ROUND(SUM(WeightsCol),6)=1,"✓  PASS — weights sum to exactly 100%","✗  FAIL — weights sum to "&amp;TEXT(SUM(WeightsCol),"0.00%")&amp;", must equal 100%")</f>
        <v>✓  PASS — weights sum to exactly 100%</v>
      </c>
      <c r="F16" s="3"/>
      <c r="G16" s="3"/>
      <c r="H16" s="3"/>
      <c r="I16" s="3"/>
      <c r="J16" s="3"/>
      <c r="K16" s="3"/>
      <c r="L16" s="3"/>
      <c r="M16" s="3"/>
    </row>
    <row r="17" spans="1:13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ht="16.5" customHeight="1" x14ac:dyDescent="0.3">
      <c r="A18" s="177" t="s">
        <v>199</v>
      </c>
      <c r="B18" s="136"/>
      <c r="C18" s="136"/>
      <c r="D18" s="136"/>
      <c r="E18" s="136"/>
      <c r="F18" s="136"/>
      <c r="G18" s="136"/>
      <c r="H18" s="136"/>
      <c r="I18" s="136"/>
      <c r="J18" s="136"/>
      <c r="K18" s="136"/>
      <c r="L18" s="3"/>
      <c r="M18" s="3"/>
    </row>
    <row r="19" spans="1:13" ht="27.75" customHeight="1" x14ac:dyDescent="0.3">
      <c r="A19" s="3"/>
      <c r="B19" s="3"/>
      <c r="C19" s="3"/>
      <c r="D19" s="1" t="s">
        <v>36</v>
      </c>
      <c r="E19" s="1" t="s">
        <v>58</v>
      </c>
      <c r="F19" s="1" t="s">
        <v>37</v>
      </c>
      <c r="G19" s="1" t="s">
        <v>200</v>
      </c>
      <c r="H19" s="3"/>
      <c r="I19" s="3"/>
      <c r="J19" s="3"/>
      <c r="K19" s="3"/>
      <c r="L19" s="3"/>
      <c r="M19" s="3"/>
    </row>
    <row r="20" spans="1:13" x14ac:dyDescent="0.3">
      <c r="A20" s="3"/>
      <c r="B20" s="3"/>
      <c r="C20" s="3"/>
      <c r="D20" s="24" t="s">
        <v>38</v>
      </c>
      <c r="E20" s="13">
        <f t="shared" ref="E20:E26" si="3">COUNTIF($D$7:$D$13,$D20)</f>
        <v>1</v>
      </c>
      <c r="F20" s="37">
        <f t="shared" ref="F20:F26" si="4">SUMIF($D$7:$D$13,$D20,$E$7:$E$13)</f>
        <v>0.23</v>
      </c>
      <c r="G20" s="28">
        <f t="shared" ref="G20:G26" si="5">$F20*NotionalValue</f>
        <v>230000</v>
      </c>
      <c r="H20" s="3"/>
      <c r="I20" s="3"/>
      <c r="J20" s="3"/>
      <c r="K20" s="3"/>
      <c r="L20" s="3"/>
      <c r="M20" s="3"/>
    </row>
    <row r="21" spans="1:13" x14ac:dyDescent="0.3">
      <c r="A21" s="3"/>
      <c r="B21" s="3"/>
      <c r="C21" s="3"/>
      <c r="D21" s="24" t="s">
        <v>39</v>
      </c>
      <c r="E21" s="13">
        <f t="shared" si="3"/>
        <v>1</v>
      </c>
      <c r="F21" s="37">
        <f t="shared" si="4"/>
        <v>0.15</v>
      </c>
      <c r="G21" s="28">
        <f t="shared" si="5"/>
        <v>150000</v>
      </c>
      <c r="H21" s="3"/>
      <c r="I21" s="3"/>
      <c r="J21" s="3"/>
      <c r="K21" s="3"/>
      <c r="L21" s="3"/>
      <c r="M21" s="3"/>
    </row>
    <row r="22" spans="1:13" x14ac:dyDescent="0.3">
      <c r="A22" s="3"/>
      <c r="B22" s="3"/>
      <c r="C22" s="3"/>
      <c r="D22" s="24" t="s">
        <v>40</v>
      </c>
      <c r="E22" s="13">
        <f t="shared" si="3"/>
        <v>1</v>
      </c>
      <c r="F22" s="37">
        <f t="shared" si="4"/>
        <v>0.15</v>
      </c>
      <c r="G22" s="28">
        <f t="shared" si="5"/>
        <v>150000</v>
      </c>
      <c r="H22" s="3"/>
      <c r="I22" s="3"/>
      <c r="J22" s="3"/>
      <c r="K22" s="3"/>
      <c r="L22" s="3"/>
      <c r="M22" s="3"/>
    </row>
    <row r="23" spans="1:13" x14ac:dyDescent="0.3">
      <c r="A23" s="3"/>
      <c r="B23" s="3"/>
      <c r="C23" s="3"/>
      <c r="D23" s="24" t="s">
        <v>41</v>
      </c>
      <c r="E23" s="13">
        <f t="shared" si="3"/>
        <v>1</v>
      </c>
      <c r="F23" s="37">
        <f t="shared" si="4"/>
        <v>0.14000000000000001</v>
      </c>
      <c r="G23" s="28">
        <f t="shared" si="5"/>
        <v>140000</v>
      </c>
      <c r="H23" s="3"/>
      <c r="I23" s="3"/>
      <c r="J23" s="3"/>
      <c r="K23" s="3"/>
      <c r="L23" s="3"/>
      <c r="M23" s="3"/>
    </row>
    <row r="24" spans="1:13" x14ac:dyDescent="0.3">
      <c r="A24" s="3"/>
      <c r="B24" s="3"/>
      <c r="C24" s="3"/>
      <c r="D24" s="24" t="s">
        <v>42</v>
      </c>
      <c r="E24" s="13">
        <f t="shared" si="3"/>
        <v>1</v>
      </c>
      <c r="F24" s="37">
        <f t="shared" si="4"/>
        <v>0.12</v>
      </c>
      <c r="G24" s="28">
        <f t="shared" si="5"/>
        <v>120000</v>
      </c>
      <c r="H24" s="3"/>
      <c r="I24" s="3"/>
      <c r="J24" s="3"/>
      <c r="K24" s="3"/>
      <c r="L24" s="3"/>
      <c r="M24" s="3"/>
    </row>
    <row r="25" spans="1:13" x14ac:dyDescent="0.3">
      <c r="A25" s="3"/>
      <c r="B25" s="3"/>
      <c r="C25" s="3"/>
      <c r="D25" s="24" t="s">
        <v>43</v>
      </c>
      <c r="E25" s="13">
        <f t="shared" si="3"/>
        <v>1</v>
      </c>
      <c r="F25" s="37">
        <f t="shared" si="4"/>
        <v>0.12</v>
      </c>
      <c r="G25" s="28">
        <f t="shared" si="5"/>
        <v>120000</v>
      </c>
      <c r="H25" s="3"/>
      <c r="I25" s="3"/>
      <c r="J25" s="3"/>
      <c r="K25" s="3"/>
      <c r="L25" s="3"/>
      <c r="M25" s="3"/>
    </row>
    <row r="26" spans="1:13" x14ac:dyDescent="0.3">
      <c r="A26" s="3"/>
      <c r="B26" s="3"/>
      <c r="C26" s="3"/>
      <c r="D26" s="24" t="s">
        <v>44</v>
      </c>
      <c r="E26" s="13">
        <f t="shared" si="3"/>
        <v>1</v>
      </c>
      <c r="F26" s="37">
        <f t="shared" si="4"/>
        <v>0.09</v>
      </c>
      <c r="G26" s="28">
        <f t="shared" si="5"/>
        <v>90000</v>
      </c>
      <c r="H26" s="3"/>
      <c r="I26" s="3"/>
      <c r="J26" s="3"/>
      <c r="K26" s="3"/>
      <c r="L26" s="3"/>
      <c r="M26" s="3"/>
    </row>
    <row r="27" spans="1:13" x14ac:dyDescent="0.3">
      <c r="A27" s="3"/>
      <c r="B27" s="3"/>
      <c r="C27" s="3"/>
      <c r="D27" s="38" t="s">
        <v>201</v>
      </c>
      <c r="E27" s="39">
        <f>SUM(E20:E26)</f>
        <v>7</v>
      </c>
      <c r="F27" s="30">
        <f>SUM(F20:F26)</f>
        <v>1</v>
      </c>
      <c r="G27" s="40">
        <f>SUM(G20:G26)</f>
        <v>1000000</v>
      </c>
      <c r="H27" s="3"/>
      <c r="I27" s="3"/>
      <c r="J27" s="3"/>
      <c r="K27" s="3"/>
      <c r="L27" s="3"/>
      <c r="M27" s="3"/>
    </row>
    <row r="28" spans="1:13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13" ht="16.5" customHeight="1" x14ac:dyDescent="0.3">
      <c r="A29" s="177" t="s">
        <v>202</v>
      </c>
      <c r="B29" s="136"/>
      <c r="C29" s="136"/>
      <c r="D29" s="136"/>
      <c r="E29" s="136"/>
      <c r="F29" s="136"/>
      <c r="G29" s="136"/>
      <c r="H29" s="136"/>
      <c r="I29" s="136"/>
      <c r="J29" s="136"/>
      <c r="K29" s="136"/>
      <c r="L29" s="3"/>
      <c r="M29" s="3"/>
    </row>
    <row r="30" spans="1:13" ht="27.75" customHeight="1" x14ac:dyDescent="0.3">
      <c r="A30" s="1" t="s">
        <v>33</v>
      </c>
      <c r="B30" s="180" t="s">
        <v>203</v>
      </c>
      <c r="C30" s="174"/>
      <c r="D30" s="174"/>
      <c r="E30" s="174"/>
      <c r="F30" s="181"/>
      <c r="G30" s="1" t="s">
        <v>108</v>
      </c>
      <c r="H30" s="1"/>
      <c r="I30" s="180" t="s">
        <v>204</v>
      </c>
      <c r="J30" s="181"/>
      <c r="K30" s="3"/>
      <c r="L30" s="3"/>
      <c r="M30" s="3"/>
    </row>
    <row r="31" spans="1:13" ht="15" customHeight="1" x14ac:dyDescent="0.3">
      <c r="A31" s="6">
        <v>1</v>
      </c>
      <c r="B31" s="175" t="s">
        <v>205</v>
      </c>
      <c r="C31" s="174"/>
      <c r="D31" s="174"/>
      <c r="E31" s="174"/>
      <c r="F31" s="174"/>
      <c r="G31" s="37">
        <f>SUM(WeightsCol)</f>
        <v>1</v>
      </c>
      <c r="H31" s="3"/>
      <c r="I31" s="194" t="str">
        <f>IF(ROUND(SUM(WeightsCol),6)=1,"PASS","FAIL")</f>
        <v>PASS</v>
      </c>
      <c r="J31" s="174"/>
      <c r="K31" s="3"/>
      <c r="L31" s="3"/>
      <c r="M31" s="3"/>
    </row>
    <row r="32" spans="1:13" ht="15" customHeight="1" x14ac:dyDescent="0.3">
      <c r="A32" s="6">
        <v>2</v>
      </c>
      <c r="B32" s="175" t="s">
        <v>206</v>
      </c>
      <c r="C32" s="174"/>
      <c r="D32" s="174"/>
      <c r="E32" s="174"/>
      <c r="F32" s="174"/>
      <c r="G32" s="13">
        <f>COUNTA($B$7:$B$13)</f>
        <v>7</v>
      </c>
      <c r="H32" s="3"/>
      <c r="I32" s="194" t="str">
        <f>IF(COUNTA($B$7:$B$13)=7,"PASS","FAIL")</f>
        <v>PASS</v>
      </c>
      <c r="J32" s="174"/>
      <c r="K32" s="3"/>
      <c r="L32" s="3"/>
      <c r="M32" s="3"/>
    </row>
    <row r="33" spans="1:13" ht="15" customHeight="1" x14ac:dyDescent="0.3">
      <c r="A33" s="6">
        <v>3</v>
      </c>
      <c r="B33" s="175" t="s">
        <v>207</v>
      </c>
      <c r="C33" s="174"/>
      <c r="D33" s="174"/>
      <c r="E33" s="174"/>
      <c r="F33" s="174"/>
      <c r="G33" s="13">
        <f ca="1">COUNT(Prices!$A$4:$A$133)</f>
        <v>105</v>
      </c>
      <c r="H33" s="3"/>
      <c r="I33" s="194" t="str">
        <f ca="1">IF(COUNT(Prices!$A$4:$A$133)&gt;=100,"PASS","FAIL")</f>
        <v>PASS</v>
      </c>
      <c r="J33" s="174"/>
      <c r="K33" s="3"/>
      <c r="L33" s="3"/>
      <c r="M33" s="3"/>
    </row>
    <row r="34" spans="1:13" ht="15" customHeight="1" x14ac:dyDescent="0.3">
      <c r="A34" s="6">
        <v>4</v>
      </c>
      <c r="B34" s="175" t="s">
        <v>208</v>
      </c>
      <c r="C34" s="174"/>
      <c r="D34" s="174"/>
      <c r="E34" s="174"/>
      <c r="F34" s="174"/>
      <c r="G34" s="13">
        <f ca="1">COUNTBLANK(Prices!$B$4:$I$133)-COUNTBLANK(Prices!$A$4:$A$133)*8</f>
        <v>0</v>
      </c>
      <c r="H34" s="3"/>
      <c r="I34" s="194" t="str">
        <f ca="1">IF(G34=0,"PASS","FAIL")</f>
        <v>PASS</v>
      </c>
      <c r="J34" s="174"/>
      <c r="K34" s="3"/>
      <c r="L34" s="3"/>
      <c r="M34" s="3"/>
    </row>
    <row r="35" spans="1:13" ht="15" customHeight="1" x14ac:dyDescent="0.3">
      <c r="A35" s="6">
        <v>5</v>
      </c>
      <c r="B35" s="175" t="s">
        <v>209</v>
      </c>
      <c r="C35" s="174"/>
      <c r="D35" s="174"/>
      <c r="E35" s="174"/>
      <c r="F35" s="174"/>
      <c r="G35" s="13">
        <f ca="1">SUMPRODUCT(--(Prices!$A$5:INDEX(Prices!$A$4:$A$133,COUNT(Prices!$A$4:$A$133))&lt;=Prices!$A$4:INDEX(Prices!$A$4:$A$133,COUNT(Prices!$A$4:$A$133)-1)))</f>
        <v>0</v>
      </c>
      <c r="H35" s="3"/>
      <c r="I35" s="194" t="str">
        <f ca="1">IF(G35=0,"PASS","FAIL")</f>
        <v>PASS</v>
      </c>
      <c r="J35" s="174"/>
      <c r="K35" s="3"/>
      <c r="L35" s="3"/>
      <c r="M35" s="3"/>
    </row>
    <row r="36" spans="1:13" ht="15" customHeight="1" x14ac:dyDescent="0.3">
      <c r="A36" s="6">
        <v>6</v>
      </c>
      <c r="B36" s="175" t="s">
        <v>210</v>
      </c>
      <c r="C36" s="174"/>
      <c r="D36" s="174"/>
      <c r="E36" s="174"/>
      <c r="F36" s="174"/>
      <c r="G36" s="13">
        <f ca="1">COUNT(PortRet)</f>
        <v>104</v>
      </c>
      <c r="H36" s="3"/>
      <c r="I36" s="194" t="str">
        <f ca="1">IF(COUNT(PortRet)=COUNT(Prices!$A$4:$A$133)-1,"PASS","FAIL")</f>
        <v>PASS</v>
      </c>
      <c r="J36" s="174"/>
      <c r="K36" s="3"/>
      <c r="L36" s="3"/>
      <c r="M36" s="3"/>
    </row>
    <row r="37" spans="1:13" ht="15" customHeight="1" x14ac:dyDescent="0.3">
      <c r="A37" s="6">
        <v>7</v>
      </c>
      <c r="B37" s="175" t="s">
        <v>211</v>
      </c>
      <c r="C37" s="174"/>
      <c r="D37" s="174"/>
      <c r="E37" s="174"/>
      <c r="F37" s="174"/>
      <c r="G37" s="13">
        <f ca="1">COUNT(BenchRet)</f>
        <v>104</v>
      </c>
      <c r="H37" s="3"/>
      <c r="I37" s="194" t="str">
        <f ca="1">IF(COUNT(BenchRet)=COUNT(PortRet),"PASS","FAIL")</f>
        <v>PASS</v>
      </c>
      <c r="J37" s="174"/>
      <c r="K37" s="3"/>
      <c r="L37" s="3"/>
      <c r="M37" s="3"/>
    </row>
    <row r="38" spans="1:13" ht="15" customHeight="1" x14ac:dyDescent="0.3">
      <c r="A38" s="6">
        <v>8</v>
      </c>
      <c r="B38" s="175" t="s">
        <v>212</v>
      </c>
      <c r="C38" s="174"/>
      <c r="D38" s="174"/>
      <c r="E38" s="174"/>
      <c r="F38" s="174"/>
      <c r="G38" s="41">
        <f ca="1">SUMPRODUCT(Weights,Returns!$B$6:$H$6)-Returns!$J$6</f>
        <v>0</v>
      </c>
      <c r="H38" s="3"/>
      <c r="I38" s="194" t="str">
        <f ca="1">IF(ABS(SUMPRODUCT(Weights,Returns!$B$6:$H$6)-Returns!$J$6)&lt;0.0000000001,"PASS","FAIL")</f>
        <v>PASS</v>
      </c>
      <c r="J38" s="174"/>
      <c r="K38" s="3"/>
      <c r="L38" s="3"/>
      <c r="M38" s="3"/>
    </row>
    <row r="39" spans="1:13" ht="15" customHeight="1" x14ac:dyDescent="0.3">
      <c r="A39" s="6">
        <v>9</v>
      </c>
      <c r="B39" s="175" t="s">
        <v>213</v>
      </c>
      <c r="C39" s="174"/>
      <c r="D39" s="174"/>
      <c r="E39" s="174"/>
      <c r="F39" s="174"/>
      <c r="G39" s="42">
        <f>Drawdown!$C$7+Drawdown!$G$7</f>
        <v>200</v>
      </c>
      <c r="H39" s="3"/>
      <c r="I39" s="194" t="str">
        <f>IF(AND(Drawdown!$C$7=100,Drawdown!$G$7=100),"PASS","FAIL")</f>
        <v>PASS</v>
      </c>
      <c r="J39" s="174"/>
      <c r="K39" s="3"/>
      <c r="L39" s="3"/>
      <c r="M39" s="3"/>
    </row>
    <row r="40" spans="1:13" ht="15" customHeight="1" x14ac:dyDescent="0.3">
      <c r="A40" s="6">
        <v>10</v>
      </c>
      <c r="B40" s="175" t="s">
        <v>214</v>
      </c>
      <c r="C40" s="174"/>
      <c r="D40" s="174"/>
      <c r="E40" s="174"/>
      <c r="F40" s="174"/>
      <c r="G40" s="41">
        <f ca="1">Risk_Analysis!$B$11-(INDEX(Drawdown!$C$8:$C$1000,COUNT(Drawdown!$A$8:$A$1000))/100-1)</f>
        <v>0</v>
      </c>
      <c r="H40" s="3"/>
      <c r="I40" s="194" t="str">
        <f ca="1">IF(ABS(Risk_Analysis!$B$11-(INDEX(Drawdown!$C$8:$C$1000,COUNT(Drawdown!$A$8:$A$1000))/100-1))&lt;0.0000000001,"PASS","FAIL")</f>
        <v>PASS</v>
      </c>
      <c r="J40" s="174"/>
      <c r="K40" s="3"/>
      <c r="L40" s="3"/>
      <c r="M40" s="3"/>
    </row>
    <row r="41" spans="1:13" ht="15" customHeight="1" x14ac:dyDescent="0.3">
      <c r="A41" s="6">
        <v>11</v>
      </c>
      <c r="B41" s="175" t="s">
        <v>215</v>
      </c>
      <c r="C41" s="174"/>
      <c r="D41" s="174"/>
      <c r="E41" s="174"/>
      <c r="F41" s="174"/>
      <c r="G41" s="43">
        <f ca="1">Risk_Analysis!$B$35</f>
        <v>-0.17991189250061801</v>
      </c>
      <c r="H41" s="3"/>
      <c r="I41" s="194" t="str">
        <f ca="1">IF(Risk_Analysis!$B$35&lt;=0,"PASS","FAIL")</f>
        <v>PASS</v>
      </c>
      <c r="J41" s="174"/>
      <c r="K41" s="3"/>
      <c r="L41" s="3"/>
      <c r="M41" s="3"/>
    </row>
    <row r="42" spans="1:13" ht="15" customHeight="1" x14ac:dyDescent="0.3">
      <c r="A42" s="6">
        <v>12</v>
      </c>
      <c r="B42" s="175" t="s">
        <v>216</v>
      </c>
      <c r="C42" s="174"/>
      <c r="D42" s="174"/>
      <c r="E42" s="174"/>
      <c r="F42" s="174"/>
      <c r="G42" s="42">
        <f ca="1">SUM(Correlation!$B$7,Correlation!$C$8,Correlation!$D$9,Correlation!$E$10,Correlation!$F$11,Correlation!$G$12,Correlation!$H$13)</f>
        <v>7</v>
      </c>
      <c r="H42" s="3"/>
      <c r="I42" s="194" t="str">
        <f ca="1">IF(ROUND(SUM(Correlation!$B$7,Correlation!$C$8,Correlation!$D$9,Correlation!$E$10,Correlation!$F$11,Correlation!$G$12,Correlation!$H$13),6)=7,"PASS","FAIL")</f>
        <v>PASS</v>
      </c>
      <c r="J42" s="174"/>
      <c r="K42" s="3"/>
      <c r="L42" s="3"/>
      <c r="M42" s="3"/>
    </row>
    <row r="43" spans="1:13" ht="15" customHeight="1" x14ac:dyDescent="0.3">
      <c r="A43" s="6">
        <v>13</v>
      </c>
      <c r="B43" s="175" t="s">
        <v>217</v>
      </c>
      <c r="C43" s="174"/>
      <c r="D43" s="174"/>
      <c r="E43" s="174"/>
      <c r="F43" s="174"/>
      <c r="G43" s="41">
        <f ca="1">SUM(Correlation!$B$7:$H$13)-(7+2*SUM(Correlation!$F$17:$F$37))</f>
        <v>0</v>
      </c>
      <c r="H43" s="3"/>
      <c r="I43" s="194" t="str">
        <f ca="1">IF(ABS(SUM(Correlation!$B$7:$H$13)-(7+2*SUM(Correlation!$F$17:$F$37)))&lt;0.000001,"PASS","FAIL")</f>
        <v>PASS</v>
      </c>
      <c r="J43" s="174"/>
      <c r="K43" s="3"/>
      <c r="L43" s="3"/>
      <c r="M43" s="3"/>
    </row>
    <row r="44" spans="1:13" ht="15" customHeight="1" x14ac:dyDescent="0.3">
      <c r="A44" s="6">
        <v>14</v>
      </c>
      <c r="B44" s="175" t="s">
        <v>218</v>
      </c>
      <c r="C44" s="174"/>
      <c r="D44" s="174"/>
      <c r="E44" s="174"/>
      <c r="F44" s="174"/>
      <c r="G44" s="41">
        <f ca="1">Contribution!$D$14</f>
        <v>0</v>
      </c>
      <c r="H44" s="3"/>
      <c r="I44" s="194" t="str">
        <f ca="1">IF(ABS(Contribution!$D$14)&lt;0.000001,"PASS","FAIL")</f>
        <v>PASS</v>
      </c>
      <c r="J44" s="174"/>
      <c r="K44" s="3"/>
      <c r="L44" s="3"/>
      <c r="M44" s="3"/>
    </row>
    <row r="45" spans="1:13" ht="15" customHeight="1" x14ac:dyDescent="0.3">
      <c r="A45" s="6">
        <v>15</v>
      </c>
      <c r="B45" s="175" t="s">
        <v>219</v>
      </c>
      <c r="C45" s="174"/>
      <c r="D45" s="174"/>
      <c r="E45" s="174"/>
      <c r="F45" s="174"/>
      <c r="G45" s="41">
        <f ca="1">Contribution!$E$36</f>
        <v>0</v>
      </c>
      <c r="H45" s="3"/>
      <c r="I45" s="194" t="str">
        <f ca="1">IF(ABS(Contribution!$E$36)&lt;0.0000001,"PASS","FAIL")</f>
        <v>PASS</v>
      </c>
      <c r="J45" s="174"/>
      <c r="K45" s="3"/>
      <c r="L45" s="3"/>
      <c r="M45" s="3"/>
    </row>
    <row r="46" spans="1:13" ht="15" customHeight="1" x14ac:dyDescent="0.3">
      <c r="A46" s="6">
        <v>16</v>
      </c>
      <c r="B46" s="175" t="s">
        <v>220</v>
      </c>
      <c r="C46" s="174"/>
      <c r="D46" s="174"/>
      <c r="E46" s="174"/>
      <c r="F46" s="174"/>
      <c r="G46" s="41">
        <f>$F$27-SUM(WeightsCol)</f>
        <v>0</v>
      </c>
      <c r="H46" s="3"/>
      <c r="I46" s="194" t="str">
        <f>IF(ABS($F$27-SUM(WeightsCol))&lt;0.000001,"PASS","FAIL")</f>
        <v>PASS</v>
      </c>
      <c r="J46" s="174"/>
      <c r="K46" s="3"/>
      <c r="L46" s="3"/>
      <c r="M46" s="3"/>
    </row>
    <row r="47" spans="1:13" ht="15" customHeight="1" x14ac:dyDescent="0.3">
      <c r="A47" s="6">
        <v>17</v>
      </c>
      <c r="B47" s="175" t="s">
        <v>221</v>
      </c>
      <c r="C47" s="174"/>
      <c r="D47" s="174"/>
      <c r="E47" s="174"/>
      <c r="F47" s="174"/>
      <c r="G47" s="13">
        <f ca="1">SUMPRODUCT(--ISERROR(Returns!$B$6:$J$134))</f>
        <v>0</v>
      </c>
      <c r="H47" s="3"/>
      <c r="I47" s="194" t="str">
        <f ca="1">IF(SUMPRODUCT(--ISERROR(Returns!$B$6:$J$134))=0,"PASS","FAIL")</f>
        <v>PASS</v>
      </c>
      <c r="J47" s="174"/>
      <c r="K47" s="3"/>
      <c r="L47" s="3"/>
      <c r="M47" s="3"/>
    </row>
    <row r="48" spans="1:13" ht="15" customHeight="1" x14ac:dyDescent="0.3">
      <c r="A48" s="6">
        <v>18</v>
      </c>
      <c r="B48" s="175" t="s">
        <v>222</v>
      </c>
      <c r="C48" s="174"/>
      <c r="D48" s="174"/>
      <c r="E48" s="174"/>
      <c r="F48" s="174"/>
      <c r="G48" s="13">
        <f ca="1">SUMPRODUCT(--ISERROR(Drawdown!$B$8:$I$136))</f>
        <v>0</v>
      </c>
      <c r="H48" s="3"/>
      <c r="I48" s="194" t="str">
        <f ca="1">IF(SUMPRODUCT(--ISERROR(Drawdown!$B$8:$I$136))=0,"PASS","FAIL")</f>
        <v>PASS</v>
      </c>
      <c r="J48" s="174"/>
      <c r="K48" s="3"/>
      <c r="L48" s="3"/>
      <c r="M48" s="3"/>
    </row>
    <row r="49" spans="1:13" ht="15" customHeight="1" x14ac:dyDescent="0.3">
      <c r="A49" s="6">
        <v>19</v>
      </c>
      <c r="B49" s="175" t="s">
        <v>223</v>
      </c>
      <c r="C49" s="174"/>
      <c r="D49" s="174"/>
      <c r="E49" s="174"/>
      <c r="F49" s="174"/>
      <c r="G49" s="37">
        <f>RiskFree</f>
        <v>6.9500000000000006E-2</v>
      </c>
      <c r="H49" s="3"/>
      <c r="I49" s="194" t="str">
        <f>IF(AND(RiskFree&gt;0,RiskFree&lt;0.2),"PASS","FAIL")</f>
        <v>PASS</v>
      </c>
      <c r="J49" s="174"/>
      <c r="K49" s="3"/>
      <c r="L49" s="3"/>
      <c r="M49" s="3"/>
    </row>
    <row r="50" spans="1:13" ht="15" customHeight="1" x14ac:dyDescent="0.3">
      <c r="A50" s="6">
        <v>20</v>
      </c>
      <c r="B50" s="175" t="s">
        <v>224</v>
      </c>
      <c r="C50" s="174"/>
      <c r="D50" s="174"/>
      <c r="E50" s="174"/>
      <c r="F50" s="174"/>
      <c r="G50" s="37">
        <f ca="1">--(Market_Data!B$20="Date")+--(Market_Data!E$20="Date")+--(Market_Data!H$20="Date")+--(Market_Data!K$20="Date")+--(Market_Data!N$20="Date")+--(Market_Data!Q$20="Date")+--(Market_Data!T$20="Date")</f>
        <v>7</v>
      </c>
      <c r="H50" s="3"/>
      <c r="I50" s="194" t="str">
        <f ca="1">IF((--(Market_Data!B$20="Date")+--(Market_Data!E$20="Date")+--(Market_Data!H$20="Date")+--(Market_Data!K$20="Date")+--(Market_Data!N$20="Date")+--(Market_Data!Q$20="Date")+--(Market_Data!T$20="Date"))=7,"PASS","FAIL — see Market_Data status notes; expected blank/FAIL outside Excel 365 with a live Microsoft 365 connection")</f>
        <v>PASS</v>
      </c>
      <c r="J50" s="174"/>
      <c r="K50" s="3"/>
      <c r="L50" s="3"/>
      <c r="M50" s="3"/>
    </row>
    <row r="51" spans="1:13" ht="34.799999999999997" customHeight="1" x14ac:dyDescent="0.3">
      <c r="A51" s="6">
        <v>21</v>
      </c>
      <c r="B51" s="175" t="s">
        <v>225</v>
      </c>
      <c r="C51" s="174"/>
      <c r="D51" s="174"/>
      <c r="E51" s="174"/>
      <c r="F51" s="174"/>
      <c r="G51" s="126" t="str">
        <f>IF(COUNT(Query1[Date])&gt;0,"LIVE — Power Query / Yahoo Finance (Market_Data W:X)","EMERGENCY STATIC FALLBACK")</f>
        <v>LIVE — Power Query / Yahoo Finance (Market_Data W:X)</v>
      </c>
      <c r="H51" s="3"/>
      <c r="I51" s="194" t="str">
        <f>IF($G$51&lt;&gt;"","PASS","FAIL")</f>
        <v>PASS</v>
      </c>
      <c r="J51" s="174"/>
      <c r="K51" s="3"/>
      <c r="L51" s="3"/>
      <c r="M51" s="3"/>
    </row>
    <row r="52" spans="1:13" ht="46.8" customHeight="1" x14ac:dyDescent="0.3">
      <c r="A52" s="6">
        <v>22</v>
      </c>
      <c r="B52" s="175" t="s">
        <v>498</v>
      </c>
      <c r="C52" s="174"/>
      <c r="D52" s="174"/>
      <c r="E52" s="174"/>
      <c r="F52" s="174"/>
      <c r="G52" s="37">
        <f>--(COUNT(Query1[Date])&gt;0)</f>
        <v>1</v>
      </c>
      <c r="H52" s="3"/>
      <c r="I52" s="196" t="str">
        <f>IF($G$52=1,"PASS — Yahoo Finance Power Query table resolving","EMERGENCY FALLBACK — Yahoo Finance Power Query table empty or not refreshed (see Market_Data W:X)")</f>
        <v>PASS — Yahoo Finance Power Query table resolving</v>
      </c>
      <c r="J52" s="197"/>
      <c r="K52" s="3"/>
      <c r="L52" s="3"/>
      <c r="M52" s="3"/>
    </row>
    <row r="53" spans="1:13" ht="68.400000000000006" customHeight="1" x14ac:dyDescent="0.3">
      <c r="A53" s="124"/>
      <c r="B53" s="122" t="s">
        <v>226</v>
      </c>
      <c r="C53" s="124"/>
      <c r="D53" s="124"/>
      <c r="E53" s="124"/>
      <c r="F53" s="125"/>
      <c r="G53" s="44" t="str">
        <f ca="1">COUNTIF($I$31:$I$52,"PASS*")&amp;" / 22"</f>
        <v>22 / 22</v>
      </c>
      <c r="H53" s="3"/>
      <c r="I53" s="198" t="str">
        <f ca="1">IF(COUNTIF($I$31:$I$52,"PASS*")=22,"✓  ALL CHECKS PASS","✗  "&amp;COUNTIF($I$31:$I$52,"FAIL*")&amp;" CHECK(S) FAILING — see column I")</f>
        <v>✓  ALL CHECKS PASS</v>
      </c>
      <c r="J53" s="199"/>
      <c r="K53" s="127"/>
      <c r="L53" s="3"/>
      <c r="M53" s="3"/>
    </row>
    <row r="54" spans="1:13" x14ac:dyDescent="0.3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</row>
    <row r="55" spans="1:13" x14ac:dyDescent="0.3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</row>
    <row r="56" spans="1:13" x14ac:dyDescent="0.3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</row>
    <row r="57" spans="1:13" x14ac:dyDescent="0.3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</row>
    <row r="58" spans="1:13" x14ac:dyDescent="0.3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</row>
    <row r="59" spans="1:13" x14ac:dyDescent="0.3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</row>
    <row r="60" spans="1:13" x14ac:dyDescent="0.3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</row>
    <row r="61" spans="1:13" x14ac:dyDescent="0.3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</row>
    <row r="62" spans="1:13" x14ac:dyDescent="0.3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</row>
    <row r="63" spans="1:13" x14ac:dyDescent="0.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</row>
    <row r="64" spans="1:13" x14ac:dyDescent="0.3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</row>
    <row r="65" spans="1:13" x14ac:dyDescent="0.3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</row>
    <row r="66" spans="1:13" x14ac:dyDescent="0.3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</row>
    <row r="67" spans="1:13" x14ac:dyDescent="0.3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</row>
    <row r="68" spans="1:13" x14ac:dyDescent="0.3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</row>
    <row r="69" spans="1:13" x14ac:dyDescent="0.3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</row>
    <row r="70" spans="1:13" x14ac:dyDescent="0.3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</row>
    <row r="71" spans="1:13" x14ac:dyDescent="0.3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</row>
    <row r="72" spans="1:13" x14ac:dyDescent="0.3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</row>
    <row r="73" spans="1:13" x14ac:dyDescent="0.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</row>
    <row r="74" spans="1:13" x14ac:dyDescent="0.3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</row>
    <row r="75" spans="1:13" x14ac:dyDescent="0.3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</row>
    <row r="76" spans="1:13" x14ac:dyDescent="0.3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</row>
    <row r="77" spans="1:13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</row>
    <row r="78" spans="1:13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</row>
    <row r="79" spans="1:13" x14ac:dyDescent="0.3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</row>
    <row r="80" spans="1:13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</row>
    <row r="81" spans="1:13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</row>
    <row r="82" spans="1:13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</row>
    <row r="83" spans="1:13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</row>
    <row r="84" spans="1:13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</row>
    <row r="85" spans="1:13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</row>
    <row r="86" spans="1:13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</row>
    <row r="87" spans="1:13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</row>
    <row r="88" spans="1:13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</row>
    <row r="89" spans="1:13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</row>
    <row r="90" spans="1:13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</row>
    <row r="91" spans="1:13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</row>
    <row r="92" spans="1:13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</row>
    <row r="93" spans="1:13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</row>
  </sheetData>
  <mergeCells count="53">
    <mergeCell ref="I53:J53"/>
    <mergeCell ref="I50:J50"/>
    <mergeCell ref="I31:J31"/>
    <mergeCell ref="B32:F32"/>
    <mergeCell ref="B50:F50"/>
    <mergeCell ref="B36:F36"/>
    <mergeCell ref="I40:J40"/>
    <mergeCell ref="B41:F41"/>
    <mergeCell ref="B35:F35"/>
    <mergeCell ref="I49:J49"/>
    <mergeCell ref="I45:J45"/>
    <mergeCell ref="B46:F46"/>
    <mergeCell ref="B31:F31"/>
    <mergeCell ref="I36:J36"/>
    <mergeCell ref="I33:J33"/>
    <mergeCell ref="B45:F45"/>
    <mergeCell ref="A2:K2"/>
    <mergeCell ref="B37:F37"/>
    <mergeCell ref="I39:J39"/>
    <mergeCell ref="I52:J52"/>
    <mergeCell ref="I48:J48"/>
    <mergeCell ref="B40:F40"/>
    <mergeCell ref="B49:F49"/>
    <mergeCell ref="I44:J44"/>
    <mergeCell ref="B30:F30"/>
    <mergeCell ref="I35:J35"/>
    <mergeCell ref="A4:K4"/>
    <mergeCell ref="I51:J51"/>
    <mergeCell ref="I38:J38"/>
    <mergeCell ref="B33:F33"/>
    <mergeCell ref="A29:K29"/>
    <mergeCell ref="B51:F51"/>
    <mergeCell ref="A1:K1"/>
    <mergeCell ref="B52:F52"/>
    <mergeCell ref="B43:F43"/>
    <mergeCell ref="B39:F39"/>
    <mergeCell ref="I47:J47"/>
    <mergeCell ref="B48:F48"/>
    <mergeCell ref="I32:J32"/>
    <mergeCell ref="B42:F42"/>
    <mergeCell ref="I41:J41"/>
    <mergeCell ref="I37:J37"/>
    <mergeCell ref="B44:F44"/>
    <mergeCell ref="I43:J43"/>
    <mergeCell ref="A18:K18"/>
    <mergeCell ref="B38:F38"/>
    <mergeCell ref="B34:F34"/>
    <mergeCell ref="I42:J42"/>
    <mergeCell ref="I30:J30"/>
    <mergeCell ref="I34:J34"/>
    <mergeCell ref="B14:D14"/>
    <mergeCell ref="B47:F47"/>
    <mergeCell ref="I46:J46"/>
  </mergeCells>
  <conditionalFormatting sqref="D16:E16">
    <cfRule type="cellIs" dxfId="16" priority="6" operator="equal">
      <formula>IF(ROUND(SUM(WeightsCol),6)=1,$D$16,"~")</formula>
    </cfRule>
  </conditionalFormatting>
  <conditionalFormatting sqref="I31:J51">
    <cfRule type="cellIs" dxfId="15" priority="3" operator="equal">
      <formula>"PASS"</formula>
    </cfRule>
    <cfRule type="cellIs" dxfId="14" priority="4" operator="equal">
      <formula>"FAIL"</formula>
    </cfRule>
  </conditionalFormatting>
  <conditionalFormatting sqref="I53:J53">
    <cfRule type="cellIs" dxfId="13" priority="1" operator="equal">
      <formula>"PASS"</formula>
    </cfRule>
    <cfRule type="cellIs" dxfId="12" priority="2" operator="equal">
      <formula>"FAIL"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35"/>
  <sheetViews>
    <sheetView showGridLines="0" tabSelected="1" topLeftCell="A4" zoomScale="101" workbookViewId="0">
      <selection activeCell="L8" sqref="L8"/>
    </sheetView>
  </sheetViews>
  <sheetFormatPr defaultColWidth="8.6640625" defaultRowHeight="14.4" x14ac:dyDescent="0.3"/>
  <cols>
    <col min="1" max="1" width="13" customWidth="1"/>
    <col min="2" max="8" width="16" customWidth="1"/>
    <col min="9" max="9" width="17" customWidth="1"/>
  </cols>
  <sheetData>
    <row r="1" spans="1:9" ht="33" customHeight="1" x14ac:dyDescent="0.3">
      <c r="A1" s="200" t="s">
        <v>500</v>
      </c>
      <c r="B1" s="136"/>
      <c r="C1" s="136"/>
      <c r="D1" s="136"/>
      <c r="E1" s="136"/>
      <c r="F1" s="136"/>
      <c r="G1" s="136"/>
      <c r="H1" s="136"/>
      <c r="I1" s="136"/>
    </row>
    <row r="2" spans="1:9" x14ac:dyDescent="0.3">
      <c r="A2" s="83" t="s">
        <v>0</v>
      </c>
      <c r="B2" s="83" t="s">
        <v>1</v>
      </c>
      <c r="C2" s="83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3" t="s">
        <v>7</v>
      </c>
      <c r="I2" s="85" t="s">
        <v>8</v>
      </c>
    </row>
    <row r="3" spans="1:9" ht="27.75" customHeight="1" x14ac:dyDescent="0.3">
      <c r="A3" s="84" t="s">
        <v>9</v>
      </c>
      <c r="B3" s="84" t="s">
        <v>10</v>
      </c>
      <c r="C3" s="84" t="s">
        <v>11</v>
      </c>
      <c r="D3" s="84" t="s">
        <v>12</v>
      </c>
      <c r="E3" s="84" t="s">
        <v>13</v>
      </c>
      <c r="F3" s="84" t="s">
        <v>14</v>
      </c>
      <c r="G3" s="84" t="s">
        <v>15</v>
      </c>
      <c r="H3" s="84" t="s">
        <v>16</v>
      </c>
      <c r="I3" s="86" t="s">
        <v>17</v>
      </c>
    </row>
    <row r="4" spans="1:9" x14ac:dyDescent="0.3">
      <c r="A4" s="87">
        <f ca="1">(TODAY()-730)-WEEKDAY(TODAY()-730,2)+1</f>
        <v>45544</v>
      </c>
      <c r="B4" s="88" vm="8">
        <f ca="1">IF($A4="","",IFERROR(INDEX(Market_Data!$C$21:$C$613,MATCH($A4,Market_Data!$B$21:INDEX(Market_Data!$B$21:$B$613,COUNT(Market_Data!$B$21:$B$613)),1)),""))</f>
        <v>1472.625</v>
      </c>
      <c r="C4" s="88" vm="9">
        <f ca="1">IF($A4="","",IFERROR(INDEX(Market_Data!$F$21:$F$613,MATCH($A4,Market_Data!$E$21:INDEX(Market_Data!$E$21:$E$613,COUNT(Market_Data!$E$21:$E$613)),1)),""))</f>
        <v>1634.45</v>
      </c>
      <c r="D4" s="88" vm="10">
        <f ca="1">IF($A4="","",IFERROR(INDEX(Market_Data!$I$21:$I$613,MATCH($A4,Market_Data!$H$21:INDEX(Market_Data!$H$21:$H$613,COUNT(Market_Data!$H$21:$H$613)),1)),""))</f>
        <v>830.90920000000006</v>
      </c>
      <c r="E4" s="88" vm="11">
        <f ca="1">IF($A4="","",IFERROR(INDEX(Market_Data!$L$21:$L$613,MATCH($A4,Market_Data!$K$21:INDEX(Market_Data!$K$21:$K$613,COUNT(Market_Data!$K$21:$K$613)),1)),""))</f>
        <v>3613</v>
      </c>
      <c r="F4" s="88" vm="12">
        <f ca="1">IF($A4="","",IFERROR(INDEX(Market_Data!$O$21:$O$613,MATCH($A4,Market_Data!$N$21:INDEX(Market_Data!$N$21:$N$613,COUNT(Market_Data!$N$21:$N$613)),1)),""))</f>
        <v>1659.7</v>
      </c>
      <c r="G4" s="88" vm="13">
        <f ca="1">IF($A4="","",IFERROR(INDEX(Market_Data!$R$21:$R$613,MATCH($A4,Market_Data!$Q$21:INDEX(Market_Data!$Q$21:$Q$613,COUNT(Market_Data!$Q$21:$Q$613)),1)),""))</f>
        <v>12316.05</v>
      </c>
      <c r="H4" s="88" vm="14">
        <f ca="1">IF($A4="","",IFERROR(INDEX(Market_Data!$U$21:$U$613,MATCH($A4,Market_Data!$T$21:INDEX(Market_Data!$T$21:$T$613,COUNT(Market_Data!$T$21:$T$613)),1)),""))</f>
        <v>1806.7271000000001</v>
      </c>
      <c r="I4" s="89">
        <f ca="1">IF($A4="","",IFERROR(INDEX(Query1[Close],MATCH($A4,Query1[Date],1)),""))</f>
        <v>24936.400390625</v>
      </c>
    </row>
    <row r="5" spans="1:9" x14ac:dyDescent="0.3">
      <c r="A5" s="87">
        <f t="shared" ref="A5:A36" ca="1" si="0">IF($A4="","",IF($A4+7&lt;=TODAY(),$A4+7,""))</f>
        <v>45551</v>
      </c>
      <c r="B5" s="88" vm="15">
        <f ca="1">IF($A5="","",IFERROR(INDEX(Market_Data!$C$21:$C$613,MATCH($A5,Market_Data!$B$21:INDEX(Market_Data!$B$21:$B$613,COUNT(Market_Data!$B$21:$B$613)),1)),""))</f>
        <v>1485.925</v>
      </c>
      <c r="C5" s="88" vm="16">
        <f ca="1">IF($A5="","",IFERROR(INDEX(Market_Data!$F$21:$F$613,MATCH($A5,Market_Data!$E$21:INDEX(Market_Data!$E$21:$E$613,COUNT(Market_Data!$E$21:$E$613)),1)),""))</f>
        <v>1711.75</v>
      </c>
      <c r="D5" s="88" vm="17">
        <f ca="1">IF($A5="","",IFERROR(INDEX(Market_Data!$I$21:$I$613,MATCH($A5,Market_Data!$H$21:INDEX(Market_Data!$H$21:$H$613,COUNT(Market_Data!$H$21:$H$613)),1)),""))</f>
        <v>868.44090000000006</v>
      </c>
      <c r="E5" s="88" vm="18">
        <f ca="1">IF($A5="","",IFERROR(INDEX(Market_Data!$L$21:$L$613,MATCH($A5,Market_Data!$K$21:INDEX(Market_Data!$K$21:$K$613,COUNT(Market_Data!$K$21:$K$613)),1)),""))</f>
        <v>3793.9</v>
      </c>
      <c r="F5" s="88" vm="19">
        <f ca="1">IF($A5="","",IFERROR(INDEX(Market_Data!$O$21:$O$613,MATCH($A5,Market_Data!$N$21:INDEX(Market_Data!$N$21:$N$613,COUNT(Market_Data!$N$21:$N$613)),1)),""))</f>
        <v>1638.65</v>
      </c>
      <c r="G5" s="88" vm="20">
        <f ca="1">IF($A5="","",IFERROR(INDEX(Market_Data!$R$21:$R$613,MATCH($A5,Market_Data!$Q$21:INDEX(Market_Data!$Q$21:$Q$613,COUNT(Market_Data!$Q$21:$Q$613)),1)),""))</f>
        <v>12614.5</v>
      </c>
      <c r="H5" s="88" vm="21">
        <f ca="1">IF($A5="","",IFERROR(INDEX(Market_Data!$U$21:$U$613,MATCH($A5,Market_Data!$T$21:INDEX(Market_Data!$T$21:$T$613,COUNT(Market_Data!$T$21:$T$613)),1)),""))</f>
        <v>1754.1538</v>
      </c>
      <c r="I5" s="89">
        <f ca="1">IF($A5="","",IFERROR(INDEX(Query1[Close],MATCH($A5,Query1[Date],1)),""))</f>
        <v>25383.75</v>
      </c>
    </row>
    <row r="6" spans="1:9" x14ac:dyDescent="0.3">
      <c r="A6" s="87">
        <f t="shared" ca="1" si="0"/>
        <v>45558</v>
      </c>
      <c r="B6" s="88" vm="22">
        <f ca="1">IF($A6="","",IFERROR(INDEX(Market_Data!$C$21:$C$613,MATCH($A6,Market_Data!$B$21:INDEX(Market_Data!$B$21:$B$613,COUNT(Market_Data!$B$21:$B$613)),1)),""))</f>
        <v>1526.175</v>
      </c>
      <c r="C6" s="88" vm="23">
        <f ca="1">IF($A6="","",IFERROR(INDEX(Market_Data!$F$21:$F$613,MATCH($A6,Market_Data!$E$21:INDEX(Market_Data!$E$21:$E$613,COUNT(Market_Data!$E$21:$E$613)),1)),""))</f>
        <v>1734.6</v>
      </c>
      <c r="D6" s="88" vm="24">
        <f ca="1">IF($A6="","",IFERROR(INDEX(Market_Data!$I$21:$I$613,MATCH($A6,Market_Data!$H$21:INDEX(Market_Data!$H$21:$H$613,COUNT(Market_Data!$H$21:$H$613)),1)),""))</f>
        <v>874.15170000000001</v>
      </c>
      <c r="E6" s="88" vm="25">
        <f ca="1">IF($A6="","",IFERROR(INDEX(Market_Data!$L$21:$L$613,MATCH($A6,Market_Data!$K$21:INDEX(Market_Data!$K$21:$K$613,COUNT(Market_Data!$K$21:$K$613)),1)),""))</f>
        <v>3705.65</v>
      </c>
      <c r="F6" s="88" vm="26">
        <f ca="1">IF($A6="","",IFERROR(INDEX(Market_Data!$O$21:$O$613,MATCH($A6,Market_Data!$N$21:INDEX(Market_Data!$N$21:$N$613,COUNT(Market_Data!$N$21:$N$613)),1)),""))</f>
        <v>1672.5</v>
      </c>
      <c r="G6" s="88" vm="27">
        <f ca="1">IF($A6="","",IFERROR(INDEX(Market_Data!$R$21:$R$613,MATCH($A6,Market_Data!$Q$21:INDEX(Market_Data!$Q$21:$Q$613,COUNT(Market_Data!$Q$21:$Q$613)),1)),""))</f>
        <v>13495.6</v>
      </c>
      <c r="H6" s="88" vm="28">
        <f ca="1">IF($A6="","",IFERROR(INDEX(Market_Data!$U$21:$U$613,MATCH($A6,Market_Data!$T$21:INDEX(Market_Data!$T$21:$T$613,COUNT(Market_Data!$T$21:$T$613)),1)),""))</f>
        <v>1802.3418999999999</v>
      </c>
      <c r="I6" s="89">
        <f ca="1">IF($A6="","",IFERROR(INDEX(Query1[Close],MATCH($A6,Query1[Date],1)),""))</f>
        <v>25939.05078125</v>
      </c>
    </row>
    <row r="7" spans="1:9" x14ac:dyDescent="0.3">
      <c r="A7" s="87">
        <f t="shared" ca="1" si="0"/>
        <v>45565</v>
      </c>
      <c r="B7" s="88" vm="29">
        <f ca="1">IF($A7="","",IFERROR(INDEX(Market_Data!$C$21:$C$613,MATCH($A7,Market_Data!$B$21:INDEX(Market_Data!$B$21:$B$613,COUNT(Market_Data!$B$21:$B$613)),1)),""))</f>
        <v>1386.5250000000001</v>
      </c>
      <c r="C7" s="88" vm="30">
        <f ca="1">IF($A7="","",IFERROR(INDEX(Market_Data!$F$21:$F$613,MATCH($A7,Market_Data!$E$21:INDEX(Market_Data!$E$21:$E$613,COUNT(Market_Data!$E$21:$E$613)),1)),""))</f>
        <v>1640.9</v>
      </c>
      <c r="D7" s="88" vm="31">
        <f ca="1">IF($A7="","",IFERROR(INDEX(Market_Data!$I$21:$I$613,MATCH($A7,Market_Data!$H$21:INDEX(Market_Data!$H$21:$H$613,COUNT(Market_Data!$H$21:$H$613)),1)),""))</f>
        <v>826.76949999999999</v>
      </c>
      <c r="E7" s="88" vm="32">
        <f ca="1">IF($A7="","",IFERROR(INDEX(Market_Data!$L$21:$L$613,MATCH($A7,Market_Data!$K$21:INDEX(Market_Data!$K$21:$K$613,COUNT(Market_Data!$K$21:$K$613)),1)),""))</f>
        <v>3493.95</v>
      </c>
      <c r="F7" s="88" vm="33">
        <f ca="1">IF($A7="","",IFERROR(INDEX(Market_Data!$O$21:$O$613,MATCH($A7,Market_Data!$N$21:INDEX(Market_Data!$N$21:$N$613,COUNT(Market_Data!$N$21:$N$613)),1)),""))</f>
        <v>1623.3</v>
      </c>
      <c r="G7" s="88" vm="34">
        <f ca="1">IF($A7="","",IFERROR(INDEX(Market_Data!$R$21:$R$613,MATCH($A7,Market_Data!$Q$21:INDEX(Market_Data!$Q$21:$Q$613,COUNT(Market_Data!$Q$21:$Q$613)),1)),""))</f>
        <v>12605.75</v>
      </c>
      <c r="H7" s="88" vm="35">
        <f ca="1">IF($A7="","",IFERROR(INDEX(Market_Data!$U$21:$U$613,MATCH($A7,Market_Data!$T$21:INDEX(Market_Data!$T$21:$T$613,COUNT(Market_Data!$T$21:$T$613)),1)),""))</f>
        <v>1770.6484</v>
      </c>
      <c r="I7" s="89">
        <f ca="1">IF($A7="","",IFERROR(INDEX(Query1[Close],MATCH($A7,Query1[Date],1)),""))</f>
        <v>25810.849609375</v>
      </c>
    </row>
    <row r="8" spans="1:9" x14ac:dyDescent="0.3">
      <c r="A8" s="87">
        <f t="shared" ca="1" si="0"/>
        <v>45572</v>
      </c>
      <c r="B8" s="88" vm="36">
        <f ca="1">IF($A8="","",IFERROR(INDEX(Market_Data!$C$21:$C$613,MATCH($A8,Market_Data!$B$21:INDEX(Market_Data!$B$21:$B$613,COUNT(Market_Data!$B$21:$B$613)),1)),""))</f>
        <v>1372.1</v>
      </c>
      <c r="C8" s="88" vm="37">
        <f ca="1">IF($A8="","",IFERROR(INDEX(Market_Data!$F$21:$F$613,MATCH($A8,Market_Data!$E$21:INDEX(Market_Data!$E$21:$E$613,COUNT(Market_Data!$E$21:$E$613)),1)),""))</f>
        <v>1687.4</v>
      </c>
      <c r="D8" s="88" vm="38">
        <f ca="1">IF($A8="","",IFERROR(INDEX(Market_Data!$I$21:$I$613,MATCH($A8,Market_Data!$H$21:INDEX(Market_Data!$H$21:$H$613,COUNT(Market_Data!$H$21:$H$613)),1)),""))</f>
        <v>823.45280000000002</v>
      </c>
      <c r="E8" s="88" vm="39">
        <f ca="1">IF($A8="","",IFERROR(INDEX(Market_Data!$L$21:$L$613,MATCH($A8,Market_Data!$K$21:INDEX(Market_Data!$K$21:$K$613,COUNT(Market_Data!$K$21:$K$613)),1)),""))</f>
        <v>3482.55</v>
      </c>
      <c r="F8" s="88" vm="40">
        <f ca="1">IF($A8="","",IFERROR(INDEX(Market_Data!$O$21:$O$613,MATCH($A8,Market_Data!$N$21:INDEX(Market_Data!$N$21:$N$613,COUNT(Market_Data!$N$21:$N$613)),1)),""))</f>
        <v>1595.75</v>
      </c>
      <c r="G8" s="88" vm="41">
        <f ca="1">IF($A8="","",IFERROR(INDEX(Market_Data!$R$21:$R$613,MATCH($A8,Market_Data!$Q$21:INDEX(Market_Data!$Q$21:$Q$613,COUNT(Market_Data!$Q$21:$Q$613)),1)),""))</f>
        <v>12776.65</v>
      </c>
      <c r="H8" s="88" vm="42">
        <f ca="1">IF($A8="","",IFERROR(INDEX(Market_Data!$U$21:$U$613,MATCH($A8,Market_Data!$T$21:INDEX(Market_Data!$T$21:$T$613,COUNT(Market_Data!$T$21:$T$613)),1)),""))</f>
        <v>1833.4872</v>
      </c>
      <c r="I8" s="89">
        <f ca="1">IF($A8="","",IFERROR(INDEX(Query1[Close],MATCH($A8,Query1[Date],1)),""))</f>
        <v>24795.75</v>
      </c>
    </row>
    <row r="9" spans="1:9" x14ac:dyDescent="0.3">
      <c r="A9" s="87">
        <f t="shared" ca="1" si="0"/>
        <v>45579</v>
      </c>
      <c r="B9" s="88" vm="43">
        <f ca="1">IF($A9="","",IFERROR(INDEX(Market_Data!$C$21:$C$613,MATCH($A9,Market_Data!$B$21:INDEX(Market_Data!$B$21:$B$613,COUNT(Market_Data!$B$21:$B$613)),1)),""))</f>
        <v>1359.3</v>
      </c>
      <c r="C9" s="88" vm="44">
        <f ca="1">IF($A9="","",IFERROR(INDEX(Market_Data!$F$21:$F$613,MATCH($A9,Market_Data!$E$21:INDEX(Market_Data!$E$21:$E$613,COUNT(Market_Data!$E$21:$E$613)),1)),""))</f>
        <v>1707.85</v>
      </c>
      <c r="D9" s="88" vm="45">
        <f ca="1">IF($A9="","",IFERROR(INDEX(Market_Data!$I$21:$I$613,MATCH($A9,Market_Data!$H$21:INDEX(Market_Data!$H$21:$H$613,COUNT(Market_Data!$H$21:$H$613)),1)),""))</f>
        <v>838.83950000000004</v>
      </c>
      <c r="E9" s="88" vm="46">
        <f ca="1">IF($A9="","",IFERROR(INDEX(Market_Data!$L$21:$L$613,MATCH($A9,Market_Data!$K$21:INDEX(Market_Data!$K$21:$K$613,COUNT(Market_Data!$K$21:$K$613)),1)),""))</f>
        <v>3577.8</v>
      </c>
      <c r="F9" s="88" vm="47">
        <f ca="1">IF($A9="","",IFERROR(INDEX(Market_Data!$O$21:$O$613,MATCH($A9,Market_Data!$N$21:INDEX(Market_Data!$N$21:$N$613,COUNT(Market_Data!$N$21:$N$613)),1)),""))</f>
        <v>1551.7</v>
      </c>
      <c r="G9" s="88" vm="48">
        <f ca="1">IF($A9="","",IFERROR(INDEX(Market_Data!$R$21:$R$613,MATCH($A9,Market_Data!$Q$21:INDEX(Market_Data!$Q$21:$Q$613,COUNT(Market_Data!$Q$21:$Q$613)),1)),""))</f>
        <v>12105.1</v>
      </c>
      <c r="H9" s="88" vm="49">
        <f ca="1">IF($A9="","",IFERROR(INDEX(Market_Data!$U$21:$U$613,MATCH($A9,Market_Data!$T$21:INDEX(Market_Data!$T$21:$T$613,COUNT(Market_Data!$T$21:$T$613)),1)),""))</f>
        <v>1851.4766999999999</v>
      </c>
      <c r="I9" s="89">
        <f ca="1">IF($A9="","",IFERROR(INDEX(Query1[Close],MATCH($A9,Query1[Date],1)),""))</f>
        <v>25127.94921875</v>
      </c>
    </row>
    <row r="10" spans="1:9" x14ac:dyDescent="0.3">
      <c r="A10" s="87">
        <f t="shared" ca="1" si="0"/>
        <v>45586</v>
      </c>
      <c r="B10" s="88" vm="50">
        <f ca="1">IF($A10="","",IFERROR(INDEX(Market_Data!$C$21:$C$613,MATCH($A10,Market_Data!$B$21:INDEX(Market_Data!$B$21:$B$613,COUNT(Market_Data!$B$21:$B$613)),1)),""))</f>
        <v>1327.85</v>
      </c>
      <c r="C10" s="88" vm="51">
        <f ca="1">IF($A10="","",IFERROR(INDEX(Market_Data!$F$21:$F$613,MATCH($A10,Market_Data!$E$21:INDEX(Market_Data!$E$21:$E$613,COUNT(Market_Data!$E$21:$E$613)),1)),""))</f>
        <v>1666</v>
      </c>
      <c r="D10" s="88" vm="52">
        <f ca="1">IF($A10="","",IFERROR(INDEX(Market_Data!$I$21:$I$613,MATCH($A10,Market_Data!$H$21:INDEX(Market_Data!$H$21:$H$613,COUNT(Market_Data!$H$21:$H$613)),1)),""))</f>
        <v>869.53819999999996</v>
      </c>
      <c r="E10" s="88" vm="53">
        <f ca="1">IF($A10="","",IFERROR(INDEX(Market_Data!$L$21:$L$613,MATCH($A10,Market_Data!$K$21:INDEX(Market_Data!$K$21:$K$613,COUNT(Market_Data!$K$21:$K$613)),1)),""))</f>
        <v>3326.4</v>
      </c>
      <c r="F10" s="88" vm="54">
        <f ca="1">IF($A10="","",IFERROR(INDEX(Market_Data!$O$21:$O$613,MATCH($A10,Market_Data!$N$21:INDEX(Market_Data!$N$21:$N$613,COUNT(Market_Data!$N$21:$N$613)),1)),""))</f>
        <v>1488.9</v>
      </c>
      <c r="G10" s="88" vm="55">
        <f ca="1">IF($A10="","",IFERROR(INDEX(Market_Data!$R$21:$R$613,MATCH($A10,Market_Data!$Q$21:INDEX(Market_Data!$Q$21:$Q$613,COUNT(Market_Data!$Q$21:$Q$613)),1)),""))</f>
        <v>11502.85</v>
      </c>
      <c r="H10" s="88" vm="56">
        <f ca="1">IF($A10="","",IFERROR(INDEX(Market_Data!$U$21:$U$613,MATCH($A10,Market_Data!$T$21:INDEX(Market_Data!$T$21:$T$613,COUNT(Market_Data!$T$21:$T$613)),1)),""))</f>
        <v>1846.1446000000001</v>
      </c>
      <c r="I10" s="89">
        <f ca="1">IF($A10="","",IFERROR(INDEX(Query1[Close],MATCH($A10,Query1[Date],1)),""))</f>
        <v>24781.099609375</v>
      </c>
    </row>
    <row r="11" spans="1:9" x14ac:dyDescent="0.3">
      <c r="A11" s="87">
        <f t="shared" ca="1" si="0"/>
        <v>45593</v>
      </c>
      <c r="B11" s="88" vm="57">
        <f ca="1">IF($A11="","",IFERROR(INDEX(Market_Data!$C$21:$C$613,MATCH($A11,Market_Data!$B$21:INDEX(Market_Data!$B$21:$B$613,COUNT(Market_Data!$B$21:$B$613)),1)),""))</f>
        <v>1338.65</v>
      </c>
      <c r="C11" s="88" vm="58">
        <f ca="1">IF($A11="","",IFERROR(INDEX(Market_Data!$F$21:$F$613,MATCH($A11,Market_Data!$E$21:INDEX(Market_Data!$E$21:$E$613,COUNT(Market_Data!$E$21:$E$613)),1)),""))</f>
        <v>1616.45</v>
      </c>
      <c r="D11" s="88" vm="59">
        <f ca="1">IF($A11="","",IFERROR(INDEX(Market_Data!$I$21:$I$613,MATCH($A11,Market_Data!$H$21:INDEX(Market_Data!$H$21:$H$613,COUNT(Market_Data!$H$21:$H$613)),1)),""))</f>
        <v>866.49570000000006</v>
      </c>
      <c r="E11" s="88" vm="60">
        <f ca="1">IF($A11="","",IFERROR(INDEX(Market_Data!$L$21:$L$613,MATCH($A11,Market_Data!$K$21:INDEX(Market_Data!$K$21:$K$613,COUNT(Market_Data!$K$21:$K$613)),1)),""))</f>
        <v>3626.35</v>
      </c>
      <c r="F11" s="88" vm="61">
        <f ca="1">IF($A11="","",IFERROR(INDEX(Market_Data!$O$21:$O$613,MATCH($A11,Market_Data!$N$21:INDEX(Market_Data!$N$21:$N$613,COUNT(Market_Data!$N$21:$N$613)),1)),""))</f>
        <v>1559.55</v>
      </c>
      <c r="G11" s="88" vm="62">
        <f ca="1">IF($A11="","",IFERROR(INDEX(Market_Data!$R$21:$R$613,MATCH($A11,Market_Data!$Q$21:INDEX(Market_Data!$Q$21:$Q$613,COUNT(Market_Data!$Q$21:$Q$613)),1)),""))</f>
        <v>11110</v>
      </c>
      <c r="H11" s="88" vm="63">
        <f ca="1">IF($A11="","",IFERROR(INDEX(Market_Data!$U$21:$U$613,MATCH($A11,Market_Data!$T$21:INDEX(Market_Data!$T$21:$T$613,COUNT(Market_Data!$T$21:$T$613)),1)),""))</f>
        <v>1751.5127</v>
      </c>
      <c r="I11" s="89">
        <f ca="1">IF($A11="","",IFERROR(INDEX(Query1[Close],MATCH($A11,Query1[Date],1)),""))</f>
        <v>24339.150390625</v>
      </c>
    </row>
    <row r="12" spans="1:9" x14ac:dyDescent="0.3">
      <c r="A12" s="87">
        <f t="shared" ca="1" si="0"/>
        <v>45600</v>
      </c>
      <c r="B12" s="88" vm="64">
        <f ca="1">IF($A12="","",IFERROR(INDEX(Market_Data!$C$21:$C$613,MATCH($A12,Market_Data!$B$21:INDEX(Market_Data!$B$21:$B$613,COUNT(Market_Data!$B$21:$B$613)),1)),""))</f>
        <v>1283.75</v>
      </c>
      <c r="C12" s="88" vm="65">
        <f ca="1">IF($A12="","",IFERROR(INDEX(Market_Data!$F$21:$F$613,MATCH($A12,Market_Data!$E$21:INDEX(Market_Data!$E$21:$E$613,COUNT(Market_Data!$E$21:$E$613)),1)),""))</f>
        <v>1569.9</v>
      </c>
      <c r="D12" s="88" vm="66">
        <f ca="1">IF($A12="","",IFERROR(INDEX(Market_Data!$I$21:$I$613,MATCH($A12,Market_Data!$H$21:INDEX(Market_Data!$H$21:$H$613,COUNT(Market_Data!$H$21:$H$613)),1)),""))</f>
        <v>875.04949999999997</v>
      </c>
      <c r="E12" s="88" vm="67">
        <f ca="1">IF($A12="","",IFERROR(INDEX(Market_Data!$L$21:$L$613,MATCH($A12,Market_Data!$K$21:INDEX(Market_Data!$K$21:$K$613,COUNT(Market_Data!$K$21:$K$613)),1)),""))</f>
        <v>3660.3</v>
      </c>
      <c r="F12" s="88" vm="68">
        <f ca="1">IF($A12="","",IFERROR(INDEX(Market_Data!$O$21:$O$613,MATCH($A12,Market_Data!$N$21:INDEX(Market_Data!$N$21:$N$613,COUNT(Market_Data!$N$21:$N$613)),1)),""))</f>
        <v>1592.6</v>
      </c>
      <c r="G12" s="88" vm="69">
        <f ca="1">IF($A12="","",IFERROR(INDEX(Market_Data!$R$21:$R$613,MATCH($A12,Market_Data!$Q$21:INDEX(Market_Data!$Q$21:$Q$613,COUNT(Market_Data!$Q$21:$Q$613)),1)),""))</f>
        <v>11303</v>
      </c>
      <c r="H12" s="88" vm="70">
        <f ca="1">IF($A12="","",IFERROR(INDEX(Market_Data!$U$21:$U$613,MATCH($A12,Market_Data!$T$21:INDEX(Market_Data!$T$21:$T$613,COUNT(Market_Data!$T$21:$T$613)),1)),""))</f>
        <v>1831.3444</v>
      </c>
      <c r="I12" s="89">
        <f ca="1">IF($A12="","",IFERROR(INDEX(Query1[Close],MATCH($A12,Query1[Date],1)),""))</f>
        <v>23995.349609375</v>
      </c>
    </row>
    <row r="13" spans="1:9" x14ac:dyDescent="0.3">
      <c r="A13" s="87">
        <f t="shared" ca="1" si="0"/>
        <v>45607</v>
      </c>
      <c r="B13" s="88" vm="71">
        <f ca="1">IF($A13="","",IFERROR(INDEX(Market_Data!$C$21:$C$613,MATCH($A13,Market_Data!$B$21:INDEX(Market_Data!$B$21:$B$613,COUNT(Market_Data!$B$21:$B$613)),1)),""))</f>
        <v>1267.5999999999999</v>
      </c>
      <c r="C13" s="88" vm="72">
        <f ca="1">IF($A13="","",IFERROR(INDEX(Market_Data!$F$21:$F$613,MATCH($A13,Market_Data!$E$21:INDEX(Market_Data!$E$21:$E$613,COUNT(Market_Data!$E$21:$E$613)),1)),""))</f>
        <v>1550.5</v>
      </c>
      <c r="D13" s="88" vm="73">
        <f ca="1">IF($A13="","",IFERROR(INDEX(Market_Data!$I$21:$I$613,MATCH($A13,Market_Data!$H$21:INDEX(Market_Data!$H$21:$H$613,COUNT(Market_Data!$H$21:$H$613)),1)),""))</f>
        <v>844.27599999999995</v>
      </c>
      <c r="E13" s="88" vm="74">
        <f ca="1">IF($A13="","",IFERROR(INDEX(Market_Data!$L$21:$L$613,MATCH($A13,Market_Data!$K$21:INDEX(Market_Data!$K$21:$K$613,COUNT(Market_Data!$K$21:$K$613)),1)),""))</f>
        <v>3526.25</v>
      </c>
      <c r="F13" s="88" vm="75">
        <f ca="1">IF($A13="","",IFERROR(INDEX(Market_Data!$O$21:$O$613,MATCH($A13,Market_Data!$N$21:INDEX(Market_Data!$N$21:$N$613,COUNT(Market_Data!$N$21:$N$613)),1)),""))</f>
        <v>1499.75</v>
      </c>
      <c r="G13" s="88" vm="76">
        <f ca="1">IF($A13="","",IFERROR(INDEX(Market_Data!$R$21:$R$613,MATCH($A13,Market_Data!$Q$21:INDEX(Market_Data!$Q$21:$Q$613,COUNT(Market_Data!$Q$21:$Q$613)),1)),""))</f>
        <v>11006.05</v>
      </c>
      <c r="H13" s="88" vm="77">
        <f ca="1">IF($A13="","",IFERROR(INDEX(Market_Data!$U$21:$U$613,MATCH($A13,Market_Data!$T$21:INDEX(Market_Data!$T$21:$T$613,COUNT(Market_Data!$T$21:$T$613)),1)),""))</f>
        <v>1852.7225000000001</v>
      </c>
      <c r="I13" s="89">
        <f ca="1">IF($A13="","",IFERROR(INDEX(Query1[Close],MATCH($A13,Query1[Date],1)),""))</f>
        <v>24141.30078125</v>
      </c>
    </row>
    <row r="14" spans="1:9" x14ac:dyDescent="0.3">
      <c r="A14" s="87">
        <f t="shared" ca="1" si="0"/>
        <v>45614</v>
      </c>
      <c r="B14" s="88" vm="78">
        <f ca="1">IF($A14="","",IFERROR(INDEX(Market_Data!$C$21:$C$613,MATCH($A14,Market_Data!$B$21:INDEX(Market_Data!$B$21:$B$613,COUNT(Market_Data!$B$21:$B$613)),1)),""))</f>
        <v>1265.4000000000001</v>
      </c>
      <c r="C14" s="88" vm="79">
        <f ca="1">IF($A14="","",IFERROR(INDEX(Market_Data!$F$21:$F$613,MATCH($A14,Market_Data!$E$21:INDEX(Market_Data!$E$21:$E$613,COUNT(Market_Data!$E$21:$E$613)),1)),""))</f>
        <v>1569.3</v>
      </c>
      <c r="D14" s="88" vm="80">
        <f ca="1">IF($A14="","",IFERROR(INDEX(Market_Data!$I$21:$I$613,MATCH($A14,Market_Data!$H$21:INDEX(Market_Data!$H$21:$H$613,COUNT(Market_Data!$H$21:$H$613)),1)),""))</f>
        <v>870.63549999999998</v>
      </c>
      <c r="E14" s="88" vm="81">
        <f ca="1">IF($A14="","",IFERROR(INDEX(Market_Data!$L$21:$L$613,MATCH($A14,Market_Data!$K$21:INDEX(Market_Data!$K$21:$K$613,COUNT(Market_Data!$K$21:$K$613)),1)),""))</f>
        <v>3603.5</v>
      </c>
      <c r="F14" s="88" vm="82">
        <f ca="1">IF($A14="","",IFERROR(INDEX(Market_Data!$O$21:$O$613,MATCH($A14,Market_Data!$N$21:INDEX(Market_Data!$N$21:$N$613,COUNT(Market_Data!$N$21:$N$613)),1)),""))</f>
        <v>1486.5</v>
      </c>
      <c r="G14" s="88" vm="83">
        <f ca="1">IF($A14="","",IFERROR(INDEX(Market_Data!$R$21:$R$613,MATCH($A14,Market_Data!$Q$21:INDEX(Market_Data!$Q$21:$Q$613,COUNT(Market_Data!$Q$21:$Q$613)),1)),""))</f>
        <v>11063.6</v>
      </c>
      <c r="H14" s="88" vm="84">
        <f ca="1">IF($A14="","",IFERROR(INDEX(Market_Data!$U$21:$U$613,MATCH($A14,Market_Data!$T$21:INDEX(Market_Data!$T$21:$T$613,COUNT(Market_Data!$T$21:$T$613)),1)),""))</f>
        <v>1892.0404000000001</v>
      </c>
      <c r="I14" s="89">
        <f ca="1">IF($A14="","",IFERROR(INDEX(Query1[Close],MATCH($A14,Query1[Date],1)),""))</f>
        <v>23453.80078125</v>
      </c>
    </row>
    <row r="15" spans="1:9" x14ac:dyDescent="0.3">
      <c r="A15" s="87">
        <f t="shared" ca="1" si="0"/>
        <v>45621</v>
      </c>
      <c r="B15" s="88" vm="85">
        <f ca="1">IF($A15="","",IFERROR(INDEX(Market_Data!$C$21:$C$613,MATCH($A15,Market_Data!$B$21:INDEX(Market_Data!$B$21:$B$613,COUNT(Market_Data!$B$21:$B$613)),1)),""))</f>
        <v>1292.2</v>
      </c>
      <c r="C15" s="88" vm="86">
        <f ca="1">IF($A15="","",IFERROR(INDEX(Market_Data!$F$21:$F$613,MATCH($A15,Market_Data!$E$21:INDEX(Market_Data!$E$21:$E$613,COUNT(Market_Data!$E$21:$E$613)),1)),""))</f>
        <v>1627.15</v>
      </c>
      <c r="D15" s="88" vm="87">
        <f ca="1">IF($A15="","",IFERROR(INDEX(Market_Data!$I$21:$I$613,MATCH($A15,Market_Data!$H$21:INDEX(Market_Data!$H$21:$H$613,COUNT(Market_Data!$H$21:$H$613)),1)),""))</f>
        <v>895.79790000000003</v>
      </c>
      <c r="E15" s="88" vm="88">
        <f ca="1">IF($A15="","",IFERROR(INDEX(Market_Data!$L$21:$L$613,MATCH($A15,Market_Data!$K$21:INDEX(Market_Data!$K$21:$K$613,COUNT(Market_Data!$K$21:$K$613)),1)),""))</f>
        <v>3724.8</v>
      </c>
      <c r="F15" s="88" vm="89">
        <f ca="1">IF($A15="","",IFERROR(INDEX(Market_Data!$O$21:$O$613,MATCH($A15,Market_Data!$N$21:INDEX(Market_Data!$N$21:$N$613,COUNT(Market_Data!$N$21:$N$613)),1)),""))</f>
        <v>1533.9</v>
      </c>
      <c r="G15" s="88" vm="90">
        <f ca="1">IF($A15="","",IFERROR(INDEX(Market_Data!$R$21:$R$613,MATCH($A15,Market_Data!$Q$21:INDEX(Market_Data!$Q$21:$Q$613,COUNT(Market_Data!$Q$21:$Q$613)),1)),""))</f>
        <v>11074.2</v>
      </c>
      <c r="H15" s="88" vm="91">
        <f ca="1">IF($A15="","",IFERROR(INDEX(Market_Data!$U$21:$U$613,MATCH($A15,Market_Data!$T$21:INDEX(Market_Data!$T$21:$T$613,COUNT(Market_Data!$T$21:$T$613)),1)),""))</f>
        <v>1841.8589999999999</v>
      </c>
      <c r="I15" s="89">
        <f ca="1">IF($A15="","",IFERROR(INDEX(Query1[Close],MATCH($A15,Query1[Date],1)),""))</f>
        <v>24221.900390625</v>
      </c>
    </row>
    <row r="16" spans="1:9" x14ac:dyDescent="0.3">
      <c r="A16" s="87">
        <f t="shared" ca="1" si="0"/>
        <v>45628</v>
      </c>
      <c r="B16" s="88" vm="92">
        <f ca="1">IF($A16="","",IFERROR(INDEX(Market_Data!$C$21:$C$613,MATCH($A16,Market_Data!$B$21:INDEX(Market_Data!$B$21:$B$613,COUNT(Market_Data!$B$21:$B$613)),1)),""))</f>
        <v>1311.55</v>
      </c>
      <c r="C16" s="88" vm="93">
        <f ca="1">IF($A16="","",IFERROR(INDEX(Market_Data!$F$21:$F$613,MATCH($A16,Market_Data!$E$21:INDEX(Market_Data!$E$21:$E$613,COUNT(Market_Data!$E$21:$E$613)),1)),""))</f>
        <v>1597.85</v>
      </c>
      <c r="D16" s="88" vm="94">
        <f ca="1">IF($A16="","",IFERROR(INDEX(Market_Data!$I$21:$I$613,MATCH($A16,Market_Data!$H$21:INDEX(Market_Data!$H$21:$H$613,COUNT(Market_Data!$H$21:$H$613)),1)),""))</f>
        <v>925.62369999999999</v>
      </c>
      <c r="E16" s="88" vm="95">
        <f ca="1">IF($A16="","",IFERROR(INDEX(Market_Data!$L$21:$L$613,MATCH($A16,Market_Data!$K$21:INDEX(Market_Data!$K$21:$K$613,COUNT(Market_Data!$K$21:$K$613)),1)),""))</f>
        <v>3866.7</v>
      </c>
      <c r="F16" s="88" vm="96">
        <f ca="1">IF($A16="","",IFERROR(INDEX(Market_Data!$O$21:$O$613,MATCH($A16,Market_Data!$N$21:INDEX(Market_Data!$N$21:$N$613,COUNT(Market_Data!$N$21:$N$613)),1)),""))</f>
        <v>1477.4</v>
      </c>
      <c r="G16" s="88" vm="97">
        <f ca="1">IF($A16="","",IFERROR(INDEX(Market_Data!$R$21:$R$613,MATCH($A16,Market_Data!$Q$21:INDEX(Market_Data!$Q$21:$Q$613,COUNT(Market_Data!$Q$21:$Q$613)),1)),""))</f>
        <v>11317.95</v>
      </c>
      <c r="H16" s="88" vm="98">
        <f ca="1">IF($A16="","",IFERROR(INDEX(Market_Data!$U$21:$U$613,MATCH($A16,Market_Data!$T$21:INDEX(Market_Data!$T$21:$T$613,COUNT(Market_Data!$T$21:$T$613)),1)),""))</f>
        <v>1916.259</v>
      </c>
      <c r="I16" s="89">
        <f ca="1">IF($A16="","",IFERROR(INDEX(Query1[Close],MATCH($A16,Query1[Date],1)),""))</f>
        <v>24276.05078125</v>
      </c>
    </row>
    <row r="17" spans="1:9" x14ac:dyDescent="0.3">
      <c r="A17" s="87">
        <f t="shared" ca="1" si="0"/>
        <v>45635</v>
      </c>
      <c r="B17" s="88" vm="99">
        <f ca="1">IF($A17="","",IFERROR(INDEX(Market_Data!$C$21:$C$613,MATCH($A17,Market_Data!$B$21:INDEX(Market_Data!$B$21:$B$613,COUNT(Market_Data!$B$21:$B$613)),1)),""))</f>
        <v>1272.8499999999999</v>
      </c>
      <c r="C17" s="88" vm="100">
        <f ca="1">IF($A17="","",IFERROR(INDEX(Market_Data!$F$21:$F$613,MATCH($A17,Market_Data!$E$21:INDEX(Market_Data!$E$21:$E$613,COUNT(Market_Data!$E$21:$E$613)),1)),""))</f>
        <v>1681.75</v>
      </c>
      <c r="D17" s="88" vm="101">
        <f ca="1">IF($A17="","",IFERROR(INDEX(Market_Data!$I$21:$I$613,MATCH($A17,Market_Data!$H$21:INDEX(Market_Data!$H$21:$H$613,COUNT(Market_Data!$H$21:$H$613)),1)),""))</f>
        <v>933.55399999999997</v>
      </c>
      <c r="E17" s="88" vm="102">
        <f ca="1">IF($A17="","",IFERROR(INDEX(Market_Data!$L$21:$L$613,MATCH($A17,Market_Data!$K$21:INDEX(Market_Data!$K$21:$K$613,COUNT(Market_Data!$K$21:$K$613)),1)),""))</f>
        <v>3887</v>
      </c>
      <c r="F17" s="88" vm="103">
        <f ca="1">IF($A17="","",IFERROR(INDEX(Market_Data!$O$21:$O$613,MATCH($A17,Market_Data!$N$21:INDEX(Market_Data!$N$21:$N$613,COUNT(Market_Data!$N$21:$N$613)),1)),""))</f>
        <v>1447.3</v>
      </c>
      <c r="G17" s="88" vm="104">
        <f ca="1">IF($A17="","",IFERROR(INDEX(Market_Data!$R$21:$R$613,MATCH($A17,Market_Data!$Q$21:INDEX(Market_Data!$Q$21:$Q$613,COUNT(Market_Data!$Q$21:$Q$613)),1)),""))</f>
        <v>11272.55</v>
      </c>
      <c r="H17" s="88" vm="105">
        <f ca="1">IF($A17="","",IFERROR(INDEX(Market_Data!$U$21:$U$613,MATCH($A17,Market_Data!$T$21:INDEX(Market_Data!$T$21:$T$613,COUNT(Market_Data!$T$21:$T$613)),1)),""))</f>
        <v>1962.2045000000001</v>
      </c>
      <c r="I17" s="89">
        <f ca="1">IF($A17="","",IFERROR(INDEX(Query1[Close],MATCH($A17,Query1[Date],1)),""))</f>
        <v>24619</v>
      </c>
    </row>
    <row r="18" spans="1:9" x14ac:dyDescent="0.3">
      <c r="A18" s="87">
        <f t="shared" ca="1" si="0"/>
        <v>45642</v>
      </c>
      <c r="B18" s="88" vm="106">
        <f ca="1">IF($A18="","",IFERROR(INDEX(Market_Data!$C$21:$C$613,MATCH($A18,Market_Data!$B$21:INDEX(Market_Data!$B$21:$B$613,COUNT(Market_Data!$B$21:$B$613)),1)),""))</f>
        <v>1205.3</v>
      </c>
      <c r="C18" s="88" vm="107">
        <f ca="1">IF($A18="","",IFERROR(INDEX(Market_Data!$F$21:$F$613,MATCH($A18,Market_Data!$E$21:INDEX(Market_Data!$E$21:$E$613,COUNT(Market_Data!$E$21:$E$613)),1)),""))</f>
        <v>1578.1</v>
      </c>
      <c r="D18" s="88" vm="108">
        <f ca="1">IF($A18="","",IFERROR(INDEX(Market_Data!$I$21:$I$613,MATCH($A18,Market_Data!$H$21:INDEX(Market_Data!$H$21:$H$613,COUNT(Market_Data!$H$21:$H$613)),1)),""))</f>
        <v>883.55330000000004</v>
      </c>
      <c r="E18" s="88" vm="109">
        <f ca="1">IF($A18="","",IFERROR(INDEX(Market_Data!$L$21:$L$613,MATCH($A18,Market_Data!$K$21:INDEX(Market_Data!$K$21:$K$613,COUNT(Market_Data!$K$21:$K$613)),1)),""))</f>
        <v>3629.85</v>
      </c>
      <c r="F18" s="88" vm="110">
        <f ca="1">IF($A18="","",IFERROR(INDEX(Market_Data!$O$21:$O$613,MATCH($A18,Market_Data!$N$21:INDEX(Market_Data!$N$21:$N$613,COUNT(Market_Data!$N$21:$N$613)),1)),""))</f>
        <v>1472.05</v>
      </c>
      <c r="G18" s="88" vm="111">
        <f ca="1">IF($A18="","",IFERROR(INDEX(Market_Data!$R$21:$R$613,MATCH($A18,Market_Data!$Q$21:INDEX(Market_Data!$Q$21:$Q$613,COUNT(Market_Data!$Q$21:$Q$613)),1)),""))</f>
        <v>10901.05</v>
      </c>
      <c r="H18" s="88" vm="112">
        <f ca="1">IF($A18="","",IFERROR(INDEX(Market_Data!$U$21:$U$613,MATCH($A18,Market_Data!$T$21:INDEX(Market_Data!$T$21:$T$613,COUNT(Market_Data!$T$21:$T$613)),1)),""))</f>
        <v>1904.9469999999999</v>
      </c>
      <c r="I18" s="89">
        <f ca="1">IF($A18="","",IFERROR(INDEX(Query1[Close],MATCH($A18,Query1[Date],1)),""))</f>
        <v>24668.25</v>
      </c>
    </row>
    <row r="19" spans="1:9" x14ac:dyDescent="0.3">
      <c r="A19" s="87">
        <f t="shared" ca="1" si="0"/>
        <v>45649</v>
      </c>
      <c r="B19" s="88" vm="113">
        <f ca="1">IF($A19="","",IFERROR(INDEX(Market_Data!$C$21:$C$613,MATCH($A19,Market_Data!$B$21:INDEX(Market_Data!$B$21:$B$613,COUNT(Market_Data!$B$21:$B$613)),1)),""))</f>
        <v>1221.05</v>
      </c>
      <c r="C19" s="88" vm="114">
        <f ca="1">IF($A19="","",IFERROR(INDEX(Market_Data!$F$21:$F$613,MATCH($A19,Market_Data!$E$21:INDEX(Market_Data!$E$21:$E$613,COUNT(Market_Data!$E$21:$E$613)),1)),""))</f>
        <v>1599.85</v>
      </c>
      <c r="D19" s="88" vm="115">
        <f ca="1">IF($A19="","",IFERROR(INDEX(Market_Data!$I$21:$I$613,MATCH($A19,Market_Data!$H$21:INDEX(Market_Data!$H$21:$H$613,COUNT(Market_Data!$H$21:$H$613)),1)),""))</f>
        <v>896.89520000000005</v>
      </c>
      <c r="E19" s="88" vm="116">
        <f ca="1">IF($A19="","",IFERROR(INDEX(Market_Data!$L$21:$L$613,MATCH($A19,Market_Data!$K$21:INDEX(Market_Data!$K$21:$K$613,COUNT(Market_Data!$K$21:$K$613)),1)),""))</f>
        <v>3608.1</v>
      </c>
      <c r="F19" s="88" vm="117">
        <f ca="1">IF($A19="","",IFERROR(INDEX(Market_Data!$O$21:$O$613,MATCH($A19,Market_Data!$N$21:INDEX(Market_Data!$N$21:$N$613,COUNT(Market_Data!$N$21:$N$613)),1)),""))</f>
        <v>1506.6</v>
      </c>
      <c r="G19" s="88" vm="118">
        <f ca="1">IF($A19="","",IFERROR(INDEX(Market_Data!$R$21:$R$613,MATCH($A19,Market_Data!$Q$21:INDEX(Market_Data!$Q$21:$Q$613,COUNT(Market_Data!$Q$21:$Q$613)),1)),""))</f>
        <v>10941.05</v>
      </c>
      <c r="H19" s="88" vm="119">
        <f ca="1">IF($A19="","",IFERROR(INDEX(Market_Data!$U$21:$U$613,MATCH($A19,Market_Data!$T$21:INDEX(Market_Data!$T$21:$T$613,COUNT(Market_Data!$T$21:$T$613)),1)),""))</f>
        <v>1885.6618000000001</v>
      </c>
      <c r="I19" s="89">
        <f ca="1">IF($A19="","",IFERROR(INDEX(Query1[Close],MATCH($A19,Query1[Date],1)),""))</f>
        <v>23753.44921875</v>
      </c>
    </row>
    <row r="20" spans="1:9" x14ac:dyDescent="0.3">
      <c r="A20" s="87">
        <f t="shared" ca="1" si="0"/>
        <v>45656</v>
      </c>
      <c r="B20" s="88" vm="120">
        <f ca="1">IF($A20="","",IFERROR(INDEX(Market_Data!$C$21:$C$613,MATCH($A20,Market_Data!$B$21:INDEX(Market_Data!$B$21:$B$613,COUNT(Market_Data!$B$21:$B$613)),1)),""))</f>
        <v>1251.1500000000001</v>
      </c>
      <c r="C20" s="88" vm="121">
        <f ca="1">IF($A20="","",IFERROR(INDEX(Market_Data!$F$21:$F$613,MATCH($A20,Market_Data!$E$21:INDEX(Market_Data!$E$21:$E$613,COUNT(Market_Data!$E$21:$E$613)),1)),""))</f>
        <v>1598.85</v>
      </c>
      <c r="D20" s="88" vm="122">
        <f ca="1">IF($A20="","",IFERROR(INDEX(Market_Data!$I$21:$I$613,MATCH($A20,Market_Data!$H$21:INDEX(Market_Data!$H$21:$H$613,COUNT(Market_Data!$H$21:$H$613)),1)),""))</f>
        <v>872.43100000000004</v>
      </c>
      <c r="E20" s="88" vm="123">
        <f ca="1">IF($A20="","",IFERROR(INDEX(Market_Data!$L$21:$L$613,MATCH($A20,Market_Data!$K$21:INDEX(Market_Data!$K$21:$K$613,COUNT(Market_Data!$K$21:$K$613)),1)),""))</f>
        <v>3659.9</v>
      </c>
      <c r="F20" s="88" vm="124">
        <f ca="1">IF($A20="","",IFERROR(INDEX(Market_Data!$O$21:$O$613,MATCH($A20,Market_Data!$N$21:INDEX(Market_Data!$N$21:$N$613,COUNT(Market_Data!$N$21:$N$613)),1)),""))</f>
        <v>1511.25</v>
      </c>
      <c r="G20" s="88" vm="125">
        <f ca="1">IF($A20="","",IFERROR(INDEX(Market_Data!$R$21:$R$613,MATCH($A20,Market_Data!$Q$21:INDEX(Market_Data!$Q$21:$Q$613,COUNT(Market_Data!$Q$21:$Q$613)),1)),""))</f>
        <v>11934.25</v>
      </c>
      <c r="H20" s="88" vm="126">
        <f ca="1">IF($A20="","",IFERROR(INDEX(Market_Data!$U$21:$U$613,MATCH($A20,Market_Data!$T$21:INDEX(Market_Data!$T$21:$T$613,COUNT(Market_Data!$T$21:$T$613)),1)),""))</f>
        <v>1940.1287</v>
      </c>
      <c r="I20" s="89">
        <f ca="1">IF($A20="","",IFERROR(INDEX(Query1[Close],MATCH($A20,Query1[Date],1)),""))</f>
        <v>23644.900390625</v>
      </c>
    </row>
    <row r="21" spans="1:9" x14ac:dyDescent="0.3">
      <c r="A21" s="87">
        <f t="shared" ca="1" si="0"/>
        <v>45663</v>
      </c>
      <c r="B21" s="88" vm="127">
        <f ca="1">IF($A21="","",IFERROR(INDEX(Market_Data!$C$21:$C$613,MATCH($A21,Market_Data!$B$21:INDEX(Market_Data!$B$21:$B$613,COUNT(Market_Data!$B$21:$B$613)),1)),""))</f>
        <v>1241.9000000000001</v>
      </c>
      <c r="C21" s="88" vm="128">
        <f ca="1">IF($A21="","",IFERROR(INDEX(Market_Data!$F$21:$F$613,MATCH($A21,Market_Data!$E$21:INDEX(Market_Data!$E$21:$E$613,COUNT(Market_Data!$E$21:$E$613)),1)),""))</f>
        <v>1615.9</v>
      </c>
      <c r="D21" s="88" vm="129">
        <f ca="1">IF($A21="","",IFERROR(INDEX(Market_Data!$I$21:$I$613,MATCH($A21,Market_Data!$H$21:INDEX(Market_Data!$H$21:$H$613,COUNT(Market_Data!$H$21:$H$613)),1)),""))</f>
        <v>826.32060000000001</v>
      </c>
      <c r="E21" s="88" vm="130">
        <f ca="1">IF($A21="","",IFERROR(INDEX(Market_Data!$L$21:$L$613,MATCH($A21,Market_Data!$K$21:INDEX(Market_Data!$K$21:$K$613,COUNT(Market_Data!$K$21:$K$613)),1)),""))</f>
        <v>3536.15</v>
      </c>
      <c r="F21" s="88" vm="131">
        <f ca="1">IF($A21="","",IFERROR(INDEX(Market_Data!$O$21:$O$613,MATCH($A21,Market_Data!$N$21:INDEX(Market_Data!$N$21:$N$613,COUNT(Market_Data!$N$21:$N$613)),1)),""))</f>
        <v>1468.8</v>
      </c>
      <c r="G21" s="88" vm="132">
        <f ca="1">IF($A21="","",IFERROR(INDEX(Market_Data!$R$21:$R$613,MATCH($A21,Market_Data!$Q$21:INDEX(Market_Data!$Q$21:$Q$613,COUNT(Market_Data!$Q$21:$Q$613)),1)),""))</f>
        <v>11631.1</v>
      </c>
      <c r="H21" s="88" vm="133">
        <f ca="1">IF($A21="","",IFERROR(INDEX(Market_Data!$U$21:$U$613,MATCH($A21,Market_Data!$T$21:INDEX(Market_Data!$T$21:$T$613,COUNT(Market_Data!$T$21:$T$613)),1)),""))</f>
        <v>1988.4164000000001</v>
      </c>
      <c r="I21" s="89">
        <f ca="1">IF($A21="","",IFERROR(INDEX(Query1[Close],MATCH($A21,Query1[Date],1)),""))</f>
        <v>23616.05078125</v>
      </c>
    </row>
    <row r="22" spans="1:9" x14ac:dyDescent="0.3">
      <c r="A22" s="87">
        <f t="shared" ca="1" si="0"/>
        <v>45670</v>
      </c>
      <c r="B22" s="88" vm="134">
        <f ca="1">IF($A22="","",IFERROR(INDEX(Market_Data!$C$21:$C$613,MATCH($A22,Market_Data!$B$21:INDEX(Market_Data!$B$21:$B$613,COUNT(Market_Data!$B$21:$B$613)),1)),""))</f>
        <v>1302.3499999999999</v>
      </c>
      <c r="C22" s="88" vm="135">
        <f ca="1">IF($A22="","",IFERROR(INDEX(Market_Data!$F$21:$F$613,MATCH($A22,Market_Data!$E$21:INDEX(Market_Data!$E$21:$E$613,COUNT(Market_Data!$E$21:$E$613)),1)),""))</f>
        <v>1627.5</v>
      </c>
      <c r="D22" s="88" vm="136">
        <f ca="1">IF($A22="","",IFERROR(INDEX(Market_Data!$I$21:$I$613,MATCH($A22,Market_Data!$H$21:INDEX(Market_Data!$H$21:$H$613,COUNT(Market_Data!$H$21:$H$613)),1)),""))</f>
        <v>816.34540000000004</v>
      </c>
      <c r="E22" s="88" vm="137">
        <f ca="1">IF($A22="","",IFERROR(INDEX(Market_Data!$L$21:$L$613,MATCH($A22,Market_Data!$K$21:INDEX(Market_Data!$K$21:$K$613,COUNT(Market_Data!$K$21:$K$613)),1)),""))</f>
        <v>3568.65</v>
      </c>
      <c r="F22" s="88" vm="138">
        <f ca="1">IF($A22="","",IFERROR(INDEX(Market_Data!$O$21:$O$613,MATCH($A22,Market_Data!$N$21:INDEX(Market_Data!$N$21:$N$613,COUNT(Market_Data!$N$21:$N$613)),1)),""))</f>
        <v>1442.3</v>
      </c>
      <c r="G22" s="88" vm="139">
        <f ca="1">IF($A22="","",IFERROR(INDEX(Market_Data!$R$21:$R$613,MATCH($A22,Market_Data!$Q$21:INDEX(Market_Data!$Q$21:$Q$613,COUNT(Market_Data!$Q$21:$Q$613)),1)),""))</f>
        <v>12136.35</v>
      </c>
      <c r="H22" s="88" vm="140">
        <f ca="1">IF($A22="","",IFERROR(INDEX(Market_Data!$U$21:$U$613,MATCH($A22,Market_Data!$T$21:INDEX(Market_Data!$T$21:$T$613,COUNT(Market_Data!$T$21:$T$613)),1)),""))</f>
        <v>1788.9</v>
      </c>
      <c r="I22" s="89">
        <f ca="1">IF($A22="","",IFERROR(INDEX(Query1[Close],MATCH($A22,Query1[Date],1)),""))</f>
        <v>23085.94921875</v>
      </c>
    </row>
    <row r="23" spans="1:9" x14ac:dyDescent="0.3">
      <c r="A23" s="87">
        <f t="shared" ca="1" si="0"/>
        <v>45677</v>
      </c>
      <c r="B23" s="88" vm="141">
        <f ca="1">IF($A23="","",IFERROR(INDEX(Market_Data!$C$21:$C$613,MATCH($A23,Market_Data!$B$21:INDEX(Market_Data!$B$21:$B$613,COUNT(Market_Data!$B$21:$B$613)),1)),""))</f>
        <v>1246.3</v>
      </c>
      <c r="C23" s="88" vm="142">
        <f ca="1">IF($A23="","",IFERROR(INDEX(Market_Data!$F$21:$F$613,MATCH($A23,Market_Data!$E$21:INDEX(Market_Data!$E$21:$E$613,COUNT(Market_Data!$E$21:$E$613)),1)),""))</f>
        <v>1644.8</v>
      </c>
      <c r="D23" s="88" vm="143">
        <f ca="1">IF($A23="","",IFERROR(INDEX(Market_Data!$I$21:$I$613,MATCH($A23,Market_Data!$H$21:INDEX(Market_Data!$H$21:$H$613,COUNT(Market_Data!$H$21:$H$613)),1)),""))</f>
        <v>822.85419999999999</v>
      </c>
      <c r="E23" s="88" vm="144">
        <f ca="1">IF($A23="","",IFERROR(INDEX(Market_Data!$L$21:$L$613,MATCH($A23,Market_Data!$K$21:INDEX(Market_Data!$K$21:$K$613,COUNT(Market_Data!$K$21:$K$613)),1)),""))</f>
        <v>3458.2</v>
      </c>
      <c r="F23" s="88" vm="145">
        <f ca="1">IF($A23="","",IFERROR(INDEX(Market_Data!$O$21:$O$613,MATCH($A23,Market_Data!$N$21:INDEX(Market_Data!$N$21:$N$613,COUNT(Market_Data!$N$21:$N$613)),1)),""))</f>
        <v>1411.4</v>
      </c>
      <c r="G23" s="88" vm="146">
        <f ca="1">IF($A23="","",IFERROR(INDEX(Market_Data!$R$21:$R$613,MATCH($A23,Market_Data!$Q$21:INDEX(Market_Data!$Q$21:$Q$613,COUNT(Market_Data!$Q$21:$Q$613)),1)),""))</f>
        <v>11967.9</v>
      </c>
      <c r="H23" s="88" vm="147">
        <f ca="1">IF($A23="","",IFERROR(INDEX(Market_Data!$U$21:$U$613,MATCH($A23,Market_Data!$T$21:INDEX(Market_Data!$T$21:$T$613,COUNT(Market_Data!$T$21:$T$613)),1)),""))</f>
        <v>1792.85</v>
      </c>
      <c r="I23" s="89">
        <f ca="1">IF($A23="","",IFERROR(INDEX(Query1[Close],MATCH($A23,Query1[Date],1)),""))</f>
        <v>23344.75</v>
      </c>
    </row>
    <row r="24" spans="1:9" x14ac:dyDescent="0.3">
      <c r="A24" s="87">
        <f t="shared" ca="1" si="0"/>
        <v>45684</v>
      </c>
      <c r="B24" s="88" vm="148">
        <f ca="1">IF($A24="","",IFERROR(INDEX(Market_Data!$C$21:$C$613,MATCH($A24,Market_Data!$B$21:INDEX(Market_Data!$B$21:$B$613,COUNT(Market_Data!$B$21:$B$613)),1)),""))</f>
        <v>1264.5999999999999</v>
      </c>
      <c r="C24" s="88" vm="149">
        <f ca="1">IF($A24="","",IFERROR(INDEX(Market_Data!$F$21:$F$613,MATCH($A24,Market_Data!$E$21:INDEX(Market_Data!$E$21:$E$613,COUNT(Market_Data!$E$21:$E$613)),1)),""))</f>
        <v>1623.25</v>
      </c>
      <c r="D24" s="88" vm="150">
        <f ca="1">IF($A24="","",IFERROR(INDEX(Market_Data!$I$21:$I$613,MATCH($A24,Market_Data!$H$21:INDEX(Market_Data!$H$21:$H$613,COUNT(Market_Data!$H$21:$H$613)),1)),""))</f>
        <v>843.37819999999999</v>
      </c>
      <c r="E24" s="88" vm="151">
        <f ca="1">IF($A24="","",IFERROR(INDEX(Market_Data!$L$21:$L$613,MATCH($A24,Market_Data!$K$21:INDEX(Market_Data!$K$21:$K$613,COUNT(Market_Data!$K$21:$K$613)),1)),""))</f>
        <v>3447.5</v>
      </c>
      <c r="F24" s="88" vm="152">
        <f ca="1">IF($A24="","",IFERROR(INDEX(Market_Data!$O$21:$O$613,MATCH($A24,Market_Data!$N$21:INDEX(Market_Data!$N$21:$N$613,COUNT(Market_Data!$N$21:$N$613)),1)),""))</f>
        <v>1439.5</v>
      </c>
      <c r="G24" s="88" vm="153">
        <f ca="1">IF($A24="","",IFERROR(INDEX(Market_Data!$R$21:$R$613,MATCH($A24,Market_Data!$Q$21:INDEX(Market_Data!$Q$21:$Q$613,COUNT(Market_Data!$Q$21:$Q$613)),1)),""))</f>
        <v>12916.5</v>
      </c>
      <c r="H24" s="88" vm="154">
        <f ca="1">IF($A24="","",IFERROR(INDEX(Market_Data!$U$21:$U$613,MATCH($A24,Market_Data!$T$21:INDEX(Market_Data!$T$21:$T$613,COUNT(Market_Data!$T$21:$T$613)),1)),""))</f>
        <v>1694</v>
      </c>
      <c r="I24" s="89">
        <f ca="1">IF($A24="","",IFERROR(INDEX(Query1[Close],MATCH($A24,Query1[Date],1)),""))</f>
        <v>22829.150390625</v>
      </c>
    </row>
    <row r="25" spans="1:9" x14ac:dyDescent="0.3">
      <c r="A25" s="87">
        <f t="shared" ca="1" si="0"/>
        <v>45691</v>
      </c>
      <c r="B25" s="88" vm="155">
        <f ca="1">IF($A25="","",IFERROR(INDEX(Market_Data!$C$21:$C$613,MATCH($A25,Market_Data!$B$21:INDEX(Market_Data!$B$21:$B$613,COUNT(Market_Data!$B$21:$B$613)),1)),""))</f>
        <v>1266.7</v>
      </c>
      <c r="C25" s="88" vm="156">
        <f ca="1">IF($A25="","",IFERROR(INDEX(Market_Data!$F$21:$F$613,MATCH($A25,Market_Data!$E$21:INDEX(Market_Data!$E$21:$E$613,COUNT(Market_Data!$E$21:$E$613)),1)),""))</f>
        <v>1676.75</v>
      </c>
      <c r="D25" s="88" vm="157">
        <f ca="1">IF($A25="","",IFERROR(INDEX(Market_Data!$I$21:$I$613,MATCH($A25,Market_Data!$H$21:INDEX(Market_Data!$H$21:$H$613,COUNT(Market_Data!$H$21:$H$613)),1)),""))</f>
        <v>864.22640000000001</v>
      </c>
      <c r="E25" s="88" vm="158">
        <f ca="1">IF($A25="","",IFERROR(INDEX(Market_Data!$L$21:$L$613,MATCH($A25,Market_Data!$K$21:INDEX(Market_Data!$K$21:$K$613,COUNT(Market_Data!$K$21:$K$613)),1)),""))</f>
        <v>3336.9</v>
      </c>
      <c r="F25" s="88" vm="159">
        <f ca="1">IF($A25="","",IFERROR(INDEX(Market_Data!$O$21:$O$613,MATCH($A25,Market_Data!$N$21:INDEX(Market_Data!$N$21:$N$613,COUNT(Market_Data!$N$21:$N$613)),1)),""))</f>
        <v>1472.25</v>
      </c>
      <c r="G25" s="88" vm="160">
        <f ca="1">IF($A25="","",IFERROR(INDEX(Market_Data!$R$21:$R$613,MATCH($A25,Market_Data!$Q$21:INDEX(Market_Data!$Q$21:$Q$613,COUNT(Market_Data!$Q$21:$Q$613)),1)),""))</f>
        <v>13049.5</v>
      </c>
      <c r="H25" s="88" vm="161">
        <f ca="1">IF($A25="","",IFERROR(INDEX(Market_Data!$U$21:$U$613,MATCH($A25,Market_Data!$T$21:INDEX(Market_Data!$T$21:$T$613,COUNT(Market_Data!$T$21:$T$613)),1)),""))</f>
        <v>1725.65</v>
      </c>
      <c r="I25" s="89">
        <f ca="1">IF($A25="","",IFERROR(INDEX(Query1[Close],MATCH($A25,Query1[Date],1)),""))</f>
        <v>23361.05078125</v>
      </c>
    </row>
    <row r="26" spans="1:9" x14ac:dyDescent="0.3">
      <c r="A26" s="87">
        <f t="shared" ca="1" si="0"/>
        <v>45698</v>
      </c>
      <c r="B26" s="88" vm="162">
        <f ca="1">IF($A26="","",IFERROR(INDEX(Market_Data!$C$21:$C$613,MATCH($A26,Market_Data!$B$21:INDEX(Market_Data!$B$21:$B$613,COUNT(Market_Data!$B$21:$B$613)),1)),""))</f>
        <v>1217.25</v>
      </c>
      <c r="C26" s="88" vm="163">
        <f ca="1">IF($A26="","",IFERROR(INDEX(Market_Data!$F$21:$F$613,MATCH($A26,Market_Data!$E$21:INDEX(Market_Data!$E$21:$E$613,COUNT(Market_Data!$E$21:$E$613)),1)),""))</f>
        <v>1717.05</v>
      </c>
      <c r="D26" s="88" vm="164">
        <f ca="1">IF($A26="","",IFERROR(INDEX(Market_Data!$I$21:$I$613,MATCH($A26,Market_Data!$H$21:INDEX(Market_Data!$H$21:$H$613,COUNT(Market_Data!$H$21:$H$613)),1)),""))</f>
        <v>845.32339999999999</v>
      </c>
      <c r="E26" s="88" vm="165">
        <f ca="1">IF($A26="","",IFERROR(INDEX(Market_Data!$L$21:$L$613,MATCH($A26,Market_Data!$K$21:INDEX(Market_Data!$K$21:$K$613,COUNT(Market_Data!$K$21:$K$613)),1)),""))</f>
        <v>3237.65</v>
      </c>
      <c r="F26" s="88" vm="166">
        <f ca="1">IF($A26="","",IFERROR(INDEX(Market_Data!$O$21:$O$613,MATCH($A26,Market_Data!$N$21:INDEX(Market_Data!$N$21:$N$613,COUNT(Market_Data!$N$21:$N$613)),1)),""))</f>
        <v>1459.45</v>
      </c>
      <c r="G26" s="88" vm="167">
        <f ca="1">IF($A26="","",IFERROR(INDEX(Market_Data!$R$21:$R$613,MATCH($A26,Market_Data!$Q$21:INDEX(Market_Data!$Q$21:$Q$613,COUNT(Market_Data!$Q$21:$Q$613)),1)),""))</f>
        <v>12680.25</v>
      </c>
      <c r="H26" s="88" vm="168">
        <f ca="1">IF($A26="","",IFERROR(INDEX(Market_Data!$U$21:$U$613,MATCH($A26,Market_Data!$T$21:INDEX(Market_Data!$T$21:$T$613,COUNT(Market_Data!$T$21:$T$613)),1)),""))</f>
        <v>1711.25</v>
      </c>
      <c r="I26" s="89">
        <f ca="1">IF($A26="","",IFERROR(INDEX(Query1[Close],MATCH($A26,Query1[Date],1)),""))</f>
        <v>23381.599609375</v>
      </c>
    </row>
    <row r="27" spans="1:9" x14ac:dyDescent="0.3">
      <c r="A27" s="87">
        <f t="shared" ca="1" si="0"/>
        <v>45705</v>
      </c>
      <c r="B27" s="88" vm="169">
        <f ca="1">IF($A27="","",IFERROR(INDEX(Market_Data!$C$21:$C$613,MATCH($A27,Market_Data!$B$21:INDEX(Market_Data!$B$21:$B$613,COUNT(Market_Data!$B$21:$B$613)),1)),""))</f>
        <v>1228.1500000000001</v>
      </c>
      <c r="C27" s="88" vm="170">
        <f ca="1">IF($A27="","",IFERROR(INDEX(Market_Data!$F$21:$F$613,MATCH($A27,Market_Data!$E$21:INDEX(Market_Data!$E$21:$E$613,COUNT(Market_Data!$E$21:$E$613)),1)),""))</f>
        <v>1639.25</v>
      </c>
      <c r="D27" s="88" vm="171">
        <f ca="1">IF($A27="","",IFERROR(INDEX(Market_Data!$I$21:$I$613,MATCH($A27,Market_Data!$H$21:INDEX(Market_Data!$H$21:$H$613,COUNT(Market_Data!$H$21:$H$613)),1)),""))</f>
        <v>844.15129999999999</v>
      </c>
      <c r="E27" s="88" vm="172">
        <f ca="1">IF($A27="","",IFERROR(INDEX(Market_Data!$L$21:$L$613,MATCH($A27,Market_Data!$K$21:INDEX(Market_Data!$K$21:$K$613,COUNT(Market_Data!$K$21:$K$613)),1)),""))</f>
        <v>3315.1</v>
      </c>
      <c r="F27" s="88" vm="173">
        <f ca="1">IF($A27="","",IFERROR(INDEX(Market_Data!$O$21:$O$613,MATCH($A27,Market_Data!$N$21:INDEX(Market_Data!$N$21:$N$613,COUNT(Market_Data!$N$21:$N$613)),1)),""))</f>
        <v>1475.75</v>
      </c>
      <c r="G27" s="88" vm="174">
        <f ca="1">IF($A27="","",IFERROR(INDEX(Market_Data!$R$21:$R$613,MATCH($A27,Market_Data!$Q$21:INDEX(Market_Data!$Q$21:$Q$613,COUNT(Market_Data!$Q$21:$Q$613)),1)),""))</f>
        <v>12323.45</v>
      </c>
      <c r="H27" s="88" vm="175">
        <f ca="1">IF($A27="","",IFERROR(INDEX(Market_Data!$U$21:$U$613,MATCH($A27,Market_Data!$T$21:INDEX(Market_Data!$T$21:$T$613,COUNT(Market_Data!$T$21:$T$613)),1)),""))</f>
        <v>1700.7</v>
      </c>
      <c r="I27" s="89">
        <f ca="1">IF($A27="","",IFERROR(INDEX(Query1[Close],MATCH($A27,Query1[Date],1)),""))</f>
        <v>22959.5</v>
      </c>
    </row>
    <row r="28" spans="1:9" x14ac:dyDescent="0.3">
      <c r="A28" s="87">
        <f t="shared" ca="1" si="0"/>
        <v>45712</v>
      </c>
      <c r="B28" s="88" vm="176">
        <f ca="1">IF($A28="","",IFERROR(INDEX(Market_Data!$C$21:$C$613,MATCH($A28,Market_Data!$B$21:INDEX(Market_Data!$B$21:$B$613,COUNT(Market_Data!$B$21:$B$613)),1)),""))</f>
        <v>1200.0999999999999</v>
      </c>
      <c r="C28" s="88" vm="177">
        <f ca="1">IF($A28="","",IFERROR(INDEX(Market_Data!$F$21:$F$613,MATCH($A28,Market_Data!$E$21:INDEX(Market_Data!$E$21:$E$613,COUNT(Market_Data!$E$21:$E$613)),1)),""))</f>
        <v>1570.2</v>
      </c>
      <c r="D28" s="88" vm="178">
        <f ca="1">IF($A28="","",IFERROR(INDEX(Market_Data!$I$21:$I$613,MATCH($A28,Market_Data!$H$21:INDEX(Market_Data!$H$21:$H$613,COUNT(Market_Data!$H$21:$H$613)),1)),""))</f>
        <v>864.05179999999996</v>
      </c>
      <c r="E28" s="88" vm="179">
        <f ca="1">IF($A28="","",IFERROR(INDEX(Market_Data!$L$21:$L$613,MATCH($A28,Market_Data!$K$21:INDEX(Market_Data!$K$21:$K$613,COUNT(Market_Data!$K$21:$K$613)),1)),""))</f>
        <v>3163.85</v>
      </c>
      <c r="F28" s="88" vm="180">
        <f ca="1">IF($A28="","",IFERROR(INDEX(Market_Data!$O$21:$O$613,MATCH($A28,Market_Data!$N$21:INDEX(Market_Data!$N$21:$N$613,COUNT(Market_Data!$N$21:$N$613)),1)),""))</f>
        <v>1407.5</v>
      </c>
      <c r="G28" s="88" vm="181">
        <f ca="1">IF($A28="","",IFERROR(INDEX(Market_Data!$R$21:$R$613,MATCH($A28,Market_Data!$Q$21:INDEX(Market_Data!$Q$21:$Q$613,COUNT(Market_Data!$Q$21:$Q$613)),1)),""))</f>
        <v>11945.85</v>
      </c>
      <c r="H28" s="88" vm="182">
        <f ca="1">IF($A28="","",IFERROR(INDEX(Market_Data!$U$21:$U$613,MATCH($A28,Market_Data!$T$21:INDEX(Market_Data!$T$21:$T$613,COUNT(Market_Data!$T$21:$T$613)),1)),""))</f>
        <v>1575.05</v>
      </c>
      <c r="I28" s="89">
        <f ca="1">IF($A28="","",IFERROR(INDEX(Query1[Close],MATCH($A28,Query1[Date],1)),""))</f>
        <v>22553.349609375</v>
      </c>
    </row>
    <row r="29" spans="1:9" x14ac:dyDescent="0.3">
      <c r="A29" s="87">
        <f t="shared" ca="1" si="0"/>
        <v>45719</v>
      </c>
      <c r="B29" s="88" vm="183">
        <f ca="1">IF($A29="","",IFERROR(INDEX(Market_Data!$C$21:$C$613,MATCH($A29,Market_Data!$B$21:INDEX(Market_Data!$B$21:$B$613,COUNT(Market_Data!$B$21:$B$613)),1)),""))</f>
        <v>1249.8</v>
      </c>
      <c r="C29" s="88" vm="184">
        <f ca="1">IF($A29="","",IFERROR(INDEX(Market_Data!$F$21:$F$613,MATCH($A29,Market_Data!$E$21:INDEX(Market_Data!$E$21:$E$613,COUNT(Market_Data!$E$21:$E$613)),1)),""))</f>
        <v>1630.7</v>
      </c>
      <c r="D29" s="88" vm="185">
        <f ca="1">IF($A29="","",IFERROR(INDEX(Market_Data!$I$21:$I$613,MATCH($A29,Market_Data!$H$21:INDEX(Market_Data!$H$21:$H$613,COUNT(Market_Data!$H$21:$H$613)),1)),""))</f>
        <v>842.53030000000001</v>
      </c>
      <c r="E29" s="88" vm="186">
        <f ca="1">IF($A29="","",IFERROR(INDEX(Market_Data!$L$21:$L$613,MATCH($A29,Market_Data!$K$21:INDEX(Market_Data!$K$21:$K$613,COUNT(Market_Data!$K$21:$K$613)),1)),""))</f>
        <v>3244.7</v>
      </c>
      <c r="F29" s="88" vm="187">
        <f ca="1">IF($A29="","",IFERROR(INDEX(Market_Data!$O$21:$O$613,MATCH($A29,Market_Data!$N$21:INDEX(Market_Data!$N$21:$N$613,COUNT(Market_Data!$N$21:$N$613)),1)),""))</f>
        <v>1458.45</v>
      </c>
      <c r="G29" s="88" vm="188">
        <f ca="1">IF($A29="","",IFERROR(INDEX(Market_Data!$R$21:$R$613,MATCH($A29,Market_Data!$Q$21:INDEX(Market_Data!$Q$21:$Q$613,COUNT(Market_Data!$Q$21:$Q$613)),1)),""))</f>
        <v>11664.15</v>
      </c>
      <c r="H29" s="88" vm="189">
        <f ca="1">IF($A29="","",IFERROR(INDEX(Market_Data!$U$21:$U$613,MATCH($A29,Market_Data!$T$21:INDEX(Market_Data!$T$21:$T$613,COUNT(Market_Data!$T$21:$T$613)),1)),""))</f>
        <v>1557.95</v>
      </c>
      <c r="I29" s="89">
        <f ca="1">IF($A29="","",IFERROR(INDEX(Query1[Close],MATCH($A29,Query1[Date],1)),""))</f>
        <v>22119.30078125</v>
      </c>
    </row>
    <row r="30" spans="1:9" x14ac:dyDescent="0.3">
      <c r="A30" s="87">
        <f t="shared" ca="1" si="0"/>
        <v>45726</v>
      </c>
      <c r="B30" s="88" vm="190">
        <f ca="1">IF($A30="","",IFERROR(INDEX(Market_Data!$C$21:$C$613,MATCH($A30,Market_Data!$B$21:INDEX(Market_Data!$B$21:$B$613,COUNT(Market_Data!$B$21:$B$613)),1)),""))</f>
        <v>1247.9000000000001</v>
      </c>
      <c r="C30" s="88" vm="191">
        <f ca="1">IF($A30="","",IFERROR(INDEX(Market_Data!$F$21:$F$613,MATCH($A30,Market_Data!$E$21:INDEX(Market_Data!$E$21:$E$613,COUNT(Market_Data!$E$21:$E$613)),1)),""))</f>
        <v>1632.5</v>
      </c>
      <c r="D30" s="88" vm="192">
        <f ca="1">IF($A30="","",IFERROR(INDEX(Market_Data!$I$21:$I$613,MATCH($A30,Market_Data!$H$21:INDEX(Market_Data!$H$21:$H$613,COUNT(Market_Data!$H$21:$H$613)),1)),""))</f>
        <v>851.18380000000002</v>
      </c>
      <c r="E30" s="88" vm="193">
        <f ca="1">IF($A30="","",IFERROR(INDEX(Market_Data!$L$21:$L$613,MATCH($A30,Market_Data!$K$21:INDEX(Market_Data!$K$21:$K$613,COUNT(Market_Data!$K$21:$K$613)),1)),""))</f>
        <v>3187.3</v>
      </c>
      <c r="F30" s="88" vm="194">
        <f ca="1">IF($A30="","",IFERROR(INDEX(Market_Data!$O$21:$O$613,MATCH($A30,Market_Data!$N$21:INDEX(Market_Data!$N$21:$N$613,COUNT(Market_Data!$N$21:$N$613)),1)),""))</f>
        <v>1461.9</v>
      </c>
      <c r="G30" s="88" vm="195">
        <f ca="1">IF($A30="","",IFERROR(INDEX(Market_Data!$R$21:$R$613,MATCH($A30,Market_Data!$Q$21:INDEX(Market_Data!$Q$21:$Q$613,COUNT(Market_Data!$Q$21:$Q$613)),1)),""))</f>
        <v>11513.8</v>
      </c>
      <c r="H30" s="88" vm="196">
        <f ca="1">IF($A30="","",IFERROR(INDEX(Market_Data!$U$21:$U$613,MATCH($A30,Market_Data!$T$21:INDEX(Market_Data!$T$21:$T$613,COUNT(Market_Data!$T$21:$T$613)),1)),""))</f>
        <v>1534.75</v>
      </c>
      <c r="I30" s="89">
        <f ca="1">IF($A30="","",IFERROR(INDEX(Query1[Close],MATCH($A30,Query1[Date],1)),""))</f>
        <v>22460.30078125</v>
      </c>
    </row>
    <row r="31" spans="1:9" x14ac:dyDescent="0.3">
      <c r="A31" s="87">
        <f t="shared" ca="1" si="0"/>
        <v>45733</v>
      </c>
      <c r="B31" s="88" vm="197">
        <f ca="1">IF($A31="","",IFERROR(INDEX(Market_Data!$C$21:$C$613,MATCH($A31,Market_Data!$B$21:INDEX(Market_Data!$B$21:$B$613,COUNT(Market_Data!$B$21:$B$613)),1)),""))</f>
        <v>1276.3499999999999</v>
      </c>
      <c r="C31" s="88" vm="198">
        <f ca="1">IF($A31="","",IFERROR(INDEX(Market_Data!$F$21:$F$613,MATCH($A31,Market_Data!$E$21:INDEX(Market_Data!$E$21:$E$613,COUNT(Market_Data!$E$21:$E$613)),1)),""))</f>
        <v>1725.8</v>
      </c>
      <c r="D31" s="88" vm="199">
        <f ca="1">IF($A31="","",IFERROR(INDEX(Market_Data!$I$21:$I$613,MATCH($A31,Market_Data!$H$21:INDEX(Market_Data!$H$21:$H$613,COUNT(Market_Data!$H$21:$H$613)),1)),""))</f>
        <v>882.97979999999995</v>
      </c>
      <c r="E31" s="88" vm="200">
        <f ca="1">IF($A31="","",IFERROR(INDEX(Market_Data!$L$21:$L$613,MATCH($A31,Market_Data!$K$21:INDEX(Market_Data!$K$21:$K$613,COUNT(Market_Data!$K$21:$K$613)),1)),""))</f>
        <v>3415.95</v>
      </c>
      <c r="F31" s="88" vm="201">
        <f ca="1">IF($A31="","",IFERROR(INDEX(Market_Data!$O$21:$O$613,MATCH($A31,Market_Data!$N$21:INDEX(Market_Data!$N$21:$N$613,COUNT(Market_Data!$N$21:$N$613)),1)),""))</f>
        <v>1523.85</v>
      </c>
      <c r="G31" s="88" vm="202">
        <f ca="1">IF($A31="","",IFERROR(INDEX(Market_Data!$R$21:$R$613,MATCH($A31,Market_Data!$Q$21:INDEX(Market_Data!$Q$21:$Q$613,COUNT(Market_Data!$Q$21:$Q$613)),1)),""))</f>
        <v>11732.8</v>
      </c>
      <c r="H31" s="88" vm="203">
        <f ca="1">IF($A31="","",IFERROR(INDEX(Market_Data!$U$21:$U$613,MATCH($A31,Market_Data!$T$21:INDEX(Market_Data!$T$21:$T$613,COUNT(Market_Data!$T$21:$T$613)),1)),""))</f>
        <v>1566.7</v>
      </c>
      <c r="I31" s="89">
        <f ca="1">IF($A31="","",IFERROR(INDEX(Query1[Close],MATCH($A31,Query1[Date],1)),""))</f>
        <v>22508.75</v>
      </c>
    </row>
    <row r="32" spans="1:9" x14ac:dyDescent="0.3">
      <c r="A32" s="87">
        <f t="shared" ca="1" si="0"/>
        <v>45740</v>
      </c>
      <c r="B32" s="88" vm="204">
        <f ca="1">IF($A32="","",IFERROR(INDEX(Market_Data!$C$21:$C$613,MATCH($A32,Market_Data!$B$21:INDEX(Market_Data!$B$21:$B$613,COUNT(Market_Data!$B$21:$B$613)),1)),""))</f>
        <v>1275.0999999999999</v>
      </c>
      <c r="C32" s="88" vm="205">
        <f ca="1">IF($A32="","",IFERROR(INDEX(Market_Data!$F$21:$F$613,MATCH($A32,Market_Data!$E$21:INDEX(Market_Data!$E$21:$E$613,COUNT(Market_Data!$E$21:$E$613)),1)),""))</f>
        <v>1733.4</v>
      </c>
      <c r="D32" s="88" vm="206">
        <f ca="1">IF($A32="","",IFERROR(INDEX(Market_Data!$I$21:$I$613,MATCH($A32,Market_Data!$H$21:INDEX(Market_Data!$H$21:$H$613,COUNT(Market_Data!$H$21:$H$613)),1)),""))</f>
        <v>911.83299999999997</v>
      </c>
      <c r="E32" s="88" vm="207">
        <f ca="1">IF($A32="","",IFERROR(INDEX(Market_Data!$L$21:$L$613,MATCH($A32,Market_Data!$K$21:INDEX(Market_Data!$K$21:$K$613,COUNT(Market_Data!$K$21:$K$613)),1)),""))</f>
        <v>3492.3</v>
      </c>
      <c r="F32" s="88" vm="208">
        <f ca="1">IF($A32="","",IFERROR(INDEX(Market_Data!$O$21:$O$613,MATCH($A32,Market_Data!$N$21:INDEX(Market_Data!$N$21:$N$613,COUNT(Market_Data!$N$21:$N$613)),1)),""))</f>
        <v>1442.2</v>
      </c>
      <c r="G32" s="88" vm="209">
        <f ca="1">IF($A32="","",IFERROR(INDEX(Market_Data!$R$21:$R$613,MATCH($A32,Market_Data!$Q$21:INDEX(Market_Data!$Q$21:$Q$613,COUNT(Market_Data!$Q$21:$Q$613)),1)),""))</f>
        <v>11522.15</v>
      </c>
      <c r="H32" s="88" vm="210">
        <f ca="1">IF($A32="","",IFERROR(INDEX(Market_Data!$U$21:$U$613,MATCH($A32,Market_Data!$T$21:INDEX(Market_Data!$T$21:$T$613,COUNT(Market_Data!$T$21:$T$613)),1)),""))</f>
        <v>1592.5</v>
      </c>
      <c r="I32" s="89">
        <f ca="1">IF($A32="","",IFERROR(INDEX(Query1[Close],MATCH($A32,Query1[Date],1)),""))</f>
        <v>23658.349609375</v>
      </c>
    </row>
    <row r="33" spans="1:9" x14ac:dyDescent="0.3">
      <c r="A33" s="87">
        <f t="shared" ca="1" si="0"/>
        <v>45747</v>
      </c>
      <c r="B33" s="88" vm="204">
        <f ca="1">IF($A33="","",IFERROR(INDEX(Market_Data!$C$21:$C$613,MATCH($A33,Market_Data!$B$21:INDEX(Market_Data!$B$21:$B$613,COUNT(Market_Data!$B$21:$B$613)),1)),""))</f>
        <v>1275.0999999999999</v>
      </c>
      <c r="C33" s="88" vm="205">
        <f ca="1">IF($A33="","",IFERROR(INDEX(Market_Data!$F$21:$F$613,MATCH($A33,Market_Data!$E$21:INDEX(Market_Data!$E$21:$E$613,COUNT(Market_Data!$E$21:$E$613)),1)),""))</f>
        <v>1733.4</v>
      </c>
      <c r="D33" s="88" vm="206">
        <f ca="1">IF($A33="","",IFERROR(INDEX(Market_Data!$I$21:$I$613,MATCH($A33,Market_Data!$H$21:INDEX(Market_Data!$H$21:$H$613,COUNT(Market_Data!$H$21:$H$613)),1)),""))</f>
        <v>911.83299999999997</v>
      </c>
      <c r="E33" s="88" vm="207">
        <f ca="1">IF($A33="","",IFERROR(INDEX(Market_Data!$L$21:$L$613,MATCH($A33,Market_Data!$K$21:INDEX(Market_Data!$K$21:$K$613,COUNT(Market_Data!$K$21:$K$613)),1)),""))</f>
        <v>3492.3</v>
      </c>
      <c r="F33" s="88" vm="208">
        <f ca="1">IF($A33="","",IFERROR(INDEX(Market_Data!$O$21:$O$613,MATCH($A33,Market_Data!$N$21:INDEX(Market_Data!$N$21:$N$613,COUNT(Market_Data!$N$21:$N$613)),1)),""))</f>
        <v>1442.2</v>
      </c>
      <c r="G33" s="88" vm="209">
        <f ca="1">IF($A33="","",IFERROR(INDEX(Market_Data!$R$21:$R$613,MATCH($A33,Market_Data!$Q$21:INDEX(Market_Data!$Q$21:$Q$613,COUNT(Market_Data!$Q$21:$Q$613)),1)),""))</f>
        <v>11522.15</v>
      </c>
      <c r="H33" s="88" vm="210">
        <f ca="1">IF($A33="","",IFERROR(INDEX(Market_Data!$U$21:$U$613,MATCH($A33,Market_Data!$T$21:INDEX(Market_Data!$T$21:$T$613,COUNT(Market_Data!$T$21:$T$613)),1)),""))</f>
        <v>1592.5</v>
      </c>
      <c r="I33" s="89">
        <f ca="1">IF($A33="","",IFERROR(INDEX(Query1[Close],MATCH($A33,Query1[Date],1)),""))</f>
        <v>23165.69921875</v>
      </c>
    </row>
    <row r="34" spans="1:9" x14ac:dyDescent="0.3">
      <c r="A34" s="87">
        <f t="shared" ca="1" si="0"/>
        <v>45754</v>
      </c>
      <c r="B34" s="88" vm="211">
        <f ca="1">IF($A34="","",IFERROR(INDEX(Market_Data!$C$21:$C$613,MATCH($A34,Market_Data!$B$21:INDEX(Market_Data!$B$21:$B$613,COUNT(Market_Data!$B$21:$B$613)),1)),""))</f>
        <v>1218.95</v>
      </c>
      <c r="C34" s="88" vm="212">
        <f ca="1">IF($A34="","",IFERROR(INDEX(Market_Data!$F$21:$F$613,MATCH($A34,Market_Data!$E$21:INDEX(Market_Data!$E$21:$E$613,COUNT(Market_Data!$E$21:$E$613)),1)),""))</f>
        <v>1756.6</v>
      </c>
      <c r="D34" s="88" vm="213">
        <f ca="1">IF($A34="","",IFERROR(INDEX(Market_Data!$I$21:$I$613,MATCH($A34,Market_Data!$H$21:INDEX(Market_Data!$H$21:$H$613,COUNT(Market_Data!$H$21:$H$613)),1)),""))</f>
        <v>901.13459999999998</v>
      </c>
      <c r="E34" s="88" vm="214">
        <f ca="1">IF($A34="","",IFERROR(INDEX(Market_Data!$L$21:$L$613,MATCH($A34,Market_Data!$K$21:INDEX(Market_Data!$K$21:$K$613,COUNT(Market_Data!$K$21:$K$613)),1)),""))</f>
        <v>3115.95</v>
      </c>
      <c r="F34" s="88" vm="215">
        <f ca="1">IF($A34="","",IFERROR(INDEX(Market_Data!$O$21:$O$613,MATCH($A34,Market_Data!$N$21:INDEX(Market_Data!$N$21:$N$613,COUNT(Market_Data!$N$21:$N$613)),1)),""))</f>
        <v>1463.05</v>
      </c>
      <c r="G34" s="88" vm="216">
        <f ca="1">IF($A34="","",IFERROR(INDEX(Market_Data!$R$21:$R$613,MATCH($A34,Market_Data!$Q$21:INDEX(Market_Data!$Q$21:$Q$613,COUNT(Market_Data!$Q$21:$Q$613)),1)),""))</f>
        <v>11599.05</v>
      </c>
      <c r="H34" s="88" vm="217">
        <f ca="1">IF($A34="","",IFERROR(INDEX(Market_Data!$U$21:$U$613,MATCH($A34,Market_Data!$T$21:INDEX(Market_Data!$T$21:$T$613,COUNT(Market_Data!$T$21:$T$613)),1)),""))</f>
        <v>1390.55</v>
      </c>
      <c r="I34" s="89">
        <f ca="1">IF($A34="","",IFERROR(INDEX(Query1[Close],MATCH($A34,Query1[Date],1)),""))</f>
        <v>22161.599609375</v>
      </c>
    </row>
    <row r="35" spans="1:9" x14ac:dyDescent="0.3">
      <c r="A35" s="87">
        <f t="shared" ca="1" si="0"/>
        <v>45761</v>
      </c>
      <c r="B35" s="88" vm="211">
        <f ca="1">IF($A35="","",IFERROR(INDEX(Market_Data!$C$21:$C$613,MATCH($A35,Market_Data!$B$21:INDEX(Market_Data!$B$21:$B$613,COUNT(Market_Data!$B$21:$B$613)),1)),""))</f>
        <v>1218.95</v>
      </c>
      <c r="C35" s="88" vm="212">
        <f ca="1">IF($A35="","",IFERROR(INDEX(Market_Data!$F$21:$F$613,MATCH($A35,Market_Data!$E$21:INDEX(Market_Data!$E$21:$E$613,COUNT(Market_Data!$E$21:$E$613)),1)),""))</f>
        <v>1756.6</v>
      </c>
      <c r="D35" s="88" vm="213">
        <f ca="1">IF($A35="","",IFERROR(INDEX(Market_Data!$I$21:$I$613,MATCH($A35,Market_Data!$H$21:INDEX(Market_Data!$H$21:$H$613,COUNT(Market_Data!$H$21:$H$613)),1)),""))</f>
        <v>901.13459999999998</v>
      </c>
      <c r="E35" s="88" vm="214">
        <f ca="1">IF($A35="","",IFERROR(INDEX(Market_Data!$L$21:$L$613,MATCH($A35,Market_Data!$K$21:INDEX(Market_Data!$K$21:$K$613,COUNT(Market_Data!$K$21:$K$613)),1)),""))</f>
        <v>3115.95</v>
      </c>
      <c r="F35" s="88" vm="215">
        <f ca="1">IF($A35="","",IFERROR(INDEX(Market_Data!$O$21:$O$613,MATCH($A35,Market_Data!$N$21:INDEX(Market_Data!$N$21:$N$613,COUNT(Market_Data!$N$21:$N$613)),1)),""))</f>
        <v>1463.05</v>
      </c>
      <c r="G35" s="88" vm="216">
        <f ca="1">IF($A35="","",IFERROR(INDEX(Market_Data!$R$21:$R$613,MATCH($A35,Market_Data!$Q$21:INDEX(Market_Data!$Q$21:$Q$613,COUNT(Market_Data!$Q$21:$Q$613)),1)),""))</f>
        <v>11599.05</v>
      </c>
      <c r="H35" s="88" vm="217">
        <f ca="1">IF($A35="","",IFERROR(INDEX(Market_Data!$U$21:$U$613,MATCH($A35,Market_Data!$T$21:INDEX(Market_Data!$T$21:$T$613,COUNT(Market_Data!$T$21:$T$613)),1)),""))</f>
        <v>1390.55</v>
      </c>
      <c r="I35" s="89">
        <f ca="1">IF($A35="","",IFERROR(INDEX(Query1[Close],MATCH($A35,Query1[Date],1)),""))</f>
        <v>23328.55078125</v>
      </c>
    </row>
    <row r="36" spans="1:9" x14ac:dyDescent="0.3">
      <c r="A36" s="87">
        <f t="shared" ca="1" si="0"/>
        <v>45768</v>
      </c>
      <c r="B36" s="88" vm="218">
        <f ca="1">IF($A36="","",IFERROR(INDEX(Market_Data!$C$21:$C$613,MATCH($A36,Market_Data!$B$21:INDEX(Market_Data!$B$21:$B$613,COUNT(Market_Data!$B$21:$B$613)),1)),""))</f>
        <v>1300.4000000000001</v>
      </c>
      <c r="C36" s="88" vm="219">
        <f ca="1">IF($A36="","",IFERROR(INDEX(Market_Data!$F$21:$F$613,MATCH($A36,Market_Data!$E$21:INDEX(Market_Data!$E$21:$E$613,COUNT(Market_Data!$E$21:$E$613)),1)),""))</f>
        <v>1817.2</v>
      </c>
      <c r="D36" s="88" vm="220">
        <f ca="1">IF($A36="","",IFERROR(INDEX(Market_Data!$I$21:$I$613,MATCH($A36,Market_Data!$H$21:INDEX(Market_Data!$H$21:$H$613,COUNT(Market_Data!$H$21:$H$613)),1)),""))</f>
        <v>953.23009999999999</v>
      </c>
      <c r="E36" s="88" vm="221">
        <f ca="1">IF($A36="","",IFERROR(INDEX(Market_Data!$L$21:$L$613,MATCH($A36,Market_Data!$K$21:INDEX(Market_Data!$K$21:$K$613,COUNT(Market_Data!$K$21:$K$613)),1)),""))</f>
        <v>3272.1</v>
      </c>
      <c r="F36" s="88" vm="222">
        <f ca="1">IF($A36="","",IFERROR(INDEX(Market_Data!$O$21:$O$613,MATCH($A36,Market_Data!$N$21:INDEX(Market_Data!$N$21:$N$613,COUNT(Market_Data!$N$21:$N$613)),1)),""))</f>
        <v>1525.9</v>
      </c>
      <c r="G36" s="88" vm="223">
        <f ca="1">IF($A36="","",IFERROR(INDEX(Market_Data!$R$21:$R$613,MATCH($A36,Market_Data!$Q$21:INDEX(Market_Data!$Q$21:$Q$613,COUNT(Market_Data!$Q$21:$Q$613)),1)),""))</f>
        <v>11698</v>
      </c>
      <c r="H36" s="88" vm="224">
        <f ca="1">IF($A36="","",IFERROR(INDEX(Market_Data!$U$21:$U$613,MATCH($A36,Market_Data!$T$21:INDEX(Market_Data!$T$21:$T$613,COUNT(Market_Data!$T$21:$T$613)),1)),""))</f>
        <v>1578.2</v>
      </c>
      <c r="I36" s="89">
        <f ca="1">IF($A36="","",IFERROR(INDEX(Query1[Close],MATCH($A36,Query1[Date],1)),""))</f>
        <v>24125.55078125</v>
      </c>
    </row>
    <row r="37" spans="1:9" x14ac:dyDescent="0.3">
      <c r="A37" s="87">
        <f t="shared" ref="A37:A68" ca="1" si="1">IF($A36="","",IF($A36+7&lt;=TODAY(),$A36+7,""))</f>
        <v>45775</v>
      </c>
      <c r="B37" s="88" vm="225">
        <f ca="1">IF($A37="","",IFERROR(INDEX(Market_Data!$C$21:$C$613,MATCH($A37,Market_Data!$B$21:INDEX(Market_Data!$B$21:$B$613,COUNT(Market_Data!$B$21:$B$613)),1)),""))</f>
        <v>1422.4</v>
      </c>
      <c r="C37" s="88" vm="226">
        <f ca="1">IF($A37="","",IFERROR(INDEX(Market_Data!$F$21:$F$613,MATCH($A37,Market_Data!$E$21:INDEX(Market_Data!$E$21:$E$613,COUNT(Market_Data!$E$21:$E$613)),1)),""))</f>
        <v>1851.9</v>
      </c>
      <c r="D37" s="88" vm="227">
        <f ca="1">IF($A37="","",IFERROR(INDEX(Market_Data!$I$21:$I$613,MATCH($A37,Market_Data!$H$21:INDEX(Market_Data!$H$21:$H$613,COUNT(Market_Data!$H$21:$H$613)),1)),""))</f>
        <v>960.11300000000006</v>
      </c>
      <c r="E37" s="88" vm="228">
        <f ca="1">IF($A37="","",IFERROR(INDEX(Market_Data!$L$21:$L$613,MATCH($A37,Market_Data!$K$21:INDEX(Market_Data!$K$21:$K$613,COUNT(Market_Data!$K$21:$K$613)),1)),""))</f>
        <v>3329.8</v>
      </c>
      <c r="F37" s="88" vm="229">
        <f ca="1">IF($A37="","",IFERROR(INDEX(Market_Data!$O$21:$O$613,MATCH($A37,Market_Data!$N$21:INDEX(Market_Data!$N$21:$N$613,COUNT(Market_Data!$N$21:$N$613)),1)),""))</f>
        <v>1525.6</v>
      </c>
      <c r="G37" s="88" vm="230">
        <f ca="1">IF($A37="","",IFERROR(INDEX(Market_Data!$R$21:$R$613,MATCH($A37,Market_Data!$Q$21:INDEX(Market_Data!$Q$21:$Q$613,COUNT(Market_Data!$Q$21:$Q$613)),1)),""))</f>
        <v>12406</v>
      </c>
      <c r="H37" s="88" vm="231">
        <f ca="1">IF($A37="","",IFERROR(INDEX(Market_Data!$U$21:$U$613,MATCH($A37,Market_Data!$T$21:INDEX(Market_Data!$T$21:$T$613,COUNT(Market_Data!$T$21:$T$613)),1)),""))</f>
        <v>1576.5</v>
      </c>
      <c r="I37" s="89">
        <f ca="1">IF($A37="","",IFERROR(INDEX(Query1[Close],MATCH($A37,Query1[Date],1)),""))</f>
        <v>24328.5</v>
      </c>
    </row>
    <row r="38" spans="1:9" x14ac:dyDescent="0.3">
      <c r="A38" s="87">
        <f t="shared" ca="1" si="1"/>
        <v>45782</v>
      </c>
      <c r="B38" s="88" vm="232">
        <f ca="1">IF($A38="","",IFERROR(INDEX(Market_Data!$C$21:$C$613,MATCH($A38,Market_Data!$B$21:INDEX(Market_Data!$B$21:$B$613,COUNT(Market_Data!$B$21:$B$613)),1)),""))</f>
        <v>1377.2</v>
      </c>
      <c r="C38" s="88" vm="233">
        <f ca="1">IF($A38="","",IFERROR(INDEX(Market_Data!$F$21:$F$613,MATCH($A38,Market_Data!$E$21:INDEX(Market_Data!$E$21:$E$613,COUNT(Market_Data!$E$21:$E$613)),1)),""))</f>
        <v>1848.4</v>
      </c>
      <c r="D38" s="88" vm="234">
        <f ca="1">IF($A38="","",IFERROR(INDEX(Market_Data!$I$21:$I$613,MATCH($A38,Market_Data!$H$21:INDEX(Market_Data!$H$21:$H$613,COUNT(Market_Data!$H$21:$H$613)),1)),""))</f>
        <v>942.5068</v>
      </c>
      <c r="E38" s="88" vm="235">
        <f ca="1">IF($A38="","",IFERROR(INDEX(Market_Data!$L$21:$L$613,MATCH($A38,Market_Data!$K$21:INDEX(Market_Data!$K$21:$K$613,COUNT(Market_Data!$K$21:$K$613)),1)),""))</f>
        <v>3443.9</v>
      </c>
      <c r="F38" s="88" vm="236">
        <f ca="1">IF($A38="","",IFERROR(INDEX(Market_Data!$O$21:$O$613,MATCH($A38,Market_Data!$N$21:INDEX(Market_Data!$N$21:$N$613,COUNT(Market_Data!$N$21:$N$613)),1)),""))</f>
        <v>1480</v>
      </c>
      <c r="G38" s="88" vm="237">
        <f ca="1">IF($A38="","",IFERROR(INDEX(Market_Data!$R$21:$R$613,MATCH($A38,Market_Data!$Q$21:INDEX(Market_Data!$Q$21:$Q$613,COUNT(Market_Data!$Q$21:$Q$613)),1)),""))</f>
        <v>12250</v>
      </c>
      <c r="H38" s="88" vm="238">
        <f ca="1">IF($A38="","",IFERROR(INDEX(Market_Data!$U$21:$U$613,MATCH($A38,Market_Data!$T$21:INDEX(Market_Data!$T$21:$T$613,COUNT(Market_Data!$T$21:$T$613)),1)),""))</f>
        <v>1569.4</v>
      </c>
      <c r="I38" s="89">
        <f ca="1">IF($A38="","",IFERROR(INDEX(Query1[Close],MATCH($A38,Query1[Date],1)),""))</f>
        <v>24461.150390625</v>
      </c>
    </row>
    <row r="39" spans="1:9" x14ac:dyDescent="0.3">
      <c r="A39" s="87">
        <f t="shared" ca="1" si="1"/>
        <v>45789</v>
      </c>
      <c r="B39" s="88" vm="239">
        <f ca="1">IF($A39="","",IFERROR(INDEX(Market_Data!$C$21:$C$613,MATCH($A39,Market_Data!$B$21:INDEX(Market_Data!$B$21:$B$613,COUNT(Market_Data!$B$21:$B$613)),1)),""))</f>
        <v>1456.4</v>
      </c>
      <c r="C39" s="88" vm="240">
        <f ca="1">IF($A39="","",IFERROR(INDEX(Market_Data!$F$21:$F$613,MATCH($A39,Market_Data!$E$21:INDEX(Market_Data!$E$21:$E$613,COUNT(Market_Data!$E$21:$E$613)),1)),""))</f>
        <v>1814</v>
      </c>
      <c r="D39" s="88" vm="241">
        <f ca="1">IF($A39="","",IFERROR(INDEX(Market_Data!$I$21:$I$613,MATCH($A39,Market_Data!$H$21:INDEX(Market_Data!$H$21:$H$613,COUNT(Market_Data!$H$21:$H$613)),1)),""))</f>
        <v>964.95100000000002</v>
      </c>
      <c r="E39" s="88" vm="242">
        <f ca="1">IF($A39="","",IFERROR(INDEX(Market_Data!$L$21:$L$613,MATCH($A39,Market_Data!$K$21:INDEX(Market_Data!$K$21:$K$613,COUNT(Market_Data!$K$21:$K$613)),1)),""))</f>
        <v>3604.7</v>
      </c>
      <c r="F39" s="88" vm="243">
        <f ca="1">IF($A39="","",IFERROR(INDEX(Market_Data!$O$21:$O$613,MATCH($A39,Market_Data!$N$21:INDEX(Market_Data!$N$21:$N$613,COUNT(Market_Data!$N$21:$N$613)),1)),""))</f>
        <v>1499.9</v>
      </c>
      <c r="G39" s="88" vm="244">
        <f ca="1">IF($A39="","",IFERROR(INDEX(Market_Data!$R$21:$R$613,MATCH($A39,Market_Data!$Q$21:INDEX(Market_Data!$Q$21:$Q$613,COUNT(Market_Data!$Q$21:$Q$613)),1)),""))</f>
        <v>12995</v>
      </c>
      <c r="H39" s="88" vm="245">
        <f ca="1">IF($A39="","",IFERROR(INDEX(Market_Data!$U$21:$U$613,MATCH($A39,Market_Data!$T$21:INDEX(Market_Data!$T$21:$T$613,COUNT(Market_Data!$T$21:$T$613)),1)),""))</f>
        <v>1659.9</v>
      </c>
      <c r="I39" s="89">
        <f ca="1">IF($A39="","",IFERROR(INDEX(Query1[Close],MATCH($A39,Query1[Date],1)),""))</f>
        <v>24924.69921875</v>
      </c>
    </row>
    <row r="40" spans="1:9" x14ac:dyDescent="0.3">
      <c r="A40" s="87">
        <f t="shared" ca="1" si="1"/>
        <v>45796</v>
      </c>
      <c r="B40" s="88" vm="246">
        <f ca="1">IF($A40="","",IFERROR(INDEX(Market_Data!$C$21:$C$613,MATCH($A40,Market_Data!$B$21:INDEX(Market_Data!$B$21:$B$613,COUNT(Market_Data!$B$21:$B$613)),1)),""))</f>
        <v>1426.8</v>
      </c>
      <c r="C40" s="88" vm="247">
        <f ca="1">IF($A40="","",IFERROR(INDEX(Market_Data!$F$21:$F$613,MATCH($A40,Market_Data!$E$21:INDEX(Market_Data!$E$21:$E$613,COUNT(Market_Data!$E$21:$E$613)),1)),""))</f>
        <v>1831.7</v>
      </c>
      <c r="D40" s="88" vm="248">
        <f ca="1">IF($A40="","",IFERROR(INDEX(Market_Data!$I$21:$I$613,MATCH($A40,Market_Data!$H$21:INDEX(Market_Data!$H$21:$H$613,COUNT(Market_Data!$H$21:$H$613)),1)),""))</f>
        <v>964.40229999999997</v>
      </c>
      <c r="E40" s="88" vm="249">
        <f ca="1">IF($A40="","",IFERROR(INDEX(Market_Data!$L$21:$L$613,MATCH($A40,Market_Data!$K$21:INDEX(Market_Data!$K$21:$K$613,COUNT(Market_Data!$K$21:$K$613)),1)),""))</f>
        <v>3599.9</v>
      </c>
      <c r="F40" s="88" vm="250">
        <f ca="1">IF($A40="","",IFERROR(INDEX(Market_Data!$O$21:$O$613,MATCH($A40,Market_Data!$N$21:INDEX(Market_Data!$N$21:$N$613,COUNT(Market_Data!$N$21:$N$613)),1)),""))</f>
        <v>1484.2</v>
      </c>
      <c r="G40" s="88" vm="251">
        <f ca="1">IF($A40="","",IFERROR(INDEX(Market_Data!$R$21:$R$613,MATCH($A40,Market_Data!$Q$21:INDEX(Market_Data!$Q$21:$Q$613,COUNT(Market_Data!$Q$21:$Q$613)),1)),""))</f>
        <v>12453</v>
      </c>
      <c r="H40" s="88" vm="252">
        <f ca="1">IF($A40="","",IFERROR(INDEX(Market_Data!$U$21:$U$613,MATCH($A40,Market_Data!$T$21:INDEX(Market_Data!$T$21:$T$613,COUNT(Market_Data!$T$21:$T$613)),1)),""))</f>
        <v>1648.2</v>
      </c>
      <c r="I40" s="89">
        <f ca="1">IF($A40="","",IFERROR(INDEX(Query1[Close],MATCH($A40,Query1[Date],1)),""))</f>
        <v>24945.44921875</v>
      </c>
    </row>
    <row r="41" spans="1:9" x14ac:dyDescent="0.3">
      <c r="A41" s="87">
        <f t="shared" ca="1" si="1"/>
        <v>45803</v>
      </c>
      <c r="B41" s="88" vm="253">
        <f ca="1">IF($A41="","",IFERROR(INDEX(Market_Data!$C$21:$C$613,MATCH($A41,Market_Data!$B$21:INDEX(Market_Data!$B$21:$B$613,COUNT(Market_Data!$B$21:$B$613)),1)),""))</f>
        <v>1420.9</v>
      </c>
      <c r="C41" s="88" vm="254">
        <f ca="1">IF($A41="","",IFERROR(INDEX(Market_Data!$F$21:$F$613,MATCH($A41,Market_Data!$E$21:INDEX(Market_Data!$E$21:$E$613,COUNT(Market_Data!$E$21:$E$613)),1)),""))</f>
        <v>1856.2</v>
      </c>
      <c r="D41" s="88" vm="255">
        <f ca="1">IF($A41="","",IFERROR(INDEX(Market_Data!$I$21:$I$613,MATCH($A41,Market_Data!$H$21:INDEX(Market_Data!$H$21:$H$613,COUNT(Market_Data!$H$21:$H$613)),1)),""))</f>
        <v>970.03830000000005</v>
      </c>
      <c r="E41" s="88" vm="256">
        <f ca="1">IF($A41="","",IFERROR(INDEX(Market_Data!$L$21:$L$613,MATCH($A41,Market_Data!$K$21:INDEX(Market_Data!$K$21:$K$613,COUNT(Market_Data!$K$21:$K$613)),1)),""))</f>
        <v>3675.1</v>
      </c>
      <c r="F41" s="88" vm="257">
        <f ca="1">IF($A41="","",IFERROR(INDEX(Market_Data!$O$21:$O$613,MATCH($A41,Market_Data!$N$21:INDEX(Market_Data!$N$21:$N$613,COUNT(Market_Data!$N$21:$N$613)),1)),""))</f>
        <v>1465.7</v>
      </c>
      <c r="G41" s="88" vm="258">
        <f ca="1">IF($A41="","",IFERROR(INDEX(Market_Data!$R$21:$R$613,MATCH($A41,Market_Data!$Q$21:INDEX(Market_Data!$Q$21:$Q$613,COUNT(Market_Data!$Q$21:$Q$613)),1)),""))</f>
        <v>12319</v>
      </c>
      <c r="H41" s="88" vm="259">
        <f ca="1">IF($A41="","",IFERROR(INDEX(Market_Data!$U$21:$U$613,MATCH($A41,Market_Data!$T$21:INDEX(Market_Data!$T$21:$T$613,COUNT(Market_Data!$T$21:$T$613)),1)),""))</f>
        <v>1636.6</v>
      </c>
      <c r="I41" s="89">
        <f ca="1">IF($A41="","",IFERROR(INDEX(Query1[Close],MATCH($A41,Query1[Date],1)),""))</f>
        <v>25001.150390625</v>
      </c>
    </row>
    <row r="42" spans="1:9" x14ac:dyDescent="0.3">
      <c r="A42" s="87">
        <f t="shared" ca="1" si="1"/>
        <v>45810</v>
      </c>
      <c r="B42" s="88" vm="260">
        <f ca="1">IF($A42="","",IFERROR(INDEX(Market_Data!$C$21:$C$613,MATCH($A42,Market_Data!$B$21:INDEX(Market_Data!$B$21:$B$613,COUNT(Market_Data!$B$21:$B$613)),1)),""))</f>
        <v>1443.5</v>
      </c>
      <c r="C42" s="88" vm="261">
        <f ca="1">IF($A42="","",IFERROR(INDEX(Market_Data!$F$21:$F$613,MATCH($A42,Market_Data!$E$21:INDEX(Market_Data!$E$21:$E$613,COUNT(Market_Data!$E$21:$E$613)),1)),""))</f>
        <v>1870.2</v>
      </c>
      <c r="D42" s="88" vm="262">
        <f ca="1">IF($A42="","",IFERROR(INDEX(Market_Data!$I$21:$I$613,MATCH($A42,Market_Data!$H$21:INDEX(Market_Data!$H$21:$H$613,COUNT(Market_Data!$H$21:$H$613)),1)),""))</f>
        <v>986.89639999999997</v>
      </c>
      <c r="E42" s="88" vm="263">
        <f ca="1">IF($A42="","",IFERROR(INDEX(Market_Data!$L$21:$L$613,MATCH($A42,Market_Data!$K$21:INDEX(Market_Data!$K$21:$K$613,COUNT(Market_Data!$K$21:$K$613)),1)),""))</f>
        <v>3656.3</v>
      </c>
      <c r="F42" s="88" vm="264">
        <f ca="1">IF($A42="","",IFERROR(INDEX(Market_Data!$O$21:$O$613,MATCH($A42,Market_Data!$N$21:INDEX(Market_Data!$N$21:$N$613,COUNT(Market_Data!$N$21:$N$613)),1)),""))</f>
        <v>1504.2</v>
      </c>
      <c r="G42" s="88" vm="265">
        <f ca="1">IF($A42="","",IFERROR(INDEX(Market_Data!$R$21:$R$613,MATCH($A42,Market_Data!$Q$21:INDEX(Market_Data!$Q$21:$Q$613,COUNT(Market_Data!$Q$21:$Q$613)),1)),""))</f>
        <v>12462</v>
      </c>
      <c r="H42" s="88" vm="266">
        <f ca="1">IF($A42="","",IFERROR(INDEX(Market_Data!$U$21:$U$613,MATCH($A42,Market_Data!$T$21:INDEX(Market_Data!$T$21:$T$613,COUNT(Market_Data!$T$21:$T$613)),1)),""))</f>
        <v>1637.7</v>
      </c>
      <c r="I42" s="89">
        <f ca="1">IF($A42="","",IFERROR(INDEX(Query1[Close],MATCH($A42,Query1[Date],1)),""))</f>
        <v>24716.599609375</v>
      </c>
    </row>
    <row r="43" spans="1:9" x14ac:dyDescent="0.3">
      <c r="A43" s="87">
        <f t="shared" ca="1" si="1"/>
        <v>45817</v>
      </c>
      <c r="B43" s="88" vm="267">
        <f ca="1">IF($A43="","",IFERROR(INDEX(Market_Data!$C$21:$C$613,MATCH($A43,Market_Data!$B$21:INDEX(Market_Data!$B$21:$B$613,COUNT(Market_Data!$B$21:$B$613)),1)),""))</f>
        <v>1427.9</v>
      </c>
      <c r="C43" s="88" vm="268">
        <f ca="1">IF($A43="","",IFERROR(INDEX(Market_Data!$F$21:$F$613,MATCH($A43,Market_Data!$E$21:INDEX(Market_Data!$E$21:$E$613,COUNT(Market_Data!$E$21:$E$613)),1)),""))</f>
        <v>1840.4</v>
      </c>
      <c r="D43" s="88" vm="269">
        <f ca="1">IF($A43="","",IFERROR(INDEX(Market_Data!$I$21:$I$613,MATCH($A43,Market_Data!$H$21:INDEX(Market_Data!$H$21:$H$613,COUNT(Market_Data!$H$21:$H$613)),1)),""))</f>
        <v>956.42219999999998</v>
      </c>
      <c r="E43" s="88" vm="270">
        <f ca="1">IF($A43="","",IFERROR(INDEX(Market_Data!$L$21:$L$613,MATCH($A43,Market_Data!$K$21:INDEX(Market_Data!$K$21:$K$613,COUNT(Market_Data!$K$21:$K$613)),1)),""))</f>
        <v>3587.4</v>
      </c>
      <c r="F43" s="88" vm="271">
        <f ca="1">IF($A43="","",IFERROR(INDEX(Market_Data!$O$21:$O$613,MATCH($A43,Market_Data!$N$21:INDEX(Market_Data!$N$21:$N$613,COUNT(Market_Data!$N$21:$N$613)),1)),""))</f>
        <v>1505.2</v>
      </c>
      <c r="G43" s="88" vm="272">
        <f ca="1">IF($A43="","",IFERROR(INDEX(Market_Data!$R$21:$R$613,MATCH($A43,Market_Data!$Q$21:INDEX(Market_Data!$Q$21:$Q$613,COUNT(Market_Data!$Q$21:$Q$613)),1)),""))</f>
        <v>12408</v>
      </c>
      <c r="H43" s="88" vm="273">
        <f ca="1">IF($A43="","",IFERROR(INDEX(Market_Data!$U$21:$U$613,MATCH($A43,Market_Data!$T$21:INDEX(Market_Data!$T$21:$T$613,COUNT(Market_Data!$T$21:$T$613)),1)),""))</f>
        <v>1695.3</v>
      </c>
      <c r="I43" s="89">
        <f ca="1">IF($A43="","",IFERROR(INDEX(Query1[Close],MATCH($A43,Query1[Date],1)),""))</f>
        <v>25103.19921875</v>
      </c>
    </row>
    <row r="44" spans="1:9" x14ac:dyDescent="0.3">
      <c r="A44" s="87">
        <f t="shared" ca="1" si="1"/>
        <v>45824</v>
      </c>
      <c r="B44" s="88" vm="274">
        <f ca="1">IF($A44="","",IFERROR(INDEX(Market_Data!$C$21:$C$613,MATCH($A44,Market_Data!$B$21:INDEX(Market_Data!$B$21:$B$613,COUNT(Market_Data!$B$21:$B$613)),1)),""))</f>
        <v>1466.2</v>
      </c>
      <c r="C44" s="88" vm="275">
        <f ca="1">IF($A44="","",IFERROR(INDEX(Market_Data!$F$21:$F$613,MATCH($A44,Market_Data!$E$21:INDEX(Market_Data!$E$21:$E$613,COUNT(Market_Data!$E$21:$E$613)),1)),""))</f>
        <v>1936.7</v>
      </c>
      <c r="D44" s="88" vm="276">
        <f ca="1">IF($A44="","",IFERROR(INDEX(Market_Data!$I$21:$I$613,MATCH($A44,Market_Data!$H$21:INDEX(Market_Data!$H$21:$H$613,COUNT(Market_Data!$H$21:$H$613)),1)),""))</f>
        <v>979.91380000000004</v>
      </c>
      <c r="E44" s="88" vm="277">
        <f ca="1">IF($A44="","",IFERROR(INDEX(Market_Data!$L$21:$L$613,MATCH($A44,Market_Data!$K$21:INDEX(Market_Data!$K$21:$K$613,COUNT(Market_Data!$K$21:$K$613)),1)),""))</f>
        <v>3662</v>
      </c>
      <c r="F44" s="88" vm="278">
        <f ca="1">IF($A44="","",IFERROR(INDEX(Market_Data!$O$21:$O$613,MATCH($A44,Market_Data!$N$21:INDEX(Market_Data!$N$21:$N$613,COUNT(Market_Data!$N$21:$N$613)),1)),""))</f>
        <v>1499.7</v>
      </c>
      <c r="G44" s="88" vm="279">
        <f ca="1">IF($A44="","",IFERROR(INDEX(Market_Data!$R$21:$R$613,MATCH($A44,Market_Data!$Q$21:INDEX(Market_Data!$Q$21:$Q$613,COUNT(Market_Data!$Q$21:$Q$613)),1)),""))</f>
        <v>12791</v>
      </c>
      <c r="H44" s="88" vm="280">
        <f ca="1">IF($A44="","",IFERROR(INDEX(Market_Data!$U$21:$U$613,MATCH($A44,Market_Data!$T$21:INDEX(Market_Data!$T$21:$T$613,COUNT(Market_Data!$T$21:$T$613)),1)),""))</f>
        <v>1739.9</v>
      </c>
      <c r="I44" s="89">
        <f ca="1">IF($A44="","",IFERROR(INDEX(Query1[Close],MATCH($A44,Query1[Date],1)),""))</f>
        <v>24946.5</v>
      </c>
    </row>
    <row r="45" spans="1:9" x14ac:dyDescent="0.3">
      <c r="A45" s="87">
        <f t="shared" ca="1" si="1"/>
        <v>45831</v>
      </c>
      <c r="B45" s="88" vm="281">
        <f ca="1">IF($A45="","",IFERROR(INDEX(Market_Data!$C$21:$C$613,MATCH($A45,Market_Data!$B$21:INDEX(Market_Data!$B$21:$B$613,COUNT(Market_Data!$B$21:$B$613)),1)),""))</f>
        <v>1515.4</v>
      </c>
      <c r="C45" s="88" vm="282">
        <f ca="1">IF($A45="","",IFERROR(INDEX(Market_Data!$F$21:$F$613,MATCH($A45,Market_Data!$E$21:INDEX(Market_Data!$E$21:$E$613,COUNT(Market_Data!$E$21:$E$613)),1)),""))</f>
        <v>2027.1</v>
      </c>
      <c r="D45" s="88" vm="283">
        <f ca="1">IF($A45="","",IFERROR(INDEX(Market_Data!$I$21:$I$613,MATCH($A45,Market_Data!$H$21:INDEX(Market_Data!$H$21:$H$613,COUNT(Market_Data!$H$21:$H$613)),1)),""))</f>
        <v>1004.9515</v>
      </c>
      <c r="E45" s="88" vm="284">
        <f ca="1">IF($A45="","",IFERROR(INDEX(Market_Data!$L$21:$L$613,MATCH($A45,Market_Data!$K$21:INDEX(Market_Data!$K$21:$K$613,COUNT(Market_Data!$K$21:$K$613)),1)),""))</f>
        <v>3679.2</v>
      </c>
      <c r="F45" s="88" vm="285">
        <f ca="1">IF($A45="","",IFERROR(INDEX(Market_Data!$O$21:$O$613,MATCH($A45,Market_Data!$N$21:INDEX(Market_Data!$N$21:$N$613,COUNT(Market_Data!$N$21:$N$613)),1)),""))</f>
        <v>1502.4</v>
      </c>
      <c r="G45" s="88" vm="286">
        <f ca="1">IF($A45="","",IFERROR(INDEX(Market_Data!$R$21:$R$613,MATCH($A45,Market_Data!$Q$21:INDEX(Market_Data!$Q$21:$Q$613,COUNT(Market_Data!$Q$21:$Q$613)),1)),""))</f>
        <v>12642</v>
      </c>
      <c r="H45" s="88" vm="287">
        <f ca="1">IF($A45="","",IFERROR(INDEX(Market_Data!$U$21:$U$613,MATCH($A45,Market_Data!$T$21:INDEX(Market_Data!$T$21:$T$613,COUNT(Market_Data!$T$21:$T$613)),1)),""))</f>
        <v>1723.3</v>
      </c>
      <c r="I45" s="89">
        <f ca="1">IF($A45="","",IFERROR(INDEX(Query1[Close],MATCH($A45,Query1[Date],1)),""))</f>
        <v>24971.900390625</v>
      </c>
    </row>
    <row r="46" spans="1:9" x14ac:dyDescent="0.3">
      <c r="A46" s="87">
        <f t="shared" ca="1" si="1"/>
        <v>45838</v>
      </c>
      <c r="B46" s="88" vm="288">
        <f ca="1">IF($A46="","",IFERROR(INDEX(Market_Data!$C$21:$C$613,MATCH($A46,Market_Data!$B$21:INDEX(Market_Data!$B$21:$B$613,COUNT(Market_Data!$B$21:$B$613)),1)),""))</f>
        <v>1527.3</v>
      </c>
      <c r="C46" s="88" vm="289">
        <f ca="1">IF($A46="","",IFERROR(INDEX(Market_Data!$F$21:$F$613,MATCH($A46,Market_Data!$E$21:INDEX(Market_Data!$E$21:$E$613,COUNT(Market_Data!$E$21:$E$613)),1)),""))</f>
        <v>2017.2</v>
      </c>
      <c r="D46" s="88" vm="290">
        <f ca="1">IF($A46="","",IFERROR(INDEX(Market_Data!$I$21:$I$613,MATCH($A46,Market_Data!$H$21:INDEX(Market_Data!$H$21:$H$613,COUNT(Market_Data!$H$21:$H$613)),1)),""))</f>
        <v>992.18330000000003</v>
      </c>
      <c r="E46" s="88" vm="291">
        <f ca="1">IF($A46="","",IFERROR(INDEX(Market_Data!$L$21:$L$613,MATCH($A46,Market_Data!$K$21:INDEX(Market_Data!$K$21:$K$613,COUNT(Market_Data!$K$21:$K$613)),1)),""))</f>
        <v>3594.6</v>
      </c>
      <c r="F46" s="88" vm="292">
        <f ca="1">IF($A46="","",IFERROR(INDEX(Market_Data!$O$21:$O$613,MATCH($A46,Market_Data!$N$21:INDEX(Market_Data!$N$21:$N$613,COUNT(Market_Data!$N$21:$N$613)),1)),""))</f>
        <v>1513.3</v>
      </c>
      <c r="G46" s="88" vm="293">
        <f ca="1">IF($A46="","",IFERROR(INDEX(Market_Data!$R$21:$R$613,MATCH($A46,Market_Data!$Q$21:INDEX(Market_Data!$Q$21:$Q$613,COUNT(Market_Data!$Q$21:$Q$613)),1)),""))</f>
        <v>12646</v>
      </c>
      <c r="H46" s="88" vm="294">
        <f ca="1">IF($A46="","",IFERROR(INDEX(Market_Data!$U$21:$U$613,MATCH($A46,Market_Data!$T$21:INDEX(Market_Data!$T$21:$T$613,COUNT(Market_Data!$T$21:$T$613)),1)),""))</f>
        <v>1725.9</v>
      </c>
      <c r="I46" s="89">
        <f ca="1">IF($A46="","",IFERROR(INDEX(Query1[Close],MATCH($A46,Query1[Date],1)),""))</f>
        <v>25517.05078125</v>
      </c>
    </row>
    <row r="47" spans="1:9" x14ac:dyDescent="0.3">
      <c r="A47" s="87">
        <f t="shared" ca="1" si="1"/>
        <v>45845</v>
      </c>
      <c r="B47" s="88" vm="295">
        <f ca="1">IF($A47="","",IFERROR(INDEX(Market_Data!$C$21:$C$613,MATCH($A47,Market_Data!$B$21:INDEX(Market_Data!$B$21:$B$613,COUNT(Market_Data!$B$21:$B$613)),1)),""))</f>
        <v>1495.2</v>
      </c>
      <c r="C47" s="88" vm="296">
        <f ca="1">IF($A47="","",IFERROR(INDEX(Market_Data!$F$21:$F$613,MATCH($A47,Market_Data!$E$21:INDEX(Market_Data!$E$21:$E$613,COUNT(Market_Data!$E$21:$E$613)),1)),""))</f>
        <v>1921.9</v>
      </c>
      <c r="D47" s="88" vm="297">
        <f ca="1">IF($A47="","",IFERROR(INDEX(Market_Data!$I$21:$I$613,MATCH($A47,Market_Data!$H$21:INDEX(Market_Data!$H$21:$H$613,COUNT(Market_Data!$H$21:$H$613)),1)),""))</f>
        <v>989.39020000000005</v>
      </c>
      <c r="E47" s="88" vm="298">
        <f ca="1">IF($A47="","",IFERROR(INDEX(Market_Data!$L$21:$L$613,MATCH($A47,Market_Data!$K$21:INDEX(Market_Data!$K$21:$K$613,COUNT(Market_Data!$K$21:$K$613)),1)),""))</f>
        <v>3540.6</v>
      </c>
      <c r="F47" s="88" vm="299">
        <f ca="1">IF($A47="","",IFERROR(INDEX(Market_Data!$O$21:$O$613,MATCH($A47,Market_Data!$N$21:INDEX(Market_Data!$N$21:$N$613,COUNT(Market_Data!$N$21:$N$613)),1)),""))</f>
        <v>1485</v>
      </c>
      <c r="G47" s="88" vm="300">
        <f ca="1">IF($A47="","",IFERROR(INDEX(Market_Data!$R$21:$R$613,MATCH($A47,Market_Data!$Q$21:INDEX(Market_Data!$Q$21:$Q$613,COUNT(Market_Data!$Q$21:$Q$613)),1)),""))</f>
        <v>12574</v>
      </c>
      <c r="H47" s="88" vm="301">
        <f ca="1">IF($A47="","",IFERROR(INDEX(Market_Data!$U$21:$U$613,MATCH($A47,Market_Data!$T$21:INDEX(Market_Data!$T$21:$T$613,COUNT(Market_Data!$T$21:$T$613)),1)),""))</f>
        <v>1638.3</v>
      </c>
      <c r="I47" s="89">
        <f ca="1">IF($A47="","",IFERROR(INDEX(Query1[Close],MATCH($A47,Query1[Date],1)),""))</f>
        <v>25461.30078125</v>
      </c>
    </row>
    <row r="48" spans="1:9" x14ac:dyDescent="0.3">
      <c r="A48" s="87">
        <f t="shared" ca="1" si="1"/>
        <v>45852</v>
      </c>
      <c r="B48" s="88" vm="302">
        <f ca="1">IF($A48="","",IFERROR(INDEX(Market_Data!$C$21:$C$613,MATCH($A48,Market_Data!$B$21:INDEX(Market_Data!$B$21:$B$613,COUNT(Market_Data!$B$21:$B$613)),1)),""))</f>
        <v>1476</v>
      </c>
      <c r="C48" s="88" vm="303">
        <f ca="1">IF($A48="","",IFERROR(INDEX(Market_Data!$F$21:$F$613,MATCH($A48,Market_Data!$E$21:INDEX(Market_Data!$E$21:$E$613,COUNT(Market_Data!$E$21:$E$613)),1)),""))</f>
        <v>1901</v>
      </c>
      <c r="D48" s="88" vm="304">
        <f ca="1">IF($A48="","",IFERROR(INDEX(Market_Data!$I$21:$I$613,MATCH($A48,Market_Data!$H$21:INDEX(Market_Data!$H$21:$H$613,COUNT(Market_Data!$H$21:$H$613)),1)),""))</f>
        <v>976.27279999999996</v>
      </c>
      <c r="E48" s="88" vm="305">
        <f ca="1">IF($A48="","",IFERROR(INDEX(Market_Data!$L$21:$L$613,MATCH($A48,Market_Data!$K$21:INDEX(Market_Data!$K$21:$K$613,COUNT(Market_Data!$K$21:$K$613)),1)),""))</f>
        <v>3464.8</v>
      </c>
      <c r="F48" s="88" vm="306">
        <f ca="1">IF($A48="","",IFERROR(INDEX(Market_Data!$O$21:$O$613,MATCH($A48,Market_Data!$N$21:INDEX(Market_Data!$N$21:$N$613,COUNT(Market_Data!$N$21:$N$613)),1)),""))</f>
        <v>1482.3</v>
      </c>
      <c r="G48" s="88" vm="307">
        <f ca="1">IF($A48="","",IFERROR(INDEX(Market_Data!$R$21:$R$613,MATCH($A48,Market_Data!$Q$21:INDEX(Market_Data!$Q$21:$Q$613,COUNT(Market_Data!$Q$21:$Q$613)),1)),""))</f>
        <v>12419</v>
      </c>
      <c r="H48" s="88" vm="308">
        <f ca="1">IF($A48="","",IFERROR(INDEX(Market_Data!$U$21:$U$613,MATCH($A48,Market_Data!$T$21:INDEX(Market_Data!$T$21:$T$613,COUNT(Market_Data!$T$21:$T$613)),1)),""))</f>
        <v>1548.8</v>
      </c>
      <c r="I48" s="89">
        <f ca="1">IF($A48="","",IFERROR(INDEX(Query1[Close],MATCH($A48,Query1[Date],1)),""))</f>
        <v>25082.30078125</v>
      </c>
    </row>
    <row r="49" spans="1:9" x14ac:dyDescent="0.3">
      <c r="A49" s="87">
        <f t="shared" ca="1" si="1"/>
        <v>45859</v>
      </c>
      <c r="B49" s="88" vm="309">
        <f ca="1">IF($A49="","",IFERROR(INDEX(Market_Data!$C$21:$C$613,MATCH($A49,Market_Data!$B$21:INDEX(Market_Data!$B$21:$B$613,COUNT(Market_Data!$B$21:$B$613)),1)),""))</f>
        <v>1391.7</v>
      </c>
      <c r="C49" s="88" vm="310">
        <f ca="1">IF($A49="","",IFERROR(INDEX(Market_Data!$F$21:$F$613,MATCH($A49,Market_Data!$E$21:INDEX(Market_Data!$E$21:$E$613,COUNT(Market_Data!$E$21:$E$613)),1)),""))</f>
        <v>1937.9</v>
      </c>
      <c r="D49" s="88" vm="311">
        <f ca="1">IF($A49="","",IFERROR(INDEX(Market_Data!$I$21:$I$613,MATCH($A49,Market_Data!$H$21:INDEX(Market_Data!$H$21:$H$613,COUNT(Market_Data!$H$21:$H$613)),1)),""))</f>
        <v>1002.3</v>
      </c>
      <c r="E49" s="88" vm="312">
        <f ca="1">IF($A49="","",IFERROR(INDEX(Market_Data!$L$21:$L$613,MATCH($A49,Market_Data!$K$21:INDEX(Market_Data!$K$21:$K$613,COUNT(Market_Data!$K$21:$K$613)),1)),""))</f>
        <v>3442.9</v>
      </c>
      <c r="F49" s="88" vm="313">
        <f ca="1">IF($A49="","",IFERROR(INDEX(Market_Data!$O$21:$O$613,MATCH($A49,Market_Data!$N$21:INDEX(Market_Data!$N$21:$N$613,COUNT(Market_Data!$N$21:$N$613)),1)),""))</f>
        <v>1532.5</v>
      </c>
      <c r="G49" s="88" vm="314">
        <f ca="1">IF($A49="","",IFERROR(INDEX(Market_Data!$R$21:$R$613,MATCH($A49,Market_Data!$Q$21:INDEX(Market_Data!$Q$21:$Q$613,COUNT(Market_Data!$Q$21:$Q$613)),1)),""))</f>
        <v>12404</v>
      </c>
      <c r="H49" s="88" vm="315">
        <f ca="1">IF($A49="","",IFERROR(INDEX(Market_Data!$U$21:$U$613,MATCH($A49,Market_Data!$T$21:INDEX(Market_Data!$T$21:$T$613,COUNT(Market_Data!$T$21:$T$613)),1)),""))</f>
        <v>1490.1</v>
      </c>
      <c r="I49" s="89">
        <f ca="1">IF($A49="","",IFERROR(INDEX(Query1[Close],MATCH($A49,Query1[Date],1)),""))</f>
        <v>25090.69921875</v>
      </c>
    </row>
    <row r="50" spans="1:9" x14ac:dyDescent="0.3">
      <c r="A50" s="87">
        <f t="shared" ca="1" si="1"/>
        <v>45866</v>
      </c>
      <c r="B50" s="88" vm="316">
        <f ca="1">IF($A50="","",IFERROR(INDEX(Market_Data!$C$21:$C$613,MATCH($A50,Market_Data!$B$21:INDEX(Market_Data!$B$21:$B$613,COUNT(Market_Data!$B$21:$B$613)),1)),""))</f>
        <v>1393.7</v>
      </c>
      <c r="C50" s="88" vm="317">
        <f ca="1">IF($A50="","",IFERROR(INDEX(Market_Data!$F$21:$F$613,MATCH($A50,Market_Data!$E$21:INDEX(Market_Data!$E$21:$E$613,COUNT(Market_Data!$E$21:$E$613)),1)),""))</f>
        <v>1884.4</v>
      </c>
      <c r="D50" s="88" vm="318">
        <f ca="1">IF($A50="","",IFERROR(INDEX(Market_Data!$I$21:$I$613,MATCH($A50,Market_Data!$H$21:INDEX(Market_Data!$H$21:$H$613,COUNT(Market_Data!$H$21:$H$613)),1)),""))</f>
        <v>1006.1</v>
      </c>
      <c r="E50" s="88" vm="319">
        <f ca="1">IF($A50="","",IFERROR(INDEX(Market_Data!$L$21:$L$613,MATCH($A50,Market_Data!$K$21:INDEX(Market_Data!$K$21:$K$613,COUNT(Market_Data!$K$21:$K$613)),1)),""))</f>
        <v>3587.3</v>
      </c>
      <c r="F50" s="88" vm="320">
        <f ca="1">IF($A50="","",IFERROR(INDEX(Market_Data!$O$21:$O$613,MATCH($A50,Market_Data!$N$21:INDEX(Market_Data!$N$21:$N$613,COUNT(Market_Data!$N$21:$N$613)),1)),""))</f>
        <v>1502.8</v>
      </c>
      <c r="G50" s="88" vm="321">
        <f ca="1">IF($A50="","",IFERROR(INDEX(Market_Data!$R$21:$R$613,MATCH($A50,Market_Data!$Q$21:INDEX(Market_Data!$Q$21:$Q$613,COUNT(Market_Data!$Q$21:$Q$613)),1)),""))</f>
        <v>12302</v>
      </c>
      <c r="H50" s="88" vm="322">
        <f ca="1">IF($A50="","",IFERROR(INDEX(Market_Data!$U$21:$U$613,MATCH($A50,Market_Data!$T$21:INDEX(Market_Data!$T$21:$T$613,COUNT(Market_Data!$T$21:$T$613)),1)),""))</f>
        <v>1452.1</v>
      </c>
      <c r="I50" s="89">
        <f ca="1">IF($A50="","",IFERROR(INDEX(Query1[Close],MATCH($A50,Query1[Date],1)),""))</f>
        <v>24680.900390625</v>
      </c>
    </row>
    <row r="51" spans="1:9" x14ac:dyDescent="0.3">
      <c r="A51" s="87">
        <f t="shared" ca="1" si="1"/>
        <v>45873</v>
      </c>
      <c r="B51" s="88" vm="323">
        <f ca="1">IF($A51="","",IFERROR(INDEX(Market_Data!$C$21:$C$613,MATCH($A51,Market_Data!$B$21:INDEX(Market_Data!$B$21:$B$613,COUNT(Market_Data!$B$21:$B$613)),1)),""))</f>
        <v>1367.8</v>
      </c>
      <c r="C51" s="88" vm="324">
        <f ca="1">IF($A51="","",IFERROR(INDEX(Market_Data!$F$21:$F$613,MATCH($A51,Market_Data!$E$21:INDEX(Market_Data!$E$21:$E$613,COUNT(Market_Data!$E$21:$E$613)),1)),""))</f>
        <v>1858.6</v>
      </c>
      <c r="D51" s="88" vm="325">
        <f ca="1">IF($A51="","",IFERROR(INDEX(Market_Data!$I$21:$I$613,MATCH($A51,Market_Data!$H$21:INDEX(Market_Data!$H$21:$H$613,COUNT(Market_Data!$H$21:$H$613)),1)),""))</f>
        <v>986.95</v>
      </c>
      <c r="E51" s="88" vm="326">
        <f ca="1">IF($A51="","",IFERROR(INDEX(Market_Data!$L$21:$L$613,MATCH($A51,Market_Data!$K$21:INDEX(Market_Data!$K$21:$K$613,COUNT(Market_Data!$K$21:$K$613)),1)),""))</f>
        <v>3607.6</v>
      </c>
      <c r="F51" s="88" vm="327">
        <f ca="1">IF($A51="","",IFERROR(INDEX(Market_Data!$O$21:$O$613,MATCH($A51,Market_Data!$N$21:INDEX(Market_Data!$N$21:$N$613,COUNT(Market_Data!$N$21:$N$613)),1)),""))</f>
        <v>1485.8</v>
      </c>
      <c r="G51" s="88" vm="328">
        <f ca="1">IF($A51="","",IFERROR(INDEX(Market_Data!$R$21:$R$613,MATCH($A51,Market_Data!$Q$21:INDEX(Market_Data!$Q$21:$Q$613,COUNT(Market_Data!$Q$21:$Q$613)),1)),""))</f>
        <v>12590</v>
      </c>
      <c r="H51" s="88" vm="329">
        <f ca="1">IF($A51="","",IFERROR(INDEX(Market_Data!$U$21:$U$613,MATCH($A51,Market_Data!$T$21:INDEX(Market_Data!$T$21:$T$613,COUNT(Market_Data!$T$21:$T$613)),1)),""))</f>
        <v>1475.7</v>
      </c>
      <c r="I51" s="89">
        <f ca="1">IF($A51="","",IFERROR(INDEX(Query1[Close],MATCH($A51,Query1[Date],1)),""))</f>
        <v>24722.75</v>
      </c>
    </row>
    <row r="52" spans="1:9" x14ac:dyDescent="0.3">
      <c r="A52" s="87">
        <f t="shared" ca="1" si="1"/>
        <v>45880</v>
      </c>
      <c r="B52" s="88" vm="330">
        <f ca="1">IF($A52="","",IFERROR(INDEX(Market_Data!$C$21:$C$613,MATCH($A52,Market_Data!$B$21:INDEX(Market_Data!$B$21:$B$613,COUNT(Market_Data!$B$21:$B$613)),1)),""))</f>
        <v>1373.8</v>
      </c>
      <c r="C52" s="88" vm="331">
        <f ca="1">IF($A52="","",IFERROR(INDEX(Market_Data!$F$21:$F$613,MATCH($A52,Market_Data!$E$21:INDEX(Market_Data!$E$21:$E$613,COUNT(Market_Data!$E$21:$E$613)),1)),""))</f>
        <v>1873.8</v>
      </c>
      <c r="D52" s="88" vm="332">
        <f ca="1">IF($A52="","",IFERROR(INDEX(Market_Data!$I$21:$I$613,MATCH($A52,Market_Data!$H$21:INDEX(Market_Data!$H$21:$H$613,COUNT(Market_Data!$H$21:$H$613)),1)),""))</f>
        <v>995.55</v>
      </c>
      <c r="E52" s="88" vm="333">
        <f ca="1">IF($A52="","",IFERROR(INDEX(Market_Data!$L$21:$L$613,MATCH($A52,Market_Data!$K$21:INDEX(Market_Data!$K$21:$K$613,COUNT(Market_Data!$K$21:$K$613)),1)),""))</f>
        <v>3677</v>
      </c>
      <c r="F52" s="88" vm="334">
        <f ca="1">IF($A52="","",IFERROR(INDEX(Market_Data!$O$21:$O$613,MATCH($A52,Market_Data!$N$21:INDEX(Market_Data!$N$21:$N$613,COUNT(Market_Data!$N$21:$N$613)),1)),""))</f>
        <v>1564</v>
      </c>
      <c r="G52" s="88" vm="335">
        <f ca="1">IF($A52="","",IFERROR(INDEX(Market_Data!$R$21:$R$613,MATCH($A52,Market_Data!$Q$21:INDEX(Market_Data!$Q$21:$Q$613,COUNT(Market_Data!$Q$21:$Q$613)),1)),""))</f>
        <v>12936</v>
      </c>
      <c r="H52" s="88" vm="336">
        <f ca="1">IF($A52="","",IFERROR(INDEX(Market_Data!$U$21:$U$613,MATCH($A52,Market_Data!$T$21:INDEX(Market_Data!$T$21:$T$613,COUNT(Market_Data!$T$21:$T$613)),1)),""))</f>
        <v>1489.8</v>
      </c>
      <c r="I52" s="89">
        <f ca="1">IF($A52="","",IFERROR(INDEX(Query1[Close],MATCH($A52,Query1[Date],1)),""))</f>
        <v>24585.05078125</v>
      </c>
    </row>
    <row r="53" spans="1:9" x14ac:dyDescent="0.3">
      <c r="A53" s="87">
        <f t="shared" ca="1" si="1"/>
        <v>45887</v>
      </c>
      <c r="B53" s="88" vm="337">
        <f ca="1">IF($A53="","",IFERROR(INDEX(Market_Data!$C$21:$C$613,MATCH($A53,Market_Data!$B$21:INDEX(Market_Data!$B$21:$B$613,COUNT(Market_Data!$B$21:$B$613)),1)),""))</f>
        <v>1409.2</v>
      </c>
      <c r="C53" s="88" vm="338">
        <f ca="1">IF($A53="","",IFERROR(INDEX(Market_Data!$F$21:$F$613,MATCH($A53,Market_Data!$E$21:INDEX(Market_Data!$E$21:$E$613,COUNT(Market_Data!$E$21:$E$613)),1)),""))</f>
        <v>1933.3</v>
      </c>
      <c r="D53" s="88" vm="339">
        <f ca="1">IF($A53="","",IFERROR(INDEX(Market_Data!$I$21:$I$613,MATCH($A53,Market_Data!$H$21:INDEX(Market_Data!$H$21:$H$613,COUNT(Market_Data!$H$21:$H$613)),1)),""))</f>
        <v>982.3</v>
      </c>
      <c r="E53" s="88" vm="340">
        <f ca="1">IF($A53="","",IFERROR(INDEX(Market_Data!$L$21:$L$613,MATCH($A53,Market_Data!$K$21:INDEX(Market_Data!$K$21:$K$613,COUNT(Market_Data!$K$21:$K$613)),1)),""))</f>
        <v>3595.8</v>
      </c>
      <c r="F53" s="88" vm="341">
        <f ca="1">IF($A53="","",IFERROR(INDEX(Market_Data!$O$21:$O$613,MATCH($A53,Market_Data!$N$21:INDEX(Market_Data!$N$21:$N$613,COUNT(Market_Data!$N$21:$N$613)),1)),""))</f>
        <v>1592.8</v>
      </c>
      <c r="G53" s="88" vm="342">
        <f ca="1">IF($A53="","",IFERROR(INDEX(Market_Data!$R$21:$R$613,MATCH($A53,Market_Data!$Q$21:INDEX(Market_Data!$Q$21:$Q$613,COUNT(Market_Data!$Q$21:$Q$613)),1)),""))</f>
        <v>14349</v>
      </c>
      <c r="H53" s="88" vm="343">
        <f ca="1">IF($A53="","",IFERROR(INDEX(Market_Data!$U$21:$U$613,MATCH($A53,Market_Data!$T$21:INDEX(Market_Data!$T$21:$T$613,COUNT(Market_Data!$T$21:$T$613)),1)),""))</f>
        <v>1466.3</v>
      </c>
      <c r="I53" s="89">
        <f ca="1">IF($A53="","",IFERROR(INDEX(Query1[Close],MATCH($A53,Query1[Date],1)),""))</f>
        <v>24876.94921875</v>
      </c>
    </row>
    <row r="54" spans="1:9" x14ac:dyDescent="0.3">
      <c r="A54" s="87">
        <f t="shared" ca="1" si="1"/>
        <v>45894</v>
      </c>
      <c r="B54" s="88" vm="344">
        <f ca="1">IF($A54="","",IFERROR(INDEX(Market_Data!$C$21:$C$613,MATCH($A54,Market_Data!$B$21:INDEX(Market_Data!$B$21:$B$613,COUNT(Market_Data!$B$21:$B$613)),1)),""))</f>
        <v>1357.2</v>
      </c>
      <c r="C54" s="88" vm="345">
        <f ca="1">IF($A54="","",IFERROR(INDEX(Market_Data!$F$21:$F$613,MATCH($A54,Market_Data!$E$21:INDEX(Market_Data!$E$21:$E$613,COUNT(Market_Data!$E$21:$E$613)),1)),""))</f>
        <v>1888.8</v>
      </c>
      <c r="D54" s="88" vm="346">
        <f ca="1">IF($A54="","",IFERROR(INDEX(Market_Data!$I$21:$I$613,MATCH($A54,Market_Data!$H$21:INDEX(Market_Data!$H$21:$H$613,COUNT(Market_Data!$H$21:$H$613)),1)),""))</f>
        <v>951.6</v>
      </c>
      <c r="E54" s="88" vm="347">
        <f ca="1">IF($A54="","",IFERROR(INDEX(Market_Data!$L$21:$L$613,MATCH($A54,Market_Data!$K$21:INDEX(Market_Data!$K$21:$K$613,COUNT(Market_Data!$K$21:$K$613)),1)),""))</f>
        <v>3601</v>
      </c>
      <c r="F54" s="88" vm="348">
        <f ca="1">IF($A54="","",IFERROR(INDEX(Market_Data!$O$21:$O$613,MATCH($A54,Market_Data!$N$21:INDEX(Market_Data!$N$21:$N$613,COUNT(Market_Data!$N$21:$N$613)),1)),""))</f>
        <v>1589.4</v>
      </c>
      <c r="G54" s="88" vm="349">
        <f ca="1">IF($A54="","",IFERROR(INDEX(Market_Data!$R$21:$R$613,MATCH($A54,Market_Data!$Q$21:INDEX(Market_Data!$Q$21:$Q$613,COUNT(Market_Data!$Q$21:$Q$613)),1)),""))</f>
        <v>14791</v>
      </c>
      <c r="H54" s="88" vm="350">
        <f ca="1">IF($A54="","",IFERROR(INDEX(Market_Data!$U$21:$U$613,MATCH($A54,Market_Data!$T$21:INDEX(Market_Data!$T$21:$T$613,COUNT(Market_Data!$T$21:$T$613)),1)),""))</f>
        <v>1454.8</v>
      </c>
      <c r="I54" s="89">
        <f ca="1">IF($A54="","",IFERROR(INDEX(Query1[Close],MATCH($A54,Query1[Date],1)),""))</f>
        <v>24967.75</v>
      </c>
    </row>
    <row r="55" spans="1:9" x14ac:dyDescent="0.3">
      <c r="A55" s="87">
        <f t="shared" ca="1" si="1"/>
        <v>45901</v>
      </c>
      <c r="B55" s="88" vm="351">
        <f ca="1">IF($A55="","",IFERROR(INDEX(Market_Data!$C$21:$C$613,MATCH($A55,Market_Data!$B$21:INDEX(Market_Data!$B$21:$B$613,COUNT(Market_Data!$B$21:$B$613)),1)),""))</f>
        <v>1375</v>
      </c>
      <c r="C55" s="88" vm="352">
        <f ca="1">IF($A55="","",IFERROR(INDEX(Market_Data!$F$21:$F$613,MATCH($A55,Market_Data!$E$21:INDEX(Market_Data!$E$21:$E$613,COUNT(Market_Data!$E$21:$E$613)),1)),""))</f>
        <v>1895.3</v>
      </c>
      <c r="D55" s="88" vm="353">
        <f ca="1">IF($A55="","",IFERROR(INDEX(Market_Data!$I$21:$I$613,MATCH($A55,Market_Data!$H$21:INDEX(Market_Data!$H$21:$H$613,COUNT(Market_Data!$H$21:$H$613)),1)),""))</f>
        <v>963.4</v>
      </c>
      <c r="E55" s="88" vm="354">
        <f ca="1">IF($A55="","",IFERROR(INDEX(Market_Data!$L$21:$L$613,MATCH($A55,Market_Data!$K$21:INDEX(Market_Data!$K$21:$K$613,COUNT(Market_Data!$K$21:$K$613)),1)),""))</f>
        <v>3553.6</v>
      </c>
      <c r="F55" s="88" vm="355">
        <f ca="1">IF($A55="","",IFERROR(INDEX(Market_Data!$O$21:$O$613,MATCH($A55,Market_Data!$N$21:INDEX(Market_Data!$N$21:$N$613,COUNT(Market_Data!$N$21:$N$613)),1)),""))</f>
        <v>1553.4</v>
      </c>
      <c r="G55" s="88" vm="356">
        <f ca="1">IF($A55="","",IFERROR(INDEX(Market_Data!$R$21:$R$613,MATCH($A55,Market_Data!$Q$21:INDEX(Market_Data!$Q$21:$Q$613,COUNT(Market_Data!$Q$21:$Q$613)),1)),""))</f>
        <v>14895</v>
      </c>
      <c r="H55" s="88" vm="357">
        <f ca="1">IF($A55="","",IFERROR(INDEX(Market_Data!$U$21:$U$613,MATCH($A55,Market_Data!$T$21:INDEX(Market_Data!$T$21:$T$613,COUNT(Market_Data!$T$21:$T$613)),1)),""))</f>
        <v>1419</v>
      </c>
      <c r="I55" s="89">
        <f ca="1">IF($A55="","",IFERROR(INDEX(Query1[Close],MATCH($A55,Query1[Date],1)),""))</f>
        <v>24625.05078125</v>
      </c>
    </row>
    <row r="56" spans="1:9" x14ac:dyDescent="0.3">
      <c r="A56" s="87">
        <f t="shared" ca="1" si="1"/>
        <v>45908</v>
      </c>
      <c r="B56" s="88" vm="5">
        <f ca="1">IF($A56="","",IFERROR(INDEX(Market_Data!$C$21:$C$613,MATCH($A56,Market_Data!$B$21:INDEX(Market_Data!$B$21:$B$613,COUNT(Market_Data!$B$21:$B$613)),1)),""))</f>
        <v>1395</v>
      </c>
      <c r="C56" s="88" vm="358">
        <f ca="1">IF($A56="","",IFERROR(INDEX(Market_Data!$F$21:$F$613,MATCH($A56,Market_Data!$E$21:INDEX(Market_Data!$E$21:$E$613,COUNT(Market_Data!$E$21:$E$613)),1)),""))</f>
        <v>1902.6</v>
      </c>
      <c r="D56" s="88" vm="359">
        <f ca="1">IF($A56="","",IFERROR(INDEX(Market_Data!$I$21:$I$613,MATCH($A56,Market_Data!$H$21:INDEX(Market_Data!$H$21:$H$613,COUNT(Market_Data!$H$21:$H$613)),1)),""))</f>
        <v>967.3</v>
      </c>
      <c r="E56" s="88" vm="360">
        <f ca="1">IF($A56="","",IFERROR(INDEX(Market_Data!$L$21:$L$613,MATCH($A56,Market_Data!$K$21:INDEX(Market_Data!$K$21:$K$613,COUNT(Market_Data!$K$21:$K$613)),1)),""))</f>
        <v>3579.8</v>
      </c>
      <c r="F56" s="88" vm="361">
        <f ca="1">IF($A56="","",IFERROR(INDEX(Market_Data!$O$21:$O$613,MATCH($A56,Market_Data!$N$21:INDEX(Market_Data!$N$21:$N$613,COUNT(Market_Data!$N$21:$N$613)),1)),""))</f>
        <v>1574.6</v>
      </c>
      <c r="G56" s="88" vm="362">
        <f ca="1">IF($A56="","",IFERROR(INDEX(Market_Data!$R$21:$R$613,MATCH($A56,Market_Data!$Q$21:INDEX(Market_Data!$Q$21:$Q$613,COUNT(Market_Data!$Q$21:$Q$613)),1)),""))</f>
        <v>15325</v>
      </c>
      <c r="H56" s="88" vm="363">
        <f ca="1">IF($A56="","",IFERROR(INDEX(Market_Data!$U$21:$U$613,MATCH($A56,Market_Data!$T$21:INDEX(Market_Data!$T$21:$T$613,COUNT(Market_Data!$T$21:$T$613)),1)),""))</f>
        <v>1467.2</v>
      </c>
      <c r="I56" s="89">
        <f ca="1">IF($A56="","",IFERROR(INDEX(Query1[Close],MATCH($A56,Query1[Date],1)),""))</f>
        <v>24773.150390625</v>
      </c>
    </row>
    <row r="57" spans="1:9" x14ac:dyDescent="0.3">
      <c r="A57" s="87">
        <f t="shared" ca="1" si="1"/>
        <v>45915</v>
      </c>
      <c r="B57" s="88" vm="364">
        <f ca="1">IF($A57="","",IFERROR(INDEX(Market_Data!$C$21:$C$613,MATCH($A57,Market_Data!$B$21:INDEX(Market_Data!$B$21:$B$613,COUNT(Market_Data!$B$21:$B$613)),1)),""))</f>
        <v>1407.4</v>
      </c>
      <c r="C57" s="88" vm="365">
        <f ca="1">IF($A57="","",IFERROR(INDEX(Market_Data!$F$21:$F$613,MATCH($A57,Market_Data!$E$21:INDEX(Market_Data!$E$21:$E$613,COUNT(Market_Data!$E$21:$E$613)),1)),""))</f>
        <v>1962.4</v>
      </c>
      <c r="D57" s="88" vm="366">
        <f ca="1">IF($A57="","",IFERROR(INDEX(Market_Data!$I$21:$I$613,MATCH($A57,Market_Data!$H$21:INDEX(Market_Data!$H$21:$H$613,COUNT(Market_Data!$H$21:$H$613)),1)),""))</f>
        <v>966.9</v>
      </c>
      <c r="E57" s="88" vm="367">
        <f ca="1">IF($A57="","",IFERROR(INDEX(Market_Data!$L$21:$L$613,MATCH($A57,Market_Data!$K$21:INDEX(Market_Data!$K$21:$K$613,COUNT(Market_Data!$K$21:$K$613)),1)),""))</f>
        <v>3675.4</v>
      </c>
      <c r="F57" s="88" vm="368">
        <f ca="1">IF($A57="","",IFERROR(INDEX(Market_Data!$O$21:$O$613,MATCH($A57,Market_Data!$N$21:INDEX(Market_Data!$N$21:$N$613,COUNT(Market_Data!$N$21:$N$613)),1)),""))</f>
        <v>1575.8</v>
      </c>
      <c r="G57" s="88" vm="369">
        <f ca="1">IF($A57="","",IFERROR(INDEX(Market_Data!$R$21:$R$613,MATCH($A57,Market_Data!$Q$21:INDEX(Market_Data!$Q$21:$Q$613,COUNT(Market_Data!$Q$21:$Q$613)),1)),""))</f>
        <v>15864</v>
      </c>
      <c r="H57" s="88" vm="370">
        <f ca="1">IF($A57="","",IFERROR(INDEX(Market_Data!$U$21:$U$613,MATCH($A57,Market_Data!$T$21:INDEX(Market_Data!$T$21:$T$613,COUNT(Market_Data!$T$21:$T$613)),1)),""))</f>
        <v>1467.4</v>
      </c>
      <c r="I57" s="89">
        <f ca="1">IF($A57="","",IFERROR(INDEX(Query1[Close],MATCH($A57,Query1[Date],1)),""))</f>
        <v>25069.19921875</v>
      </c>
    </row>
    <row r="58" spans="1:9" x14ac:dyDescent="0.3">
      <c r="A58" s="87">
        <f t="shared" ca="1" si="1"/>
        <v>45922</v>
      </c>
      <c r="B58" s="88" vm="371">
        <f ca="1">IF($A58="","",IFERROR(INDEX(Market_Data!$C$21:$C$613,MATCH($A58,Market_Data!$B$21:INDEX(Market_Data!$B$21:$B$613,COUNT(Market_Data!$B$21:$B$613)),1)),""))</f>
        <v>1377.6</v>
      </c>
      <c r="C58" s="88" vm="372">
        <f ca="1">IF($A58="","",IFERROR(INDEX(Market_Data!$F$21:$F$613,MATCH($A58,Market_Data!$E$21:INDEX(Market_Data!$E$21:$E$613,COUNT(Market_Data!$E$21:$E$613)),1)),""))</f>
        <v>1916.6</v>
      </c>
      <c r="D58" s="88" vm="373">
        <f ca="1">IF($A58="","",IFERROR(INDEX(Market_Data!$I$21:$I$613,MATCH($A58,Market_Data!$H$21:INDEX(Market_Data!$H$21:$H$613,COUNT(Market_Data!$H$21:$H$613)),1)),""))</f>
        <v>945.05</v>
      </c>
      <c r="E58" s="88" vm="374">
        <f ca="1">IF($A58="","",IFERROR(INDEX(Market_Data!$L$21:$L$613,MATCH($A58,Market_Data!$K$21:INDEX(Market_Data!$K$21:$K$613,COUNT(Market_Data!$K$21:$K$613)),1)),""))</f>
        <v>3729.5</v>
      </c>
      <c r="F58" s="88" vm="375">
        <f ca="1">IF($A58="","",IFERROR(INDEX(Market_Data!$O$21:$O$613,MATCH($A58,Market_Data!$N$21:INDEX(Market_Data!$N$21:$N$613,COUNT(Market_Data!$N$21:$N$613)),1)),""))</f>
        <v>1499.4</v>
      </c>
      <c r="G58" s="88" vm="376">
        <f ca="1">IF($A58="","",IFERROR(INDEX(Market_Data!$R$21:$R$613,MATCH($A58,Market_Data!$Q$21:INDEX(Market_Data!$Q$21:$Q$613,COUNT(Market_Data!$Q$21:$Q$613)),1)),""))</f>
        <v>16286</v>
      </c>
      <c r="H58" s="88" vm="377">
        <f ca="1">IF($A58="","",IFERROR(INDEX(Market_Data!$U$21:$U$613,MATCH($A58,Market_Data!$T$21:INDEX(Market_Data!$T$21:$T$613,COUNT(Market_Data!$T$21:$T$613)),1)),""))</f>
        <v>1395.3</v>
      </c>
      <c r="I58" s="89">
        <f ca="1">IF($A58="","",IFERROR(INDEX(Query1[Close],MATCH($A58,Query1[Date],1)),""))</f>
        <v>25202.349609375</v>
      </c>
    </row>
    <row r="59" spans="1:9" x14ac:dyDescent="0.3">
      <c r="A59" s="87">
        <f t="shared" ca="1" si="1"/>
        <v>45929</v>
      </c>
      <c r="B59" s="88" vm="378">
        <f ca="1">IF($A59="","",IFERROR(INDEX(Market_Data!$C$21:$C$613,MATCH($A59,Market_Data!$B$21:INDEX(Market_Data!$B$21:$B$613,COUNT(Market_Data!$B$21:$B$613)),1)),""))</f>
        <v>1363.4</v>
      </c>
      <c r="C59" s="88" vm="379">
        <f ca="1">IF($A59="","",IFERROR(INDEX(Market_Data!$F$21:$F$613,MATCH($A59,Market_Data!$E$21:INDEX(Market_Data!$E$21:$E$613,COUNT(Market_Data!$E$21:$E$613)),1)),""))</f>
        <v>1896.7</v>
      </c>
      <c r="D59" s="88" vm="380">
        <f ca="1">IF($A59="","",IFERROR(INDEX(Market_Data!$I$21:$I$613,MATCH($A59,Market_Data!$H$21:INDEX(Market_Data!$H$21:$H$613,COUNT(Market_Data!$H$21:$H$613)),1)),""))</f>
        <v>965.15</v>
      </c>
      <c r="E59" s="88" vm="381">
        <f ca="1">IF($A59="","",IFERROR(INDEX(Market_Data!$L$21:$L$613,MATCH($A59,Market_Data!$K$21:INDEX(Market_Data!$K$21:$K$613,COUNT(Market_Data!$K$21:$K$613)),1)),""))</f>
        <v>3733.1</v>
      </c>
      <c r="F59" s="88" vm="382">
        <f ca="1">IF($A59="","",IFERROR(INDEX(Market_Data!$O$21:$O$613,MATCH($A59,Market_Data!$N$21:INDEX(Market_Data!$N$21:$N$613,COUNT(Market_Data!$N$21:$N$613)),1)),""))</f>
        <v>1517.7</v>
      </c>
      <c r="G59" s="88" vm="383">
        <f ca="1">IF($A59="","",IFERROR(INDEX(Market_Data!$R$21:$R$613,MATCH($A59,Market_Data!$Q$21:INDEX(Market_Data!$Q$21:$Q$613,COUNT(Market_Data!$Q$21:$Q$613)),1)),""))</f>
        <v>15806</v>
      </c>
      <c r="H59" s="88" vm="384">
        <f ca="1">IF($A59="","",IFERROR(INDEX(Market_Data!$U$21:$U$613,MATCH($A59,Market_Data!$T$21:INDEX(Market_Data!$T$21:$T$613,COUNT(Market_Data!$T$21:$T$613)),1)),""))</f>
        <v>1393.5</v>
      </c>
      <c r="I59" s="89">
        <f ca="1">IF($A59="","",IFERROR(INDEX(Query1[Close],MATCH($A59,Query1[Date],1)),""))</f>
        <v>24634.900390625</v>
      </c>
    </row>
    <row r="60" spans="1:9" x14ac:dyDescent="0.3">
      <c r="A60" s="87">
        <f t="shared" ca="1" si="1"/>
        <v>45936</v>
      </c>
      <c r="B60" s="88" vm="385">
        <f ca="1">IF($A60="","",IFERROR(INDEX(Market_Data!$C$21:$C$613,MATCH($A60,Market_Data!$B$21:INDEX(Market_Data!$B$21:$B$613,COUNT(Market_Data!$B$21:$B$613)),1)),""))</f>
        <v>1381.7</v>
      </c>
      <c r="C60" s="88" vm="386">
        <f ca="1">IF($A60="","",IFERROR(INDEX(Market_Data!$F$21:$F$613,MATCH($A60,Market_Data!$E$21:INDEX(Market_Data!$E$21:$E$613,COUNT(Market_Data!$E$21:$E$613)),1)),""))</f>
        <v>1939.9</v>
      </c>
      <c r="D60" s="88" vm="387">
        <f ca="1">IF($A60="","",IFERROR(INDEX(Market_Data!$I$21:$I$613,MATCH($A60,Market_Data!$H$21:INDEX(Market_Data!$H$21:$H$613,COUNT(Market_Data!$H$21:$H$613)),1)),""))</f>
        <v>980.9</v>
      </c>
      <c r="E60" s="88" vm="388">
        <f ca="1">IF($A60="","",IFERROR(INDEX(Market_Data!$L$21:$L$613,MATCH($A60,Market_Data!$K$21:INDEX(Market_Data!$K$21:$K$613,COUNT(Market_Data!$K$21:$K$613)),1)),""))</f>
        <v>3784</v>
      </c>
      <c r="F60" s="88" vm="389">
        <f ca="1">IF($A60="","",IFERROR(INDEX(Market_Data!$O$21:$O$613,MATCH($A60,Market_Data!$N$21:INDEX(Market_Data!$N$21:$N$613,COUNT(Market_Data!$N$21:$N$613)),1)),""))</f>
        <v>1561.8</v>
      </c>
      <c r="G60" s="88" vm="390">
        <f ca="1">IF($A60="","",IFERROR(INDEX(Market_Data!$R$21:$R$613,MATCH($A60,Market_Data!$Q$21:INDEX(Market_Data!$Q$21:$Q$613,COUNT(Market_Data!$Q$21:$Q$613)),1)),""))</f>
        <v>16265</v>
      </c>
      <c r="H60" s="88" vm="391">
        <f ca="1">IF($A60="","",IFERROR(INDEX(Market_Data!$U$21:$U$613,MATCH($A60,Market_Data!$T$21:INDEX(Market_Data!$T$21:$T$613,COUNT(Market_Data!$T$21:$T$613)),1)),""))</f>
        <v>1495.5</v>
      </c>
      <c r="I60" s="89">
        <f ca="1">IF($A60="","",IFERROR(INDEX(Query1[Close],MATCH($A60,Query1[Date],1)),""))</f>
        <v>25077.650390625</v>
      </c>
    </row>
    <row r="61" spans="1:9" x14ac:dyDescent="0.3">
      <c r="A61" s="87">
        <f t="shared" ca="1" si="1"/>
        <v>45943</v>
      </c>
      <c r="B61" s="88" vm="392">
        <f ca="1">IF($A61="","",IFERROR(INDEX(Market_Data!$C$21:$C$613,MATCH($A61,Market_Data!$B$21:INDEX(Market_Data!$B$21:$B$613,COUNT(Market_Data!$B$21:$B$613)),1)),""))</f>
        <v>1416.8</v>
      </c>
      <c r="C61" s="88" vm="393">
        <f ca="1">IF($A61="","",IFERROR(INDEX(Market_Data!$F$21:$F$613,MATCH($A61,Market_Data!$E$21:INDEX(Market_Data!$E$21:$E$613,COUNT(Market_Data!$E$21:$E$613)),1)),""))</f>
        <v>2012</v>
      </c>
      <c r="D61" s="88" vm="394">
        <f ca="1">IF($A61="","",IFERROR(INDEX(Market_Data!$I$21:$I$613,MATCH($A61,Market_Data!$H$21:INDEX(Market_Data!$H$21:$H$613,COUNT(Market_Data!$H$21:$H$613)),1)),""))</f>
        <v>1002.55</v>
      </c>
      <c r="E61" s="88" vm="395">
        <f ca="1">IF($A61="","",IFERROR(INDEX(Market_Data!$L$21:$L$613,MATCH($A61,Market_Data!$K$21:INDEX(Market_Data!$K$21:$K$613,COUNT(Market_Data!$K$21:$K$613)),1)),""))</f>
        <v>3839.4</v>
      </c>
      <c r="F61" s="88" vm="396">
        <f ca="1">IF($A61="","",IFERROR(INDEX(Market_Data!$O$21:$O$613,MATCH($A61,Market_Data!$N$21:INDEX(Market_Data!$N$21:$N$613,COUNT(Market_Data!$N$21:$N$613)),1)),""))</f>
        <v>1577.6</v>
      </c>
      <c r="G61" s="88" vm="397">
        <f ca="1">IF($A61="","",IFERROR(INDEX(Market_Data!$R$21:$R$613,MATCH($A61,Market_Data!$Q$21:INDEX(Market_Data!$Q$21:$Q$613,COUNT(Market_Data!$Q$21:$Q$613)),1)),""))</f>
        <v>16401</v>
      </c>
      <c r="H61" s="88" vm="398">
        <f ca="1">IF($A61="","",IFERROR(INDEX(Market_Data!$U$21:$U$613,MATCH($A61,Market_Data!$T$21:INDEX(Market_Data!$T$21:$T$613,COUNT(Market_Data!$T$21:$T$613)),1)),""))</f>
        <v>1486.2</v>
      </c>
      <c r="I61" s="89">
        <f ca="1">IF($A61="","",IFERROR(INDEX(Query1[Close],MATCH($A61,Query1[Date],1)),""))</f>
        <v>25227.349609375</v>
      </c>
    </row>
    <row r="62" spans="1:9" x14ac:dyDescent="0.3">
      <c r="A62" s="87">
        <f t="shared" ca="1" si="1"/>
        <v>45950</v>
      </c>
      <c r="B62" s="88" vm="399">
        <f ca="1">IF($A62="","",IFERROR(INDEX(Market_Data!$C$21:$C$613,MATCH($A62,Market_Data!$B$21:INDEX(Market_Data!$B$21:$B$613,COUNT(Market_Data!$B$21:$B$613)),1)),""))</f>
        <v>1451.6</v>
      </c>
      <c r="C62" s="88" vm="400">
        <f ca="1">IF($A62="","",IFERROR(INDEX(Market_Data!$F$21:$F$613,MATCH($A62,Market_Data!$E$21:INDEX(Market_Data!$E$21:$E$613,COUNT(Market_Data!$E$21:$E$613)),1)),""))</f>
        <v>2029.3</v>
      </c>
      <c r="D62" s="88" vm="401">
        <f ca="1">IF($A62="","",IFERROR(INDEX(Market_Data!$I$21:$I$613,MATCH($A62,Market_Data!$H$21:INDEX(Market_Data!$H$21:$H$613,COUNT(Market_Data!$H$21:$H$613)),1)),""))</f>
        <v>994.75</v>
      </c>
      <c r="E62" s="88" vm="402">
        <f ca="1">IF($A62="","",IFERROR(INDEX(Market_Data!$L$21:$L$613,MATCH($A62,Market_Data!$K$21:INDEX(Market_Data!$K$21:$K$613,COUNT(Market_Data!$K$21:$K$613)),1)),""))</f>
        <v>3904.9</v>
      </c>
      <c r="F62" s="88" vm="403">
        <f ca="1">IF($A62="","",IFERROR(INDEX(Market_Data!$O$21:$O$613,MATCH($A62,Market_Data!$N$21:INDEX(Market_Data!$N$21:$N$613,COUNT(Market_Data!$N$21:$N$613)),1)),""))</f>
        <v>1584.4</v>
      </c>
      <c r="G62" s="88" vm="404">
        <f ca="1">IF($A62="","",IFERROR(INDEX(Market_Data!$R$21:$R$613,MATCH($A62,Market_Data!$Q$21:INDEX(Market_Data!$Q$21:$Q$613,COUNT(Market_Data!$Q$21:$Q$613)),1)),""))</f>
        <v>16274</v>
      </c>
      <c r="H62" s="88" vm="405">
        <f ca="1">IF($A62="","",IFERROR(INDEX(Market_Data!$U$21:$U$613,MATCH($A62,Market_Data!$T$21:INDEX(Market_Data!$T$21:$T$613,COUNT(Market_Data!$T$21:$T$613)),1)),""))</f>
        <v>1523.8</v>
      </c>
      <c r="I62" s="89">
        <f ca="1">IF($A62="","",IFERROR(INDEX(Query1[Close],MATCH($A62,Query1[Date],1)),""))</f>
        <v>25843.150390625</v>
      </c>
    </row>
    <row r="63" spans="1:9" x14ac:dyDescent="0.3">
      <c r="A63" s="87">
        <f t="shared" ca="1" si="1"/>
        <v>45957</v>
      </c>
      <c r="B63" s="88" vm="406">
        <f ca="1">IF($A63="","",IFERROR(INDEX(Market_Data!$C$21:$C$613,MATCH($A63,Market_Data!$B$21:INDEX(Market_Data!$B$21:$B$613,COUNT(Market_Data!$B$21:$B$613)),1)),""))</f>
        <v>1486.4</v>
      </c>
      <c r="C63" s="88" vm="407">
        <f ca="1">IF($A63="","",IFERROR(INDEX(Market_Data!$F$21:$F$613,MATCH($A63,Market_Data!$E$21:INDEX(Market_Data!$E$21:$E$613,COUNT(Market_Data!$E$21:$E$613)),1)),""))</f>
        <v>2054.5</v>
      </c>
      <c r="D63" s="88" vm="408">
        <f ca="1">IF($A63="","",IFERROR(INDEX(Market_Data!$I$21:$I$613,MATCH($A63,Market_Data!$H$21:INDEX(Market_Data!$H$21:$H$613,COUNT(Market_Data!$H$21:$H$613)),1)),""))</f>
        <v>987.3</v>
      </c>
      <c r="E63" s="88" vm="409">
        <f ca="1">IF($A63="","",IFERROR(INDEX(Market_Data!$L$21:$L$613,MATCH($A63,Market_Data!$K$21:INDEX(Market_Data!$K$21:$K$613,COUNT(Market_Data!$K$21:$K$613)),1)),""))</f>
        <v>4030.9</v>
      </c>
      <c r="F63" s="88" vm="410">
        <f ca="1">IF($A63="","",IFERROR(INDEX(Market_Data!$O$21:$O$613,MATCH($A63,Market_Data!$N$21:INDEX(Market_Data!$N$21:$N$613,COUNT(Market_Data!$N$21:$N$613)),1)),""))</f>
        <v>1501.3</v>
      </c>
      <c r="G63" s="88" vm="411">
        <f ca="1">IF($A63="","",IFERROR(INDEX(Market_Data!$R$21:$R$613,MATCH($A63,Market_Data!$Q$21:INDEX(Market_Data!$Q$21:$Q$613,COUNT(Market_Data!$Q$21:$Q$613)),1)),""))</f>
        <v>16186</v>
      </c>
      <c r="H63" s="88" vm="412">
        <f ca="1">IF($A63="","",IFERROR(INDEX(Market_Data!$U$21:$U$613,MATCH($A63,Market_Data!$T$21:INDEX(Market_Data!$T$21:$T$613,COUNT(Market_Data!$T$21:$T$613)),1)),""))</f>
        <v>1541.5</v>
      </c>
      <c r="I63" s="89">
        <f ca="1">IF($A63="","",IFERROR(INDEX(Query1[Close],MATCH($A63,Query1[Date],1)),""))</f>
        <v>25966.05078125</v>
      </c>
    </row>
    <row r="64" spans="1:9" x14ac:dyDescent="0.3">
      <c r="A64" s="87">
        <f t="shared" ca="1" si="1"/>
        <v>45964</v>
      </c>
      <c r="B64" s="88" vm="413">
        <f ca="1">IF($A64="","",IFERROR(INDEX(Market_Data!$C$21:$C$613,MATCH($A64,Market_Data!$B$21:INDEX(Market_Data!$B$21:$B$613,COUNT(Market_Data!$B$21:$B$613)),1)),""))</f>
        <v>1478</v>
      </c>
      <c r="C64" s="88" vm="414">
        <f ca="1">IF($A64="","",IFERROR(INDEX(Market_Data!$F$21:$F$613,MATCH($A64,Market_Data!$E$21:INDEX(Market_Data!$E$21:$E$613,COUNT(Market_Data!$E$21:$E$613)),1)),""))</f>
        <v>2001.2</v>
      </c>
      <c r="D64" s="88" vm="339">
        <f ca="1">IF($A64="","",IFERROR(INDEX(Market_Data!$I$21:$I$613,MATCH($A64,Market_Data!$H$21:INDEX(Market_Data!$H$21:$H$613,COUNT(Market_Data!$H$21:$H$613)),1)),""))</f>
        <v>982.3</v>
      </c>
      <c r="E64" s="88" vm="415">
        <f ca="1">IF($A64="","",IFERROR(INDEX(Market_Data!$L$21:$L$613,MATCH($A64,Market_Data!$K$21:INDEX(Market_Data!$K$21:$K$613,COUNT(Market_Data!$K$21:$K$613)),1)),""))</f>
        <v>3882.5</v>
      </c>
      <c r="F64" s="88" vm="416">
        <f ca="1">IF($A64="","",IFERROR(INDEX(Market_Data!$O$21:$O$613,MATCH($A64,Market_Data!$N$21:INDEX(Market_Data!$N$21:$N$613,COUNT(Market_Data!$N$21:$N$613)),1)),""))</f>
        <v>1505.7</v>
      </c>
      <c r="G64" s="88" vm="417">
        <f ca="1">IF($A64="","",IFERROR(INDEX(Market_Data!$R$21:$R$613,MATCH($A64,Market_Data!$Q$21:INDEX(Market_Data!$Q$21:$Q$613,COUNT(Market_Data!$Q$21:$Q$613)),1)),""))</f>
        <v>15479</v>
      </c>
      <c r="H64" s="88" vm="418">
        <f ca="1">IF($A64="","",IFERROR(INDEX(Market_Data!$U$21:$U$613,MATCH($A64,Market_Data!$T$21:INDEX(Market_Data!$T$21:$T$613,COUNT(Market_Data!$T$21:$T$613)),1)),""))</f>
        <v>1512.4</v>
      </c>
      <c r="I64" s="89">
        <f ca="1">IF($A64="","",IFERROR(INDEX(Query1[Close],MATCH($A64,Query1[Date],1)),""))</f>
        <v>25763.349609375</v>
      </c>
    </row>
    <row r="65" spans="1:9" x14ac:dyDescent="0.3">
      <c r="A65" s="87">
        <f t="shared" ca="1" si="1"/>
        <v>45971</v>
      </c>
      <c r="B65" s="88" vm="419">
        <f ca="1">IF($A65="","",IFERROR(INDEX(Market_Data!$C$21:$C$613,MATCH($A65,Market_Data!$B$21:INDEX(Market_Data!$B$21:$B$613,COUNT(Market_Data!$B$21:$B$613)),1)),""))</f>
        <v>1518.9</v>
      </c>
      <c r="C65" s="88" vm="420">
        <f ca="1">IF($A65="","",IFERROR(INDEX(Market_Data!$F$21:$F$613,MATCH($A65,Market_Data!$E$21:INDEX(Market_Data!$E$21:$E$613,COUNT(Market_Data!$E$21:$E$613)),1)),""))</f>
        <v>2100.6999999999998</v>
      </c>
      <c r="D65" s="88" vm="421">
        <f ca="1">IF($A65="","",IFERROR(INDEX(Market_Data!$I$21:$I$613,MATCH($A65,Market_Data!$H$21:INDEX(Market_Data!$H$21:$H$613,COUNT(Market_Data!$H$21:$H$613)),1)),""))</f>
        <v>989.6</v>
      </c>
      <c r="E65" s="88" vm="422">
        <f ca="1">IF($A65="","",IFERROR(INDEX(Market_Data!$L$21:$L$613,MATCH($A65,Market_Data!$K$21:INDEX(Market_Data!$K$21:$K$613,COUNT(Market_Data!$K$21:$K$613)),1)),""))</f>
        <v>4004.4</v>
      </c>
      <c r="F65" s="88" vm="423">
        <f ca="1">IF($A65="","",IFERROR(INDEX(Market_Data!$O$21:$O$613,MATCH($A65,Market_Data!$N$21:INDEX(Market_Data!$N$21:$N$613,COUNT(Market_Data!$N$21:$N$613)),1)),""))</f>
        <v>1532.1</v>
      </c>
      <c r="G65" s="88" vm="424">
        <f ca="1">IF($A65="","",IFERROR(INDEX(Market_Data!$R$21:$R$613,MATCH($A65,Market_Data!$Q$21:INDEX(Market_Data!$Q$21:$Q$613,COUNT(Market_Data!$Q$21:$Q$613)),1)),""))</f>
        <v>15684</v>
      </c>
      <c r="H65" s="88" vm="425">
        <f ca="1">IF($A65="","",IFERROR(INDEX(Market_Data!$U$21:$U$613,MATCH($A65,Market_Data!$T$21:INDEX(Market_Data!$T$21:$T$613,COUNT(Market_Data!$T$21:$T$613)),1)),""))</f>
        <v>1594.6</v>
      </c>
      <c r="I65" s="89">
        <f ca="1">IF($A65="","",IFERROR(INDEX(Query1[Close],MATCH($A65,Query1[Date],1)),""))</f>
        <v>25574.349609375</v>
      </c>
    </row>
    <row r="66" spans="1:9" x14ac:dyDescent="0.3">
      <c r="A66" s="87">
        <f t="shared" ca="1" si="1"/>
        <v>45978</v>
      </c>
      <c r="B66" s="88" vm="426">
        <f ca="1">IF($A66="","",IFERROR(INDEX(Market_Data!$C$21:$C$613,MATCH($A66,Market_Data!$B$21:INDEX(Market_Data!$B$21:$B$613,COUNT(Market_Data!$B$21:$B$613)),1)),""))</f>
        <v>1546.6</v>
      </c>
      <c r="C66" s="88" vm="427">
        <f ca="1">IF($A66="","",IFERROR(INDEX(Market_Data!$F$21:$F$613,MATCH($A66,Market_Data!$E$21:INDEX(Market_Data!$E$21:$E$613,COUNT(Market_Data!$E$21:$E$613)),1)),""))</f>
        <v>2162.6999999999998</v>
      </c>
      <c r="D66" s="88" vm="428">
        <f ca="1">IF($A66="","",IFERROR(INDEX(Market_Data!$I$21:$I$613,MATCH($A66,Market_Data!$H$21:INDEX(Market_Data!$H$21:$H$613,COUNT(Market_Data!$H$21:$H$613)),1)),""))</f>
        <v>998.05</v>
      </c>
      <c r="E66" s="88" vm="429">
        <f ca="1">IF($A66="","",IFERROR(INDEX(Market_Data!$L$21:$L$613,MATCH($A66,Market_Data!$K$21:INDEX(Market_Data!$K$21:$K$613,COUNT(Market_Data!$K$21:$K$613)),1)),""))</f>
        <v>4024.9</v>
      </c>
      <c r="F66" s="88" vm="430">
        <f ca="1">IF($A66="","",IFERROR(INDEX(Market_Data!$O$21:$O$613,MATCH($A66,Market_Data!$N$21:INDEX(Market_Data!$N$21:$N$613,COUNT(Market_Data!$N$21:$N$613)),1)),""))</f>
        <v>1511.8</v>
      </c>
      <c r="G66" s="88" vm="431">
        <f ca="1">IF($A66="","",IFERROR(INDEX(Market_Data!$R$21:$R$613,MATCH($A66,Market_Data!$Q$21:INDEX(Market_Data!$Q$21:$Q$613,COUNT(Market_Data!$Q$21:$Q$613)),1)),""))</f>
        <v>15977</v>
      </c>
      <c r="H66" s="88" vm="432">
        <f ca="1">IF($A66="","",IFERROR(INDEX(Market_Data!$U$21:$U$613,MATCH($A66,Market_Data!$T$21:INDEX(Market_Data!$T$21:$T$613,COUNT(Market_Data!$T$21:$T$613)),1)),""))</f>
        <v>1608</v>
      </c>
      <c r="I66" s="89">
        <f ca="1">IF($A66="","",IFERROR(INDEX(Query1[Close],MATCH($A66,Query1[Date],1)),""))</f>
        <v>26013.44921875</v>
      </c>
    </row>
    <row r="67" spans="1:9" x14ac:dyDescent="0.3">
      <c r="A67" s="87">
        <f t="shared" ca="1" si="1"/>
        <v>45985</v>
      </c>
      <c r="B67" s="88" vm="433">
        <f ca="1">IF($A67="","",IFERROR(INDEX(Market_Data!$C$21:$C$613,MATCH($A67,Market_Data!$B$21:INDEX(Market_Data!$B$21:$B$613,COUNT(Market_Data!$B$21:$B$613)),1)),""))</f>
        <v>1567.5</v>
      </c>
      <c r="C67" s="88" vm="434">
        <f ca="1">IF($A67="","",IFERROR(INDEX(Market_Data!$F$21:$F$613,MATCH($A67,Market_Data!$E$21:INDEX(Market_Data!$E$21:$E$613,COUNT(Market_Data!$E$21:$E$613)),1)),""))</f>
        <v>2101.6</v>
      </c>
      <c r="D67" s="88" vm="435">
        <f ca="1">IF($A67="","",IFERROR(INDEX(Market_Data!$I$21:$I$613,MATCH($A67,Market_Data!$H$21:INDEX(Market_Data!$H$21:$H$613,COUNT(Market_Data!$H$21:$H$613)),1)),""))</f>
        <v>1007.6</v>
      </c>
      <c r="E67" s="88" vm="436">
        <f ca="1">IF($A67="","",IFERROR(INDEX(Market_Data!$L$21:$L$613,MATCH($A67,Market_Data!$K$21:INDEX(Market_Data!$K$21:$K$613,COUNT(Market_Data!$K$21:$K$613)),1)),""))</f>
        <v>4069.6</v>
      </c>
      <c r="F67" s="88" vm="437">
        <f ca="1">IF($A67="","",IFERROR(INDEX(Market_Data!$O$21:$O$613,MATCH($A67,Market_Data!$N$21:INDEX(Market_Data!$N$21:$N$613,COUNT(Market_Data!$N$21:$N$613)),1)),""))</f>
        <v>1531.3</v>
      </c>
      <c r="G67" s="88" vm="438">
        <f ca="1">IF($A67="","",IFERROR(INDEX(Market_Data!$R$21:$R$613,MATCH($A67,Market_Data!$Q$21:INDEX(Market_Data!$Q$21:$Q$613,COUNT(Market_Data!$Q$21:$Q$613)),1)),""))</f>
        <v>15900</v>
      </c>
      <c r="H67" s="88" vm="439">
        <f ca="1">IF($A67="","",IFERROR(INDEX(Market_Data!$U$21:$U$613,MATCH($A67,Market_Data!$T$21:INDEX(Market_Data!$T$21:$T$613,COUNT(Market_Data!$T$21:$T$613)),1)),""))</f>
        <v>1624.2</v>
      </c>
      <c r="I67" s="89">
        <f ca="1">IF($A67="","",IFERROR(INDEX(Query1[Close],MATCH($A67,Query1[Date],1)),""))</f>
        <v>25959.5</v>
      </c>
    </row>
    <row r="68" spans="1:9" x14ac:dyDescent="0.3">
      <c r="A68" s="87">
        <f t="shared" ca="1" si="1"/>
        <v>45992</v>
      </c>
      <c r="B68" s="88" vm="440">
        <f ca="1">IF($A68="","",IFERROR(INDEX(Market_Data!$C$21:$C$613,MATCH($A68,Market_Data!$B$21:INDEX(Market_Data!$B$21:$B$613,COUNT(Market_Data!$B$21:$B$613)),1)),""))</f>
        <v>1540.6</v>
      </c>
      <c r="C68" s="88" vm="441">
        <f ca="1">IF($A68="","",IFERROR(INDEX(Market_Data!$F$21:$F$613,MATCH($A68,Market_Data!$E$21:INDEX(Market_Data!$E$21:$E$613,COUNT(Market_Data!$E$21:$E$613)),1)),""))</f>
        <v>2108.8000000000002</v>
      </c>
      <c r="D68" s="88" vm="442">
        <f ca="1">IF($A68="","",IFERROR(INDEX(Market_Data!$I$21:$I$613,MATCH($A68,Market_Data!$H$21:INDEX(Market_Data!$H$21:$H$613,COUNT(Market_Data!$H$21:$H$613)),1)),""))</f>
        <v>1003.3</v>
      </c>
      <c r="E68" s="88" vm="443">
        <f ca="1">IF($A68="","",IFERROR(INDEX(Market_Data!$L$21:$L$613,MATCH($A68,Market_Data!$K$21:INDEX(Market_Data!$K$21:$K$613,COUNT(Market_Data!$K$21:$K$613)),1)),""))</f>
        <v>4038.2</v>
      </c>
      <c r="F68" s="88" vm="444">
        <f ca="1">IF($A68="","",IFERROR(INDEX(Market_Data!$O$21:$O$613,MATCH($A68,Market_Data!$N$21:INDEX(Market_Data!$N$21:$N$613,COUNT(Market_Data!$N$21:$N$613)),1)),""))</f>
        <v>1520.8</v>
      </c>
      <c r="G68" s="88" vm="445">
        <f ca="1">IF($A68="","",IFERROR(INDEX(Market_Data!$R$21:$R$613,MATCH($A68,Market_Data!$Q$21:INDEX(Market_Data!$Q$21:$Q$613,COUNT(Market_Data!$Q$21:$Q$613)),1)),""))</f>
        <v>16282</v>
      </c>
      <c r="H68" s="88" vm="446">
        <f ca="1">IF($A68="","",IFERROR(INDEX(Market_Data!$U$21:$U$613,MATCH($A68,Market_Data!$T$21:INDEX(Market_Data!$T$21:$T$613,COUNT(Market_Data!$T$21:$T$613)),1)),""))</f>
        <v>1683</v>
      </c>
      <c r="I68" s="89">
        <f ca="1">IF($A68="","",IFERROR(INDEX(Query1[Close],MATCH($A68,Query1[Date],1)),""))</f>
        <v>26175.75</v>
      </c>
    </row>
    <row r="69" spans="1:9" x14ac:dyDescent="0.3">
      <c r="A69" s="87">
        <f t="shared" ref="A69:A100" ca="1" si="2">IF($A68="","",IF($A68+7&lt;=TODAY(),$A68+7,""))</f>
        <v>45999</v>
      </c>
      <c r="B69" s="88" vm="447">
        <f ca="1">IF($A69="","",IFERROR(INDEX(Market_Data!$C$21:$C$613,MATCH($A69,Market_Data!$B$21:INDEX(Market_Data!$B$21:$B$613,COUNT(Market_Data!$B$21:$B$613)),1)),""))</f>
        <v>1556.5</v>
      </c>
      <c r="C69" s="88" vm="448">
        <f ca="1">IF($A69="","",IFERROR(INDEX(Market_Data!$F$21:$F$613,MATCH($A69,Market_Data!$E$21:INDEX(Market_Data!$E$21:$E$613,COUNT(Market_Data!$E$21:$E$613)),1)),""))</f>
        <v>2083.4</v>
      </c>
      <c r="D69" s="88" vm="449">
        <f ca="1">IF($A69="","",IFERROR(INDEX(Market_Data!$I$21:$I$613,MATCH($A69,Market_Data!$H$21:INDEX(Market_Data!$H$21:$H$613,COUNT(Market_Data!$H$21:$H$613)),1)),""))</f>
        <v>1001.5</v>
      </c>
      <c r="E69" s="88" vm="450">
        <f ca="1">IF($A69="","",IFERROR(INDEX(Market_Data!$L$21:$L$613,MATCH($A69,Market_Data!$K$21:INDEX(Market_Data!$K$21:$K$613,COUNT(Market_Data!$K$21:$K$613)),1)),""))</f>
        <v>4074.1</v>
      </c>
      <c r="F69" s="88" vm="451">
        <f ca="1">IF($A69="","",IFERROR(INDEX(Market_Data!$O$21:$O$613,MATCH($A69,Market_Data!$N$21:INDEX(Market_Data!$N$21:$N$613,COUNT(Market_Data!$N$21:$N$613)),1)),""))</f>
        <v>1517.4</v>
      </c>
      <c r="G69" s="88" vm="452">
        <f ca="1">IF($A69="","",IFERROR(INDEX(Market_Data!$R$21:$R$613,MATCH($A69,Market_Data!$Q$21:INDEX(Market_Data!$Q$21:$Q$613,COUNT(Market_Data!$Q$21:$Q$613)),1)),""))</f>
        <v>16522</v>
      </c>
      <c r="H69" s="88" vm="453">
        <f ca="1">IF($A69="","",IFERROR(INDEX(Market_Data!$U$21:$U$613,MATCH($A69,Market_Data!$T$21:INDEX(Market_Data!$T$21:$T$613,COUNT(Market_Data!$T$21:$T$613)),1)),""))</f>
        <v>1673.2</v>
      </c>
      <c r="I69" s="89">
        <f ca="1">IF($A69="","",IFERROR(INDEX(Query1[Close],MATCH($A69,Query1[Date],1)),""))</f>
        <v>25960.55078125</v>
      </c>
    </row>
    <row r="70" spans="1:9" x14ac:dyDescent="0.3">
      <c r="A70" s="87">
        <f t="shared" ca="1" si="2"/>
        <v>46006</v>
      </c>
      <c r="B70" s="88" vm="454">
        <f ca="1">IF($A70="","",IFERROR(INDEX(Market_Data!$C$21:$C$613,MATCH($A70,Market_Data!$B$21:INDEX(Market_Data!$B$21:$B$613,COUNT(Market_Data!$B$21:$B$613)),1)),""))</f>
        <v>1565.1</v>
      </c>
      <c r="C70" s="88" vm="455">
        <f ca="1">IF($A70="","",IFERROR(INDEX(Market_Data!$F$21:$F$613,MATCH($A70,Market_Data!$E$21:INDEX(Market_Data!$E$21:$E$613,COUNT(Market_Data!$E$21:$E$613)),1)),""))</f>
        <v>2097.6999999999998</v>
      </c>
      <c r="D70" s="88" vm="456">
        <f ca="1">IF($A70="","",IFERROR(INDEX(Market_Data!$I$21:$I$613,MATCH($A70,Market_Data!$H$21:INDEX(Market_Data!$H$21:$H$613,COUNT(Market_Data!$H$21:$H$613)),1)),""))</f>
        <v>985.5</v>
      </c>
      <c r="E70" s="88" vm="457">
        <f ca="1">IF($A70="","",IFERROR(INDEX(Market_Data!$L$21:$L$613,MATCH($A70,Market_Data!$K$21:INDEX(Market_Data!$K$21:$K$613,COUNT(Market_Data!$K$21:$K$613)),1)),""))</f>
        <v>4073.5</v>
      </c>
      <c r="F70" s="88" vm="458">
        <f ca="1">IF($A70="","",IFERROR(INDEX(Market_Data!$O$21:$O$613,MATCH($A70,Market_Data!$N$21:INDEX(Market_Data!$N$21:$N$613,COUNT(Market_Data!$N$21:$N$613)),1)),""))</f>
        <v>1517.1</v>
      </c>
      <c r="G70" s="88" vm="459">
        <f ca="1">IF($A70="","",IFERROR(INDEX(Market_Data!$R$21:$R$613,MATCH($A70,Market_Data!$Q$21:INDEX(Market_Data!$Q$21:$Q$613,COUNT(Market_Data!$Q$21:$Q$613)),1)),""))</f>
        <v>16414</v>
      </c>
      <c r="H70" s="88" vm="460">
        <f ca="1">IF($A70="","",IFERROR(INDEX(Market_Data!$U$21:$U$613,MATCH($A70,Market_Data!$T$21:INDEX(Market_Data!$T$21:$T$613,COUNT(Market_Data!$T$21:$T$613)),1)),""))</f>
        <v>1642.4</v>
      </c>
      <c r="I70" s="89">
        <f ca="1">IF($A70="","",IFERROR(INDEX(Query1[Close],MATCH($A70,Query1[Date],1)),""))</f>
        <v>26027.30078125</v>
      </c>
    </row>
    <row r="71" spans="1:9" x14ac:dyDescent="0.3">
      <c r="A71" s="87">
        <f t="shared" ca="1" si="2"/>
        <v>46013</v>
      </c>
      <c r="B71" s="88" vm="461">
        <f ca="1">IF($A71="","",IFERROR(INDEX(Market_Data!$C$21:$C$613,MATCH($A71,Market_Data!$B$21:INDEX(Market_Data!$B$21:$B$613,COUNT(Market_Data!$B$21:$B$613)),1)),""))</f>
        <v>1559.2</v>
      </c>
      <c r="C71" s="88" vm="462">
        <f ca="1">IF($A71="","",IFERROR(INDEX(Market_Data!$F$21:$F$613,MATCH($A71,Market_Data!$E$21:INDEX(Market_Data!$E$21:$E$613,COUNT(Market_Data!$E$21:$E$613)),1)),""))</f>
        <v>2105.4</v>
      </c>
      <c r="D71" s="88" vm="463">
        <f ca="1">IF($A71="","",IFERROR(INDEX(Market_Data!$I$21:$I$613,MATCH($A71,Market_Data!$H$21:INDEX(Market_Data!$H$21:$H$613,COUNT(Market_Data!$H$21:$H$613)),1)),""))</f>
        <v>992.1</v>
      </c>
      <c r="E71" s="88" vm="464">
        <f ca="1">IF($A71="","",IFERROR(INDEX(Market_Data!$L$21:$L$613,MATCH($A71,Market_Data!$K$21:INDEX(Market_Data!$K$21:$K$613,COUNT(Market_Data!$K$21:$K$613)),1)),""))</f>
        <v>4047.3</v>
      </c>
      <c r="F71" s="88" vm="465">
        <f ca="1">IF($A71="","",IFERROR(INDEX(Market_Data!$O$21:$O$613,MATCH($A71,Market_Data!$N$21:INDEX(Market_Data!$N$21:$N$613,COUNT(Market_Data!$N$21:$N$613)),1)),""))</f>
        <v>1506</v>
      </c>
      <c r="G71" s="88" vm="466">
        <f ca="1">IF($A71="","",IFERROR(INDEX(Market_Data!$R$21:$R$613,MATCH($A71,Market_Data!$Q$21:INDEX(Market_Data!$Q$21:$Q$613,COUNT(Market_Data!$Q$21:$Q$613)),1)),""))</f>
        <v>16596</v>
      </c>
      <c r="H71" s="88" vm="467">
        <f ca="1">IF($A71="","",IFERROR(INDEX(Market_Data!$U$21:$U$613,MATCH($A71,Market_Data!$T$21:INDEX(Market_Data!$T$21:$T$613,COUNT(Market_Data!$T$21:$T$613)),1)),""))</f>
        <v>1660.9</v>
      </c>
      <c r="I71" s="89">
        <f ca="1">IF($A71="","",IFERROR(INDEX(Query1[Close],MATCH($A71,Query1[Date],1)),""))</f>
        <v>26172.400390625</v>
      </c>
    </row>
    <row r="72" spans="1:9" x14ac:dyDescent="0.3">
      <c r="A72" s="87">
        <f t="shared" ca="1" si="2"/>
        <v>46020</v>
      </c>
      <c r="B72" s="88" vm="468">
        <f ca="1">IF($A72="","",IFERROR(INDEX(Market_Data!$C$21:$C$613,MATCH($A72,Market_Data!$B$21:INDEX(Market_Data!$B$21:$B$613,COUNT(Market_Data!$B$21:$B$613)),1)),""))</f>
        <v>1592.3</v>
      </c>
      <c r="C72" s="88" vm="469">
        <f ca="1">IF($A72="","",IFERROR(INDEX(Market_Data!$F$21:$F$613,MATCH($A72,Market_Data!$E$21:INDEX(Market_Data!$E$21:$E$613,COUNT(Market_Data!$E$21:$E$613)),1)),""))</f>
        <v>2106.3000000000002</v>
      </c>
      <c r="D72" s="88" vm="470">
        <f ca="1">IF($A72="","",IFERROR(INDEX(Market_Data!$I$21:$I$613,MATCH($A72,Market_Data!$H$21:INDEX(Market_Data!$H$21:$H$613,COUNT(Market_Data!$H$21:$H$613)),1)),""))</f>
        <v>1001.6</v>
      </c>
      <c r="E72" s="88" vm="471">
        <f ca="1">IF($A72="","",IFERROR(INDEX(Market_Data!$L$21:$L$613,MATCH($A72,Market_Data!$K$21:INDEX(Market_Data!$K$21:$K$613,COUNT(Market_Data!$K$21:$K$613)),1)),""))</f>
        <v>4163.3999999999996</v>
      </c>
      <c r="F72" s="88" vm="472">
        <f ca="1">IF($A72="","",IFERROR(INDEX(Market_Data!$O$21:$O$613,MATCH($A72,Market_Data!$N$21:INDEX(Market_Data!$N$21:$N$613,COUNT(Market_Data!$N$21:$N$613)),1)),""))</f>
        <v>1511.6</v>
      </c>
      <c r="G72" s="88" vm="473">
        <f ca="1">IF($A72="","",IFERROR(INDEX(Market_Data!$R$21:$R$613,MATCH($A72,Market_Data!$Q$21:INDEX(Market_Data!$Q$21:$Q$613,COUNT(Market_Data!$Q$21:$Q$613)),1)),""))</f>
        <v>16960</v>
      </c>
      <c r="H72" s="88" vm="474">
        <f ca="1">IF($A72="","",IFERROR(INDEX(Market_Data!$U$21:$U$613,MATCH($A72,Market_Data!$T$21:INDEX(Market_Data!$T$21:$T$613,COUNT(Market_Data!$T$21:$T$613)),1)),""))</f>
        <v>1640.2</v>
      </c>
      <c r="I72" s="89">
        <f ca="1">IF($A72="","",IFERROR(INDEX(Query1[Close],MATCH($A72,Query1[Date],1)),""))</f>
        <v>25942.099609375</v>
      </c>
    </row>
    <row r="73" spans="1:9" x14ac:dyDescent="0.3">
      <c r="A73" s="87">
        <f t="shared" ca="1" si="2"/>
        <v>46027</v>
      </c>
      <c r="B73" s="88" vm="475">
        <f ca="1">IF($A73="","",IFERROR(INDEX(Market_Data!$C$21:$C$613,MATCH($A73,Market_Data!$B$21:INDEX(Market_Data!$B$21:$B$613,COUNT(Market_Data!$B$21:$B$613)),1)),""))</f>
        <v>1475.3</v>
      </c>
      <c r="C73" s="88" vm="282">
        <f ca="1">IF($A73="","",IFERROR(INDEX(Market_Data!$F$21:$F$613,MATCH($A73,Market_Data!$E$21:INDEX(Market_Data!$E$21:$E$613,COUNT(Market_Data!$E$21:$E$613)),1)),""))</f>
        <v>2027.1</v>
      </c>
      <c r="D73" s="88" vm="476">
        <f ca="1">IF($A73="","",IFERROR(INDEX(Market_Data!$I$21:$I$613,MATCH($A73,Market_Data!$H$21:INDEX(Market_Data!$H$21:$H$613,COUNT(Market_Data!$H$21:$H$613)),1)),""))</f>
        <v>939</v>
      </c>
      <c r="E73" s="88" vm="477">
        <f ca="1">IF($A73="","",IFERROR(INDEX(Market_Data!$L$21:$L$613,MATCH($A73,Market_Data!$K$21:INDEX(Market_Data!$K$21:$K$613,COUNT(Market_Data!$K$21:$K$613)),1)),""))</f>
        <v>4025.2</v>
      </c>
      <c r="F73" s="88" vm="257">
        <f ca="1">IF($A73="","",IFERROR(INDEX(Market_Data!$O$21:$O$613,MATCH($A73,Market_Data!$N$21:INDEX(Market_Data!$N$21:$N$613,COUNT(Market_Data!$N$21:$N$613)),1)),""))</f>
        <v>1465.7</v>
      </c>
      <c r="G73" s="88" vm="478">
        <f ca="1">IF($A73="","",IFERROR(INDEX(Market_Data!$R$21:$R$613,MATCH($A73,Market_Data!$Q$21:INDEX(Market_Data!$Q$21:$Q$613,COUNT(Market_Data!$Q$21:$Q$613)),1)),""))</f>
        <v>16501</v>
      </c>
      <c r="H73" s="88" vm="479">
        <f ca="1">IF($A73="","",IFERROR(INDEX(Market_Data!$U$21:$U$613,MATCH($A73,Market_Data!$T$21:INDEX(Market_Data!$T$21:$T$613,COUNT(Market_Data!$T$21:$T$613)),1)),""))</f>
        <v>1661.4</v>
      </c>
      <c r="I73" s="89">
        <f ca="1">IF($A73="","",IFERROR(INDEX(Query1[Close],MATCH($A73,Query1[Date],1)),""))</f>
        <v>26250.30078125</v>
      </c>
    </row>
    <row r="74" spans="1:9" x14ac:dyDescent="0.3">
      <c r="A74" s="87">
        <f t="shared" ca="1" si="2"/>
        <v>46034</v>
      </c>
      <c r="B74" s="88" vm="480">
        <f ca="1">IF($A74="","",IFERROR(INDEX(Market_Data!$C$21:$C$613,MATCH($A74,Market_Data!$B$21:INDEX(Market_Data!$B$21:$B$613,COUNT(Market_Data!$B$21:$B$613)),1)),""))</f>
        <v>1457.9</v>
      </c>
      <c r="C74" s="88" vm="481">
        <f ca="1">IF($A74="","",IFERROR(INDEX(Market_Data!$F$21:$F$613,MATCH($A74,Market_Data!$E$21:INDEX(Market_Data!$E$21:$E$613,COUNT(Market_Data!$E$21:$E$613)),1)),""))</f>
        <v>2016.4</v>
      </c>
      <c r="D74" s="88" vm="482">
        <f ca="1">IF($A74="","",IFERROR(INDEX(Market_Data!$I$21:$I$613,MATCH($A74,Market_Data!$H$21:INDEX(Market_Data!$H$21:$H$613,COUNT(Market_Data!$H$21:$H$613)),1)),""))</f>
        <v>931.1</v>
      </c>
      <c r="E74" s="88" vm="483">
        <f ca="1">IF($A74="","",IFERROR(INDEX(Market_Data!$L$21:$L$613,MATCH($A74,Market_Data!$K$21:INDEX(Market_Data!$K$21:$K$613,COUNT(Market_Data!$K$21:$K$613)),1)),""))</f>
        <v>3856.4</v>
      </c>
      <c r="F74" s="88" vm="484">
        <f ca="1">IF($A74="","",IFERROR(INDEX(Market_Data!$O$21:$O$613,MATCH($A74,Market_Data!$N$21:INDEX(Market_Data!$N$21:$N$613,COUNT(Market_Data!$N$21:$N$613)),1)),""))</f>
        <v>1397.5</v>
      </c>
      <c r="G74" s="88" vm="485">
        <f ca="1">IF($A74="","",IFERROR(INDEX(Market_Data!$R$21:$R$613,MATCH($A74,Market_Data!$Q$21:INDEX(Market_Data!$Q$21:$Q$613,COUNT(Market_Data!$Q$21:$Q$613)),1)),""))</f>
        <v>15859</v>
      </c>
      <c r="H74" s="88" vm="486">
        <f ca="1">IF($A74="","",IFERROR(INDEX(Market_Data!$U$21:$U$613,MATCH($A74,Market_Data!$T$21:INDEX(Market_Data!$T$21:$T$613,COUNT(Market_Data!$T$21:$T$613)),1)),""))</f>
        <v>1698</v>
      </c>
      <c r="I74" s="89">
        <f ca="1">IF($A74="","",IFERROR(INDEX(Query1[Close],MATCH($A74,Query1[Date],1)),""))</f>
        <v>25790.25</v>
      </c>
    </row>
    <row r="75" spans="1:9" x14ac:dyDescent="0.3">
      <c r="A75" s="87">
        <f t="shared" ca="1" si="2"/>
        <v>46041</v>
      </c>
      <c r="B75" s="88" vm="487">
        <f ca="1">IF($A75="","",IFERROR(INDEX(Market_Data!$C$21:$C$613,MATCH($A75,Market_Data!$B$21:INDEX(Market_Data!$B$21:$B$613,COUNT(Market_Data!$B$21:$B$613)),1)),""))</f>
        <v>1386.1</v>
      </c>
      <c r="C75" s="88" vm="488">
        <f ca="1">IF($A75="","",IFERROR(INDEX(Market_Data!$F$21:$F$613,MATCH($A75,Market_Data!$E$21:INDEX(Market_Data!$E$21:$E$613,COUNT(Market_Data!$E$21:$E$613)),1)),""))</f>
        <v>1984.7</v>
      </c>
      <c r="D75" s="88" vm="489">
        <f ca="1">IF($A75="","",IFERROR(INDEX(Market_Data!$I$21:$I$613,MATCH($A75,Market_Data!$H$21:INDEX(Market_Data!$H$21:$H$613,COUNT(Market_Data!$H$21:$H$613)),1)),""))</f>
        <v>916.1</v>
      </c>
      <c r="E75" s="88" vm="490">
        <f ca="1">IF($A75="","",IFERROR(INDEX(Market_Data!$L$21:$L$613,MATCH($A75,Market_Data!$K$21:INDEX(Market_Data!$K$21:$K$613,COUNT(Market_Data!$K$21:$K$613)),1)),""))</f>
        <v>3743.8</v>
      </c>
      <c r="F75" s="88" vm="491">
        <f ca="1">IF($A75="","",IFERROR(INDEX(Market_Data!$O$21:$O$613,MATCH($A75,Market_Data!$N$21:INDEX(Market_Data!$N$21:$N$613,COUNT(Market_Data!$N$21:$N$613)),1)),""))</f>
        <v>1315</v>
      </c>
      <c r="G75" s="88" vm="492">
        <f ca="1">IF($A75="","",IFERROR(INDEX(Market_Data!$R$21:$R$613,MATCH($A75,Market_Data!$Q$21:INDEX(Market_Data!$Q$21:$Q$613,COUNT(Market_Data!$Q$21:$Q$613)),1)),""))</f>
        <v>15469</v>
      </c>
      <c r="H75" s="88" vm="493">
        <f ca="1">IF($A75="","",IFERROR(INDEX(Market_Data!$U$21:$U$613,MATCH($A75,Market_Data!$T$21:INDEX(Market_Data!$T$21:$T$613,COUNT(Market_Data!$T$21:$T$613)),1)),""))</f>
        <v>1707</v>
      </c>
      <c r="I75" s="89">
        <f ca="1">IF($A75="","",IFERROR(INDEX(Query1[Close],MATCH($A75,Query1[Date],1)),""))</f>
        <v>25585.5</v>
      </c>
    </row>
    <row r="76" spans="1:9" x14ac:dyDescent="0.3">
      <c r="A76" s="87">
        <f t="shared" ca="1" si="2"/>
        <v>46048</v>
      </c>
      <c r="B76" s="88" vm="487">
        <f ca="1">IF($A76="","",IFERROR(INDEX(Market_Data!$C$21:$C$613,MATCH($A76,Market_Data!$B$21:INDEX(Market_Data!$B$21:$B$613,COUNT(Market_Data!$B$21:$B$613)),1)),""))</f>
        <v>1386.1</v>
      </c>
      <c r="C76" s="88" vm="488">
        <f ca="1">IF($A76="","",IFERROR(INDEX(Market_Data!$F$21:$F$613,MATCH($A76,Market_Data!$E$21:INDEX(Market_Data!$E$21:$E$613,COUNT(Market_Data!$E$21:$E$613)),1)),""))</f>
        <v>1984.7</v>
      </c>
      <c r="D76" s="88" vm="489">
        <f ca="1">IF($A76="","",IFERROR(INDEX(Market_Data!$I$21:$I$613,MATCH($A76,Market_Data!$H$21:INDEX(Market_Data!$H$21:$H$613,COUNT(Market_Data!$H$21:$H$613)),1)),""))</f>
        <v>916.1</v>
      </c>
      <c r="E76" s="88" vm="490">
        <f ca="1">IF($A76="","",IFERROR(INDEX(Market_Data!$L$21:$L$613,MATCH($A76,Market_Data!$K$21:INDEX(Market_Data!$K$21:$K$613,COUNT(Market_Data!$K$21:$K$613)),1)),""))</f>
        <v>3743.8</v>
      </c>
      <c r="F76" s="88" vm="491">
        <f ca="1">IF($A76="","",IFERROR(INDEX(Market_Data!$O$21:$O$613,MATCH($A76,Market_Data!$N$21:INDEX(Market_Data!$N$21:$N$613,COUNT(Market_Data!$N$21:$N$613)),1)),""))</f>
        <v>1315</v>
      </c>
      <c r="G76" s="88" vm="492">
        <f ca="1">IF($A76="","",IFERROR(INDEX(Market_Data!$R$21:$R$613,MATCH($A76,Market_Data!$Q$21:INDEX(Market_Data!$Q$21:$Q$613,COUNT(Market_Data!$Q$21:$Q$613)),1)),""))</f>
        <v>15469</v>
      </c>
      <c r="H76" s="88" vm="493">
        <f ca="1">IF($A76="","",IFERROR(INDEX(Market_Data!$U$21:$U$613,MATCH($A76,Market_Data!$T$21:INDEX(Market_Data!$T$21:$T$613,COUNT(Market_Data!$T$21:$T$613)),1)),""))</f>
        <v>1707</v>
      </c>
      <c r="I76" s="89">
        <f ca="1">IF($A76="","",IFERROR(INDEX(Query1[Close],MATCH($A76,Query1[Date],1)),""))</f>
        <v>25175.400390625</v>
      </c>
    </row>
    <row r="77" spans="1:9" x14ac:dyDescent="0.3">
      <c r="A77" s="87">
        <f t="shared" ca="1" si="2"/>
        <v>46055</v>
      </c>
      <c r="B77" s="88" vm="494">
        <f ca="1">IF($A77="","",IFERROR(INDEX(Market_Data!$C$21:$C$613,MATCH($A77,Market_Data!$B$21:INDEX(Market_Data!$B$21:$B$613,COUNT(Market_Data!$B$21:$B$613)),1)),""))</f>
        <v>1450.8</v>
      </c>
      <c r="C77" s="88" vm="495">
        <f ca="1">IF($A77="","",IFERROR(INDEX(Market_Data!$F$21:$F$613,MATCH($A77,Market_Data!$E$21:INDEX(Market_Data!$E$21:$E$613,COUNT(Market_Data!$E$21:$E$613)),1)),""))</f>
        <v>2038.4</v>
      </c>
      <c r="D77" s="88" vm="496">
        <f ca="1">IF($A77="","",IFERROR(INDEX(Market_Data!$I$21:$I$613,MATCH($A77,Market_Data!$H$21:INDEX(Market_Data!$H$21:$H$613,COUNT(Market_Data!$H$21:$H$613)),1)),""))</f>
        <v>941.1</v>
      </c>
      <c r="E77" s="88" vm="497">
        <f ca="1">IF($A77="","",IFERROR(INDEX(Market_Data!$L$21:$L$613,MATCH($A77,Market_Data!$K$21:INDEX(Market_Data!$K$21:$K$613,COUNT(Market_Data!$K$21:$K$613)),1)),""))</f>
        <v>4068.1</v>
      </c>
      <c r="F77" s="88" vm="498">
        <f ca="1">IF($A77="","",IFERROR(INDEX(Market_Data!$O$21:$O$613,MATCH($A77,Market_Data!$N$21:INDEX(Market_Data!$N$21:$N$613,COUNT(Market_Data!$N$21:$N$613)),1)),""))</f>
        <v>1330</v>
      </c>
      <c r="G77" s="88" vm="499">
        <f ca="1">IF($A77="","",IFERROR(INDEX(Market_Data!$R$21:$R$613,MATCH($A77,Market_Data!$Q$21:INDEX(Market_Data!$Q$21:$Q$613,COUNT(Market_Data!$Q$21:$Q$613)),1)),""))</f>
        <v>14997</v>
      </c>
      <c r="H77" s="88" vm="500">
        <f ca="1">IF($A77="","",IFERROR(INDEX(Market_Data!$U$21:$U$613,MATCH($A77,Market_Data!$T$21:INDEX(Market_Data!$T$21:$T$613,COUNT(Market_Data!$T$21:$T$613)),1)),""))</f>
        <v>1593.7</v>
      </c>
      <c r="I77" s="89">
        <f ca="1">IF($A77="","",IFERROR(INDEX(Query1[Close],MATCH($A77,Query1[Date],1)),""))</f>
        <v>25088.400390625</v>
      </c>
    </row>
    <row r="78" spans="1:9" x14ac:dyDescent="0.3">
      <c r="A78" s="87">
        <f t="shared" ca="1" si="2"/>
        <v>46062</v>
      </c>
      <c r="B78" s="88" vm="501">
        <f ca="1">IF($A78="","",IFERROR(INDEX(Market_Data!$C$21:$C$613,MATCH($A78,Market_Data!$B$21:INDEX(Market_Data!$B$21:$B$613,COUNT(Market_Data!$B$21:$B$613)),1)),""))</f>
        <v>1419.6</v>
      </c>
      <c r="C78" s="88" vm="502">
        <f ca="1">IF($A78="","",IFERROR(INDEX(Market_Data!$F$21:$F$613,MATCH($A78,Market_Data!$E$21:INDEX(Market_Data!$E$21:$E$613,COUNT(Market_Data!$E$21:$E$613)),1)),""))</f>
        <v>2004.7</v>
      </c>
      <c r="D78" s="88" vm="503">
        <f ca="1">IF($A78="","",IFERROR(INDEX(Market_Data!$I$21:$I$613,MATCH($A78,Market_Data!$H$21:INDEX(Market_Data!$H$21:$H$613,COUNT(Market_Data!$H$21:$H$613)),1)),""))</f>
        <v>903.9</v>
      </c>
      <c r="E78" s="88" vm="504">
        <f ca="1">IF($A78="","",IFERROR(INDEX(Market_Data!$L$21:$L$613,MATCH($A78,Market_Data!$K$21:INDEX(Market_Data!$K$21:$K$613,COUNT(Market_Data!$K$21:$K$613)),1)),""))</f>
        <v>4173.8999999999996</v>
      </c>
      <c r="F78" s="88" vm="505">
        <f ca="1">IF($A78="","",IFERROR(INDEX(Market_Data!$O$21:$O$613,MATCH($A78,Market_Data!$N$21:INDEX(Market_Data!$N$21:$N$613,COUNT(Market_Data!$N$21:$N$613)),1)),""))</f>
        <v>1331.5</v>
      </c>
      <c r="G78" s="88" vm="506">
        <f ca="1">IF($A78="","",IFERROR(INDEX(Market_Data!$R$21:$R$613,MATCH($A78,Market_Data!$Q$21:INDEX(Market_Data!$Q$21:$Q$613,COUNT(Market_Data!$Q$21:$Q$613)),1)),""))</f>
        <v>15237</v>
      </c>
      <c r="H78" s="88" vm="507">
        <f ca="1">IF($A78="","",IFERROR(INDEX(Market_Data!$U$21:$U$613,MATCH($A78,Market_Data!$T$21:INDEX(Market_Data!$T$21:$T$613,COUNT(Market_Data!$T$21:$T$613)),1)),""))</f>
        <v>1455.2</v>
      </c>
      <c r="I78" s="89">
        <f ca="1">IF($A78="","",IFERROR(INDEX(Query1[Close],MATCH($A78,Query1[Date],1)),""))</f>
        <v>25867.30078125</v>
      </c>
    </row>
    <row r="79" spans="1:9" x14ac:dyDescent="0.3">
      <c r="A79" s="87">
        <f t="shared" ca="1" si="2"/>
        <v>46069</v>
      </c>
      <c r="B79" s="88" vm="508">
        <f ca="1">IF($A79="","",IFERROR(INDEX(Market_Data!$C$21:$C$613,MATCH($A79,Market_Data!$B$21:INDEX(Market_Data!$B$21:$B$613,COUNT(Market_Data!$B$21:$B$613)),1)),""))</f>
        <v>1419.4</v>
      </c>
      <c r="C79" s="88" vm="509">
        <f ca="1">IF($A79="","",IFERROR(INDEX(Market_Data!$F$21:$F$613,MATCH($A79,Market_Data!$E$21:INDEX(Market_Data!$E$21:$E$613,COUNT(Market_Data!$E$21:$E$613)),1)),""))</f>
        <v>1977.4</v>
      </c>
      <c r="D79" s="88" vm="510">
        <f ca="1">IF($A79="","",IFERROR(INDEX(Market_Data!$I$21:$I$613,MATCH($A79,Market_Data!$H$21:INDEX(Market_Data!$H$21:$H$613,COUNT(Market_Data!$H$21:$H$613)),1)),""))</f>
        <v>911.85</v>
      </c>
      <c r="E79" s="88" vm="511">
        <f ca="1">IF($A79="","",IFERROR(INDEX(Market_Data!$L$21:$L$613,MATCH($A79,Market_Data!$K$21:INDEX(Market_Data!$K$21:$K$613,COUNT(Market_Data!$K$21:$K$613)),1)),""))</f>
        <v>4380.6000000000004</v>
      </c>
      <c r="F79" s="88" vm="512">
        <f ca="1">IF($A79="","",IFERROR(INDEX(Market_Data!$O$21:$O$613,MATCH($A79,Market_Data!$N$21:INDEX(Market_Data!$N$21:$N$613,COUNT(Market_Data!$N$21:$N$613)),1)),""))</f>
        <v>1341.1</v>
      </c>
      <c r="G79" s="88" vm="513">
        <f ca="1">IF($A79="","",IFERROR(INDEX(Market_Data!$R$21:$R$613,MATCH($A79,Market_Data!$Q$21:INDEX(Market_Data!$Q$21:$Q$613,COUNT(Market_Data!$Q$21:$Q$613)),1)),""))</f>
        <v>14977</v>
      </c>
      <c r="H79" s="88" vm="514">
        <f ca="1">IF($A79="","",IFERROR(INDEX(Market_Data!$U$21:$U$613,MATCH($A79,Market_Data!$T$21:INDEX(Market_Data!$T$21:$T$613,COUNT(Market_Data!$T$21:$T$613)),1)),""))</f>
        <v>1436.5</v>
      </c>
      <c r="I79" s="89">
        <f ca="1">IF($A79="","",IFERROR(INDEX(Query1[Close],MATCH($A79,Query1[Date],1)),""))</f>
        <v>25682.75</v>
      </c>
    </row>
    <row r="80" spans="1:9" x14ac:dyDescent="0.3">
      <c r="A80" s="87">
        <f t="shared" ca="1" si="2"/>
        <v>46076</v>
      </c>
      <c r="B80" s="88" vm="515">
        <f ca="1">IF($A80="","",IFERROR(INDEX(Market_Data!$C$21:$C$613,MATCH($A80,Market_Data!$B$21:INDEX(Market_Data!$B$21:$B$613,COUNT(Market_Data!$B$21:$B$613)),1)),""))</f>
        <v>1393.9</v>
      </c>
      <c r="C80" s="88" vm="516">
        <f ca="1">IF($A80="","",IFERROR(INDEX(Market_Data!$F$21:$F$613,MATCH($A80,Market_Data!$E$21:INDEX(Market_Data!$E$21:$E$613,COUNT(Market_Data!$E$21:$E$613)),1)),""))</f>
        <v>1879.3</v>
      </c>
      <c r="D80" s="88" vm="517">
        <f ca="1">IF($A80="","",IFERROR(INDEX(Market_Data!$I$21:$I$613,MATCH($A80,Market_Data!$H$21:INDEX(Market_Data!$H$21:$H$613,COUNT(Market_Data!$H$21:$H$613)),1)),""))</f>
        <v>887.75</v>
      </c>
      <c r="E80" s="88" vm="518">
        <f ca="1">IF($A80="","",IFERROR(INDEX(Market_Data!$L$21:$L$613,MATCH($A80,Market_Data!$K$21:INDEX(Market_Data!$K$21:$K$613,COUNT(Market_Data!$K$21:$K$613)),1)),""))</f>
        <v>4278.3</v>
      </c>
      <c r="F80" s="88" vm="519">
        <f ca="1">IF($A80="","",IFERROR(INDEX(Market_Data!$O$21:$O$613,MATCH($A80,Market_Data!$N$21:INDEX(Market_Data!$N$21:$N$613,COUNT(Market_Data!$N$21:$N$613)),1)),""))</f>
        <v>1348.2</v>
      </c>
      <c r="G80" s="88" vm="520">
        <f ca="1">IF($A80="","",IFERROR(INDEX(Market_Data!$R$21:$R$613,MATCH($A80,Market_Data!$Q$21:INDEX(Market_Data!$Q$21:$Q$613,COUNT(Market_Data!$Q$21:$Q$613)),1)),""))</f>
        <v>14857</v>
      </c>
      <c r="H80" s="88" vm="521">
        <f ca="1">IF($A80="","",IFERROR(INDEX(Market_Data!$U$21:$U$613,MATCH($A80,Market_Data!$T$21:INDEX(Market_Data!$T$21:$T$613,COUNT(Market_Data!$T$21:$T$613)),1)),""))</f>
        <v>1389.1</v>
      </c>
      <c r="I80" s="89">
        <f ca="1">IF($A80="","",IFERROR(INDEX(Query1[Close],MATCH($A80,Query1[Date],1)),""))</f>
        <v>25713</v>
      </c>
    </row>
    <row r="81" spans="1:9" x14ac:dyDescent="0.3">
      <c r="A81" s="87">
        <f t="shared" ca="1" si="2"/>
        <v>46083</v>
      </c>
      <c r="B81" s="88" vm="522">
        <f ca="1">IF($A81="","",IFERROR(INDEX(Market_Data!$C$21:$C$613,MATCH($A81,Market_Data!$B$21:INDEX(Market_Data!$B$21:$B$613,COUNT(Market_Data!$B$21:$B$613)),1)),""))</f>
        <v>1404.8</v>
      </c>
      <c r="C81" s="88" vm="523">
        <f ca="1">IF($A81="","",IFERROR(INDEX(Market_Data!$F$21:$F$613,MATCH($A81,Market_Data!$E$21:INDEX(Market_Data!$E$21:$E$613,COUNT(Market_Data!$E$21:$E$613)),1)),""))</f>
        <v>1870.8</v>
      </c>
      <c r="D81" s="88" vm="524">
        <f ca="1">IF($A81="","",IFERROR(INDEX(Market_Data!$I$21:$I$613,MATCH($A81,Market_Data!$H$21:INDEX(Market_Data!$H$21:$H$613,COUNT(Market_Data!$H$21:$H$613)),1)),""))</f>
        <v>857.05</v>
      </c>
      <c r="E81" s="88" vm="525">
        <f ca="1">IF($A81="","",IFERROR(INDEX(Market_Data!$L$21:$L$613,MATCH($A81,Market_Data!$K$21:INDEX(Market_Data!$K$21:$K$613,COUNT(Market_Data!$K$21:$K$613)),1)),""))</f>
        <v>3949.8</v>
      </c>
      <c r="F81" s="88" vm="526">
        <f ca="1">IF($A81="","",IFERROR(INDEX(Market_Data!$O$21:$O$613,MATCH($A81,Market_Data!$N$21:INDEX(Market_Data!$N$21:$N$613,COUNT(Market_Data!$N$21:$N$613)),1)),""))</f>
        <v>1321.2</v>
      </c>
      <c r="G81" s="88" vm="527">
        <f ca="1">IF($A81="","",IFERROR(INDEX(Market_Data!$R$21:$R$613,MATCH($A81,Market_Data!$Q$21:INDEX(Market_Data!$Q$21:$Q$613,COUNT(Market_Data!$Q$21:$Q$613)),1)),""))</f>
        <v>14159</v>
      </c>
      <c r="H81" s="88" vm="528">
        <f ca="1">IF($A81="","",IFERROR(INDEX(Market_Data!$U$21:$U$613,MATCH($A81,Market_Data!$T$21:INDEX(Market_Data!$T$21:$T$613,COUNT(Market_Data!$T$21:$T$613)),1)),""))</f>
        <v>1356.7</v>
      </c>
      <c r="I81" s="89">
        <f ca="1">IF($A81="","",IFERROR(INDEX(Query1[Close],MATCH($A81,Query1[Date],1)),""))</f>
        <v>24865.69921875</v>
      </c>
    </row>
    <row r="82" spans="1:9" x14ac:dyDescent="0.3">
      <c r="A82" s="87">
        <f t="shared" ca="1" si="2"/>
        <v>46090</v>
      </c>
      <c r="B82" s="88" vm="529">
        <f ca="1">IF($A82="","",IFERROR(INDEX(Market_Data!$C$21:$C$613,MATCH($A82,Market_Data!$B$21:INDEX(Market_Data!$B$21:$B$613,COUNT(Market_Data!$B$21:$B$613)),1)),""))</f>
        <v>1380.7</v>
      </c>
      <c r="C82" s="88" vm="530">
        <f ca="1">IF($A82="","",IFERROR(INDEX(Market_Data!$F$21:$F$613,MATCH($A82,Market_Data!$E$21:INDEX(Market_Data!$E$21:$E$613,COUNT(Market_Data!$E$21:$E$613)),1)),""))</f>
        <v>1803.4</v>
      </c>
      <c r="D82" s="88" vm="531">
        <f ca="1">IF($A82="","",IFERROR(INDEX(Market_Data!$I$21:$I$613,MATCH($A82,Market_Data!$H$21:INDEX(Market_Data!$H$21:$H$613,COUNT(Market_Data!$H$21:$H$613)),1)),""))</f>
        <v>817</v>
      </c>
      <c r="E82" s="88" vm="532">
        <f ca="1">IF($A82="","",IFERROR(INDEX(Market_Data!$L$21:$L$613,MATCH($A82,Market_Data!$K$21:INDEX(Market_Data!$K$21:$K$613,COUNT(Market_Data!$K$21:$K$613)),1)),""))</f>
        <v>3439</v>
      </c>
      <c r="F82" s="88" vm="533">
        <f ca="1">IF($A82="","",IFERROR(INDEX(Market_Data!$O$21:$O$613,MATCH($A82,Market_Data!$N$21:INDEX(Market_Data!$N$21:$N$613,COUNT(Market_Data!$N$21:$N$613)),1)),""))</f>
        <v>1314.7</v>
      </c>
      <c r="G82" s="88" vm="534">
        <f ca="1">IF($A82="","",IFERROR(INDEX(Market_Data!$R$21:$R$613,MATCH($A82,Market_Data!$Q$21:INDEX(Market_Data!$Q$21:$Q$613,COUNT(Market_Data!$Q$21:$Q$613)),1)),""))</f>
        <v>12591</v>
      </c>
      <c r="H82" s="88" vm="535">
        <f ca="1">IF($A82="","",IFERROR(INDEX(Market_Data!$U$21:$U$613,MATCH($A82,Market_Data!$T$21:INDEX(Market_Data!$T$21:$T$613,COUNT(Market_Data!$T$21:$T$613)),1)),""))</f>
        <v>1325.4</v>
      </c>
      <c r="I82" s="89">
        <f ca="1">IF($A82="","",IFERROR(INDEX(Query1[Close],MATCH($A82,Query1[Date],1)),""))</f>
        <v>24028.05078125</v>
      </c>
    </row>
    <row r="83" spans="1:9" x14ac:dyDescent="0.3">
      <c r="A83" s="87">
        <f t="shared" ca="1" si="2"/>
        <v>46097</v>
      </c>
      <c r="B83" s="88" vm="536">
        <f ca="1">IF($A83="","",IFERROR(INDEX(Market_Data!$C$21:$C$613,MATCH($A83,Market_Data!$B$21:INDEX(Market_Data!$B$21:$B$613,COUNT(Market_Data!$B$21:$B$613)),1)),""))</f>
        <v>1414.4</v>
      </c>
      <c r="C83" s="88" vm="537">
        <f ca="1">IF($A83="","",IFERROR(INDEX(Market_Data!$F$21:$F$613,MATCH($A83,Market_Data!$E$21:INDEX(Market_Data!$E$21:$E$613,COUNT(Market_Data!$E$21:$E$613)),1)),""))</f>
        <v>1846.1</v>
      </c>
      <c r="D83" s="88" vm="538">
        <f ca="1">IF($A83="","",IFERROR(INDEX(Market_Data!$I$21:$I$613,MATCH($A83,Market_Data!$H$21:INDEX(Market_Data!$H$21:$H$613,COUNT(Market_Data!$H$21:$H$613)),1)),""))</f>
        <v>780.45</v>
      </c>
      <c r="E83" s="88" vm="539">
        <f ca="1">IF($A83="","",IFERROR(INDEX(Market_Data!$L$21:$L$613,MATCH($A83,Market_Data!$K$21:INDEX(Market_Data!$K$21:$K$613,COUNT(Market_Data!$K$21:$K$613)),1)),""))</f>
        <v>3434.8</v>
      </c>
      <c r="F83" s="88" vm="540">
        <f ca="1">IF($A83="","",IFERROR(INDEX(Market_Data!$O$21:$O$613,MATCH($A83,Market_Data!$N$21:INDEX(Market_Data!$N$21:$N$613,COUNT(Market_Data!$N$21:$N$613)),1)),""))</f>
        <v>1256.4000000000001</v>
      </c>
      <c r="G83" s="88" vm="541">
        <f ca="1">IF($A83="","",IFERROR(INDEX(Market_Data!$R$21:$R$613,MATCH($A83,Market_Data!$Q$21:INDEX(Market_Data!$Q$21:$Q$613,COUNT(Market_Data!$Q$21:$Q$613)),1)),""))</f>
        <v>12601</v>
      </c>
      <c r="H83" s="88" vm="542">
        <f ca="1">IF($A83="","",IFERROR(INDEX(Market_Data!$U$21:$U$613,MATCH($A83,Market_Data!$T$21:INDEX(Market_Data!$T$21:$T$613,COUNT(Market_Data!$T$21:$T$613)),1)),""))</f>
        <v>1333.7</v>
      </c>
      <c r="I83" s="89">
        <f ca="1">IF($A83="","",IFERROR(INDEX(Query1[Close],MATCH($A83,Query1[Date],1)),""))</f>
        <v>23408.80078125</v>
      </c>
    </row>
    <row r="84" spans="1:9" x14ac:dyDescent="0.3">
      <c r="A84" s="87">
        <f t="shared" ca="1" si="2"/>
        <v>46104</v>
      </c>
      <c r="B84" s="88" vm="543">
        <f ca="1">IF($A84="","",IFERROR(INDEX(Market_Data!$C$21:$C$613,MATCH($A84,Market_Data!$B$21:INDEX(Market_Data!$B$21:$B$613,COUNT(Market_Data!$B$21:$B$613)),1)),""))</f>
        <v>1348.1</v>
      </c>
      <c r="C84" s="88" vm="544">
        <f ca="1">IF($A84="","",IFERROR(INDEX(Market_Data!$F$21:$F$613,MATCH($A84,Market_Data!$E$21:INDEX(Market_Data!$E$21:$E$613,COUNT(Market_Data!$E$21:$E$613)),1)),""))</f>
        <v>1843.9</v>
      </c>
      <c r="D84" s="88" vm="545">
        <f ca="1">IF($A84="","",IFERROR(INDEX(Market_Data!$I$21:$I$613,MATCH($A84,Market_Data!$H$21:INDEX(Market_Data!$H$21:$H$613,COUNT(Market_Data!$H$21:$H$613)),1)),""))</f>
        <v>756.2</v>
      </c>
      <c r="E84" s="88" vm="546">
        <f ca="1">IF($A84="","",IFERROR(INDEX(Market_Data!$L$21:$L$613,MATCH($A84,Market_Data!$K$21:INDEX(Market_Data!$K$21:$K$613,COUNT(Market_Data!$K$21:$K$613)),1)),""))</f>
        <v>3564.1</v>
      </c>
      <c r="F84" s="88" vm="547">
        <f ca="1">IF($A84="","",IFERROR(INDEX(Market_Data!$O$21:$O$613,MATCH($A84,Market_Data!$N$21:INDEX(Market_Data!$N$21:$N$613,COUNT(Market_Data!$N$21:$N$613)),1)),""))</f>
        <v>1242.3</v>
      </c>
      <c r="G84" s="88" vm="548">
        <f ca="1">IF($A84="","",IFERROR(INDEX(Market_Data!$R$21:$R$613,MATCH($A84,Market_Data!$Q$21:INDEX(Market_Data!$Q$21:$Q$613,COUNT(Market_Data!$Q$21:$Q$613)),1)),""))</f>
        <v>12389</v>
      </c>
      <c r="H84" s="88" vm="549">
        <f ca="1">IF($A84="","",IFERROR(INDEX(Market_Data!$U$21:$U$613,MATCH($A84,Market_Data!$T$21:INDEX(Market_Data!$T$21:$T$613,COUNT(Market_Data!$T$21:$T$613)),1)),""))</f>
        <v>1364.4</v>
      </c>
      <c r="I84" s="89">
        <f ca="1">IF($A84="","",IFERROR(INDEX(Query1[Close],MATCH($A84,Query1[Date],1)),""))</f>
        <v>22512.650390625</v>
      </c>
    </row>
    <row r="85" spans="1:9" x14ac:dyDescent="0.3">
      <c r="A85" s="87">
        <f t="shared" ca="1" si="2"/>
        <v>46111</v>
      </c>
      <c r="B85" s="88" vm="550">
        <f ca="1">IF($A85="","",IFERROR(INDEX(Market_Data!$C$21:$C$613,MATCH($A85,Market_Data!$B$21:INDEX(Market_Data!$B$21:$B$613,COUNT(Market_Data!$B$21:$B$613)),1)),""))</f>
        <v>1350.5</v>
      </c>
      <c r="C85" s="88" vm="551">
        <f ca="1">IF($A85="","",IFERROR(INDEX(Market_Data!$F$21:$F$613,MATCH($A85,Market_Data!$E$21:INDEX(Market_Data!$E$21:$E$613,COUNT(Market_Data!$E$21:$E$613)),1)),""))</f>
        <v>1789.7</v>
      </c>
      <c r="D85" s="88" vm="552">
        <f ca="1">IF($A85="","",IFERROR(INDEX(Market_Data!$I$21:$I$613,MATCH($A85,Market_Data!$H$21:INDEX(Market_Data!$H$21:$H$613,COUNT(Market_Data!$H$21:$H$613)),1)),""))</f>
        <v>750.9</v>
      </c>
      <c r="E85" s="88" vm="553">
        <f ca="1">IF($A85="","",IFERROR(INDEX(Market_Data!$L$21:$L$613,MATCH($A85,Market_Data!$K$21:INDEX(Market_Data!$K$21:$K$613,COUNT(Market_Data!$K$21:$K$613)),1)),""))</f>
        <v>3613.1</v>
      </c>
      <c r="F85" s="88" vm="554">
        <f ca="1">IF($A85="","",IFERROR(INDEX(Market_Data!$O$21:$O$613,MATCH($A85,Market_Data!$N$21:INDEX(Market_Data!$N$21:$N$613,COUNT(Market_Data!$N$21:$N$613)),1)),""))</f>
        <v>1192.4000000000001</v>
      </c>
      <c r="G85" s="88" vm="555">
        <f ca="1">IF($A85="","",IFERROR(INDEX(Market_Data!$R$21:$R$613,MATCH($A85,Market_Data!$Q$21:INDEX(Market_Data!$Q$21:$Q$613,COUNT(Market_Data!$Q$21:$Q$613)),1)),""))</f>
        <v>12631</v>
      </c>
      <c r="H85" s="88" vm="556">
        <f ca="1">IF($A85="","",IFERROR(INDEX(Market_Data!$U$21:$U$613,MATCH($A85,Market_Data!$T$21:INDEX(Market_Data!$T$21:$T$613,COUNT(Market_Data!$T$21:$T$613)),1)),""))</f>
        <v>1402.2</v>
      </c>
      <c r="I85" s="89">
        <f ca="1">IF($A85="","",IFERROR(INDEX(Query1[Close],MATCH($A85,Query1[Date],1)),""))</f>
        <v>22331.400390625</v>
      </c>
    </row>
    <row r="86" spans="1:9" x14ac:dyDescent="0.3">
      <c r="A86" s="87">
        <f t="shared" ca="1" si="2"/>
        <v>46118</v>
      </c>
      <c r="B86" s="88" vm="557">
        <f ca="1">IF($A86="","",IFERROR(INDEX(Market_Data!$C$21:$C$613,MATCH($A86,Market_Data!$B$21:INDEX(Market_Data!$B$21:$B$613,COUNT(Market_Data!$B$21:$B$613)),1)),""))</f>
        <v>1350.2</v>
      </c>
      <c r="C86" s="88" vm="558">
        <f ca="1">IF($A86="","",IFERROR(INDEX(Market_Data!$F$21:$F$613,MATCH($A86,Market_Data!$E$21:INDEX(Market_Data!$E$21:$E$613,COUNT(Market_Data!$E$21:$E$613)),1)),""))</f>
        <v>1870</v>
      </c>
      <c r="D86" s="88" vm="559">
        <f ca="1">IF($A86="","",IFERROR(INDEX(Market_Data!$I$21:$I$613,MATCH($A86,Market_Data!$H$21:INDEX(Market_Data!$H$21:$H$613,COUNT(Market_Data!$H$21:$H$613)),1)),""))</f>
        <v>810.3</v>
      </c>
      <c r="E86" s="88" vm="560">
        <f ca="1">IF($A86="","",IFERROR(INDEX(Market_Data!$L$21:$L$613,MATCH($A86,Market_Data!$K$21:INDEX(Market_Data!$K$21:$K$613,COUNT(Market_Data!$K$21:$K$613)),1)),""))</f>
        <v>3959.9</v>
      </c>
      <c r="F86" s="88" vm="561">
        <f ca="1">IF($A86="","",IFERROR(INDEX(Market_Data!$O$21:$O$613,MATCH($A86,Market_Data!$N$21:INDEX(Market_Data!$N$21:$N$613,COUNT(Market_Data!$N$21:$N$613)),1)),""))</f>
        <v>1229.5</v>
      </c>
      <c r="G86" s="88" vm="562">
        <f ca="1">IF($A86="","",IFERROR(INDEX(Market_Data!$R$21:$R$613,MATCH($A86,Market_Data!$Q$21:INDEX(Market_Data!$Q$21:$Q$613,COUNT(Market_Data!$Q$21:$Q$613)),1)),""))</f>
        <v>13709</v>
      </c>
      <c r="H86" s="88" vm="563">
        <f ca="1">IF($A86="","",IFERROR(INDEX(Market_Data!$U$21:$U$613,MATCH($A86,Market_Data!$T$21:INDEX(Market_Data!$T$21:$T$613,COUNT(Market_Data!$T$21:$T$613)),1)),""))</f>
        <v>1451.2</v>
      </c>
      <c r="I86" s="89">
        <f ca="1">IF($A86="","",IFERROR(INDEX(Query1[Close],MATCH($A86,Query1[Date],1)),""))</f>
        <v>22968.25</v>
      </c>
    </row>
    <row r="87" spans="1:9" x14ac:dyDescent="0.3">
      <c r="A87" s="87">
        <f t="shared" ca="1" si="2"/>
        <v>46125</v>
      </c>
      <c r="B87" s="88" vm="564">
        <f ca="1">IF($A87="","",IFERROR(INDEX(Market_Data!$C$21:$C$613,MATCH($A87,Market_Data!$B$21:INDEX(Market_Data!$B$21:$B$613,COUNT(Market_Data!$B$21:$B$613)),1)),""))</f>
        <v>1365</v>
      </c>
      <c r="C87" s="88" vm="565">
        <f ca="1">IF($A87="","",IFERROR(INDEX(Market_Data!$F$21:$F$613,MATCH($A87,Market_Data!$E$21:INDEX(Market_Data!$E$21:$E$613,COUNT(Market_Data!$E$21:$E$613)),1)),""))</f>
        <v>1846.9</v>
      </c>
      <c r="D87" s="88" vm="566">
        <f ca="1">IF($A87="","",IFERROR(INDEX(Market_Data!$I$21:$I$613,MATCH($A87,Market_Data!$H$21:INDEX(Market_Data!$H$21:$H$613,COUNT(Market_Data!$H$21:$H$613)),1)),""))</f>
        <v>799.9</v>
      </c>
      <c r="E87" s="88" vm="567">
        <f ca="1">IF($A87="","",IFERROR(INDEX(Market_Data!$L$21:$L$613,MATCH($A87,Market_Data!$K$21:INDEX(Market_Data!$K$21:$K$613,COUNT(Market_Data!$K$21:$K$613)),1)),""))</f>
        <v>4096.1000000000004</v>
      </c>
      <c r="F87" s="88" vm="568">
        <f ca="1">IF($A87="","",IFERROR(INDEX(Market_Data!$O$21:$O$613,MATCH($A87,Market_Data!$N$21:INDEX(Market_Data!$N$21:$N$613,COUNT(Market_Data!$N$21:$N$613)),1)),""))</f>
        <v>1240.8</v>
      </c>
      <c r="G87" s="88" vm="569">
        <f ca="1">IF($A87="","",IFERROR(INDEX(Market_Data!$R$21:$R$613,MATCH($A87,Market_Data!$Q$21:INDEX(Market_Data!$Q$21:$Q$613,COUNT(Market_Data!$Q$21:$Q$613)),1)),""))</f>
        <v>13453</v>
      </c>
      <c r="H87" s="88" vm="138">
        <f ca="1">IF($A87="","",IFERROR(INDEX(Market_Data!$U$21:$U$613,MATCH($A87,Market_Data!$T$21:INDEX(Market_Data!$T$21:$T$613,COUNT(Market_Data!$T$21:$T$613)),1)),""))</f>
        <v>1442.3</v>
      </c>
      <c r="I87" s="89">
        <f ca="1">IF($A87="","",IFERROR(INDEX(Query1[Close],MATCH($A87,Query1[Date],1)),""))</f>
        <v>23842.650390625</v>
      </c>
    </row>
    <row r="88" spans="1:9" x14ac:dyDescent="0.3">
      <c r="A88" s="87">
        <f t="shared" ca="1" si="2"/>
        <v>46132</v>
      </c>
      <c r="B88" s="88" vm="570">
        <f ca="1">IF($A88="","",IFERROR(INDEX(Market_Data!$C$21:$C$613,MATCH($A88,Market_Data!$B$21:INDEX(Market_Data!$B$21:$B$613,COUNT(Market_Data!$B$21:$B$613)),1)),""))</f>
        <v>1327.8</v>
      </c>
      <c r="C88" s="88" vm="571">
        <f ca="1">IF($A88="","",IFERROR(INDEX(Market_Data!$F$21:$F$613,MATCH($A88,Market_Data!$E$21:INDEX(Market_Data!$E$21:$E$613,COUNT(Market_Data!$E$21:$E$613)),1)),""))</f>
        <v>1814.5</v>
      </c>
      <c r="D88" s="88" vm="572">
        <f ca="1">IF($A88="","",IFERROR(INDEX(Market_Data!$I$21:$I$613,MATCH($A88,Market_Data!$H$21:INDEX(Market_Data!$H$21:$H$613,COUNT(Market_Data!$H$21:$H$613)),1)),""))</f>
        <v>784.85</v>
      </c>
      <c r="E88" s="88" vm="573">
        <f ca="1">IF($A88="","",IFERROR(INDEX(Market_Data!$L$21:$L$613,MATCH($A88,Market_Data!$K$21:INDEX(Market_Data!$K$21:$K$613,COUNT(Market_Data!$K$21:$K$613)),1)),""))</f>
        <v>4014.3</v>
      </c>
      <c r="F88" s="88" vm="574">
        <f ca="1">IF($A88="","",IFERROR(INDEX(Market_Data!$O$21:$O$613,MATCH($A88,Market_Data!$N$21:INDEX(Market_Data!$N$21:$N$613,COUNT(Market_Data!$N$21:$N$613)),1)),""))</f>
        <v>1295</v>
      </c>
      <c r="G88" s="88" vm="575">
        <f ca="1">IF($A88="","",IFERROR(INDEX(Market_Data!$R$21:$R$613,MATCH($A88,Market_Data!$Q$21:INDEX(Market_Data!$Q$21:$Q$613,COUNT(Market_Data!$Q$21:$Q$613)),1)),""))</f>
        <v>13048</v>
      </c>
      <c r="H88" s="88" vm="576">
        <f ca="1">IF($A88="","",IFERROR(INDEX(Market_Data!$U$21:$U$613,MATCH($A88,Market_Data!$T$21:INDEX(Market_Data!$T$21:$T$613,COUNT(Market_Data!$T$21:$T$613)),1)),""))</f>
        <v>1203.2</v>
      </c>
      <c r="I88" s="89">
        <f ca="1">IF($A88="","",IFERROR(INDEX(Query1[Close],MATCH($A88,Query1[Date],1)),""))</f>
        <v>24364.849609375</v>
      </c>
    </row>
    <row r="89" spans="1:9" x14ac:dyDescent="0.3">
      <c r="A89" s="87">
        <f t="shared" ca="1" si="2"/>
        <v>46139</v>
      </c>
      <c r="B89" s="88" vm="577">
        <f ca="1">IF($A89="","",IFERROR(INDEX(Market_Data!$C$21:$C$613,MATCH($A89,Market_Data!$B$21:INDEX(Market_Data!$B$21:$B$613,COUNT(Market_Data!$B$21:$B$613)),1)),""))</f>
        <v>1430.8</v>
      </c>
      <c r="C89" s="88" vm="578">
        <f ca="1">IF($A89="","",IFERROR(INDEX(Market_Data!$F$21:$F$613,MATCH($A89,Market_Data!$E$21:INDEX(Market_Data!$E$21:$E$613,COUNT(Market_Data!$E$21:$E$613)),1)),""))</f>
        <v>1886.8</v>
      </c>
      <c r="D89" s="88" vm="579">
        <f ca="1">IF($A89="","",IFERROR(INDEX(Market_Data!$I$21:$I$613,MATCH($A89,Market_Data!$H$21:INDEX(Market_Data!$H$21:$H$613,COUNT(Market_Data!$H$21:$H$613)),1)),""))</f>
        <v>771.7</v>
      </c>
      <c r="E89" s="88" vm="580">
        <f ca="1">IF($A89="","",IFERROR(INDEX(Market_Data!$L$21:$L$613,MATCH($A89,Market_Data!$K$21:INDEX(Market_Data!$K$21:$K$613,COUNT(Market_Data!$K$21:$K$613)),1)),""))</f>
        <v>4014</v>
      </c>
      <c r="F89" s="88" vm="581">
        <f ca="1">IF($A89="","",IFERROR(INDEX(Market_Data!$O$21:$O$613,MATCH($A89,Market_Data!$N$21:INDEX(Market_Data!$N$21:$N$613,COUNT(Market_Data!$N$21:$N$613)),1)),""))</f>
        <v>1309.5999999999999</v>
      </c>
      <c r="G89" s="88" vm="582">
        <f ca="1">IF($A89="","",IFERROR(INDEX(Market_Data!$R$21:$R$613,MATCH($A89,Market_Data!$Q$21:INDEX(Market_Data!$Q$21:$Q$613,COUNT(Market_Data!$Q$21:$Q$613)),1)),""))</f>
        <v>13314</v>
      </c>
      <c r="H89" s="88" vm="583">
        <f ca="1">IF($A89="","",IFERROR(INDEX(Market_Data!$U$21:$U$613,MATCH($A89,Market_Data!$T$21:INDEX(Market_Data!$T$21:$T$613,COUNT(Market_Data!$T$21:$T$613)),1)),""))</f>
        <v>1199.0999999999999</v>
      </c>
      <c r="I89" s="89">
        <f ca="1">IF($A89="","",IFERROR(INDEX(Query1[Close],MATCH($A89,Query1[Date],1)),""))</f>
        <v>24092.69921875</v>
      </c>
    </row>
    <row r="90" spans="1:9" x14ac:dyDescent="0.3">
      <c r="A90" s="87">
        <f t="shared" ca="1" si="2"/>
        <v>46146</v>
      </c>
      <c r="B90" s="88" vm="584">
        <f ca="1">IF($A90="","",IFERROR(INDEX(Market_Data!$C$21:$C$613,MATCH($A90,Market_Data!$B$21:INDEX(Market_Data!$B$21:$B$613,COUNT(Market_Data!$B$21:$B$613)),1)),""))</f>
        <v>1435.2</v>
      </c>
      <c r="C90" s="88" vm="585">
        <f ca="1">IF($A90="","",IFERROR(INDEX(Market_Data!$F$21:$F$613,MATCH($A90,Market_Data!$E$21:INDEX(Market_Data!$E$21:$E$613,COUNT(Market_Data!$E$21:$E$613)),1)),""))</f>
        <v>1834.5</v>
      </c>
      <c r="D90" s="88" vm="586">
        <f ca="1">IF($A90="","",IFERROR(INDEX(Market_Data!$I$21:$I$613,MATCH($A90,Market_Data!$H$21:INDEX(Market_Data!$H$21:$H$613,COUNT(Market_Data!$H$21:$H$613)),1)),""))</f>
        <v>780.85</v>
      </c>
      <c r="E90" s="88" vm="587">
        <f ca="1">IF($A90="","",IFERROR(INDEX(Market_Data!$L$21:$L$613,MATCH($A90,Market_Data!$K$21:INDEX(Market_Data!$K$21:$K$613,COUNT(Market_Data!$K$21:$K$613)),1)),""))</f>
        <v>3974.5</v>
      </c>
      <c r="F90" s="88" vm="588">
        <f ca="1">IF($A90="","",IFERROR(INDEX(Market_Data!$O$21:$O$613,MATCH($A90,Market_Data!$N$21:INDEX(Market_Data!$N$21:$N$613,COUNT(Market_Data!$N$21:$N$613)),1)),""))</f>
        <v>1347</v>
      </c>
      <c r="G90" s="88" vm="589">
        <f ca="1">IF($A90="","",IFERROR(INDEX(Market_Data!$R$21:$R$613,MATCH($A90,Market_Data!$Q$21:INDEX(Market_Data!$Q$21:$Q$613,COUNT(Market_Data!$Q$21:$Q$613)),1)),""))</f>
        <v>13726</v>
      </c>
      <c r="H90" s="88" vm="590">
        <f ca="1">IF($A90="","",IFERROR(INDEX(Market_Data!$U$21:$U$613,MATCH($A90,Market_Data!$T$21:INDEX(Market_Data!$T$21:$T$613,COUNT(Market_Data!$T$21:$T$613)),1)),""))</f>
        <v>1198.4000000000001</v>
      </c>
      <c r="I90" s="89">
        <f ca="1">IF($A90="","",IFERROR(INDEX(Query1[Close],MATCH($A90,Query1[Date],1)),""))</f>
        <v>24119.30078125</v>
      </c>
    </row>
    <row r="91" spans="1:9" x14ac:dyDescent="0.3">
      <c r="A91" s="87">
        <f t="shared" ca="1" si="2"/>
        <v>46153</v>
      </c>
      <c r="B91" s="88" vm="591">
        <f ca="1">IF($A91="","",IFERROR(INDEX(Market_Data!$C$21:$C$613,MATCH($A91,Market_Data!$B$21:INDEX(Market_Data!$B$21:$B$613,COUNT(Market_Data!$B$21:$B$613)),1)),""))</f>
        <v>1336.4</v>
      </c>
      <c r="C91" s="88" vm="592">
        <f ca="1">IF($A91="","",IFERROR(INDEX(Market_Data!$F$21:$F$613,MATCH($A91,Market_Data!$E$21:INDEX(Market_Data!$E$21:$E$613,COUNT(Market_Data!$E$21:$E$613)),1)),""))</f>
        <v>1905.4</v>
      </c>
      <c r="D91" s="88" vm="593">
        <f ca="1">IF($A91="","",IFERROR(INDEX(Market_Data!$I$21:$I$613,MATCH($A91,Market_Data!$H$21:INDEX(Market_Data!$H$21:$H$613,COUNT(Market_Data!$H$21:$H$613)),1)),""))</f>
        <v>767.5</v>
      </c>
      <c r="E91" s="88" vm="594">
        <f ca="1">IF($A91="","",IFERROR(INDEX(Market_Data!$L$21:$L$613,MATCH($A91,Market_Data!$K$21:INDEX(Market_Data!$K$21:$K$613,COUNT(Market_Data!$K$21:$K$613)),1)),""))</f>
        <v>3909</v>
      </c>
      <c r="F91" s="88" vm="595">
        <f ca="1">IF($A91="","",IFERROR(INDEX(Market_Data!$O$21:$O$613,MATCH($A91,Market_Data!$N$21:INDEX(Market_Data!$N$21:$N$613,COUNT(Market_Data!$N$21:$N$613)),1)),""))</f>
        <v>1432.1</v>
      </c>
      <c r="G91" s="88" vm="596">
        <f ca="1">IF($A91="","",IFERROR(INDEX(Market_Data!$R$21:$R$613,MATCH($A91,Market_Data!$Q$21:INDEX(Market_Data!$Q$21:$Q$613,COUNT(Market_Data!$Q$21:$Q$613)),1)),""))</f>
        <v>13221</v>
      </c>
      <c r="H91" s="88" vm="597">
        <f ca="1">IF($A91="","",IFERROR(INDEX(Market_Data!$U$21:$U$613,MATCH($A91,Market_Data!$T$21:INDEX(Market_Data!$T$21:$T$613,COUNT(Market_Data!$T$21:$T$613)),1)),""))</f>
        <v>1132.5999999999999</v>
      </c>
      <c r="I91" s="89">
        <f ca="1">IF($A91="","",IFERROR(INDEX(Query1[Close],MATCH($A91,Query1[Date],1)),""))</f>
        <v>23815.849609375</v>
      </c>
    </row>
    <row r="92" spans="1:9" x14ac:dyDescent="0.3">
      <c r="A92" s="87">
        <f t="shared" ca="1" si="2"/>
        <v>46160</v>
      </c>
      <c r="B92" s="88" vm="598">
        <f ca="1">IF($A92="","",IFERROR(INDEX(Market_Data!$C$21:$C$613,MATCH($A92,Market_Data!$B$21:INDEX(Market_Data!$B$21:$B$613,COUNT(Market_Data!$B$21:$B$613)),1)),""))</f>
        <v>1354.5</v>
      </c>
      <c r="C92" s="88" vm="599">
        <f ca="1">IF($A92="","",IFERROR(INDEX(Market_Data!$F$21:$F$613,MATCH($A92,Market_Data!$E$21:INDEX(Market_Data!$E$21:$E$613,COUNT(Market_Data!$E$21:$E$613)),1)),""))</f>
        <v>1871.4</v>
      </c>
      <c r="D92" s="88" vm="600">
        <f ca="1">IF($A92="","",IFERROR(INDEX(Market_Data!$I$21:$I$613,MATCH($A92,Market_Data!$H$21:INDEX(Market_Data!$H$21:$H$613,COUNT(Market_Data!$H$21:$H$613)),1)),""))</f>
        <v>766.8</v>
      </c>
      <c r="E92" s="88" vm="601">
        <f ca="1">IF($A92="","",IFERROR(INDEX(Market_Data!$L$21:$L$613,MATCH($A92,Market_Data!$K$21:INDEX(Market_Data!$K$21:$K$613,COUNT(Market_Data!$K$21:$K$613)),1)),""))</f>
        <v>3926.6</v>
      </c>
      <c r="F92" s="88" vm="602">
        <f ca="1">IF($A92="","",IFERROR(INDEX(Market_Data!$O$21:$O$613,MATCH($A92,Market_Data!$N$21:INDEX(Market_Data!$N$21:$N$613,COUNT(Market_Data!$N$21:$N$613)),1)),""))</f>
        <v>1399.2</v>
      </c>
      <c r="G92" s="88" vm="603">
        <f ca="1">IF($A92="","",IFERROR(INDEX(Market_Data!$R$21:$R$613,MATCH($A92,Market_Data!$Q$21:INDEX(Market_Data!$Q$21:$Q$613,COUNT(Market_Data!$Q$21:$Q$613)),1)),""))</f>
        <v>12987</v>
      </c>
      <c r="H92" s="88" vm="604">
        <f ca="1">IF($A92="","",IFERROR(INDEX(Market_Data!$U$21:$U$613,MATCH($A92,Market_Data!$T$21:INDEX(Market_Data!$T$21:$T$613,COUNT(Market_Data!$T$21:$T$613)),1)),""))</f>
        <v>1164</v>
      </c>
      <c r="I92" s="89">
        <f ca="1">IF($A92="","",IFERROR(INDEX(Query1[Close],MATCH($A92,Query1[Date],1)),""))</f>
        <v>23649.94921875</v>
      </c>
    </row>
    <row r="93" spans="1:9" x14ac:dyDescent="0.3">
      <c r="A93" s="87">
        <f t="shared" ca="1" si="2"/>
        <v>46167</v>
      </c>
      <c r="B93" s="88" vm="526">
        <f ca="1">IF($A93="","",IFERROR(INDEX(Market_Data!$C$21:$C$613,MATCH($A93,Market_Data!$B$21:INDEX(Market_Data!$B$21:$B$613,COUNT(Market_Data!$B$21:$B$613)),1)),""))</f>
        <v>1321.2</v>
      </c>
      <c r="C93" s="88" vm="605">
        <f ca="1">IF($A93="","",IFERROR(INDEX(Market_Data!$F$21:$F$613,MATCH($A93,Market_Data!$E$21:INDEX(Market_Data!$E$21:$E$613,COUNT(Market_Data!$E$21:$E$613)),1)),""))</f>
        <v>1829</v>
      </c>
      <c r="D93" s="88" vm="606">
        <f ca="1">IF($A93="","",IFERROR(INDEX(Market_Data!$I$21:$I$613,MATCH($A93,Market_Data!$H$21:INDEX(Market_Data!$H$21:$H$613,COUNT(Market_Data!$H$21:$H$613)),1)),""))</f>
        <v>744.55</v>
      </c>
      <c r="E93" s="88" vm="607">
        <f ca="1">IF($A93="","",IFERROR(INDEX(Market_Data!$L$21:$L$613,MATCH($A93,Market_Data!$K$21:INDEX(Market_Data!$K$21:$K$613,COUNT(Market_Data!$K$21:$K$613)),1)),""))</f>
        <v>4076.5</v>
      </c>
      <c r="F93" s="88" vm="608">
        <f ca="1">IF($A93="","",IFERROR(INDEX(Market_Data!$O$21:$O$613,MATCH($A93,Market_Data!$N$21:INDEX(Market_Data!$N$21:$N$613,COUNT(Market_Data!$N$21:$N$613)),1)),""))</f>
        <v>1401</v>
      </c>
      <c r="G93" s="88" vm="609">
        <f ca="1">IF($A93="","",IFERROR(INDEX(Market_Data!$R$21:$R$613,MATCH($A93,Market_Data!$Q$21:INDEX(Market_Data!$Q$21:$Q$613,COUNT(Market_Data!$Q$21:$Q$613)),1)),""))</f>
        <v>13127</v>
      </c>
      <c r="H93" s="88" vm="610">
        <f ca="1">IF($A93="","",IFERROR(INDEX(Market_Data!$U$21:$U$613,MATCH($A93,Market_Data!$T$21:INDEX(Market_Data!$T$21:$T$613,COUNT(Market_Data!$T$21:$T$613)),1)),""))</f>
        <v>1183.8</v>
      </c>
      <c r="I93" s="89">
        <f ca="1">IF($A93="","",IFERROR(INDEX(Query1[Close],MATCH($A93,Query1[Date],1)),""))</f>
        <v>24031.69921875</v>
      </c>
    </row>
    <row r="94" spans="1:9" x14ac:dyDescent="0.3">
      <c r="A94" s="87">
        <f t="shared" ca="1" si="2"/>
        <v>46174</v>
      </c>
      <c r="B94" s="88" vm="611">
        <f ca="1">IF($A94="","",IFERROR(INDEX(Market_Data!$C$21:$C$613,MATCH($A94,Market_Data!$B$21:INDEX(Market_Data!$B$21:$B$613,COUNT(Market_Data!$B$21:$B$613)),1)),""))</f>
        <v>1291</v>
      </c>
      <c r="C94" s="88" vm="612">
        <f ca="1">IF($A94="","",IFERROR(INDEX(Market_Data!$F$21:$F$613,MATCH($A94,Market_Data!$E$21:INDEX(Market_Data!$E$21:$E$613,COUNT(Market_Data!$E$21:$E$613)),1)),""))</f>
        <v>1798.2</v>
      </c>
      <c r="D94" s="88" vm="613">
        <f ca="1">IF($A94="","",IFERROR(INDEX(Market_Data!$I$21:$I$613,MATCH($A94,Market_Data!$H$21:INDEX(Market_Data!$H$21:$H$613,COUNT(Market_Data!$H$21:$H$613)),1)),""))</f>
        <v>747.05</v>
      </c>
      <c r="E94" s="88" vm="614">
        <f ca="1">IF($A94="","",IFERROR(INDEX(Market_Data!$L$21:$L$613,MATCH($A94,Market_Data!$K$21:INDEX(Market_Data!$K$21:$K$613,COUNT(Market_Data!$K$21:$K$613)),1)),""))</f>
        <v>3953.2</v>
      </c>
      <c r="F94" s="88" vm="615">
        <f ca="1">IF($A94="","",IFERROR(INDEX(Market_Data!$O$21:$O$613,MATCH($A94,Market_Data!$N$21:INDEX(Market_Data!$N$21:$N$613,COUNT(Market_Data!$N$21:$N$613)),1)),""))</f>
        <v>1401.3</v>
      </c>
      <c r="G94" s="88" vm="616">
        <f ca="1">IF($A94="","",IFERROR(INDEX(Market_Data!$R$21:$R$613,MATCH($A94,Market_Data!$Q$21:INDEX(Market_Data!$Q$21:$Q$613,COUNT(Market_Data!$Q$21:$Q$613)),1)),""))</f>
        <v>13050</v>
      </c>
      <c r="H94" s="88" vm="617">
        <f ca="1">IF($A94="","",IFERROR(INDEX(Market_Data!$U$21:$U$613,MATCH($A94,Market_Data!$T$21:INDEX(Market_Data!$T$21:$T$613,COUNT(Market_Data!$T$21:$T$613)),1)),""))</f>
        <v>1154.7</v>
      </c>
      <c r="I94" s="89">
        <f ca="1">IF($A94="","",IFERROR(INDEX(Query1[Close],MATCH($A94,Query1[Date],1)),""))</f>
        <v>23382.599609375</v>
      </c>
    </row>
    <row r="95" spans="1:9" x14ac:dyDescent="0.3">
      <c r="A95" s="87">
        <f t="shared" ca="1" si="2"/>
        <v>46181</v>
      </c>
      <c r="B95" s="88" vm="618">
        <f ca="1">IF($A95="","",IFERROR(INDEX(Market_Data!$C$21:$C$613,MATCH($A95,Market_Data!$B$21:INDEX(Market_Data!$B$21:$B$613,COUNT(Market_Data!$B$21:$B$613)),1)),""))</f>
        <v>1293</v>
      </c>
      <c r="C95" s="88" vm="619">
        <f ca="1">IF($A95="","",IFERROR(INDEX(Market_Data!$F$21:$F$613,MATCH($A95,Market_Data!$E$21:INDEX(Market_Data!$E$21:$E$613,COUNT(Market_Data!$E$21:$E$613)),1)),""))</f>
        <v>1822.5</v>
      </c>
      <c r="D95" s="88" vm="620">
        <f ca="1">IF($A95="","",IFERROR(INDEX(Market_Data!$I$21:$I$613,MATCH($A95,Market_Data!$H$21:INDEX(Market_Data!$H$21:$H$613,COUNT(Market_Data!$H$21:$H$613)),1)),""))</f>
        <v>772.45</v>
      </c>
      <c r="E95" s="88" vm="621">
        <f ca="1">IF($A95="","",IFERROR(INDEX(Market_Data!$L$21:$L$613,MATCH($A95,Market_Data!$K$21:INDEX(Market_Data!$K$21:$K$613,COUNT(Market_Data!$K$21:$K$613)),1)),""))</f>
        <v>4049.3</v>
      </c>
      <c r="F95" s="88" vm="622">
        <f ca="1">IF($A95="","",IFERROR(INDEX(Market_Data!$O$21:$O$613,MATCH($A95,Market_Data!$N$21:INDEX(Market_Data!$N$21:$N$613,COUNT(Market_Data!$N$21:$N$613)),1)),""))</f>
        <v>1389.4</v>
      </c>
      <c r="G95" s="88" vm="623">
        <f ca="1">IF($A95="","",IFERROR(INDEX(Market_Data!$R$21:$R$613,MATCH($A95,Market_Data!$Q$21:INDEX(Market_Data!$Q$21:$Q$613,COUNT(Market_Data!$Q$21:$Q$613)),1)),""))</f>
        <v>13366</v>
      </c>
      <c r="H95" s="88" vm="624">
        <f ca="1">IF($A95="","",IFERROR(INDEX(Market_Data!$U$21:$U$613,MATCH($A95,Market_Data!$T$21:INDEX(Market_Data!$T$21:$T$613,COUNT(Market_Data!$T$21:$T$613)),1)),""))</f>
        <v>1109.5999999999999</v>
      </c>
      <c r="I95" s="89">
        <f ca="1">IF($A95="","",IFERROR(INDEX(Query1[Close],MATCH($A95,Query1[Date],1)),""))</f>
        <v>23123</v>
      </c>
    </row>
    <row r="96" spans="1:9" x14ac:dyDescent="0.3">
      <c r="A96" s="87">
        <f t="shared" ca="1" si="2"/>
        <v>46188</v>
      </c>
      <c r="B96" s="88" vm="1">
        <f ca="1">IF($A96="","",IFERROR(INDEX(Market_Data!$C$21:$C$613,MATCH($A96,Market_Data!$B$21:INDEX(Market_Data!$B$21:$B$613,COUNT(Market_Data!$B$21:$B$613)),1)),""))</f>
        <v>1309.5</v>
      </c>
      <c r="C96" s="88" vm="625">
        <f ca="1">IF($A96="","",IFERROR(INDEX(Market_Data!$F$21:$F$613,MATCH($A96,Market_Data!$E$21:INDEX(Market_Data!$E$21:$E$613,COUNT(Market_Data!$E$21:$E$613)),1)),""))</f>
        <v>1910.8</v>
      </c>
      <c r="D96" s="88" vm="626">
        <f ca="1">IF($A96="","",IFERROR(INDEX(Market_Data!$I$21:$I$613,MATCH($A96,Market_Data!$H$21:INDEX(Market_Data!$H$21:$H$613,COUNT(Market_Data!$H$21:$H$613)),1)),""))</f>
        <v>779.8</v>
      </c>
      <c r="E96" s="88" vm="627">
        <f ca="1">IF($A96="","",IFERROR(INDEX(Market_Data!$L$21:$L$613,MATCH($A96,Market_Data!$K$21:INDEX(Market_Data!$K$21:$K$613,COUNT(Market_Data!$K$21:$K$613)),1)),""))</f>
        <v>4209.3999999999996</v>
      </c>
      <c r="F96" s="88" vm="628">
        <f ca="1">IF($A96="","",IFERROR(INDEX(Market_Data!$O$21:$O$613,MATCH($A96,Market_Data!$N$21:INDEX(Market_Data!$N$21:$N$613,COUNT(Market_Data!$N$21:$N$613)),1)),""))</f>
        <v>1351.8</v>
      </c>
      <c r="G96" s="88" vm="629">
        <f ca="1">IF($A96="","",IFERROR(INDEX(Market_Data!$R$21:$R$613,MATCH($A96,Market_Data!$Q$21:INDEX(Market_Data!$Q$21:$Q$613,COUNT(Market_Data!$Q$21:$Q$613)),1)),""))</f>
        <v>13395</v>
      </c>
      <c r="H96" s="88" vm="630">
        <f ca="1">IF($A96="","",IFERROR(INDEX(Market_Data!$U$21:$U$613,MATCH($A96,Market_Data!$T$21:INDEX(Market_Data!$T$21:$T$613,COUNT(Market_Data!$T$21:$T$613)),1)),""))</f>
        <v>1131.7</v>
      </c>
      <c r="I96" s="89">
        <f ca="1">IF($A96="","",IFERROR(INDEX(Query1[Close],MATCH($A96,Query1[Date],1)),""))</f>
        <v>23853.900390625</v>
      </c>
    </row>
    <row r="97" spans="1:9" x14ac:dyDescent="0.3">
      <c r="A97" s="87">
        <f t="shared" ca="1" si="2"/>
        <v>46195</v>
      </c>
      <c r="B97" s="88" vm="631">
        <f ca="1">IF($A97="","",IFERROR(INDEX(Market_Data!$C$21:$C$613,MATCH($A97,Market_Data!$B$21:INDEX(Market_Data!$B$21:$B$613,COUNT(Market_Data!$B$21:$B$613)),1)),""))</f>
        <v>1318.1</v>
      </c>
      <c r="C97" s="88" vm="632">
        <f ca="1">IF($A97="","",IFERROR(INDEX(Market_Data!$F$21:$F$613,MATCH($A97,Market_Data!$E$21:INDEX(Market_Data!$E$21:$E$613,COUNT(Market_Data!$E$21:$E$613)),1)),""))</f>
        <v>1850.7</v>
      </c>
      <c r="D97" s="88" vm="633">
        <f ca="1">IF($A97="","",IFERROR(INDEX(Market_Data!$I$21:$I$613,MATCH($A97,Market_Data!$H$21:INDEX(Market_Data!$H$21:$H$613,COUNT(Market_Data!$H$21:$H$613)),1)),""))</f>
        <v>796.3</v>
      </c>
      <c r="E97" s="88" vm="634">
        <f ca="1">IF($A97="","",IFERROR(INDEX(Market_Data!$L$21:$L$613,MATCH($A97,Market_Data!$K$21:INDEX(Market_Data!$K$21:$K$613,COUNT(Market_Data!$K$21:$K$613)),1)),""))</f>
        <v>4216.3999999999996</v>
      </c>
      <c r="F97" s="88" vm="635">
        <f ca="1">IF($A97="","",IFERROR(INDEX(Market_Data!$O$21:$O$613,MATCH($A97,Market_Data!$N$21:INDEX(Market_Data!$N$21:$N$613,COUNT(Market_Data!$N$21:$N$613)),1)),""))</f>
        <v>1440.1</v>
      </c>
      <c r="G97" s="88" vm="636">
        <f ca="1">IF($A97="","",IFERROR(INDEX(Market_Data!$R$21:$R$613,MATCH($A97,Market_Data!$Q$21:INDEX(Market_Data!$Q$21:$Q$613,COUNT(Market_Data!$Q$21:$Q$613)),1)),""))</f>
        <v>13745</v>
      </c>
      <c r="H97" s="88" vm="637">
        <f ca="1">IF($A97="","",IFERROR(INDEX(Market_Data!$U$21:$U$613,MATCH($A97,Market_Data!$T$21:INDEX(Market_Data!$T$21:$T$613,COUNT(Market_Data!$T$21:$T$613)),1)),""))</f>
        <v>1100.7</v>
      </c>
      <c r="I97" s="89">
        <f ca="1">IF($A97="","",IFERROR(INDEX(Query1[Close],MATCH($A97,Query1[Date],1)),""))</f>
        <v>24102.900390625</v>
      </c>
    </row>
    <row r="98" spans="1:9" x14ac:dyDescent="0.3">
      <c r="A98" s="87">
        <f t="shared" ca="1" si="2"/>
        <v>46202</v>
      </c>
      <c r="B98" s="88" vm="638">
        <f ca="1">IF($A98="","",IFERROR(INDEX(Market_Data!$C$21:$C$613,MATCH($A98,Market_Data!$B$21:INDEX(Market_Data!$B$21:$B$613,COUNT(Market_Data!$B$21:$B$613)),1)),""))</f>
        <v>1304</v>
      </c>
      <c r="C98" s="88" vm="639">
        <f ca="1">IF($A98="","",IFERROR(INDEX(Market_Data!$F$21:$F$613,MATCH($A98,Market_Data!$E$21:INDEX(Market_Data!$E$21:$E$613,COUNT(Market_Data!$E$21:$E$613)),1)),""))</f>
        <v>1910.4</v>
      </c>
      <c r="D98" s="88" vm="640">
        <f ca="1">IF($A98="","",IFERROR(INDEX(Market_Data!$I$21:$I$613,MATCH($A98,Market_Data!$H$21:INDEX(Market_Data!$H$21:$H$613,COUNT(Market_Data!$H$21:$H$613)),1)),""))</f>
        <v>801.05</v>
      </c>
      <c r="E98" s="88" vm="641">
        <f ca="1">IF($A98="","",IFERROR(INDEX(Market_Data!$L$21:$L$613,MATCH($A98,Market_Data!$K$21:INDEX(Market_Data!$K$21:$K$613,COUNT(Market_Data!$K$21:$K$613)),1)),""))</f>
        <v>4026.6</v>
      </c>
      <c r="F98" s="88" vm="642">
        <f ca="1">IF($A98="","",IFERROR(INDEX(Market_Data!$O$21:$O$613,MATCH($A98,Market_Data!$N$21:INDEX(Market_Data!$N$21:$N$613,COUNT(Market_Data!$N$21:$N$613)),1)),""))</f>
        <v>1458.2</v>
      </c>
      <c r="G98" s="88" vm="643">
        <f ca="1">IF($A98="","",IFERROR(INDEX(Market_Data!$R$21:$R$613,MATCH($A98,Market_Data!$Q$21:INDEX(Market_Data!$Q$21:$Q$613,COUNT(Market_Data!$Q$21:$Q$613)),1)),""))</f>
        <v>14366</v>
      </c>
      <c r="H98" s="88" vm="644">
        <f ca="1">IF($A98="","",IFERROR(INDEX(Market_Data!$U$21:$U$613,MATCH($A98,Market_Data!$T$21:INDEX(Market_Data!$T$21:$T$613,COUNT(Market_Data!$T$21:$T$613)),1)),""))</f>
        <v>1139</v>
      </c>
      <c r="I98" s="89">
        <f ca="1">IF($A98="","",IFERROR(INDEX(Query1[Close],MATCH($A98,Query1[Date],1)),""))</f>
        <v>23946.25</v>
      </c>
    </row>
    <row r="99" spans="1:9" x14ac:dyDescent="0.3">
      <c r="A99" s="87">
        <f t="shared" ca="1" si="2"/>
        <v>46209</v>
      </c>
      <c r="B99" s="88" vm="645">
        <f ca="1">IF($A99="","",IFERROR(INDEX(Market_Data!$C$21:$C$613,MATCH($A99,Market_Data!$B$21:INDEX(Market_Data!$B$21:$B$613,COUNT(Market_Data!$B$21:$B$613)),1)),""))</f>
        <v>1307.8</v>
      </c>
      <c r="C99" s="88" vm="646">
        <f ca="1">IF($A99="","",IFERROR(INDEX(Market_Data!$F$21:$F$613,MATCH($A99,Market_Data!$E$21:INDEX(Market_Data!$E$21:$E$613,COUNT(Market_Data!$E$21:$E$613)),1)),""))</f>
        <v>1920.4</v>
      </c>
      <c r="D99" s="88" vm="647">
        <f ca="1">IF($A99="","",IFERROR(INDEX(Market_Data!$I$21:$I$613,MATCH($A99,Market_Data!$H$21:INDEX(Market_Data!$H$21:$H$613,COUNT(Market_Data!$H$21:$H$613)),1)),""))</f>
        <v>824.95</v>
      </c>
      <c r="E99" s="88" vm="648">
        <f ca="1">IF($A99="","",IFERROR(INDEX(Market_Data!$L$21:$L$613,MATCH($A99,Market_Data!$K$21:INDEX(Market_Data!$K$21:$K$613,COUNT(Market_Data!$K$21:$K$613)),1)),""))</f>
        <v>3945.8</v>
      </c>
      <c r="F99" s="88" vm="649">
        <f ca="1">IF($A99="","",IFERROR(INDEX(Market_Data!$O$21:$O$613,MATCH($A99,Market_Data!$N$21:INDEX(Market_Data!$N$21:$N$613,COUNT(Market_Data!$N$21:$N$613)),1)),""))</f>
        <v>1439.4</v>
      </c>
      <c r="G99" s="88" vm="650">
        <f ca="1">IF($A99="","",IFERROR(INDEX(Market_Data!$R$21:$R$613,MATCH($A99,Market_Data!$Q$21:INDEX(Market_Data!$Q$21:$Q$613,COUNT(Market_Data!$Q$21:$Q$613)),1)),""))</f>
        <v>13854</v>
      </c>
      <c r="H99" s="88" vm="651">
        <f ca="1">IF($A99="","",IFERROR(INDEX(Market_Data!$U$21:$U$613,MATCH($A99,Market_Data!$T$21:INDEX(Market_Data!$T$21:$T$613,COUNT(Market_Data!$T$21:$T$613)),1)),""))</f>
        <v>1164.0999999999999</v>
      </c>
      <c r="I99" s="89">
        <f ca="1">IF($A99="","",IFERROR(INDEX(Query1[Close],MATCH($A99,Query1[Date],1)),""))</f>
        <v>24430.349609375</v>
      </c>
    </row>
    <row r="100" spans="1:9" x14ac:dyDescent="0.3">
      <c r="A100" s="87">
        <f t="shared" ca="1" si="2"/>
        <v>46216</v>
      </c>
      <c r="B100" s="88" vm="652">
        <f ca="1">IF($A100="","",IFERROR(INDEX(Market_Data!$C$21:$C$613,MATCH($A100,Market_Data!$B$21:INDEX(Market_Data!$B$21:$B$613,COUNT(Market_Data!$B$21:$B$613)),1)),""))</f>
        <v>1327.2</v>
      </c>
      <c r="C100" s="88" vm="653">
        <f ca="1">IF($A100="","",IFERROR(INDEX(Market_Data!$F$21:$F$613,MATCH($A100,Market_Data!$E$21:INDEX(Market_Data!$E$21:$E$613,COUNT(Market_Data!$E$21:$E$613)),1)),""))</f>
        <v>1908.8</v>
      </c>
      <c r="D100" s="88" vm="654">
        <f ca="1">IF($A100="","",IFERROR(INDEX(Market_Data!$I$21:$I$613,MATCH($A100,Market_Data!$H$21:INDEX(Market_Data!$H$21:$H$613,COUNT(Market_Data!$H$21:$H$613)),1)),""))</f>
        <v>819.6</v>
      </c>
      <c r="E100" s="88" vm="655">
        <f ca="1">IF($A100="","",IFERROR(INDEX(Market_Data!$L$21:$L$613,MATCH($A100,Market_Data!$K$21:INDEX(Market_Data!$K$21:$K$613,COUNT(Market_Data!$K$21:$K$613)),1)),""))</f>
        <v>3814.5</v>
      </c>
      <c r="F100" s="88" vm="656">
        <f ca="1">IF($A100="","",IFERROR(INDEX(Market_Data!$O$21:$O$613,MATCH($A100,Market_Data!$N$21:INDEX(Market_Data!$N$21:$N$613,COUNT(Market_Data!$N$21:$N$613)),1)),""))</f>
        <v>1418.7</v>
      </c>
      <c r="G100" s="88" vm="657">
        <f ca="1">IF($A100="","",IFERROR(INDEX(Market_Data!$R$21:$R$613,MATCH($A100,Market_Data!$Q$21:INDEX(Market_Data!$Q$21:$Q$613,COUNT(Market_Data!$Q$21:$Q$613)),1)),""))</f>
        <v>13803</v>
      </c>
      <c r="H100" s="88" vm="658">
        <f ca="1">IF($A100="","",IFERROR(INDEX(Market_Data!$U$21:$U$613,MATCH($A100,Market_Data!$T$21:INDEX(Market_Data!$T$21:$T$613,COUNT(Market_Data!$T$21:$T$613)),1)),""))</f>
        <v>1203.9000000000001</v>
      </c>
      <c r="I100" s="89">
        <f ca="1">IF($A100="","",IFERROR(INDEX(Query1[Close],MATCH($A100,Query1[Date],1)),""))</f>
        <v>24211</v>
      </c>
    </row>
    <row r="101" spans="1:9" x14ac:dyDescent="0.3">
      <c r="A101" s="87">
        <f t="shared" ref="A101:A133" ca="1" si="3">IF($A100="","",IF($A100+7&lt;=TODAY(),$A100+7,""))</f>
        <v>46223</v>
      </c>
      <c r="B101" s="88" vm="659">
        <f ca="1">IF($A101="","",IFERROR(INDEX(Market_Data!$C$21:$C$613,MATCH($A101,Market_Data!$B$21:INDEX(Market_Data!$B$21:$B$613,COUNT(Market_Data!$B$21:$B$613)),1)),""))</f>
        <v>1278</v>
      </c>
      <c r="C101" s="88" vm="660">
        <f ca="1">IF($A101="","",IFERROR(INDEX(Market_Data!$F$21:$F$613,MATCH($A101,Market_Data!$E$21:INDEX(Market_Data!$E$21:$E$613,COUNT(Market_Data!$E$21:$E$613)),1)),""))</f>
        <v>1898.2</v>
      </c>
      <c r="D101" s="88" vm="661">
        <f ca="1">IF($A101="","",IFERROR(INDEX(Market_Data!$I$21:$I$613,MATCH($A101,Market_Data!$H$21:INDEX(Market_Data!$H$21:$H$613,COUNT(Market_Data!$H$21:$H$613)),1)),""))</f>
        <v>742.8</v>
      </c>
      <c r="E101" s="88" vm="662">
        <f ca="1">IF($A101="","",IFERROR(INDEX(Market_Data!$L$21:$L$613,MATCH($A101,Market_Data!$K$21:INDEX(Market_Data!$K$21:$K$613,COUNT(Market_Data!$K$21:$K$613)),1)),""))</f>
        <v>3785.6</v>
      </c>
      <c r="F101" s="88" vm="663">
        <f ca="1">IF($A101="","",IFERROR(INDEX(Market_Data!$O$21:$O$613,MATCH($A101,Market_Data!$N$21:INDEX(Market_Data!$N$21:$N$613,COUNT(Market_Data!$N$21:$N$613)),1)),""))</f>
        <v>1410.6</v>
      </c>
      <c r="G101" s="88" vm="664">
        <f ca="1">IF($A101="","",IFERROR(INDEX(Market_Data!$R$21:$R$613,MATCH($A101,Market_Data!$Q$21:INDEX(Market_Data!$Q$21:$Q$613,COUNT(Market_Data!$Q$21:$Q$613)),1)),""))</f>
        <v>13442</v>
      </c>
      <c r="H101" s="88" vm="665">
        <f ca="1">IF($A101="","",IFERROR(INDEX(Market_Data!$U$21:$U$613,MATCH($A101,Market_Data!$T$21:INDEX(Market_Data!$T$21:$T$613,COUNT(Market_Data!$T$21:$T$613)),1)),""))</f>
        <v>1271</v>
      </c>
      <c r="I101" s="89">
        <f ca="1">IF($A101="","",IFERROR(INDEX(Query1[Close],MATCH($A101,Query1[Date],1)),""))</f>
        <v>24238.5</v>
      </c>
    </row>
    <row r="102" spans="1:9" x14ac:dyDescent="0.3">
      <c r="A102" s="87">
        <f t="shared" ca="1" si="3"/>
        <v>46230</v>
      </c>
      <c r="B102" s="88" vm="645">
        <f ca="1">IF($A102="","",IFERROR(INDEX(Market_Data!$C$21:$C$613,MATCH($A102,Market_Data!$B$21:INDEX(Market_Data!$B$21:$B$613,COUNT(Market_Data!$B$21:$B$613)),1)),""))</f>
        <v>1307.8</v>
      </c>
      <c r="C102" s="88" vm="666">
        <f ca="1">IF($A102="","",IFERROR(INDEX(Market_Data!$F$21:$F$613,MATCH($A102,Market_Data!$E$21:INDEX(Market_Data!$E$21:$E$613,COUNT(Market_Data!$E$21:$E$613)),1)),""))</f>
        <v>1972</v>
      </c>
      <c r="D102" s="88" vm="667">
        <f ca="1">IF($A102="","",IFERROR(INDEX(Market_Data!$I$21:$I$613,MATCH($A102,Market_Data!$H$21:INDEX(Market_Data!$H$21:$H$613,COUNT(Market_Data!$H$21:$H$613)),1)),""))</f>
        <v>748.15</v>
      </c>
      <c r="E102" s="88" vm="668">
        <f ca="1">IF($A102="","",IFERROR(INDEX(Market_Data!$L$21:$L$613,MATCH($A102,Market_Data!$K$21:INDEX(Market_Data!$K$21:$K$613,COUNT(Market_Data!$K$21:$K$613)),1)),""))</f>
        <v>3938.9</v>
      </c>
      <c r="F102" s="88" vm="669">
        <f ca="1">IF($A102="","",IFERROR(INDEX(Market_Data!$O$21:$O$613,MATCH($A102,Market_Data!$N$21:INDEX(Market_Data!$N$21:$N$613,COUNT(Market_Data!$N$21:$N$613)),1)),""))</f>
        <v>1473.2</v>
      </c>
      <c r="G102" s="88" vm="670">
        <f ca="1">IF($A102="","",IFERROR(INDEX(Market_Data!$R$21:$R$613,MATCH($A102,Market_Data!$Q$21:INDEX(Market_Data!$Q$21:$Q$613,COUNT(Market_Data!$Q$21:$Q$613)),1)),""))</f>
        <v>14234</v>
      </c>
      <c r="H102" s="88" vm="671">
        <f ca="1">IF($A102="","",IFERROR(INDEX(Market_Data!$U$21:$U$613,MATCH($A102,Market_Data!$T$21:INDEX(Market_Data!$T$21:$T$613,COUNT(Market_Data!$T$21:$T$613)),1)),""))</f>
        <v>1346.9</v>
      </c>
      <c r="I102" s="89">
        <f ca="1">IF($A102="","",IFERROR(INDEX(Query1[Close],MATCH($A102,Query1[Date],1)),""))</f>
        <v>23995.94921875</v>
      </c>
    </row>
    <row r="103" spans="1:9" x14ac:dyDescent="0.3">
      <c r="A103" s="87">
        <f t="shared" ca="1" si="3"/>
        <v>46237</v>
      </c>
      <c r="B103" s="88" vm="672">
        <f ca="1">IF($A103="","",IFERROR(INDEX(Market_Data!$C$21:$C$613,MATCH($A103,Market_Data!$B$21:INDEX(Market_Data!$B$21:$B$613,COUNT(Market_Data!$B$21:$B$613)),1)),""))</f>
        <v>1334.8</v>
      </c>
      <c r="C103" s="88" vm="673">
        <f ca="1">IF($A103="","",IFERROR(INDEX(Market_Data!$F$21:$F$613,MATCH($A103,Market_Data!$E$21:INDEX(Market_Data!$E$21:$E$613,COUNT(Market_Data!$E$21:$E$613)),1)),""))</f>
        <v>1959.9</v>
      </c>
      <c r="D103" s="88" vm="674">
        <f ca="1">IF($A103="","",IFERROR(INDEX(Market_Data!$I$21:$I$613,MATCH($A103,Market_Data!$H$21:INDEX(Market_Data!$H$21:$H$613,COUNT(Market_Data!$H$21:$H$613)),1)),""))</f>
        <v>731</v>
      </c>
      <c r="E103" s="88" vm="675">
        <f ca="1">IF($A103="","",IFERROR(INDEX(Market_Data!$L$21:$L$613,MATCH($A103,Market_Data!$K$21:INDEX(Market_Data!$K$21:$K$613,COUNT(Market_Data!$K$21:$K$613)),1)),""))</f>
        <v>4056</v>
      </c>
      <c r="F103" s="88" vm="676">
        <f ca="1">IF($A103="","",IFERROR(INDEX(Market_Data!$O$21:$O$613,MATCH($A103,Market_Data!$N$21:INDEX(Market_Data!$N$21:$N$613,COUNT(Market_Data!$N$21:$N$613)),1)),""))</f>
        <v>1463.8</v>
      </c>
      <c r="G103" s="88" vm="677">
        <f ca="1">IF($A103="","",IFERROR(INDEX(Market_Data!$R$21:$R$613,MATCH($A103,Market_Data!$Q$21:INDEX(Market_Data!$Q$21:$Q$613,COUNT(Market_Data!$Q$21:$Q$613)),1)),""))</f>
        <v>14037</v>
      </c>
      <c r="H103" s="88" vm="678">
        <f ca="1">IF($A103="","",IFERROR(INDEX(Market_Data!$U$21:$U$613,MATCH($A103,Market_Data!$T$21:INDEX(Market_Data!$T$21:$T$613,COUNT(Market_Data!$T$21:$T$613)),1)),""))</f>
        <v>1356.6</v>
      </c>
      <c r="I103" s="89">
        <f ca="1">IF($A103="","",IFERROR(INDEX(Query1[Close],MATCH($A103,Query1[Date],1)),""))</f>
        <v>24774.30078125</v>
      </c>
    </row>
    <row r="104" spans="1:9" x14ac:dyDescent="0.3">
      <c r="A104" s="87">
        <f t="shared" ca="1" si="3"/>
        <v>46244</v>
      </c>
      <c r="B104" s="88" vm="679">
        <f ca="1">IF($A104="","",IFERROR(INDEX(Market_Data!$C$21:$C$613,MATCH($A104,Market_Data!$B$21:INDEX(Market_Data!$B$21:$B$613,COUNT(Market_Data!$B$21:$B$613)),1)),""))</f>
        <v>1310</v>
      </c>
      <c r="C104" s="88" vm="680">
        <f ca="1">IF($A104="","",IFERROR(INDEX(Market_Data!$F$21:$F$613,MATCH($A104,Market_Data!$E$21:INDEX(Market_Data!$E$21:$E$613,COUNT(Market_Data!$E$21:$E$613)),1)),""))</f>
        <v>1992.1</v>
      </c>
      <c r="D104" s="88" vm="681">
        <f ca="1">IF($A104="","",IFERROR(INDEX(Market_Data!$I$21:$I$613,MATCH($A104,Market_Data!$H$21:INDEX(Market_Data!$H$21:$H$613,COUNT(Market_Data!$H$21:$H$613)),1)),""))</f>
        <v>727</v>
      </c>
      <c r="E104" s="88" vm="682">
        <f ca="1">IF($A104="","",IFERROR(INDEX(Market_Data!$L$21:$L$613,MATCH($A104,Market_Data!$K$21:INDEX(Market_Data!$K$21:$K$613,COUNT(Market_Data!$K$21:$K$613)),1)),""))</f>
        <v>4057</v>
      </c>
      <c r="F104" s="88" vm="683">
        <f ca="1">IF($A104="","",IFERROR(INDEX(Market_Data!$O$21:$O$613,MATCH($A104,Market_Data!$N$21:INDEX(Market_Data!$N$21:$N$613,COUNT(Market_Data!$N$21:$N$613)),1)),""))</f>
        <v>1450</v>
      </c>
      <c r="G104" s="88" vm="684">
        <f ca="1">IF($A104="","",IFERROR(INDEX(Market_Data!$R$21:$R$613,MATCH($A104,Market_Data!$Q$21:INDEX(Market_Data!$Q$21:$Q$613,COUNT(Market_Data!$Q$21:$Q$613)),1)),""))</f>
        <v>13834</v>
      </c>
      <c r="H104" s="88" vm="685">
        <f ca="1">IF($A104="","",IFERROR(INDEX(Market_Data!$U$21:$U$613,MATCH($A104,Market_Data!$T$21:INDEX(Market_Data!$T$21:$T$613,COUNT(Market_Data!$T$21:$T$613)),1)),""))</f>
        <v>1360</v>
      </c>
      <c r="I104" s="89">
        <f ca="1">IF($A104="","",IFERROR(INDEX(Query1[Close],MATCH($A104,Query1[Date],1)),""))</f>
        <v>24583.80078125</v>
      </c>
    </row>
    <row r="105" spans="1:9" x14ac:dyDescent="0.3">
      <c r="A105" s="87">
        <f t="shared" ca="1" si="3"/>
        <v>46251</v>
      </c>
      <c r="B105" s="88" vm="686">
        <f ca="1">IF($A105="","",IFERROR(INDEX(Market_Data!$C$21:$C$613,MATCH($A105,Market_Data!$B$21:INDEX(Market_Data!$B$21:$B$613,COUNT(Market_Data!$B$21:$B$613)),1)),""))</f>
        <v>1316</v>
      </c>
      <c r="C105" s="88" vm="687">
        <f ca="1">IF($A105="","",IFERROR(INDEX(Market_Data!$F$21:$F$613,MATCH($A105,Market_Data!$E$21:INDEX(Market_Data!$E$21:$E$613,COUNT(Market_Data!$E$21:$E$613)),1)),""))</f>
        <v>1946</v>
      </c>
      <c r="D105" s="88" vm="688">
        <f ca="1">IF($A105="","",IFERROR(INDEX(Market_Data!$I$21:$I$613,MATCH($A105,Market_Data!$H$21:INDEX(Market_Data!$H$21:$H$613,COUNT(Market_Data!$H$21:$H$613)),1)),""))</f>
        <v>726.95</v>
      </c>
      <c r="E105" s="88" vm="689">
        <f ca="1">IF($A105="","",IFERROR(INDEX(Market_Data!$L$21:$L$613,MATCH($A105,Market_Data!$K$21:INDEX(Market_Data!$K$21:$K$613,COUNT(Market_Data!$K$21:$K$613)),1)),""))</f>
        <v>4093</v>
      </c>
      <c r="F105" s="88" vm="690">
        <f ca="1">IF($A105="","",IFERROR(INDEX(Market_Data!$O$21:$O$613,MATCH($A105,Market_Data!$N$21:INDEX(Market_Data!$N$21:$N$613,COUNT(Market_Data!$N$21:$N$613)),1)),""))</f>
        <v>1432.2</v>
      </c>
      <c r="G105" s="88" vm="691">
        <f ca="1">IF($A105="","",IFERROR(INDEX(Market_Data!$R$21:$R$613,MATCH($A105,Market_Data!$Q$21:INDEX(Market_Data!$Q$21:$Q$613,COUNT(Market_Data!$Q$21:$Q$613)),1)),""))</f>
        <v>13565</v>
      </c>
      <c r="H105" s="88" vm="692">
        <f ca="1">IF($A105="","",IFERROR(INDEX(Market_Data!$U$21:$U$613,MATCH($A105,Market_Data!$T$21:INDEX(Market_Data!$T$21:$T$613,COUNT(Market_Data!$T$21:$T$613)),1)),""))</f>
        <v>1302.5</v>
      </c>
      <c r="I105" s="89">
        <f ca="1">IF($A105="","",IFERROR(INDEX(Query1[Close],MATCH($A105,Query1[Date],1)),""))</f>
        <v>24287.650390625</v>
      </c>
    </row>
    <row r="106" spans="1:9" x14ac:dyDescent="0.3">
      <c r="A106" s="87">
        <f t="shared" ca="1" si="3"/>
        <v>46258</v>
      </c>
      <c r="B106" s="88" vm="693">
        <f ca="1">IF($A106="","",IFERROR(INDEX(Market_Data!$C$21:$C$613,MATCH($A106,Market_Data!$B$21:INDEX(Market_Data!$B$21:$B$613,COUNT(Market_Data!$B$21:$B$613)),1)),""))</f>
        <v>1287</v>
      </c>
      <c r="C106" s="88" vm="694">
        <f ca="1">IF($A106="","",IFERROR(INDEX(Market_Data!$F$21:$F$613,MATCH($A106,Market_Data!$E$21:INDEX(Market_Data!$E$21:$E$613,COUNT(Market_Data!$E$21:$E$613)),1)),""))</f>
        <v>1882.4</v>
      </c>
      <c r="D106" s="88" vm="695">
        <f ca="1">IF($A106="","",IFERROR(INDEX(Market_Data!$I$21:$I$613,MATCH($A106,Market_Data!$H$21:INDEX(Market_Data!$H$21:$H$613,COUNT(Market_Data!$H$21:$H$613)),1)),""))</f>
        <v>720.3</v>
      </c>
      <c r="E106" s="88" vm="696">
        <f ca="1">IF($A106="","",IFERROR(INDEX(Market_Data!$L$21:$L$613,MATCH($A106,Market_Data!$K$21:INDEX(Market_Data!$K$21:$K$613,COUNT(Market_Data!$K$21:$K$613)),1)),""))</f>
        <v>4045.8</v>
      </c>
      <c r="F106" s="88" vm="697">
        <f ca="1">IF($A106="","",IFERROR(INDEX(Market_Data!$O$21:$O$613,MATCH($A106,Market_Data!$N$21:INDEX(Market_Data!$N$21:$N$613,COUNT(Market_Data!$N$21:$N$613)),1)),""))</f>
        <v>1423.5</v>
      </c>
      <c r="G106" s="88" vm="698">
        <f ca="1">IF($A106="","",IFERROR(INDEX(Market_Data!$R$21:$R$613,MATCH($A106,Market_Data!$Q$21:INDEX(Market_Data!$Q$21:$Q$613,COUNT(Market_Data!$Q$21:$Q$613)),1)),""))</f>
        <v>13376</v>
      </c>
      <c r="H106" s="88" vm="699">
        <f ca="1">IF($A106="","",IFERROR(INDEX(Market_Data!$U$21:$U$613,MATCH($A106,Market_Data!$T$21:INDEX(Market_Data!$T$21:$T$613,COUNT(Market_Data!$T$21:$T$613)),1)),""))</f>
        <v>1316.1</v>
      </c>
      <c r="I106" s="89">
        <f ca="1">IF($A106="","",IFERROR(INDEX(Query1[Close],MATCH($A106,Query1[Date],1)),""))</f>
        <v>24219.05078125</v>
      </c>
    </row>
    <row r="107" spans="1:9" x14ac:dyDescent="0.3">
      <c r="A107" s="87">
        <f t="shared" ca="1" si="3"/>
        <v>46265</v>
      </c>
      <c r="B107" s="88" vm="700">
        <f ca="1">IF($A107="","",IFERROR(INDEX(Market_Data!$C$21:$C$613,MATCH($A107,Market_Data!$B$21:INDEX(Market_Data!$B$21:$B$613,COUNT(Market_Data!$B$21:$B$613)),1)),""))</f>
        <v>1322</v>
      </c>
      <c r="C107" s="88" vm="701">
        <f ca="1">IF($A107="","",IFERROR(INDEX(Market_Data!$F$21:$F$613,MATCH($A107,Market_Data!$E$21:INDEX(Market_Data!$E$21:$E$613,COUNT(Market_Data!$E$21:$E$613)),1)),""))</f>
        <v>1840</v>
      </c>
      <c r="D107" s="88" vm="702">
        <f ca="1">IF($A107="","",IFERROR(INDEX(Market_Data!$I$21:$I$613,MATCH($A107,Market_Data!$H$21:INDEX(Market_Data!$H$21:$H$613,COUNT(Market_Data!$H$21:$H$613)),1)),""))</f>
        <v>712.1</v>
      </c>
      <c r="E107" s="88" vm="703">
        <f ca="1">IF($A107="","",IFERROR(INDEX(Market_Data!$L$21:$L$613,MATCH($A107,Market_Data!$K$21:INDEX(Market_Data!$K$21:$K$613,COUNT(Market_Data!$K$21:$K$613)),1)),""))</f>
        <v>3964.1</v>
      </c>
      <c r="F107" s="88" vm="704">
        <f ca="1">IF($A107="","",IFERROR(INDEX(Market_Data!$O$21:$O$613,MATCH($A107,Market_Data!$N$21:INDEX(Market_Data!$N$21:$N$613,COUNT(Market_Data!$N$21:$N$613)),1)),""))</f>
        <v>1385</v>
      </c>
      <c r="G107" s="88" vm="705">
        <f ca="1">IF($A107="","",IFERROR(INDEX(Market_Data!$R$21:$R$613,MATCH($A107,Market_Data!$Q$21:INDEX(Market_Data!$Q$21:$Q$613,COUNT(Market_Data!$Q$21:$Q$613)),1)),""))</f>
        <v>12694</v>
      </c>
      <c r="H107" s="88" vm="706">
        <f ca="1">IF($A107="","",IFERROR(INDEX(Market_Data!$U$21:$U$613,MATCH($A107,Market_Data!$T$21:INDEX(Market_Data!$T$21:$T$613,COUNT(Market_Data!$T$21:$T$613)),1)),""))</f>
        <v>1293.4000000000001</v>
      </c>
      <c r="I107" s="89">
        <f ca="1">IF($A107="","",IFERROR(INDEX(Query1[Close],MATCH($A107,Query1[Date],1)),""))</f>
        <v>24080.400390625</v>
      </c>
    </row>
    <row r="108" spans="1:9" x14ac:dyDescent="0.3">
      <c r="A108" s="87">
        <f t="shared" ca="1" si="3"/>
        <v>46272</v>
      </c>
      <c r="B108" s="88" vm="1">
        <f ca="1">IF($A108="","",IFERROR(INDEX(Market_Data!$C$21:$C$613,MATCH($A108,Market_Data!$B$21:INDEX(Market_Data!$B$21:$B$613,COUNT(Market_Data!$B$21:$B$613)),1)),""))</f>
        <v>1309.5</v>
      </c>
      <c r="C108" s="88" vm="2">
        <f ca="1">IF($A108="","",IFERROR(INDEX(Market_Data!$F$21:$F$613,MATCH($A108,Market_Data!$E$21:INDEX(Market_Data!$E$21:$E$613,COUNT(Market_Data!$E$21:$E$613)),1)),""))</f>
        <v>1854</v>
      </c>
      <c r="D108" s="88" vm="3">
        <f ca="1">IF($A108="","",IFERROR(INDEX(Market_Data!$I$21:$I$613,MATCH($A108,Market_Data!$H$21:INDEX(Market_Data!$H$21:$H$613,COUNT(Market_Data!$H$21:$H$613)),1)),""))</f>
        <v>710.5</v>
      </c>
      <c r="E108" s="88" vm="4">
        <f ca="1">IF($A108="","",IFERROR(INDEX(Market_Data!$L$21:$L$613,MATCH($A108,Market_Data!$K$21:INDEX(Market_Data!$K$21:$K$613,COUNT(Market_Data!$K$21:$K$613)),1)),""))</f>
        <v>3999</v>
      </c>
      <c r="F108" s="88" vm="5">
        <f ca="1">IF($A108="","",IFERROR(INDEX(Market_Data!$O$21:$O$613,MATCH($A108,Market_Data!$N$21:INDEX(Market_Data!$N$21:$N$613,COUNT(Market_Data!$N$21:$N$613)),1)),""))</f>
        <v>1395</v>
      </c>
      <c r="G108" s="88" vm="6">
        <f ca="1">IF($A108="","",IFERROR(INDEX(Market_Data!$R$21:$R$613,MATCH($A108,Market_Data!$Q$21:INDEX(Market_Data!$Q$21:$Q$613,COUNT(Market_Data!$Q$21:$Q$613)),1)),""))</f>
        <v>12760</v>
      </c>
      <c r="H108" s="88" vm="7">
        <f ca="1">IF($A108="","",IFERROR(INDEX(Market_Data!$U$21:$U$613,MATCH($A108,Market_Data!$T$21:INDEX(Market_Data!$T$21:$T$613,COUNT(Market_Data!$T$21:$T$613)),1)),""))</f>
        <v>1282.8</v>
      </c>
      <c r="I108" s="89">
        <f ca="1">IF($A108="","",IFERROR(INDEX(Query1[Close],MATCH($A108,Query1[Date],1)),""))</f>
        <v>23779.150390625</v>
      </c>
    </row>
    <row r="109" spans="1:9" x14ac:dyDescent="0.3">
      <c r="A109" s="87" t="str">
        <f t="shared" ca="1" si="3"/>
        <v/>
      </c>
      <c r="B109" s="88" t="str">
        <f ca="1">IF($A109="","",IFERROR(INDEX(Market_Data!$C$21:$C$613,MATCH($A109,Market_Data!$B$21:INDEX(Market_Data!$B$21:$B$613,COUNT(Market_Data!$B$21:$B$613)),1)),""))</f>
        <v/>
      </c>
      <c r="C109" s="88" t="str">
        <f ca="1">IF($A109="","",IFERROR(INDEX(Market_Data!$F$21:$F$613,MATCH($A109,Market_Data!$E$21:INDEX(Market_Data!$E$21:$E$613,COUNT(Market_Data!$E$21:$E$613)),1)),""))</f>
        <v/>
      </c>
      <c r="D109" s="88" t="str">
        <f ca="1">IF($A109="","",IFERROR(INDEX(Market_Data!$I$21:$I$613,MATCH($A109,Market_Data!$H$21:INDEX(Market_Data!$H$21:$H$613,COUNT(Market_Data!$H$21:$H$613)),1)),""))</f>
        <v/>
      </c>
      <c r="E109" s="88" t="str">
        <f ca="1">IF($A109="","",IFERROR(INDEX(Market_Data!$L$21:$L$613,MATCH($A109,Market_Data!$K$21:INDEX(Market_Data!$K$21:$K$613,COUNT(Market_Data!$K$21:$K$613)),1)),""))</f>
        <v/>
      </c>
      <c r="F109" s="88" t="str">
        <f ca="1">IF($A109="","",IFERROR(INDEX(Market_Data!$O$21:$O$613,MATCH($A109,Market_Data!$N$21:INDEX(Market_Data!$N$21:$N$613,COUNT(Market_Data!$N$21:$N$613)),1)),""))</f>
        <v/>
      </c>
      <c r="G109" s="88" t="str">
        <f ca="1">IF($A109="","",IFERROR(INDEX(Market_Data!$R$21:$R$613,MATCH($A109,Market_Data!$Q$21:INDEX(Market_Data!$Q$21:$Q$613,COUNT(Market_Data!$Q$21:$Q$613)),1)),""))</f>
        <v/>
      </c>
      <c r="H109" s="88" t="str">
        <f ca="1">IF($A109="","",IFERROR(INDEX(Market_Data!$U$21:$U$613,MATCH($A109,Market_Data!$T$21:INDEX(Market_Data!$T$21:$T$613,COUNT(Market_Data!$T$21:$T$613)),1)),""))</f>
        <v/>
      </c>
      <c r="I109" s="89" t="str">
        <f ca="1">IF($A109="","",IFERROR(INDEX(Query1[Close],MATCH($A109,Query1[Date],1)),""))</f>
        <v/>
      </c>
    </row>
    <row r="110" spans="1:9" x14ac:dyDescent="0.3">
      <c r="A110" s="87" t="str">
        <f t="shared" ca="1" si="3"/>
        <v/>
      </c>
      <c r="B110" s="88" t="str">
        <f ca="1">IF($A110="","",IFERROR(INDEX(Market_Data!$C$21:$C$613,MATCH($A110,Market_Data!$B$21:INDEX(Market_Data!$B$21:$B$613,COUNT(Market_Data!$B$21:$B$613)),1)),""))</f>
        <v/>
      </c>
      <c r="C110" s="88" t="str">
        <f ca="1">IF($A110="","",IFERROR(INDEX(Market_Data!$F$21:$F$613,MATCH($A110,Market_Data!$E$21:INDEX(Market_Data!$E$21:$E$613,COUNT(Market_Data!$E$21:$E$613)),1)),""))</f>
        <v/>
      </c>
      <c r="D110" s="88" t="str">
        <f ca="1">IF($A110="","",IFERROR(INDEX(Market_Data!$I$21:$I$613,MATCH($A110,Market_Data!$H$21:INDEX(Market_Data!$H$21:$H$613,COUNT(Market_Data!$H$21:$H$613)),1)),""))</f>
        <v/>
      </c>
      <c r="E110" s="88" t="str">
        <f ca="1">IF($A110="","",IFERROR(INDEX(Market_Data!$L$21:$L$613,MATCH($A110,Market_Data!$K$21:INDEX(Market_Data!$K$21:$K$613,COUNT(Market_Data!$K$21:$K$613)),1)),""))</f>
        <v/>
      </c>
      <c r="F110" s="88" t="str">
        <f ca="1">IF($A110="","",IFERROR(INDEX(Market_Data!$O$21:$O$613,MATCH($A110,Market_Data!$N$21:INDEX(Market_Data!$N$21:$N$613,COUNT(Market_Data!$N$21:$N$613)),1)),""))</f>
        <v/>
      </c>
      <c r="G110" s="88" t="str">
        <f ca="1">IF($A110="","",IFERROR(INDEX(Market_Data!$R$21:$R$613,MATCH($A110,Market_Data!$Q$21:INDEX(Market_Data!$Q$21:$Q$613,COUNT(Market_Data!$Q$21:$Q$613)),1)),""))</f>
        <v/>
      </c>
      <c r="H110" s="88" t="str">
        <f ca="1">IF($A110="","",IFERROR(INDEX(Market_Data!$U$21:$U$613,MATCH($A110,Market_Data!$T$21:INDEX(Market_Data!$T$21:$T$613,COUNT(Market_Data!$T$21:$T$613)),1)),""))</f>
        <v/>
      </c>
      <c r="I110" s="89" t="str">
        <f ca="1">IF($A110="","",IFERROR(INDEX(Query1[Close],MATCH($A110,Query1[Date],1)),""))</f>
        <v/>
      </c>
    </row>
    <row r="111" spans="1:9" x14ac:dyDescent="0.3">
      <c r="A111" s="87" t="str">
        <f t="shared" ca="1" si="3"/>
        <v/>
      </c>
      <c r="B111" s="88" t="str">
        <f ca="1">IF($A111="","",IFERROR(INDEX(Market_Data!$C$21:$C$613,MATCH($A111,Market_Data!$B$21:INDEX(Market_Data!$B$21:$B$613,COUNT(Market_Data!$B$21:$B$613)),1)),""))</f>
        <v/>
      </c>
      <c r="C111" s="88" t="str">
        <f ca="1">IF($A111="","",IFERROR(INDEX(Market_Data!$F$21:$F$613,MATCH($A111,Market_Data!$E$21:INDEX(Market_Data!$E$21:$E$613,COUNT(Market_Data!$E$21:$E$613)),1)),""))</f>
        <v/>
      </c>
      <c r="D111" s="88" t="str">
        <f ca="1">IF($A111="","",IFERROR(INDEX(Market_Data!$I$21:$I$613,MATCH($A111,Market_Data!$H$21:INDEX(Market_Data!$H$21:$H$613,COUNT(Market_Data!$H$21:$H$613)),1)),""))</f>
        <v/>
      </c>
      <c r="E111" s="88" t="str">
        <f ca="1">IF($A111="","",IFERROR(INDEX(Market_Data!$L$21:$L$613,MATCH($A111,Market_Data!$K$21:INDEX(Market_Data!$K$21:$K$613,COUNT(Market_Data!$K$21:$K$613)),1)),""))</f>
        <v/>
      </c>
      <c r="F111" s="88" t="str">
        <f ca="1">IF($A111="","",IFERROR(INDEX(Market_Data!$O$21:$O$613,MATCH($A111,Market_Data!$N$21:INDEX(Market_Data!$N$21:$N$613,COUNT(Market_Data!$N$21:$N$613)),1)),""))</f>
        <v/>
      </c>
      <c r="G111" s="88" t="str">
        <f ca="1">IF($A111="","",IFERROR(INDEX(Market_Data!$R$21:$R$613,MATCH($A111,Market_Data!$Q$21:INDEX(Market_Data!$Q$21:$Q$613,COUNT(Market_Data!$Q$21:$Q$613)),1)),""))</f>
        <v/>
      </c>
      <c r="H111" s="88" t="str">
        <f ca="1">IF($A111="","",IFERROR(INDEX(Market_Data!$U$21:$U$613,MATCH($A111,Market_Data!$T$21:INDEX(Market_Data!$T$21:$T$613,COUNT(Market_Data!$T$21:$T$613)),1)),""))</f>
        <v/>
      </c>
      <c r="I111" s="89" t="str">
        <f ca="1">IF($A111="","",IFERROR(INDEX(Query1[Close],MATCH($A111,Query1[Date],1)),""))</f>
        <v/>
      </c>
    </row>
    <row r="112" spans="1:9" x14ac:dyDescent="0.3">
      <c r="A112" s="87" t="str">
        <f t="shared" ca="1" si="3"/>
        <v/>
      </c>
      <c r="B112" s="88" t="str">
        <f ca="1">IF($A112="","",IFERROR(INDEX(Market_Data!$C$21:$C$613,MATCH($A112,Market_Data!$B$21:INDEX(Market_Data!$B$21:$B$613,COUNT(Market_Data!$B$21:$B$613)),1)),""))</f>
        <v/>
      </c>
      <c r="C112" s="88" t="str">
        <f ca="1">IF($A112="","",IFERROR(INDEX(Market_Data!$F$21:$F$613,MATCH($A112,Market_Data!$E$21:INDEX(Market_Data!$E$21:$E$613,COUNT(Market_Data!$E$21:$E$613)),1)),""))</f>
        <v/>
      </c>
      <c r="D112" s="88" t="str">
        <f ca="1">IF($A112="","",IFERROR(INDEX(Market_Data!$I$21:$I$613,MATCH($A112,Market_Data!$H$21:INDEX(Market_Data!$H$21:$H$613,COUNT(Market_Data!$H$21:$H$613)),1)),""))</f>
        <v/>
      </c>
      <c r="E112" s="88" t="str">
        <f ca="1">IF($A112="","",IFERROR(INDEX(Market_Data!$L$21:$L$613,MATCH($A112,Market_Data!$K$21:INDEX(Market_Data!$K$21:$K$613,COUNT(Market_Data!$K$21:$K$613)),1)),""))</f>
        <v/>
      </c>
      <c r="F112" s="88" t="str">
        <f ca="1">IF($A112="","",IFERROR(INDEX(Market_Data!$O$21:$O$613,MATCH($A112,Market_Data!$N$21:INDEX(Market_Data!$N$21:$N$613,COUNT(Market_Data!$N$21:$N$613)),1)),""))</f>
        <v/>
      </c>
      <c r="G112" s="88" t="str">
        <f ca="1">IF($A112="","",IFERROR(INDEX(Market_Data!$R$21:$R$613,MATCH($A112,Market_Data!$Q$21:INDEX(Market_Data!$Q$21:$Q$613,COUNT(Market_Data!$Q$21:$Q$613)),1)),""))</f>
        <v/>
      </c>
      <c r="H112" s="88" t="str">
        <f ca="1">IF($A112="","",IFERROR(INDEX(Market_Data!$U$21:$U$613,MATCH($A112,Market_Data!$T$21:INDEX(Market_Data!$T$21:$T$613,COUNT(Market_Data!$T$21:$T$613)),1)),""))</f>
        <v/>
      </c>
      <c r="I112" s="89" t="str">
        <f ca="1">IF($A112="","",IFERROR(INDEX(Query1[Close],MATCH($A112,Query1[Date],1)),""))</f>
        <v/>
      </c>
    </row>
    <row r="113" spans="1:9" x14ac:dyDescent="0.3">
      <c r="A113" s="87" t="str">
        <f t="shared" ca="1" si="3"/>
        <v/>
      </c>
      <c r="B113" s="88" t="str">
        <f ca="1">IF($A113="","",IFERROR(INDEX(Market_Data!$C$21:$C$613,MATCH($A113,Market_Data!$B$21:INDEX(Market_Data!$B$21:$B$613,COUNT(Market_Data!$B$21:$B$613)),1)),""))</f>
        <v/>
      </c>
      <c r="C113" s="88" t="str">
        <f ca="1">IF($A113="","",IFERROR(INDEX(Market_Data!$F$21:$F$613,MATCH($A113,Market_Data!$E$21:INDEX(Market_Data!$E$21:$E$613,COUNT(Market_Data!$E$21:$E$613)),1)),""))</f>
        <v/>
      </c>
      <c r="D113" s="88" t="str">
        <f ca="1">IF($A113="","",IFERROR(INDEX(Market_Data!$I$21:$I$613,MATCH($A113,Market_Data!$H$21:INDEX(Market_Data!$H$21:$H$613,COUNT(Market_Data!$H$21:$H$613)),1)),""))</f>
        <v/>
      </c>
      <c r="E113" s="88" t="str">
        <f ca="1">IF($A113="","",IFERROR(INDEX(Market_Data!$L$21:$L$613,MATCH($A113,Market_Data!$K$21:INDEX(Market_Data!$K$21:$K$613,COUNT(Market_Data!$K$21:$K$613)),1)),""))</f>
        <v/>
      </c>
      <c r="F113" s="88" t="str">
        <f ca="1">IF($A113="","",IFERROR(INDEX(Market_Data!$O$21:$O$613,MATCH($A113,Market_Data!$N$21:INDEX(Market_Data!$N$21:$N$613,COUNT(Market_Data!$N$21:$N$613)),1)),""))</f>
        <v/>
      </c>
      <c r="G113" s="88" t="str">
        <f ca="1">IF($A113="","",IFERROR(INDEX(Market_Data!$R$21:$R$613,MATCH($A113,Market_Data!$Q$21:INDEX(Market_Data!$Q$21:$Q$613,COUNT(Market_Data!$Q$21:$Q$613)),1)),""))</f>
        <v/>
      </c>
      <c r="H113" s="88" t="str">
        <f ca="1">IF($A113="","",IFERROR(INDEX(Market_Data!$U$21:$U$613,MATCH($A113,Market_Data!$T$21:INDEX(Market_Data!$T$21:$T$613,COUNT(Market_Data!$T$21:$T$613)),1)),""))</f>
        <v/>
      </c>
      <c r="I113" s="89" t="str">
        <f ca="1">IF($A113="","",IFERROR(INDEX(Query1[Close],MATCH($A113,Query1[Date],1)),""))</f>
        <v/>
      </c>
    </row>
    <row r="114" spans="1:9" x14ac:dyDescent="0.3">
      <c r="A114" s="87" t="str">
        <f t="shared" ca="1" si="3"/>
        <v/>
      </c>
      <c r="B114" s="88" t="str">
        <f ca="1">IF($A114="","",IFERROR(INDEX(Market_Data!$C$21:$C$613,MATCH($A114,Market_Data!$B$21:INDEX(Market_Data!$B$21:$B$613,COUNT(Market_Data!$B$21:$B$613)),1)),""))</f>
        <v/>
      </c>
      <c r="C114" s="88" t="str">
        <f ca="1">IF($A114="","",IFERROR(INDEX(Market_Data!$F$21:$F$613,MATCH($A114,Market_Data!$E$21:INDEX(Market_Data!$E$21:$E$613,COUNT(Market_Data!$E$21:$E$613)),1)),""))</f>
        <v/>
      </c>
      <c r="D114" s="88" t="str">
        <f ca="1">IF($A114="","",IFERROR(INDEX(Market_Data!$I$21:$I$613,MATCH($A114,Market_Data!$H$21:INDEX(Market_Data!$H$21:$H$613,COUNT(Market_Data!$H$21:$H$613)),1)),""))</f>
        <v/>
      </c>
      <c r="E114" s="88" t="str">
        <f ca="1">IF($A114="","",IFERROR(INDEX(Market_Data!$L$21:$L$613,MATCH($A114,Market_Data!$K$21:INDEX(Market_Data!$K$21:$K$613,COUNT(Market_Data!$K$21:$K$613)),1)),""))</f>
        <v/>
      </c>
      <c r="F114" s="88" t="str">
        <f ca="1">IF($A114="","",IFERROR(INDEX(Market_Data!$O$21:$O$613,MATCH($A114,Market_Data!$N$21:INDEX(Market_Data!$N$21:$N$613,COUNT(Market_Data!$N$21:$N$613)),1)),""))</f>
        <v/>
      </c>
      <c r="G114" s="88" t="str">
        <f ca="1">IF($A114="","",IFERROR(INDEX(Market_Data!$R$21:$R$613,MATCH($A114,Market_Data!$Q$21:INDEX(Market_Data!$Q$21:$Q$613,COUNT(Market_Data!$Q$21:$Q$613)),1)),""))</f>
        <v/>
      </c>
      <c r="H114" s="88" t="str">
        <f ca="1">IF($A114="","",IFERROR(INDEX(Market_Data!$U$21:$U$613,MATCH($A114,Market_Data!$T$21:INDEX(Market_Data!$T$21:$T$613,COUNT(Market_Data!$T$21:$T$613)),1)),""))</f>
        <v/>
      </c>
      <c r="I114" s="89" t="str">
        <f ca="1">IF($A114="","",IFERROR(INDEX(Query1[Close],MATCH($A114,Query1[Date],1)),""))</f>
        <v/>
      </c>
    </row>
    <row r="115" spans="1:9" x14ac:dyDescent="0.3">
      <c r="A115" s="87" t="str">
        <f t="shared" ca="1" si="3"/>
        <v/>
      </c>
      <c r="B115" s="88" t="str">
        <f ca="1">IF($A115="","",IFERROR(INDEX(Market_Data!$C$21:$C$613,MATCH($A115,Market_Data!$B$21:INDEX(Market_Data!$B$21:$B$613,COUNT(Market_Data!$B$21:$B$613)),1)),""))</f>
        <v/>
      </c>
      <c r="C115" s="88" t="str">
        <f ca="1">IF($A115="","",IFERROR(INDEX(Market_Data!$F$21:$F$613,MATCH($A115,Market_Data!$E$21:INDEX(Market_Data!$E$21:$E$613,COUNT(Market_Data!$E$21:$E$613)),1)),""))</f>
        <v/>
      </c>
      <c r="D115" s="88" t="str">
        <f ca="1">IF($A115="","",IFERROR(INDEX(Market_Data!$I$21:$I$613,MATCH($A115,Market_Data!$H$21:INDEX(Market_Data!$H$21:$H$613,COUNT(Market_Data!$H$21:$H$613)),1)),""))</f>
        <v/>
      </c>
      <c r="E115" s="88" t="str">
        <f ca="1">IF($A115="","",IFERROR(INDEX(Market_Data!$L$21:$L$613,MATCH($A115,Market_Data!$K$21:INDEX(Market_Data!$K$21:$K$613,COUNT(Market_Data!$K$21:$K$613)),1)),""))</f>
        <v/>
      </c>
      <c r="F115" s="88" t="str">
        <f ca="1">IF($A115="","",IFERROR(INDEX(Market_Data!$O$21:$O$613,MATCH($A115,Market_Data!$N$21:INDEX(Market_Data!$N$21:$N$613,COUNT(Market_Data!$N$21:$N$613)),1)),""))</f>
        <v/>
      </c>
      <c r="G115" s="88" t="str">
        <f ca="1">IF($A115="","",IFERROR(INDEX(Market_Data!$R$21:$R$613,MATCH($A115,Market_Data!$Q$21:INDEX(Market_Data!$Q$21:$Q$613,COUNT(Market_Data!$Q$21:$Q$613)),1)),""))</f>
        <v/>
      </c>
      <c r="H115" s="88" t="str">
        <f ca="1">IF($A115="","",IFERROR(INDEX(Market_Data!$U$21:$U$613,MATCH($A115,Market_Data!$T$21:INDEX(Market_Data!$T$21:$T$613,COUNT(Market_Data!$T$21:$T$613)),1)),""))</f>
        <v/>
      </c>
      <c r="I115" s="89" t="str">
        <f ca="1">IF($A115="","",IFERROR(INDEX(Query1[Close],MATCH($A115,Query1[Date],1)),""))</f>
        <v/>
      </c>
    </row>
    <row r="116" spans="1:9" x14ac:dyDescent="0.3">
      <c r="A116" s="87" t="str">
        <f t="shared" ca="1" si="3"/>
        <v/>
      </c>
      <c r="B116" s="88" t="str">
        <f ca="1">IF($A116="","",IFERROR(INDEX(Market_Data!$C$21:$C$613,MATCH($A116,Market_Data!$B$21:INDEX(Market_Data!$B$21:$B$613,COUNT(Market_Data!$B$21:$B$613)),1)),""))</f>
        <v/>
      </c>
      <c r="C116" s="88" t="str">
        <f ca="1">IF($A116="","",IFERROR(INDEX(Market_Data!$F$21:$F$613,MATCH($A116,Market_Data!$E$21:INDEX(Market_Data!$E$21:$E$613,COUNT(Market_Data!$E$21:$E$613)),1)),""))</f>
        <v/>
      </c>
      <c r="D116" s="88" t="str">
        <f ca="1">IF($A116="","",IFERROR(INDEX(Market_Data!$I$21:$I$613,MATCH($A116,Market_Data!$H$21:INDEX(Market_Data!$H$21:$H$613,COUNT(Market_Data!$H$21:$H$613)),1)),""))</f>
        <v/>
      </c>
      <c r="E116" s="88" t="str">
        <f ca="1">IF($A116="","",IFERROR(INDEX(Market_Data!$L$21:$L$613,MATCH($A116,Market_Data!$K$21:INDEX(Market_Data!$K$21:$K$613,COUNT(Market_Data!$K$21:$K$613)),1)),""))</f>
        <v/>
      </c>
      <c r="F116" s="88" t="str">
        <f ca="1">IF($A116="","",IFERROR(INDEX(Market_Data!$O$21:$O$613,MATCH($A116,Market_Data!$N$21:INDEX(Market_Data!$N$21:$N$613,COUNT(Market_Data!$N$21:$N$613)),1)),""))</f>
        <v/>
      </c>
      <c r="G116" s="88" t="str">
        <f ca="1">IF($A116="","",IFERROR(INDEX(Market_Data!$R$21:$R$613,MATCH($A116,Market_Data!$Q$21:INDEX(Market_Data!$Q$21:$Q$613,COUNT(Market_Data!$Q$21:$Q$613)),1)),""))</f>
        <v/>
      </c>
      <c r="H116" s="88" t="str">
        <f ca="1">IF($A116="","",IFERROR(INDEX(Market_Data!$U$21:$U$613,MATCH($A116,Market_Data!$T$21:INDEX(Market_Data!$T$21:$T$613,COUNT(Market_Data!$T$21:$T$613)),1)),""))</f>
        <v/>
      </c>
      <c r="I116" s="89" t="str">
        <f ca="1">IF($A116="","",IFERROR(INDEX(Query1[Close],MATCH($A116,Query1[Date],1)),""))</f>
        <v/>
      </c>
    </row>
    <row r="117" spans="1:9" x14ac:dyDescent="0.3">
      <c r="A117" s="87" t="str">
        <f t="shared" ca="1" si="3"/>
        <v/>
      </c>
      <c r="B117" s="88" t="str">
        <f ca="1">IF($A117="","",IFERROR(INDEX(Market_Data!$C$21:$C$613,MATCH($A117,Market_Data!$B$21:INDEX(Market_Data!$B$21:$B$613,COUNT(Market_Data!$B$21:$B$613)),1)),""))</f>
        <v/>
      </c>
      <c r="C117" s="88" t="str">
        <f ca="1">IF($A117="","",IFERROR(INDEX(Market_Data!$F$21:$F$613,MATCH($A117,Market_Data!$E$21:INDEX(Market_Data!$E$21:$E$613,COUNT(Market_Data!$E$21:$E$613)),1)),""))</f>
        <v/>
      </c>
      <c r="D117" s="88" t="str">
        <f ca="1">IF($A117="","",IFERROR(INDEX(Market_Data!$I$21:$I$613,MATCH($A117,Market_Data!$H$21:INDEX(Market_Data!$H$21:$H$613,COUNT(Market_Data!$H$21:$H$613)),1)),""))</f>
        <v/>
      </c>
      <c r="E117" s="88" t="str">
        <f ca="1">IF($A117="","",IFERROR(INDEX(Market_Data!$L$21:$L$613,MATCH($A117,Market_Data!$K$21:INDEX(Market_Data!$K$21:$K$613,COUNT(Market_Data!$K$21:$K$613)),1)),""))</f>
        <v/>
      </c>
      <c r="F117" s="88" t="str">
        <f ca="1">IF($A117="","",IFERROR(INDEX(Market_Data!$O$21:$O$613,MATCH($A117,Market_Data!$N$21:INDEX(Market_Data!$N$21:$N$613,COUNT(Market_Data!$N$21:$N$613)),1)),""))</f>
        <v/>
      </c>
      <c r="G117" s="88" t="str">
        <f ca="1">IF($A117="","",IFERROR(INDEX(Market_Data!$R$21:$R$613,MATCH($A117,Market_Data!$Q$21:INDEX(Market_Data!$Q$21:$Q$613,COUNT(Market_Data!$Q$21:$Q$613)),1)),""))</f>
        <v/>
      </c>
      <c r="H117" s="88" t="str">
        <f ca="1">IF($A117="","",IFERROR(INDEX(Market_Data!$U$21:$U$613,MATCH($A117,Market_Data!$T$21:INDEX(Market_Data!$T$21:$T$613,COUNT(Market_Data!$T$21:$T$613)),1)),""))</f>
        <v/>
      </c>
      <c r="I117" s="89" t="str">
        <f ca="1">IF($A117="","",IFERROR(INDEX(Query1[Close],MATCH($A117,Query1[Date],1)),""))</f>
        <v/>
      </c>
    </row>
    <row r="118" spans="1:9" x14ac:dyDescent="0.3">
      <c r="A118" s="87" t="str">
        <f t="shared" ca="1" si="3"/>
        <v/>
      </c>
      <c r="B118" s="88" t="str">
        <f ca="1">IF($A118="","",IFERROR(INDEX(Market_Data!$C$21:$C$613,MATCH($A118,Market_Data!$B$21:INDEX(Market_Data!$B$21:$B$613,COUNT(Market_Data!$B$21:$B$613)),1)),""))</f>
        <v/>
      </c>
      <c r="C118" s="88" t="str">
        <f ca="1">IF($A118="","",IFERROR(INDEX(Market_Data!$F$21:$F$613,MATCH($A118,Market_Data!$E$21:INDEX(Market_Data!$E$21:$E$613,COUNT(Market_Data!$E$21:$E$613)),1)),""))</f>
        <v/>
      </c>
      <c r="D118" s="88" t="str">
        <f ca="1">IF($A118="","",IFERROR(INDEX(Market_Data!$I$21:$I$613,MATCH($A118,Market_Data!$H$21:INDEX(Market_Data!$H$21:$H$613,COUNT(Market_Data!$H$21:$H$613)),1)),""))</f>
        <v/>
      </c>
      <c r="E118" s="88" t="str">
        <f ca="1">IF($A118="","",IFERROR(INDEX(Market_Data!$L$21:$L$613,MATCH($A118,Market_Data!$K$21:INDEX(Market_Data!$K$21:$K$613,COUNT(Market_Data!$K$21:$K$613)),1)),""))</f>
        <v/>
      </c>
      <c r="F118" s="88" t="str">
        <f ca="1">IF($A118="","",IFERROR(INDEX(Market_Data!$O$21:$O$613,MATCH($A118,Market_Data!$N$21:INDEX(Market_Data!$N$21:$N$613,COUNT(Market_Data!$N$21:$N$613)),1)),""))</f>
        <v/>
      </c>
      <c r="G118" s="88" t="str">
        <f ca="1">IF($A118="","",IFERROR(INDEX(Market_Data!$R$21:$R$613,MATCH($A118,Market_Data!$Q$21:INDEX(Market_Data!$Q$21:$Q$613,COUNT(Market_Data!$Q$21:$Q$613)),1)),""))</f>
        <v/>
      </c>
      <c r="H118" s="88" t="str">
        <f ca="1">IF($A118="","",IFERROR(INDEX(Market_Data!$U$21:$U$613,MATCH($A118,Market_Data!$T$21:INDEX(Market_Data!$T$21:$T$613,COUNT(Market_Data!$T$21:$T$613)),1)),""))</f>
        <v/>
      </c>
      <c r="I118" s="89" t="str">
        <f ca="1">IF($A118="","",IFERROR(INDEX(Query1[Close],MATCH($A118,Query1[Date],1)),""))</f>
        <v/>
      </c>
    </row>
    <row r="119" spans="1:9" x14ac:dyDescent="0.3">
      <c r="A119" s="87" t="str">
        <f t="shared" ca="1" si="3"/>
        <v/>
      </c>
      <c r="B119" s="88" t="str">
        <f ca="1">IF($A119="","",IFERROR(INDEX(Market_Data!$C$21:$C$613,MATCH($A119,Market_Data!$B$21:INDEX(Market_Data!$B$21:$B$613,COUNT(Market_Data!$B$21:$B$613)),1)),""))</f>
        <v/>
      </c>
      <c r="C119" s="88" t="str">
        <f ca="1">IF($A119="","",IFERROR(INDEX(Market_Data!$F$21:$F$613,MATCH($A119,Market_Data!$E$21:INDEX(Market_Data!$E$21:$E$613,COUNT(Market_Data!$E$21:$E$613)),1)),""))</f>
        <v/>
      </c>
      <c r="D119" s="88" t="str">
        <f ca="1">IF($A119="","",IFERROR(INDEX(Market_Data!$I$21:$I$613,MATCH($A119,Market_Data!$H$21:INDEX(Market_Data!$H$21:$H$613,COUNT(Market_Data!$H$21:$H$613)),1)),""))</f>
        <v/>
      </c>
      <c r="E119" s="88" t="str">
        <f ca="1">IF($A119="","",IFERROR(INDEX(Market_Data!$L$21:$L$613,MATCH($A119,Market_Data!$K$21:INDEX(Market_Data!$K$21:$K$613,COUNT(Market_Data!$K$21:$K$613)),1)),""))</f>
        <v/>
      </c>
      <c r="F119" s="88" t="str">
        <f ca="1">IF($A119="","",IFERROR(INDEX(Market_Data!$O$21:$O$613,MATCH($A119,Market_Data!$N$21:INDEX(Market_Data!$N$21:$N$613,COUNT(Market_Data!$N$21:$N$613)),1)),""))</f>
        <v/>
      </c>
      <c r="G119" s="88" t="str">
        <f ca="1">IF($A119="","",IFERROR(INDEX(Market_Data!$R$21:$R$613,MATCH($A119,Market_Data!$Q$21:INDEX(Market_Data!$Q$21:$Q$613,COUNT(Market_Data!$Q$21:$Q$613)),1)),""))</f>
        <v/>
      </c>
      <c r="H119" s="88" t="str">
        <f ca="1">IF($A119="","",IFERROR(INDEX(Market_Data!$U$21:$U$613,MATCH($A119,Market_Data!$T$21:INDEX(Market_Data!$T$21:$T$613,COUNT(Market_Data!$T$21:$T$613)),1)),""))</f>
        <v/>
      </c>
      <c r="I119" s="89" t="str">
        <f ca="1">IF($A119="","",IFERROR(INDEX(Query1[Close],MATCH($A119,Query1[Date],1)),""))</f>
        <v/>
      </c>
    </row>
    <row r="120" spans="1:9" x14ac:dyDescent="0.3">
      <c r="A120" s="87" t="str">
        <f t="shared" ca="1" si="3"/>
        <v/>
      </c>
      <c r="B120" s="88" t="str">
        <f ca="1">IF($A120="","",IFERROR(INDEX(Market_Data!$C$21:$C$613,MATCH($A120,Market_Data!$B$21:INDEX(Market_Data!$B$21:$B$613,COUNT(Market_Data!$B$21:$B$613)),1)),""))</f>
        <v/>
      </c>
      <c r="C120" s="88" t="str">
        <f ca="1">IF($A120="","",IFERROR(INDEX(Market_Data!$F$21:$F$613,MATCH($A120,Market_Data!$E$21:INDEX(Market_Data!$E$21:$E$613,COUNT(Market_Data!$E$21:$E$613)),1)),""))</f>
        <v/>
      </c>
      <c r="D120" s="88" t="str">
        <f ca="1">IF($A120="","",IFERROR(INDEX(Market_Data!$I$21:$I$613,MATCH($A120,Market_Data!$H$21:INDEX(Market_Data!$H$21:$H$613,COUNT(Market_Data!$H$21:$H$613)),1)),""))</f>
        <v/>
      </c>
      <c r="E120" s="88" t="str">
        <f ca="1">IF($A120="","",IFERROR(INDEX(Market_Data!$L$21:$L$613,MATCH($A120,Market_Data!$K$21:INDEX(Market_Data!$K$21:$K$613,COUNT(Market_Data!$K$21:$K$613)),1)),""))</f>
        <v/>
      </c>
      <c r="F120" s="88" t="str">
        <f ca="1">IF($A120="","",IFERROR(INDEX(Market_Data!$O$21:$O$613,MATCH($A120,Market_Data!$N$21:INDEX(Market_Data!$N$21:$N$613,COUNT(Market_Data!$N$21:$N$613)),1)),""))</f>
        <v/>
      </c>
      <c r="G120" s="88" t="str">
        <f ca="1">IF($A120="","",IFERROR(INDEX(Market_Data!$R$21:$R$613,MATCH($A120,Market_Data!$Q$21:INDEX(Market_Data!$Q$21:$Q$613,COUNT(Market_Data!$Q$21:$Q$613)),1)),""))</f>
        <v/>
      </c>
      <c r="H120" s="88" t="str">
        <f ca="1">IF($A120="","",IFERROR(INDEX(Market_Data!$U$21:$U$613,MATCH($A120,Market_Data!$T$21:INDEX(Market_Data!$T$21:$T$613,COUNT(Market_Data!$T$21:$T$613)),1)),""))</f>
        <v/>
      </c>
      <c r="I120" s="89" t="str">
        <f ca="1">IF($A120="","",IFERROR(INDEX(Query1[Close],MATCH($A120,Query1[Date],1)),""))</f>
        <v/>
      </c>
    </row>
    <row r="121" spans="1:9" x14ac:dyDescent="0.3">
      <c r="A121" s="87" t="str">
        <f t="shared" ca="1" si="3"/>
        <v/>
      </c>
      <c r="B121" s="88" t="str">
        <f ca="1">IF($A121="","",IFERROR(INDEX(Market_Data!$C$21:$C$613,MATCH($A121,Market_Data!$B$21:INDEX(Market_Data!$B$21:$B$613,COUNT(Market_Data!$B$21:$B$613)),1)),""))</f>
        <v/>
      </c>
      <c r="C121" s="88" t="str">
        <f ca="1">IF($A121="","",IFERROR(INDEX(Market_Data!$F$21:$F$613,MATCH($A121,Market_Data!$E$21:INDEX(Market_Data!$E$21:$E$613,COUNT(Market_Data!$E$21:$E$613)),1)),""))</f>
        <v/>
      </c>
      <c r="D121" s="88" t="str">
        <f ca="1">IF($A121="","",IFERROR(INDEX(Market_Data!$I$21:$I$613,MATCH($A121,Market_Data!$H$21:INDEX(Market_Data!$H$21:$H$613,COUNT(Market_Data!$H$21:$H$613)),1)),""))</f>
        <v/>
      </c>
      <c r="E121" s="88" t="str">
        <f ca="1">IF($A121="","",IFERROR(INDEX(Market_Data!$L$21:$L$613,MATCH($A121,Market_Data!$K$21:INDEX(Market_Data!$K$21:$K$613,COUNT(Market_Data!$K$21:$K$613)),1)),""))</f>
        <v/>
      </c>
      <c r="F121" s="88" t="str">
        <f ca="1">IF($A121="","",IFERROR(INDEX(Market_Data!$O$21:$O$613,MATCH($A121,Market_Data!$N$21:INDEX(Market_Data!$N$21:$N$613,COUNT(Market_Data!$N$21:$N$613)),1)),""))</f>
        <v/>
      </c>
      <c r="G121" s="88" t="str">
        <f ca="1">IF($A121="","",IFERROR(INDEX(Market_Data!$R$21:$R$613,MATCH($A121,Market_Data!$Q$21:INDEX(Market_Data!$Q$21:$Q$613,COUNT(Market_Data!$Q$21:$Q$613)),1)),""))</f>
        <v/>
      </c>
      <c r="H121" s="88" t="str">
        <f ca="1">IF($A121="","",IFERROR(INDEX(Market_Data!$U$21:$U$613,MATCH($A121,Market_Data!$T$21:INDEX(Market_Data!$T$21:$T$613,COUNT(Market_Data!$T$21:$T$613)),1)),""))</f>
        <v/>
      </c>
      <c r="I121" s="89" t="str">
        <f ca="1">IF($A121="","",IFERROR(INDEX(Query1[Close],MATCH($A121,Query1[Date],1)),""))</f>
        <v/>
      </c>
    </row>
    <row r="122" spans="1:9" x14ac:dyDescent="0.3">
      <c r="A122" s="87" t="str">
        <f t="shared" ca="1" si="3"/>
        <v/>
      </c>
      <c r="B122" s="88" t="str">
        <f ca="1">IF($A122="","",IFERROR(INDEX(Market_Data!$C$21:$C$613,MATCH($A122,Market_Data!$B$21:INDEX(Market_Data!$B$21:$B$613,COUNT(Market_Data!$B$21:$B$613)),1)),""))</f>
        <v/>
      </c>
      <c r="C122" s="88" t="str">
        <f ca="1">IF($A122="","",IFERROR(INDEX(Market_Data!$F$21:$F$613,MATCH($A122,Market_Data!$E$21:INDEX(Market_Data!$E$21:$E$613,COUNT(Market_Data!$E$21:$E$613)),1)),""))</f>
        <v/>
      </c>
      <c r="D122" s="88" t="str">
        <f ca="1">IF($A122="","",IFERROR(INDEX(Market_Data!$I$21:$I$613,MATCH($A122,Market_Data!$H$21:INDEX(Market_Data!$H$21:$H$613,COUNT(Market_Data!$H$21:$H$613)),1)),""))</f>
        <v/>
      </c>
      <c r="E122" s="88" t="str">
        <f ca="1">IF($A122="","",IFERROR(INDEX(Market_Data!$L$21:$L$613,MATCH($A122,Market_Data!$K$21:INDEX(Market_Data!$K$21:$K$613,COUNT(Market_Data!$K$21:$K$613)),1)),""))</f>
        <v/>
      </c>
      <c r="F122" s="88" t="str">
        <f ca="1">IF($A122="","",IFERROR(INDEX(Market_Data!$O$21:$O$613,MATCH($A122,Market_Data!$N$21:INDEX(Market_Data!$N$21:$N$613,COUNT(Market_Data!$N$21:$N$613)),1)),""))</f>
        <v/>
      </c>
      <c r="G122" s="88" t="str">
        <f ca="1">IF($A122="","",IFERROR(INDEX(Market_Data!$R$21:$R$613,MATCH($A122,Market_Data!$Q$21:INDEX(Market_Data!$Q$21:$Q$613,COUNT(Market_Data!$Q$21:$Q$613)),1)),""))</f>
        <v/>
      </c>
      <c r="H122" s="88" t="str">
        <f ca="1">IF($A122="","",IFERROR(INDEX(Market_Data!$U$21:$U$613,MATCH($A122,Market_Data!$T$21:INDEX(Market_Data!$T$21:$T$613,COUNT(Market_Data!$T$21:$T$613)),1)),""))</f>
        <v/>
      </c>
      <c r="I122" s="89" t="str">
        <f ca="1">IF($A122="","",IFERROR(INDEX(Query1[Close],MATCH($A122,Query1[Date],1)),""))</f>
        <v/>
      </c>
    </row>
    <row r="123" spans="1:9" x14ac:dyDescent="0.3">
      <c r="A123" s="87" t="str">
        <f t="shared" ca="1" si="3"/>
        <v/>
      </c>
      <c r="B123" s="88" t="str">
        <f ca="1">IF($A123="","",IFERROR(INDEX(Market_Data!$C$21:$C$613,MATCH($A123,Market_Data!$B$21:INDEX(Market_Data!$B$21:$B$613,COUNT(Market_Data!$B$21:$B$613)),1)),""))</f>
        <v/>
      </c>
      <c r="C123" s="88" t="str">
        <f ca="1">IF($A123="","",IFERROR(INDEX(Market_Data!$F$21:$F$613,MATCH($A123,Market_Data!$E$21:INDEX(Market_Data!$E$21:$E$613,COUNT(Market_Data!$E$21:$E$613)),1)),""))</f>
        <v/>
      </c>
      <c r="D123" s="88" t="str">
        <f ca="1">IF($A123="","",IFERROR(INDEX(Market_Data!$I$21:$I$613,MATCH($A123,Market_Data!$H$21:INDEX(Market_Data!$H$21:$H$613,COUNT(Market_Data!$H$21:$H$613)),1)),""))</f>
        <v/>
      </c>
      <c r="E123" s="88" t="str">
        <f ca="1">IF($A123="","",IFERROR(INDEX(Market_Data!$L$21:$L$613,MATCH($A123,Market_Data!$K$21:INDEX(Market_Data!$K$21:$K$613,COUNT(Market_Data!$K$21:$K$613)),1)),""))</f>
        <v/>
      </c>
      <c r="F123" s="88" t="str">
        <f ca="1">IF($A123="","",IFERROR(INDEX(Market_Data!$O$21:$O$613,MATCH($A123,Market_Data!$N$21:INDEX(Market_Data!$N$21:$N$613,COUNT(Market_Data!$N$21:$N$613)),1)),""))</f>
        <v/>
      </c>
      <c r="G123" s="88" t="str">
        <f ca="1">IF($A123="","",IFERROR(INDEX(Market_Data!$R$21:$R$613,MATCH($A123,Market_Data!$Q$21:INDEX(Market_Data!$Q$21:$Q$613,COUNT(Market_Data!$Q$21:$Q$613)),1)),""))</f>
        <v/>
      </c>
      <c r="H123" s="88" t="str">
        <f ca="1">IF($A123="","",IFERROR(INDEX(Market_Data!$U$21:$U$613,MATCH($A123,Market_Data!$T$21:INDEX(Market_Data!$T$21:$T$613,COUNT(Market_Data!$T$21:$T$613)),1)),""))</f>
        <v/>
      </c>
      <c r="I123" s="89" t="str">
        <f ca="1">IF($A123="","",IFERROR(INDEX(Query1[Close],MATCH($A123,Query1[Date],1)),""))</f>
        <v/>
      </c>
    </row>
    <row r="124" spans="1:9" x14ac:dyDescent="0.3">
      <c r="A124" s="87" t="str">
        <f t="shared" ca="1" si="3"/>
        <v/>
      </c>
      <c r="B124" s="88" t="str">
        <f ca="1">IF($A124="","",IFERROR(INDEX(Market_Data!$C$21:$C$613,MATCH($A124,Market_Data!$B$21:INDEX(Market_Data!$B$21:$B$613,COUNT(Market_Data!$B$21:$B$613)),1)),""))</f>
        <v/>
      </c>
      <c r="C124" s="88" t="str">
        <f ca="1">IF($A124="","",IFERROR(INDEX(Market_Data!$F$21:$F$613,MATCH($A124,Market_Data!$E$21:INDEX(Market_Data!$E$21:$E$613,COUNT(Market_Data!$E$21:$E$613)),1)),""))</f>
        <v/>
      </c>
      <c r="D124" s="88" t="str">
        <f ca="1">IF($A124="","",IFERROR(INDEX(Market_Data!$I$21:$I$613,MATCH($A124,Market_Data!$H$21:INDEX(Market_Data!$H$21:$H$613,COUNT(Market_Data!$H$21:$H$613)),1)),""))</f>
        <v/>
      </c>
      <c r="E124" s="88" t="str">
        <f ca="1">IF($A124="","",IFERROR(INDEX(Market_Data!$L$21:$L$613,MATCH($A124,Market_Data!$K$21:INDEX(Market_Data!$K$21:$K$613,COUNT(Market_Data!$K$21:$K$613)),1)),""))</f>
        <v/>
      </c>
      <c r="F124" s="88" t="str">
        <f ca="1">IF($A124="","",IFERROR(INDEX(Market_Data!$O$21:$O$613,MATCH($A124,Market_Data!$N$21:INDEX(Market_Data!$N$21:$N$613,COUNT(Market_Data!$N$21:$N$613)),1)),""))</f>
        <v/>
      </c>
      <c r="G124" s="88" t="str">
        <f ca="1">IF($A124="","",IFERROR(INDEX(Market_Data!$R$21:$R$613,MATCH($A124,Market_Data!$Q$21:INDEX(Market_Data!$Q$21:$Q$613,COUNT(Market_Data!$Q$21:$Q$613)),1)),""))</f>
        <v/>
      </c>
      <c r="H124" s="88" t="str">
        <f ca="1">IF($A124="","",IFERROR(INDEX(Market_Data!$U$21:$U$613,MATCH($A124,Market_Data!$T$21:INDEX(Market_Data!$T$21:$T$613,COUNT(Market_Data!$T$21:$T$613)),1)),""))</f>
        <v/>
      </c>
      <c r="I124" s="89" t="str">
        <f ca="1">IF($A124="","",IFERROR(INDEX(Query1[Close],MATCH($A124,Query1[Date],1)),""))</f>
        <v/>
      </c>
    </row>
    <row r="125" spans="1:9" x14ac:dyDescent="0.3">
      <c r="A125" s="87" t="str">
        <f t="shared" ca="1" si="3"/>
        <v/>
      </c>
      <c r="B125" s="88" t="str">
        <f ca="1">IF($A125="","",IFERROR(INDEX(Market_Data!$C$21:$C$613,MATCH($A125,Market_Data!$B$21:INDEX(Market_Data!$B$21:$B$613,COUNT(Market_Data!$B$21:$B$613)),1)),""))</f>
        <v/>
      </c>
      <c r="C125" s="88" t="str">
        <f ca="1">IF($A125="","",IFERROR(INDEX(Market_Data!$F$21:$F$613,MATCH($A125,Market_Data!$E$21:INDEX(Market_Data!$E$21:$E$613,COUNT(Market_Data!$E$21:$E$613)),1)),""))</f>
        <v/>
      </c>
      <c r="D125" s="88" t="str">
        <f ca="1">IF($A125="","",IFERROR(INDEX(Market_Data!$I$21:$I$613,MATCH($A125,Market_Data!$H$21:INDEX(Market_Data!$H$21:$H$613,COUNT(Market_Data!$H$21:$H$613)),1)),""))</f>
        <v/>
      </c>
      <c r="E125" s="88" t="str">
        <f ca="1">IF($A125="","",IFERROR(INDEX(Market_Data!$L$21:$L$613,MATCH($A125,Market_Data!$K$21:INDEX(Market_Data!$K$21:$K$613,COUNT(Market_Data!$K$21:$K$613)),1)),""))</f>
        <v/>
      </c>
      <c r="F125" s="88" t="str">
        <f ca="1">IF($A125="","",IFERROR(INDEX(Market_Data!$O$21:$O$613,MATCH($A125,Market_Data!$N$21:INDEX(Market_Data!$N$21:$N$613,COUNT(Market_Data!$N$21:$N$613)),1)),""))</f>
        <v/>
      </c>
      <c r="G125" s="88" t="str">
        <f ca="1">IF($A125="","",IFERROR(INDEX(Market_Data!$R$21:$R$613,MATCH($A125,Market_Data!$Q$21:INDEX(Market_Data!$Q$21:$Q$613,COUNT(Market_Data!$Q$21:$Q$613)),1)),""))</f>
        <v/>
      </c>
      <c r="H125" s="88" t="str">
        <f ca="1">IF($A125="","",IFERROR(INDEX(Market_Data!$U$21:$U$613,MATCH($A125,Market_Data!$T$21:INDEX(Market_Data!$T$21:$T$613,COUNT(Market_Data!$T$21:$T$613)),1)),""))</f>
        <v/>
      </c>
      <c r="I125" s="89" t="str">
        <f ca="1">IF($A125="","",IFERROR(INDEX(Query1[Close],MATCH($A125,Query1[Date],1)),""))</f>
        <v/>
      </c>
    </row>
    <row r="126" spans="1:9" x14ac:dyDescent="0.3">
      <c r="A126" s="87" t="str">
        <f t="shared" ca="1" si="3"/>
        <v/>
      </c>
      <c r="B126" s="88" t="str">
        <f ca="1">IF($A126="","",IFERROR(INDEX(Market_Data!$C$21:$C$613,MATCH($A126,Market_Data!$B$21:INDEX(Market_Data!$B$21:$B$613,COUNT(Market_Data!$B$21:$B$613)),1)),""))</f>
        <v/>
      </c>
      <c r="C126" s="88" t="str">
        <f ca="1">IF($A126="","",IFERROR(INDEX(Market_Data!$F$21:$F$613,MATCH($A126,Market_Data!$E$21:INDEX(Market_Data!$E$21:$E$613,COUNT(Market_Data!$E$21:$E$613)),1)),""))</f>
        <v/>
      </c>
      <c r="D126" s="88" t="str">
        <f ca="1">IF($A126="","",IFERROR(INDEX(Market_Data!$I$21:$I$613,MATCH($A126,Market_Data!$H$21:INDEX(Market_Data!$H$21:$H$613,COUNT(Market_Data!$H$21:$H$613)),1)),""))</f>
        <v/>
      </c>
      <c r="E126" s="88" t="str">
        <f ca="1">IF($A126="","",IFERROR(INDEX(Market_Data!$L$21:$L$613,MATCH($A126,Market_Data!$K$21:INDEX(Market_Data!$K$21:$K$613,COUNT(Market_Data!$K$21:$K$613)),1)),""))</f>
        <v/>
      </c>
      <c r="F126" s="88" t="str">
        <f ca="1">IF($A126="","",IFERROR(INDEX(Market_Data!$O$21:$O$613,MATCH($A126,Market_Data!$N$21:INDEX(Market_Data!$N$21:$N$613,COUNT(Market_Data!$N$21:$N$613)),1)),""))</f>
        <v/>
      </c>
      <c r="G126" s="88" t="str">
        <f ca="1">IF($A126="","",IFERROR(INDEX(Market_Data!$R$21:$R$613,MATCH($A126,Market_Data!$Q$21:INDEX(Market_Data!$Q$21:$Q$613,COUNT(Market_Data!$Q$21:$Q$613)),1)),""))</f>
        <v/>
      </c>
      <c r="H126" s="88" t="str">
        <f ca="1">IF($A126="","",IFERROR(INDEX(Market_Data!$U$21:$U$613,MATCH($A126,Market_Data!$T$21:INDEX(Market_Data!$T$21:$T$613,COUNT(Market_Data!$T$21:$T$613)),1)),""))</f>
        <v/>
      </c>
      <c r="I126" s="89" t="str">
        <f ca="1">IF($A126="","",IFERROR(INDEX(Query1[Close],MATCH($A126,Query1[Date],1)),""))</f>
        <v/>
      </c>
    </row>
    <row r="127" spans="1:9" x14ac:dyDescent="0.3">
      <c r="A127" s="87" t="str">
        <f t="shared" ca="1" si="3"/>
        <v/>
      </c>
      <c r="B127" s="88" t="str">
        <f ca="1">IF($A127="","",IFERROR(INDEX(Market_Data!$C$21:$C$613,MATCH($A127,Market_Data!$B$21:INDEX(Market_Data!$B$21:$B$613,COUNT(Market_Data!$B$21:$B$613)),1)),""))</f>
        <v/>
      </c>
      <c r="C127" s="88" t="str">
        <f ca="1">IF($A127="","",IFERROR(INDEX(Market_Data!$F$21:$F$613,MATCH($A127,Market_Data!$E$21:INDEX(Market_Data!$E$21:$E$613,COUNT(Market_Data!$E$21:$E$613)),1)),""))</f>
        <v/>
      </c>
      <c r="D127" s="88" t="str">
        <f ca="1">IF($A127="","",IFERROR(INDEX(Market_Data!$I$21:$I$613,MATCH($A127,Market_Data!$H$21:INDEX(Market_Data!$H$21:$H$613,COUNT(Market_Data!$H$21:$H$613)),1)),""))</f>
        <v/>
      </c>
      <c r="E127" s="88" t="str">
        <f ca="1">IF($A127="","",IFERROR(INDEX(Market_Data!$L$21:$L$613,MATCH($A127,Market_Data!$K$21:INDEX(Market_Data!$K$21:$K$613,COUNT(Market_Data!$K$21:$K$613)),1)),""))</f>
        <v/>
      </c>
      <c r="F127" s="88" t="str">
        <f ca="1">IF($A127="","",IFERROR(INDEX(Market_Data!$O$21:$O$613,MATCH($A127,Market_Data!$N$21:INDEX(Market_Data!$N$21:$N$613,COUNT(Market_Data!$N$21:$N$613)),1)),""))</f>
        <v/>
      </c>
      <c r="G127" s="88" t="str">
        <f ca="1">IF($A127="","",IFERROR(INDEX(Market_Data!$R$21:$R$613,MATCH($A127,Market_Data!$Q$21:INDEX(Market_Data!$Q$21:$Q$613,COUNT(Market_Data!$Q$21:$Q$613)),1)),""))</f>
        <v/>
      </c>
      <c r="H127" s="88" t="str">
        <f ca="1">IF($A127="","",IFERROR(INDEX(Market_Data!$U$21:$U$613,MATCH($A127,Market_Data!$T$21:INDEX(Market_Data!$T$21:$T$613,COUNT(Market_Data!$T$21:$T$613)),1)),""))</f>
        <v/>
      </c>
      <c r="I127" s="89" t="str">
        <f ca="1">IF($A127="","",IFERROR(INDEX(Query1[Close],MATCH($A127,Query1[Date],1)),""))</f>
        <v/>
      </c>
    </row>
    <row r="128" spans="1:9" x14ac:dyDescent="0.3">
      <c r="A128" s="87" t="str">
        <f t="shared" ca="1" si="3"/>
        <v/>
      </c>
      <c r="B128" s="88" t="str">
        <f ca="1">IF($A128="","",IFERROR(INDEX(Market_Data!$C$21:$C$613,MATCH($A128,Market_Data!$B$21:INDEX(Market_Data!$B$21:$B$613,COUNT(Market_Data!$B$21:$B$613)),1)),""))</f>
        <v/>
      </c>
      <c r="C128" s="88" t="str">
        <f ca="1">IF($A128="","",IFERROR(INDEX(Market_Data!$F$21:$F$613,MATCH($A128,Market_Data!$E$21:INDEX(Market_Data!$E$21:$E$613,COUNT(Market_Data!$E$21:$E$613)),1)),""))</f>
        <v/>
      </c>
      <c r="D128" s="88" t="str">
        <f ca="1">IF($A128="","",IFERROR(INDEX(Market_Data!$I$21:$I$613,MATCH($A128,Market_Data!$H$21:INDEX(Market_Data!$H$21:$H$613,COUNT(Market_Data!$H$21:$H$613)),1)),""))</f>
        <v/>
      </c>
      <c r="E128" s="88" t="str">
        <f ca="1">IF($A128="","",IFERROR(INDEX(Market_Data!$L$21:$L$613,MATCH($A128,Market_Data!$K$21:INDEX(Market_Data!$K$21:$K$613,COUNT(Market_Data!$K$21:$K$613)),1)),""))</f>
        <v/>
      </c>
      <c r="F128" s="88" t="str">
        <f ca="1">IF($A128="","",IFERROR(INDEX(Market_Data!$O$21:$O$613,MATCH($A128,Market_Data!$N$21:INDEX(Market_Data!$N$21:$N$613,COUNT(Market_Data!$N$21:$N$613)),1)),""))</f>
        <v/>
      </c>
      <c r="G128" s="88" t="str">
        <f ca="1">IF($A128="","",IFERROR(INDEX(Market_Data!$R$21:$R$613,MATCH($A128,Market_Data!$Q$21:INDEX(Market_Data!$Q$21:$Q$613,COUNT(Market_Data!$Q$21:$Q$613)),1)),""))</f>
        <v/>
      </c>
      <c r="H128" s="88" t="str">
        <f ca="1">IF($A128="","",IFERROR(INDEX(Market_Data!$U$21:$U$613,MATCH($A128,Market_Data!$T$21:INDEX(Market_Data!$T$21:$T$613,COUNT(Market_Data!$T$21:$T$613)),1)),""))</f>
        <v/>
      </c>
      <c r="I128" s="89" t="str">
        <f ca="1">IF($A128="","",IFERROR(INDEX(Query1[Close],MATCH($A128,Query1[Date],1)),""))</f>
        <v/>
      </c>
    </row>
    <row r="129" spans="1:9" x14ac:dyDescent="0.3">
      <c r="A129" s="87" t="str">
        <f t="shared" ca="1" si="3"/>
        <v/>
      </c>
      <c r="B129" s="88" t="str">
        <f ca="1">IF($A129="","",IFERROR(INDEX(Market_Data!$C$21:$C$613,MATCH($A129,Market_Data!$B$21:INDEX(Market_Data!$B$21:$B$613,COUNT(Market_Data!$B$21:$B$613)),1)),""))</f>
        <v/>
      </c>
      <c r="C129" s="88" t="str">
        <f ca="1">IF($A129="","",IFERROR(INDEX(Market_Data!$F$21:$F$613,MATCH($A129,Market_Data!$E$21:INDEX(Market_Data!$E$21:$E$613,COUNT(Market_Data!$E$21:$E$613)),1)),""))</f>
        <v/>
      </c>
      <c r="D129" s="88" t="str">
        <f ca="1">IF($A129="","",IFERROR(INDEX(Market_Data!$I$21:$I$613,MATCH($A129,Market_Data!$H$21:INDEX(Market_Data!$H$21:$H$613,COUNT(Market_Data!$H$21:$H$613)),1)),""))</f>
        <v/>
      </c>
      <c r="E129" s="88" t="str">
        <f ca="1">IF($A129="","",IFERROR(INDEX(Market_Data!$L$21:$L$613,MATCH($A129,Market_Data!$K$21:INDEX(Market_Data!$K$21:$K$613,COUNT(Market_Data!$K$21:$K$613)),1)),""))</f>
        <v/>
      </c>
      <c r="F129" s="88" t="str">
        <f ca="1">IF($A129="","",IFERROR(INDEX(Market_Data!$O$21:$O$613,MATCH($A129,Market_Data!$N$21:INDEX(Market_Data!$N$21:$N$613,COUNT(Market_Data!$N$21:$N$613)),1)),""))</f>
        <v/>
      </c>
      <c r="G129" s="88" t="str">
        <f ca="1">IF($A129="","",IFERROR(INDEX(Market_Data!$R$21:$R$613,MATCH($A129,Market_Data!$Q$21:INDEX(Market_Data!$Q$21:$Q$613,COUNT(Market_Data!$Q$21:$Q$613)),1)),""))</f>
        <v/>
      </c>
      <c r="H129" s="88" t="str">
        <f ca="1">IF($A129="","",IFERROR(INDEX(Market_Data!$U$21:$U$613,MATCH($A129,Market_Data!$T$21:INDEX(Market_Data!$T$21:$T$613,COUNT(Market_Data!$T$21:$T$613)),1)),""))</f>
        <v/>
      </c>
      <c r="I129" s="89" t="str">
        <f ca="1">IF($A129="","",IFERROR(INDEX(Query1[Close],MATCH($A129,Query1[Date],1)),""))</f>
        <v/>
      </c>
    </row>
    <row r="130" spans="1:9" x14ac:dyDescent="0.3">
      <c r="A130" s="87" t="str">
        <f t="shared" ca="1" si="3"/>
        <v/>
      </c>
      <c r="B130" s="88" t="str">
        <f ca="1">IF($A130="","",IFERROR(INDEX(Market_Data!$C$21:$C$613,MATCH($A130,Market_Data!$B$21:INDEX(Market_Data!$B$21:$B$613,COUNT(Market_Data!$B$21:$B$613)),1)),""))</f>
        <v/>
      </c>
      <c r="C130" s="88" t="str">
        <f ca="1">IF($A130="","",IFERROR(INDEX(Market_Data!$F$21:$F$613,MATCH($A130,Market_Data!$E$21:INDEX(Market_Data!$E$21:$E$613,COUNT(Market_Data!$E$21:$E$613)),1)),""))</f>
        <v/>
      </c>
      <c r="D130" s="88" t="str">
        <f ca="1">IF($A130="","",IFERROR(INDEX(Market_Data!$I$21:$I$613,MATCH($A130,Market_Data!$H$21:INDEX(Market_Data!$H$21:$H$613,COUNT(Market_Data!$H$21:$H$613)),1)),""))</f>
        <v/>
      </c>
      <c r="E130" s="88" t="str">
        <f ca="1">IF($A130="","",IFERROR(INDEX(Market_Data!$L$21:$L$613,MATCH($A130,Market_Data!$K$21:INDEX(Market_Data!$K$21:$K$613,COUNT(Market_Data!$K$21:$K$613)),1)),""))</f>
        <v/>
      </c>
      <c r="F130" s="88" t="str">
        <f ca="1">IF($A130="","",IFERROR(INDEX(Market_Data!$O$21:$O$613,MATCH($A130,Market_Data!$N$21:INDEX(Market_Data!$N$21:$N$613,COUNT(Market_Data!$N$21:$N$613)),1)),""))</f>
        <v/>
      </c>
      <c r="G130" s="88" t="str">
        <f ca="1">IF($A130="","",IFERROR(INDEX(Market_Data!$R$21:$R$613,MATCH($A130,Market_Data!$Q$21:INDEX(Market_Data!$Q$21:$Q$613,COUNT(Market_Data!$Q$21:$Q$613)),1)),""))</f>
        <v/>
      </c>
      <c r="H130" s="88" t="str">
        <f ca="1">IF($A130="","",IFERROR(INDEX(Market_Data!$U$21:$U$613,MATCH($A130,Market_Data!$T$21:INDEX(Market_Data!$T$21:$T$613,COUNT(Market_Data!$T$21:$T$613)),1)),""))</f>
        <v/>
      </c>
      <c r="I130" s="89" t="str">
        <f ca="1">IF($A130="","",IFERROR(INDEX(Query1[Close],MATCH($A130,Query1[Date],1)),""))</f>
        <v/>
      </c>
    </row>
    <row r="131" spans="1:9" x14ac:dyDescent="0.3">
      <c r="A131" s="87" t="str">
        <f t="shared" ca="1" si="3"/>
        <v/>
      </c>
      <c r="B131" s="88" t="str">
        <f ca="1">IF($A131="","",IFERROR(INDEX(Market_Data!$C$21:$C$613,MATCH($A131,Market_Data!$B$21:INDEX(Market_Data!$B$21:$B$613,COUNT(Market_Data!$B$21:$B$613)),1)),""))</f>
        <v/>
      </c>
      <c r="C131" s="88" t="str">
        <f ca="1">IF($A131="","",IFERROR(INDEX(Market_Data!$F$21:$F$613,MATCH($A131,Market_Data!$E$21:INDEX(Market_Data!$E$21:$E$613,COUNT(Market_Data!$E$21:$E$613)),1)),""))</f>
        <v/>
      </c>
      <c r="D131" s="88" t="str">
        <f ca="1">IF($A131="","",IFERROR(INDEX(Market_Data!$I$21:$I$613,MATCH($A131,Market_Data!$H$21:INDEX(Market_Data!$H$21:$H$613,COUNT(Market_Data!$H$21:$H$613)),1)),""))</f>
        <v/>
      </c>
      <c r="E131" s="88" t="str">
        <f ca="1">IF($A131="","",IFERROR(INDEX(Market_Data!$L$21:$L$613,MATCH($A131,Market_Data!$K$21:INDEX(Market_Data!$K$21:$K$613,COUNT(Market_Data!$K$21:$K$613)),1)),""))</f>
        <v/>
      </c>
      <c r="F131" s="88" t="str">
        <f ca="1">IF($A131="","",IFERROR(INDEX(Market_Data!$O$21:$O$613,MATCH($A131,Market_Data!$N$21:INDEX(Market_Data!$N$21:$N$613,COUNT(Market_Data!$N$21:$N$613)),1)),""))</f>
        <v/>
      </c>
      <c r="G131" s="88" t="str">
        <f ca="1">IF($A131="","",IFERROR(INDEX(Market_Data!$R$21:$R$613,MATCH($A131,Market_Data!$Q$21:INDEX(Market_Data!$Q$21:$Q$613,COUNT(Market_Data!$Q$21:$Q$613)),1)),""))</f>
        <v/>
      </c>
      <c r="H131" s="88" t="str">
        <f ca="1">IF($A131="","",IFERROR(INDEX(Market_Data!$U$21:$U$613,MATCH($A131,Market_Data!$T$21:INDEX(Market_Data!$T$21:$T$613,COUNT(Market_Data!$T$21:$T$613)),1)),""))</f>
        <v/>
      </c>
      <c r="I131" s="89" t="str">
        <f ca="1">IF($A131="","",IFERROR(INDEX(Query1[Close],MATCH($A131,Query1[Date],1)),""))</f>
        <v/>
      </c>
    </row>
    <row r="132" spans="1:9" x14ac:dyDescent="0.3">
      <c r="A132" s="87" t="str">
        <f t="shared" ca="1" si="3"/>
        <v/>
      </c>
      <c r="B132" s="88" t="str">
        <f ca="1">IF($A132="","",IFERROR(INDEX(Market_Data!$C$21:$C$613,MATCH($A132,Market_Data!$B$21:INDEX(Market_Data!$B$21:$B$613,COUNT(Market_Data!$B$21:$B$613)),1)),""))</f>
        <v/>
      </c>
      <c r="C132" s="88" t="str">
        <f ca="1">IF($A132="","",IFERROR(INDEX(Market_Data!$F$21:$F$613,MATCH($A132,Market_Data!$E$21:INDEX(Market_Data!$E$21:$E$613,COUNT(Market_Data!$E$21:$E$613)),1)),""))</f>
        <v/>
      </c>
      <c r="D132" s="88" t="str">
        <f ca="1">IF($A132="","",IFERROR(INDEX(Market_Data!$I$21:$I$613,MATCH($A132,Market_Data!$H$21:INDEX(Market_Data!$H$21:$H$613,COUNT(Market_Data!$H$21:$H$613)),1)),""))</f>
        <v/>
      </c>
      <c r="E132" s="88" t="str">
        <f ca="1">IF($A132="","",IFERROR(INDEX(Market_Data!$L$21:$L$613,MATCH($A132,Market_Data!$K$21:INDEX(Market_Data!$K$21:$K$613,COUNT(Market_Data!$K$21:$K$613)),1)),""))</f>
        <v/>
      </c>
      <c r="F132" s="88" t="str">
        <f ca="1">IF($A132="","",IFERROR(INDEX(Market_Data!$O$21:$O$613,MATCH($A132,Market_Data!$N$21:INDEX(Market_Data!$N$21:$N$613,COUNT(Market_Data!$N$21:$N$613)),1)),""))</f>
        <v/>
      </c>
      <c r="G132" s="88" t="str">
        <f ca="1">IF($A132="","",IFERROR(INDEX(Market_Data!$R$21:$R$613,MATCH($A132,Market_Data!$Q$21:INDEX(Market_Data!$Q$21:$Q$613,COUNT(Market_Data!$Q$21:$Q$613)),1)),""))</f>
        <v/>
      </c>
      <c r="H132" s="88" t="str">
        <f ca="1">IF($A132="","",IFERROR(INDEX(Market_Data!$U$21:$U$613,MATCH($A132,Market_Data!$T$21:INDEX(Market_Data!$T$21:$T$613,COUNT(Market_Data!$T$21:$T$613)),1)),""))</f>
        <v/>
      </c>
      <c r="I132" s="89" t="str">
        <f ca="1">IF($A132="","",IFERROR(INDEX(Query1[Close],MATCH($A132,Query1[Date],1)),""))</f>
        <v/>
      </c>
    </row>
    <row r="133" spans="1:9" x14ac:dyDescent="0.3">
      <c r="A133" s="87" t="str">
        <f t="shared" ca="1" si="3"/>
        <v/>
      </c>
      <c r="B133" s="88" t="str">
        <f ca="1">IF($A133="","",IFERROR(INDEX(Market_Data!$C$21:$C$613,MATCH($A133,Market_Data!$B$21:INDEX(Market_Data!$B$21:$B$613,COUNT(Market_Data!$B$21:$B$613)),1)),""))</f>
        <v/>
      </c>
      <c r="C133" s="88" t="str">
        <f ca="1">IF($A133="","",IFERROR(INDEX(Market_Data!$F$21:$F$613,MATCH($A133,Market_Data!$E$21:INDEX(Market_Data!$E$21:$E$613,COUNT(Market_Data!$E$21:$E$613)),1)),""))</f>
        <v/>
      </c>
      <c r="D133" s="88" t="str">
        <f ca="1">IF($A133="","",IFERROR(INDEX(Market_Data!$I$21:$I$613,MATCH($A133,Market_Data!$H$21:INDEX(Market_Data!$H$21:$H$613,COUNT(Market_Data!$H$21:$H$613)),1)),""))</f>
        <v/>
      </c>
      <c r="E133" s="88" t="str">
        <f ca="1">IF($A133="","",IFERROR(INDEX(Market_Data!$L$21:$L$613,MATCH($A133,Market_Data!$K$21:INDEX(Market_Data!$K$21:$K$613,COUNT(Market_Data!$K$21:$K$613)),1)),""))</f>
        <v/>
      </c>
      <c r="F133" s="88" t="str">
        <f ca="1">IF($A133="","",IFERROR(INDEX(Market_Data!$O$21:$O$613,MATCH($A133,Market_Data!$N$21:INDEX(Market_Data!$N$21:$N$613,COUNT(Market_Data!$N$21:$N$613)),1)),""))</f>
        <v/>
      </c>
      <c r="G133" s="88" t="str">
        <f ca="1">IF($A133="","",IFERROR(INDEX(Market_Data!$R$21:$R$613,MATCH($A133,Market_Data!$Q$21:INDEX(Market_Data!$Q$21:$Q$613,COUNT(Market_Data!$Q$21:$Q$613)),1)),""))</f>
        <v/>
      </c>
      <c r="H133" s="88" t="str">
        <f ca="1">IF($A133="","",IFERROR(INDEX(Market_Data!$U$21:$U$613,MATCH($A133,Market_Data!$T$21:INDEX(Market_Data!$T$21:$T$613,COUNT(Market_Data!$T$21:$T$613)),1)),""))</f>
        <v/>
      </c>
      <c r="I133" s="89" t="str">
        <f ca="1">IF($A133="","",IFERROR(INDEX(Query1[Close],MATCH($A133,Query1[Date],1)),""))</f>
        <v/>
      </c>
    </row>
    <row r="135" spans="1:9" x14ac:dyDescent="0.3">
      <c r="A135" s="201" t="str">
        <f ca="1">"Data-quality check: "&amp;COUNT($A$4:$A$133)&amp;" weekly observations populated (of 130 buffered rows) · Blank price cells within populated window: "&amp;(COUNTBLANK($B$4:$I$133)-COUNTBLANK($A$4:$A$133)*8)&amp;" · "&amp;IF((COUNTBLANK($B$4:$I$133)-COUNTBLANK($A$4:$A$133)*8)=0,"OK — no gaps within the populated window","REVIEW — some securities missing data within the populated window")</f>
        <v>Data-quality check: 105 weekly observations populated (of 130 buffered rows) · Blank price cells within populated window: 0 · OK — no gaps within the populated window</v>
      </c>
      <c r="B135" s="202"/>
      <c r="C135" s="202"/>
      <c r="D135" s="202"/>
      <c r="E135" s="202"/>
      <c r="F135" s="202"/>
      <c r="G135" s="202"/>
      <c r="H135" s="202"/>
      <c r="I135" s="202"/>
    </row>
  </sheetData>
  <mergeCells count="2">
    <mergeCell ref="A1:I1"/>
    <mergeCell ref="A135:I13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2D3EE"/>
  </sheetPr>
  <dimension ref="A1:AF125"/>
  <sheetViews>
    <sheetView showGridLines="0" topLeftCell="A134" zoomScaleNormal="100" workbookViewId="0">
      <selection activeCell="AB22" sqref="AB22"/>
    </sheetView>
  </sheetViews>
  <sheetFormatPr defaultRowHeight="14.4" x14ac:dyDescent="0.3"/>
  <cols>
    <col min="1" max="1" width="3" customWidth="1"/>
    <col min="2" max="22" width="13" customWidth="1"/>
    <col min="23" max="23" width="10.5546875" bestFit="1" customWidth="1"/>
    <col min="24" max="24" width="12.5546875" bestFit="1" customWidth="1"/>
    <col min="26" max="27" width="13" customWidth="1"/>
    <col min="30" max="30" width="10.5546875" bestFit="1" customWidth="1"/>
    <col min="31" max="31" width="12" bestFit="1" customWidth="1"/>
    <col min="33" max="34" width="13" customWidth="1"/>
  </cols>
  <sheetData>
    <row r="1" spans="1:28" ht="25.95" customHeight="1" x14ac:dyDescent="0.3">
      <c r="A1" s="209" t="s">
        <v>227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</row>
    <row r="2" spans="1:28" ht="16.05" customHeight="1" x14ac:dyDescent="0.3">
      <c r="A2" s="212" t="s">
        <v>228</v>
      </c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</row>
    <row r="3" spans="1:28" ht="16.05" customHeight="1" x14ac:dyDescent="0.3">
      <c r="A3" s="208" t="s">
        <v>229</v>
      </c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</row>
    <row r="5" spans="1:28" x14ac:dyDescent="0.3">
      <c r="A5" s="117" t="s">
        <v>230</v>
      </c>
    </row>
    <row r="6" spans="1:28" x14ac:dyDescent="0.3">
      <c r="A6" s="118" t="s">
        <v>231</v>
      </c>
    </row>
    <row r="8" spans="1:28" ht="25.95" customHeight="1" x14ac:dyDescent="0.3">
      <c r="A8" s="204" t="s">
        <v>35</v>
      </c>
      <c r="B8" s="136"/>
      <c r="C8" s="101" t="s">
        <v>232</v>
      </c>
      <c r="D8" s="204" t="s">
        <v>233</v>
      </c>
      <c r="E8" s="136"/>
      <c r="F8" s="204" t="s">
        <v>234</v>
      </c>
      <c r="G8" s="136"/>
      <c r="H8" s="136"/>
      <c r="I8" s="136"/>
      <c r="J8" s="136"/>
      <c r="K8" s="136"/>
      <c r="L8" s="136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2"/>
      <c r="Y8" s="102"/>
      <c r="Z8" s="102"/>
      <c r="AA8" s="102"/>
      <c r="AB8" s="102"/>
    </row>
    <row r="9" spans="1:28" ht="25.95" customHeight="1" x14ac:dyDescent="0.3">
      <c r="A9" s="207" t="s">
        <v>10</v>
      </c>
      <c r="B9" s="136"/>
      <c r="C9" s="108" t="s">
        <v>1</v>
      </c>
      <c r="D9" s="210" t="s">
        <v>235</v>
      </c>
      <c r="E9" s="211"/>
      <c r="F9" s="205" t="s">
        <v>236</v>
      </c>
      <c r="G9" s="206"/>
      <c r="H9" s="206"/>
      <c r="I9" s="206"/>
      <c r="J9" s="206"/>
      <c r="K9" s="206"/>
      <c r="L9" s="206"/>
    </row>
    <row r="10" spans="1:28" ht="25.95" customHeight="1" x14ac:dyDescent="0.3">
      <c r="A10" s="207" t="s">
        <v>11</v>
      </c>
      <c r="B10" s="136"/>
      <c r="C10" s="108" t="s">
        <v>2</v>
      </c>
      <c r="D10" s="210" t="s">
        <v>237</v>
      </c>
      <c r="E10" s="211"/>
      <c r="F10" s="205" t="s">
        <v>238</v>
      </c>
      <c r="G10" s="206"/>
      <c r="H10" s="206"/>
      <c r="I10" s="206"/>
      <c r="J10" s="206"/>
      <c r="K10" s="206"/>
      <c r="L10" s="206"/>
    </row>
    <row r="11" spans="1:28" ht="25.95" customHeight="1" x14ac:dyDescent="0.3">
      <c r="A11" s="207" t="s">
        <v>12</v>
      </c>
      <c r="B11" s="136"/>
      <c r="C11" s="108" t="s">
        <v>3</v>
      </c>
      <c r="D11" s="210" t="s">
        <v>239</v>
      </c>
      <c r="E11" s="211"/>
      <c r="F11" s="205" t="s">
        <v>238</v>
      </c>
      <c r="G11" s="206"/>
      <c r="H11" s="206"/>
      <c r="I11" s="206"/>
      <c r="J11" s="206"/>
      <c r="K11" s="206"/>
      <c r="L11" s="206"/>
    </row>
    <row r="12" spans="1:28" ht="25.95" customHeight="1" x14ac:dyDescent="0.3">
      <c r="A12" s="207" t="s">
        <v>13</v>
      </c>
      <c r="B12" s="136"/>
      <c r="C12" s="108" t="s">
        <v>4</v>
      </c>
      <c r="D12" s="210" t="s">
        <v>240</v>
      </c>
      <c r="E12" s="211"/>
      <c r="F12" s="205" t="s">
        <v>238</v>
      </c>
      <c r="G12" s="206"/>
      <c r="H12" s="206"/>
      <c r="I12" s="206"/>
      <c r="J12" s="206"/>
      <c r="K12" s="206"/>
      <c r="L12" s="206"/>
    </row>
    <row r="13" spans="1:28" ht="25.95" customHeight="1" x14ac:dyDescent="0.3">
      <c r="A13" s="207" t="s">
        <v>14</v>
      </c>
      <c r="B13" s="136"/>
      <c r="C13" s="108" t="s">
        <v>5</v>
      </c>
      <c r="D13" s="210" t="s">
        <v>241</v>
      </c>
      <c r="E13" s="211"/>
      <c r="F13" s="205" t="s">
        <v>238</v>
      </c>
      <c r="G13" s="206"/>
      <c r="H13" s="206"/>
      <c r="I13" s="206"/>
      <c r="J13" s="206"/>
      <c r="K13" s="206"/>
      <c r="L13" s="206"/>
    </row>
    <row r="14" spans="1:28" ht="25.95" customHeight="1" x14ac:dyDescent="0.3">
      <c r="A14" s="207" t="s">
        <v>15</v>
      </c>
      <c r="B14" s="136"/>
      <c r="C14" s="108" t="s">
        <v>6</v>
      </c>
      <c r="D14" s="210" t="s">
        <v>242</v>
      </c>
      <c r="E14" s="211"/>
      <c r="F14" s="205" t="s">
        <v>238</v>
      </c>
      <c r="G14" s="206"/>
      <c r="H14" s="206"/>
      <c r="I14" s="206"/>
      <c r="J14" s="206"/>
      <c r="K14" s="206"/>
      <c r="L14" s="206"/>
    </row>
    <row r="15" spans="1:28" ht="19.95" customHeight="1" x14ac:dyDescent="0.3">
      <c r="A15" s="207" t="s">
        <v>16</v>
      </c>
      <c r="B15" s="136"/>
      <c r="C15" s="108" t="s">
        <v>7</v>
      </c>
      <c r="D15" s="210" t="s">
        <v>243</v>
      </c>
      <c r="E15" s="211"/>
      <c r="F15" s="205" t="s">
        <v>238</v>
      </c>
      <c r="G15" s="206"/>
      <c r="H15" s="206"/>
      <c r="I15" s="206"/>
      <c r="J15" s="206"/>
      <c r="K15" s="206"/>
      <c r="L15" s="206"/>
      <c r="M15" s="106"/>
      <c r="N15" s="106"/>
    </row>
    <row r="16" spans="1:28" ht="40.049999999999997" customHeight="1" x14ac:dyDescent="0.3">
      <c r="A16" s="207" t="s">
        <v>494</v>
      </c>
      <c r="B16" s="136"/>
      <c r="C16" s="108" t="s">
        <v>17</v>
      </c>
      <c r="D16" s="210" t="s">
        <v>495</v>
      </c>
      <c r="E16" s="211"/>
      <c r="F16" s="205"/>
      <c r="G16" s="206"/>
      <c r="H16" s="206"/>
      <c r="I16" s="206"/>
      <c r="J16" s="206"/>
      <c r="K16" s="206"/>
      <c r="L16" s="206"/>
      <c r="M16" s="106"/>
      <c r="N16" s="105"/>
    </row>
    <row r="17" spans="1:32" x14ac:dyDescent="0.3">
      <c r="A17" s="117" t="s">
        <v>244</v>
      </c>
    </row>
    <row r="18" spans="1:32" x14ac:dyDescent="0.3">
      <c r="A18" s="109" t="s">
        <v>245</v>
      </c>
    </row>
    <row r="19" spans="1:32" x14ac:dyDescent="0.3">
      <c r="A19" s="102"/>
      <c r="B19" s="204" t="s">
        <v>10</v>
      </c>
      <c r="C19" s="136"/>
      <c r="D19" s="102"/>
      <c r="E19" s="204" t="s">
        <v>11</v>
      </c>
      <c r="F19" s="136"/>
      <c r="G19" s="102"/>
      <c r="H19" s="204" t="s">
        <v>12</v>
      </c>
      <c r="I19" s="136"/>
      <c r="J19" s="102"/>
      <c r="K19" s="204" t="s">
        <v>13</v>
      </c>
      <c r="L19" s="136"/>
      <c r="M19" s="102"/>
      <c r="N19" s="204" t="s">
        <v>14</v>
      </c>
      <c r="O19" s="136"/>
      <c r="P19" s="102"/>
      <c r="Q19" s="204" t="s">
        <v>15</v>
      </c>
      <c r="R19" s="136"/>
      <c r="S19" s="102"/>
      <c r="T19" s="204" t="s">
        <v>16</v>
      </c>
      <c r="U19" s="136"/>
      <c r="V19" s="102"/>
      <c r="W19" s="213" t="s">
        <v>17</v>
      </c>
      <c r="X19" s="213"/>
      <c r="Y19" s="102"/>
      <c r="Z19" s="102"/>
      <c r="AA19" s="102"/>
      <c r="AB19" s="102"/>
      <c r="AC19" s="107"/>
      <c r="AD19" s="107"/>
      <c r="AE19" s="107"/>
      <c r="AF19" s="107"/>
    </row>
    <row r="20" spans="1:32" x14ac:dyDescent="0.3">
      <c r="B20" s="103" t="str">
        <f t="array" aca="1" ref="B20:C125" ca="1">_xlfn.STOCKHISTORY("XNSE:RELIANCE",TODAY()-730,TODAY(),1,1,0,1)</f>
        <v>Date</v>
      </c>
      <c r="C20" t="str">
        <f ca="1"/>
        <v>Close</v>
      </c>
      <c r="E20" s="103" t="str">
        <f t="array" aca="1" ref="E20:F125" ca="1">_xlfn.STOCKHISTORY("XNSE:BHARTIARTL",TODAY()-730,TODAY(),1,1,0,1)</f>
        <v>Date</v>
      </c>
      <c r="F20" t="str">
        <f ca="1"/>
        <v>Close</v>
      </c>
      <c r="H20" s="103" t="str">
        <f t="array" aca="1" ref="H20:I125" ca="1">_xlfn.STOCKHISTORY("XNSE:HDFCBANK",TODAY()-730,TODAY(),1,1,0,1)</f>
        <v>Date</v>
      </c>
      <c r="I20" t="str">
        <f ca="1"/>
        <v>Close</v>
      </c>
      <c r="K20" s="103" t="str">
        <f t="array" aca="1" ref="K20:L125" ca="1">_xlfn.STOCKHISTORY("XNSE:LT",TODAY()-730,TODAY(),1,1,0,1)</f>
        <v>Date</v>
      </c>
      <c r="L20" t="str">
        <f ca="1"/>
        <v>Close</v>
      </c>
      <c r="N20" s="103" t="str">
        <f t="array" aca="1" ref="N20:O125" ca="1">_xlfn.STOCKHISTORY("XNSE:CIPLA",TODAY()-730,TODAY(),1,1,0,1)</f>
        <v>Date</v>
      </c>
      <c r="O20" t="str">
        <f ca="1"/>
        <v>Close</v>
      </c>
      <c r="Q20" s="103" t="str">
        <f t="array" aca="1" ref="Q20:R125" ca="1">_xlfn.STOCKHISTORY("XNSE:MARUTI",TODAY()-730,TODAY(),1,1,0,1)</f>
        <v>Date</v>
      </c>
      <c r="R20" t="str">
        <f ca="1"/>
        <v>Close</v>
      </c>
      <c r="T20" s="103" t="str">
        <f t="array" aca="1" ref="T20:U125" ca="1">_xlfn.STOCKHISTORY("XNSE:HCLTECH",TODAY()-730,TODAY(),1,1,0,1)</f>
        <v>Date</v>
      </c>
      <c r="U20" t="str">
        <f ca="1"/>
        <v>Close</v>
      </c>
      <c r="W20" s="121" t="s">
        <v>9</v>
      </c>
      <c r="X20" s="120" t="s">
        <v>246</v>
      </c>
    </row>
    <row r="21" spans="1:32" x14ac:dyDescent="0.3">
      <c r="B21" vm="707">
        <f ca="1"/>
        <v>45544</v>
      </c>
      <c r="C21" vm="8">
        <f ca="1"/>
        <v>1472.625</v>
      </c>
      <c r="E21" vm="707">
        <f ca="1"/>
        <v>45544</v>
      </c>
      <c r="F21" vm="9">
        <f ca="1"/>
        <v>1634.45</v>
      </c>
      <c r="H21" vm="707">
        <f ca="1"/>
        <v>45544</v>
      </c>
      <c r="I21" vm="10">
        <f ca="1"/>
        <v>830.90920000000006</v>
      </c>
      <c r="K21" vm="707">
        <f ca="1"/>
        <v>45544</v>
      </c>
      <c r="L21" vm="11">
        <f ca="1"/>
        <v>3613</v>
      </c>
      <c r="N21" vm="707">
        <f ca="1"/>
        <v>45544</v>
      </c>
      <c r="O21" vm="12">
        <f ca="1"/>
        <v>1659.7</v>
      </c>
      <c r="Q21" vm="707">
        <f ca="1"/>
        <v>45544</v>
      </c>
      <c r="R21" vm="13">
        <f ca="1"/>
        <v>12316.05</v>
      </c>
      <c r="T21" vm="707">
        <f ca="1"/>
        <v>45544</v>
      </c>
      <c r="U21" vm="14">
        <f ca="1"/>
        <v>1806.7271000000001</v>
      </c>
      <c r="W21" s="110">
        <v>45544</v>
      </c>
      <c r="X21" s="111">
        <v>24936.400390625</v>
      </c>
    </row>
    <row r="22" spans="1:32" x14ac:dyDescent="0.3">
      <c r="B22" vm="708">
        <f ca="1"/>
        <v>45551</v>
      </c>
      <c r="C22" vm="15">
        <f ca="1"/>
        <v>1485.925</v>
      </c>
      <c r="E22" vm="708">
        <f ca="1"/>
        <v>45551</v>
      </c>
      <c r="F22" vm="16">
        <f ca="1"/>
        <v>1711.75</v>
      </c>
      <c r="H22" vm="708">
        <f ca="1"/>
        <v>45551</v>
      </c>
      <c r="I22" vm="17">
        <f ca="1"/>
        <v>868.44090000000006</v>
      </c>
      <c r="K22" vm="708">
        <f ca="1"/>
        <v>45551</v>
      </c>
      <c r="L22" vm="18">
        <f ca="1"/>
        <v>3793.9</v>
      </c>
      <c r="N22" vm="708">
        <f ca="1"/>
        <v>45551</v>
      </c>
      <c r="O22" vm="19">
        <f ca="1"/>
        <v>1638.65</v>
      </c>
      <c r="Q22" vm="708">
        <f ca="1"/>
        <v>45551</v>
      </c>
      <c r="R22" vm="20">
        <f ca="1"/>
        <v>12614.5</v>
      </c>
      <c r="T22" vm="708">
        <f ca="1"/>
        <v>45551</v>
      </c>
      <c r="U22" vm="21">
        <f ca="1"/>
        <v>1754.1538</v>
      </c>
      <c r="W22" s="110">
        <v>45551</v>
      </c>
      <c r="X22" s="111">
        <v>25383.75</v>
      </c>
    </row>
    <row r="23" spans="1:32" x14ac:dyDescent="0.3">
      <c r="B23" vm="709">
        <f ca="1"/>
        <v>45558</v>
      </c>
      <c r="C23" vm="22">
        <f ca="1"/>
        <v>1526.175</v>
      </c>
      <c r="E23" vm="709">
        <f ca="1"/>
        <v>45558</v>
      </c>
      <c r="F23" vm="23">
        <f ca="1"/>
        <v>1734.6</v>
      </c>
      <c r="H23" vm="709">
        <f ca="1"/>
        <v>45558</v>
      </c>
      <c r="I23" vm="24">
        <f ca="1"/>
        <v>874.15170000000001</v>
      </c>
      <c r="K23" vm="709">
        <f ca="1"/>
        <v>45558</v>
      </c>
      <c r="L23" vm="25">
        <f ca="1"/>
        <v>3705.65</v>
      </c>
      <c r="N23" vm="709">
        <f ca="1"/>
        <v>45558</v>
      </c>
      <c r="O23" vm="26">
        <f ca="1"/>
        <v>1672.5</v>
      </c>
      <c r="Q23" vm="709">
        <f ca="1"/>
        <v>45558</v>
      </c>
      <c r="R23" vm="27">
        <f ca="1"/>
        <v>13495.6</v>
      </c>
      <c r="T23" vm="709">
        <f ca="1"/>
        <v>45558</v>
      </c>
      <c r="U23" vm="28">
        <f ca="1"/>
        <v>1802.3418999999999</v>
      </c>
      <c r="W23" s="110">
        <v>45558</v>
      </c>
      <c r="X23" s="111">
        <v>25939.05078125</v>
      </c>
    </row>
    <row r="24" spans="1:32" x14ac:dyDescent="0.3">
      <c r="B24" vm="710">
        <f ca="1"/>
        <v>45565</v>
      </c>
      <c r="C24" vm="29">
        <f ca="1"/>
        <v>1386.5250000000001</v>
      </c>
      <c r="E24" vm="710">
        <f ca="1"/>
        <v>45565</v>
      </c>
      <c r="F24" vm="30">
        <f ca="1"/>
        <v>1640.9</v>
      </c>
      <c r="H24" vm="710">
        <f ca="1"/>
        <v>45565</v>
      </c>
      <c r="I24" vm="31">
        <f ca="1"/>
        <v>826.76949999999999</v>
      </c>
      <c r="K24" vm="710">
        <f ca="1"/>
        <v>45565</v>
      </c>
      <c r="L24" vm="32">
        <f ca="1"/>
        <v>3493.95</v>
      </c>
      <c r="N24" vm="710">
        <f ca="1"/>
        <v>45565</v>
      </c>
      <c r="O24" vm="33">
        <f ca="1"/>
        <v>1623.3</v>
      </c>
      <c r="Q24" vm="710">
        <f ca="1"/>
        <v>45565</v>
      </c>
      <c r="R24" vm="34">
        <f ca="1"/>
        <v>12605.75</v>
      </c>
      <c r="T24" vm="710">
        <f ca="1"/>
        <v>45565</v>
      </c>
      <c r="U24" vm="35">
        <f ca="1"/>
        <v>1770.6484</v>
      </c>
      <c r="W24" s="110">
        <v>45565</v>
      </c>
      <c r="X24" s="111">
        <v>25810.849609375</v>
      </c>
    </row>
    <row r="25" spans="1:32" x14ac:dyDescent="0.3">
      <c r="B25" vm="711">
        <f ca="1"/>
        <v>45572</v>
      </c>
      <c r="C25" vm="36">
        <f ca="1"/>
        <v>1372.1</v>
      </c>
      <c r="E25" vm="711">
        <f ca="1"/>
        <v>45572</v>
      </c>
      <c r="F25" vm="37">
        <f ca="1"/>
        <v>1687.4</v>
      </c>
      <c r="H25" vm="711">
        <f ca="1"/>
        <v>45572</v>
      </c>
      <c r="I25" vm="38">
        <f ca="1"/>
        <v>823.45280000000002</v>
      </c>
      <c r="K25" vm="711">
        <f ca="1"/>
        <v>45572</v>
      </c>
      <c r="L25" vm="39">
        <f ca="1"/>
        <v>3482.55</v>
      </c>
      <c r="N25" vm="711">
        <f ca="1"/>
        <v>45572</v>
      </c>
      <c r="O25" vm="40">
        <f ca="1"/>
        <v>1595.75</v>
      </c>
      <c r="Q25" vm="711">
        <f ca="1"/>
        <v>45572</v>
      </c>
      <c r="R25" vm="41">
        <f ca="1"/>
        <v>12776.65</v>
      </c>
      <c r="T25" vm="711">
        <f ca="1"/>
        <v>45572</v>
      </c>
      <c r="U25" vm="42">
        <f ca="1"/>
        <v>1833.4872</v>
      </c>
      <c r="W25" s="110">
        <v>45572</v>
      </c>
      <c r="X25" s="111">
        <v>24795.75</v>
      </c>
    </row>
    <row r="26" spans="1:32" x14ac:dyDescent="0.3">
      <c r="B26" vm="712">
        <f ca="1"/>
        <v>45579</v>
      </c>
      <c r="C26" vm="43">
        <f ca="1"/>
        <v>1359.3</v>
      </c>
      <c r="E26" vm="712">
        <f ca="1"/>
        <v>45579</v>
      </c>
      <c r="F26" vm="44">
        <f ca="1"/>
        <v>1707.85</v>
      </c>
      <c r="H26" vm="712">
        <f ca="1"/>
        <v>45579</v>
      </c>
      <c r="I26" vm="45">
        <f ca="1"/>
        <v>838.83950000000004</v>
      </c>
      <c r="K26" vm="712">
        <f ca="1"/>
        <v>45579</v>
      </c>
      <c r="L26" vm="46">
        <f ca="1"/>
        <v>3577.8</v>
      </c>
      <c r="N26" vm="712">
        <f ca="1"/>
        <v>45579</v>
      </c>
      <c r="O26" vm="47">
        <f ca="1"/>
        <v>1551.7</v>
      </c>
      <c r="Q26" vm="712">
        <f ca="1"/>
        <v>45579</v>
      </c>
      <c r="R26" vm="48">
        <f ca="1"/>
        <v>12105.1</v>
      </c>
      <c r="T26" vm="712">
        <f ca="1"/>
        <v>45579</v>
      </c>
      <c r="U26" vm="49">
        <f ca="1"/>
        <v>1851.4766999999999</v>
      </c>
      <c r="W26" s="110">
        <v>45579</v>
      </c>
      <c r="X26" s="111">
        <v>25127.94921875</v>
      </c>
    </row>
    <row r="27" spans="1:32" x14ac:dyDescent="0.3">
      <c r="B27" vm="713">
        <f ca="1"/>
        <v>45586</v>
      </c>
      <c r="C27" vm="50">
        <f ca="1"/>
        <v>1327.85</v>
      </c>
      <c r="E27" vm="713">
        <f ca="1"/>
        <v>45586</v>
      </c>
      <c r="F27" vm="51">
        <f ca="1"/>
        <v>1666</v>
      </c>
      <c r="H27" vm="713">
        <f ca="1"/>
        <v>45586</v>
      </c>
      <c r="I27" vm="52">
        <f ca="1"/>
        <v>869.53819999999996</v>
      </c>
      <c r="K27" vm="713">
        <f ca="1"/>
        <v>45586</v>
      </c>
      <c r="L27" vm="53">
        <f ca="1"/>
        <v>3326.4</v>
      </c>
      <c r="N27" vm="713">
        <f ca="1"/>
        <v>45586</v>
      </c>
      <c r="O27" vm="54">
        <f ca="1"/>
        <v>1488.9</v>
      </c>
      <c r="Q27" vm="713">
        <f ca="1"/>
        <v>45586</v>
      </c>
      <c r="R27" vm="55">
        <f ca="1"/>
        <v>11502.85</v>
      </c>
      <c r="T27" vm="713">
        <f ca="1"/>
        <v>45586</v>
      </c>
      <c r="U27" vm="56">
        <f ca="1"/>
        <v>1846.1446000000001</v>
      </c>
      <c r="W27" s="110">
        <v>45586</v>
      </c>
      <c r="X27" s="111">
        <v>24781.099609375</v>
      </c>
    </row>
    <row r="28" spans="1:32" x14ac:dyDescent="0.3">
      <c r="B28" vm="714">
        <f ca="1"/>
        <v>45593</v>
      </c>
      <c r="C28" vm="57">
        <f ca="1"/>
        <v>1338.65</v>
      </c>
      <c r="E28" vm="714">
        <f ca="1"/>
        <v>45593</v>
      </c>
      <c r="F28" vm="58">
        <f ca="1"/>
        <v>1616.45</v>
      </c>
      <c r="H28" vm="714">
        <f ca="1"/>
        <v>45593</v>
      </c>
      <c r="I28" vm="59">
        <f ca="1"/>
        <v>866.49570000000006</v>
      </c>
      <c r="K28" vm="714">
        <f ca="1"/>
        <v>45593</v>
      </c>
      <c r="L28" vm="60">
        <f ca="1"/>
        <v>3626.35</v>
      </c>
      <c r="N28" vm="714">
        <f ca="1"/>
        <v>45593</v>
      </c>
      <c r="O28" vm="61">
        <f ca="1"/>
        <v>1559.55</v>
      </c>
      <c r="Q28" vm="714">
        <f ca="1"/>
        <v>45593</v>
      </c>
      <c r="R28" vm="62">
        <f ca="1"/>
        <v>11110</v>
      </c>
      <c r="T28" vm="714">
        <f ca="1"/>
        <v>45593</v>
      </c>
      <c r="U28" vm="63">
        <f ca="1"/>
        <v>1751.5127</v>
      </c>
      <c r="W28" s="110">
        <v>45593</v>
      </c>
      <c r="X28" s="111">
        <v>24339.150390625</v>
      </c>
    </row>
    <row r="29" spans="1:32" x14ac:dyDescent="0.3">
      <c r="B29" vm="715">
        <f ca="1"/>
        <v>45600</v>
      </c>
      <c r="C29" vm="64">
        <f ca="1"/>
        <v>1283.75</v>
      </c>
      <c r="E29" vm="715">
        <f ca="1"/>
        <v>45600</v>
      </c>
      <c r="F29" vm="65">
        <f ca="1"/>
        <v>1569.9</v>
      </c>
      <c r="H29" vm="715">
        <f ca="1"/>
        <v>45600</v>
      </c>
      <c r="I29" vm="66">
        <f ca="1"/>
        <v>875.04949999999997</v>
      </c>
      <c r="K29" vm="715">
        <f ca="1"/>
        <v>45600</v>
      </c>
      <c r="L29" vm="67">
        <f ca="1"/>
        <v>3660.3</v>
      </c>
      <c r="N29" vm="715">
        <f ca="1"/>
        <v>45600</v>
      </c>
      <c r="O29" vm="68">
        <f ca="1"/>
        <v>1592.6</v>
      </c>
      <c r="Q29" vm="715">
        <f ca="1"/>
        <v>45600</v>
      </c>
      <c r="R29" vm="69">
        <f ca="1"/>
        <v>11303</v>
      </c>
      <c r="T29" vm="715">
        <f ca="1"/>
        <v>45600</v>
      </c>
      <c r="U29" vm="70">
        <f ca="1"/>
        <v>1831.3444</v>
      </c>
      <c r="W29" s="110">
        <v>45600</v>
      </c>
      <c r="X29" s="111">
        <v>23995.349609375</v>
      </c>
    </row>
    <row r="30" spans="1:32" x14ac:dyDescent="0.3">
      <c r="B30" vm="716">
        <f ca="1"/>
        <v>45607</v>
      </c>
      <c r="C30" vm="71">
        <f ca="1"/>
        <v>1267.5999999999999</v>
      </c>
      <c r="E30" vm="716">
        <f ca="1"/>
        <v>45607</v>
      </c>
      <c r="F30" vm="72">
        <f ca="1"/>
        <v>1550.5</v>
      </c>
      <c r="H30" vm="716">
        <f ca="1"/>
        <v>45607</v>
      </c>
      <c r="I30" vm="73">
        <f ca="1"/>
        <v>844.27599999999995</v>
      </c>
      <c r="K30" vm="716">
        <f ca="1"/>
        <v>45607</v>
      </c>
      <c r="L30" vm="74">
        <f ca="1"/>
        <v>3526.25</v>
      </c>
      <c r="N30" vm="716">
        <f ca="1"/>
        <v>45607</v>
      </c>
      <c r="O30" vm="75">
        <f ca="1"/>
        <v>1499.75</v>
      </c>
      <c r="Q30" vm="716">
        <f ca="1"/>
        <v>45607</v>
      </c>
      <c r="R30" vm="76">
        <f ca="1"/>
        <v>11006.05</v>
      </c>
      <c r="T30" vm="716">
        <f ca="1"/>
        <v>45607</v>
      </c>
      <c r="U30" vm="77">
        <f ca="1"/>
        <v>1852.7225000000001</v>
      </c>
      <c r="W30" s="110">
        <v>45607</v>
      </c>
      <c r="X30" s="111">
        <v>24141.30078125</v>
      </c>
    </row>
    <row r="31" spans="1:32" x14ac:dyDescent="0.3">
      <c r="B31" vm="717">
        <f ca="1"/>
        <v>45614</v>
      </c>
      <c r="C31" vm="78">
        <f ca="1"/>
        <v>1265.4000000000001</v>
      </c>
      <c r="E31" vm="717">
        <f ca="1"/>
        <v>45614</v>
      </c>
      <c r="F31" vm="79">
        <f ca="1"/>
        <v>1569.3</v>
      </c>
      <c r="H31" vm="717">
        <f ca="1"/>
        <v>45614</v>
      </c>
      <c r="I31" vm="80">
        <f ca="1"/>
        <v>870.63549999999998</v>
      </c>
      <c r="K31" vm="717">
        <f ca="1"/>
        <v>45614</v>
      </c>
      <c r="L31" vm="81">
        <f ca="1"/>
        <v>3603.5</v>
      </c>
      <c r="N31" vm="717">
        <f ca="1"/>
        <v>45614</v>
      </c>
      <c r="O31" vm="82">
        <f ca="1"/>
        <v>1486.5</v>
      </c>
      <c r="Q31" vm="717">
        <f ca="1"/>
        <v>45614</v>
      </c>
      <c r="R31" vm="83">
        <f ca="1"/>
        <v>11063.6</v>
      </c>
      <c r="T31" vm="717">
        <f ca="1"/>
        <v>45614</v>
      </c>
      <c r="U31" vm="84">
        <f ca="1"/>
        <v>1892.0404000000001</v>
      </c>
      <c r="W31" s="110">
        <v>45614</v>
      </c>
      <c r="X31" s="111">
        <v>23453.80078125</v>
      </c>
    </row>
    <row r="32" spans="1:32" x14ac:dyDescent="0.3">
      <c r="B32" vm="718">
        <f ca="1"/>
        <v>45621</v>
      </c>
      <c r="C32" vm="85">
        <f ca="1"/>
        <v>1292.2</v>
      </c>
      <c r="E32" vm="718">
        <f ca="1"/>
        <v>45621</v>
      </c>
      <c r="F32" vm="86">
        <f ca="1"/>
        <v>1627.15</v>
      </c>
      <c r="H32" vm="718">
        <f ca="1"/>
        <v>45621</v>
      </c>
      <c r="I32" vm="87">
        <f ca="1"/>
        <v>895.79790000000003</v>
      </c>
      <c r="K32" vm="718">
        <f ca="1"/>
        <v>45621</v>
      </c>
      <c r="L32" vm="88">
        <f ca="1"/>
        <v>3724.8</v>
      </c>
      <c r="N32" vm="718">
        <f ca="1"/>
        <v>45621</v>
      </c>
      <c r="O32" vm="89">
        <f ca="1"/>
        <v>1533.9</v>
      </c>
      <c r="Q32" vm="718">
        <f ca="1"/>
        <v>45621</v>
      </c>
      <c r="R32" vm="90">
        <f ca="1"/>
        <v>11074.2</v>
      </c>
      <c r="T32" vm="718">
        <f ca="1"/>
        <v>45621</v>
      </c>
      <c r="U32" vm="91">
        <f ca="1"/>
        <v>1841.8589999999999</v>
      </c>
      <c r="W32" s="110">
        <v>45621</v>
      </c>
      <c r="X32" s="111">
        <v>24221.900390625</v>
      </c>
    </row>
    <row r="33" spans="2:24" x14ac:dyDescent="0.3">
      <c r="B33" vm="719">
        <f ca="1"/>
        <v>45628</v>
      </c>
      <c r="C33" vm="92">
        <f ca="1"/>
        <v>1311.55</v>
      </c>
      <c r="E33" vm="719">
        <f ca="1"/>
        <v>45628</v>
      </c>
      <c r="F33" vm="93">
        <f ca="1"/>
        <v>1597.85</v>
      </c>
      <c r="H33" vm="719">
        <f ca="1"/>
        <v>45628</v>
      </c>
      <c r="I33" vm="94">
        <f ca="1"/>
        <v>925.62369999999999</v>
      </c>
      <c r="K33" vm="719">
        <f ca="1"/>
        <v>45628</v>
      </c>
      <c r="L33" vm="95">
        <f ca="1"/>
        <v>3866.7</v>
      </c>
      <c r="N33" vm="719">
        <f ca="1"/>
        <v>45628</v>
      </c>
      <c r="O33" vm="96">
        <f ca="1"/>
        <v>1477.4</v>
      </c>
      <c r="Q33" vm="719">
        <f ca="1"/>
        <v>45628</v>
      </c>
      <c r="R33" vm="97">
        <f ca="1"/>
        <v>11317.95</v>
      </c>
      <c r="T33" vm="719">
        <f ca="1"/>
        <v>45628</v>
      </c>
      <c r="U33" vm="98">
        <f ca="1"/>
        <v>1916.259</v>
      </c>
      <c r="W33" s="110">
        <v>45628</v>
      </c>
      <c r="X33" s="111">
        <v>24276.05078125</v>
      </c>
    </row>
    <row r="34" spans="2:24" x14ac:dyDescent="0.3">
      <c r="B34" vm="720">
        <f ca="1"/>
        <v>45635</v>
      </c>
      <c r="C34" vm="99">
        <f ca="1"/>
        <v>1272.8499999999999</v>
      </c>
      <c r="E34" vm="720">
        <f ca="1"/>
        <v>45635</v>
      </c>
      <c r="F34" vm="100">
        <f ca="1"/>
        <v>1681.75</v>
      </c>
      <c r="H34" vm="720">
        <f ca="1"/>
        <v>45635</v>
      </c>
      <c r="I34" vm="101">
        <f ca="1"/>
        <v>933.55399999999997</v>
      </c>
      <c r="K34" vm="720">
        <f ca="1"/>
        <v>45635</v>
      </c>
      <c r="L34" vm="102">
        <f ca="1"/>
        <v>3887</v>
      </c>
      <c r="N34" vm="720">
        <f ca="1"/>
        <v>45635</v>
      </c>
      <c r="O34" vm="103">
        <f ca="1"/>
        <v>1447.3</v>
      </c>
      <c r="Q34" vm="720">
        <f ca="1"/>
        <v>45635</v>
      </c>
      <c r="R34" vm="104">
        <f ca="1"/>
        <v>11272.55</v>
      </c>
      <c r="T34" vm="720">
        <f ca="1"/>
        <v>45635</v>
      </c>
      <c r="U34" vm="105">
        <f ca="1"/>
        <v>1962.2045000000001</v>
      </c>
      <c r="W34" s="110">
        <v>45635</v>
      </c>
      <c r="X34" s="111">
        <v>24619</v>
      </c>
    </row>
    <row r="35" spans="2:24" x14ac:dyDescent="0.3">
      <c r="B35" vm="721">
        <f ca="1"/>
        <v>45642</v>
      </c>
      <c r="C35" vm="106">
        <f ca="1"/>
        <v>1205.3</v>
      </c>
      <c r="E35" vm="721">
        <f ca="1"/>
        <v>45642</v>
      </c>
      <c r="F35" vm="107">
        <f ca="1"/>
        <v>1578.1</v>
      </c>
      <c r="H35" vm="721">
        <f ca="1"/>
        <v>45642</v>
      </c>
      <c r="I35" vm="108">
        <f ca="1"/>
        <v>883.55330000000004</v>
      </c>
      <c r="K35" vm="721">
        <f ca="1"/>
        <v>45642</v>
      </c>
      <c r="L35" vm="109">
        <f ca="1"/>
        <v>3629.85</v>
      </c>
      <c r="N35" vm="721">
        <f ca="1"/>
        <v>45642</v>
      </c>
      <c r="O35" vm="110">
        <f ca="1"/>
        <v>1472.05</v>
      </c>
      <c r="Q35" vm="721">
        <f ca="1"/>
        <v>45642</v>
      </c>
      <c r="R35" vm="111">
        <f ca="1"/>
        <v>10901.05</v>
      </c>
      <c r="T35" vm="721">
        <f ca="1"/>
        <v>45642</v>
      </c>
      <c r="U35" vm="112">
        <f ca="1"/>
        <v>1904.9469999999999</v>
      </c>
      <c r="W35" s="110">
        <v>45642</v>
      </c>
      <c r="X35" s="111">
        <v>24668.25</v>
      </c>
    </row>
    <row r="36" spans="2:24" x14ac:dyDescent="0.3">
      <c r="B36" vm="722">
        <f ca="1"/>
        <v>45649</v>
      </c>
      <c r="C36" vm="113">
        <f ca="1"/>
        <v>1221.05</v>
      </c>
      <c r="E36" vm="722">
        <f ca="1"/>
        <v>45649</v>
      </c>
      <c r="F36" vm="114">
        <f ca="1"/>
        <v>1599.85</v>
      </c>
      <c r="H36" vm="722">
        <f ca="1"/>
        <v>45649</v>
      </c>
      <c r="I36" vm="115">
        <f ca="1"/>
        <v>896.89520000000005</v>
      </c>
      <c r="K36" vm="722">
        <f ca="1"/>
        <v>45649</v>
      </c>
      <c r="L36" vm="116">
        <f ca="1"/>
        <v>3608.1</v>
      </c>
      <c r="N36" vm="722">
        <f ca="1"/>
        <v>45649</v>
      </c>
      <c r="O36" vm="117">
        <f ca="1"/>
        <v>1506.6</v>
      </c>
      <c r="Q36" vm="722">
        <f ca="1"/>
        <v>45649</v>
      </c>
      <c r="R36" vm="118">
        <f ca="1"/>
        <v>10941.05</v>
      </c>
      <c r="T36" vm="722">
        <f ca="1"/>
        <v>45649</v>
      </c>
      <c r="U36" vm="119">
        <f ca="1"/>
        <v>1885.6618000000001</v>
      </c>
      <c r="W36" s="110">
        <v>45649</v>
      </c>
      <c r="X36" s="111">
        <v>23753.44921875</v>
      </c>
    </row>
    <row r="37" spans="2:24" x14ac:dyDescent="0.3">
      <c r="B37" vm="723">
        <f ca="1"/>
        <v>45656</v>
      </c>
      <c r="C37" vm="120">
        <f ca="1"/>
        <v>1251.1500000000001</v>
      </c>
      <c r="E37" vm="723">
        <f ca="1"/>
        <v>45656</v>
      </c>
      <c r="F37" vm="121">
        <f ca="1"/>
        <v>1598.85</v>
      </c>
      <c r="H37" vm="723">
        <f ca="1"/>
        <v>45656</v>
      </c>
      <c r="I37" vm="122">
        <f ca="1"/>
        <v>872.43100000000004</v>
      </c>
      <c r="K37" vm="723">
        <f ca="1"/>
        <v>45656</v>
      </c>
      <c r="L37" vm="123">
        <f ca="1"/>
        <v>3659.9</v>
      </c>
      <c r="N37" vm="723">
        <f ca="1"/>
        <v>45656</v>
      </c>
      <c r="O37" vm="124">
        <f ca="1"/>
        <v>1511.25</v>
      </c>
      <c r="Q37" vm="723">
        <f ca="1"/>
        <v>45656</v>
      </c>
      <c r="R37" vm="125">
        <f ca="1"/>
        <v>11934.25</v>
      </c>
      <c r="T37" vm="723">
        <f ca="1"/>
        <v>45656</v>
      </c>
      <c r="U37" vm="126">
        <f ca="1"/>
        <v>1940.1287</v>
      </c>
      <c r="W37" s="110">
        <v>45656</v>
      </c>
      <c r="X37" s="111">
        <v>23644.900390625</v>
      </c>
    </row>
    <row r="38" spans="2:24" x14ac:dyDescent="0.3">
      <c r="B38" vm="724">
        <f ca="1"/>
        <v>45663</v>
      </c>
      <c r="C38" vm="127">
        <f ca="1"/>
        <v>1241.9000000000001</v>
      </c>
      <c r="E38" vm="724">
        <f ca="1"/>
        <v>45663</v>
      </c>
      <c r="F38" vm="128">
        <f ca="1"/>
        <v>1615.9</v>
      </c>
      <c r="H38" vm="724">
        <f ca="1"/>
        <v>45663</v>
      </c>
      <c r="I38" vm="129">
        <f ca="1"/>
        <v>826.32060000000001</v>
      </c>
      <c r="K38" vm="724">
        <f ca="1"/>
        <v>45663</v>
      </c>
      <c r="L38" vm="130">
        <f ca="1"/>
        <v>3536.15</v>
      </c>
      <c r="N38" vm="724">
        <f ca="1"/>
        <v>45663</v>
      </c>
      <c r="O38" vm="131">
        <f ca="1"/>
        <v>1468.8</v>
      </c>
      <c r="Q38" vm="724">
        <f ca="1"/>
        <v>45663</v>
      </c>
      <c r="R38" vm="132">
        <f ca="1"/>
        <v>11631.1</v>
      </c>
      <c r="T38" vm="724">
        <f ca="1"/>
        <v>45663</v>
      </c>
      <c r="U38" vm="133">
        <f ca="1"/>
        <v>1988.4164000000001</v>
      </c>
      <c r="W38" s="110">
        <v>45663</v>
      </c>
      <c r="X38" s="111">
        <v>23616.05078125</v>
      </c>
    </row>
    <row r="39" spans="2:24" x14ac:dyDescent="0.3">
      <c r="B39" vm="725">
        <f ca="1"/>
        <v>45670</v>
      </c>
      <c r="C39" vm="134">
        <f ca="1"/>
        <v>1302.3499999999999</v>
      </c>
      <c r="E39" vm="725">
        <f ca="1"/>
        <v>45670</v>
      </c>
      <c r="F39" vm="135">
        <f ca="1"/>
        <v>1627.5</v>
      </c>
      <c r="H39" vm="725">
        <f ca="1"/>
        <v>45670</v>
      </c>
      <c r="I39" vm="136">
        <f ca="1"/>
        <v>816.34540000000004</v>
      </c>
      <c r="K39" vm="725">
        <f ca="1"/>
        <v>45670</v>
      </c>
      <c r="L39" vm="137">
        <f ca="1"/>
        <v>3568.65</v>
      </c>
      <c r="N39" vm="725">
        <f ca="1"/>
        <v>45670</v>
      </c>
      <c r="O39" vm="138">
        <f ca="1"/>
        <v>1442.3</v>
      </c>
      <c r="Q39" vm="725">
        <f ca="1"/>
        <v>45670</v>
      </c>
      <c r="R39" vm="139">
        <f ca="1"/>
        <v>12136.35</v>
      </c>
      <c r="T39" vm="725">
        <f ca="1"/>
        <v>45670</v>
      </c>
      <c r="U39" vm="140">
        <f ca="1"/>
        <v>1788.9</v>
      </c>
      <c r="W39" s="110">
        <v>45670</v>
      </c>
      <c r="X39" s="111">
        <v>23085.94921875</v>
      </c>
    </row>
    <row r="40" spans="2:24" x14ac:dyDescent="0.3">
      <c r="B40" vm="726">
        <f ca="1"/>
        <v>45677</v>
      </c>
      <c r="C40" vm="141">
        <f ca="1"/>
        <v>1246.3</v>
      </c>
      <c r="E40" vm="726">
        <f ca="1"/>
        <v>45677</v>
      </c>
      <c r="F40" vm="142">
        <f ca="1"/>
        <v>1644.8</v>
      </c>
      <c r="H40" vm="726">
        <f ca="1"/>
        <v>45677</v>
      </c>
      <c r="I40" vm="143">
        <f ca="1"/>
        <v>822.85419999999999</v>
      </c>
      <c r="K40" vm="726">
        <f ca="1"/>
        <v>45677</v>
      </c>
      <c r="L40" vm="144">
        <f ca="1"/>
        <v>3458.2</v>
      </c>
      <c r="N40" vm="726">
        <f ca="1"/>
        <v>45677</v>
      </c>
      <c r="O40" vm="145">
        <f ca="1"/>
        <v>1411.4</v>
      </c>
      <c r="Q40" vm="726">
        <f ca="1"/>
        <v>45677</v>
      </c>
      <c r="R40" vm="146">
        <f ca="1"/>
        <v>11967.9</v>
      </c>
      <c r="T40" vm="726">
        <f ca="1"/>
        <v>45677</v>
      </c>
      <c r="U40" vm="147">
        <f ca="1"/>
        <v>1792.85</v>
      </c>
      <c r="W40" s="110">
        <v>45677</v>
      </c>
      <c r="X40" s="111">
        <v>23344.75</v>
      </c>
    </row>
    <row r="41" spans="2:24" x14ac:dyDescent="0.3">
      <c r="B41" vm="727">
        <f ca="1"/>
        <v>45684</v>
      </c>
      <c r="C41" vm="148">
        <f ca="1"/>
        <v>1264.5999999999999</v>
      </c>
      <c r="E41" vm="727">
        <f ca="1"/>
        <v>45684</v>
      </c>
      <c r="F41" vm="149">
        <f ca="1"/>
        <v>1623.25</v>
      </c>
      <c r="H41" vm="727">
        <f ca="1"/>
        <v>45684</v>
      </c>
      <c r="I41" vm="150">
        <f ca="1"/>
        <v>843.37819999999999</v>
      </c>
      <c r="K41" vm="727">
        <f ca="1"/>
        <v>45684</v>
      </c>
      <c r="L41" vm="151">
        <f ca="1"/>
        <v>3447.5</v>
      </c>
      <c r="N41" vm="727">
        <f ca="1"/>
        <v>45684</v>
      </c>
      <c r="O41" vm="152">
        <f ca="1"/>
        <v>1439.5</v>
      </c>
      <c r="Q41" vm="727">
        <f ca="1"/>
        <v>45684</v>
      </c>
      <c r="R41" vm="153">
        <f ca="1"/>
        <v>12916.5</v>
      </c>
      <c r="T41" vm="727">
        <f ca="1"/>
        <v>45684</v>
      </c>
      <c r="U41" vm="154">
        <f ca="1"/>
        <v>1694</v>
      </c>
      <c r="W41" s="110">
        <v>45684</v>
      </c>
      <c r="X41" s="111">
        <v>22829.150390625</v>
      </c>
    </row>
    <row r="42" spans="2:24" x14ac:dyDescent="0.3">
      <c r="B42" vm="728">
        <f ca="1"/>
        <v>45691</v>
      </c>
      <c r="C42" vm="155">
        <f ca="1"/>
        <v>1266.7</v>
      </c>
      <c r="E42" vm="728">
        <f ca="1"/>
        <v>45691</v>
      </c>
      <c r="F42" vm="156">
        <f ca="1"/>
        <v>1676.75</v>
      </c>
      <c r="H42" vm="728">
        <f ca="1"/>
        <v>45691</v>
      </c>
      <c r="I42" vm="157">
        <f ca="1"/>
        <v>864.22640000000001</v>
      </c>
      <c r="K42" vm="728">
        <f ca="1"/>
        <v>45691</v>
      </c>
      <c r="L42" vm="158">
        <f ca="1"/>
        <v>3336.9</v>
      </c>
      <c r="N42" vm="728">
        <f ca="1"/>
        <v>45691</v>
      </c>
      <c r="O42" vm="159">
        <f ca="1"/>
        <v>1472.25</v>
      </c>
      <c r="Q42" vm="728">
        <f ca="1"/>
        <v>45691</v>
      </c>
      <c r="R42" vm="160">
        <f ca="1"/>
        <v>13049.5</v>
      </c>
      <c r="T42" vm="728">
        <f ca="1"/>
        <v>45691</v>
      </c>
      <c r="U42" vm="161">
        <f ca="1"/>
        <v>1725.65</v>
      </c>
      <c r="W42" s="110">
        <v>45691</v>
      </c>
      <c r="X42" s="111">
        <v>23361.05078125</v>
      </c>
    </row>
    <row r="43" spans="2:24" x14ac:dyDescent="0.3">
      <c r="B43" vm="729">
        <f ca="1"/>
        <v>45698</v>
      </c>
      <c r="C43" vm="162">
        <f ca="1"/>
        <v>1217.25</v>
      </c>
      <c r="E43" vm="729">
        <f ca="1"/>
        <v>45698</v>
      </c>
      <c r="F43" vm="163">
        <f ca="1"/>
        <v>1717.05</v>
      </c>
      <c r="H43" vm="729">
        <f ca="1"/>
        <v>45698</v>
      </c>
      <c r="I43" vm="164">
        <f ca="1"/>
        <v>845.32339999999999</v>
      </c>
      <c r="K43" vm="729">
        <f ca="1"/>
        <v>45698</v>
      </c>
      <c r="L43" vm="165">
        <f ca="1"/>
        <v>3237.65</v>
      </c>
      <c r="N43" vm="729">
        <f ca="1"/>
        <v>45698</v>
      </c>
      <c r="O43" vm="166">
        <f ca="1"/>
        <v>1459.45</v>
      </c>
      <c r="Q43" vm="729">
        <f ca="1"/>
        <v>45698</v>
      </c>
      <c r="R43" vm="167">
        <f ca="1"/>
        <v>12680.25</v>
      </c>
      <c r="T43" vm="729">
        <f ca="1"/>
        <v>45698</v>
      </c>
      <c r="U43" vm="168">
        <f ca="1"/>
        <v>1711.25</v>
      </c>
      <c r="W43" s="110">
        <v>45698</v>
      </c>
      <c r="X43" s="111">
        <v>23381.599609375</v>
      </c>
    </row>
    <row r="44" spans="2:24" x14ac:dyDescent="0.3">
      <c r="B44" vm="730">
        <f ca="1"/>
        <v>45705</v>
      </c>
      <c r="C44" vm="169">
        <f ca="1"/>
        <v>1228.1500000000001</v>
      </c>
      <c r="E44" vm="730">
        <f ca="1"/>
        <v>45705</v>
      </c>
      <c r="F44" vm="170">
        <f ca="1"/>
        <v>1639.25</v>
      </c>
      <c r="H44" vm="730">
        <f ca="1"/>
        <v>45705</v>
      </c>
      <c r="I44" vm="171">
        <f ca="1"/>
        <v>844.15129999999999</v>
      </c>
      <c r="K44" vm="730">
        <f ca="1"/>
        <v>45705</v>
      </c>
      <c r="L44" vm="172">
        <f ca="1"/>
        <v>3315.1</v>
      </c>
      <c r="N44" vm="730">
        <f ca="1"/>
        <v>45705</v>
      </c>
      <c r="O44" vm="173">
        <f ca="1"/>
        <v>1475.75</v>
      </c>
      <c r="Q44" vm="730">
        <f ca="1"/>
        <v>45705</v>
      </c>
      <c r="R44" vm="174">
        <f ca="1"/>
        <v>12323.45</v>
      </c>
      <c r="T44" vm="730">
        <f ca="1"/>
        <v>45705</v>
      </c>
      <c r="U44" vm="175">
        <f ca="1"/>
        <v>1700.7</v>
      </c>
      <c r="W44" s="110">
        <v>45705</v>
      </c>
      <c r="X44" s="111">
        <v>22959.5</v>
      </c>
    </row>
    <row r="45" spans="2:24" x14ac:dyDescent="0.3">
      <c r="B45" vm="731">
        <f ca="1"/>
        <v>45712</v>
      </c>
      <c r="C45" vm="176">
        <f ca="1"/>
        <v>1200.0999999999999</v>
      </c>
      <c r="E45" vm="731">
        <f ca="1"/>
        <v>45712</v>
      </c>
      <c r="F45" vm="177">
        <f ca="1"/>
        <v>1570.2</v>
      </c>
      <c r="H45" vm="731">
        <f ca="1"/>
        <v>45712</v>
      </c>
      <c r="I45" vm="178">
        <f ca="1"/>
        <v>864.05179999999996</v>
      </c>
      <c r="K45" vm="731">
        <f ca="1"/>
        <v>45712</v>
      </c>
      <c r="L45" vm="179">
        <f ca="1"/>
        <v>3163.85</v>
      </c>
      <c r="N45" vm="731">
        <f ca="1"/>
        <v>45712</v>
      </c>
      <c r="O45" vm="180">
        <f ca="1"/>
        <v>1407.5</v>
      </c>
      <c r="Q45" vm="731">
        <f ca="1"/>
        <v>45712</v>
      </c>
      <c r="R45" vm="181">
        <f ca="1"/>
        <v>11945.85</v>
      </c>
      <c r="T45" vm="731">
        <f ca="1"/>
        <v>45712</v>
      </c>
      <c r="U45" vm="182">
        <f ca="1"/>
        <v>1575.05</v>
      </c>
      <c r="W45" s="110">
        <v>45712</v>
      </c>
      <c r="X45" s="111">
        <v>22553.349609375</v>
      </c>
    </row>
    <row r="46" spans="2:24" x14ac:dyDescent="0.3">
      <c r="B46" vm="732">
        <f ca="1"/>
        <v>45719</v>
      </c>
      <c r="C46" vm="183">
        <f ca="1"/>
        <v>1249.8</v>
      </c>
      <c r="E46" vm="732">
        <f ca="1"/>
        <v>45719</v>
      </c>
      <c r="F46" vm="184">
        <f ca="1"/>
        <v>1630.7</v>
      </c>
      <c r="H46" vm="732">
        <f ca="1"/>
        <v>45719</v>
      </c>
      <c r="I46" vm="185">
        <f ca="1"/>
        <v>842.53030000000001</v>
      </c>
      <c r="K46" vm="732">
        <f ca="1"/>
        <v>45719</v>
      </c>
      <c r="L46" vm="186">
        <f ca="1"/>
        <v>3244.7</v>
      </c>
      <c r="N46" vm="732">
        <f ca="1"/>
        <v>45719</v>
      </c>
      <c r="O46" vm="187">
        <f ca="1"/>
        <v>1458.45</v>
      </c>
      <c r="Q46" vm="732">
        <f ca="1"/>
        <v>45719</v>
      </c>
      <c r="R46" vm="188">
        <f ca="1"/>
        <v>11664.15</v>
      </c>
      <c r="T46" vm="732">
        <f ca="1"/>
        <v>45719</v>
      </c>
      <c r="U46" vm="189">
        <f ca="1"/>
        <v>1557.95</v>
      </c>
      <c r="W46" s="110">
        <v>45719</v>
      </c>
      <c r="X46" s="111">
        <v>22119.30078125</v>
      </c>
    </row>
    <row r="47" spans="2:24" x14ac:dyDescent="0.3">
      <c r="B47" vm="733">
        <f ca="1"/>
        <v>45726</v>
      </c>
      <c r="C47" vm="190">
        <f ca="1"/>
        <v>1247.9000000000001</v>
      </c>
      <c r="E47" vm="733">
        <f ca="1"/>
        <v>45726</v>
      </c>
      <c r="F47" vm="191">
        <f ca="1"/>
        <v>1632.5</v>
      </c>
      <c r="H47" vm="733">
        <f ca="1"/>
        <v>45726</v>
      </c>
      <c r="I47" vm="192">
        <f ca="1"/>
        <v>851.18380000000002</v>
      </c>
      <c r="K47" vm="733">
        <f ca="1"/>
        <v>45726</v>
      </c>
      <c r="L47" vm="193">
        <f ca="1"/>
        <v>3187.3</v>
      </c>
      <c r="N47" vm="733">
        <f ca="1"/>
        <v>45726</v>
      </c>
      <c r="O47" vm="194">
        <f ca="1"/>
        <v>1461.9</v>
      </c>
      <c r="Q47" vm="733">
        <f ca="1"/>
        <v>45726</v>
      </c>
      <c r="R47" vm="195">
        <f ca="1"/>
        <v>11513.8</v>
      </c>
      <c r="T47" vm="733">
        <f ca="1"/>
        <v>45726</v>
      </c>
      <c r="U47" vm="196">
        <f ca="1"/>
        <v>1534.75</v>
      </c>
      <c r="W47" s="110">
        <v>45726</v>
      </c>
      <c r="X47" s="111">
        <v>22460.30078125</v>
      </c>
    </row>
    <row r="48" spans="2:24" x14ac:dyDescent="0.3">
      <c r="B48" vm="734">
        <f ca="1"/>
        <v>45733</v>
      </c>
      <c r="C48" vm="197">
        <f ca="1"/>
        <v>1276.3499999999999</v>
      </c>
      <c r="E48" vm="734">
        <f ca="1"/>
        <v>45733</v>
      </c>
      <c r="F48" vm="198">
        <f ca="1"/>
        <v>1725.8</v>
      </c>
      <c r="H48" vm="734">
        <f ca="1"/>
        <v>45733</v>
      </c>
      <c r="I48" vm="199">
        <f ca="1"/>
        <v>882.97979999999995</v>
      </c>
      <c r="K48" vm="734">
        <f ca="1"/>
        <v>45733</v>
      </c>
      <c r="L48" vm="200">
        <f ca="1"/>
        <v>3415.95</v>
      </c>
      <c r="N48" vm="734">
        <f ca="1"/>
        <v>45733</v>
      </c>
      <c r="O48" vm="201">
        <f ca="1"/>
        <v>1523.85</v>
      </c>
      <c r="Q48" vm="734">
        <f ca="1"/>
        <v>45733</v>
      </c>
      <c r="R48" vm="202">
        <f ca="1"/>
        <v>11732.8</v>
      </c>
      <c r="T48" vm="734">
        <f ca="1"/>
        <v>45733</v>
      </c>
      <c r="U48" vm="203">
        <f ca="1"/>
        <v>1566.7</v>
      </c>
      <c r="W48" s="110">
        <v>45733</v>
      </c>
      <c r="X48" s="111">
        <v>22508.75</v>
      </c>
    </row>
    <row r="49" spans="2:24" x14ac:dyDescent="0.3">
      <c r="B49" vm="735">
        <f ca="1"/>
        <v>45740</v>
      </c>
      <c r="C49" vm="204">
        <f ca="1"/>
        <v>1275.0999999999999</v>
      </c>
      <c r="E49" vm="735">
        <f ca="1"/>
        <v>45740</v>
      </c>
      <c r="F49" vm="205">
        <f ca="1"/>
        <v>1733.4</v>
      </c>
      <c r="H49" vm="735">
        <f ca="1"/>
        <v>45740</v>
      </c>
      <c r="I49" vm="206">
        <f ca="1"/>
        <v>911.83299999999997</v>
      </c>
      <c r="K49" vm="735">
        <f ca="1"/>
        <v>45740</v>
      </c>
      <c r="L49" vm="207">
        <f ca="1"/>
        <v>3492.3</v>
      </c>
      <c r="N49" vm="735">
        <f ca="1"/>
        <v>45740</v>
      </c>
      <c r="O49" vm="208">
        <f ca="1"/>
        <v>1442.2</v>
      </c>
      <c r="Q49" vm="735">
        <f ca="1"/>
        <v>45740</v>
      </c>
      <c r="R49" vm="209">
        <f ca="1"/>
        <v>11522.15</v>
      </c>
      <c r="T49" vm="735">
        <f ca="1"/>
        <v>45740</v>
      </c>
      <c r="U49" vm="210">
        <f ca="1"/>
        <v>1592.5</v>
      </c>
      <c r="W49" s="110">
        <v>45740</v>
      </c>
      <c r="X49" s="111">
        <v>23658.349609375</v>
      </c>
    </row>
    <row r="50" spans="2:24" x14ac:dyDescent="0.3">
      <c r="B50" vm="736">
        <f ca="1"/>
        <v>45748</v>
      </c>
      <c r="C50" vm="737">
        <f ca="1"/>
        <v>1204.7</v>
      </c>
      <c r="E50" vm="736">
        <f ca="1"/>
        <v>45748</v>
      </c>
      <c r="F50" vm="738">
        <f ca="1"/>
        <v>1743.45</v>
      </c>
      <c r="H50" vm="736">
        <f ca="1"/>
        <v>45748</v>
      </c>
      <c r="I50" vm="739">
        <f ca="1"/>
        <v>906.39649999999995</v>
      </c>
      <c r="K50" vm="736">
        <f ca="1"/>
        <v>45748</v>
      </c>
      <c r="L50" vm="740">
        <f ca="1"/>
        <v>3260.15</v>
      </c>
      <c r="N50" vm="736">
        <f ca="1"/>
        <v>45748</v>
      </c>
      <c r="O50" vm="741">
        <f ca="1"/>
        <v>1415.25</v>
      </c>
      <c r="Q50" vm="736">
        <f ca="1"/>
        <v>45748</v>
      </c>
      <c r="R50" vm="742">
        <f ca="1"/>
        <v>11482</v>
      </c>
      <c r="T50" vm="736">
        <f ca="1"/>
        <v>45748</v>
      </c>
      <c r="U50" vm="743">
        <f ca="1"/>
        <v>1422.1</v>
      </c>
      <c r="W50" s="110">
        <v>45747</v>
      </c>
      <c r="X50" s="111">
        <v>23165.69921875</v>
      </c>
    </row>
    <row r="51" spans="2:24" x14ac:dyDescent="0.3">
      <c r="B51" vm="744">
        <f ca="1"/>
        <v>45754</v>
      </c>
      <c r="C51" vm="211">
        <f ca="1"/>
        <v>1218.95</v>
      </c>
      <c r="E51" vm="744">
        <f ca="1"/>
        <v>45754</v>
      </c>
      <c r="F51" vm="212">
        <f ca="1"/>
        <v>1756.6</v>
      </c>
      <c r="H51" vm="744">
        <f ca="1"/>
        <v>45754</v>
      </c>
      <c r="I51" vm="213">
        <f ca="1"/>
        <v>901.13459999999998</v>
      </c>
      <c r="K51" vm="744">
        <f ca="1"/>
        <v>45754</v>
      </c>
      <c r="L51" vm="214">
        <f ca="1"/>
        <v>3115.95</v>
      </c>
      <c r="N51" vm="744">
        <f ca="1"/>
        <v>45754</v>
      </c>
      <c r="O51" vm="215">
        <f ca="1"/>
        <v>1463.05</v>
      </c>
      <c r="Q51" vm="744">
        <f ca="1"/>
        <v>45754</v>
      </c>
      <c r="R51" vm="216">
        <f ca="1"/>
        <v>11599.05</v>
      </c>
      <c r="T51" vm="744">
        <f ca="1"/>
        <v>45754</v>
      </c>
      <c r="U51" vm="217">
        <f ca="1"/>
        <v>1390.55</v>
      </c>
      <c r="W51" s="110">
        <v>45754</v>
      </c>
      <c r="X51" s="111">
        <v>22161.599609375</v>
      </c>
    </row>
    <row r="52" spans="2:24" x14ac:dyDescent="0.3">
      <c r="B52" vm="745">
        <f ca="1"/>
        <v>45762</v>
      </c>
      <c r="C52" vm="746">
        <f ca="1"/>
        <v>1274.5</v>
      </c>
      <c r="E52" vm="745">
        <f ca="1"/>
        <v>45762</v>
      </c>
      <c r="F52" vm="747">
        <f ca="1"/>
        <v>1889.1</v>
      </c>
      <c r="H52" vm="745">
        <f ca="1"/>
        <v>45762</v>
      </c>
      <c r="I52" vm="748">
        <f ca="1"/>
        <v>950.98569999999995</v>
      </c>
      <c r="K52" vm="745">
        <f ca="1"/>
        <v>45762</v>
      </c>
      <c r="L52" vm="749">
        <f ca="1"/>
        <v>3247.3</v>
      </c>
      <c r="N52" vm="745">
        <f ca="1"/>
        <v>45762</v>
      </c>
      <c r="O52" vm="750">
        <f ca="1"/>
        <v>1515.2</v>
      </c>
      <c r="Q52" vm="745">
        <f ca="1"/>
        <v>45762</v>
      </c>
      <c r="R52" vm="751">
        <f ca="1"/>
        <v>11695</v>
      </c>
      <c r="T52" vm="745">
        <f ca="1"/>
        <v>45762</v>
      </c>
      <c r="U52" vm="752">
        <f ca="1"/>
        <v>1438</v>
      </c>
      <c r="W52" s="110">
        <v>45761</v>
      </c>
      <c r="X52" s="111">
        <v>23328.55078125</v>
      </c>
    </row>
    <row r="53" spans="2:24" x14ac:dyDescent="0.3">
      <c r="B53" vm="753">
        <f ca="1"/>
        <v>45768</v>
      </c>
      <c r="C53" vm="218">
        <f ca="1"/>
        <v>1300.4000000000001</v>
      </c>
      <c r="E53" vm="753">
        <f ca="1"/>
        <v>45768</v>
      </c>
      <c r="F53" vm="219">
        <f ca="1"/>
        <v>1817.2</v>
      </c>
      <c r="H53" vm="753">
        <f ca="1"/>
        <v>45768</v>
      </c>
      <c r="I53" vm="220">
        <f ca="1"/>
        <v>953.23009999999999</v>
      </c>
      <c r="K53" vm="753">
        <f ca="1"/>
        <v>45768</v>
      </c>
      <c r="L53" vm="221">
        <f ca="1"/>
        <v>3272.1</v>
      </c>
      <c r="N53" vm="753">
        <f ca="1"/>
        <v>45768</v>
      </c>
      <c r="O53" vm="222">
        <f ca="1"/>
        <v>1525.9</v>
      </c>
      <c r="Q53" vm="753">
        <f ca="1"/>
        <v>45768</v>
      </c>
      <c r="R53" vm="223">
        <f ca="1"/>
        <v>11698</v>
      </c>
      <c r="T53" vm="753">
        <f ca="1"/>
        <v>45768</v>
      </c>
      <c r="U53" vm="224">
        <f ca="1"/>
        <v>1578.2</v>
      </c>
      <c r="W53" s="110">
        <v>45768</v>
      </c>
      <c r="X53" s="111">
        <v>24125.55078125</v>
      </c>
    </row>
    <row r="54" spans="2:24" x14ac:dyDescent="0.3">
      <c r="B54" vm="754">
        <f ca="1"/>
        <v>45775</v>
      </c>
      <c r="C54" vm="225">
        <f ca="1"/>
        <v>1422.4</v>
      </c>
      <c r="E54" vm="754">
        <f ca="1"/>
        <v>45775</v>
      </c>
      <c r="F54" vm="226">
        <f ca="1"/>
        <v>1851.9</v>
      </c>
      <c r="H54" vm="754">
        <f ca="1"/>
        <v>45775</v>
      </c>
      <c r="I54" vm="227">
        <f ca="1"/>
        <v>960.11300000000006</v>
      </c>
      <c r="K54" vm="754">
        <f ca="1"/>
        <v>45775</v>
      </c>
      <c r="L54" vm="228">
        <f ca="1"/>
        <v>3329.8</v>
      </c>
      <c r="N54" vm="754">
        <f ca="1"/>
        <v>45775</v>
      </c>
      <c r="O54" vm="229">
        <f ca="1"/>
        <v>1525.6</v>
      </c>
      <c r="Q54" vm="754">
        <f ca="1"/>
        <v>45775</v>
      </c>
      <c r="R54" vm="230">
        <f ca="1"/>
        <v>12406</v>
      </c>
      <c r="T54" vm="754">
        <f ca="1"/>
        <v>45775</v>
      </c>
      <c r="U54" vm="231">
        <f ca="1"/>
        <v>1576.5</v>
      </c>
      <c r="W54" s="110">
        <v>45775</v>
      </c>
      <c r="X54" s="111">
        <v>24328.5</v>
      </c>
    </row>
    <row r="55" spans="2:24" x14ac:dyDescent="0.3">
      <c r="B55" vm="755">
        <f ca="1"/>
        <v>45782</v>
      </c>
      <c r="C55" vm="232">
        <f ca="1"/>
        <v>1377.2</v>
      </c>
      <c r="E55" vm="755">
        <f ca="1"/>
        <v>45782</v>
      </c>
      <c r="F55" vm="233">
        <f ca="1"/>
        <v>1848.4</v>
      </c>
      <c r="H55" vm="755">
        <f ca="1"/>
        <v>45782</v>
      </c>
      <c r="I55" vm="234">
        <f ca="1"/>
        <v>942.5068</v>
      </c>
      <c r="K55" vm="755">
        <f ca="1"/>
        <v>45782</v>
      </c>
      <c r="L55" vm="235">
        <f ca="1"/>
        <v>3443.9</v>
      </c>
      <c r="N55" vm="755">
        <f ca="1"/>
        <v>45782</v>
      </c>
      <c r="O55" vm="236">
        <f ca="1"/>
        <v>1480</v>
      </c>
      <c r="Q55" vm="755">
        <f ca="1"/>
        <v>45782</v>
      </c>
      <c r="R55" vm="237">
        <f ca="1"/>
        <v>12250</v>
      </c>
      <c r="T55" vm="755">
        <f ca="1"/>
        <v>45782</v>
      </c>
      <c r="U55" vm="238">
        <f ca="1"/>
        <v>1569.4</v>
      </c>
      <c r="W55" s="110">
        <v>45782</v>
      </c>
      <c r="X55" s="111">
        <v>24461.150390625</v>
      </c>
    </row>
    <row r="56" spans="2:24" x14ac:dyDescent="0.3">
      <c r="B56" vm="756">
        <f ca="1"/>
        <v>45789</v>
      </c>
      <c r="C56" vm="239">
        <f ca="1"/>
        <v>1456.4</v>
      </c>
      <c r="E56" vm="756">
        <f ca="1"/>
        <v>45789</v>
      </c>
      <c r="F56" vm="240">
        <f ca="1"/>
        <v>1814</v>
      </c>
      <c r="H56" vm="756">
        <f ca="1"/>
        <v>45789</v>
      </c>
      <c r="I56" vm="241">
        <f ca="1"/>
        <v>964.95100000000002</v>
      </c>
      <c r="K56" vm="756">
        <f ca="1"/>
        <v>45789</v>
      </c>
      <c r="L56" vm="242">
        <f ca="1"/>
        <v>3604.7</v>
      </c>
      <c r="N56" vm="756">
        <f ca="1"/>
        <v>45789</v>
      </c>
      <c r="O56" vm="243">
        <f ca="1"/>
        <v>1499.9</v>
      </c>
      <c r="Q56" vm="756">
        <f ca="1"/>
        <v>45789</v>
      </c>
      <c r="R56" vm="244">
        <f ca="1"/>
        <v>12995</v>
      </c>
      <c r="T56" vm="756">
        <f ca="1"/>
        <v>45789</v>
      </c>
      <c r="U56" vm="245">
        <f ca="1"/>
        <v>1659.9</v>
      </c>
      <c r="W56" s="110">
        <v>45789</v>
      </c>
      <c r="X56" s="111">
        <v>24924.69921875</v>
      </c>
    </row>
    <row r="57" spans="2:24" x14ac:dyDescent="0.3">
      <c r="B57" vm="757">
        <f ca="1"/>
        <v>45796</v>
      </c>
      <c r="C57" vm="246">
        <f ca="1"/>
        <v>1426.8</v>
      </c>
      <c r="E57" vm="757">
        <f ca="1"/>
        <v>45796</v>
      </c>
      <c r="F57" vm="247">
        <f ca="1"/>
        <v>1831.7</v>
      </c>
      <c r="H57" vm="757">
        <f ca="1"/>
        <v>45796</v>
      </c>
      <c r="I57" vm="248">
        <f ca="1"/>
        <v>964.40229999999997</v>
      </c>
      <c r="K57" vm="757">
        <f ca="1"/>
        <v>45796</v>
      </c>
      <c r="L57" vm="249">
        <f ca="1"/>
        <v>3599.9</v>
      </c>
      <c r="N57" vm="757">
        <f ca="1"/>
        <v>45796</v>
      </c>
      <c r="O57" vm="250">
        <f ca="1"/>
        <v>1484.2</v>
      </c>
      <c r="Q57" vm="757">
        <f ca="1"/>
        <v>45796</v>
      </c>
      <c r="R57" vm="251">
        <f ca="1"/>
        <v>12453</v>
      </c>
      <c r="T57" vm="757">
        <f ca="1"/>
        <v>45796</v>
      </c>
      <c r="U57" vm="252">
        <f ca="1"/>
        <v>1648.2</v>
      </c>
      <c r="W57" s="110">
        <v>45796</v>
      </c>
      <c r="X57" s="111">
        <v>24945.44921875</v>
      </c>
    </row>
    <row r="58" spans="2:24" x14ac:dyDescent="0.3">
      <c r="B58" vm="758">
        <f ca="1"/>
        <v>45803</v>
      </c>
      <c r="C58" vm="253">
        <f ca="1"/>
        <v>1420.9</v>
      </c>
      <c r="E58" vm="758">
        <f ca="1"/>
        <v>45803</v>
      </c>
      <c r="F58" vm="254">
        <f ca="1"/>
        <v>1856.2</v>
      </c>
      <c r="H58" vm="758">
        <f ca="1"/>
        <v>45803</v>
      </c>
      <c r="I58" vm="255">
        <f ca="1"/>
        <v>970.03830000000005</v>
      </c>
      <c r="K58" vm="758">
        <f ca="1"/>
        <v>45803</v>
      </c>
      <c r="L58" vm="256">
        <f ca="1"/>
        <v>3675.1</v>
      </c>
      <c r="N58" vm="758">
        <f ca="1"/>
        <v>45803</v>
      </c>
      <c r="O58" vm="257">
        <f ca="1"/>
        <v>1465.7</v>
      </c>
      <c r="Q58" vm="758">
        <f ca="1"/>
        <v>45803</v>
      </c>
      <c r="R58" vm="258">
        <f ca="1"/>
        <v>12319</v>
      </c>
      <c r="T58" vm="758">
        <f ca="1"/>
        <v>45803</v>
      </c>
      <c r="U58" vm="259">
        <f ca="1"/>
        <v>1636.6</v>
      </c>
      <c r="W58" s="110">
        <v>45803</v>
      </c>
      <c r="X58" s="111">
        <v>25001.150390625</v>
      </c>
    </row>
    <row r="59" spans="2:24" x14ac:dyDescent="0.3">
      <c r="B59" vm="759">
        <f ca="1"/>
        <v>45810</v>
      </c>
      <c r="C59" vm="260">
        <f ca="1"/>
        <v>1443.5</v>
      </c>
      <c r="E59" vm="759">
        <f ca="1"/>
        <v>45810</v>
      </c>
      <c r="F59" vm="261">
        <f ca="1"/>
        <v>1870.2</v>
      </c>
      <c r="H59" vm="759">
        <f ca="1"/>
        <v>45810</v>
      </c>
      <c r="I59" vm="262">
        <f ca="1"/>
        <v>986.89639999999997</v>
      </c>
      <c r="K59" vm="759">
        <f ca="1"/>
        <v>45810</v>
      </c>
      <c r="L59" vm="263">
        <f ca="1"/>
        <v>3656.3</v>
      </c>
      <c r="N59" vm="759">
        <f ca="1"/>
        <v>45810</v>
      </c>
      <c r="O59" vm="264">
        <f ca="1"/>
        <v>1504.2</v>
      </c>
      <c r="Q59" vm="759">
        <f ca="1"/>
        <v>45810</v>
      </c>
      <c r="R59" vm="265">
        <f ca="1"/>
        <v>12462</v>
      </c>
      <c r="T59" vm="759">
        <f ca="1"/>
        <v>45810</v>
      </c>
      <c r="U59" vm="266">
        <f ca="1"/>
        <v>1637.7</v>
      </c>
      <c r="W59" s="110">
        <v>45810</v>
      </c>
      <c r="X59" s="111">
        <v>24716.599609375</v>
      </c>
    </row>
    <row r="60" spans="2:24" x14ac:dyDescent="0.3">
      <c r="B60" vm="760">
        <f ca="1"/>
        <v>45817</v>
      </c>
      <c r="C60" vm="267">
        <f ca="1"/>
        <v>1427.9</v>
      </c>
      <c r="E60" vm="760">
        <f ca="1"/>
        <v>45817</v>
      </c>
      <c r="F60" vm="268">
        <f ca="1"/>
        <v>1840.4</v>
      </c>
      <c r="H60" vm="760">
        <f ca="1"/>
        <v>45817</v>
      </c>
      <c r="I60" vm="269">
        <f ca="1"/>
        <v>956.42219999999998</v>
      </c>
      <c r="K60" vm="760">
        <f ca="1"/>
        <v>45817</v>
      </c>
      <c r="L60" vm="270">
        <f ca="1"/>
        <v>3587.4</v>
      </c>
      <c r="N60" vm="760">
        <f ca="1"/>
        <v>45817</v>
      </c>
      <c r="O60" vm="271">
        <f ca="1"/>
        <v>1505.2</v>
      </c>
      <c r="Q60" vm="760">
        <f ca="1"/>
        <v>45817</v>
      </c>
      <c r="R60" vm="272">
        <f ca="1"/>
        <v>12408</v>
      </c>
      <c r="T60" vm="760">
        <f ca="1"/>
        <v>45817</v>
      </c>
      <c r="U60" vm="273">
        <f ca="1"/>
        <v>1695.3</v>
      </c>
      <c r="W60" s="110">
        <v>45817</v>
      </c>
      <c r="X60" s="111">
        <v>25103.19921875</v>
      </c>
    </row>
    <row r="61" spans="2:24" x14ac:dyDescent="0.3">
      <c r="B61" vm="761">
        <f ca="1"/>
        <v>45824</v>
      </c>
      <c r="C61" vm="274">
        <f ca="1"/>
        <v>1466.2</v>
      </c>
      <c r="E61" vm="761">
        <f ca="1"/>
        <v>45824</v>
      </c>
      <c r="F61" vm="275">
        <f ca="1"/>
        <v>1936.7</v>
      </c>
      <c r="H61" vm="761">
        <f ca="1"/>
        <v>45824</v>
      </c>
      <c r="I61" vm="276">
        <f ca="1"/>
        <v>979.91380000000004</v>
      </c>
      <c r="K61" vm="761">
        <f ca="1"/>
        <v>45824</v>
      </c>
      <c r="L61" vm="277">
        <f ca="1"/>
        <v>3662</v>
      </c>
      <c r="N61" vm="761">
        <f ca="1"/>
        <v>45824</v>
      </c>
      <c r="O61" vm="278">
        <f ca="1"/>
        <v>1499.7</v>
      </c>
      <c r="Q61" vm="761">
        <f ca="1"/>
        <v>45824</v>
      </c>
      <c r="R61" vm="279">
        <f ca="1"/>
        <v>12791</v>
      </c>
      <c r="T61" vm="761">
        <f ca="1"/>
        <v>45824</v>
      </c>
      <c r="U61" vm="280">
        <f ca="1"/>
        <v>1739.9</v>
      </c>
      <c r="W61" s="110">
        <v>45824</v>
      </c>
      <c r="X61" s="111">
        <v>24946.5</v>
      </c>
    </row>
    <row r="62" spans="2:24" x14ac:dyDescent="0.3">
      <c r="B62" vm="762">
        <f ca="1"/>
        <v>45831</v>
      </c>
      <c r="C62" vm="281">
        <f ca="1"/>
        <v>1515.4</v>
      </c>
      <c r="E62" vm="762">
        <f ca="1"/>
        <v>45831</v>
      </c>
      <c r="F62" vm="282">
        <f ca="1"/>
        <v>2027.1</v>
      </c>
      <c r="H62" vm="762">
        <f ca="1"/>
        <v>45831</v>
      </c>
      <c r="I62" vm="283">
        <f ca="1"/>
        <v>1004.9515</v>
      </c>
      <c r="K62" vm="762">
        <f ca="1"/>
        <v>45831</v>
      </c>
      <c r="L62" vm="284">
        <f ca="1"/>
        <v>3679.2</v>
      </c>
      <c r="N62" vm="762">
        <f ca="1"/>
        <v>45831</v>
      </c>
      <c r="O62" vm="285">
        <f ca="1"/>
        <v>1502.4</v>
      </c>
      <c r="Q62" vm="762">
        <f ca="1"/>
        <v>45831</v>
      </c>
      <c r="R62" vm="286">
        <f ca="1"/>
        <v>12642</v>
      </c>
      <c r="T62" vm="762">
        <f ca="1"/>
        <v>45831</v>
      </c>
      <c r="U62" vm="287">
        <f ca="1"/>
        <v>1723.3</v>
      </c>
      <c r="W62" s="110">
        <v>45831</v>
      </c>
      <c r="X62" s="111">
        <v>24971.900390625</v>
      </c>
    </row>
    <row r="63" spans="2:24" x14ac:dyDescent="0.3">
      <c r="B63" vm="763">
        <f ca="1"/>
        <v>45838</v>
      </c>
      <c r="C63" vm="288">
        <f ca="1"/>
        <v>1527.3</v>
      </c>
      <c r="E63" vm="763">
        <f ca="1"/>
        <v>45838</v>
      </c>
      <c r="F63" vm="289">
        <f ca="1"/>
        <v>2017.2</v>
      </c>
      <c r="H63" vm="763">
        <f ca="1"/>
        <v>45838</v>
      </c>
      <c r="I63" vm="290">
        <f ca="1"/>
        <v>992.18330000000003</v>
      </c>
      <c r="K63" vm="763">
        <f ca="1"/>
        <v>45838</v>
      </c>
      <c r="L63" vm="291">
        <f ca="1"/>
        <v>3594.6</v>
      </c>
      <c r="N63" vm="763">
        <f ca="1"/>
        <v>45838</v>
      </c>
      <c r="O63" vm="292">
        <f ca="1"/>
        <v>1513.3</v>
      </c>
      <c r="Q63" vm="763">
        <f ca="1"/>
        <v>45838</v>
      </c>
      <c r="R63" vm="293">
        <f ca="1"/>
        <v>12646</v>
      </c>
      <c r="T63" vm="763">
        <f ca="1"/>
        <v>45838</v>
      </c>
      <c r="U63" vm="294">
        <f ca="1"/>
        <v>1725.9</v>
      </c>
      <c r="W63" s="110">
        <v>45838</v>
      </c>
      <c r="X63" s="111">
        <v>25517.05078125</v>
      </c>
    </row>
    <row r="64" spans="2:24" x14ac:dyDescent="0.3">
      <c r="B64" vm="764">
        <f ca="1"/>
        <v>45845</v>
      </c>
      <c r="C64" vm="295">
        <f ca="1"/>
        <v>1495.2</v>
      </c>
      <c r="E64" vm="764">
        <f ca="1"/>
        <v>45845</v>
      </c>
      <c r="F64" vm="296">
        <f ca="1"/>
        <v>1921.9</v>
      </c>
      <c r="H64" vm="764">
        <f ca="1"/>
        <v>45845</v>
      </c>
      <c r="I64" vm="297">
        <f ca="1"/>
        <v>989.39020000000005</v>
      </c>
      <c r="K64" vm="764">
        <f ca="1"/>
        <v>45845</v>
      </c>
      <c r="L64" vm="298">
        <f ca="1"/>
        <v>3540.6</v>
      </c>
      <c r="N64" vm="764">
        <f ca="1"/>
        <v>45845</v>
      </c>
      <c r="O64" vm="299">
        <f ca="1"/>
        <v>1485</v>
      </c>
      <c r="Q64" vm="764">
        <f ca="1"/>
        <v>45845</v>
      </c>
      <c r="R64" vm="300">
        <f ca="1"/>
        <v>12574</v>
      </c>
      <c r="T64" vm="764">
        <f ca="1"/>
        <v>45845</v>
      </c>
      <c r="U64" vm="301">
        <f ca="1"/>
        <v>1638.3</v>
      </c>
      <c r="W64" s="110">
        <v>45845</v>
      </c>
      <c r="X64" s="111">
        <v>25461.30078125</v>
      </c>
    </row>
    <row r="65" spans="2:24" x14ac:dyDescent="0.3">
      <c r="B65" vm="765">
        <f ca="1"/>
        <v>45852</v>
      </c>
      <c r="C65" vm="302">
        <f ca="1"/>
        <v>1476</v>
      </c>
      <c r="E65" vm="765">
        <f ca="1"/>
        <v>45852</v>
      </c>
      <c r="F65" vm="303">
        <f ca="1"/>
        <v>1901</v>
      </c>
      <c r="H65" vm="765">
        <f ca="1"/>
        <v>45852</v>
      </c>
      <c r="I65" vm="304">
        <f ca="1"/>
        <v>976.27279999999996</v>
      </c>
      <c r="K65" vm="765">
        <f ca="1"/>
        <v>45852</v>
      </c>
      <c r="L65" vm="305">
        <f ca="1"/>
        <v>3464.8</v>
      </c>
      <c r="N65" vm="765">
        <f ca="1"/>
        <v>45852</v>
      </c>
      <c r="O65" vm="306">
        <f ca="1"/>
        <v>1482.3</v>
      </c>
      <c r="Q65" vm="765">
        <f ca="1"/>
        <v>45852</v>
      </c>
      <c r="R65" vm="307">
        <f ca="1"/>
        <v>12419</v>
      </c>
      <c r="T65" vm="765">
        <f ca="1"/>
        <v>45852</v>
      </c>
      <c r="U65" vm="308">
        <f ca="1"/>
        <v>1548.8</v>
      </c>
      <c r="W65" s="110">
        <v>45852</v>
      </c>
      <c r="X65" s="111">
        <v>25082.30078125</v>
      </c>
    </row>
    <row r="66" spans="2:24" x14ac:dyDescent="0.3">
      <c r="B66" vm="766">
        <f ca="1"/>
        <v>45859</v>
      </c>
      <c r="C66" vm="309">
        <f ca="1"/>
        <v>1391.7</v>
      </c>
      <c r="E66" vm="766">
        <f ca="1"/>
        <v>45859</v>
      </c>
      <c r="F66" vm="310">
        <f ca="1"/>
        <v>1937.9</v>
      </c>
      <c r="H66" vm="766">
        <f ca="1"/>
        <v>45859</v>
      </c>
      <c r="I66" vm="311">
        <f ca="1"/>
        <v>1002.3</v>
      </c>
      <c r="K66" vm="766">
        <f ca="1"/>
        <v>45859</v>
      </c>
      <c r="L66" vm="312">
        <f ca="1"/>
        <v>3442.9</v>
      </c>
      <c r="N66" vm="766">
        <f ca="1"/>
        <v>45859</v>
      </c>
      <c r="O66" vm="313">
        <f ca="1"/>
        <v>1532.5</v>
      </c>
      <c r="Q66" vm="766">
        <f ca="1"/>
        <v>45859</v>
      </c>
      <c r="R66" vm="314">
        <f ca="1"/>
        <v>12404</v>
      </c>
      <c r="T66" vm="766">
        <f ca="1"/>
        <v>45859</v>
      </c>
      <c r="U66" vm="315">
        <f ca="1"/>
        <v>1490.1</v>
      </c>
      <c r="W66" s="110">
        <v>45859</v>
      </c>
      <c r="X66" s="111">
        <v>25090.69921875</v>
      </c>
    </row>
    <row r="67" spans="2:24" x14ac:dyDescent="0.3">
      <c r="B67" vm="767">
        <f ca="1"/>
        <v>45866</v>
      </c>
      <c r="C67" vm="316">
        <f ca="1"/>
        <v>1393.7</v>
      </c>
      <c r="E67" vm="767">
        <f ca="1"/>
        <v>45866</v>
      </c>
      <c r="F67" vm="317">
        <f ca="1"/>
        <v>1884.4</v>
      </c>
      <c r="H67" vm="767">
        <f ca="1"/>
        <v>45866</v>
      </c>
      <c r="I67" vm="318">
        <f ca="1"/>
        <v>1006.1</v>
      </c>
      <c r="K67" vm="767">
        <f ca="1"/>
        <v>45866</v>
      </c>
      <c r="L67" vm="319">
        <f ca="1"/>
        <v>3587.3</v>
      </c>
      <c r="N67" vm="767">
        <f ca="1"/>
        <v>45866</v>
      </c>
      <c r="O67" vm="320">
        <f ca="1"/>
        <v>1502.8</v>
      </c>
      <c r="Q67" vm="767">
        <f ca="1"/>
        <v>45866</v>
      </c>
      <c r="R67" vm="321">
        <f ca="1"/>
        <v>12302</v>
      </c>
      <c r="T67" vm="767">
        <f ca="1"/>
        <v>45866</v>
      </c>
      <c r="U67" vm="322">
        <f ca="1"/>
        <v>1452.1</v>
      </c>
      <c r="W67" s="110">
        <v>45866</v>
      </c>
      <c r="X67" s="111">
        <v>24680.900390625</v>
      </c>
    </row>
    <row r="68" spans="2:24" x14ac:dyDescent="0.3">
      <c r="B68" vm="768">
        <f ca="1"/>
        <v>45873</v>
      </c>
      <c r="C68" vm="323">
        <f ca="1"/>
        <v>1367.8</v>
      </c>
      <c r="E68" vm="768">
        <f ca="1"/>
        <v>45873</v>
      </c>
      <c r="F68" vm="324">
        <f ca="1"/>
        <v>1858.6</v>
      </c>
      <c r="H68" vm="768">
        <f ca="1"/>
        <v>45873</v>
      </c>
      <c r="I68" vm="325">
        <f ca="1"/>
        <v>986.95</v>
      </c>
      <c r="K68" vm="768">
        <f ca="1"/>
        <v>45873</v>
      </c>
      <c r="L68" vm="326">
        <f ca="1"/>
        <v>3607.6</v>
      </c>
      <c r="N68" vm="768">
        <f ca="1"/>
        <v>45873</v>
      </c>
      <c r="O68" vm="327">
        <f ca="1"/>
        <v>1485.8</v>
      </c>
      <c r="Q68" vm="768">
        <f ca="1"/>
        <v>45873</v>
      </c>
      <c r="R68" vm="328">
        <f ca="1"/>
        <v>12590</v>
      </c>
      <c r="T68" vm="768">
        <f ca="1"/>
        <v>45873</v>
      </c>
      <c r="U68" vm="329">
        <f ca="1"/>
        <v>1475.7</v>
      </c>
      <c r="W68" s="110">
        <v>45873</v>
      </c>
      <c r="X68" s="111">
        <v>24722.75</v>
      </c>
    </row>
    <row r="69" spans="2:24" x14ac:dyDescent="0.3">
      <c r="B69" vm="769">
        <f ca="1"/>
        <v>45880</v>
      </c>
      <c r="C69" vm="330">
        <f ca="1"/>
        <v>1373.8</v>
      </c>
      <c r="E69" vm="769">
        <f ca="1"/>
        <v>45880</v>
      </c>
      <c r="F69" vm="331">
        <f ca="1"/>
        <v>1873.8</v>
      </c>
      <c r="H69" vm="769">
        <f ca="1"/>
        <v>45880</v>
      </c>
      <c r="I69" vm="332">
        <f ca="1"/>
        <v>995.55</v>
      </c>
      <c r="K69" vm="769">
        <f ca="1"/>
        <v>45880</v>
      </c>
      <c r="L69" vm="333">
        <f ca="1"/>
        <v>3677</v>
      </c>
      <c r="N69" vm="769">
        <f ca="1"/>
        <v>45880</v>
      </c>
      <c r="O69" vm="334">
        <f ca="1"/>
        <v>1564</v>
      </c>
      <c r="Q69" vm="769">
        <f ca="1"/>
        <v>45880</v>
      </c>
      <c r="R69" vm="335">
        <f ca="1"/>
        <v>12936</v>
      </c>
      <c r="T69" vm="769">
        <f ca="1"/>
        <v>45880</v>
      </c>
      <c r="U69" vm="336">
        <f ca="1"/>
        <v>1489.8</v>
      </c>
      <c r="W69" s="110">
        <v>45880</v>
      </c>
      <c r="X69" s="111">
        <v>24585.05078125</v>
      </c>
    </row>
    <row r="70" spans="2:24" x14ac:dyDescent="0.3">
      <c r="B70" vm="770">
        <f ca="1"/>
        <v>45887</v>
      </c>
      <c r="C70" vm="337">
        <f ca="1"/>
        <v>1409.2</v>
      </c>
      <c r="E70" vm="770">
        <f ca="1"/>
        <v>45887</v>
      </c>
      <c r="F70" vm="338">
        <f ca="1"/>
        <v>1933.3</v>
      </c>
      <c r="H70" vm="770">
        <f ca="1"/>
        <v>45887</v>
      </c>
      <c r="I70" vm="339">
        <f ca="1"/>
        <v>982.3</v>
      </c>
      <c r="K70" vm="770">
        <f ca="1"/>
        <v>45887</v>
      </c>
      <c r="L70" vm="340">
        <f ca="1"/>
        <v>3595.8</v>
      </c>
      <c r="N70" vm="770">
        <f ca="1"/>
        <v>45887</v>
      </c>
      <c r="O70" vm="341">
        <f ca="1"/>
        <v>1592.8</v>
      </c>
      <c r="Q70" vm="770">
        <f ca="1"/>
        <v>45887</v>
      </c>
      <c r="R70" vm="342">
        <f ca="1"/>
        <v>14349</v>
      </c>
      <c r="T70" vm="770">
        <f ca="1"/>
        <v>45887</v>
      </c>
      <c r="U70" vm="343">
        <f ca="1"/>
        <v>1466.3</v>
      </c>
      <c r="W70" s="110">
        <v>45887</v>
      </c>
      <c r="X70" s="111">
        <v>24876.94921875</v>
      </c>
    </row>
    <row r="71" spans="2:24" x14ac:dyDescent="0.3">
      <c r="B71" vm="771">
        <f ca="1"/>
        <v>45894</v>
      </c>
      <c r="C71" vm="344">
        <f ca="1"/>
        <v>1357.2</v>
      </c>
      <c r="E71" vm="771">
        <f ca="1"/>
        <v>45894</v>
      </c>
      <c r="F71" vm="345">
        <f ca="1"/>
        <v>1888.8</v>
      </c>
      <c r="H71" vm="771">
        <f ca="1"/>
        <v>45894</v>
      </c>
      <c r="I71" vm="346">
        <f ca="1"/>
        <v>951.6</v>
      </c>
      <c r="K71" vm="771">
        <f ca="1"/>
        <v>45894</v>
      </c>
      <c r="L71" vm="347">
        <f ca="1"/>
        <v>3601</v>
      </c>
      <c r="N71" vm="771">
        <f ca="1"/>
        <v>45894</v>
      </c>
      <c r="O71" vm="348">
        <f ca="1"/>
        <v>1589.4</v>
      </c>
      <c r="Q71" vm="771">
        <f ca="1"/>
        <v>45894</v>
      </c>
      <c r="R71" vm="349">
        <f ca="1"/>
        <v>14791</v>
      </c>
      <c r="T71" vm="771">
        <f ca="1"/>
        <v>45894</v>
      </c>
      <c r="U71" vm="350">
        <f ca="1"/>
        <v>1454.8</v>
      </c>
      <c r="W71" s="110">
        <v>45894</v>
      </c>
      <c r="X71" s="111">
        <v>24967.75</v>
      </c>
    </row>
    <row r="72" spans="2:24" x14ac:dyDescent="0.3">
      <c r="B72" vm="772">
        <f ca="1"/>
        <v>45901</v>
      </c>
      <c r="C72" vm="351">
        <f ca="1"/>
        <v>1375</v>
      </c>
      <c r="E72" vm="772">
        <f ca="1"/>
        <v>45901</v>
      </c>
      <c r="F72" vm="352">
        <f ca="1"/>
        <v>1895.3</v>
      </c>
      <c r="H72" vm="772">
        <f ca="1"/>
        <v>45901</v>
      </c>
      <c r="I72" vm="353">
        <f ca="1"/>
        <v>963.4</v>
      </c>
      <c r="K72" vm="772">
        <f ca="1"/>
        <v>45901</v>
      </c>
      <c r="L72" vm="354">
        <f ca="1"/>
        <v>3553.6</v>
      </c>
      <c r="N72" vm="772">
        <f ca="1"/>
        <v>45901</v>
      </c>
      <c r="O72" vm="355">
        <f ca="1"/>
        <v>1553.4</v>
      </c>
      <c r="Q72" vm="772">
        <f ca="1"/>
        <v>45901</v>
      </c>
      <c r="R72" vm="356">
        <f ca="1"/>
        <v>14895</v>
      </c>
      <c r="T72" vm="772">
        <f ca="1"/>
        <v>45901</v>
      </c>
      <c r="U72" vm="357">
        <f ca="1"/>
        <v>1419</v>
      </c>
      <c r="W72" s="110">
        <v>45901</v>
      </c>
      <c r="X72" s="111">
        <v>24625.05078125</v>
      </c>
    </row>
    <row r="73" spans="2:24" x14ac:dyDescent="0.3">
      <c r="B73" vm="773">
        <f ca="1"/>
        <v>45908</v>
      </c>
      <c r="C73" vm="5">
        <f ca="1"/>
        <v>1395</v>
      </c>
      <c r="E73" vm="773">
        <f ca="1"/>
        <v>45908</v>
      </c>
      <c r="F73" vm="358">
        <f ca="1"/>
        <v>1902.6</v>
      </c>
      <c r="H73" vm="773">
        <f ca="1"/>
        <v>45908</v>
      </c>
      <c r="I73" vm="359">
        <f ca="1"/>
        <v>967.3</v>
      </c>
      <c r="K73" vm="773">
        <f ca="1"/>
        <v>45908</v>
      </c>
      <c r="L73" vm="360">
        <f ca="1"/>
        <v>3579.8</v>
      </c>
      <c r="N73" vm="773">
        <f ca="1"/>
        <v>45908</v>
      </c>
      <c r="O73" vm="361">
        <f ca="1"/>
        <v>1574.6</v>
      </c>
      <c r="Q73" vm="773">
        <f ca="1"/>
        <v>45908</v>
      </c>
      <c r="R73" vm="362">
        <f ca="1"/>
        <v>15325</v>
      </c>
      <c r="T73" vm="773">
        <f ca="1"/>
        <v>45908</v>
      </c>
      <c r="U73" vm="363">
        <f ca="1"/>
        <v>1467.2</v>
      </c>
      <c r="W73" s="110">
        <v>45908</v>
      </c>
      <c r="X73" s="111">
        <v>24773.150390625</v>
      </c>
    </row>
    <row r="74" spans="2:24" x14ac:dyDescent="0.3">
      <c r="B74" vm="774">
        <f ca="1"/>
        <v>45915</v>
      </c>
      <c r="C74" vm="364">
        <f ca="1"/>
        <v>1407.4</v>
      </c>
      <c r="E74" vm="774">
        <f ca="1"/>
        <v>45915</v>
      </c>
      <c r="F74" vm="365">
        <f ca="1"/>
        <v>1962.4</v>
      </c>
      <c r="H74" vm="774">
        <f ca="1"/>
        <v>45915</v>
      </c>
      <c r="I74" vm="366">
        <f ca="1"/>
        <v>966.9</v>
      </c>
      <c r="K74" vm="774">
        <f ca="1"/>
        <v>45915</v>
      </c>
      <c r="L74" vm="367">
        <f ca="1"/>
        <v>3675.4</v>
      </c>
      <c r="N74" vm="774">
        <f ca="1"/>
        <v>45915</v>
      </c>
      <c r="O74" vm="368">
        <f ca="1"/>
        <v>1575.8</v>
      </c>
      <c r="Q74" vm="774">
        <f ca="1"/>
        <v>45915</v>
      </c>
      <c r="R74" vm="369">
        <f ca="1"/>
        <v>15864</v>
      </c>
      <c r="T74" vm="774">
        <f ca="1"/>
        <v>45915</v>
      </c>
      <c r="U74" vm="370">
        <f ca="1"/>
        <v>1467.4</v>
      </c>
      <c r="W74" s="110">
        <v>45915</v>
      </c>
      <c r="X74" s="111">
        <v>25069.19921875</v>
      </c>
    </row>
    <row r="75" spans="2:24" x14ac:dyDescent="0.3">
      <c r="B75" vm="775">
        <f ca="1"/>
        <v>45922</v>
      </c>
      <c r="C75" vm="371">
        <f ca="1"/>
        <v>1377.6</v>
      </c>
      <c r="E75" vm="775">
        <f ca="1"/>
        <v>45922</v>
      </c>
      <c r="F75" vm="372">
        <f ca="1"/>
        <v>1916.6</v>
      </c>
      <c r="H75" vm="775">
        <f ca="1"/>
        <v>45922</v>
      </c>
      <c r="I75" vm="373">
        <f ca="1"/>
        <v>945.05</v>
      </c>
      <c r="K75" vm="775">
        <f ca="1"/>
        <v>45922</v>
      </c>
      <c r="L75" vm="374">
        <f ca="1"/>
        <v>3729.5</v>
      </c>
      <c r="N75" vm="775">
        <f ca="1"/>
        <v>45922</v>
      </c>
      <c r="O75" vm="375">
        <f ca="1"/>
        <v>1499.4</v>
      </c>
      <c r="Q75" vm="775">
        <f ca="1"/>
        <v>45922</v>
      </c>
      <c r="R75" vm="376">
        <f ca="1"/>
        <v>16286</v>
      </c>
      <c r="T75" vm="775">
        <f ca="1"/>
        <v>45922</v>
      </c>
      <c r="U75" vm="377">
        <f ca="1"/>
        <v>1395.3</v>
      </c>
      <c r="W75" s="110">
        <v>45922</v>
      </c>
      <c r="X75" s="111">
        <v>25202.349609375</v>
      </c>
    </row>
    <row r="76" spans="2:24" x14ac:dyDescent="0.3">
      <c r="B76" vm="776">
        <f ca="1"/>
        <v>45929</v>
      </c>
      <c r="C76" vm="378">
        <f ca="1"/>
        <v>1363.4</v>
      </c>
      <c r="E76" vm="776">
        <f ca="1"/>
        <v>45929</v>
      </c>
      <c r="F76" vm="379">
        <f ca="1"/>
        <v>1896.7</v>
      </c>
      <c r="H76" vm="776">
        <f ca="1"/>
        <v>45929</v>
      </c>
      <c r="I76" vm="380">
        <f ca="1"/>
        <v>965.15</v>
      </c>
      <c r="K76" vm="776">
        <f ca="1"/>
        <v>45929</v>
      </c>
      <c r="L76" vm="381">
        <f ca="1"/>
        <v>3733.1</v>
      </c>
      <c r="N76" vm="776">
        <f ca="1"/>
        <v>45929</v>
      </c>
      <c r="O76" vm="382">
        <f ca="1"/>
        <v>1517.7</v>
      </c>
      <c r="Q76" vm="776">
        <f ca="1"/>
        <v>45929</v>
      </c>
      <c r="R76" vm="383">
        <f ca="1"/>
        <v>15806</v>
      </c>
      <c r="T76" vm="776">
        <f ca="1"/>
        <v>45929</v>
      </c>
      <c r="U76" vm="384">
        <f ca="1"/>
        <v>1393.5</v>
      </c>
      <c r="W76" s="110">
        <v>45929</v>
      </c>
      <c r="X76" s="111">
        <v>24634.900390625</v>
      </c>
    </row>
    <row r="77" spans="2:24" x14ac:dyDescent="0.3">
      <c r="B77" vm="777">
        <f ca="1"/>
        <v>45936</v>
      </c>
      <c r="C77" vm="385">
        <f ca="1"/>
        <v>1381.7</v>
      </c>
      <c r="E77" vm="777">
        <f ca="1"/>
        <v>45936</v>
      </c>
      <c r="F77" vm="386">
        <f ca="1"/>
        <v>1939.9</v>
      </c>
      <c r="H77" vm="777">
        <f ca="1"/>
        <v>45936</v>
      </c>
      <c r="I77" vm="387">
        <f ca="1"/>
        <v>980.9</v>
      </c>
      <c r="K77" vm="777">
        <f ca="1"/>
        <v>45936</v>
      </c>
      <c r="L77" vm="388">
        <f ca="1"/>
        <v>3784</v>
      </c>
      <c r="N77" vm="777">
        <f ca="1"/>
        <v>45936</v>
      </c>
      <c r="O77" vm="389">
        <f ca="1"/>
        <v>1561.8</v>
      </c>
      <c r="Q77" vm="777">
        <f ca="1"/>
        <v>45936</v>
      </c>
      <c r="R77" vm="390">
        <f ca="1"/>
        <v>16265</v>
      </c>
      <c r="T77" vm="777">
        <f ca="1"/>
        <v>45936</v>
      </c>
      <c r="U77" vm="391">
        <f ca="1"/>
        <v>1495.5</v>
      </c>
      <c r="W77" s="110">
        <v>45936</v>
      </c>
      <c r="X77" s="111">
        <v>25077.650390625</v>
      </c>
    </row>
    <row r="78" spans="2:24" x14ac:dyDescent="0.3">
      <c r="B78" vm="778">
        <f ca="1"/>
        <v>45943</v>
      </c>
      <c r="C78" vm="392">
        <f ca="1"/>
        <v>1416.8</v>
      </c>
      <c r="E78" vm="778">
        <f ca="1"/>
        <v>45943</v>
      </c>
      <c r="F78" vm="393">
        <f ca="1"/>
        <v>2012</v>
      </c>
      <c r="H78" vm="778">
        <f ca="1"/>
        <v>45943</v>
      </c>
      <c r="I78" vm="394">
        <f ca="1"/>
        <v>1002.55</v>
      </c>
      <c r="K78" vm="778">
        <f ca="1"/>
        <v>45943</v>
      </c>
      <c r="L78" vm="395">
        <f ca="1"/>
        <v>3839.4</v>
      </c>
      <c r="N78" vm="778">
        <f ca="1"/>
        <v>45943</v>
      </c>
      <c r="O78" vm="396">
        <f ca="1"/>
        <v>1577.6</v>
      </c>
      <c r="Q78" vm="778">
        <f ca="1"/>
        <v>45943</v>
      </c>
      <c r="R78" vm="397">
        <f ca="1"/>
        <v>16401</v>
      </c>
      <c r="T78" vm="778">
        <f ca="1"/>
        <v>45943</v>
      </c>
      <c r="U78" vm="398">
        <f ca="1"/>
        <v>1486.2</v>
      </c>
      <c r="W78" s="110">
        <v>45943</v>
      </c>
      <c r="X78" s="111">
        <v>25227.349609375</v>
      </c>
    </row>
    <row r="79" spans="2:24" x14ac:dyDescent="0.3">
      <c r="B79" vm="779">
        <f ca="1"/>
        <v>45950</v>
      </c>
      <c r="C79" vm="399">
        <f ca="1"/>
        <v>1451.6</v>
      </c>
      <c r="E79" vm="779">
        <f ca="1"/>
        <v>45950</v>
      </c>
      <c r="F79" vm="400">
        <f ca="1"/>
        <v>2029.3</v>
      </c>
      <c r="H79" vm="779">
        <f ca="1"/>
        <v>45950</v>
      </c>
      <c r="I79" vm="401">
        <f ca="1"/>
        <v>994.75</v>
      </c>
      <c r="K79" vm="779">
        <f ca="1"/>
        <v>45950</v>
      </c>
      <c r="L79" vm="402">
        <f ca="1"/>
        <v>3904.9</v>
      </c>
      <c r="N79" vm="779">
        <f ca="1"/>
        <v>45950</v>
      </c>
      <c r="O79" vm="403">
        <f ca="1"/>
        <v>1584.4</v>
      </c>
      <c r="Q79" vm="779">
        <f ca="1"/>
        <v>45950</v>
      </c>
      <c r="R79" vm="404">
        <f ca="1"/>
        <v>16274</v>
      </c>
      <c r="T79" vm="779">
        <f ca="1"/>
        <v>45950</v>
      </c>
      <c r="U79" vm="405">
        <f ca="1"/>
        <v>1523.8</v>
      </c>
      <c r="W79" s="110">
        <v>45950</v>
      </c>
      <c r="X79" s="111">
        <v>25843.150390625</v>
      </c>
    </row>
    <row r="80" spans="2:24" x14ac:dyDescent="0.3">
      <c r="B80" vm="780">
        <f ca="1"/>
        <v>45957</v>
      </c>
      <c r="C80" vm="406">
        <f ca="1"/>
        <v>1486.4</v>
      </c>
      <c r="E80" vm="780">
        <f ca="1"/>
        <v>45957</v>
      </c>
      <c r="F80" vm="407">
        <f ca="1"/>
        <v>2054.5</v>
      </c>
      <c r="H80" vm="780">
        <f ca="1"/>
        <v>45957</v>
      </c>
      <c r="I80" vm="408">
        <f ca="1"/>
        <v>987.3</v>
      </c>
      <c r="K80" vm="780">
        <f ca="1"/>
        <v>45957</v>
      </c>
      <c r="L80" vm="409">
        <f ca="1"/>
        <v>4030.9</v>
      </c>
      <c r="N80" vm="780">
        <f ca="1"/>
        <v>45957</v>
      </c>
      <c r="O80" vm="410">
        <f ca="1"/>
        <v>1501.3</v>
      </c>
      <c r="Q80" vm="780">
        <f ca="1"/>
        <v>45957</v>
      </c>
      <c r="R80" vm="411">
        <f ca="1"/>
        <v>16186</v>
      </c>
      <c r="T80" vm="780">
        <f ca="1"/>
        <v>45957</v>
      </c>
      <c r="U80" vm="412">
        <f ca="1"/>
        <v>1541.5</v>
      </c>
      <c r="W80" s="110">
        <v>45957</v>
      </c>
      <c r="X80" s="111">
        <v>25966.05078125</v>
      </c>
    </row>
    <row r="81" spans="2:24" x14ac:dyDescent="0.3">
      <c r="B81" vm="781">
        <f ca="1"/>
        <v>45964</v>
      </c>
      <c r="C81" vm="413">
        <f ca="1"/>
        <v>1478</v>
      </c>
      <c r="E81" vm="781">
        <f ca="1"/>
        <v>45964</v>
      </c>
      <c r="F81" vm="414">
        <f ca="1"/>
        <v>2001.2</v>
      </c>
      <c r="H81" vm="781">
        <f ca="1"/>
        <v>45964</v>
      </c>
      <c r="I81" vm="339">
        <f ca="1"/>
        <v>982.3</v>
      </c>
      <c r="K81" vm="781">
        <f ca="1"/>
        <v>45964</v>
      </c>
      <c r="L81" vm="415">
        <f ca="1"/>
        <v>3882.5</v>
      </c>
      <c r="N81" vm="781">
        <f ca="1"/>
        <v>45964</v>
      </c>
      <c r="O81" vm="416">
        <f ca="1"/>
        <v>1505.7</v>
      </c>
      <c r="Q81" vm="781">
        <f ca="1"/>
        <v>45964</v>
      </c>
      <c r="R81" vm="417">
        <f ca="1"/>
        <v>15479</v>
      </c>
      <c r="T81" vm="781">
        <f ca="1"/>
        <v>45964</v>
      </c>
      <c r="U81" vm="418">
        <f ca="1"/>
        <v>1512.4</v>
      </c>
      <c r="W81" s="110">
        <v>45964</v>
      </c>
      <c r="X81" s="111">
        <v>25763.349609375</v>
      </c>
    </row>
    <row r="82" spans="2:24" x14ac:dyDescent="0.3">
      <c r="B82" vm="782">
        <f ca="1"/>
        <v>45971</v>
      </c>
      <c r="C82" vm="419">
        <f ca="1"/>
        <v>1518.9</v>
      </c>
      <c r="E82" vm="782">
        <f ca="1"/>
        <v>45971</v>
      </c>
      <c r="F82" vm="420">
        <f ca="1"/>
        <v>2100.6999999999998</v>
      </c>
      <c r="H82" vm="782">
        <f ca="1"/>
        <v>45971</v>
      </c>
      <c r="I82" vm="421">
        <f ca="1"/>
        <v>989.6</v>
      </c>
      <c r="K82" vm="782">
        <f ca="1"/>
        <v>45971</v>
      </c>
      <c r="L82" vm="422">
        <f ca="1"/>
        <v>4004.4</v>
      </c>
      <c r="N82" vm="782">
        <f ca="1"/>
        <v>45971</v>
      </c>
      <c r="O82" vm="423">
        <f ca="1"/>
        <v>1532.1</v>
      </c>
      <c r="Q82" vm="782">
        <f ca="1"/>
        <v>45971</v>
      </c>
      <c r="R82" vm="424">
        <f ca="1"/>
        <v>15684</v>
      </c>
      <c r="T82" vm="782">
        <f ca="1"/>
        <v>45971</v>
      </c>
      <c r="U82" vm="425">
        <f ca="1"/>
        <v>1594.6</v>
      </c>
      <c r="W82" s="110">
        <v>45971</v>
      </c>
      <c r="X82" s="111">
        <v>25574.349609375</v>
      </c>
    </row>
    <row r="83" spans="2:24" x14ac:dyDescent="0.3">
      <c r="B83" vm="783">
        <f ca="1"/>
        <v>45978</v>
      </c>
      <c r="C83" vm="426">
        <f ca="1"/>
        <v>1546.6</v>
      </c>
      <c r="E83" vm="783">
        <f ca="1"/>
        <v>45978</v>
      </c>
      <c r="F83" vm="427">
        <f ca="1"/>
        <v>2162.6999999999998</v>
      </c>
      <c r="H83" vm="783">
        <f ca="1"/>
        <v>45978</v>
      </c>
      <c r="I83" vm="428">
        <f ca="1"/>
        <v>998.05</v>
      </c>
      <c r="K83" vm="783">
        <f ca="1"/>
        <v>45978</v>
      </c>
      <c r="L83" vm="429">
        <f ca="1"/>
        <v>4024.9</v>
      </c>
      <c r="N83" vm="783">
        <f ca="1"/>
        <v>45978</v>
      </c>
      <c r="O83" vm="430">
        <f ca="1"/>
        <v>1511.8</v>
      </c>
      <c r="Q83" vm="783">
        <f ca="1"/>
        <v>45978</v>
      </c>
      <c r="R83" vm="431">
        <f ca="1"/>
        <v>15977</v>
      </c>
      <c r="T83" vm="783">
        <f ca="1"/>
        <v>45978</v>
      </c>
      <c r="U83" vm="432">
        <f ca="1"/>
        <v>1608</v>
      </c>
      <c r="W83" s="110">
        <v>45978</v>
      </c>
      <c r="X83" s="111">
        <v>26013.44921875</v>
      </c>
    </row>
    <row r="84" spans="2:24" x14ac:dyDescent="0.3">
      <c r="B84" vm="784">
        <f ca="1"/>
        <v>45985</v>
      </c>
      <c r="C84" vm="433">
        <f ca="1"/>
        <v>1567.5</v>
      </c>
      <c r="E84" vm="784">
        <f ca="1"/>
        <v>45985</v>
      </c>
      <c r="F84" vm="434">
        <f ca="1"/>
        <v>2101.6</v>
      </c>
      <c r="H84" vm="784">
        <f ca="1"/>
        <v>45985</v>
      </c>
      <c r="I84" vm="435">
        <f ca="1"/>
        <v>1007.6</v>
      </c>
      <c r="K84" vm="784">
        <f ca="1"/>
        <v>45985</v>
      </c>
      <c r="L84" vm="436">
        <f ca="1"/>
        <v>4069.6</v>
      </c>
      <c r="N84" vm="784">
        <f ca="1"/>
        <v>45985</v>
      </c>
      <c r="O84" vm="437">
        <f ca="1"/>
        <v>1531.3</v>
      </c>
      <c r="Q84" vm="784">
        <f ca="1"/>
        <v>45985</v>
      </c>
      <c r="R84" vm="438">
        <f ca="1"/>
        <v>15900</v>
      </c>
      <c r="T84" vm="784">
        <f ca="1"/>
        <v>45985</v>
      </c>
      <c r="U84" vm="439">
        <f ca="1"/>
        <v>1624.2</v>
      </c>
      <c r="W84" s="110">
        <v>45985</v>
      </c>
      <c r="X84" s="111">
        <v>25959.5</v>
      </c>
    </row>
    <row r="85" spans="2:24" x14ac:dyDescent="0.3">
      <c r="B85" vm="785">
        <f ca="1"/>
        <v>45992</v>
      </c>
      <c r="C85" vm="440">
        <f ca="1"/>
        <v>1540.6</v>
      </c>
      <c r="E85" vm="785">
        <f ca="1"/>
        <v>45992</v>
      </c>
      <c r="F85" vm="441">
        <f ca="1"/>
        <v>2108.8000000000002</v>
      </c>
      <c r="H85" vm="785">
        <f ca="1"/>
        <v>45992</v>
      </c>
      <c r="I85" vm="442">
        <f ca="1"/>
        <v>1003.3</v>
      </c>
      <c r="K85" vm="785">
        <f ca="1"/>
        <v>45992</v>
      </c>
      <c r="L85" vm="443">
        <f ca="1"/>
        <v>4038.2</v>
      </c>
      <c r="N85" vm="785">
        <f ca="1"/>
        <v>45992</v>
      </c>
      <c r="O85" vm="444">
        <f ca="1"/>
        <v>1520.8</v>
      </c>
      <c r="Q85" vm="785">
        <f ca="1"/>
        <v>45992</v>
      </c>
      <c r="R85" vm="445">
        <f ca="1"/>
        <v>16282</v>
      </c>
      <c r="T85" vm="785">
        <f ca="1"/>
        <v>45992</v>
      </c>
      <c r="U85" vm="446">
        <f ca="1"/>
        <v>1683</v>
      </c>
      <c r="W85" s="110">
        <v>45992</v>
      </c>
      <c r="X85" s="111">
        <v>26175.75</v>
      </c>
    </row>
    <row r="86" spans="2:24" x14ac:dyDescent="0.3">
      <c r="B86" vm="786">
        <f ca="1"/>
        <v>45999</v>
      </c>
      <c r="C86" vm="447">
        <f ca="1"/>
        <v>1556.5</v>
      </c>
      <c r="E86" vm="786">
        <f ca="1"/>
        <v>45999</v>
      </c>
      <c r="F86" vm="448">
        <f ca="1"/>
        <v>2083.4</v>
      </c>
      <c r="H86" vm="786">
        <f ca="1"/>
        <v>45999</v>
      </c>
      <c r="I86" vm="449">
        <f ca="1"/>
        <v>1001.5</v>
      </c>
      <c r="K86" vm="786">
        <f ca="1"/>
        <v>45999</v>
      </c>
      <c r="L86" vm="450">
        <f ca="1"/>
        <v>4074.1</v>
      </c>
      <c r="N86" vm="786">
        <f ca="1"/>
        <v>45999</v>
      </c>
      <c r="O86" vm="451">
        <f ca="1"/>
        <v>1517.4</v>
      </c>
      <c r="Q86" vm="786">
        <f ca="1"/>
        <v>45999</v>
      </c>
      <c r="R86" vm="452">
        <f ca="1"/>
        <v>16522</v>
      </c>
      <c r="T86" vm="786">
        <f ca="1"/>
        <v>45999</v>
      </c>
      <c r="U86" vm="453">
        <f ca="1"/>
        <v>1673.2</v>
      </c>
      <c r="W86" s="110">
        <v>45999</v>
      </c>
      <c r="X86" s="111">
        <v>25960.55078125</v>
      </c>
    </row>
    <row r="87" spans="2:24" x14ac:dyDescent="0.3">
      <c r="B87" vm="787">
        <f ca="1"/>
        <v>46006</v>
      </c>
      <c r="C87" vm="454">
        <f ca="1"/>
        <v>1565.1</v>
      </c>
      <c r="E87" vm="787">
        <f ca="1"/>
        <v>46006</v>
      </c>
      <c r="F87" vm="455">
        <f ca="1"/>
        <v>2097.6999999999998</v>
      </c>
      <c r="H87" vm="787">
        <f ca="1"/>
        <v>46006</v>
      </c>
      <c r="I87" vm="456">
        <f ca="1"/>
        <v>985.5</v>
      </c>
      <c r="K87" vm="787">
        <f ca="1"/>
        <v>46006</v>
      </c>
      <c r="L87" vm="457">
        <f ca="1"/>
        <v>4073.5</v>
      </c>
      <c r="N87" vm="787">
        <f ca="1"/>
        <v>46006</v>
      </c>
      <c r="O87" vm="458">
        <f ca="1"/>
        <v>1517.1</v>
      </c>
      <c r="Q87" vm="787">
        <f ca="1"/>
        <v>46006</v>
      </c>
      <c r="R87" vm="459">
        <f ca="1"/>
        <v>16414</v>
      </c>
      <c r="T87" vm="787">
        <f ca="1"/>
        <v>46006</v>
      </c>
      <c r="U87" vm="460">
        <f ca="1"/>
        <v>1642.4</v>
      </c>
      <c r="W87" s="110">
        <v>46006</v>
      </c>
      <c r="X87" s="111">
        <v>26027.30078125</v>
      </c>
    </row>
    <row r="88" spans="2:24" x14ac:dyDescent="0.3">
      <c r="B88" vm="788">
        <f ca="1"/>
        <v>46013</v>
      </c>
      <c r="C88" vm="461">
        <f ca="1"/>
        <v>1559.2</v>
      </c>
      <c r="E88" vm="788">
        <f ca="1"/>
        <v>46013</v>
      </c>
      <c r="F88" vm="462">
        <f ca="1"/>
        <v>2105.4</v>
      </c>
      <c r="H88" vm="788">
        <f ca="1"/>
        <v>46013</v>
      </c>
      <c r="I88" vm="463">
        <f ca="1"/>
        <v>992.1</v>
      </c>
      <c r="K88" vm="788">
        <f ca="1"/>
        <v>46013</v>
      </c>
      <c r="L88" vm="464">
        <f ca="1"/>
        <v>4047.3</v>
      </c>
      <c r="N88" vm="788">
        <f ca="1"/>
        <v>46013</v>
      </c>
      <c r="O88" vm="465">
        <f ca="1"/>
        <v>1506</v>
      </c>
      <c r="Q88" vm="788">
        <f ca="1"/>
        <v>46013</v>
      </c>
      <c r="R88" vm="466">
        <f ca="1"/>
        <v>16596</v>
      </c>
      <c r="T88" vm="788">
        <f ca="1"/>
        <v>46013</v>
      </c>
      <c r="U88" vm="467">
        <f ca="1"/>
        <v>1660.9</v>
      </c>
      <c r="W88" s="110">
        <v>46013</v>
      </c>
      <c r="X88" s="111">
        <v>26172.400390625</v>
      </c>
    </row>
    <row r="89" spans="2:24" x14ac:dyDescent="0.3">
      <c r="B89" vm="789">
        <f ca="1"/>
        <v>46020</v>
      </c>
      <c r="C89" vm="468">
        <f ca="1"/>
        <v>1592.3</v>
      </c>
      <c r="E89" vm="789">
        <f ca="1"/>
        <v>46020</v>
      </c>
      <c r="F89" vm="469">
        <f ca="1"/>
        <v>2106.3000000000002</v>
      </c>
      <c r="H89" vm="789">
        <f ca="1"/>
        <v>46020</v>
      </c>
      <c r="I89" vm="470">
        <f ca="1"/>
        <v>1001.6</v>
      </c>
      <c r="K89" vm="789">
        <f ca="1"/>
        <v>46020</v>
      </c>
      <c r="L89" vm="471">
        <f ca="1"/>
        <v>4163.3999999999996</v>
      </c>
      <c r="N89" vm="789">
        <f ca="1"/>
        <v>46020</v>
      </c>
      <c r="O89" vm="472">
        <f ca="1"/>
        <v>1511.6</v>
      </c>
      <c r="Q89" vm="789">
        <f ca="1"/>
        <v>46020</v>
      </c>
      <c r="R89" vm="473">
        <f ca="1"/>
        <v>16960</v>
      </c>
      <c r="T89" vm="789">
        <f ca="1"/>
        <v>46020</v>
      </c>
      <c r="U89" vm="474">
        <f ca="1"/>
        <v>1640.2</v>
      </c>
      <c r="W89" s="110">
        <v>46020</v>
      </c>
      <c r="X89" s="111">
        <v>25942.099609375</v>
      </c>
    </row>
    <row r="90" spans="2:24" x14ac:dyDescent="0.3">
      <c r="B90" vm="790">
        <f ca="1"/>
        <v>46027</v>
      </c>
      <c r="C90" vm="475">
        <f ca="1"/>
        <v>1475.3</v>
      </c>
      <c r="E90" vm="790">
        <f ca="1"/>
        <v>46027</v>
      </c>
      <c r="F90" vm="282">
        <f ca="1"/>
        <v>2027.1</v>
      </c>
      <c r="H90" vm="790">
        <f ca="1"/>
        <v>46027</v>
      </c>
      <c r="I90" vm="476">
        <f ca="1"/>
        <v>939</v>
      </c>
      <c r="K90" vm="790">
        <f ca="1"/>
        <v>46027</v>
      </c>
      <c r="L90" vm="477">
        <f ca="1"/>
        <v>4025.2</v>
      </c>
      <c r="N90" vm="790">
        <f ca="1"/>
        <v>46027</v>
      </c>
      <c r="O90" vm="257">
        <f ca="1"/>
        <v>1465.7</v>
      </c>
      <c r="Q90" vm="790">
        <f ca="1"/>
        <v>46027</v>
      </c>
      <c r="R90" vm="478">
        <f ca="1"/>
        <v>16501</v>
      </c>
      <c r="T90" vm="790">
        <f ca="1"/>
        <v>46027</v>
      </c>
      <c r="U90" vm="479">
        <f ca="1"/>
        <v>1661.4</v>
      </c>
      <c r="W90" s="110">
        <v>46027</v>
      </c>
      <c r="X90" s="111">
        <v>26250.30078125</v>
      </c>
    </row>
    <row r="91" spans="2:24" x14ac:dyDescent="0.3">
      <c r="B91" vm="791">
        <f ca="1"/>
        <v>46034</v>
      </c>
      <c r="C91" vm="480">
        <f ca="1"/>
        <v>1457.9</v>
      </c>
      <c r="E91" vm="791">
        <f ca="1"/>
        <v>46034</v>
      </c>
      <c r="F91" vm="481">
        <f ca="1"/>
        <v>2016.4</v>
      </c>
      <c r="H91" vm="791">
        <f ca="1"/>
        <v>46034</v>
      </c>
      <c r="I91" vm="482">
        <f ca="1"/>
        <v>931.1</v>
      </c>
      <c r="K91" vm="791">
        <f ca="1"/>
        <v>46034</v>
      </c>
      <c r="L91" vm="483">
        <f ca="1"/>
        <v>3856.4</v>
      </c>
      <c r="N91" vm="791">
        <f ca="1"/>
        <v>46034</v>
      </c>
      <c r="O91" vm="484">
        <f ca="1"/>
        <v>1397.5</v>
      </c>
      <c r="Q91" vm="791">
        <f ca="1"/>
        <v>46034</v>
      </c>
      <c r="R91" vm="485">
        <f ca="1"/>
        <v>15859</v>
      </c>
      <c r="T91" vm="791">
        <f ca="1"/>
        <v>46034</v>
      </c>
      <c r="U91" vm="486">
        <f ca="1"/>
        <v>1698</v>
      </c>
      <c r="W91" s="110">
        <v>46034</v>
      </c>
      <c r="X91" s="111">
        <v>25790.25</v>
      </c>
    </row>
    <row r="92" spans="2:24" x14ac:dyDescent="0.3">
      <c r="B92" vm="792">
        <f ca="1"/>
        <v>46041</v>
      </c>
      <c r="C92" vm="487">
        <f ca="1"/>
        <v>1386.1</v>
      </c>
      <c r="E92" vm="792">
        <f ca="1"/>
        <v>46041</v>
      </c>
      <c r="F92" vm="488">
        <f ca="1"/>
        <v>1984.7</v>
      </c>
      <c r="H92" vm="792">
        <f ca="1"/>
        <v>46041</v>
      </c>
      <c r="I92" vm="489">
        <f ca="1"/>
        <v>916.1</v>
      </c>
      <c r="K92" vm="792">
        <f ca="1"/>
        <v>46041</v>
      </c>
      <c r="L92" vm="490">
        <f ca="1"/>
        <v>3743.8</v>
      </c>
      <c r="N92" vm="792">
        <f ca="1"/>
        <v>46041</v>
      </c>
      <c r="O92" vm="491">
        <f ca="1"/>
        <v>1315</v>
      </c>
      <c r="Q92" vm="792">
        <f ca="1"/>
        <v>46041</v>
      </c>
      <c r="R92" vm="492">
        <f ca="1"/>
        <v>15469</v>
      </c>
      <c r="T92" vm="792">
        <f ca="1"/>
        <v>46041</v>
      </c>
      <c r="U92" vm="493">
        <f ca="1"/>
        <v>1707</v>
      </c>
      <c r="W92" s="110">
        <v>46041</v>
      </c>
      <c r="X92" s="111">
        <v>25585.5</v>
      </c>
    </row>
    <row r="93" spans="2:24" x14ac:dyDescent="0.3">
      <c r="B93" vm="793">
        <f ca="1"/>
        <v>46049</v>
      </c>
      <c r="C93" vm="794">
        <f ca="1"/>
        <v>1395.4</v>
      </c>
      <c r="E93" vm="793">
        <f ca="1"/>
        <v>46049</v>
      </c>
      <c r="F93" vm="795">
        <f ca="1"/>
        <v>1968.7</v>
      </c>
      <c r="H93" vm="793">
        <f ca="1"/>
        <v>46049</v>
      </c>
      <c r="I93" vm="796">
        <f ca="1"/>
        <v>929.25</v>
      </c>
      <c r="K93" vm="793">
        <f ca="1"/>
        <v>46049</v>
      </c>
      <c r="L93" vm="797">
        <f ca="1"/>
        <v>3932.3</v>
      </c>
      <c r="N93" vm="793">
        <f ca="1"/>
        <v>46049</v>
      </c>
      <c r="O93" vm="798">
        <f ca="1"/>
        <v>1324</v>
      </c>
      <c r="Q93" vm="793">
        <f ca="1"/>
        <v>46049</v>
      </c>
      <c r="R93" vm="799">
        <f ca="1"/>
        <v>14599</v>
      </c>
      <c r="T93" vm="793">
        <f ca="1"/>
        <v>46049</v>
      </c>
      <c r="U93" vm="800">
        <f ca="1"/>
        <v>1695.6</v>
      </c>
      <c r="W93" s="110">
        <v>46048</v>
      </c>
      <c r="X93" s="111">
        <v>25175.400390625</v>
      </c>
    </row>
    <row r="94" spans="2:24" x14ac:dyDescent="0.3">
      <c r="B94" vm="801">
        <f ca="1"/>
        <v>46054</v>
      </c>
      <c r="C94" vm="494">
        <f ca="1"/>
        <v>1450.8</v>
      </c>
      <c r="E94" vm="801">
        <f ca="1"/>
        <v>46054</v>
      </c>
      <c r="F94" vm="495">
        <f ca="1"/>
        <v>2038.4</v>
      </c>
      <c r="H94" vm="801">
        <f ca="1"/>
        <v>46054</v>
      </c>
      <c r="I94" vm="496">
        <f ca="1"/>
        <v>941.1</v>
      </c>
      <c r="K94" vm="801">
        <f ca="1"/>
        <v>46054</v>
      </c>
      <c r="L94" vm="497">
        <f ca="1"/>
        <v>4068.1</v>
      </c>
      <c r="N94" vm="801">
        <f ca="1"/>
        <v>46054</v>
      </c>
      <c r="O94" vm="498">
        <f ca="1"/>
        <v>1330</v>
      </c>
      <c r="Q94" vm="801">
        <f ca="1"/>
        <v>46054</v>
      </c>
      <c r="R94" vm="499">
        <f ca="1"/>
        <v>14997</v>
      </c>
      <c r="T94" vm="801">
        <f ca="1"/>
        <v>46054</v>
      </c>
      <c r="U94" vm="500">
        <f ca="1"/>
        <v>1593.7</v>
      </c>
      <c r="W94" s="110">
        <v>46055</v>
      </c>
      <c r="X94" s="111">
        <v>25088.400390625</v>
      </c>
    </row>
    <row r="95" spans="2:24" x14ac:dyDescent="0.3">
      <c r="B95" vm="802">
        <f ca="1"/>
        <v>46062</v>
      </c>
      <c r="C95" vm="501">
        <f ca="1"/>
        <v>1419.6</v>
      </c>
      <c r="E95" vm="802">
        <f ca="1"/>
        <v>46062</v>
      </c>
      <c r="F95" vm="502">
        <f ca="1"/>
        <v>2004.7</v>
      </c>
      <c r="H95" vm="802">
        <f ca="1"/>
        <v>46062</v>
      </c>
      <c r="I95" vm="503">
        <f ca="1"/>
        <v>903.9</v>
      </c>
      <c r="K95" vm="802">
        <f ca="1"/>
        <v>46062</v>
      </c>
      <c r="L95" vm="504">
        <f ca="1"/>
        <v>4173.8999999999996</v>
      </c>
      <c r="N95" vm="802">
        <f ca="1"/>
        <v>46062</v>
      </c>
      <c r="O95" vm="505">
        <f ca="1"/>
        <v>1331.5</v>
      </c>
      <c r="Q95" vm="802">
        <f ca="1"/>
        <v>46062</v>
      </c>
      <c r="R95" vm="506">
        <f ca="1"/>
        <v>15237</v>
      </c>
      <c r="T95" vm="802">
        <f ca="1"/>
        <v>46062</v>
      </c>
      <c r="U95" vm="507">
        <f ca="1"/>
        <v>1455.2</v>
      </c>
      <c r="W95" s="110">
        <v>46062</v>
      </c>
      <c r="X95" s="111">
        <v>25867.30078125</v>
      </c>
    </row>
    <row r="96" spans="2:24" x14ac:dyDescent="0.3">
      <c r="B96" vm="803">
        <f ca="1"/>
        <v>46069</v>
      </c>
      <c r="C96" vm="508">
        <f ca="1"/>
        <v>1419.4</v>
      </c>
      <c r="E96" vm="803">
        <f ca="1"/>
        <v>46069</v>
      </c>
      <c r="F96" vm="509">
        <f ca="1"/>
        <v>1977.4</v>
      </c>
      <c r="H96" vm="803">
        <f ca="1"/>
        <v>46069</v>
      </c>
      <c r="I96" vm="510">
        <f ca="1"/>
        <v>911.85</v>
      </c>
      <c r="K96" vm="803">
        <f ca="1"/>
        <v>46069</v>
      </c>
      <c r="L96" vm="511">
        <f ca="1"/>
        <v>4380.6000000000004</v>
      </c>
      <c r="N96" vm="803">
        <f ca="1"/>
        <v>46069</v>
      </c>
      <c r="O96" vm="512">
        <f ca="1"/>
        <v>1341.1</v>
      </c>
      <c r="Q96" vm="803">
        <f ca="1"/>
        <v>46069</v>
      </c>
      <c r="R96" vm="513">
        <f ca="1"/>
        <v>14977</v>
      </c>
      <c r="T96" vm="803">
        <f ca="1"/>
        <v>46069</v>
      </c>
      <c r="U96" vm="514">
        <f ca="1"/>
        <v>1436.5</v>
      </c>
      <c r="W96" s="110">
        <v>46069</v>
      </c>
      <c r="X96" s="111">
        <v>25682.75</v>
      </c>
    </row>
    <row r="97" spans="2:24" x14ac:dyDescent="0.3">
      <c r="B97" vm="804">
        <f ca="1"/>
        <v>46076</v>
      </c>
      <c r="C97" vm="515">
        <f ca="1"/>
        <v>1393.9</v>
      </c>
      <c r="E97" vm="804">
        <f ca="1"/>
        <v>46076</v>
      </c>
      <c r="F97" vm="516">
        <f ca="1"/>
        <v>1879.3</v>
      </c>
      <c r="H97" vm="804">
        <f ca="1"/>
        <v>46076</v>
      </c>
      <c r="I97" vm="517">
        <f ca="1"/>
        <v>887.75</v>
      </c>
      <c r="K97" vm="804">
        <f ca="1"/>
        <v>46076</v>
      </c>
      <c r="L97" vm="518">
        <f ca="1"/>
        <v>4278.3</v>
      </c>
      <c r="N97" vm="804">
        <f ca="1"/>
        <v>46076</v>
      </c>
      <c r="O97" vm="519">
        <f ca="1"/>
        <v>1348.2</v>
      </c>
      <c r="Q97" vm="804">
        <f ca="1"/>
        <v>46076</v>
      </c>
      <c r="R97" vm="520">
        <f ca="1"/>
        <v>14857</v>
      </c>
      <c r="T97" vm="804">
        <f ca="1"/>
        <v>46076</v>
      </c>
      <c r="U97" vm="521">
        <f ca="1"/>
        <v>1389.1</v>
      </c>
      <c r="W97" s="110">
        <v>46076</v>
      </c>
      <c r="X97" s="111">
        <v>25713</v>
      </c>
    </row>
    <row r="98" spans="2:24" x14ac:dyDescent="0.3">
      <c r="B98" vm="805">
        <f ca="1"/>
        <v>46083</v>
      </c>
      <c r="C98" vm="522">
        <f ca="1"/>
        <v>1404.8</v>
      </c>
      <c r="E98" vm="805">
        <f ca="1"/>
        <v>46083</v>
      </c>
      <c r="F98" vm="523">
        <f ca="1"/>
        <v>1870.8</v>
      </c>
      <c r="H98" vm="805">
        <f ca="1"/>
        <v>46083</v>
      </c>
      <c r="I98" vm="524">
        <f ca="1"/>
        <v>857.05</v>
      </c>
      <c r="K98" vm="805">
        <f ca="1"/>
        <v>46083</v>
      </c>
      <c r="L98" vm="525">
        <f ca="1"/>
        <v>3949.8</v>
      </c>
      <c r="N98" vm="805">
        <f ca="1"/>
        <v>46083</v>
      </c>
      <c r="O98" vm="526">
        <f ca="1"/>
        <v>1321.2</v>
      </c>
      <c r="Q98" vm="805">
        <f ca="1"/>
        <v>46083</v>
      </c>
      <c r="R98" vm="527">
        <f ca="1"/>
        <v>14159</v>
      </c>
      <c r="T98" vm="805">
        <f ca="1"/>
        <v>46083</v>
      </c>
      <c r="U98" vm="528">
        <f ca="1"/>
        <v>1356.7</v>
      </c>
      <c r="W98" s="110">
        <v>46083</v>
      </c>
      <c r="X98" s="111">
        <v>24865.69921875</v>
      </c>
    </row>
    <row r="99" spans="2:24" x14ac:dyDescent="0.3">
      <c r="B99" vm="806">
        <f ca="1"/>
        <v>46090</v>
      </c>
      <c r="C99" vm="529">
        <f ca="1"/>
        <v>1380.7</v>
      </c>
      <c r="E99" vm="806">
        <f ca="1"/>
        <v>46090</v>
      </c>
      <c r="F99" vm="530">
        <f ca="1"/>
        <v>1803.4</v>
      </c>
      <c r="H99" vm="806">
        <f ca="1"/>
        <v>46090</v>
      </c>
      <c r="I99" vm="531">
        <f ca="1"/>
        <v>817</v>
      </c>
      <c r="K99" vm="806">
        <f ca="1"/>
        <v>46090</v>
      </c>
      <c r="L99" vm="532">
        <f ca="1"/>
        <v>3439</v>
      </c>
      <c r="N99" vm="806">
        <f ca="1"/>
        <v>46090</v>
      </c>
      <c r="O99" vm="533">
        <f ca="1"/>
        <v>1314.7</v>
      </c>
      <c r="Q99" vm="806">
        <f ca="1"/>
        <v>46090</v>
      </c>
      <c r="R99" vm="534">
        <f ca="1"/>
        <v>12591</v>
      </c>
      <c r="T99" vm="806">
        <f ca="1"/>
        <v>46090</v>
      </c>
      <c r="U99" vm="535">
        <f ca="1"/>
        <v>1325.4</v>
      </c>
      <c r="W99" s="110">
        <v>46090</v>
      </c>
      <c r="X99" s="111">
        <v>24028.05078125</v>
      </c>
    </row>
    <row r="100" spans="2:24" x14ac:dyDescent="0.3">
      <c r="B100" vm="807">
        <f ca="1"/>
        <v>46097</v>
      </c>
      <c r="C100" vm="536">
        <f ca="1"/>
        <v>1414.4</v>
      </c>
      <c r="E100" vm="807">
        <f ca="1"/>
        <v>46097</v>
      </c>
      <c r="F100" vm="537">
        <f ca="1"/>
        <v>1846.1</v>
      </c>
      <c r="H100" vm="807">
        <f ca="1"/>
        <v>46097</v>
      </c>
      <c r="I100" vm="538">
        <f ca="1"/>
        <v>780.45</v>
      </c>
      <c r="K100" vm="807">
        <f ca="1"/>
        <v>46097</v>
      </c>
      <c r="L100" vm="539">
        <f ca="1"/>
        <v>3434.8</v>
      </c>
      <c r="N100" vm="807">
        <f ca="1"/>
        <v>46097</v>
      </c>
      <c r="O100" vm="540">
        <f ca="1"/>
        <v>1256.4000000000001</v>
      </c>
      <c r="Q100" vm="807">
        <f ca="1"/>
        <v>46097</v>
      </c>
      <c r="R100" vm="541">
        <f ca="1"/>
        <v>12601</v>
      </c>
      <c r="T100" vm="807">
        <f ca="1"/>
        <v>46097</v>
      </c>
      <c r="U100" vm="542">
        <f ca="1"/>
        <v>1333.7</v>
      </c>
      <c r="W100" s="110">
        <v>46097</v>
      </c>
      <c r="X100" s="111">
        <v>23408.80078125</v>
      </c>
    </row>
    <row r="101" spans="2:24" x14ac:dyDescent="0.3">
      <c r="B101" vm="808">
        <f ca="1"/>
        <v>46104</v>
      </c>
      <c r="C101" vm="543">
        <f ca="1"/>
        <v>1348.1</v>
      </c>
      <c r="E101" vm="808">
        <f ca="1"/>
        <v>46104</v>
      </c>
      <c r="F101" vm="544">
        <f ca="1"/>
        <v>1843.9</v>
      </c>
      <c r="H101" vm="808">
        <f ca="1"/>
        <v>46104</v>
      </c>
      <c r="I101" vm="545">
        <f ca="1"/>
        <v>756.2</v>
      </c>
      <c r="K101" vm="808">
        <f ca="1"/>
        <v>46104</v>
      </c>
      <c r="L101" vm="546">
        <f ca="1"/>
        <v>3564.1</v>
      </c>
      <c r="N101" vm="808">
        <f ca="1"/>
        <v>46104</v>
      </c>
      <c r="O101" vm="547">
        <f ca="1"/>
        <v>1242.3</v>
      </c>
      <c r="Q101" vm="808">
        <f ca="1"/>
        <v>46104</v>
      </c>
      <c r="R101" vm="548">
        <f ca="1"/>
        <v>12389</v>
      </c>
      <c r="T101" vm="808">
        <f ca="1"/>
        <v>46104</v>
      </c>
      <c r="U101" vm="549">
        <f ca="1"/>
        <v>1364.4</v>
      </c>
      <c r="W101" s="110">
        <v>46104</v>
      </c>
      <c r="X101" s="111">
        <v>22512.650390625</v>
      </c>
    </row>
    <row r="102" spans="2:24" x14ac:dyDescent="0.3">
      <c r="B102" vm="809">
        <f ca="1"/>
        <v>46111</v>
      </c>
      <c r="C102" vm="550">
        <f ca="1"/>
        <v>1350.5</v>
      </c>
      <c r="E102" vm="809">
        <f ca="1"/>
        <v>46111</v>
      </c>
      <c r="F102" vm="551">
        <f ca="1"/>
        <v>1789.7</v>
      </c>
      <c r="H102" vm="809">
        <f ca="1"/>
        <v>46111</v>
      </c>
      <c r="I102" vm="552">
        <f ca="1"/>
        <v>750.9</v>
      </c>
      <c r="K102" vm="809">
        <f ca="1"/>
        <v>46111</v>
      </c>
      <c r="L102" vm="553">
        <f ca="1"/>
        <v>3613.1</v>
      </c>
      <c r="N102" vm="809">
        <f ca="1"/>
        <v>46111</v>
      </c>
      <c r="O102" vm="554">
        <f ca="1"/>
        <v>1192.4000000000001</v>
      </c>
      <c r="Q102" vm="809">
        <f ca="1"/>
        <v>46111</v>
      </c>
      <c r="R102" vm="555">
        <f ca="1"/>
        <v>12631</v>
      </c>
      <c r="T102" vm="809">
        <f ca="1"/>
        <v>46111</v>
      </c>
      <c r="U102" vm="556">
        <f ca="1"/>
        <v>1402.2</v>
      </c>
      <c r="W102" s="110">
        <v>46111</v>
      </c>
      <c r="X102" s="111">
        <v>22331.400390625</v>
      </c>
    </row>
    <row r="103" spans="2:24" x14ac:dyDescent="0.3">
      <c r="B103" vm="810">
        <f ca="1"/>
        <v>46118</v>
      </c>
      <c r="C103" vm="557">
        <f ca="1"/>
        <v>1350.2</v>
      </c>
      <c r="E103" vm="810">
        <f ca="1"/>
        <v>46118</v>
      </c>
      <c r="F103" vm="558">
        <f ca="1"/>
        <v>1870</v>
      </c>
      <c r="H103" vm="810">
        <f ca="1"/>
        <v>46118</v>
      </c>
      <c r="I103" vm="559">
        <f ca="1"/>
        <v>810.3</v>
      </c>
      <c r="K103" vm="810">
        <f ca="1"/>
        <v>46118</v>
      </c>
      <c r="L103" vm="560">
        <f ca="1"/>
        <v>3959.9</v>
      </c>
      <c r="N103" vm="810">
        <f ca="1"/>
        <v>46118</v>
      </c>
      <c r="O103" vm="561">
        <f ca="1"/>
        <v>1229.5</v>
      </c>
      <c r="Q103" vm="810">
        <f ca="1"/>
        <v>46118</v>
      </c>
      <c r="R103" vm="562">
        <f ca="1"/>
        <v>13709</v>
      </c>
      <c r="T103" vm="810">
        <f ca="1"/>
        <v>46118</v>
      </c>
      <c r="U103" vm="563">
        <f ca="1"/>
        <v>1451.2</v>
      </c>
      <c r="W103" s="110">
        <v>46118</v>
      </c>
      <c r="X103" s="111">
        <v>22968.25</v>
      </c>
    </row>
    <row r="104" spans="2:24" x14ac:dyDescent="0.3">
      <c r="B104" vm="811">
        <f ca="1"/>
        <v>46125</v>
      </c>
      <c r="C104" vm="564">
        <f ca="1"/>
        <v>1365</v>
      </c>
      <c r="E104" vm="811">
        <f ca="1"/>
        <v>46125</v>
      </c>
      <c r="F104" vm="565">
        <f ca="1"/>
        <v>1846.9</v>
      </c>
      <c r="H104" vm="811">
        <f ca="1"/>
        <v>46125</v>
      </c>
      <c r="I104" vm="566">
        <f ca="1"/>
        <v>799.9</v>
      </c>
      <c r="K104" vm="811">
        <f ca="1"/>
        <v>46125</v>
      </c>
      <c r="L104" vm="567">
        <f ca="1"/>
        <v>4096.1000000000004</v>
      </c>
      <c r="N104" vm="811">
        <f ca="1"/>
        <v>46125</v>
      </c>
      <c r="O104" vm="568">
        <f ca="1"/>
        <v>1240.8</v>
      </c>
      <c r="Q104" vm="811">
        <f ca="1"/>
        <v>46125</v>
      </c>
      <c r="R104" vm="569">
        <f ca="1"/>
        <v>13453</v>
      </c>
      <c r="T104" vm="811">
        <f ca="1"/>
        <v>46125</v>
      </c>
      <c r="U104" vm="138">
        <f ca="1"/>
        <v>1442.3</v>
      </c>
      <c r="W104" s="110">
        <v>46125</v>
      </c>
      <c r="X104" s="111">
        <v>23842.650390625</v>
      </c>
    </row>
    <row r="105" spans="2:24" x14ac:dyDescent="0.3">
      <c r="B105" vm="812">
        <f ca="1"/>
        <v>46132</v>
      </c>
      <c r="C105" vm="570">
        <f ca="1"/>
        <v>1327.8</v>
      </c>
      <c r="E105" vm="812">
        <f ca="1"/>
        <v>46132</v>
      </c>
      <c r="F105" vm="571">
        <f ca="1"/>
        <v>1814.5</v>
      </c>
      <c r="H105" vm="812">
        <f ca="1"/>
        <v>46132</v>
      </c>
      <c r="I105" vm="572">
        <f ca="1"/>
        <v>784.85</v>
      </c>
      <c r="K105" vm="812">
        <f ca="1"/>
        <v>46132</v>
      </c>
      <c r="L105" vm="573">
        <f ca="1"/>
        <v>4014.3</v>
      </c>
      <c r="N105" vm="812">
        <f ca="1"/>
        <v>46132</v>
      </c>
      <c r="O105" vm="574">
        <f ca="1"/>
        <v>1295</v>
      </c>
      <c r="Q105" vm="812">
        <f ca="1"/>
        <v>46132</v>
      </c>
      <c r="R105" vm="575">
        <f ca="1"/>
        <v>13048</v>
      </c>
      <c r="T105" vm="812">
        <f ca="1"/>
        <v>46132</v>
      </c>
      <c r="U105" vm="576">
        <f ca="1"/>
        <v>1203.2</v>
      </c>
      <c r="W105" s="110">
        <v>46132</v>
      </c>
      <c r="X105" s="111">
        <v>24364.849609375</v>
      </c>
    </row>
    <row r="106" spans="2:24" x14ac:dyDescent="0.3">
      <c r="B106" vm="813">
        <f ca="1"/>
        <v>46139</v>
      </c>
      <c r="C106" vm="577">
        <f ca="1"/>
        <v>1430.8</v>
      </c>
      <c r="E106" vm="813">
        <f ca="1"/>
        <v>46139</v>
      </c>
      <c r="F106" vm="578">
        <f ca="1"/>
        <v>1886.8</v>
      </c>
      <c r="H106" vm="813">
        <f ca="1"/>
        <v>46139</v>
      </c>
      <c r="I106" vm="579">
        <f ca="1"/>
        <v>771.7</v>
      </c>
      <c r="K106" vm="813">
        <f ca="1"/>
        <v>46139</v>
      </c>
      <c r="L106" vm="580">
        <f ca="1"/>
        <v>4014</v>
      </c>
      <c r="N106" vm="813">
        <f ca="1"/>
        <v>46139</v>
      </c>
      <c r="O106" vm="581">
        <f ca="1"/>
        <v>1309.5999999999999</v>
      </c>
      <c r="Q106" vm="813">
        <f ca="1"/>
        <v>46139</v>
      </c>
      <c r="R106" vm="582">
        <f ca="1"/>
        <v>13314</v>
      </c>
      <c r="T106" vm="813">
        <f ca="1"/>
        <v>46139</v>
      </c>
      <c r="U106" vm="583">
        <f ca="1"/>
        <v>1199.0999999999999</v>
      </c>
      <c r="W106" s="110">
        <v>46139</v>
      </c>
      <c r="X106" s="111">
        <v>24092.69921875</v>
      </c>
    </row>
    <row r="107" spans="2:24" x14ac:dyDescent="0.3">
      <c r="B107" vm="814">
        <f ca="1"/>
        <v>46146</v>
      </c>
      <c r="C107" vm="584">
        <f ca="1"/>
        <v>1435.2</v>
      </c>
      <c r="E107" vm="814">
        <f ca="1"/>
        <v>46146</v>
      </c>
      <c r="F107" vm="585">
        <f ca="1"/>
        <v>1834.5</v>
      </c>
      <c r="H107" vm="814">
        <f ca="1"/>
        <v>46146</v>
      </c>
      <c r="I107" vm="586">
        <f ca="1"/>
        <v>780.85</v>
      </c>
      <c r="K107" vm="814">
        <f ca="1"/>
        <v>46146</v>
      </c>
      <c r="L107" vm="587">
        <f ca="1"/>
        <v>3974.5</v>
      </c>
      <c r="N107" vm="814">
        <f ca="1"/>
        <v>46146</v>
      </c>
      <c r="O107" vm="588">
        <f ca="1"/>
        <v>1347</v>
      </c>
      <c r="Q107" vm="814">
        <f ca="1"/>
        <v>46146</v>
      </c>
      <c r="R107" vm="589">
        <f ca="1"/>
        <v>13726</v>
      </c>
      <c r="T107" vm="814">
        <f ca="1"/>
        <v>46146</v>
      </c>
      <c r="U107" vm="590">
        <f ca="1"/>
        <v>1198.4000000000001</v>
      </c>
      <c r="W107" s="110">
        <v>46146</v>
      </c>
      <c r="X107" s="111">
        <v>24119.30078125</v>
      </c>
    </row>
    <row r="108" spans="2:24" x14ac:dyDescent="0.3">
      <c r="B108" vm="815">
        <f ca="1"/>
        <v>46153</v>
      </c>
      <c r="C108" vm="591">
        <f ca="1"/>
        <v>1336.4</v>
      </c>
      <c r="E108" vm="815">
        <f ca="1"/>
        <v>46153</v>
      </c>
      <c r="F108" vm="592">
        <f ca="1"/>
        <v>1905.4</v>
      </c>
      <c r="H108" vm="815">
        <f ca="1"/>
        <v>46153</v>
      </c>
      <c r="I108" vm="593">
        <f ca="1"/>
        <v>767.5</v>
      </c>
      <c r="K108" vm="815">
        <f ca="1"/>
        <v>46153</v>
      </c>
      <c r="L108" vm="594">
        <f ca="1"/>
        <v>3909</v>
      </c>
      <c r="N108" vm="815">
        <f ca="1"/>
        <v>46153</v>
      </c>
      <c r="O108" vm="595">
        <f ca="1"/>
        <v>1432.1</v>
      </c>
      <c r="Q108" vm="815">
        <f ca="1"/>
        <v>46153</v>
      </c>
      <c r="R108" vm="596">
        <f ca="1"/>
        <v>13221</v>
      </c>
      <c r="T108" vm="815">
        <f ca="1"/>
        <v>46153</v>
      </c>
      <c r="U108" vm="597">
        <f ca="1"/>
        <v>1132.5999999999999</v>
      </c>
      <c r="W108" s="110">
        <v>46153</v>
      </c>
      <c r="X108" s="111">
        <v>23815.849609375</v>
      </c>
    </row>
    <row r="109" spans="2:24" x14ac:dyDescent="0.3">
      <c r="B109" vm="816">
        <f ca="1"/>
        <v>46160</v>
      </c>
      <c r="C109" vm="598">
        <f ca="1"/>
        <v>1354.5</v>
      </c>
      <c r="E109" vm="816">
        <f ca="1"/>
        <v>46160</v>
      </c>
      <c r="F109" vm="599">
        <f ca="1"/>
        <v>1871.4</v>
      </c>
      <c r="H109" vm="816">
        <f ca="1"/>
        <v>46160</v>
      </c>
      <c r="I109" vm="600">
        <f ca="1"/>
        <v>766.8</v>
      </c>
      <c r="K109" vm="816">
        <f ca="1"/>
        <v>46160</v>
      </c>
      <c r="L109" vm="601">
        <f ca="1"/>
        <v>3926.6</v>
      </c>
      <c r="N109" vm="816">
        <f ca="1"/>
        <v>46160</v>
      </c>
      <c r="O109" vm="602">
        <f ca="1"/>
        <v>1399.2</v>
      </c>
      <c r="Q109" vm="816">
        <f ca="1"/>
        <v>46160</v>
      </c>
      <c r="R109" vm="603">
        <f ca="1"/>
        <v>12987</v>
      </c>
      <c r="T109" vm="816">
        <f ca="1"/>
        <v>46160</v>
      </c>
      <c r="U109" vm="604">
        <f ca="1"/>
        <v>1164</v>
      </c>
      <c r="W109" s="110">
        <v>46160</v>
      </c>
      <c r="X109" s="111">
        <v>23649.94921875</v>
      </c>
    </row>
    <row r="110" spans="2:24" x14ac:dyDescent="0.3">
      <c r="B110" vm="817">
        <f ca="1"/>
        <v>46167</v>
      </c>
      <c r="C110" vm="526">
        <f ca="1"/>
        <v>1321.2</v>
      </c>
      <c r="E110" vm="817">
        <f ca="1"/>
        <v>46167</v>
      </c>
      <c r="F110" vm="605">
        <f ca="1"/>
        <v>1829</v>
      </c>
      <c r="H110" vm="817">
        <f ca="1"/>
        <v>46167</v>
      </c>
      <c r="I110" vm="606">
        <f ca="1"/>
        <v>744.55</v>
      </c>
      <c r="K110" vm="817">
        <f ca="1"/>
        <v>46167</v>
      </c>
      <c r="L110" vm="607">
        <f ca="1"/>
        <v>4076.5</v>
      </c>
      <c r="N110" vm="817">
        <f ca="1"/>
        <v>46167</v>
      </c>
      <c r="O110" vm="608">
        <f ca="1"/>
        <v>1401</v>
      </c>
      <c r="Q110" vm="817">
        <f ca="1"/>
        <v>46167</v>
      </c>
      <c r="R110" vm="609">
        <f ca="1"/>
        <v>13127</v>
      </c>
      <c r="T110" vm="817">
        <f ca="1"/>
        <v>46167</v>
      </c>
      <c r="U110" vm="610">
        <f ca="1"/>
        <v>1183.8</v>
      </c>
      <c r="W110" s="110">
        <v>46167</v>
      </c>
      <c r="X110" s="111">
        <v>24031.69921875</v>
      </c>
    </row>
    <row r="111" spans="2:24" x14ac:dyDescent="0.3">
      <c r="B111" vm="818">
        <f ca="1"/>
        <v>46174</v>
      </c>
      <c r="C111" vm="611">
        <f ca="1"/>
        <v>1291</v>
      </c>
      <c r="E111" vm="818">
        <f ca="1"/>
        <v>46174</v>
      </c>
      <c r="F111" vm="612">
        <f ca="1"/>
        <v>1798.2</v>
      </c>
      <c r="H111" vm="818">
        <f ca="1"/>
        <v>46174</v>
      </c>
      <c r="I111" vm="613">
        <f ca="1"/>
        <v>747.05</v>
      </c>
      <c r="K111" vm="818">
        <f ca="1"/>
        <v>46174</v>
      </c>
      <c r="L111" vm="614">
        <f ca="1"/>
        <v>3953.2</v>
      </c>
      <c r="N111" vm="818">
        <f ca="1"/>
        <v>46174</v>
      </c>
      <c r="O111" vm="615">
        <f ca="1"/>
        <v>1401.3</v>
      </c>
      <c r="Q111" vm="818">
        <f ca="1"/>
        <v>46174</v>
      </c>
      <c r="R111" vm="616">
        <f ca="1"/>
        <v>13050</v>
      </c>
      <c r="T111" vm="818">
        <f ca="1"/>
        <v>46174</v>
      </c>
      <c r="U111" vm="617">
        <f ca="1"/>
        <v>1154.7</v>
      </c>
      <c r="W111" s="110">
        <v>46174</v>
      </c>
      <c r="X111" s="111">
        <v>23382.599609375</v>
      </c>
    </row>
    <row r="112" spans="2:24" x14ac:dyDescent="0.3">
      <c r="B112" vm="819">
        <f ca="1"/>
        <v>46181</v>
      </c>
      <c r="C112" vm="618">
        <f ca="1"/>
        <v>1293</v>
      </c>
      <c r="E112" vm="819">
        <f ca="1"/>
        <v>46181</v>
      </c>
      <c r="F112" vm="619">
        <f ca="1"/>
        <v>1822.5</v>
      </c>
      <c r="H112" vm="819">
        <f ca="1"/>
        <v>46181</v>
      </c>
      <c r="I112" vm="620">
        <f ca="1"/>
        <v>772.45</v>
      </c>
      <c r="K112" vm="819">
        <f ca="1"/>
        <v>46181</v>
      </c>
      <c r="L112" vm="621">
        <f ca="1"/>
        <v>4049.3</v>
      </c>
      <c r="N112" vm="819">
        <f ca="1"/>
        <v>46181</v>
      </c>
      <c r="O112" vm="622">
        <f ca="1"/>
        <v>1389.4</v>
      </c>
      <c r="Q112" vm="819">
        <f ca="1"/>
        <v>46181</v>
      </c>
      <c r="R112" vm="623">
        <f ca="1"/>
        <v>13366</v>
      </c>
      <c r="T112" vm="819">
        <f ca="1"/>
        <v>46181</v>
      </c>
      <c r="U112" vm="624">
        <f ca="1"/>
        <v>1109.5999999999999</v>
      </c>
      <c r="W112" s="110">
        <v>46181</v>
      </c>
      <c r="X112" s="111">
        <v>23123</v>
      </c>
    </row>
    <row r="113" spans="2:24" x14ac:dyDescent="0.3">
      <c r="B113" vm="820">
        <f ca="1"/>
        <v>46188</v>
      </c>
      <c r="C113" vm="1">
        <f ca="1"/>
        <v>1309.5</v>
      </c>
      <c r="E113" vm="820">
        <f ca="1"/>
        <v>46188</v>
      </c>
      <c r="F113" vm="625">
        <f ca="1"/>
        <v>1910.8</v>
      </c>
      <c r="H113" vm="820">
        <f ca="1"/>
        <v>46188</v>
      </c>
      <c r="I113" vm="626">
        <f ca="1"/>
        <v>779.8</v>
      </c>
      <c r="K113" vm="820">
        <f ca="1"/>
        <v>46188</v>
      </c>
      <c r="L113" vm="627">
        <f ca="1"/>
        <v>4209.3999999999996</v>
      </c>
      <c r="N113" vm="820">
        <f ca="1"/>
        <v>46188</v>
      </c>
      <c r="O113" vm="628">
        <f ca="1"/>
        <v>1351.8</v>
      </c>
      <c r="Q113" vm="820">
        <f ca="1"/>
        <v>46188</v>
      </c>
      <c r="R113" vm="629">
        <f ca="1"/>
        <v>13395</v>
      </c>
      <c r="T113" vm="820">
        <f ca="1"/>
        <v>46188</v>
      </c>
      <c r="U113" vm="630">
        <f ca="1"/>
        <v>1131.7</v>
      </c>
      <c r="W113" s="110">
        <v>46188</v>
      </c>
      <c r="X113" s="111">
        <v>23853.900390625</v>
      </c>
    </row>
    <row r="114" spans="2:24" x14ac:dyDescent="0.3">
      <c r="B114" vm="821">
        <f ca="1"/>
        <v>46195</v>
      </c>
      <c r="C114" vm="631">
        <f ca="1"/>
        <v>1318.1</v>
      </c>
      <c r="E114" vm="821">
        <f ca="1"/>
        <v>46195</v>
      </c>
      <c r="F114" vm="632">
        <f ca="1"/>
        <v>1850.7</v>
      </c>
      <c r="H114" vm="821">
        <f ca="1"/>
        <v>46195</v>
      </c>
      <c r="I114" vm="633">
        <f ca="1"/>
        <v>796.3</v>
      </c>
      <c r="K114" vm="821">
        <f ca="1"/>
        <v>46195</v>
      </c>
      <c r="L114" vm="634">
        <f ca="1"/>
        <v>4216.3999999999996</v>
      </c>
      <c r="N114" vm="821">
        <f ca="1"/>
        <v>46195</v>
      </c>
      <c r="O114" vm="635">
        <f ca="1"/>
        <v>1440.1</v>
      </c>
      <c r="Q114" vm="821">
        <f ca="1"/>
        <v>46195</v>
      </c>
      <c r="R114" vm="636">
        <f ca="1"/>
        <v>13745</v>
      </c>
      <c r="T114" vm="821">
        <f ca="1"/>
        <v>46195</v>
      </c>
      <c r="U114" vm="637">
        <f ca="1"/>
        <v>1100.7</v>
      </c>
      <c r="W114" s="110">
        <v>46195</v>
      </c>
      <c r="X114" s="111">
        <v>24102.900390625</v>
      </c>
    </row>
    <row r="115" spans="2:24" x14ac:dyDescent="0.3">
      <c r="B115" vm="822">
        <f ca="1"/>
        <v>46202</v>
      </c>
      <c r="C115" vm="638">
        <f ca="1"/>
        <v>1304</v>
      </c>
      <c r="E115" vm="822">
        <f ca="1"/>
        <v>46202</v>
      </c>
      <c r="F115" vm="639">
        <f ca="1"/>
        <v>1910.4</v>
      </c>
      <c r="H115" vm="822">
        <f ca="1"/>
        <v>46202</v>
      </c>
      <c r="I115" vm="640">
        <f ca="1"/>
        <v>801.05</v>
      </c>
      <c r="K115" vm="822">
        <f ca="1"/>
        <v>46202</v>
      </c>
      <c r="L115" vm="641">
        <f ca="1"/>
        <v>4026.6</v>
      </c>
      <c r="N115" vm="822">
        <f ca="1"/>
        <v>46202</v>
      </c>
      <c r="O115" vm="642">
        <f ca="1"/>
        <v>1458.2</v>
      </c>
      <c r="Q115" vm="822">
        <f ca="1"/>
        <v>46202</v>
      </c>
      <c r="R115" vm="643">
        <f ca="1"/>
        <v>14366</v>
      </c>
      <c r="T115" vm="822">
        <f ca="1"/>
        <v>46202</v>
      </c>
      <c r="U115" vm="644">
        <f ca="1"/>
        <v>1139</v>
      </c>
      <c r="W115" s="110">
        <v>46202</v>
      </c>
      <c r="X115" s="111">
        <v>23946.25</v>
      </c>
    </row>
    <row r="116" spans="2:24" x14ac:dyDescent="0.3">
      <c r="B116" vm="823">
        <f ca="1"/>
        <v>46209</v>
      </c>
      <c r="C116" vm="645">
        <f ca="1"/>
        <v>1307.8</v>
      </c>
      <c r="E116" vm="823">
        <f ca="1"/>
        <v>46209</v>
      </c>
      <c r="F116" vm="646">
        <f ca="1"/>
        <v>1920.4</v>
      </c>
      <c r="H116" vm="823">
        <f ca="1"/>
        <v>46209</v>
      </c>
      <c r="I116" vm="647">
        <f ca="1"/>
        <v>824.95</v>
      </c>
      <c r="K116" vm="823">
        <f ca="1"/>
        <v>46209</v>
      </c>
      <c r="L116" vm="648">
        <f ca="1"/>
        <v>3945.8</v>
      </c>
      <c r="N116" vm="823">
        <f ca="1"/>
        <v>46209</v>
      </c>
      <c r="O116" vm="649">
        <f ca="1"/>
        <v>1439.4</v>
      </c>
      <c r="Q116" vm="823">
        <f ca="1"/>
        <v>46209</v>
      </c>
      <c r="R116" vm="650">
        <f ca="1"/>
        <v>13854</v>
      </c>
      <c r="T116" vm="823">
        <f ca="1"/>
        <v>46209</v>
      </c>
      <c r="U116" vm="651">
        <f ca="1"/>
        <v>1164.0999999999999</v>
      </c>
      <c r="W116" s="110">
        <v>46209</v>
      </c>
      <c r="X116" s="111">
        <v>24430.349609375</v>
      </c>
    </row>
    <row r="117" spans="2:24" x14ac:dyDescent="0.3">
      <c r="B117" vm="824">
        <f ca="1"/>
        <v>46216</v>
      </c>
      <c r="C117" vm="652">
        <f ca="1"/>
        <v>1327.2</v>
      </c>
      <c r="E117" vm="824">
        <f ca="1"/>
        <v>46216</v>
      </c>
      <c r="F117" vm="653">
        <f ca="1"/>
        <v>1908.8</v>
      </c>
      <c r="H117" vm="824">
        <f ca="1"/>
        <v>46216</v>
      </c>
      <c r="I117" vm="654">
        <f ca="1"/>
        <v>819.6</v>
      </c>
      <c r="K117" vm="824">
        <f ca="1"/>
        <v>46216</v>
      </c>
      <c r="L117" vm="655">
        <f ca="1"/>
        <v>3814.5</v>
      </c>
      <c r="N117" vm="824">
        <f ca="1"/>
        <v>46216</v>
      </c>
      <c r="O117" vm="656">
        <f ca="1"/>
        <v>1418.7</v>
      </c>
      <c r="Q117" vm="824">
        <f ca="1"/>
        <v>46216</v>
      </c>
      <c r="R117" vm="657">
        <f ca="1"/>
        <v>13803</v>
      </c>
      <c r="T117" vm="824">
        <f ca="1"/>
        <v>46216</v>
      </c>
      <c r="U117" vm="658">
        <f ca="1"/>
        <v>1203.9000000000001</v>
      </c>
      <c r="W117" s="110">
        <v>46216</v>
      </c>
      <c r="X117" s="111">
        <v>24211</v>
      </c>
    </row>
    <row r="118" spans="2:24" x14ac:dyDescent="0.3">
      <c r="B118" vm="825">
        <f ca="1"/>
        <v>46223</v>
      </c>
      <c r="C118" vm="659">
        <f ca="1"/>
        <v>1278</v>
      </c>
      <c r="E118" vm="825">
        <f ca="1"/>
        <v>46223</v>
      </c>
      <c r="F118" vm="660">
        <f ca="1"/>
        <v>1898.2</v>
      </c>
      <c r="H118" vm="825">
        <f ca="1"/>
        <v>46223</v>
      </c>
      <c r="I118" vm="661">
        <f ca="1"/>
        <v>742.8</v>
      </c>
      <c r="K118" vm="825">
        <f ca="1"/>
        <v>46223</v>
      </c>
      <c r="L118" vm="662">
        <f ca="1"/>
        <v>3785.6</v>
      </c>
      <c r="N118" vm="825">
        <f ca="1"/>
        <v>46223</v>
      </c>
      <c r="O118" vm="663">
        <f ca="1"/>
        <v>1410.6</v>
      </c>
      <c r="Q118" vm="825">
        <f ca="1"/>
        <v>46223</v>
      </c>
      <c r="R118" vm="664">
        <f ca="1"/>
        <v>13442</v>
      </c>
      <c r="T118" vm="825">
        <f ca="1"/>
        <v>46223</v>
      </c>
      <c r="U118" vm="665">
        <f ca="1"/>
        <v>1271</v>
      </c>
      <c r="W118" s="110">
        <v>46223</v>
      </c>
      <c r="X118" s="111">
        <v>24238.5</v>
      </c>
    </row>
    <row r="119" spans="2:24" x14ac:dyDescent="0.3">
      <c r="B119" vm="826">
        <f ca="1"/>
        <v>46230</v>
      </c>
      <c r="C119" vm="645">
        <f ca="1"/>
        <v>1307.8</v>
      </c>
      <c r="E119" vm="826">
        <f ca="1"/>
        <v>46230</v>
      </c>
      <c r="F119" vm="666">
        <f ca="1"/>
        <v>1972</v>
      </c>
      <c r="H119" vm="826">
        <f ca="1"/>
        <v>46230</v>
      </c>
      <c r="I119" vm="667">
        <f ca="1"/>
        <v>748.15</v>
      </c>
      <c r="K119" vm="826">
        <f ca="1"/>
        <v>46230</v>
      </c>
      <c r="L119" vm="668">
        <f ca="1"/>
        <v>3938.9</v>
      </c>
      <c r="N119" vm="826">
        <f ca="1"/>
        <v>46230</v>
      </c>
      <c r="O119" vm="669">
        <f ca="1"/>
        <v>1473.2</v>
      </c>
      <c r="Q119" vm="826">
        <f ca="1"/>
        <v>46230</v>
      </c>
      <c r="R119" vm="670">
        <f ca="1"/>
        <v>14234</v>
      </c>
      <c r="T119" vm="826">
        <f ca="1"/>
        <v>46230</v>
      </c>
      <c r="U119" vm="671">
        <f ca="1"/>
        <v>1346.9</v>
      </c>
      <c r="W119" s="110">
        <v>46230</v>
      </c>
      <c r="X119" s="111">
        <v>23995.94921875</v>
      </c>
    </row>
    <row r="120" spans="2:24" x14ac:dyDescent="0.3">
      <c r="B120" vm="827">
        <f ca="1"/>
        <v>46237</v>
      </c>
      <c r="C120" vm="672">
        <f ca="1"/>
        <v>1334.8</v>
      </c>
      <c r="E120" vm="827">
        <f ca="1"/>
        <v>46237</v>
      </c>
      <c r="F120" vm="673">
        <f ca="1"/>
        <v>1959.9</v>
      </c>
      <c r="H120" vm="827">
        <f ca="1"/>
        <v>46237</v>
      </c>
      <c r="I120" vm="674">
        <f ca="1"/>
        <v>731</v>
      </c>
      <c r="K120" vm="827">
        <f ca="1"/>
        <v>46237</v>
      </c>
      <c r="L120" vm="675">
        <f ca="1"/>
        <v>4056</v>
      </c>
      <c r="N120" vm="827">
        <f ca="1"/>
        <v>46237</v>
      </c>
      <c r="O120" vm="676">
        <f ca="1"/>
        <v>1463.8</v>
      </c>
      <c r="Q120" vm="827">
        <f ca="1"/>
        <v>46237</v>
      </c>
      <c r="R120" vm="677">
        <f ca="1"/>
        <v>14037</v>
      </c>
      <c r="T120" vm="827">
        <f ca="1"/>
        <v>46237</v>
      </c>
      <c r="U120" vm="678">
        <f ca="1"/>
        <v>1356.6</v>
      </c>
      <c r="W120" s="110">
        <v>46237</v>
      </c>
      <c r="X120" s="111">
        <v>24774.30078125</v>
      </c>
    </row>
    <row r="121" spans="2:24" x14ac:dyDescent="0.3">
      <c r="B121" vm="828">
        <f ca="1"/>
        <v>46244</v>
      </c>
      <c r="C121" vm="679">
        <f ca="1"/>
        <v>1310</v>
      </c>
      <c r="E121" vm="828">
        <f ca="1"/>
        <v>46244</v>
      </c>
      <c r="F121" vm="680">
        <f ca="1"/>
        <v>1992.1</v>
      </c>
      <c r="H121" vm="828">
        <f ca="1"/>
        <v>46244</v>
      </c>
      <c r="I121" vm="681">
        <f ca="1"/>
        <v>727</v>
      </c>
      <c r="K121" vm="828">
        <f ca="1"/>
        <v>46244</v>
      </c>
      <c r="L121" vm="682">
        <f ca="1"/>
        <v>4057</v>
      </c>
      <c r="N121" vm="828">
        <f ca="1"/>
        <v>46244</v>
      </c>
      <c r="O121" vm="683">
        <f ca="1"/>
        <v>1450</v>
      </c>
      <c r="Q121" vm="828">
        <f ca="1"/>
        <v>46244</v>
      </c>
      <c r="R121" vm="684">
        <f ca="1"/>
        <v>13834</v>
      </c>
      <c r="T121" vm="828">
        <f ca="1"/>
        <v>46244</v>
      </c>
      <c r="U121" vm="685">
        <f ca="1"/>
        <v>1360</v>
      </c>
      <c r="W121" s="110">
        <v>46244</v>
      </c>
      <c r="X121" s="111">
        <v>24583.80078125</v>
      </c>
    </row>
    <row r="122" spans="2:24" x14ac:dyDescent="0.3">
      <c r="B122" vm="829">
        <f ca="1"/>
        <v>46251</v>
      </c>
      <c r="C122" vm="686">
        <f ca="1"/>
        <v>1316</v>
      </c>
      <c r="E122" vm="829">
        <f ca="1"/>
        <v>46251</v>
      </c>
      <c r="F122" vm="687">
        <f ca="1"/>
        <v>1946</v>
      </c>
      <c r="H122" vm="829">
        <f ca="1"/>
        <v>46251</v>
      </c>
      <c r="I122" vm="688">
        <f ca="1"/>
        <v>726.95</v>
      </c>
      <c r="K122" vm="829">
        <f ca="1"/>
        <v>46251</v>
      </c>
      <c r="L122" vm="689">
        <f ca="1"/>
        <v>4093</v>
      </c>
      <c r="N122" vm="829">
        <f ca="1"/>
        <v>46251</v>
      </c>
      <c r="O122" vm="690">
        <f ca="1"/>
        <v>1432.2</v>
      </c>
      <c r="Q122" vm="829">
        <f ca="1"/>
        <v>46251</v>
      </c>
      <c r="R122" vm="691">
        <f ca="1"/>
        <v>13565</v>
      </c>
      <c r="T122" vm="829">
        <f ca="1"/>
        <v>46251</v>
      </c>
      <c r="U122" vm="692">
        <f ca="1"/>
        <v>1302.5</v>
      </c>
      <c r="W122" s="110">
        <v>46251</v>
      </c>
      <c r="X122" s="111">
        <v>24287.650390625</v>
      </c>
    </row>
    <row r="123" spans="2:24" x14ac:dyDescent="0.3">
      <c r="B123" vm="830">
        <f ca="1"/>
        <v>46258</v>
      </c>
      <c r="C123" vm="693">
        <f ca="1"/>
        <v>1287</v>
      </c>
      <c r="E123" vm="830">
        <f ca="1"/>
        <v>46258</v>
      </c>
      <c r="F123" vm="694">
        <f ca="1"/>
        <v>1882.4</v>
      </c>
      <c r="H123" vm="830">
        <f ca="1"/>
        <v>46258</v>
      </c>
      <c r="I123" vm="695">
        <f ca="1"/>
        <v>720.3</v>
      </c>
      <c r="K123" vm="830">
        <f ca="1"/>
        <v>46258</v>
      </c>
      <c r="L123" vm="696">
        <f ca="1"/>
        <v>4045.8</v>
      </c>
      <c r="N123" vm="830">
        <f ca="1"/>
        <v>46258</v>
      </c>
      <c r="O123" vm="697">
        <f ca="1"/>
        <v>1423.5</v>
      </c>
      <c r="Q123" vm="830">
        <f ca="1"/>
        <v>46258</v>
      </c>
      <c r="R123" vm="698">
        <f ca="1"/>
        <v>13376</v>
      </c>
      <c r="T123" vm="830">
        <f ca="1"/>
        <v>46258</v>
      </c>
      <c r="U123" vm="699">
        <f ca="1"/>
        <v>1316.1</v>
      </c>
      <c r="W123" s="110">
        <v>46258</v>
      </c>
      <c r="X123" s="111">
        <v>24219.05078125</v>
      </c>
    </row>
    <row r="124" spans="2:24" x14ac:dyDescent="0.3">
      <c r="B124" vm="831">
        <f ca="1"/>
        <v>46265</v>
      </c>
      <c r="C124" vm="700">
        <f ca="1"/>
        <v>1322</v>
      </c>
      <c r="E124" vm="831">
        <f ca="1"/>
        <v>46265</v>
      </c>
      <c r="F124" vm="701">
        <f ca="1"/>
        <v>1840</v>
      </c>
      <c r="H124" vm="831">
        <f ca="1"/>
        <v>46265</v>
      </c>
      <c r="I124" vm="702">
        <f ca="1"/>
        <v>712.1</v>
      </c>
      <c r="K124" vm="831">
        <f ca="1"/>
        <v>46265</v>
      </c>
      <c r="L124" vm="703">
        <f ca="1"/>
        <v>3964.1</v>
      </c>
      <c r="N124" vm="831">
        <f ca="1"/>
        <v>46265</v>
      </c>
      <c r="O124" vm="704">
        <f ca="1"/>
        <v>1385</v>
      </c>
      <c r="Q124" vm="831">
        <f ca="1"/>
        <v>46265</v>
      </c>
      <c r="R124" vm="705">
        <f ca="1"/>
        <v>12694</v>
      </c>
      <c r="T124" vm="831">
        <f ca="1"/>
        <v>46265</v>
      </c>
      <c r="U124" vm="706">
        <f ca="1"/>
        <v>1293.4000000000001</v>
      </c>
      <c r="W124" s="110">
        <v>46265</v>
      </c>
      <c r="X124" s="111">
        <v>24080.400390625</v>
      </c>
    </row>
    <row r="125" spans="2:24" x14ac:dyDescent="0.3">
      <c r="B125" vm="832">
        <f ca="1"/>
        <v>46272</v>
      </c>
      <c r="C125" vm="1">
        <f ca="1"/>
        <v>1309.5</v>
      </c>
      <c r="E125" vm="832">
        <f ca="1"/>
        <v>46272</v>
      </c>
      <c r="F125" vm="2">
        <f ca="1"/>
        <v>1854</v>
      </c>
      <c r="H125" vm="832">
        <f ca="1"/>
        <v>46272</v>
      </c>
      <c r="I125" vm="3">
        <f ca="1"/>
        <v>710.5</v>
      </c>
      <c r="K125" vm="832">
        <f ca="1"/>
        <v>46272</v>
      </c>
      <c r="L125" vm="4">
        <f ca="1"/>
        <v>3999</v>
      </c>
      <c r="N125" vm="832">
        <f ca="1"/>
        <v>46272</v>
      </c>
      <c r="O125" vm="5">
        <f ca="1"/>
        <v>1395</v>
      </c>
      <c r="Q125" vm="832">
        <f ca="1"/>
        <v>46272</v>
      </c>
      <c r="R125" vm="6">
        <f ca="1"/>
        <v>12760</v>
      </c>
      <c r="T125" vm="832">
        <f ca="1"/>
        <v>46272</v>
      </c>
      <c r="U125" vm="7">
        <f ca="1"/>
        <v>1282.8</v>
      </c>
      <c r="W125" s="110">
        <v>46272</v>
      </c>
      <c r="X125" s="111">
        <v>23779.150390625</v>
      </c>
    </row>
  </sheetData>
  <mergeCells count="38">
    <mergeCell ref="W19:X19"/>
    <mergeCell ref="F8:L8"/>
    <mergeCell ref="D15:E15"/>
    <mergeCell ref="A10:B10"/>
    <mergeCell ref="A13:B13"/>
    <mergeCell ref="D14:E14"/>
    <mergeCell ref="A9:B9"/>
    <mergeCell ref="E19:F19"/>
    <mergeCell ref="A16:B16"/>
    <mergeCell ref="F16:L16"/>
    <mergeCell ref="T19:U19"/>
    <mergeCell ref="D16:E16"/>
    <mergeCell ref="H19:I19"/>
    <mergeCell ref="N19:O19"/>
    <mergeCell ref="D10:E10"/>
    <mergeCell ref="A15:B15"/>
    <mergeCell ref="A3:AB3"/>
    <mergeCell ref="A1:AB1"/>
    <mergeCell ref="F12:L12"/>
    <mergeCell ref="A14:B14"/>
    <mergeCell ref="F15:L15"/>
    <mergeCell ref="D9:E9"/>
    <mergeCell ref="A8:B8"/>
    <mergeCell ref="D12:E12"/>
    <mergeCell ref="D8:E8"/>
    <mergeCell ref="F10:L10"/>
    <mergeCell ref="A12:B12"/>
    <mergeCell ref="D11:E11"/>
    <mergeCell ref="D13:E13"/>
    <mergeCell ref="F11:L11"/>
    <mergeCell ref="A2:AB2"/>
    <mergeCell ref="F13:L13"/>
    <mergeCell ref="Q19:R19"/>
    <mergeCell ref="F9:L9"/>
    <mergeCell ref="A11:B11"/>
    <mergeCell ref="K19:L19"/>
    <mergeCell ref="B19:C19"/>
    <mergeCell ref="F14:L14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42"/>
  <sheetViews>
    <sheetView showGridLines="0" topLeftCell="A130" zoomScale="81" workbookViewId="0">
      <selection activeCell="D148" sqref="D148"/>
    </sheetView>
  </sheetViews>
  <sheetFormatPr defaultColWidth="8.6640625" defaultRowHeight="14.4" x14ac:dyDescent="0.3"/>
  <cols>
    <col min="1" max="1" width="17" customWidth="1"/>
    <col min="2" max="10" width="16" customWidth="1"/>
    <col min="12" max="13" width="18" customWidth="1"/>
  </cols>
  <sheetData>
    <row r="1" spans="1:13" ht="25.95" customHeight="1" x14ac:dyDescent="0.3">
      <c r="A1" s="200" t="s">
        <v>247</v>
      </c>
      <c r="B1" s="136"/>
      <c r="C1" s="136"/>
      <c r="D1" s="136"/>
      <c r="E1" s="136"/>
      <c r="F1" s="136"/>
      <c r="G1" s="136"/>
      <c r="H1" s="136"/>
      <c r="I1" s="136"/>
      <c r="J1" s="136"/>
      <c r="K1" s="79"/>
      <c r="L1" s="79"/>
      <c r="M1" s="79"/>
    </row>
    <row r="2" spans="1:13" ht="13.5" customHeight="1" x14ac:dyDescent="0.3">
      <c r="A2" s="203" t="s">
        <v>248</v>
      </c>
      <c r="B2" s="136"/>
      <c r="C2" s="136"/>
      <c r="D2" s="136"/>
      <c r="E2" s="136"/>
      <c r="F2" s="136"/>
      <c r="G2" s="136"/>
      <c r="H2" s="136"/>
      <c r="I2" s="136"/>
      <c r="J2" s="136"/>
      <c r="K2" s="79"/>
      <c r="L2" s="96" t="s">
        <v>249</v>
      </c>
      <c r="M2" s="96" t="s">
        <v>250</v>
      </c>
    </row>
    <row r="3" spans="1:13" ht="108" customHeight="1" x14ac:dyDescent="0.3">
      <c r="A3" s="81" t="s">
        <v>251</v>
      </c>
      <c r="B3" s="82"/>
      <c r="C3" s="82"/>
      <c r="D3" s="82"/>
      <c r="E3" s="82"/>
      <c r="F3" s="82"/>
      <c r="G3" s="82"/>
      <c r="H3" s="82"/>
      <c r="I3" s="82"/>
      <c r="J3" s="82"/>
      <c r="K3" s="79"/>
      <c r="L3" s="97" t="s">
        <v>252</v>
      </c>
      <c r="M3" s="98">
        <f>SUM(Weights)</f>
        <v>1</v>
      </c>
    </row>
    <row r="4" spans="1:13" x14ac:dyDescent="0.3">
      <c r="A4" s="83" t="s">
        <v>253</v>
      </c>
      <c r="B4" s="90">
        <f>Holdings!$E$7</f>
        <v>0.23</v>
      </c>
      <c r="C4" s="90">
        <f>Holdings!$E$8</f>
        <v>0.15</v>
      </c>
      <c r="D4" s="90">
        <f>Holdings!$E$9</f>
        <v>0.15</v>
      </c>
      <c r="E4" s="90">
        <f>Holdings!$E$10</f>
        <v>0.14000000000000001</v>
      </c>
      <c r="F4" s="90">
        <f>Holdings!$E$11</f>
        <v>0.12</v>
      </c>
      <c r="G4" s="90">
        <f>Holdings!$E$12</f>
        <v>0.12</v>
      </c>
      <c r="H4" s="90">
        <f>Holdings!$E$13</f>
        <v>0.09</v>
      </c>
      <c r="I4" s="83"/>
      <c r="J4" s="90">
        <f>SUM($B$4:$H$4)</f>
        <v>1</v>
      </c>
      <c r="K4" s="79"/>
      <c r="L4" s="97" t="s">
        <v>254</v>
      </c>
      <c r="M4" s="99">
        <f ca="1">COUNT(J6:J109)</f>
        <v>104</v>
      </c>
    </row>
    <row r="5" spans="1:13" ht="27.75" customHeight="1" x14ac:dyDescent="0.3">
      <c r="A5" s="84" t="s">
        <v>9</v>
      </c>
      <c r="B5" s="84" t="s">
        <v>10</v>
      </c>
      <c r="C5" s="84" t="s">
        <v>11</v>
      </c>
      <c r="D5" s="84" t="s">
        <v>12</v>
      </c>
      <c r="E5" s="84" t="s">
        <v>13</v>
      </c>
      <c r="F5" s="84" t="s">
        <v>14</v>
      </c>
      <c r="G5" s="84" t="s">
        <v>15</v>
      </c>
      <c r="H5" s="84" t="s">
        <v>16</v>
      </c>
      <c r="I5" s="91" t="s">
        <v>17</v>
      </c>
      <c r="J5" s="92" t="s">
        <v>255</v>
      </c>
      <c r="K5" s="79"/>
      <c r="L5" s="97" t="s">
        <v>256</v>
      </c>
      <c r="M5" s="99">
        <f ca="1">COUNTBLANK(B6:J109)</f>
        <v>0</v>
      </c>
    </row>
    <row r="6" spans="1:13" x14ac:dyDescent="0.3">
      <c r="A6" s="80">
        <f ca="1">Prices!$A$5</f>
        <v>45551</v>
      </c>
      <c r="B6" s="95">
        <f ca="1">IFERROR(Prices!B5/Prices!B4-1,"")</f>
        <v>9.0314913844324884E-3</v>
      </c>
      <c r="C6" s="95">
        <f ca="1">IFERROR(Prices!C5/Prices!C4-1,"")</f>
        <v>4.7294196824619883E-2</v>
      </c>
      <c r="D6" s="95">
        <f ca="1">IFERROR(Prices!D5/Prices!D4-1,"")</f>
        <v>4.5169436082787451E-2</v>
      </c>
      <c r="E6" s="95">
        <f ca="1">IFERROR(Prices!E5/Prices!E4-1,"")</f>
        <v>5.0069194575145248E-2</v>
      </c>
      <c r="F6" s="95">
        <f ca="1">IFERROR(Prices!F5/Prices!F4-1,"")</f>
        <v>-1.2683015002711295E-2</v>
      </c>
      <c r="G6" s="95">
        <f ca="1">IFERROR(Prices!G5/Prices!G4-1,"")</f>
        <v>2.4232607045278298E-2</v>
      </c>
      <c r="H6" s="95">
        <f ca="1">IFERROR(Prices!H5/Prices!H4-1,"")</f>
        <v>-2.9098639191275755E-2</v>
      </c>
      <c r="I6" s="93">
        <f ca="1">IFERROR(Prices!I5/Prices!I4-1,"")</f>
        <v>1.7939622494318908E-2</v>
      </c>
      <c r="J6" s="94">
        <f t="shared" ref="J6:J37" ca="1" si="0">IFERROR(SUMPRODUCT(Weights,$B6:$H6),"")</f>
        <v>2.172354871294413E-2</v>
      </c>
      <c r="K6" s="79"/>
      <c r="L6" s="97" t="s">
        <v>257</v>
      </c>
      <c r="M6" s="100" t="str">
        <f ca="1">IF(COUNT(I6:I109)=COUNT(J6:J109),"YES","CHECK")</f>
        <v>YES</v>
      </c>
    </row>
    <row r="7" spans="1:13" x14ac:dyDescent="0.3">
      <c r="A7" s="80">
        <f ca="1">Prices!$A$6</f>
        <v>45558</v>
      </c>
      <c r="B7" s="95">
        <f ca="1">IFERROR(Prices!B6/Prices!B5-1,"")</f>
        <v>2.7087504416440922E-2</v>
      </c>
      <c r="C7" s="95">
        <f ca="1">IFERROR(Prices!C6/Prices!C5-1,"")</f>
        <v>1.3348911932232976E-2</v>
      </c>
      <c r="D7" s="95">
        <f ca="1">IFERROR(Prices!D6/Prices!D5-1,"")</f>
        <v>6.5759224375543379E-3</v>
      </c>
      <c r="E7" s="95">
        <f ca="1">IFERROR(Prices!E6/Prices!E5-1,"")</f>
        <v>-2.3261024275811115E-2</v>
      </c>
      <c r="F7" s="95">
        <f ca="1">IFERROR(Prices!F6/Prices!F5-1,"")</f>
        <v>2.0657248344673862E-2</v>
      </c>
      <c r="G7" s="95">
        <f ca="1">IFERROR(Prices!G6/Prices!G5-1,"")</f>
        <v>6.9848190574339108E-2</v>
      </c>
      <c r="H7" s="95">
        <f ca="1">IFERROR(Prices!H6/Prices!H5-1,"")</f>
        <v>2.74708523277718E-2</v>
      </c>
      <c r="I7" s="93">
        <f ca="1">IFERROR(Prices!I6/Prices!I5-1,"")</f>
        <v>2.1876231102575527E-2</v>
      </c>
      <c r="J7" s="94">
        <f t="shared" ca="1" si="0"/>
        <v>1.9295337152416971E-2</v>
      </c>
      <c r="K7" s="113"/>
      <c r="L7" s="113"/>
      <c r="M7" s="113"/>
    </row>
    <row r="8" spans="1:13" x14ac:dyDescent="0.3">
      <c r="A8" s="80">
        <f ca="1">Prices!$A$7</f>
        <v>45565</v>
      </c>
      <c r="B8" s="95">
        <f ca="1">IFERROR(Prices!B7/Prices!B6-1,"")</f>
        <v>-9.1503267973856106E-2</v>
      </c>
      <c r="C8" s="95">
        <f ca="1">IFERROR(Prices!C7/Prices!C6-1,"")</f>
        <v>-5.401821745647406E-2</v>
      </c>
      <c r="D8" s="95">
        <f ca="1">IFERROR(Prices!D7/Prices!D6-1,"")</f>
        <v>-5.4203635364433844E-2</v>
      </c>
      <c r="E8" s="95">
        <f ca="1">IFERROR(Prices!E7/Prices!E6-1,"")</f>
        <v>-5.7128978721681878E-2</v>
      </c>
      <c r="F8" s="95">
        <f ca="1">IFERROR(Prices!F7/Prices!F6-1,"")</f>
        <v>-2.9417040358744373E-2</v>
      </c>
      <c r="G8" s="95">
        <f ca="1">IFERROR(Prices!G7/Prices!G6-1,"")</f>
        <v>-6.5936305166128251E-2</v>
      </c>
      <c r="H8" s="95">
        <f ca="1">IFERROR(Prices!H7/Prices!H6-1,"")</f>
        <v>-1.758462143059536E-2</v>
      </c>
      <c r="I8" s="93">
        <f ca="1">IFERROR(Prices!I7/Prices!I6-1,"")</f>
        <v>-4.9424002811879753E-3</v>
      </c>
      <c r="J8" s="94">
        <f t="shared" ca="1" si="0"/>
        <v>-5.8302103969896858E-2</v>
      </c>
      <c r="K8" s="113"/>
      <c r="L8" s="113"/>
      <c r="M8" s="113"/>
    </row>
    <row r="9" spans="1:13" x14ac:dyDescent="0.3">
      <c r="A9" s="80">
        <f ca="1">Prices!$A$8</f>
        <v>45572</v>
      </c>
      <c r="B9" s="95">
        <f ca="1">IFERROR(Prices!B8/Prices!B7-1,"")</f>
        <v>-1.0403707109500449E-2</v>
      </c>
      <c r="C9" s="95">
        <f ca="1">IFERROR(Prices!C8/Prices!C7-1,"")</f>
        <v>2.8338107136327562E-2</v>
      </c>
      <c r="D9" s="95">
        <f ca="1">IFERROR(Prices!D8/Prices!D7-1,"")</f>
        <v>-4.0116380684096509E-3</v>
      </c>
      <c r="E9" s="95">
        <f ca="1">IFERROR(Prices!E8/Prices!E7-1,"")</f>
        <v>-3.2627828102862466E-3</v>
      </c>
      <c r="F9" s="95">
        <f ca="1">IFERROR(Prices!F8/Prices!F7-1,"")</f>
        <v>-1.6971601059569963E-2</v>
      </c>
      <c r="G9" s="95">
        <f ca="1">IFERROR(Prices!G8/Prices!G7-1,"")</f>
        <v>1.3557305198024672E-2</v>
      </c>
      <c r="H9" s="95">
        <f ca="1">IFERROR(Prices!H8/Prices!H7-1,"")</f>
        <v>3.5489146235921254E-2</v>
      </c>
      <c r="I9" s="93">
        <f ca="1">IFERROR(Prices!I8/Prices!I7-1,"")</f>
        <v>-3.9328407423144141E-2</v>
      </c>
      <c r="J9" s="94">
        <f t="shared" ca="1" si="0"/>
        <v>3.5836357894099865E-3</v>
      </c>
      <c r="K9" s="113"/>
      <c r="L9" s="113"/>
      <c r="M9" s="113"/>
    </row>
    <row r="10" spans="1:13" x14ac:dyDescent="0.3">
      <c r="A10" s="80">
        <f ca="1">Prices!$A$9</f>
        <v>45579</v>
      </c>
      <c r="B10" s="95">
        <f ca="1">IFERROR(Prices!B9/Prices!B8-1,"")</f>
        <v>-9.3287661249179532E-3</v>
      </c>
      <c r="C10" s="95">
        <f ca="1">IFERROR(Prices!C9/Prices!C8-1,"")</f>
        <v>1.2119236695507851E-2</v>
      </c>
      <c r="D10" s="95">
        <f ca="1">IFERROR(Prices!D9/Prices!D8-1,"")</f>
        <v>1.8685588293585242E-2</v>
      </c>
      <c r="E10" s="95">
        <f ca="1">IFERROR(Prices!E9/Prices!E8-1,"")</f>
        <v>2.7350648231899033E-2</v>
      </c>
      <c r="F10" s="95">
        <f ca="1">IFERROR(Prices!F9/Prices!F8-1,"")</f>
        <v>-2.7604574651417746E-2</v>
      </c>
      <c r="G10" s="95">
        <f ca="1">IFERROR(Prices!G9/Prices!G8-1,"")</f>
        <v>-5.2560726011904424E-2</v>
      </c>
      <c r="H10" s="95">
        <f ca="1">IFERROR(Prices!H9/Prices!H8-1,"")</f>
        <v>9.8116310820168806E-3</v>
      </c>
      <c r="I10" s="93">
        <f ca="1">IFERROR(Prices!I9/Prices!I8-1,"")</f>
        <v>1.3397425718117084E-2</v>
      </c>
      <c r="J10" s="94">
        <f t="shared" ca="1" si="0"/>
        <v>-2.4325909901184409E-3</v>
      </c>
      <c r="K10" s="113"/>
      <c r="L10" s="113"/>
      <c r="M10" s="113"/>
    </row>
    <row r="11" spans="1:13" x14ac:dyDescent="0.3">
      <c r="A11" s="80">
        <f ca="1">Prices!$A$10</f>
        <v>45586</v>
      </c>
      <c r="B11" s="95">
        <f ca="1">IFERROR(Prices!B10/Prices!B9-1,"")</f>
        <v>-2.3136908703008885E-2</v>
      </c>
      <c r="C11" s="95">
        <f ca="1">IFERROR(Prices!C10/Prices!C9-1,"")</f>
        <v>-2.450449395438703E-2</v>
      </c>
      <c r="D11" s="95">
        <f ca="1">IFERROR(Prices!D10/Prices!D9-1,"")</f>
        <v>3.6596631417571412E-2</v>
      </c>
      <c r="E11" s="95">
        <f ca="1">IFERROR(Prices!E10/Prices!E9-1,"")</f>
        <v>-7.0266644306557158E-2</v>
      </c>
      <c r="F11" s="95">
        <f ca="1">IFERROR(Prices!F10/Prices!F9-1,"")</f>
        <v>-4.0471740671521483E-2</v>
      </c>
      <c r="G11" s="95">
        <f ca="1">IFERROR(Prices!G10/Prices!G9-1,"")</f>
        <v>-4.9751757523688322E-2</v>
      </c>
      <c r="H11" s="95">
        <f ca="1">IFERROR(Prices!H10/Prices!H9-1,"")</f>
        <v>-2.879917419430611E-3</v>
      </c>
      <c r="I11" s="93">
        <f ca="1">IFERROR(Prices!I10/Prices!I9-1,"")</f>
        <v>-1.3803339315736407E-2</v>
      </c>
      <c r="J11" s="94">
        <f t="shared" ca="1" si="0"/>
        <v>-2.4431010936306324E-2</v>
      </c>
      <c r="K11" s="113"/>
      <c r="L11" s="113"/>
      <c r="M11" s="113"/>
    </row>
    <row r="12" spans="1:13" x14ac:dyDescent="0.3">
      <c r="A12" s="80">
        <f ca="1">Prices!$A$11</f>
        <v>45593</v>
      </c>
      <c r="B12" s="95">
        <f ca="1">IFERROR(Prices!B11/Prices!B10-1,"")</f>
        <v>8.1334488082238643E-3</v>
      </c>
      <c r="C12" s="95">
        <f ca="1">IFERROR(Prices!C11/Prices!C10-1,"")</f>
        <v>-2.9741896758703423E-2</v>
      </c>
      <c r="D12" s="95">
        <f ca="1">IFERROR(Prices!D11/Prices!D10-1,"")</f>
        <v>-3.4989837134238311E-3</v>
      </c>
      <c r="E12" s="95">
        <f ca="1">IFERROR(Prices!E11/Prices!E10-1,"")</f>
        <v>9.0172558922558821E-2</v>
      </c>
      <c r="F12" s="95">
        <f ca="1">IFERROR(Prices!F11/Prices!F10-1,"")</f>
        <v>4.7451138424340122E-2</v>
      </c>
      <c r="G12" s="95">
        <f ca="1">IFERROR(Prices!G11/Prices!G10-1,"")</f>
        <v>-3.4152405708150591E-2</v>
      </c>
      <c r="H12" s="95">
        <f ca="1">IFERROR(Prices!H11/Prices!H10-1,"")</f>
        <v>-5.1259202556506178E-2</v>
      </c>
      <c r="I12" s="93">
        <f ca="1">IFERROR(Prices!I11/Prices!I10-1,"")</f>
        <v>-1.78341246238648E-2</v>
      </c>
      <c r="J12" s="94">
        <f t="shared" ca="1" si="0"/>
        <v>6.4912391000878254E-3</v>
      </c>
      <c r="K12" s="113"/>
      <c r="L12" s="113"/>
      <c r="M12" s="113"/>
    </row>
    <row r="13" spans="1:13" x14ac:dyDescent="0.3">
      <c r="A13" s="80">
        <f ca="1">Prices!$A$12</f>
        <v>45600</v>
      </c>
      <c r="B13" s="95">
        <f ca="1">IFERROR(Prices!B12/Prices!B11-1,"")</f>
        <v>-4.1011466776229799E-2</v>
      </c>
      <c r="C13" s="95">
        <f ca="1">IFERROR(Prices!C12/Prices!C11-1,"")</f>
        <v>-2.8797673915060717E-2</v>
      </c>
      <c r="D13" s="95">
        <f ca="1">IFERROR(Prices!D12/Prices!D11-1,"")</f>
        <v>9.8717166167123782E-3</v>
      </c>
      <c r="E13" s="95">
        <f ca="1">IFERROR(Prices!E12/Prices!E11-1,"")</f>
        <v>9.3620306920181307E-3</v>
      </c>
      <c r="F13" s="95">
        <f ca="1">IFERROR(Prices!F12/Prices!F11-1,"")</f>
        <v>2.1192010515853843E-2</v>
      </c>
      <c r="G13" s="95">
        <f ca="1">IFERROR(Prices!G12/Prices!G11-1,"")</f>
        <v>1.7371737173717428E-2</v>
      </c>
      <c r="H13" s="95">
        <f ca="1">IFERROR(Prices!H12/Prices!H11-1,"")</f>
        <v>4.5578716043566114E-2</v>
      </c>
      <c r="I13" s="93">
        <f ca="1">IFERROR(Prices!I12/Prices!I11-1,"")</f>
        <v>-1.4125422446234048E-2</v>
      </c>
      <c r="J13" s="94">
        <f t="shared" ca="1" si="0"/>
        <v>-2.2311124897330618E-3</v>
      </c>
      <c r="K13" s="113"/>
      <c r="L13" s="113"/>
      <c r="M13" s="113"/>
    </row>
    <row r="14" spans="1:13" x14ac:dyDescent="0.3">
      <c r="A14" s="80">
        <f ca="1">Prices!$A$13</f>
        <v>45607</v>
      </c>
      <c r="B14" s="95">
        <f ca="1">IFERROR(Prices!B13/Prices!B12-1,"")</f>
        <v>-1.2580331061343819E-2</v>
      </c>
      <c r="C14" s="95">
        <f ca="1">IFERROR(Prices!C13/Prices!C12-1,"")</f>
        <v>-1.2357474998407558E-2</v>
      </c>
      <c r="D14" s="95">
        <f ca="1">IFERROR(Prices!D13/Prices!D12-1,"")</f>
        <v>-3.5167724797282918E-2</v>
      </c>
      <c r="E14" s="95">
        <f ca="1">IFERROR(Prices!E13/Prices!E12-1,"")</f>
        <v>-3.6622681200994545E-2</v>
      </c>
      <c r="F14" s="95">
        <f ca="1">IFERROR(Prices!F13/Prices!F12-1,"")</f>
        <v>-5.8300891623759843E-2</v>
      </c>
      <c r="G14" s="95">
        <f ca="1">IFERROR(Prices!G13/Prices!G12-1,"")</f>
        <v>-2.6271786251437779E-2</v>
      </c>
      <c r="H14" s="95">
        <f ca="1">IFERROR(Prices!H13/Prices!H12-1,"")</f>
        <v>1.1673446021403855E-2</v>
      </c>
      <c r="I14" s="93">
        <f ca="1">IFERROR(Prices!I13/Prices!I12-1,"")</f>
        <v>6.0824774071213117E-3</v>
      </c>
      <c r="J14" s="94">
        <f t="shared" ca="1" si="0"/>
        <v>-2.4247542684699253E-2</v>
      </c>
      <c r="K14" s="113"/>
      <c r="L14" s="113"/>
      <c r="M14" s="113"/>
    </row>
    <row r="15" spans="1:13" x14ac:dyDescent="0.3">
      <c r="A15" s="80">
        <f ca="1">Prices!$A$14</f>
        <v>45614</v>
      </c>
      <c r="B15" s="95">
        <f ca="1">IFERROR(Prices!B14/Prices!B13-1,"")</f>
        <v>-1.7355632691699041E-3</v>
      </c>
      <c r="C15" s="95">
        <f ca="1">IFERROR(Prices!C14/Prices!C13-1,"")</f>
        <v>1.2125120928732747E-2</v>
      </c>
      <c r="D15" s="95">
        <f ca="1">IFERROR(Prices!D14/Prices!D13-1,"")</f>
        <v>3.1221425221136245E-2</v>
      </c>
      <c r="E15" s="95">
        <f ca="1">IFERROR(Prices!E14/Prices!E13-1,"")</f>
        <v>2.1907125132931693E-2</v>
      </c>
      <c r="F15" s="95">
        <f ca="1">IFERROR(Prices!F14/Prices!F13-1,"")</f>
        <v>-8.8348058009668495E-3</v>
      </c>
      <c r="G15" s="95">
        <f ca="1">IFERROR(Prices!G14/Prices!G13-1,"")</f>
        <v>5.2289422635733995E-3</v>
      </c>
      <c r="H15" s="95">
        <f ca="1">IFERROR(Prices!H14/Prices!H13-1,"")</f>
        <v>2.1221688623093815E-2</v>
      </c>
      <c r="I15" s="93">
        <f ca="1">IFERROR(Prices!I14/Prices!I13-1,"")</f>
        <v>-2.8478167196937743E-2</v>
      </c>
      <c r="J15" s="94">
        <f t="shared" ca="1" si="0"/>
        <v>1.0647048240772939E-2</v>
      </c>
      <c r="K15" s="113"/>
      <c r="L15" s="113"/>
      <c r="M15" s="113"/>
    </row>
    <row r="16" spans="1:13" x14ac:dyDescent="0.3">
      <c r="A16" s="80">
        <f ca="1">Prices!$A$15</f>
        <v>45621</v>
      </c>
      <c r="B16" s="95">
        <f ca="1">IFERROR(Prices!B15/Prices!B14-1,"")</f>
        <v>2.117907381065276E-2</v>
      </c>
      <c r="C16" s="95">
        <f ca="1">IFERROR(Prices!C15/Prices!C14-1,"")</f>
        <v>3.6863569744472136E-2</v>
      </c>
      <c r="D16" s="95">
        <f ca="1">IFERROR(Prices!D15/Prices!D14-1,"")</f>
        <v>2.890118769565464E-2</v>
      </c>
      <c r="E16" s="95">
        <f ca="1">IFERROR(Prices!E15/Prices!E14-1,"")</f>
        <v>3.3661717774386091E-2</v>
      </c>
      <c r="F16" s="95">
        <f ca="1">IFERROR(Prices!F15/Prices!F14-1,"")</f>
        <v>3.1886982845610534E-2</v>
      </c>
      <c r="G16" s="95">
        <f ca="1">IFERROR(Prices!G15/Prices!G14-1,"")</f>
        <v>9.5809682201086765E-4</v>
      </c>
      <c r="H16" s="95">
        <f ca="1">IFERROR(Prices!H15/Prices!H14-1,"")</f>
        <v>-2.6522372355262669E-2</v>
      </c>
      <c r="I16" s="93">
        <f ca="1">IFERROR(Prices!I15/Prices!I14-1,"")</f>
        <v>3.2749472741708141E-2</v>
      </c>
      <c r="J16" s="94">
        <f t="shared" ca="1" si="0"/>
        <v>2.1002937129024127E-2</v>
      </c>
      <c r="K16" s="113"/>
      <c r="L16" s="113"/>
      <c r="M16" s="113"/>
    </row>
    <row r="17" spans="1:13" x14ac:dyDescent="0.3">
      <c r="A17" s="80">
        <f ca="1">Prices!$A$16</f>
        <v>45628</v>
      </c>
      <c r="B17" s="95">
        <f ca="1">IFERROR(Prices!B16/Prices!B15-1,"")</f>
        <v>1.4974462157560708E-2</v>
      </c>
      <c r="C17" s="95">
        <f ca="1">IFERROR(Prices!C16/Prices!C15-1,"")</f>
        <v>-1.8006944657837476E-2</v>
      </c>
      <c r="D17" s="95">
        <f ca="1">IFERROR(Prices!D16/Prices!D15-1,"")</f>
        <v>3.3295233221689813E-2</v>
      </c>
      <c r="E17" s="95">
        <f ca="1">IFERROR(Prices!E16/Prices!E15-1,"")</f>
        <v>3.8096005154639068E-2</v>
      </c>
      <c r="F17" s="95">
        <f ca="1">IFERROR(Prices!F16/Prices!F15-1,"")</f>
        <v>-3.6834213442858088E-2</v>
      </c>
      <c r="G17" s="95">
        <f ca="1">IFERROR(Prices!G16/Prices!G15-1,"")</f>
        <v>2.2010619277238908E-2</v>
      </c>
      <c r="H17" s="95">
        <f ca="1">IFERROR(Prices!H16/Prices!H15-1,"")</f>
        <v>4.0393971525507721E-2</v>
      </c>
      <c r="I17" s="93">
        <f ca="1">IFERROR(Prices!I16/Prices!I15-1,"")</f>
        <v>2.2355962889666348E-3</v>
      </c>
      <c r="J17" s="94">
        <f t="shared" ca="1" si="0"/>
        <v>1.2927436439887679E-2</v>
      </c>
      <c r="K17" s="113"/>
      <c r="L17" s="113"/>
      <c r="M17" s="113"/>
    </row>
    <row r="18" spans="1:13" x14ac:dyDescent="0.3">
      <c r="A18" s="80">
        <f ca="1">Prices!$A$17</f>
        <v>45635</v>
      </c>
      <c r="B18" s="95">
        <f ca="1">IFERROR(Prices!B17/Prices!B16-1,"")</f>
        <v>-2.9507071785292216E-2</v>
      </c>
      <c r="C18" s="95">
        <f ca="1">IFERROR(Prices!C17/Prices!C16-1,"")</f>
        <v>5.2508057702537858E-2</v>
      </c>
      <c r="D18" s="95">
        <f ca="1">IFERROR(Prices!D17/Prices!D16-1,"")</f>
        <v>8.5675204729525056E-3</v>
      </c>
      <c r="E18" s="95">
        <f ca="1">IFERROR(Prices!E17/Prices!E16-1,"")</f>
        <v>5.2499547417694803E-3</v>
      </c>
      <c r="F18" s="95">
        <f ca="1">IFERROR(Prices!F17/Prices!F16-1,"")</f>
        <v>-2.0373629348856226E-2</v>
      </c>
      <c r="G18" s="95">
        <f ca="1">IFERROR(Prices!G17/Prices!G16-1,"")</f>
        <v>-4.0113271396322592E-3</v>
      </c>
      <c r="H18" s="95">
        <f ca="1">IFERROR(Prices!H17/Prices!H16-1,"")</f>
        <v>2.397666494977968E-2</v>
      </c>
      <c r="I18" s="93">
        <f ca="1">IFERROR(Prices!I17/Prices!I16-1,"")</f>
        <v>1.4127059703421097E-2</v>
      </c>
      <c r="J18" s="94">
        <f t="shared" ca="1" si="0"/>
        <v>2.3414089464156244E-3</v>
      </c>
      <c r="K18" s="113"/>
      <c r="L18" s="113"/>
      <c r="M18" s="113"/>
    </row>
    <row r="19" spans="1:13" x14ac:dyDescent="0.3">
      <c r="A19" s="80">
        <f ca="1">Prices!$A$18</f>
        <v>45642</v>
      </c>
      <c r="B19" s="95">
        <f ca="1">IFERROR(Prices!B18/Prices!B17-1,"")</f>
        <v>-5.3069882547040037E-2</v>
      </c>
      <c r="C19" s="95">
        <f ca="1">IFERROR(Prices!C18/Prices!C17-1,"")</f>
        <v>-6.1632228333581174E-2</v>
      </c>
      <c r="D19" s="95">
        <f ca="1">IFERROR(Prices!D18/Prices!D17-1,"")</f>
        <v>-5.3559515571675487E-2</v>
      </c>
      <c r="E19" s="95">
        <f ca="1">IFERROR(Prices!E18/Prices!E17-1,"")</f>
        <v>-6.6156418832004182E-2</v>
      </c>
      <c r="F19" s="95">
        <f ca="1">IFERROR(Prices!F18/Prices!F17-1,"")</f>
        <v>1.7100808401851797E-2</v>
      </c>
      <c r="G19" s="95">
        <f ca="1">IFERROR(Prices!G18/Prices!G17-1,"")</f>
        <v>-3.2956163423537688E-2</v>
      </c>
      <c r="H19" s="95">
        <f ca="1">IFERROR(Prices!H18/Prices!H17-1,"")</f>
        <v>-2.918018993433158E-2</v>
      </c>
      <c r="I19" s="93">
        <f ca="1">IFERROR(Prices!I18/Prices!I17-1,"")</f>
        <v>2.0004874284089702E-3</v>
      </c>
      <c r="J19" s="94">
        <f t="shared" ca="1" si="0"/>
        <v>-4.327559290478044E-2</v>
      </c>
      <c r="K19" s="113"/>
      <c r="L19" s="113"/>
      <c r="M19" s="113"/>
    </row>
    <row r="20" spans="1:13" x14ac:dyDescent="0.3">
      <c r="A20" s="80">
        <f ca="1">Prices!$A$19</f>
        <v>45649</v>
      </c>
      <c r="B20" s="95">
        <f ca="1">IFERROR(Prices!B19/Prices!B18-1,"")</f>
        <v>1.3067286152824931E-2</v>
      </c>
      <c r="C20" s="95">
        <f ca="1">IFERROR(Prices!C19/Prices!C18-1,"")</f>
        <v>1.3782396552816767E-2</v>
      </c>
      <c r="D20" s="95">
        <f ca="1">IFERROR(Prices!D19/Prices!D18-1,"")</f>
        <v>1.510027748184517E-2</v>
      </c>
      <c r="E20" s="95">
        <f ca="1">IFERROR(Prices!E19/Prices!E18-1,"")</f>
        <v>-5.9919831397992063E-3</v>
      </c>
      <c r="F20" s="95">
        <f ca="1">IFERROR(Prices!F19/Prices!F18-1,"")</f>
        <v>2.3470670153866946E-2</v>
      </c>
      <c r="G20" s="95">
        <f ca="1">IFERROR(Prices!G19/Prices!G18-1,"")</f>
        <v>3.6693712990949479E-3</v>
      </c>
      <c r="H20" s="95">
        <f ca="1">IFERROR(Prices!H19/Prices!H18-1,"")</f>
        <v>-1.0123746224960484E-2</v>
      </c>
      <c r="I20" s="93">
        <f ca="1">IFERROR(Prices!I19/Prices!I18-1,"")</f>
        <v>-3.7084137758049307E-2</v>
      </c>
      <c r="J20" s="94">
        <f t="shared" ca="1" si="0"/>
        <v>8.8446670948861203E-3</v>
      </c>
      <c r="K20" s="113"/>
      <c r="L20" s="113"/>
      <c r="M20" s="113"/>
    </row>
    <row r="21" spans="1:13" x14ac:dyDescent="0.3">
      <c r="A21" s="80">
        <f ca="1">Prices!$A$20</f>
        <v>45656</v>
      </c>
      <c r="B21" s="95">
        <f ca="1">IFERROR(Prices!B20/Prices!B19-1,"")</f>
        <v>2.4650915195937984E-2</v>
      </c>
      <c r="C21" s="95">
        <f ca="1">IFERROR(Prices!C20/Prices!C19-1,"")</f>
        <v>-6.2505859924366636E-4</v>
      </c>
      <c r="D21" s="95">
        <f ca="1">IFERROR(Prices!D20/Prices!D19-1,"")</f>
        <v>-2.727654245445843E-2</v>
      </c>
      <c r="E21" s="95">
        <f ca="1">IFERROR(Prices!E20/Prices!E19-1,"")</f>
        <v>1.4356586569108432E-2</v>
      </c>
      <c r="F21" s="95">
        <f ca="1">IFERROR(Prices!F20/Prices!F19-1,"")</f>
        <v>3.0864197530864335E-3</v>
      </c>
      <c r="G21" s="95">
        <f ca="1">IFERROR(Prices!G20/Prices!G19-1,"")</f>
        <v>9.0777393394601225E-2</v>
      </c>
      <c r="H21" s="95">
        <f ca="1">IFERROR(Prices!H20/Prices!H19-1,"")</f>
        <v>2.8884766080534696E-2</v>
      </c>
      <c r="I21" s="93">
        <f ca="1">IFERROR(Prices!I20/Prices!I19-1,"")</f>
        <v>-4.5698132984962614E-3</v>
      </c>
      <c r="J21" s="94">
        <f t="shared" ca="1" si="0"/>
        <v>1.7357678981656244E-2</v>
      </c>
      <c r="K21" s="113"/>
      <c r="L21" s="113"/>
      <c r="M21" s="113"/>
    </row>
    <row r="22" spans="1:13" x14ac:dyDescent="0.3">
      <c r="A22" s="80">
        <f ca="1">Prices!$A$21</f>
        <v>45663</v>
      </c>
      <c r="B22" s="95">
        <f ca="1">IFERROR(Prices!B21/Prices!B20-1,"")</f>
        <v>-7.3931982576029842E-3</v>
      </c>
      <c r="C22" s="95">
        <f ca="1">IFERROR(Prices!C21/Prices!C20-1,"")</f>
        <v>1.0663914688682663E-2</v>
      </c>
      <c r="D22" s="95">
        <f ca="1">IFERROR(Prices!D21/Prices!D20-1,"")</f>
        <v>-5.28527757496009E-2</v>
      </c>
      <c r="E22" s="95">
        <f ca="1">IFERROR(Prices!E21/Prices!E20-1,"")</f>
        <v>-3.3812399245881086E-2</v>
      </c>
      <c r="F22" s="95">
        <f ca="1">IFERROR(Prices!F21/Prices!F20-1,"")</f>
        <v>-2.8089330024813952E-2</v>
      </c>
      <c r="G22" s="95">
        <f ca="1">IFERROR(Prices!G21/Prices!G20-1,"")</f>
        <v>-2.5401680038544483E-2</v>
      </c>
      <c r="H22" s="95">
        <f ca="1">IFERROR(Prices!H21/Prices!H20-1,"")</f>
        <v>2.4888915874498485E-2</v>
      </c>
      <c r="I22" s="93">
        <f ca="1">IFERROR(Prices!I21/Prices!I20-1,"")</f>
        <v>-1.2201197255387042E-3</v>
      </c>
      <c r="J22" s="94">
        <f t="shared" ca="1" si="0"/>
        <v>-1.6941419431707922E-2</v>
      </c>
      <c r="K22" s="113"/>
      <c r="L22" s="113"/>
      <c r="M22" s="113"/>
    </row>
    <row r="23" spans="1:13" x14ac:dyDescent="0.3">
      <c r="A23" s="80">
        <f ca="1">Prices!$A$22</f>
        <v>45670</v>
      </c>
      <c r="B23" s="95">
        <f ca="1">IFERROR(Prices!B22/Prices!B21-1,"")</f>
        <v>4.8675416700217244E-2</v>
      </c>
      <c r="C23" s="95">
        <f ca="1">IFERROR(Prices!C22/Prices!C21-1,"")</f>
        <v>7.1786620459186601E-3</v>
      </c>
      <c r="D23" s="95">
        <f ca="1">IFERROR(Prices!D22/Prices!D21-1,"")</f>
        <v>-1.2071827811142466E-2</v>
      </c>
      <c r="E23" s="95">
        <f ca="1">IFERROR(Prices!E22/Prices!E21-1,"")</f>
        <v>9.1907865899354402E-3</v>
      </c>
      <c r="F23" s="95">
        <f ca="1">IFERROR(Prices!F22/Prices!F21-1,"")</f>
        <v>-1.8041938997821361E-2</v>
      </c>
      <c r="G23" s="95">
        <f ca="1">IFERROR(Prices!G22/Prices!G21-1,"")</f>
        <v>4.3439571493667728E-2</v>
      </c>
      <c r="H23" s="95">
        <f ca="1">IFERROR(Prices!H22/Prices!H21-1,"")</f>
        <v>-0.10033934542080825</v>
      </c>
      <c r="I23" s="93">
        <f ca="1">IFERROR(Prices!I22/Prices!I21-1,"")</f>
        <v>-2.2446664237395497E-2</v>
      </c>
      <c r="J23" s="94">
        <f t="shared" ca="1" si="0"/>
        <v>5.7652559104861816E-3</v>
      </c>
      <c r="K23" s="113"/>
      <c r="L23" s="113"/>
      <c r="M23" s="113"/>
    </row>
    <row r="24" spans="1:13" x14ac:dyDescent="0.3">
      <c r="A24" s="80">
        <f ca="1">Prices!$A$23</f>
        <v>45677</v>
      </c>
      <c r="B24" s="95">
        <f ca="1">IFERROR(Prices!B23/Prices!B22-1,"")</f>
        <v>-4.3037585902407138E-2</v>
      </c>
      <c r="C24" s="95">
        <f ca="1">IFERROR(Prices!C23/Prices!C22-1,"")</f>
        <v>1.0629800307219606E-2</v>
      </c>
      <c r="D24" s="95">
        <f ca="1">IFERROR(Prices!D23/Prices!D22-1,"")</f>
        <v>7.9730957018928628E-3</v>
      </c>
      <c r="E24" s="95">
        <f ca="1">IFERROR(Prices!E23/Prices!E22-1,"")</f>
        <v>-3.0950079161587762E-2</v>
      </c>
      <c r="F24" s="95">
        <f ca="1">IFERROR(Prices!F23/Prices!F22-1,"")</f>
        <v>-2.1424114261942684E-2</v>
      </c>
      <c r="G24" s="95">
        <f ca="1">IFERROR(Prices!G23/Prices!G22-1,"")</f>
        <v>-1.3879790876169529E-2</v>
      </c>
      <c r="H24" s="95">
        <f ca="1">IFERROR(Prices!H23/Prices!H22-1,"")</f>
        <v>2.2080608194978701E-3</v>
      </c>
      <c r="I24" s="93">
        <f ca="1">IFERROR(Prices!I23/Prices!I22-1,"")</f>
        <v>1.121031579848597E-2</v>
      </c>
      <c r="J24" s="94">
        <f t="shared" ca="1" si="0"/>
        <v>-1.5478964581627718E-2</v>
      </c>
      <c r="K24" s="113"/>
      <c r="L24" s="113"/>
      <c r="M24" s="113"/>
    </row>
    <row r="25" spans="1:13" x14ac:dyDescent="0.3">
      <c r="A25" s="80">
        <f ca="1">Prices!$A$24</f>
        <v>45684</v>
      </c>
      <c r="B25" s="95">
        <f ca="1">IFERROR(Prices!B24/Prices!B23-1,"")</f>
        <v>1.4683463050629841E-2</v>
      </c>
      <c r="C25" s="95">
        <f ca="1">IFERROR(Prices!C24/Prices!C23-1,"")</f>
        <v>-1.3101896887159459E-2</v>
      </c>
      <c r="D25" s="95">
        <f ca="1">IFERROR(Prices!D24/Prices!D23-1,"")</f>
        <v>2.4942450315013298E-2</v>
      </c>
      <c r="E25" s="95">
        <f ca="1">IFERROR(Prices!E24/Prices!E23-1,"")</f>
        <v>-3.0940951940314765E-3</v>
      </c>
      <c r="F25" s="95">
        <f ca="1">IFERROR(Prices!F24/Prices!F23-1,"")</f>
        <v>1.9909309905058681E-2</v>
      </c>
      <c r="G25" s="95">
        <f ca="1">IFERROR(Prices!G24/Prices!G23-1,"")</f>
        <v>7.9262025919334178E-2</v>
      </c>
      <c r="H25" s="95">
        <f ca="1">IFERROR(Prices!H24/Prices!H23-1,"")</f>
        <v>-5.5135677831385732E-2</v>
      </c>
      <c r="I25" s="93">
        <f ca="1">IFERROR(Prices!I24/Prices!I23-1,"")</f>
        <v>-2.2086319595412296E-2</v>
      </c>
      <c r="J25" s="94">
        <f t="shared" ca="1" si="0"/>
        <v>1.1658455482760961E-2</v>
      </c>
      <c r="K25" s="113"/>
      <c r="L25" s="113"/>
      <c r="M25" s="113"/>
    </row>
    <row r="26" spans="1:13" x14ac:dyDescent="0.3">
      <c r="A26" s="80">
        <f ca="1">Prices!$A$25</f>
        <v>45691</v>
      </c>
      <c r="B26" s="95">
        <f ca="1">IFERROR(Prices!B25/Prices!B24-1,"")</f>
        <v>1.6606041436029173E-3</v>
      </c>
      <c r="C26" s="95">
        <f ca="1">IFERROR(Prices!C25/Prices!C24-1,"")</f>
        <v>3.2958570768520046E-2</v>
      </c>
      <c r="D26" s="95">
        <f ca="1">IFERROR(Prices!D25/Prices!D24-1,"")</f>
        <v>2.4719870634550389E-2</v>
      </c>
      <c r="E26" s="95">
        <f ca="1">IFERROR(Prices!E25/Prices!E24-1,"")</f>
        <v>-3.20812182741117E-2</v>
      </c>
      <c r="F26" s="95">
        <f ca="1">IFERROR(Prices!F25/Prices!F24-1,"")</f>
        <v>2.2750955192775368E-2</v>
      </c>
      <c r="G26" s="95">
        <f ca="1">IFERROR(Prices!G25/Prices!G24-1,"")</f>
        <v>1.0296907056865257E-2</v>
      </c>
      <c r="H26" s="95">
        <f ca="1">IFERROR(Prices!H25/Prices!H24-1,"")</f>
        <v>1.8683589138134726E-2</v>
      </c>
      <c r="I26" s="93">
        <f ca="1">IFERROR(Prices!I25/Prices!I24-1,"")</f>
        <v>2.3299175901150937E-2</v>
      </c>
      <c r="J26" s="94">
        <f t="shared" ca="1" si="0"/>
        <v>1.0189601097502596E-2</v>
      </c>
      <c r="K26" s="113"/>
      <c r="L26" s="113"/>
      <c r="M26" s="113"/>
    </row>
    <row r="27" spans="1:13" x14ac:dyDescent="0.3">
      <c r="A27" s="80">
        <f ca="1">Prices!$A$26</f>
        <v>45698</v>
      </c>
      <c r="B27" s="95">
        <f ca="1">IFERROR(Prices!B26/Prices!B25-1,"")</f>
        <v>-3.9038446356674861E-2</v>
      </c>
      <c r="C27" s="95">
        <f ca="1">IFERROR(Prices!C26/Prices!C25-1,"")</f>
        <v>2.403459072610703E-2</v>
      </c>
      <c r="D27" s="95">
        <f ca="1">IFERROR(Prices!D26/Prices!D25-1,"")</f>
        <v>-2.1872740754043218E-2</v>
      </c>
      <c r="E27" s="95">
        <f ca="1">IFERROR(Prices!E26/Prices!E25-1,"")</f>
        <v>-2.9743174802960848E-2</v>
      </c>
      <c r="F27" s="95">
        <f ca="1">IFERROR(Prices!F26/Prices!F25-1,"")</f>
        <v>-8.6941755815928001E-3</v>
      </c>
      <c r="G27" s="95">
        <f ca="1">IFERROR(Prices!G26/Prices!G25-1,"")</f>
        <v>-2.8296103298977027E-2</v>
      </c>
      <c r="H27" s="95">
        <f ca="1">IFERROR(Prices!H26/Prices!H25-1,"")</f>
        <v>-8.3446817141367147E-3</v>
      </c>
      <c r="I27" s="93">
        <f ca="1">IFERROR(Prices!I26/Prices!I25-1,"")</f>
        <v>8.7961917113310584E-4</v>
      </c>
      <c r="J27" s="94">
        <f t="shared" ca="1" si="0"/>
        <v>-1.8008464458580849E-2</v>
      </c>
      <c r="K27" s="113"/>
      <c r="L27" s="113"/>
      <c r="M27" s="113"/>
    </row>
    <row r="28" spans="1:13" x14ac:dyDescent="0.3">
      <c r="A28" s="80">
        <f ca="1">Prices!$A$27</f>
        <v>45705</v>
      </c>
      <c r="B28" s="95">
        <f ca="1">IFERROR(Prices!B27/Prices!B26-1,"")</f>
        <v>8.9546108030396088E-3</v>
      </c>
      <c r="C28" s="95">
        <f ca="1">IFERROR(Prices!C27/Prices!C26-1,"")</f>
        <v>-4.5310270522116447E-2</v>
      </c>
      <c r="D28" s="95">
        <f ca="1">IFERROR(Prices!D27/Prices!D26-1,"")</f>
        <v>-1.3865699210503513E-3</v>
      </c>
      <c r="E28" s="95">
        <f ca="1">IFERROR(Prices!E27/Prices!E26-1,"")</f>
        <v>2.3921671582783688E-2</v>
      </c>
      <c r="F28" s="95">
        <f ca="1">IFERROR(Prices!F27/Prices!F26-1,"")</f>
        <v>1.1168590907533638E-2</v>
      </c>
      <c r="G28" s="95">
        <f ca="1">IFERROR(Prices!G27/Prices!G26-1,"")</f>
        <v>-2.8138246485676532E-2</v>
      </c>
      <c r="H28" s="95">
        <f ca="1">IFERROR(Prices!H27/Prices!H26-1,"")</f>
        <v>-6.1650840029218168E-3</v>
      </c>
      <c r="I28" s="93">
        <f ca="1">IFERROR(Prices!I27/Prices!I26-1,"")</f>
        <v>-1.8052640385038399E-2</v>
      </c>
      <c r="J28" s="94">
        <f t="shared" ca="1" si="0"/>
        <v>-4.1871477898263038E-3</v>
      </c>
      <c r="K28" s="113"/>
      <c r="L28" s="113"/>
      <c r="M28" s="113"/>
    </row>
    <row r="29" spans="1:13" x14ac:dyDescent="0.3">
      <c r="A29" s="80">
        <f ca="1">Prices!$A$28</f>
        <v>45712</v>
      </c>
      <c r="B29" s="95">
        <f ca="1">IFERROR(Prices!B28/Prices!B27-1,"")</f>
        <v>-2.2839229735781563E-2</v>
      </c>
      <c r="C29" s="95">
        <f ca="1">IFERROR(Prices!C28/Prices!C27-1,"")</f>
        <v>-4.2122922068018931E-2</v>
      </c>
      <c r="D29" s="95">
        <f ca="1">IFERROR(Prices!D28/Prices!D27-1,"")</f>
        <v>2.3574565365237277E-2</v>
      </c>
      <c r="E29" s="95">
        <f ca="1">IFERROR(Prices!E28/Prices!E27-1,"")</f>
        <v>-4.5624566378088094E-2</v>
      </c>
      <c r="F29" s="95">
        <f ca="1">IFERROR(Prices!F28/Prices!F27-1,"")</f>
        <v>-4.6247670675927499E-2</v>
      </c>
      <c r="G29" s="95">
        <f ca="1">IFERROR(Prices!G28/Prices!G27-1,"")</f>
        <v>-3.0640770238853587E-2</v>
      </c>
      <c r="H29" s="95">
        <f ca="1">IFERROR(Prices!H28/Prices!H27-1,"")</f>
        <v>-7.3881342976421571E-2</v>
      </c>
      <c r="I29" s="93">
        <f ca="1">IFERROR(Prices!I28/Prices!I27-1,"")</f>
        <v>-1.7689862175787829E-2</v>
      </c>
      <c r="J29" s="94">
        <f t="shared" ca="1" si="0"/>
        <v>-3.0298649415231013E-2</v>
      </c>
      <c r="K29" s="113"/>
      <c r="L29" s="113"/>
      <c r="M29" s="113"/>
    </row>
    <row r="30" spans="1:13" x14ac:dyDescent="0.3">
      <c r="A30" s="80">
        <f ca="1">Prices!$A$29</f>
        <v>45719</v>
      </c>
      <c r="B30" s="95">
        <f ca="1">IFERROR(Prices!B29/Prices!B28-1,"")</f>
        <v>4.1413215565369699E-2</v>
      </c>
      <c r="C30" s="95">
        <f ca="1">IFERROR(Prices!C29/Prices!C28-1,"")</f>
        <v>3.8530123551139939E-2</v>
      </c>
      <c r="D30" s="95">
        <f ca="1">IFERROR(Prices!D29/Prices!D28-1,"")</f>
        <v>-2.4907650212637633E-2</v>
      </c>
      <c r="E30" s="95">
        <f ca="1">IFERROR(Prices!E29/Prices!E28-1,"")</f>
        <v>2.5554308832593131E-2</v>
      </c>
      <c r="F30" s="95">
        <f ca="1">IFERROR(Prices!F29/Prices!F28-1,"")</f>
        <v>3.6198934280639472E-2</v>
      </c>
      <c r="G30" s="95">
        <f ca="1">IFERROR(Prices!G29/Prices!G28-1,"")</f>
        <v>-2.3581411117668538E-2</v>
      </c>
      <c r="H30" s="95">
        <f ca="1">IFERROR(Prices!H29/Prices!H28-1,"")</f>
        <v>-1.0856798196882567E-2</v>
      </c>
      <c r="I30" s="93">
        <f ca="1">IFERROR(Prices!I29/Prices!I28-1,"")</f>
        <v>-1.9245426317719749E-2</v>
      </c>
      <c r="J30" s="94">
        <f t="shared" ca="1" si="0"/>
        <v>1.5683004759210497E-2</v>
      </c>
      <c r="K30" s="113"/>
      <c r="L30" s="113"/>
      <c r="M30" s="113"/>
    </row>
    <row r="31" spans="1:13" x14ac:dyDescent="0.3">
      <c r="A31" s="80">
        <f ca="1">Prices!$A$30</f>
        <v>45726</v>
      </c>
      <c r="B31" s="95">
        <f ca="1">IFERROR(Prices!B30/Prices!B29-1,"")</f>
        <v>-1.5202432389180842E-3</v>
      </c>
      <c r="C31" s="95">
        <f ca="1">IFERROR(Prices!C30/Prices!C29-1,"")</f>
        <v>1.1038204452076261E-3</v>
      </c>
      <c r="D31" s="95">
        <f ca="1">IFERROR(Prices!D30/Prices!D29-1,"")</f>
        <v>1.0270847232437763E-2</v>
      </c>
      <c r="E31" s="95">
        <f ca="1">IFERROR(Prices!E30/Prices!E29-1,"")</f>
        <v>-1.7690387400992269E-2</v>
      </c>
      <c r="F31" s="95">
        <f ca="1">IFERROR(Prices!F30/Prices!F29-1,"")</f>
        <v>2.3655250437109032E-3</v>
      </c>
      <c r="G31" s="95">
        <f ca="1">IFERROR(Prices!G30/Prices!G29-1,"")</f>
        <v>-1.2889923397761516E-2</v>
      </c>
      <c r="H31" s="95">
        <f ca="1">IFERROR(Prices!H30/Prices!H29-1,"")</f>
        <v>-1.4891363650951561E-2</v>
      </c>
      <c r="I31" s="93">
        <f ca="1">IFERROR(Prices!I30/Prices!I29-1,"")</f>
        <v>1.5416400517011652E-2</v>
      </c>
      <c r="J31" s="94">
        <f t="shared" ca="1" si="0"/>
        <v>-3.7232605605149829E-3</v>
      </c>
      <c r="K31" s="113"/>
      <c r="L31" s="113"/>
      <c r="M31" s="113"/>
    </row>
    <row r="32" spans="1:13" x14ac:dyDescent="0.3">
      <c r="A32" s="80">
        <f ca="1">Prices!$A$31</f>
        <v>45733</v>
      </c>
      <c r="B32" s="95">
        <f ca="1">IFERROR(Prices!B31/Prices!B30-1,"")</f>
        <v>2.279830114592496E-2</v>
      </c>
      <c r="C32" s="95">
        <f ca="1">IFERROR(Prices!C31/Prices!C30-1,"")</f>
        <v>5.7151607963246587E-2</v>
      </c>
      <c r="D32" s="95">
        <f ca="1">IFERROR(Prices!D31/Prices!D30-1,"")</f>
        <v>3.735503424759723E-2</v>
      </c>
      <c r="E32" s="95">
        <f ca="1">IFERROR(Prices!E31/Prices!E30-1,"")</f>
        <v>7.1737834530793965E-2</v>
      </c>
      <c r="F32" s="95">
        <f ca="1">IFERROR(Prices!F31/Prices!F30-1,"")</f>
        <v>4.2376359532115604E-2</v>
      </c>
      <c r="G32" s="95">
        <f ca="1">IFERROR(Prices!G31/Prices!G30-1,"")</f>
        <v>1.9020653476697458E-2</v>
      </c>
      <c r="H32" s="95">
        <f ca="1">IFERROR(Prices!H31/Prices!H30-1,"")</f>
        <v>2.0817722756149237E-2</v>
      </c>
      <c r="I32" s="93">
        <f ca="1">IFERROR(Prices!I31/Prices!I30-1,"")</f>
        <v>2.1571046274877492E-3</v>
      </c>
      <c r="J32" s="94">
        <f t="shared" ca="1" si="0"/>
        <v>3.870413903861146E-2</v>
      </c>
      <c r="K32" s="113"/>
      <c r="L32" s="113"/>
      <c r="M32" s="113"/>
    </row>
    <row r="33" spans="1:13" x14ac:dyDescent="0.3">
      <c r="A33" s="80">
        <f ca="1">Prices!$A$32</f>
        <v>45740</v>
      </c>
      <c r="B33" s="95">
        <f ca="1">IFERROR(Prices!B32/Prices!B31-1,"")</f>
        <v>-9.7935519254122028E-4</v>
      </c>
      <c r="C33" s="95">
        <f ca="1">IFERROR(Prices!C32/Prices!C31-1,"")</f>
        <v>4.4037547803916777E-3</v>
      </c>
      <c r="D33" s="95">
        <f ca="1">IFERROR(Prices!D32/Prices!D31-1,"")</f>
        <v>3.2677078229875756E-2</v>
      </c>
      <c r="E33" s="95">
        <f ca="1">IFERROR(Prices!E32/Prices!E31-1,"")</f>
        <v>2.2351029728187033E-2</v>
      </c>
      <c r="F33" s="95">
        <f ca="1">IFERROR(Prices!F32/Prices!F31-1,"")</f>
        <v>-5.3581389244348077E-2</v>
      </c>
      <c r="G33" s="95">
        <f ca="1">IFERROR(Prices!G32/Prices!G31-1,"")</f>
        <v>-1.7953941088231229E-2</v>
      </c>
      <c r="H33" s="95">
        <f ca="1">IFERROR(Prices!H32/Prices!H31-1,"")</f>
        <v>1.6467734729048278E-2</v>
      </c>
      <c r="I33" s="93">
        <f ca="1">IFERROR(Prices!I32/Prices!I31-1,"")</f>
        <v>5.1073454073415903E-2</v>
      </c>
      <c r="J33" s="94">
        <f t="shared" ca="1" si="0"/>
        <v>1.3638739049066473E-3</v>
      </c>
      <c r="K33" s="113"/>
      <c r="L33" s="113"/>
      <c r="M33" s="113"/>
    </row>
    <row r="34" spans="1:13" x14ac:dyDescent="0.3">
      <c r="A34" s="80">
        <f ca="1">Prices!$A$33</f>
        <v>45747</v>
      </c>
      <c r="B34" s="95">
        <f ca="1">IFERROR(Prices!B33/Prices!B32-1,"")</f>
        <v>0</v>
      </c>
      <c r="C34" s="95">
        <f ca="1">IFERROR(Prices!C33/Prices!C32-1,"")</f>
        <v>0</v>
      </c>
      <c r="D34" s="95">
        <f ca="1">IFERROR(Prices!D33/Prices!D32-1,"")</f>
        <v>0</v>
      </c>
      <c r="E34" s="95">
        <f ca="1">IFERROR(Prices!E33/Prices!E32-1,"")</f>
        <v>0</v>
      </c>
      <c r="F34" s="95">
        <f ca="1">IFERROR(Prices!F33/Prices!F32-1,"")</f>
        <v>0</v>
      </c>
      <c r="G34" s="95">
        <f ca="1">IFERROR(Prices!G33/Prices!G32-1,"")</f>
        <v>0</v>
      </c>
      <c r="H34" s="95">
        <f ca="1">IFERROR(Prices!H33/Prices!H32-1,"")</f>
        <v>0</v>
      </c>
      <c r="I34" s="93">
        <f ca="1">IFERROR(Prices!I33/Prices!I32-1,"")</f>
        <v>-2.08235315970553E-2</v>
      </c>
      <c r="J34" s="94">
        <f t="shared" ca="1" si="0"/>
        <v>0</v>
      </c>
      <c r="K34" s="113"/>
      <c r="L34" s="113"/>
      <c r="M34" s="113"/>
    </row>
    <row r="35" spans="1:13" x14ac:dyDescent="0.3">
      <c r="A35" s="80">
        <f ca="1">Prices!$A$34</f>
        <v>45754</v>
      </c>
      <c r="B35" s="95">
        <f ca="1">IFERROR(Prices!B34/Prices!B33-1,"")</f>
        <v>-4.4035761901027315E-2</v>
      </c>
      <c r="C35" s="95">
        <f ca="1">IFERROR(Prices!C34/Prices!C33-1,"")</f>
        <v>1.3384100611514738E-2</v>
      </c>
      <c r="D35" s="95">
        <f ca="1">IFERROR(Prices!D34/Prices!D33-1,"")</f>
        <v>-1.173285020392989E-2</v>
      </c>
      <c r="E35" s="95">
        <f ca="1">IFERROR(Prices!E34/Prices!E33-1,"")</f>
        <v>-0.10776565587148879</v>
      </c>
      <c r="F35" s="95">
        <f ca="1">IFERROR(Prices!F34/Prices!F33-1,"")</f>
        <v>1.4457079461933198E-2</v>
      </c>
      <c r="G35" s="95">
        <f ca="1">IFERROR(Prices!G34/Prices!G33-1,"")</f>
        <v>6.6741016216591564E-3</v>
      </c>
      <c r="H35" s="95">
        <f ca="1">IFERROR(Prices!H34/Prices!H33-1,"")</f>
        <v>-0.12681318681318687</v>
      </c>
      <c r="I35" s="93">
        <f ca="1">IFERROR(Prices!I34/Prices!I33-1,"")</f>
        <v>-4.3344239251897676E-2</v>
      </c>
      <c r="J35" s="94">
        <f t="shared" ca="1" si="0"/>
        <v>-3.3845174581262724E-2</v>
      </c>
      <c r="K35" s="113"/>
      <c r="L35" s="113"/>
      <c r="M35" s="113"/>
    </row>
    <row r="36" spans="1:13" x14ac:dyDescent="0.3">
      <c r="A36" s="80">
        <f ca="1">Prices!$A$35</f>
        <v>45761</v>
      </c>
      <c r="B36" s="95">
        <f ca="1">IFERROR(Prices!B35/Prices!B34-1,"")</f>
        <v>0</v>
      </c>
      <c r="C36" s="95">
        <f ca="1">IFERROR(Prices!C35/Prices!C34-1,"")</f>
        <v>0</v>
      </c>
      <c r="D36" s="95">
        <f ca="1">IFERROR(Prices!D35/Prices!D34-1,"")</f>
        <v>0</v>
      </c>
      <c r="E36" s="95">
        <f ca="1">IFERROR(Prices!E35/Prices!E34-1,"")</f>
        <v>0</v>
      </c>
      <c r="F36" s="95">
        <f ca="1">IFERROR(Prices!F35/Prices!F34-1,"")</f>
        <v>0</v>
      </c>
      <c r="G36" s="95">
        <f ca="1">IFERROR(Prices!G35/Prices!G34-1,"")</f>
        <v>0</v>
      </c>
      <c r="H36" s="95">
        <f ca="1">IFERROR(Prices!H35/Prices!H34-1,"")</f>
        <v>0</v>
      </c>
      <c r="I36" s="93">
        <f ca="1">IFERROR(Prices!I35/Prices!I34-1,"")</f>
        <v>5.265645045682299E-2</v>
      </c>
      <c r="J36" s="94">
        <f t="shared" ca="1" si="0"/>
        <v>0</v>
      </c>
      <c r="K36" s="113"/>
      <c r="L36" s="113"/>
      <c r="M36" s="113"/>
    </row>
    <row r="37" spans="1:13" x14ac:dyDescent="0.3">
      <c r="A37" s="80">
        <f ca="1">Prices!$A$36</f>
        <v>45768</v>
      </c>
      <c r="B37" s="95">
        <f ca="1">IFERROR(Prices!B36/Prices!B35-1,"")</f>
        <v>6.681980392961151E-2</v>
      </c>
      <c r="C37" s="95">
        <f ca="1">IFERROR(Prices!C36/Prices!C35-1,"")</f>
        <v>3.4498462939769992E-2</v>
      </c>
      <c r="D37" s="95">
        <f ca="1">IFERROR(Prices!D36/Prices!D35-1,"")</f>
        <v>5.7811008477534953E-2</v>
      </c>
      <c r="E37" s="95">
        <f ca="1">IFERROR(Prices!E36/Prices!E35-1,"")</f>
        <v>5.0113127617580577E-2</v>
      </c>
      <c r="F37" s="95">
        <f ca="1">IFERROR(Prices!F36/Prices!F35-1,"")</f>
        <v>4.2958203752434976E-2</v>
      </c>
      <c r="G37" s="95">
        <f ca="1">IFERROR(Prices!G36/Prices!G35-1,"")</f>
        <v>8.5308710627163276E-3</v>
      </c>
      <c r="H37" s="95">
        <f ca="1">IFERROR(Prices!H36/Prices!H35-1,"")</f>
        <v>0.13494660386178148</v>
      </c>
      <c r="I37" s="93">
        <f ca="1">IFERROR(Prices!I36/Prices!I35-1,"")</f>
        <v>3.4164145363053455E-2</v>
      </c>
      <c r="J37" s="94">
        <f t="shared" ca="1" si="0"/>
        <v>5.4554696808246164E-2</v>
      </c>
      <c r="K37" s="113"/>
      <c r="L37" s="113"/>
      <c r="M37" s="113"/>
    </row>
    <row r="38" spans="1:13" x14ac:dyDescent="0.3">
      <c r="A38" s="80">
        <f ca="1">Prices!$A$37</f>
        <v>45775</v>
      </c>
      <c r="B38" s="95">
        <f ca="1">IFERROR(Prices!B37/Prices!B36-1,"")</f>
        <v>9.3817286988618909E-2</v>
      </c>
      <c r="C38" s="95">
        <f ca="1">IFERROR(Prices!C37/Prices!C36-1,"")</f>
        <v>1.9095311468192877E-2</v>
      </c>
      <c r="D38" s="95">
        <f ca="1">IFERROR(Prices!D37/Prices!D36-1,"")</f>
        <v>7.2206070706328784E-3</v>
      </c>
      <c r="E38" s="95">
        <f ca="1">IFERROR(Prices!E37/Prices!E36-1,"")</f>
        <v>1.7633935393172706E-2</v>
      </c>
      <c r="F38" s="95">
        <f ca="1">IFERROR(Prices!F37/Prices!F36-1,"")</f>
        <v>-1.9660528212872563E-4</v>
      </c>
      <c r="G38" s="95">
        <f ca="1">IFERROR(Prices!G37/Prices!G36-1,"")</f>
        <v>6.0523166353222857E-2</v>
      </c>
      <c r="H38" s="95">
        <f ca="1">IFERROR(Prices!H37/Prices!H36-1,"")</f>
        <v>-1.0771765302243219E-3</v>
      </c>
      <c r="I38" s="93">
        <f ca="1">IFERROR(Prices!I37/Prices!I36-1,"")</f>
        <v>8.4122107963533477E-3</v>
      </c>
      <c r="J38" s="94">
        <f t="shared" ref="J38:J69" ca="1" si="1">IFERROR(SUMPRODUCT(Weights,$B38:$H38),"")</f>
        <v>3.5136356184061496E-2</v>
      </c>
      <c r="K38" s="113"/>
      <c r="L38" s="113"/>
      <c r="M38" s="113"/>
    </row>
    <row r="39" spans="1:13" x14ac:dyDescent="0.3">
      <c r="A39" s="80">
        <f ca="1">Prices!$A$38</f>
        <v>45782</v>
      </c>
      <c r="B39" s="95">
        <f ca="1">IFERROR(Prices!B38/Prices!B37-1,"")</f>
        <v>-3.1777277840269957E-2</v>
      </c>
      <c r="C39" s="95">
        <f ca="1">IFERROR(Prices!C38/Prices!C37-1,"")</f>
        <v>-1.8899508612776339E-3</v>
      </c>
      <c r="D39" s="95">
        <f ca="1">IFERROR(Prices!D38/Prices!D37-1,"")</f>
        <v>-1.8337633174428492E-2</v>
      </c>
      <c r="E39" s="95">
        <f ca="1">IFERROR(Prices!E38/Prices!E37-1,"")</f>
        <v>3.4266322301639729E-2</v>
      </c>
      <c r="F39" s="95">
        <f ca="1">IFERROR(Prices!F38/Prices!F37-1,"")</f>
        <v>-2.9889879391714724E-2</v>
      </c>
      <c r="G39" s="95">
        <f ca="1">IFERROR(Prices!G38/Prices!G37-1,"")</f>
        <v>-1.2574560696437254E-2</v>
      </c>
      <c r="H39" s="95">
        <f ca="1">IFERROR(Prices!H38/Prices!H37-1,"")</f>
        <v>-4.503647320012627E-3</v>
      </c>
      <c r="I39" s="93">
        <f ca="1">IFERROR(Prices!I38/Prices!I37-1,"")</f>
        <v>5.4524689407484672E-3</v>
      </c>
      <c r="J39" s="94">
        <f t="shared" ca="1" si="1"/>
        <v>-1.1046687455767821E-2</v>
      </c>
      <c r="K39" s="113"/>
      <c r="L39" s="113"/>
      <c r="M39" s="113"/>
    </row>
    <row r="40" spans="1:13" x14ac:dyDescent="0.3">
      <c r="A40" s="80">
        <f ca="1">Prices!$A$39</f>
        <v>45789</v>
      </c>
      <c r="B40" s="95">
        <f ca="1">IFERROR(Prices!B39/Prices!B38-1,"")</f>
        <v>5.7507987220447365E-2</v>
      </c>
      <c r="C40" s="95">
        <f ca="1">IFERROR(Prices!C39/Prices!C38-1,"")</f>
        <v>-1.8610690326769097E-2</v>
      </c>
      <c r="D40" s="95">
        <f ca="1">IFERROR(Prices!D39/Prices!D38-1,"")</f>
        <v>2.3813302991553931E-2</v>
      </c>
      <c r="E40" s="95">
        <f ca="1">IFERROR(Prices!E39/Prices!E38-1,"")</f>
        <v>4.6691251197769956E-2</v>
      </c>
      <c r="F40" s="95">
        <f ca="1">IFERROR(Prices!F39/Prices!F38-1,"")</f>
        <v>1.3445945945945947E-2</v>
      </c>
      <c r="G40" s="95">
        <f ca="1">IFERROR(Prices!G39/Prices!G38-1,"")</f>
        <v>6.0816326530612308E-2</v>
      </c>
      <c r="H40" s="95">
        <f ca="1">IFERROR(Prices!H39/Prices!H38-1,"")</f>
        <v>5.7665349815215983E-2</v>
      </c>
      <c r="I40" s="93">
        <f ca="1">IFERROR(Prices!I39/Prices!I38-1,"")</f>
        <v>1.8950409965291737E-2</v>
      </c>
      <c r="J40" s="94">
        <f t="shared" ca="1" si="1"/>
        <v>3.4645358308664838E-2</v>
      </c>
      <c r="K40" s="113"/>
      <c r="L40" s="113"/>
      <c r="M40" s="113"/>
    </row>
    <row r="41" spans="1:13" x14ac:dyDescent="0.3">
      <c r="A41" s="80">
        <f ca="1">Prices!$A$40</f>
        <v>45796</v>
      </c>
      <c r="B41" s="95">
        <f ca="1">IFERROR(Prices!B40/Prices!B39-1,"")</f>
        <v>-2.032408678934372E-2</v>
      </c>
      <c r="C41" s="95">
        <f ca="1">IFERROR(Prices!C40/Prices!C39-1,"")</f>
        <v>9.7574421168689085E-3</v>
      </c>
      <c r="D41" s="95">
        <f ca="1">IFERROR(Prices!D40/Prices!D39-1,"")</f>
        <v>-5.6862990970529825E-4</v>
      </c>
      <c r="E41" s="95">
        <f ca="1">IFERROR(Prices!E40/Prices!E39-1,"")</f>
        <v>-1.3315948622630858E-3</v>
      </c>
      <c r="F41" s="95">
        <f ca="1">IFERROR(Prices!F40/Prices!F39-1,"")</f>
        <v>-1.046736449096608E-2</v>
      </c>
      <c r="G41" s="95">
        <f ca="1">IFERROR(Prices!G40/Prices!G39-1,"")</f>
        <v>-4.1708349365140451E-2</v>
      </c>
      <c r="H41" s="95">
        <f ca="1">IFERROR(Prices!H40/Prices!H39-1,"")</f>
        <v>-7.0486173865895729E-3</v>
      </c>
      <c r="I41" s="93">
        <f ca="1">IFERROR(Prices!I40/Prices!I39-1,"")</f>
        <v>8.325075387225489E-4</v>
      </c>
      <c r="J41" s="94">
        <f t="shared" ca="1" si="1"/>
        <v>-1.037810263871719E-2</v>
      </c>
      <c r="K41" s="113"/>
      <c r="L41" s="113"/>
      <c r="M41" s="113"/>
    </row>
    <row r="42" spans="1:13" x14ac:dyDescent="0.3">
      <c r="A42" s="80">
        <f ca="1">Prices!$A$41</f>
        <v>45803</v>
      </c>
      <c r="B42" s="95">
        <f ca="1">IFERROR(Prices!B41/Prices!B40-1,"")</f>
        <v>-4.1351275581720248E-3</v>
      </c>
      <c r="C42" s="95">
        <f ca="1">IFERROR(Prices!C41/Prices!C40-1,"")</f>
        <v>1.3375552765190868E-2</v>
      </c>
      <c r="D42" s="95">
        <f ca="1">IFERROR(Prices!D41/Prices!D40-1,"")</f>
        <v>5.8440341753644987E-3</v>
      </c>
      <c r="E42" s="95">
        <f ca="1">IFERROR(Prices!E41/Prices!E40-1,"")</f>
        <v>2.0889469151920803E-2</v>
      </c>
      <c r="F42" s="95">
        <f ca="1">IFERROR(Prices!F41/Prices!F40-1,"")</f>
        <v>-1.246462740870502E-2</v>
      </c>
      <c r="G42" s="95">
        <f ca="1">IFERROR(Prices!G41/Prices!G40-1,"")</f>
        <v>-1.0760459327069816E-2</v>
      </c>
      <c r="H42" s="95">
        <f ca="1">IFERROR(Prices!H41/Prices!H40-1,"")</f>
        <v>-7.0379808275695677E-3</v>
      </c>
      <c r="I42" s="93">
        <f ca="1">IFERROR(Prices!I41/Prices!I40-1,"")</f>
        <v>2.2329191744172583E-3</v>
      </c>
      <c r="J42" s="94">
        <f t="shared" ca="1" si="1"/>
        <v>1.4359557011984104E-3</v>
      </c>
      <c r="K42" s="113"/>
      <c r="L42" s="113"/>
      <c r="M42" s="113"/>
    </row>
    <row r="43" spans="1:13" x14ac:dyDescent="0.3">
      <c r="A43" s="80">
        <f ca="1">Prices!$A$42</f>
        <v>45810</v>
      </c>
      <c r="B43" s="95">
        <f ca="1">IFERROR(Prices!B42/Prices!B41-1,"")</f>
        <v>1.5905412062777069E-2</v>
      </c>
      <c r="C43" s="95">
        <f ca="1">IFERROR(Prices!C42/Prices!C41-1,"")</f>
        <v>7.5422907014330853E-3</v>
      </c>
      <c r="D43" s="95">
        <f ca="1">IFERROR(Prices!D42/Prices!D41-1,"")</f>
        <v>1.7378798342292168E-2</v>
      </c>
      <c r="E43" s="95">
        <f ca="1">IFERROR(Prices!E42/Prices!E41-1,"")</f>
        <v>-5.1155070610322539E-3</v>
      </c>
      <c r="F43" s="95">
        <f ca="1">IFERROR(Prices!F42/Prices!F41-1,"")</f>
        <v>2.6267312546905952E-2</v>
      </c>
      <c r="G43" s="95">
        <f ca="1">IFERROR(Prices!G42/Prices!G41-1,"")</f>
        <v>1.1608085071840302E-2</v>
      </c>
      <c r="H43" s="95">
        <f ca="1">IFERROR(Prices!H42/Prices!H41-1,"")</f>
        <v>6.7212513748016178E-4</v>
      </c>
      <c r="I43" s="93">
        <f ca="1">IFERROR(Prices!I42/Prices!I41-1,"")</f>
        <v>-1.1381507522817857E-2</v>
      </c>
      <c r="J43" s="94">
        <f t="shared" ca="1" si="1"/>
        <v>1.1285776119075762E-2</v>
      </c>
      <c r="K43" s="113"/>
      <c r="L43" s="113"/>
      <c r="M43" s="113"/>
    </row>
    <row r="44" spans="1:13" x14ac:dyDescent="0.3">
      <c r="A44" s="80">
        <f ca="1">Prices!$A$43</f>
        <v>45817</v>
      </c>
      <c r="B44" s="95">
        <f ca="1">IFERROR(Prices!B43/Prices!B42-1,"")</f>
        <v>-1.0807066158642131E-2</v>
      </c>
      <c r="C44" s="95">
        <f ca="1">IFERROR(Prices!C43/Prices!C42-1,"")</f>
        <v>-1.5934124692546181E-2</v>
      </c>
      <c r="D44" s="95">
        <f ca="1">IFERROR(Prices!D43/Prices!D42-1,"")</f>
        <v>-3.0878823754955431E-2</v>
      </c>
      <c r="E44" s="95">
        <f ca="1">IFERROR(Prices!E43/Prices!E42-1,"")</f>
        <v>-1.8844186746164171E-2</v>
      </c>
      <c r="F44" s="95">
        <f ca="1">IFERROR(Prices!F43/Prices!F42-1,"")</f>
        <v>6.648052120727943E-4</v>
      </c>
      <c r="G44" s="95">
        <f ca="1">IFERROR(Prices!G43/Prices!G42-1,"")</f>
        <v>-4.3331728454502061E-3</v>
      </c>
      <c r="H44" s="95">
        <f ca="1">IFERROR(Prices!H43/Prices!H42-1,"")</f>
        <v>3.5171276790620931E-2</v>
      </c>
      <c r="I44" s="93">
        <f ca="1">IFERROR(Prices!I43/Prices!I42-1,"")</f>
        <v>1.5641294331942168E-2</v>
      </c>
      <c r="J44" s="94">
        <f t="shared" ca="1" si="1"/>
        <v>-9.420542832925323E-3</v>
      </c>
      <c r="K44" s="113"/>
      <c r="L44" s="113"/>
      <c r="M44" s="113"/>
    </row>
    <row r="45" spans="1:13" x14ac:dyDescent="0.3">
      <c r="A45" s="80">
        <f ca="1">Prices!$A$44</f>
        <v>45824</v>
      </c>
      <c r="B45" s="95">
        <f ca="1">IFERROR(Prices!B44/Prices!B43-1,"")</f>
        <v>2.6822606625113821E-2</v>
      </c>
      <c r="C45" s="95">
        <f ca="1">IFERROR(Prices!C44/Prices!C43-1,"")</f>
        <v>5.2325581395348708E-2</v>
      </c>
      <c r="D45" s="95">
        <f ca="1">IFERROR(Prices!D44/Prices!D43-1,"")</f>
        <v>2.4561956006458274E-2</v>
      </c>
      <c r="E45" s="95">
        <f ca="1">IFERROR(Prices!E44/Prices!E43-1,"")</f>
        <v>2.0795004738808132E-2</v>
      </c>
      <c r="F45" s="95">
        <f ca="1">IFERROR(Prices!F44/Prices!F43-1,"")</f>
        <v>-3.6539994685091948E-3</v>
      </c>
      <c r="G45" s="95">
        <f ca="1">IFERROR(Prices!G44/Prices!G43-1,"")</f>
        <v>3.086718246292719E-2</v>
      </c>
      <c r="H45" s="95">
        <f ca="1">IFERROR(Prices!H44/Prices!H43-1,"")</f>
        <v>2.6308028077626444E-2</v>
      </c>
      <c r="I45" s="93">
        <f ca="1">IFERROR(Prices!I44/Prices!I43-1,"")</f>
        <v>-6.2422011387679444E-3</v>
      </c>
      <c r="J45" s="94">
        <f t="shared" ca="1" si="1"/>
        <v>2.6246935283796909E-2</v>
      </c>
      <c r="K45" s="113"/>
      <c r="L45" s="113"/>
      <c r="M45" s="113"/>
    </row>
    <row r="46" spans="1:13" x14ac:dyDescent="0.3">
      <c r="A46" s="80">
        <f ca="1">Prices!$A$45</f>
        <v>45831</v>
      </c>
      <c r="B46" s="95">
        <f ca="1">IFERROR(Prices!B45/Prices!B44-1,"")</f>
        <v>3.3556131496385255E-2</v>
      </c>
      <c r="C46" s="95">
        <f ca="1">IFERROR(Prices!C45/Prices!C44-1,"")</f>
        <v>4.6677337739453595E-2</v>
      </c>
      <c r="D46" s="95">
        <f ca="1">IFERROR(Prices!D45/Prices!D44-1,"")</f>
        <v>2.5550920907532859E-2</v>
      </c>
      <c r="E46" s="95">
        <f ca="1">IFERROR(Prices!E45/Prices!E44-1,"")</f>
        <v>4.6968869470234154E-3</v>
      </c>
      <c r="F46" s="95">
        <f ca="1">IFERROR(Prices!F45/Prices!F44-1,"")</f>
        <v>1.8003600720144508E-3</v>
      </c>
      <c r="G46" s="95">
        <f ca="1">IFERROR(Prices!G45/Prices!G44-1,"")</f>
        <v>-1.16488155734501E-2</v>
      </c>
      <c r="H46" s="95">
        <f ca="1">IFERROR(Prices!H45/Prices!H44-1,"")</f>
        <v>-9.5407782056440293E-3</v>
      </c>
      <c r="I46" s="93">
        <f ca="1">IFERROR(Prices!I45/Prices!I44-1,"")</f>
        <v>1.0181945613612076E-3</v>
      </c>
      <c r="J46" s="94">
        <f t="shared" ca="1" si="1"/>
        <v>1.7169228515119612E-2</v>
      </c>
      <c r="K46" s="113"/>
      <c r="L46" s="113"/>
      <c r="M46" s="113"/>
    </row>
    <row r="47" spans="1:13" x14ac:dyDescent="0.3">
      <c r="A47" s="80">
        <f ca="1">Prices!$A$46</f>
        <v>45838</v>
      </c>
      <c r="B47" s="95">
        <f ca="1">IFERROR(Prices!B46/Prices!B45-1,"")</f>
        <v>7.8527121552065537E-3</v>
      </c>
      <c r="C47" s="95">
        <f ca="1">IFERROR(Prices!C46/Prices!C45-1,"")</f>
        <v>-4.8838241823293549E-3</v>
      </c>
      <c r="D47" s="95">
        <f ca="1">IFERROR(Prices!D46/Prices!D45-1,"")</f>
        <v>-1.2705289757764415E-2</v>
      </c>
      <c r="E47" s="95">
        <f ca="1">IFERROR(Prices!E46/Prices!E45-1,"")</f>
        <v>-2.2994129158512733E-2</v>
      </c>
      <c r="F47" s="95">
        <f ca="1">IFERROR(Prices!F46/Prices!F45-1,"")</f>
        <v>7.2550585729498351E-3</v>
      </c>
      <c r="G47" s="95">
        <f ca="1">IFERROR(Prices!G46/Prices!G45-1,"")</f>
        <v>3.1640563202017802E-4</v>
      </c>
      <c r="H47" s="95">
        <f ca="1">IFERROR(Prices!H46/Prices!H45-1,"")</f>
        <v>1.5087332443568524E-3</v>
      </c>
      <c r="I47" s="93">
        <f ca="1">IFERROR(Prices!I46/Prices!I45-1,"")</f>
        <v>2.1830552825273131E-2</v>
      </c>
      <c r="J47" s="94">
        <f t="shared" ca="1" si="1"/>
        <v>-3.0070596809198226E-3</v>
      </c>
      <c r="K47" s="113"/>
      <c r="L47" s="113"/>
      <c r="M47" s="113"/>
    </row>
    <row r="48" spans="1:13" x14ac:dyDescent="0.3">
      <c r="A48" s="80">
        <f ca="1">Prices!$A$47</f>
        <v>45845</v>
      </c>
      <c r="B48" s="95">
        <f ca="1">IFERROR(Prices!B47/Prices!B46-1,"")</f>
        <v>-2.1017481830681528E-2</v>
      </c>
      <c r="C48" s="95">
        <f ca="1">IFERROR(Prices!C47/Prices!C46-1,"")</f>
        <v>-4.7243704144358523E-2</v>
      </c>
      <c r="D48" s="95">
        <f ca="1">IFERROR(Prices!D47/Prices!D46-1,"")</f>
        <v>-2.8151048299240866E-3</v>
      </c>
      <c r="E48" s="95">
        <f ca="1">IFERROR(Prices!E47/Prices!E46-1,"")</f>
        <v>-1.5022533800701066E-2</v>
      </c>
      <c r="F48" s="95">
        <f ca="1">IFERROR(Prices!F47/Prices!F46-1,"")</f>
        <v>-1.8700852441683735E-2</v>
      </c>
      <c r="G48" s="95">
        <f ca="1">IFERROR(Prices!G47/Prices!G46-1,"")</f>
        <v>-5.6934999209236059E-3</v>
      </c>
      <c r="H48" s="95">
        <f ca="1">IFERROR(Prices!H47/Prices!H46-1,"")</f>
        <v>-5.0756127237962856E-2</v>
      </c>
      <c r="I48" s="93">
        <f ca="1">IFERROR(Prices!I47/Prices!I46-1,"")</f>
        <v>-2.184813616507908E-3</v>
      </c>
      <c r="J48" s="94">
        <f t="shared" ca="1" si="1"/>
        <v>-2.1941370634226829E-2</v>
      </c>
      <c r="K48" s="113"/>
      <c r="L48" s="113"/>
      <c r="M48" s="113"/>
    </row>
    <row r="49" spans="1:13" x14ac:dyDescent="0.3">
      <c r="A49" s="80">
        <f ca="1">Prices!$A$48</f>
        <v>45852</v>
      </c>
      <c r="B49" s="95">
        <f ca="1">IFERROR(Prices!B48/Prices!B47-1,"")</f>
        <v>-1.2841091492776902E-2</v>
      </c>
      <c r="C49" s="95">
        <f ca="1">IFERROR(Prices!C48/Prices!C47-1,"")</f>
        <v>-1.0874655289036972E-2</v>
      </c>
      <c r="D49" s="95">
        <f ca="1">IFERROR(Prices!D48/Prices!D47-1,"")</f>
        <v>-1.3258065422519949E-2</v>
      </c>
      <c r="E49" s="95">
        <f ca="1">IFERROR(Prices!E48/Prices!E47-1,"")</f>
        <v>-2.1408800768231262E-2</v>
      </c>
      <c r="F49" s="95">
        <f ca="1">IFERROR(Prices!F48/Prices!F47-1,"")</f>
        <v>-1.8181818181818299E-3</v>
      </c>
      <c r="G49" s="95">
        <f ca="1">IFERROR(Prices!G48/Prices!G47-1,"")</f>
        <v>-1.2327024017814492E-2</v>
      </c>
      <c r="H49" s="95">
        <f ca="1">IFERROR(Prices!H48/Prices!H47-1,"")</f>
        <v>-5.4629799182078997E-2</v>
      </c>
      <c r="I49" s="93">
        <f ca="1">IFERROR(Prices!I48/Prices!I47-1,"")</f>
        <v>-1.4885335327372573E-2</v>
      </c>
      <c r="J49" s="94">
        <f t="shared" ca="1" si="1"/>
        <v>-1.6184697884331269E-2</v>
      </c>
      <c r="K49" s="113"/>
      <c r="L49" s="113"/>
      <c r="M49" s="113"/>
    </row>
    <row r="50" spans="1:13" x14ac:dyDescent="0.3">
      <c r="A50" s="80">
        <f ca="1">Prices!$A$49</f>
        <v>45859</v>
      </c>
      <c r="B50" s="95">
        <f ca="1">IFERROR(Prices!B49/Prices!B48-1,"")</f>
        <v>-5.7113821138211396E-2</v>
      </c>
      <c r="C50" s="95">
        <f ca="1">IFERROR(Prices!C49/Prices!C48-1,"")</f>
        <v>1.9410836401893894E-2</v>
      </c>
      <c r="D50" s="95">
        <f ca="1">IFERROR(Prices!D49/Prices!D48-1,"")</f>
        <v>2.6659761492894285E-2</v>
      </c>
      <c r="E50" s="95">
        <f ca="1">IFERROR(Prices!E49/Prices!E48-1,"")</f>
        <v>-6.320711152158931E-3</v>
      </c>
      <c r="F50" s="95">
        <f ca="1">IFERROR(Prices!F49/Prices!F48-1,"")</f>
        <v>3.3866288875396444E-2</v>
      </c>
      <c r="G50" s="95">
        <f ca="1">IFERROR(Prices!G49/Prices!G48-1,"")</f>
        <v>-1.2078267171269363E-3</v>
      </c>
      <c r="H50" s="95">
        <f ca="1">IFERROR(Prices!H49/Prices!H48-1,"")</f>
        <v>-3.7900309917355379E-2</v>
      </c>
      <c r="I50" s="93">
        <f ca="1">IFERROR(Prices!I49/Prices!I48-1,"")</f>
        <v>3.3483521201849165E-4</v>
      </c>
      <c r="J50" s="94">
        <f t="shared" ca="1" si="1"/>
        <v>-6.6025011724422881E-3</v>
      </c>
      <c r="K50" s="113"/>
      <c r="L50" s="113"/>
      <c r="M50" s="113"/>
    </row>
    <row r="51" spans="1:13" x14ac:dyDescent="0.3">
      <c r="A51" s="80">
        <f ca="1">Prices!$A$50</f>
        <v>45866</v>
      </c>
      <c r="B51" s="95">
        <f ca="1">IFERROR(Prices!B50/Prices!B49-1,"")</f>
        <v>1.43709132715375E-3</v>
      </c>
      <c r="C51" s="95">
        <f ca="1">IFERROR(Prices!C50/Prices!C49-1,"")</f>
        <v>-2.7607203674080205E-2</v>
      </c>
      <c r="D51" s="95">
        <f ca="1">IFERROR(Prices!D50/Prices!D49-1,"")</f>
        <v>3.7912800558714821E-3</v>
      </c>
      <c r="E51" s="95">
        <f ca="1">IFERROR(Prices!E50/Prices!E49-1,"")</f>
        <v>4.1941386621743293E-2</v>
      </c>
      <c r="F51" s="95">
        <f ca="1">IFERROR(Prices!F50/Prices!F49-1,"")</f>
        <v>-1.9380097879282299E-2</v>
      </c>
      <c r="G51" s="95">
        <f ca="1">IFERROR(Prices!G50/Prices!G49-1,"")</f>
        <v>-8.2231538213479727E-3</v>
      </c>
      <c r="H51" s="95">
        <f ca="1">IFERROR(Prices!H50/Prices!H49-1,"")</f>
        <v>-2.5501644184954042E-2</v>
      </c>
      <c r="I51" s="93">
        <f ca="1">IFERROR(Prices!I50/Prices!I49-1,"")</f>
        <v>-1.633269860485842E-2</v>
      </c>
      <c r="J51" s="94">
        <f t="shared" ca="1" si="1"/>
        <v>-2.9776015911633803E-3</v>
      </c>
      <c r="K51" s="113"/>
      <c r="L51" s="113"/>
      <c r="M51" s="113"/>
    </row>
    <row r="52" spans="1:13" x14ac:dyDescent="0.3">
      <c r="A52" s="80">
        <f ca="1">Prices!$A$51</f>
        <v>45873</v>
      </c>
      <c r="B52" s="95">
        <f ca="1">IFERROR(Prices!B51/Prices!B50-1,"")</f>
        <v>-1.8583626318433022E-2</v>
      </c>
      <c r="C52" s="95">
        <f ca="1">IFERROR(Prices!C51/Prices!C50-1,"")</f>
        <v>-1.3691360645298301E-2</v>
      </c>
      <c r="D52" s="95">
        <f ca="1">IFERROR(Prices!D51/Prices!D50-1,"")</f>
        <v>-1.9033893251167888E-2</v>
      </c>
      <c r="E52" s="95">
        <f ca="1">IFERROR(Prices!E51/Prices!E50-1,"")</f>
        <v>5.6588520614389015E-3</v>
      </c>
      <c r="F52" s="95">
        <f ca="1">IFERROR(Prices!F51/Prices!F50-1,"")</f>
        <v>-1.1312217194570096E-2</v>
      </c>
      <c r="G52" s="95">
        <f ca="1">IFERROR(Prices!G51/Prices!G50-1,"")</f>
        <v>2.3410827507722276E-2</v>
      </c>
      <c r="H52" s="95">
        <f ca="1">IFERROR(Prices!H51/Prices!H50-1,"")</f>
        <v>1.6252324220095149E-2</v>
      </c>
      <c r="I52" s="93">
        <f ca="1">IFERROR(Prices!I51/Prices!I50-1,"")</f>
        <v>1.6956273358201823E-3</v>
      </c>
      <c r="J52" s="94">
        <f t="shared" ca="1" si="1"/>
        <v>-5.4762404317212519E-3</v>
      </c>
      <c r="K52" s="113"/>
      <c r="L52" s="113"/>
      <c r="M52" s="113"/>
    </row>
    <row r="53" spans="1:13" x14ac:dyDescent="0.3">
      <c r="A53" s="80">
        <f ca="1">Prices!$A$52</f>
        <v>45880</v>
      </c>
      <c r="B53" s="95">
        <f ca="1">IFERROR(Prices!B52/Prices!B51-1,"")</f>
        <v>4.3866062289807939E-3</v>
      </c>
      <c r="C53" s="95">
        <f ca="1">IFERROR(Prices!C52/Prices!C51-1,"")</f>
        <v>8.1781986441407106E-3</v>
      </c>
      <c r="D53" s="95">
        <f ca="1">IFERROR(Prices!D52/Prices!D51-1,"")</f>
        <v>8.7137139672728292E-3</v>
      </c>
      <c r="E53" s="95">
        <f ca="1">IFERROR(Prices!E52/Prices!E51-1,"")</f>
        <v>1.9237165982924909E-2</v>
      </c>
      <c r="F53" s="95">
        <f ca="1">IFERROR(Prices!F52/Prices!F51-1,"")</f>
        <v>5.2631578947368363E-2</v>
      </c>
      <c r="G53" s="95">
        <f ca="1">IFERROR(Prices!G52/Prices!G51-1,"")</f>
        <v>2.7482128673550488E-2</v>
      </c>
      <c r="H53" s="95">
        <f ca="1">IFERROR(Prices!H52/Prices!H51-1,"")</f>
        <v>9.5547875584467423E-3</v>
      </c>
      <c r="I53" s="93">
        <f ca="1">IFERROR(Prices!I52/Prices!I51-1,"")</f>
        <v>-5.5697371348252256E-3</v>
      </c>
      <c r="J53" s="94">
        <f t="shared" ca="1" si="1"/>
        <v>1.6709485356757571E-2</v>
      </c>
      <c r="K53" s="113"/>
      <c r="L53" s="113"/>
      <c r="M53" s="113"/>
    </row>
    <row r="54" spans="1:13" x14ac:dyDescent="0.3">
      <c r="A54" s="80">
        <f ca="1">Prices!$A$53</f>
        <v>45887</v>
      </c>
      <c r="B54" s="95">
        <f ca="1">IFERROR(Prices!B53/Prices!B52-1,"")</f>
        <v>2.5767942932013455E-2</v>
      </c>
      <c r="C54" s="95">
        <f ca="1">IFERROR(Prices!C53/Prices!C52-1,"")</f>
        <v>3.1753655672964065E-2</v>
      </c>
      <c r="D54" s="95">
        <f ca="1">IFERROR(Prices!D53/Prices!D52-1,"")</f>
        <v>-1.3309226055948975E-2</v>
      </c>
      <c r="E54" s="95">
        <f ca="1">IFERROR(Prices!E53/Prices!E52-1,"")</f>
        <v>-2.2083220016317573E-2</v>
      </c>
      <c r="F54" s="95">
        <f ca="1">IFERROR(Prices!F53/Prices!F52-1,"")</f>
        <v>1.8414322250639437E-2</v>
      </c>
      <c r="G54" s="95">
        <f ca="1">IFERROR(Prices!G53/Prices!G52-1,"")</f>
        <v>0.10923005565862698</v>
      </c>
      <c r="H54" s="95">
        <f ca="1">IFERROR(Prices!H53/Prices!H52-1,"")</f>
        <v>-1.57739293864948E-2</v>
      </c>
      <c r="I54" s="93">
        <f ca="1">IFERROR(Prices!I53/Prices!I52-1,"")</f>
        <v>1.1873005270447434E-2</v>
      </c>
      <c r="J54" s="94">
        <f t="shared" ca="1" si="1"/>
        <v>1.9499312218958335E-2</v>
      </c>
      <c r="K54" s="113"/>
      <c r="L54" s="113"/>
      <c r="M54" s="113"/>
    </row>
    <row r="55" spans="1:13" x14ac:dyDescent="0.3">
      <c r="A55" s="80">
        <f ca="1">Prices!$A$54</f>
        <v>45894</v>
      </c>
      <c r="B55" s="95">
        <f ca="1">IFERROR(Prices!B54/Prices!B53-1,"")</f>
        <v>-3.6900369003689981E-2</v>
      </c>
      <c r="C55" s="95">
        <f ca="1">IFERROR(Prices!C54/Prices!C53-1,"")</f>
        <v>-2.3017638235142024E-2</v>
      </c>
      <c r="D55" s="95">
        <f ca="1">IFERROR(Prices!D54/Prices!D53-1,"")</f>
        <v>-3.1253181309172318E-2</v>
      </c>
      <c r="E55" s="95">
        <f ca="1">IFERROR(Prices!E54/Prices!E53-1,"")</f>
        <v>1.4461315979754641E-3</v>
      </c>
      <c r="F55" s="95">
        <f ca="1">IFERROR(Prices!F54/Prices!F53-1,"")</f>
        <v>-2.134605725765848E-3</v>
      </c>
      <c r="G55" s="95">
        <f ca="1">IFERROR(Prices!G54/Prices!G53-1,"")</f>
        <v>3.0803540316398426E-2</v>
      </c>
      <c r="H55" s="95">
        <f ca="1">IFERROR(Prices!H54/Prices!H53-1,"")</f>
        <v>-7.8428698083611303E-3</v>
      </c>
      <c r="I55" s="93">
        <f ca="1">IFERROR(Prices!I54/Prices!I53-1,"")</f>
        <v>3.6499966475616041E-3</v>
      </c>
      <c r="J55" s="94">
        <f t="shared" ca="1" si="1"/>
        <v>-1.3690835510655877E-2</v>
      </c>
      <c r="K55" s="113"/>
      <c r="L55" s="113"/>
      <c r="M55" s="113"/>
    </row>
    <row r="56" spans="1:13" x14ac:dyDescent="0.3">
      <c r="A56" s="80">
        <f ca="1">Prices!$A$55</f>
        <v>45901</v>
      </c>
      <c r="B56" s="95">
        <f ca="1">IFERROR(Prices!B55/Prices!B54-1,"")</f>
        <v>1.311523725316821E-2</v>
      </c>
      <c r="C56" s="95">
        <f ca="1">IFERROR(Prices!C55/Prices!C54-1,"")</f>
        <v>3.4413384159255322E-3</v>
      </c>
      <c r="D56" s="95">
        <f ca="1">IFERROR(Prices!D55/Prices!D54-1,"")</f>
        <v>1.2400168137872924E-2</v>
      </c>
      <c r="E56" s="95">
        <f ca="1">IFERROR(Prices!E55/Prices!E54-1,"")</f>
        <v>-1.3163010274923614E-2</v>
      </c>
      <c r="F56" s="95">
        <f ca="1">IFERROR(Prices!F55/Prices!F54-1,"")</f>
        <v>-2.2650056625141524E-2</v>
      </c>
      <c r="G56" s="95">
        <f ca="1">IFERROR(Prices!G55/Prices!G54-1,"")</f>
        <v>7.0313028192821037E-3</v>
      </c>
      <c r="H56" s="95">
        <f ca="1">IFERROR(Prices!H55/Prices!H54-1,"")</f>
        <v>-2.4608193566125869E-2</v>
      </c>
      <c r="I56" s="93">
        <f ca="1">IFERROR(Prices!I55/Prices!I54-1,"")</f>
        <v>-1.3725674870583071E-2</v>
      </c>
      <c r="J56" s="94">
        <f t="shared" ca="1" si="1"/>
        <v>-5.3907876484530787E-4</v>
      </c>
      <c r="K56" s="113"/>
      <c r="L56" s="113"/>
      <c r="M56" s="113"/>
    </row>
    <row r="57" spans="1:13" x14ac:dyDescent="0.3">
      <c r="A57" s="80">
        <f ca="1">Prices!$A$56</f>
        <v>45908</v>
      </c>
      <c r="B57" s="95">
        <f ca="1">IFERROR(Prices!B56/Prices!B55-1,"")</f>
        <v>1.4545454545454639E-2</v>
      </c>
      <c r="C57" s="95">
        <f ca="1">IFERROR(Prices!C56/Prices!C55-1,"")</f>
        <v>3.8516329868623078E-3</v>
      </c>
      <c r="D57" s="95">
        <f ca="1">IFERROR(Prices!D56/Prices!D55-1,"")</f>
        <v>4.0481627569026735E-3</v>
      </c>
      <c r="E57" s="95">
        <f ca="1">IFERROR(Prices!E56/Prices!E55-1,"")</f>
        <v>7.3728050427737113E-3</v>
      </c>
      <c r="F57" s="95">
        <f ca="1">IFERROR(Prices!F56/Prices!F55-1,"")</f>
        <v>1.3647482940646105E-2</v>
      </c>
      <c r="G57" s="95">
        <f ca="1">IFERROR(Prices!G56/Prices!G55-1,"")</f>
        <v>2.8868747901980463E-2</v>
      </c>
      <c r="H57" s="95">
        <f ca="1">IFERROR(Prices!H56/Prices!H55-1,"")</f>
        <v>3.3967582804792062E-2</v>
      </c>
      <c r="I57" s="93">
        <f ca="1">IFERROR(Prices!I56/Prices!I55-1,"")</f>
        <v>6.0141849326769137E-3</v>
      </c>
      <c r="J57" s="94">
        <f t="shared" ca="1" si="1"/>
        <v>1.3721646766554107E-2</v>
      </c>
      <c r="K57" s="113"/>
      <c r="L57" s="113"/>
      <c r="M57" s="113"/>
    </row>
    <row r="58" spans="1:13" x14ac:dyDescent="0.3">
      <c r="A58" s="80">
        <f ca="1">Prices!$A$57</f>
        <v>45915</v>
      </c>
      <c r="B58" s="95">
        <f ca="1">IFERROR(Prices!B57/Prices!B56-1,"")</f>
        <v>8.8888888888889461E-3</v>
      </c>
      <c r="C58" s="95">
        <f ca="1">IFERROR(Prices!C57/Prices!C56-1,"")</f>
        <v>3.1430673814779819E-2</v>
      </c>
      <c r="D58" s="95">
        <f ca="1">IFERROR(Prices!D57/Prices!D56-1,"")</f>
        <v>-4.1352217512657941E-4</v>
      </c>
      <c r="E58" s="95">
        <f ca="1">IFERROR(Prices!E57/Prices!E56-1,"")</f>
        <v>2.6705402536454592E-2</v>
      </c>
      <c r="F58" s="95">
        <f ca="1">IFERROR(Prices!F57/Prices!F56-1,"")</f>
        <v>7.6209831068219103E-4</v>
      </c>
      <c r="G58" s="95">
        <f ca="1">IFERROR(Prices!G57/Prices!G56-1,"")</f>
        <v>3.5171288743882645E-2</v>
      </c>
      <c r="H58" s="95">
        <f ca="1">IFERROR(Prices!H57/Prices!H56-1,"")</f>
        <v>1.3631406761183129E-4</v>
      </c>
      <c r="I58" s="93">
        <f ca="1">IFERROR(Prices!I57/Prices!I56-1,"")</f>
        <v>1.195039078425153E-2</v>
      </c>
      <c r="J58" s="94">
        <f t="shared" ca="1" si="1"/>
        <v>1.4760048258128931E-2</v>
      </c>
      <c r="K58" s="113"/>
      <c r="L58" s="113"/>
      <c r="M58" s="113"/>
    </row>
    <row r="59" spans="1:13" x14ac:dyDescent="0.3">
      <c r="A59" s="80">
        <f ca="1">Prices!$A$58</f>
        <v>45922</v>
      </c>
      <c r="B59" s="95">
        <f ca="1">IFERROR(Prices!B58/Prices!B57-1,"")</f>
        <v>-2.1173795651556193E-2</v>
      </c>
      <c r="C59" s="95">
        <f ca="1">IFERROR(Prices!C58/Prices!C57-1,"")</f>
        <v>-2.3338768854464065E-2</v>
      </c>
      <c r="D59" s="95">
        <f ca="1">IFERROR(Prices!D58/Prices!D57-1,"")</f>
        <v>-2.2597993587754717E-2</v>
      </c>
      <c r="E59" s="95">
        <f ca="1">IFERROR(Prices!E58/Prices!E57-1,"")</f>
        <v>1.4719486314414665E-2</v>
      </c>
      <c r="F59" s="95">
        <f ca="1">IFERROR(Prices!F58/Prices!F57-1,"")</f>
        <v>-4.8483310064728946E-2</v>
      </c>
      <c r="G59" s="95">
        <f ca="1">IFERROR(Prices!G58/Prices!G57-1,"")</f>
        <v>2.6601109430156367E-2</v>
      </c>
      <c r="H59" s="95">
        <f ca="1">IFERROR(Prices!H58/Prices!H57-1,"")</f>
        <v>-4.9134523647267336E-2</v>
      </c>
      <c r="I59" s="93">
        <f ca="1">IFERROR(Prices!I58/Prices!I57-1,"")</f>
        <v>5.3113140736227304E-3</v>
      </c>
      <c r="J59" s="94">
        <f t="shared" ca="1" si="1"/>
        <v>-1.6747730486575456E-2</v>
      </c>
      <c r="K59" s="113"/>
      <c r="L59" s="113"/>
      <c r="M59" s="113"/>
    </row>
    <row r="60" spans="1:13" x14ac:dyDescent="0.3">
      <c r="A60" s="80">
        <f ca="1">Prices!$A$59</f>
        <v>45929</v>
      </c>
      <c r="B60" s="95">
        <f ca="1">IFERROR(Prices!B59/Prices!B58-1,"")</f>
        <v>-1.0307781649244951E-2</v>
      </c>
      <c r="C60" s="95">
        <f ca="1">IFERROR(Prices!C59/Prices!C58-1,"")</f>
        <v>-1.0382969842429257E-2</v>
      </c>
      <c r="D60" s="95">
        <f ca="1">IFERROR(Prices!D59/Prices!D58-1,"")</f>
        <v>2.1268715940955474E-2</v>
      </c>
      <c r="E60" s="95">
        <f ca="1">IFERROR(Prices!E59/Prices!E58-1,"")</f>
        <v>9.6527684676228631E-4</v>
      </c>
      <c r="F60" s="95">
        <f ca="1">IFERROR(Prices!F59/Prices!F58-1,"")</f>
        <v>1.2204881952781133E-2</v>
      </c>
      <c r="G60" s="95">
        <f ca="1">IFERROR(Prices!G59/Prices!G58-1,"")</f>
        <v>-2.9473167137418654E-2</v>
      </c>
      <c r="H60" s="95">
        <f ca="1">IFERROR(Prices!H59/Prices!H58-1,"")</f>
        <v>-1.2900451515802658E-3</v>
      </c>
      <c r="I60" s="93">
        <f ca="1">IFERROR(Prices!I59/Prices!I58-1,"")</f>
        <v>-2.2515726809016035E-2</v>
      </c>
      <c r="J60" s="94">
        <f t="shared" ca="1" si="1"/>
        <v>-2.791087391799413E-3</v>
      </c>
      <c r="K60" s="113"/>
      <c r="L60" s="113"/>
      <c r="M60" s="113"/>
    </row>
    <row r="61" spans="1:13" x14ac:dyDescent="0.3">
      <c r="A61" s="80">
        <f ca="1">Prices!$A$60</f>
        <v>45936</v>
      </c>
      <c r="B61" s="95">
        <f ca="1">IFERROR(Prices!B60/Prices!B59-1,"")</f>
        <v>1.3422326536599583E-2</v>
      </c>
      <c r="C61" s="95">
        <f ca="1">IFERROR(Prices!C60/Prices!C59-1,"")</f>
        <v>2.2776401117730716E-2</v>
      </c>
      <c r="D61" s="95">
        <f ca="1">IFERROR(Prices!D60/Prices!D59-1,"")</f>
        <v>1.6318706936745642E-2</v>
      </c>
      <c r="E61" s="95">
        <f ca="1">IFERROR(Prices!E60/Prices!E59-1,"")</f>
        <v>1.3634780745225283E-2</v>
      </c>
      <c r="F61" s="95">
        <f ca="1">IFERROR(Prices!F60/Prices!F59-1,"")</f>
        <v>2.9057125914212278E-2</v>
      </c>
      <c r="G61" s="95">
        <f ca="1">IFERROR(Prices!G60/Prices!G59-1,"")</f>
        <v>2.9039605213210251E-2</v>
      </c>
      <c r="H61" s="95">
        <f ca="1">IFERROR(Prices!H60/Prices!H59-1,"")</f>
        <v>7.319698600645852E-2</v>
      </c>
      <c r="I61" s="93">
        <f ca="1">IFERROR(Prices!I60/Prices!I59-1,"")</f>
        <v>1.7972469666185154E-2</v>
      </c>
      <c r="J61" s="94">
        <f t="shared" ca="1" si="1"/>
        <v>2.4419607091792868E-2</v>
      </c>
      <c r="K61" s="113"/>
      <c r="L61" s="113"/>
      <c r="M61" s="113"/>
    </row>
    <row r="62" spans="1:13" x14ac:dyDescent="0.3">
      <c r="A62" s="80">
        <f ca="1">Prices!$A$61</f>
        <v>45943</v>
      </c>
      <c r="B62" s="95">
        <f ca="1">IFERROR(Prices!B61/Prices!B60-1,"")</f>
        <v>2.5403488456249512E-2</v>
      </c>
      <c r="C62" s="95">
        <f ca="1">IFERROR(Prices!C61/Prices!C60-1,"")</f>
        <v>3.7166864271354072E-2</v>
      </c>
      <c r="D62" s="95">
        <f ca="1">IFERROR(Prices!D61/Prices!D60-1,"")</f>
        <v>2.2071566928331121E-2</v>
      </c>
      <c r="E62" s="95">
        <f ca="1">IFERROR(Prices!E61/Prices!E60-1,"")</f>
        <v>1.46405919661734E-2</v>
      </c>
      <c r="F62" s="95">
        <f ca="1">IFERROR(Prices!F61/Prices!F60-1,"")</f>
        <v>1.0116532206428497E-2</v>
      </c>
      <c r="G62" s="95">
        <f ca="1">IFERROR(Prices!G61/Prices!G60-1,"")</f>
        <v>8.3615124500460158E-3</v>
      </c>
      <c r="H62" s="95">
        <f ca="1">IFERROR(Prices!H61/Prices!H60-1,"")</f>
        <v>-6.218655967903719E-3</v>
      </c>
      <c r="I62" s="93">
        <f ca="1">IFERROR(Prices!I61/Prices!I60-1,"")</f>
        <v>5.969427614556988E-3</v>
      </c>
      <c r="J62" s="94">
        <f t="shared" ca="1" si="1"/>
        <v>1.8435936221820048E-2</v>
      </c>
      <c r="K62" s="113"/>
      <c r="L62" s="113"/>
      <c r="M62" s="113"/>
    </row>
    <row r="63" spans="1:13" x14ac:dyDescent="0.3">
      <c r="A63" s="80">
        <f ca="1">Prices!$A$62</f>
        <v>45950</v>
      </c>
      <c r="B63" s="95">
        <f ca="1">IFERROR(Prices!B62/Prices!B61-1,"")</f>
        <v>2.4562394127611409E-2</v>
      </c>
      <c r="C63" s="95">
        <f ca="1">IFERROR(Prices!C62/Prices!C61-1,"")</f>
        <v>8.5984095427436014E-3</v>
      </c>
      <c r="D63" s="95">
        <f ca="1">IFERROR(Prices!D62/Prices!D61-1,"")</f>
        <v>-7.780160590494245E-3</v>
      </c>
      <c r="E63" s="95">
        <f ca="1">IFERROR(Prices!E62/Prices!E61-1,"")</f>
        <v>1.7059957284992544E-2</v>
      </c>
      <c r="F63" s="95">
        <f ca="1">IFERROR(Prices!F62/Prices!F61-1,"")</f>
        <v>4.3103448275862988E-3</v>
      </c>
      <c r="G63" s="95">
        <f ca="1">IFERROR(Prices!G62/Prices!G61-1,"")</f>
        <v>-7.7434302786415499E-3</v>
      </c>
      <c r="H63" s="95">
        <f ca="1">IFERROR(Prices!H62/Prices!H61-1,"")</f>
        <v>2.5299421343022432E-2</v>
      </c>
      <c r="I63" s="93">
        <f ca="1">IFERROR(Prices!I62/Prices!I61-1,"")</f>
        <v>2.4410046667017182E-2</v>
      </c>
      <c r="J63" s="94">
        <f t="shared" ca="1" si="1"/>
        <v>1.0025459678832373E-2</v>
      </c>
      <c r="K63" s="113"/>
      <c r="L63" s="113"/>
      <c r="M63" s="113"/>
    </row>
    <row r="64" spans="1:13" x14ac:dyDescent="0.3">
      <c r="A64" s="80">
        <f ca="1">Prices!$A$63</f>
        <v>45957</v>
      </c>
      <c r="B64" s="95">
        <f ca="1">IFERROR(Prices!B63/Prices!B62-1,"")</f>
        <v>2.3973546431524051E-2</v>
      </c>
      <c r="C64" s="95">
        <f ca="1">IFERROR(Prices!C63/Prices!C62-1,"")</f>
        <v>1.2418075198344258E-2</v>
      </c>
      <c r="D64" s="95">
        <f ca="1">IFERROR(Prices!D63/Prices!D62-1,"")</f>
        <v>-7.4893189243528946E-3</v>
      </c>
      <c r="E64" s="95">
        <f ca="1">IFERROR(Prices!E63/Prices!E62-1,"")</f>
        <v>3.2267151527567872E-2</v>
      </c>
      <c r="F64" s="95">
        <f ca="1">IFERROR(Prices!F63/Prices!F62-1,"")</f>
        <v>-5.2448876546326795E-2</v>
      </c>
      <c r="G64" s="95">
        <f ca="1">IFERROR(Prices!G63/Prices!G62-1,"")</f>
        <v>-5.4073983040432427E-3</v>
      </c>
      <c r="H64" s="95">
        <f ca="1">IFERROR(Prices!H63/Prices!H62-1,"")</f>
        <v>1.1615697598110097E-2</v>
      </c>
      <c r="I64" s="93">
        <f ca="1">IFERROR(Prices!I63/Prices!I62-1,"")</f>
        <v>4.7556272655358001E-3</v>
      </c>
      <c r="J64" s="94">
        <f t="shared" ca="1" si="1"/>
        <v>4.8732901359942451E-3</v>
      </c>
      <c r="K64" s="113"/>
      <c r="L64" s="113"/>
      <c r="M64" s="113"/>
    </row>
    <row r="65" spans="1:13" x14ac:dyDescent="0.3">
      <c r="A65" s="80">
        <f ca="1">Prices!$A$64</f>
        <v>45964</v>
      </c>
      <c r="B65" s="95">
        <f ca="1">IFERROR(Prices!B64/Prices!B63-1,"")</f>
        <v>-5.6512378902046079E-3</v>
      </c>
      <c r="C65" s="95">
        <f ca="1">IFERROR(Prices!C64/Prices!C63-1,"")</f>
        <v>-2.5943051837430064E-2</v>
      </c>
      <c r="D65" s="95">
        <f ca="1">IFERROR(Prices!D64/Prices!D63-1,"")</f>
        <v>-5.0643168236604863E-3</v>
      </c>
      <c r="E65" s="95">
        <f ca="1">IFERROR(Prices!E64/Prices!E63-1,"")</f>
        <v>-3.6815599493909557E-2</v>
      </c>
      <c r="F65" s="95">
        <f ca="1">IFERROR(Prices!F64/Prices!F63-1,"")</f>
        <v>2.9307933124624874E-3</v>
      </c>
      <c r="G65" s="95">
        <f ca="1">IFERROR(Prices!G64/Prices!G63-1,"")</f>
        <v>-4.3679723217595501E-2</v>
      </c>
      <c r="H65" s="95">
        <f ca="1">IFERROR(Prices!H64/Prices!H63-1,"")</f>
        <v>-1.8877716509892895E-2</v>
      </c>
      <c r="I65" s="93">
        <f ca="1">IFERROR(Prices!I64/Prices!I63-1,"")</f>
        <v>-7.8063920302184897E-3</v>
      </c>
      <c r="J65" s="94">
        <f t="shared" ca="1" si="1"/>
        <v>-1.7693940017564306E-2</v>
      </c>
      <c r="K65" s="113"/>
      <c r="L65" s="113"/>
      <c r="M65" s="113"/>
    </row>
    <row r="66" spans="1:13" x14ac:dyDescent="0.3">
      <c r="A66" s="80">
        <f ca="1">Prices!$A$65</f>
        <v>45971</v>
      </c>
      <c r="B66" s="95">
        <f ca="1">IFERROR(Prices!B65/Prices!B64-1,"")</f>
        <v>2.7672530446549493E-2</v>
      </c>
      <c r="C66" s="95">
        <f ca="1">IFERROR(Prices!C65/Prices!C64-1,"")</f>
        <v>4.9720167899260259E-2</v>
      </c>
      <c r="D66" s="95">
        <f ca="1">IFERROR(Prices!D65/Prices!D64-1,"")</f>
        <v>7.431538226611023E-3</v>
      </c>
      <c r="E66" s="95">
        <f ca="1">IFERROR(Prices!E65/Prices!E64-1,"")</f>
        <v>3.139729555698656E-2</v>
      </c>
      <c r="F66" s="95">
        <f ca="1">IFERROR(Prices!F65/Prices!F64-1,"")</f>
        <v>1.7533373181908729E-2</v>
      </c>
      <c r="G66" s="95">
        <f ca="1">IFERROR(Prices!G65/Prices!G64-1,"")</f>
        <v>1.3243749596227206E-2</v>
      </c>
      <c r="H66" s="95">
        <f ca="1">IFERROR(Prices!H65/Prices!H64-1,"")</f>
        <v>5.4350700872784818E-2</v>
      </c>
      <c r="I66" s="93">
        <f ca="1">IFERROR(Prices!I65/Prices!I64-1,"")</f>
        <v>-7.3360026109037246E-3</v>
      </c>
      <c r="J66" s="94">
        <f t="shared" ca="1" si="1"/>
        <v>2.7917877111492143E-2</v>
      </c>
      <c r="K66" s="113"/>
      <c r="L66" s="113"/>
      <c r="M66" s="113"/>
    </row>
    <row r="67" spans="1:13" x14ac:dyDescent="0.3">
      <c r="A67" s="80">
        <f ca="1">Prices!$A$66</f>
        <v>45978</v>
      </c>
      <c r="B67" s="95">
        <f ca="1">IFERROR(Prices!B66/Prices!B65-1,"")</f>
        <v>1.8236881954045492E-2</v>
      </c>
      <c r="C67" s="95">
        <f ca="1">IFERROR(Prices!C66/Prices!C65-1,"")</f>
        <v>2.9513971533298378E-2</v>
      </c>
      <c r="D67" s="95">
        <f ca="1">IFERROR(Prices!D66/Prices!D65-1,"")</f>
        <v>8.5388035569926579E-3</v>
      </c>
      <c r="E67" s="95">
        <f ca="1">IFERROR(Prices!E66/Prices!E65-1,"")</f>
        <v>5.1193686944361882E-3</v>
      </c>
      <c r="F67" s="95">
        <f ca="1">IFERROR(Prices!F66/Prices!F65-1,"")</f>
        <v>-1.3249787872854246E-2</v>
      </c>
      <c r="G67" s="95">
        <f ca="1">IFERROR(Prices!G66/Prices!G65-1,"")</f>
        <v>1.8681458811527607E-2</v>
      </c>
      <c r="H67" s="95">
        <f ca="1">IFERROR(Prices!H66/Prices!H65-1,"")</f>
        <v>8.4033613445377853E-3</v>
      </c>
      <c r="I67" s="93">
        <f ca="1">IFERROR(Prices!I66/Prices!I65-1,"")</f>
        <v>1.7169531819258399E-2</v>
      </c>
      <c r="J67" s="94">
        <f t="shared" ca="1" si="1"/>
        <v>1.2027213763844389E-2</v>
      </c>
      <c r="K67" s="113"/>
      <c r="L67" s="113"/>
      <c r="M67" s="113"/>
    </row>
    <row r="68" spans="1:13" x14ac:dyDescent="0.3">
      <c r="A68" s="80">
        <f ca="1">Prices!$A$67</f>
        <v>45985</v>
      </c>
      <c r="B68" s="95">
        <f ca="1">IFERROR(Prices!B67/Prices!B66-1,"")</f>
        <v>1.3513513513513598E-2</v>
      </c>
      <c r="C68" s="95">
        <f ca="1">IFERROR(Prices!C67/Prices!C66-1,"")</f>
        <v>-2.8251722384056932E-2</v>
      </c>
      <c r="D68" s="95">
        <f ca="1">IFERROR(Prices!D67/Prices!D66-1,"")</f>
        <v>9.5686588848253873E-3</v>
      </c>
      <c r="E68" s="95">
        <f ca="1">IFERROR(Prices!E67/Prices!E66-1,"")</f>
        <v>1.1105865984248009E-2</v>
      </c>
      <c r="F68" s="95">
        <f ca="1">IFERROR(Prices!F67/Prices!F66-1,"")</f>
        <v>1.2898531551792658E-2</v>
      </c>
      <c r="G68" s="95">
        <f ca="1">IFERROR(Prices!G67/Prices!G66-1,"")</f>
        <v>-4.8194279276460028E-3</v>
      </c>
      <c r="H68" s="95">
        <f ca="1">IFERROR(Prices!H67/Prices!H66-1,"")</f>
        <v>1.0074626865671732E-2</v>
      </c>
      <c r="I68" s="93">
        <f ca="1">IFERROR(Prices!I67/Prices!I66-1,"")</f>
        <v>-2.0738971712799259E-3</v>
      </c>
      <c r="J68" s="94">
        <f t="shared" ca="1" si="1"/>
        <v>3.7366786738261722E-3</v>
      </c>
      <c r="K68" s="113"/>
      <c r="L68" s="113"/>
      <c r="M68" s="113"/>
    </row>
    <row r="69" spans="1:13" x14ac:dyDescent="0.3">
      <c r="A69" s="80">
        <f ca="1">Prices!$A$68</f>
        <v>45992</v>
      </c>
      <c r="B69" s="95">
        <f ca="1">IFERROR(Prices!B68/Prices!B67-1,"")</f>
        <v>-1.7161084529505599E-2</v>
      </c>
      <c r="C69" s="95">
        <f ca="1">IFERROR(Prices!C68/Prices!C67-1,"")</f>
        <v>3.4259611724400951E-3</v>
      </c>
      <c r="D69" s="95">
        <f ca="1">IFERROR(Prices!D68/Prices!D67-1,"")</f>
        <v>-4.2675664946407732E-3</v>
      </c>
      <c r="E69" s="95">
        <f ca="1">IFERROR(Prices!E68/Prices!E67-1,"")</f>
        <v>-7.7157460192648353E-3</v>
      </c>
      <c r="F69" s="95">
        <f ca="1">IFERROR(Prices!F68/Prices!F67-1,"")</f>
        <v>-6.8569189577483147E-3</v>
      </c>
      <c r="G69" s="95">
        <f ca="1">IFERROR(Prices!G68/Prices!G67-1,"")</f>
        <v>2.4025157232704375E-2</v>
      </c>
      <c r="H69" s="95">
        <f ca="1">IFERROR(Prices!H68/Prices!H67-1,"")</f>
        <v>3.6202438123383862E-2</v>
      </c>
      <c r="I69" s="93">
        <f ca="1">IFERROR(Prices!I68/Prices!I67-1,"")</f>
        <v>8.3302837111653982E-3</v>
      </c>
      <c r="J69" s="94">
        <f t="shared" ca="1" si="1"/>
        <v>1.6491334128580781E-4</v>
      </c>
      <c r="K69" s="113"/>
      <c r="L69" s="113"/>
      <c r="M69" s="113"/>
    </row>
    <row r="70" spans="1:13" x14ac:dyDescent="0.3">
      <c r="A70" s="80">
        <f ca="1">Prices!$A$69</f>
        <v>45999</v>
      </c>
      <c r="B70" s="95">
        <f ca="1">IFERROR(Prices!B69/Prices!B68-1,"")</f>
        <v>1.0320654290536302E-2</v>
      </c>
      <c r="C70" s="95">
        <f ca="1">IFERROR(Prices!C69/Prices!C68-1,"")</f>
        <v>-1.2044764795144158E-2</v>
      </c>
      <c r="D70" s="95">
        <f ca="1">IFERROR(Prices!D69/Prices!D68-1,"")</f>
        <v>-1.7940795375260832E-3</v>
      </c>
      <c r="E70" s="95">
        <f ca="1">IFERROR(Prices!E69/Prices!E68-1,"")</f>
        <v>8.8900995493041979E-3</v>
      </c>
      <c r="F70" s="95">
        <f ca="1">IFERROR(Prices!F69/Prices!F68-1,"")</f>
        <v>-2.2356654392423625E-3</v>
      </c>
      <c r="G70" s="95">
        <f ca="1">IFERROR(Prices!G69/Prices!G68-1,"")</f>
        <v>1.4740203906153937E-2</v>
      </c>
      <c r="H70" s="95">
        <f ca="1">IFERROR(Prices!H69/Prices!H68-1,"")</f>
        <v>-5.8229352346998997E-3</v>
      </c>
      <c r="I70" s="93">
        <f ca="1">IFERROR(Prices!I69/Prices!I68-1,"")</f>
        <v>-8.2213200672378584E-3</v>
      </c>
      <c r="J70" s="94">
        <f t="shared" ref="J70:J101" ca="1" si="2">IFERROR(SUMPRODUCT(Weights,$B70:$H70),"")</f>
        <v>2.5190182187317988E-3</v>
      </c>
      <c r="K70" s="113"/>
      <c r="L70" s="113"/>
      <c r="M70" s="113"/>
    </row>
    <row r="71" spans="1:13" x14ac:dyDescent="0.3">
      <c r="A71" s="80">
        <f ca="1">Prices!$A$70</f>
        <v>46006</v>
      </c>
      <c r="B71" s="95">
        <f ca="1">IFERROR(Prices!B70/Prices!B69-1,"")</f>
        <v>5.5252168326371809E-3</v>
      </c>
      <c r="C71" s="95">
        <f ca="1">IFERROR(Prices!C70/Prices!C69-1,"")</f>
        <v>6.8637803590283486E-3</v>
      </c>
      <c r="D71" s="95">
        <f ca="1">IFERROR(Prices!D70/Prices!D69-1,"")</f>
        <v>-1.597603594608088E-2</v>
      </c>
      <c r="E71" s="95">
        <f ca="1">IFERROR(Prices!E70/Prices!E69-1,"")</f>
        <v>-1.4727179008855451E-4</v>
      </c>
      <c r="F71" s="95">
        <f ca="1">IFERROR(Prices!F70/Prices!F69-1,"")</f>
        <v>-1.9770660340068247E-4</v>
      </c>
      <c r="G71" s="95">
        <f ca="1">IFERROR(Prices!G70/Prices!G69-1,"")</f>
        <v>-6.5367388935964055E-3</v>
      </c>
      <c r="H71" s="95">
        <f ca="1">IFERROR(Prices!H70/Prices!H69-1,"")</f>
        <v>-1.8407841262251923E-2</v>
      </c>
      <c r="I71" s="93">
        <f ca="1">IFERROR(Prices!I70/Prices!I69-1,"")</f>
        <v>2.5712089301359597E-3</v>
      </c>
      <c r="J71" s="94">
        <f t="shared" ca="1" si="2"/>
        <v>-2.5814956904060492E-3</v>
      </c>
      <c r="K71" s="113"/>
      <c r="L71" s="113"/>
      <c r="M71" s="113"/>
    </row>
    <row r="72" spans="1:13" x14ac:dyDescent="0.3">
      <c r="A72" s="80">
        <f ca="1">Prices!$A$71</f>
        <v>46013</v>
      </c>
      <c r="B72" s="95">
        <f ca="1">IFERROR(Prices!B71/Prices!B70-1,"")</f>
        <v>-3.7697271739823845E-3</v>
      </c>
      <c r="C72" s="95">
        <f ca="1">IFERROR(Prices!C71/Prices!C70-1,"")</f>
        <v>3.6706869428422273E-3</v>
      </c>
      <c r="D72" s="95">
        <f ca="1">IFERROR(Prices!D71/Prices!D70-1,"")</f>
        <v>6.6971080669711025E-3</v>
      </c>
      <c r="E72" s="95">
        <f ca="1">IFERROR(Prices!E71/Prices!E70-1,"")</f>
        <v>-6.4318153921688603E-3</v>
      </c>
      <c r="F72" s="95">
        <f ca="1">IFERROR(Prices!F71/Prices!F70-1,"")</f>
        <v>-7.3165908641485977E-3</v>
      </c>
      <c r="G72" s="95">
        <f ca="1">IFERROR(Prices!G71/Prices!G70-1,"")</f>
        <v>1.1088095528207553E-2</v>
      </c>
      <c r="H72" s="95">
        <f ca="1">IFERROR(Prices!H71/Prices!H70-1,"")</f>
        <v>1.126400389673643E-2</v>
      </c>
      <c r="I72" s="93">
        <f ca="1">IFERROR(Prices!I71/Prices!I70-1,"")</f>
        <v>5.5749003938021513E-3</v>
      </c>
      <c r="J72" s="94">
        <f t="shared" ca="1" si="2"/>
        <v>1.2540187569457636E-3</v>
      </c>
      <c r="K72" s="113"/>
      <c r="L72" s="113"/>
      <c r="M72" s="113"/>
    </row>
    <row r="73" spans="1:13" x14ac:dyDescent="0.3">
      <c r="A73" s="80">
        <f ca="1">Prices!$A$72</f>
        <v>46020</v>
      </c>
      <c r="B73" s="95">
        <f ca="1">IFERROR(Prices!B72/Prices!B71-1,"")</f>
        <v>2.1228835300153959E-2</v>
      </c>
      <c r="C73" s="95">
        <f ca="1">IFERROR(Prices!C72/Prices!C71-1,"")</f>
        <v>4.274722143060572E-4</v>
      </c>
      <c r="D73" s="95">
        <f ca="1">IFERROR(Prices!D72/Prices!D71-1,"")</f>
        <v>9.5756476161676929E-3</v>
      </c>
      <c r="E73" s="95">
        <f ca="1">IFERROR(Prices!E72/Prices!E71-1,"")</f>
        <v>2.8685790527017918E-2</v>
      </c>
      <c r="F73" s="95">
        <f ca="1">IFERROR(Prices!F72/Prices!F71-1,"")</f>
        <v>3.7184594953518779E-3</v>
      </c>
      <c r="G73" s="95">
        <f ca="1">IFERROR(Prices!G72/Prices!G71-1,"")</f>
        <v>2.1932995902627095E-2</v>
      </c>
      <c r="H73" s="95">
        <f ca="1">IFERROR(Prices!H72/Prices!H71-1,"")</f>
        <v>-1.2463122403516214E-2</v>
      </c>
      <c r="I73" s="93">
        <f ca="1">IFERROR(Prices!I72/Prices!I71-1,"")</f>
        <v>-8.7993755946242924E-3</v>
      </c>
      <c r="J73" s="94">
        <f t="shared" ca="1" si="2"/>
        <v>1.2355604398829998E-2</v>
      </c>
      <c r="K73" s="113"/>
      <c r="L73" s="113"/>
      <c r="M73" s="113"/>
    </row>
    <row r="74" spans="1:13" x14ac:dyDescent="0.3">
      <c r="A74" s="80">
        <f ca="1">Prices!$A$73</f>
        <v>46027</v>
      </c>
      <c r="B74" s="95">
        <f ca="1">IFERROR(Prices!B73/Prices!B72-1,"")</f>
        <v>-7.3478615838723838E-2</v>
      </c>
      <c r="C74" s="95">
        <f ca="1">IFERROR(Prices!C73/Prices!C72-1,"")</f>
        <v>-3.7601481270474468E-2</v>
      </c>
      <c r="D74" s="95">
        <f ca="1">IFERROR(Prices!D73/Prices!D72-1,"")</f>
        <v>-6.25E-2</v>
      </c>
      <c r="E74" s="95">
        <f ca="1">IFERROR(Prices!E73/Prices!E72-1,"")</f>
        <v>-3.3194024114906018E-2</v>
      </c>
      <c r="F74" s="95">
        <f ca="1">IFERROR(Prices!F73/Prices!F72-1,"")</f>
        <v>-3.0365175972479452E-2</v>
      </c>
      <c r="G74" s="95">
        <f ca="1">IFERROR(Prices!G73/Prices!G72-1,"")</f>
        <v>-2.7063679245282968E-2</v>
      </c>
      <c r="H74" s="95">
        <f ca="1">IFERROR(Prices!H73/Prices!H72-1,"")</f>
        <v>1.2925253017924687E-2</v>
      </c>
      <c r="I74" s="93">
        <f ca="1">IFERROR(Prices!I73/Prices!I72-1,"")</f>
        <v>1.1880348025632426E-2</v>
      </c>
      <c r="J74" s="94">
        <f t="shared" ca="1" si="2"/>
        <v>-4.2290657064082762E-2</v>
      </c>
      <c r="K74" s="113"/>
      <c r="L74" s="113"/>
      <c r="M74" s="113"/>
    </row>
    <row r="75" spans="1:13" x14ac:dyDescent="0.3">
      <c r="A75" s="80">
        <f ca="1">Prices!$A$74</f>
        <v>46034</v>
      </c>
      <c r="B75" s="95">
        <f ca="1">IFERROR(Prices!B74/Prices!B73-1,"")</f>
        <v>-1.1794211346844663E-2</v>
      </c>
      <c r="C75" s="95">
        <f ca="1">IFERROR(Prices!C74/Prices!C73-1,"")</f>
        <v>-5.2784766415074902E-3</v>
      </c>
      <c r="D75" s="95">
        <f ca="1">IFERROR(Prices!D74/Prices!D73-1,"")</f>
        <v>-8.4132055378061121E-3</v>
      </c>
      <c r="E75" s="95">
        <f ca="1">IFERROR(Prices!E74/Prices!E73-1,"")</f>
        <v>-4.1935804432077894E-2</v>
      </c>
      <c r="F75" s="95">
        <f ca="1">IFERROR(Prices!F74/Prices!F73-1,"")</f>
        <v>-4.6530667940233417E-2</v>
      </c>
      <c r="G75" s="95">
        <f ca="1">IFERROR(Prices!G74/Prices!G73-1,"")</f>
        <v>-3.8906732925277243E-2</v>
      </c>
      <c r="H75" s="95">
        <f ca="1">IFERROR(Prices!H74/Prices!H73-1,"")</f>
        <v>2.2029613578909313E-2</v>
      </c>
      <c r="I75" s="93">
        <f ca="1">IFERROR(Prices!I74/Prices!I73-1,"")</f>
        <v>-1.7525543234102825E-2</v>
      </c>
      <c r="J75" s="94">
        <f t="shared" ca="1" si="2"/>
        <v>-1.890725643892166E-2</v>
      </c>
      <c r="K75" s="113"/>
      <c r="L75" s="113"/>
      <c r="M75" s="113"/>
    </row>
    <row r="76" spans="1:13" x14ac:dyDescent="0.3">
      <c r="A76" s="80">
        <f ca="1">Prices!$A$75</f>
        <v>46041</v>
      </c>
      <c r="B76" s="95">
        <f ca="1">IFERROR(Prices!B75/Prices!B74-1,"")</f>
        <v>-4.9248919678990477E-2</v>
      </c>
      <c r="C76" s="95">
        <f ca="1">IFERROR(Prices!C75/Prices!C74-1,"")</f>
        <v>-1.5721087085895702E-2</v>
      </c>
      <c r="D76" s="95">
        <f ca="1">IFERROR(Prices!D75/Prices!D74-1,"")</f>
        <v>-1.6109977446031598E-2</v>
      </c>
      <c r="E76" s="95">
        <f ca="1">IFERROR(Prices!E75/Prices!E74-1,"")</f>
        <v>-2.9198215952702E-2</v>
      </c>
      <c r="F76" s="95">
        <f ca="1">IFERROR(Prices!F75/Prices!F74-1,"")</f>
        <v>-5.903398926654746E-2</v>
      </c>
      <c r="G76" s="95">
        <f ca="1">IFERROR(Prices!G75/Prices!G74-1,"")</f>
        <v>-2.4591714483889304E-2</v>
      </c>
      <c r="H76" s="95">
        <f ca="1">IFERROR(Prices!H75/Prices!H74-1,"")</f>
        <v>5.300353356890497E-3</v>
      </c>
      <c r="I76" s="93">
        <f ca="1">IFERROR(Prices!I75/Prices!I74-1,"")</f>
        <v>-7.9390467327768999E-3</v>
      </c>
      <c r="J76" s="94">
        <f t="shared" ca="1" si="2"/>
        <v>-2.9747714087267455E-2</v>
      </c>
      <c r="K76" s="113"/>
      <c r="L76" s="113"/>
      <c r="M76" s="113"/>
    </row>
    <row r="77" spans="1:13" x14ac:dyDescent="0.3">
      <c r="A77" s="80">
        <f ca="1">Prices!$A$76</f>
        <v>46048</v>
      </c>
      <c r="B77" s="95">
        <f ca="1">IFERROR(Prices!B76/Prices!B75-1,"")</f>
        <v>0</v>
      </c>
      <c r="C77" s="95">
        <f ca="1">IFERROR(Prices!C76/Prices!C75-1,"")</f>
        <v>0</v>
      </c>
      <c r="D77" s="95">
        <f ca="1">IFERROR(Prices!D76/Prices!D75-1,"")</f>
        <v>0</v>
      </c>
      <c r="E77" s="95">
        <f ca="1">IFERROR(Prices!E76/Prices!E75-1,"")</f>
        <v>0</v>
      </c>
      <c r="F77" s="95">
        <f ca="1">IFERROR(Prices!F76/Prices!F75-1,"")</f>
        <v>0</v>
      </c>
      <c r="G77" s="95">
        <f ca="1">IFERROR(Prices!G76/Prices!G75-1,"")</f>
        <v>0</v>
      </c>
      <c r="H77" s="95">
        <f ca="1">IFERROR(Prices!H76/Prices!H75-1,"")</f>
        <v>0</v>
      </c>
      <c r="I77" s="93">
        <f ca="1">IFERROR(Prices!I76/Prices!I75-1,"")</f>
        <v>-1.6028594687420572E-2</v>
      </c>
      <c r="J77" s="94">
        <f t="shared" ca="1" si="2"/>
        <v>0</v>
      </c>
      <c r="K77" s="113"/>
      <c r="L77" s="113"/>
      <c r="M77" s="113"/>
    </row>
    <row r="78" spans="1:13" x14ac:dyDescent="0.3">
      <c r="A78" s="80">
        <f ca="1">Prices!$A$77</f>
        <v>46055</v>
      </c>
      <c r="B78" s="95">
        <f ca="1">IFERROR(Prices!B77/Prices!B76-1,"")</f>
        <v>4.6677728879590319E-2</v>
      </c>
      <c r="C78" s="95">
        <f ca="1">IFERROR(Prices!C77/Prices!C76-1,"")</f>
        <v>2.7056985942459866E-2</v>
      </c>
      <c r="D78" s="95">
        <f ca="1">IFERROR(Prices!D77/Prices!D76-1,"")</f>
        <v>2.7289597205545135E-2</v>
      </c>
      <c r="E78" s="95">
        <f ca="1">IFERROR(Prices!E77/Prices!E76-1,"")</f>
        <v>8.662321705219278E-2</v>
      </c>
      <c r="F78" s="95">
        <f ca="1">IFERROR(Prices!F77/Prices!F76-1,"")</f>
        <v>1.1406844106463865E-2</v>
      </c>
      <c r="G78" s="95">
        <f ca="1">IFERROR(Prices!G77/Prices!G76-1,"")</f>
        <v>-3.0512638179584939E-2</v>
      </c>
      <c r="H78" s="95">
        <f ca="1">IFERROR(Prices!H77/Prices!H76-1,"")</f>
        <v>-6.6373755125951894E-2</v>
      </c>
      <c r="I78" s="93">
        <f ca="1">IFERROR(Prices!I77/Prices!I76-1,"")</f>
        <v>-3.4557543733205742E-3</v>
      </c>
      <c r="J78" s="94">
        <f t="shared" ca="1" si="2"/>
        <v>2.274878225170331E-2</v>
      </c>
      <c r="K78" s="113"/>
      <c r="L78" s="113"/>
      <c r="M78" s="113"/>
    </row>
    <row r="79" spans="1:13" x14ac:dyDescent="0.3">
      <c r="A79" s="80">
        <f ca="1">Prices!$A$78</f>
        <v>46062</v>
      </c>
      <c r="B79" s="95">
        <f ca="1">IFERROR(Prices!B78/Prices!B77-1,"")</f>
        <v>-2.1505376344086002E-2</v>
      </c>
      <c r="C79" s="95">
        <f ca="1">IFERROR(Prices!C78/Prices!C77-1,"")</f>
        <v>-1.6532574568288827E-2</v>
      </c>
      <c r="D79" s="95">
        <f ca="1">IFERROR(Prices!D78/Prices!D77-1,"")</f>
        <v>-3.9528211667197999E-2</v>
      </c>
      <c r="E79" s="95">
        <f ca="1">IFERROR(Prices!E78/Prices!E77-1,"")</f>
        <v>2.6007226960989005E-2</v>
      </c>
      <c r="F79" s="95">
        <f ca="1">IFERROR(Prices!F78/Prices!F77-1,"")</f>
        <v>1.1278195488721998E-3</v>
      </c>
      <c r="G79" s="95">
        <f ca="1">IFERROR(Prices!G78/Prices!G77-1,"")</f>
        <v>1.6003200640128057E-2</v>
      </c>
      <c r="H79" s="95">
        <f ca="1">IFERROR(Prices!H78/Prices!H77-1,"")</f>
        <v>-8.6904687205873077E-2</v>
      </c>
      <c r="I79" s="93">
        <f ca="1">IFERROR(Prices!I78/Prices!I77-1,"")</f>
        <v>3.1046235650641796E-2</v>
      </c>
      <c r="J79" s="94">
        <f t="shared" ca="1" si="2"/>
        <v>-1.5480042145772888E-2</v>
      </c>
      <c r="K79" s="113"/>
      <c r="L79" s="113"/>
      <c r="M79" s="113"/>
    </row>
    <row r="80" spans="1:13" x14ac:dyDescent="0.3">
      <c r="A80" s="80">
        <f ca="1">Prices!$A$79</f>
        <v>46069</v>
      </c>
      <c r="B80" s="95">
        <f ca="1">IFERROR(Prices!B79/Prices!B78-1,"")</f>
        <v>-1.4088475626927721E-4</v>
      </c>
      <c r="C80" s="95">
        <f ca="1">IFERROR(Prices!C79/Prices!C78-1,"")</f>
        <v>-1.3617997705392293E-2</v>
      </c>
      <c r="D80" s="95">
        <f ca="1">IFERROR(Prices!D79/Prices!D78-1,"")</f>
        <v>8.7952207102555136E-3</v>
      </c>
      <c r="E80" s="95">
        <f ca="1">IFERROR(Prices!E79/Prices!E78-1,"")</f>
        <v>4.9522029756343233E-2</v>
      </c>
      <c r="F80" s="95">
        <f ca="1">IFERROR(Prices!F79/Prices!F78-1,"")</f>
        <v>7.2099136312429035E-3</v>
      </c>
      <c r="G80" s="95">
        <f ca="1">IFERROR(Prices!G79/Prices!G78-1,"")</f>
        <v>-1.7063726455338935E-2</v>
      </c>
      <c r="H80" s="95">
        <f ca="1">IFERROR(Prices!H79/Prices!H78-1,"")</f>
        <v>-1.2850467289719614E-2</v>
      </c>
      <c r="I80" s="93">
        <f ca="1">IFERROR(Prices!I79/Prices!I78-1,"")</f>
        <v>-7.1345202505153082E-3</v>
      </c>
      <c r="J80" s="94">
        <f t="shared" ca="1" si="2"/>
        <v>3.8382645277093138E-3</v>
      </c>
      <c r="K80" s="113"/>
      <c r="L80" s="113"/>
      <c r="M80" s="113"/>
    </row>
    <row r="81" spans="1:13" x14ac:dyDescent="0.3">
      <c r="A81" s="80">
        <f ca="1">Prices!$A$80</f>
        <v>46076</v>
      </c>
      <c r="B81" s="95">
        <f ca="1">IFERROR(Prices!B80/Prices!B79-1,"")</f>
        <v>-1.7965337466535169E-2</v>
      </c>
      <c r="C81" s="95">
        <f ca="1">IFERROR(Prices!C80/Prices!C79-1,"")</f>
        <v>-4.9610599777485609E-2</v>
      </c>
      <c r="D81" s="95">
        <f ca="1">IFERROR(Prices!D80/Prices!D79-1,"")</f>
        <v>-2.6429785600701861E-2</v>
      </c>
      <c r="E81" s="95">
        <f ca="1">IFERROR(Prices!E80/Prices!E79-1,"")</f>
        <v>-2.3352965347212762E-2</v>
      </c>
      <c r="F81" s="95">
        <f ca="1">IFERROR(Prices!F80/Prices!F79-1,"")</f>
        <v>5.2941615092090277E-3</v>
      </c>
      <c r="G81" s="95">
        <f ca="1">IFERROR(Prices!G80/Prices!G79-1,"")</f>
        <v>-8.0122855044401087E-3</v>
      </c>
      <c r="H81" s="95">
        <f ca="1">IFERROR(Prices!H80/Prices!H79-1,"")</f>
        <v>-3.2996867386007711E-2</v>
      </c>
      <c r="I81" s="93">
        <f ca="1">IFERROR(Prices!I80/Prices!I79-1,"")</f>
        <v>1.1778333706475852E-3</v>
      </c>
      <c r="J81" s="94">
        <f t="shared" ca="1" si="2"/>
        <v>-2.2103393516809421E-2</v>
      </c>
      <c r="K81" s="113"/>
      <c r="L81" s="113"/>
      <c r="M81" s="113"/>
    </row>
    <row r="82" spans="1:13" x14ac:dyDescent="0.3">
      <c r="A82" s="80">
        <f ca="1">Prices!$A$81</f>
        <v>46083</v>
      </c>
      <c r="B82" s="95">
        <f ca="1">IFERROR(Prices!B81/Prices!B80-1,"")</f>
        <v>7.8197862113493777E-3</v>
      </c>
      <c r="C82" s="95">
        <f ca="1">IFERROR(Prices!C81/Prices!C80-1,"")</f>
        <v>-4.5229606768477648E-3</v>
      </c>
      <c r="D82" s="95">
        <f ca="1">IFERROR(Prices!D81/Prices!D80-1,"")</f>
        <v>-3.4581807941424958E-2</v>
      </c>
      <c r="E82" s="95">
        <f ca="1">IFERROR(Prices!E81/Prices!E80-1,"")</f>
        <v>-7.678283430334476E-2</v>
      </c>
      <c r="F82" s="95">
        <f ca="1">IFERROR(Prices!F81/Prices!F80-1,"")</f>
        <v>-2.0026702269692942E-2</v>
      </c>
      <c r="G82" s="95">
        <f ca="1">IFERROR(Prices!G81/Prices!G80-1,"")</f>
        <v>-4.6981220973278615E-2</v>
      </c>
      <c r="H82" s="95">
        <f ca="1">IFERROR(Prices!H81/Prices!H80-1,"")</f>
        <v>-2.3324454682888129E-2</v>
      </c>
      <c r="I82" s="93">
        <f ca="1">IFERROR(Prices!I81/Prices!I80-1,"")</f>
        <v>-3.2952233549177423E-2</v>
      </c>
      <c r="J82" s="94">
        <f t="shared" ca="1" si="2"/>
        <v>-2.4956912977215338E-2</v>
      </c>
      <c r="K82" s="113"/>
      <c r="L82" s="113"/>
      <c r="M82" s="113"/>
    </row>
    <row r="83" spans="1:13" x14ac:dyDescent="0.3">
      <c r="A83" s="80">
        <f ca="1">Prices!$A$82</f>
        <v>46090</v>
      </c>
      <c r="B83" s="95">
        <f ca="1">IFERROR(Prices!B82/Prices!B81-1,"")</f>
        <v>-1.7155466970387168E-2</v>
      </c>
      <c r="C83" s="95">
        <f ca="1">IFERROR(Prices!C82/Prices!C81-1,"")</f>
        <v>-3.6027367970921431E-2</v>
      </c>
      <c r="D83" s="95">
        <f ca="1">IFERROR(Prices!D82/Prices!D81-1,"")</f>
        <v>-4.6730062423429142E-2</v>
      </c>
      <c r="E83" s="95">
        <f ca="1">IFERROR(Prices!E82/Prices!E81-1,"")</f>
        <v>-0.12932300369638972</v>
      </c>
      <c r="F83" s="95">
        <f ca="1">IFERROR(Prices!F82/Prices!F81-1,"")</f>
        <v>-4.9197699061459543E-3</v>
      </c>
      <c r="G83" s="95">
        <f ca="1">IFERROR(Prices!G82/Prices!G81-1,"")</f>
        <v>-0.11074228405960873</v>
      </c>
      <c r="H83" s="95">
        <f ca="1">IFERROR(Prices!H82/Prices!H81-1,"")</f>
        <v>-2.3070686223925718E-2</v>
      </c>
      <c r="I83" s="93">
        <f ca="1">IFERROR(Prices!I82/Prices!I81-1,"")</f>
        <v>-3.3686904604249834E-2</v>
      </c>
      <c r="J83" s="94">
        <f t="shared" ca="1" si="2"/>
        <v>-5.0420400715880075E-2</v>
      </c>
      <c r="K83" s="113"/>
      <c r="L83" s="113"/>
      <c r="M83" s="113"/>
    </row>
    <row r="84" spans="1:13" x14ac:dyDescent="0.3">
      <c r="A84" s="80">
        <f ca="1">Prices!$A$83</f>
        <v>46097</v>
      </c>
      <c r="B84" s="95">
        <f ca="1">IFERROR(Prices!B83/Prices!B82-1,"")</f>
        <v>2.4407909031650687E-2</v>
      </c>
      <c r="C84" s="95">
        <f ca="1">IFERROR(Prices!C83/Prices!C82-1,"")</f>
        <v>2.3677498059221369E-2</v>
      </c>
      <c r="D84" s="95">
        <f ca="1">IFERROR(Prices!D83/Prices!D82-1,"")</f>
        <v>-4.4736842105263075E-2</v>
      </c>
      <c r="E84" s="95">
        <f ca="1">IFERROR(Prices!E83/Prices!E82-1,"")</f>
        <v>-1.2212852573422195E-3</v>
      </c>
      <c r="F84" s="95">
        <f ca="1">IFERROR(Prices!F83/Prices!F82-1,"")</f>
        <v>-4.4344717426028746E-2</v>
      </c>
      <c r="G84" s="95">
        <f ca="1">IFERROR(Prices!G83/Prices!G82-1,"")</f>
        <v>7.9421809228819029E-4</v>
      </c>
      <c r="H84" s="95">
        <f ca="1">IFERROR(Prices!H83/Prices!H82-1,"")</f>
        <v>6.262260449675594E-3</v>
      </c>
      <c r="I84" s="93">
        <f ca="1">IFERROR(Prices!I83/Prices!I82-1,"")</f>
        <v>-2.5771961514382324E-2</v>
      </c>
      <c r="J84" s="94">
        <f t="shared" ca="1" si="2"/>
        <v>-2.3785189452325724E-3</v>
      </c>
      <c r="K84" s="113"/>
      <c r="L84" s="113"/>
      <c r="M84" s="113"/>
    </row>
    <row r="85" spans="1:13" x14ac:dyDescent="0.3">
      <c r="A85" s="80">
        <f ca="1">Prices!$A$84</f>
        <v>46104</v>
      </c>
      <c r="B85" s="95">
        <f ca="1">IFERROR(Prices!B84/Prices!B83-1,"")</f>
        <v>-4.6875000000000111E-2</v>
      </c>
      <c r="C85" s="95">
        <f ca="1">IFERROR(Prices!C84/Prices!C83-1,"")</f>
        <v>-1.1917014246247692E-3</v>
      </c>
      <c r="D85" s="95">
        <f ca="1">IFERROR(Prices!D84/Prices!D83-1,"")</f>
        <v>-3.1071817541162172E-2</v>
      </c>
      <c r="E85" s="95">
        <f ca="1">IFERROR(Prices!E84/Prices!E83-1,"")</f>
        <v>3.7644113194363449E-2</v>
      </c>
      <c r="F85" s="95">
        <f ca="1">IFERROR(Prices!F84/Prices!F83-1,"")</f>
        <v>-1.1222540592168206E-2</v>
      </c>
      <c r="G85" s="95">
        <f ca="1">IFERROR(Prices!G84/Prices!G83-1,"")</f>
        <v>-1.6824061582414118E-2</v>
      </c>
      <c r="H85" s="95">
        <f ca="1">IFERROR(Prices!H84/Prices!H83-1,"")</f>
        <v>2.3018669865787045E-2</v>
      </c>
      <c r="I85" s="93">
        <f ca="1">IFERROR(Prices!I84/Prices!I83-1,"")</f>
        <v>-3.8282627076855591E-2</v>
      </c>
      <c r="J85" s="94">
        <f t="shared" ca="1" si="2"/>
        <v>-1.1644513970686228E-2</v>
      </c>
      <c r="K85" s="113"/>
      <c r="L85" s="113"/>
      <c r="M85" s="113"/>
    </row>
    <row r="86" spans="1:13" x14ac:dyDescent="0.3">
      <c r="A86" s="80">
        <f ca="1">Prices!$A$85</f>
        <v>46111</v>
      </c>
      <c r="B86" s="95">
        <f ca="1">IFERROR(Prices!B85/Prices!B84-1,"")</f>
        <v>1.7802833617683866E-3</v>
      </c>
      <c r="C86" s="95">
        <f ca="1">IFERROR(Prices!C85/Prices!C84-1,"")</f>
        <v>-2.9394218775421699E-2</v>
      </c>
      <c r="D86" s="95">
        <f ca="1">IFERROR(Prices!D85/Prices!D84-1,"")</f>
        <v>-7.0087278497752425E-3</v>
      </c>
      <c r="E86" s="95">
        <f ca="1">IFERROR(Prices!E85/Prices!E84-1,"")</f>
        <v>1.3748211329648541E-2</v>
      </c>
      <c r="F86" s="95">
        <f ca="1">IFERROR(Prices!F85/Prices!F84-1,"")</f>
        <v>-4.0167431377283958E-2</v>
      </c>
      <c r="G86" s="95">
        <f ca="1">IFERROR(Prices!G85/Prices!G84-1,"")</f>
        <v>1.9533457099039531E-2</v>
      </c>
      <c r="H86" s="95">
        <f ca="1">IFERROR(Prices!H85/Prices!H84-1,"")</f>
        <v>2.770448548812654E-2</v>
      </c>
      <c r="I86" s="93">
        <f ca="1">IFERROR(Prices!I85/Prices!I84-1,"")</f>
        <v>-8.0510289483941566E-3</v>
      </c>
      <c r="J86" s="94">
        <f t="shared" ca="1" si="2"/>
        <v>-3.1089004538799587E-3</v>
      </c>
      <c r="K86" s="113"/>
      <c r="L86" s="113"/>
      <c r="M86" s="113"/>
    </row>
    <row r="87" spans="1:13" x14ac:dyDescent="0.3">
      <c r="A87" s="80">
        <f ca="1">Prices!$A$86</f>
        <v>46118</v>
      </c>
      <c r="B87" s="95">
        <f ca="1">IFERROR(Prices!B86/Prices!B85-1,"")</f>
        <v>-2.2213994816733251E-4</v>
      </c>
      <c r="C87" s="95">
        <f ca="1">IFERROR(Prices!C86/Prices!C85-1,"")</f>
        <v>4.486785494775658E-2</v>
      </c>
      <c r="D87" s="95">
        <f ca="1">IFERROR(Prices!D86/Prices!D85-1,"")</f>
        <v>7.9105073911306389E-2</v>
      </c>
      <c r="E87" s="95">
        <f ca="1">IFERROR(Prices!E86/Prices!E85-1,"")</f>
        <v>9.5984058011126194E-2</v>
      </c>
      <c r="F87" s="95">
        <f ca="1">IFERROR(Prices!F86/Prices!F85-1,"")</f>
        <v>3.1113720228111319E-2</v>
      </c>
      <c r="G87" s="95">
        <f ca="1">IFERROR(Prices!G86/Prices!G85-1,"")</f>
        <v>8.5345578339007133E-2</v>
      </c>
      <c r="H87" s="95">
        <f ca="1">IFERROR(Prices!H86/Prices!H85-1,"")</f>
        <v>3.4945086292968108E-2</v>
      </c>
      <c r="I87" s="93">
        <f ca="1">IFERROR(Prices!I86/Prices!I85-1,"")</f>
        <v>2.8518122385300826E-2</v>
      </c>
      <c r="J87" s="94">
        <f t="shared" ca="1" si="2"/>
        <v>4.9102788856759977E-2</v>
      </c>
      <c r="K87" s="113"/>
      <c r="L87" s="113"/>
      <c r="M87" s="113"/>
    </row>
    <row r="88" spans="1:13" x14ac:dyDescent="0.3">
      <c r="A88" s="80">
        <f ca="1">Prices!$A$87</f>
        <v>46125</v>
      </c>
      <c r="B88" s="95">
        <f ca="1">IFERROR(Prices!B87/Prices!B86-1,"")</f>
        <v>1.0961339060879816E-2</v>
      </c>
      <c r="C88" s="95">
        <f ca="1">IFERROR(Prices!C87/Prices!C86-1,"")</f>
        <v>-1.2352941176470567E-2</v>
      </c>
      <c r="D88" s="95">
        <f ca="1">IFERROR(Prices!D87/Prices!D86-1,"")</f>
        <v>-1.2834752560779927E-2</v>
      </c>
      <c r="E88" s="95">
        <f ca="1">IFERROR(Prices!E87/Prices!E86-1,"")</f>
        <v>3.4394807949695849E-2</v>
      </c>
      <c r="F88" s="95">
        <f ca="1">IFERROR(Prices!F87/Prices!F86-1,"")</f>
        <v>9.190727938186205E-3</v>
      </c>
      <c r="G88" s="95">
        <f ca="1">IFERROR(Prices!G87/Prices!G86-1,"")</f>
        <v>-1.8673863885038999E-2</v>
      </c>
      <c r="H88" s="95">
        <f ca="1">IFERROR(Prices!H87/Prices!H86-1,"")</f>
        <v>-6.1328555678059615E-3</v>
      </c>
      <c r="I88" s="93">
        <f ca="1">IFERROR(Prices!I87/Prices!I86-1,"")</f>
        <v>3.8069961386914652E-2</v>
      </c>
      <c r="J88" s="94">
        <f t="shared" ca="1" si="2"/>
        <v>1.8682937216473318E-3</v>
      </c>
      <c r="K88" s="113"/>
      <c r="L88" s="113"/>
      <c r="M88" s="113"/>
    </row>
    <row r="89" spans="1:13" x14ac:dyDescent="0.3">
      <c r="A89" s="80">
        <f ca="1">Prices!$A$88</f>
        <v>46132</v>
      </c>
      <c r="B89" s="95">
        <f ca="1">IFERROR(Prices!B88/Prices!B87-1,"")</f>
        <v>-2.7252747252747289E-2</v>
      </c>
      <c r="C89" s="95">
        <f ca="1">IFERROR(Prices!C88/Prices!C87-1,"")</f>
        <v>-1.754290974064654E-2</v>
      </c>
      <c r="D89" s="95">
        <f ca="1">IFERROR(Prices!D88/Prices!D87-1,"")</f>
        <v>-1.8814851856482018E-2</v>
      </c>
      <c r="E89" s="95">
        <f ca="1">IFERROR(Prices!E88/Prices!E87-1,"")</f>
        <v>-1.9970215570908945E-2</v>
      </c>
      <c r="F89" s="95">
        <f ca="1">IFERROR(Prices!F88/Prices!F87-1,"")</f>
        <v>4.3681495809155368E-2</v>
      </c>
      <c r="G89" s="95">
        <f ca="1">IFERROR(Prices!G88/Prices!G87-1,"")</f>
        <v>-3.0104809336207516E-2</v>
      </c>
      <c r="H89" s="95">
        <f ca="1">IFERROR(Prices!H88/Prices!H87-1,"")</f>
        <v>-0.16577688414338199</v>
      </c>
      <c r="I89" s="93">
        <f ca="1">IFERROR(Prices!I88/Prices!I87-1,"")</f>
        <v>2.190189472204529E-2</v>
      </c>
      <c r="J89" s="94">
        <f t="shared" ca="1" si="2"/>
        <v>-2.7808343483779051E-2</v>
      </c>
      <c r="K89" s="113"/>
      <c r="L89" s="113"/>
      <c r="M89" s="113"/>
    </row>
    <row r="90" spans="1:13" x14ac:dyDescent="0.3">
      <c r="A90" s="80">
        <f ca="1">Prices!$A$89</f>
        <v>46139</v>
      </c>
      <c r="B90" s="95">
        <f ca="1">IFERROR(Prices!B89/Prices!B88-1,"")</f>
        <v>7.7571923482452121E-2</v>
      </c>
      <c r="C90" s="95">
        <f ca="1">IFERROR(Prices!C89/Prices!C88-1,"")</f>
        <v>3.9845687517222395E-2</v>
      </c>
      <c r="D90" s="95">
        <f ca="1">IFERROR(Prices!D89/Prices!D88-1,"")</f>
        <v>-1.6754793909664278E-2</v>
      </c>
      <c r="E90" s="95">
        <f ca="1">IFERROR(Prices!E89/Prices!E88-1,"")</f>
        <v>-7.4732830132373529E-5</v>
      </c>
      <c r="F90" s="95">
        <f ca="1">IFERROR(Prices!F89/Prices!F88-1,"")</f>
        <v>1.1274131274131127E-2</v>
      </c>
      <c r="G90" s="95">
        <f ca="1">IFERROR(Prices!G89/Prices!G88-1,"")</f>
        <v>2.0386266094420513E-2</v>
      </c>
      <c r="H90" s="95">
        <f ca="1">IFERROR(Prices!H89/Prices!H88-1,"")</f>
        <v>-3.4075797872341607E-3</v>
      </c>
      <c r="I90" s="93">
        <f ca="1">IFERROR(Prices!I89/Prices!I88-1,"")</f>
        <v>-1.1169795627233525E-2</v>
      </c>
      <c r="J90" s="94">
        <f t="shared" ca="1" si="2"/>
        <v>2.4787279349254294E-2</v>
      </c>
      <c r="K90" s="113"/>
      <c r="L90" s="113"/>
      <c r="M90" s="113"/>
    </row>
    <row r="91" spans="1:13" x14ac:dyDescent="0.3">
      <c r="A91" s="80">
        <f ca="1">Prices!$A$90</f>
        <v>46146</v>
      </c>
      <c r="B91" s="95">
        <f ca="1">IFERROR(Prices!B90/Prices!B89-1,"")</f>
        <v>3.0752026838132274E-3</v>
      </c>
      <c r="C91" s="95">
        <f ca="1">IFERROR(Prices!C90/Prices!C89-1,"")</f>
        <v>-2.7718889124443424E-2</v>
      </c>
      <c r="D91" s="95">
        <f ca="1">IFERROR(Prices!D90/Prices!D89-1,"")</f>
        <v>1.1856939225087348E-2</v>
      </c>
      <c r="E91" s="95">
        <f ca="1">IFERROR(Prices!E90/Prices!E89-1,"")</f>
        <v>-9.8405580468360343E-3</v>
      </c>
      <c r="F91" s="95">
        <f ca="1">IFERROR(Prices!F90/Prices!F89-1,"")</f>
        <v>2.8558338423946283E-2</v>
      </c>
      <c r="G91" s="95">
        <f ca="1">IFERROR(Prices!G90/Prices!G89-1,"")</f>
        <v>3.0944870061589302E-2</v>
      </c>
      <c r="H91" s="95">
        <f ca="1">IFERROR(Prices!H90/Prices!H89-1,"")</f>
        <v>-5.8377116170449384E-4</v>
      </c>
      <c r="I91" s="93">
        <f ca="1">IFERROR(Prices!I90/Prices!I89-1,"")</f>
        <v>1.1041337568062914E-3</v>
      </c>
      <c r="J91" s="94">
        <f t="shared" ca="1" si="2"/>
        <v>4.0381716195274512E-3</v>
      </c>
      <c r="K91" s="113"/>
      <c r="L91" s="113"/>
      <c r="M91" s="113"/>
    </row>
    <row r="92" spans="1:13" x14ac:dyDescent="0.3">
      <c r="A92" s="80">
        <f ca="1">Prices!$A$91</f>
        <v>46153</v>
      </c>
      <c r="B92" s="95">
        <f ca="1">IFERROR(Prices!B91/Prices!B90-1,"")</f>
        <v>-6.88405797101449E-2</v>
      </c>
      <c r="C92" s="95">
        <f ca="1">IFERROR(Prices!C91/Prices!C90-1,"")</f>
        <v>3.8648133006268681E-2</v>
      </c>
      <c r="D92" s="95">
        <f ca="1">IFERROR(Prices!D91/Prices!D90-1,"")</f>
        <v>-1.7096753537811371E-2</v>
      </c>
      <c r="E92" s="95">
        <f ca="1">IFERROR(Prices!E91/Prices!E90-1,"")</f>
        <v>-1.6480060384954087E-2</v>
      </c>
      <c r="F92" s="95">
        <f ca="1">IFERROR(Prices!F91/Prices!F90-1,"")</f>
        <v>6.3177431328878875E-2</v>
      </c>
      <c r="G92" s="95">
        <f ca="1">IFERROR(Prices!G91/Prices!G90-1,"")</f>
        <v>-3.6791490601777666E-2</v>
      </c>
      <c r="H92" s="95">
        <f ca="1">IFERROR(Prices!H91/Prices!H90-1,"")</f>
        <v>-5.4906542056074925E-2</v>
      </c>
      <c r="I92" s="93">
        <f ca="1">IFERROR(Prices!I91/Prices!I90-1,"")</f>
        <v>-1.2581259076585583E-2</v>
      </c>
      <c r="J92" s="94">
        <f t="shared" ca="1" si="2"/>
        <v>-1.6683110764752901E-2</v>
      </c>
      <c r="K92" s="113"/>
      <c r="L92" s="113"/>
      <c r="M92" s="113"/>
    </row>
    <row r="93" spans="1:13" x14ac:dyDescent="0.3">
      <c r="A93" s="80">
        <f ca="1">Prices!$A$92</f>
        <v>46160</v>
      </c>
      <c r="B93" s="95">
        <f ca="1">IFERROR(Prices!B92/Prices!B91-1,"")</f>
        <v>1.3543849146961939E-2</v>
      </c>
      <c r="C93" s="95">
        <f ca="1">IFERROR(Prices!C92/Prices!C91-1,"")</f>
        <v>-1.7844022252545444E-2</v>
      </c>
      <c r="D93" s="95">
        <f ca="1">IFERROR(Prices!D92/Prices!D91-1,"")</f>
        <v>-9.1205211726386182E-4</v>
      </c>
      <c r="E93" s="95">
        <f ca="1">IFERROR(Prices!E92/Prices!E91-1,"")</f>
        <v>4.5024302890763757E-3</v>
      </c>
      <c r="F93" s="95">
        <f ca="1">IFERROR(Prices!F92/Prices!F91-1,"")</f>
        <v>-2.297325605753775E-2</v>
      </c>
      <c r="G93" s="95">
        <f ca="1">IFERROR(Prices!G92/Prices!G91-1,"")</f>
        <v>-1.7699115044247815E-2</v>
      </c>
      <c r="H93" s="95">
        <f ca="1">IFERROR(Prices!H92/Prices!H91-1,"")</f>
        <v>2.7723821296132822E-2</v>
      </c>
      <c r="I93" s="93">
        <f ca="1">IFERROR(Prices!I92/Prices!I91-1,"")</f>
        <v>-6.9659656634586398E-3</v>
      </c>
      <c r="J93" s="94">
        <f t="shared" ca="1" si="2"/>
        <v>-1.4535262267617701E-3</v>
      </c>
      <c r="K93" s="113"/>
      <c r="L93" s="113"/>
      <c r="M93" s="113"/>
    </row>
    <row r="94" spans="1:13" x14ac:dyDescent="0.3">
      <c r="A94" s="80">
        <f ca="1">Prices!$A$93</f>
        <v>46167</v>
      </c>
      <c r="B94" s="95">
        <f ca="1">IFERROR(Prices!B93/Prices!B92-1,"")</f>
        <v>-2.4584717607973428E-2</v>
      </c>
      <c r="C94" s="95">
        <f ca="1">IFERROR(Prices!C93/Prices!C92-1,"")</f>
        <v>-2.265683445548794E-2</v>
      </c>
      <c r="D94" s="95">
        <f ca="1">IFERROR(Prices!D93/Prices!D92-1,"")</f>
        <v>-2.9016692749087136E-2</v>
      </c>
      <c r="E94" s="95">
        <f ca="1">IFERROR(Prices!E93/Prices!E92-1,"")</f>
        <v>3.8175520806804863E-2</v>
      </c>
      <c r="F94" s="95">
        <f ca="1">IFERROR(Prices!F93/Prices!F92-1,"")</f>
        <v>1.2864493996569415E-3</v>
      </c>
      <c r="G94" s="95">
        <f ca="1">IFERROR(Prices!G93/Prices!G92-1,"")</f>
        <v>1.0780010780010674E-2</v>
      </c>
      <c r="H94" s="95">
        <f ca="1">IFERROR(Prices!H93/Prices!H92-1,"")</f>
        <v>1.7010309278350455E-2</v>
      </c>
      <c r="I94" s="93">
        <f ca="1">IFERROR(Prices!I93/Prices!I92-1,"")</f>
        <v>1.6141683708028598E-2</v>
      </c>
      <c r="J94" s="94">
        <f t="shared" ca="1" si="2"/>
        <v>-5.082038160955816E-3</v>
      </c>
      <c r="K94" s="113"/>
      <c r="L94" s="113"/>
      <c r="M94" s="113"/>
    </row>
    <row r="95" spans="1:13" x14ac:dyDescent="0.3">
      <c r="A95" s="80">
        <f ca="1">Prices!$A$94</f>
        <v>46174</v>
      </c>
      <c r="B95" s="95">
        <f ca="1">IFERROR(Prices!B94/Prices!B93-1,"")</f>
        <v>-2.2858007871631836E-2</v>
      </c>
      <c r="C95" s="95">
        <f ca="1">IFERROR(Prices!C94/Prices!C93-1,"")</f>
        <v>-1.6839803171131762E-2</v>
      </c>
      <c r="D95" s="95">
        <f ca="1">IFERROR(Prices!D94/Prices!D93-1,"")</f>
        <v>3.357732858773721E-3</v>
      </c>
      <c r="E95" s="95">
        <f ca="1">IFERROR(Prices!E94/Prices!E93-1,"")</f>
        <v>-3.0246535017784959E-2</v>
      </c>
      <c r="F95" s="95">
        <f ca="1">IFERROR(Prices!F94/Prices!F93-1,"")</f>
        <v>2.1413276231263545E-4</v>
      </c>
      <c r="G95" s="95">
        <f ca="1">IFERROR(Prices!G94/Prices!G93-1,"")</f>
        <v>-5.8657728346156457E-3</v>
      </c>
      <c r="H95" s="95">
        <f ca="1">IFERROR(Prices!H94/Prices!H93-1,"")</f>
        <v>-2.4581855043081524E-2</v>
      </c>
      <c r="I95" s="93">
        <f ca="1">IFERROR(Prices!I94/Prices!I93-1,"")</f>
        <v>-2.701014204058283E-2</v>
      </c>
      <c r="J95" s="94">
        <f t="shared" ca="1" si="2"/>
        <v>-1.4404731022372622E-2</v>
      </c>
      <c r="K95" s="113"/>
      <c r="L95" s="113"/>
      <c r="M95" s="113"/>
    </row>
    <row r="96" spans="1:13" x14ac:dyDescent="0.3">
      <c r="A96" s="80">
        <f ca="1">Prices!$A$95</f>
        <v>46181</v>
      </c>
      <c r="B96" s="95">
        <f ca="1">IFERROR(Prices!B95/Prices!B94-1,"")</f>
        <v>1.5491866769945517E-3</v>
      </c>
      <c r="C96" s="95">
        <f ca="1">IFERROR(Prices!C95/Prices!C94-1,"")</f>
        <v>1.3513513513513598E-2</v>
      </c>
      <c r="D96" s="95">
        <f ca="1">IFERROR(Prices!D95/Prices!D94-1,"")</f>
        <v>3.4000401579546313E-2</v>
      </c>
      <c r="E96" s="95">
        <f ca="1">IFERROR(Prices!E95/Prices!E94-1,"")</f>
        <v>2.4309420216533484E-2</v>
      </c>
      <c r="F96" s="95">
        <f ca="1">IFERROR(Prices!F95/Prices!F94-1,"")</f>
        <v>-8.492114465139422E-3</v>
      </c>
      <c r="G96" s="95">
        <f ca="1">IFERROR(Prices!G95/Prices!G94-1,"")</f>
        <v>2.4214559386973145E-2</v>
      </c>
      <c r="H96" s="95">
        <f ca="1">IFERROR(Prices!H95/Prices!H94-1,"")</f>
        <v>-3.9057763921364952E-2</v>
      </c>
      <c r="I96" s="93">
        <f ca="1">IFERROR(Prices!I95/Prices!I94-1,"")</f>
        <v>-1.1102256109749131E-2</v>
      </c>
      <c r="J96" s="94">
        <f t="shared" ca="1" si="2"/>
        <v>9.2582136676796212E-3</v>
      </c>
      <c r="K96" s="113"/>
      <c r="L96" s="113"/>
      <c r="M96" s="113"/>
    </row>
    <row r="97" spans="1:16" x14ac:dyDescent="0.3">
      <c r="A97" s="80">
        <f ca="1">Prices!$A$96</f>
        <v>46188</v>
      </c>
      <c r="B97" s="95">
        <f ca="1">IFERROR(Prices!B96/Prices!B95-1,"")</f>
        <v>1.2761020881670637E-2</v>
      </c>
      <c r="C97" s="95">
        <f ca="1">IFERROR(Prices!C96/Prices!C95-1,"")</f>
        <v>4.8449931412894331E-2</v>
      </c>
      <c r="D97" s="95">
        <f ca="1">IFERROR(Prices!D96/Prices!D95-1,"")</f>
        <v>9.5151789759853056E-3</v>
      </c>
      <c r="E97" s="95">
        <f ca="1">IFERROR(Prices!E96/Prices!E95-1,"")</f>
        <v>3.9537697873706534E-2</v>
      </c>
      <c r="F97" s="95">
        <f ca="1">IFERROR(Prices!F96/Prices!F95-1,"")</f>
        <v>-2.7062041168849915E-2</v>
      </c>
      <c r="G97" s="95">
        <f ca="1">IFERROR(Prices!G96/Prices!G95-1,"")</f>
        <v>2.169684273529926E-3</v>
      </c>
      <c r="H97" s="95">
        <f ca="1">IFERROR(Prices!H96/Prices!H95-1,"")</f>
        <v>1.9917087238644715E-2</v>
      </c>
      <c r="I97" s="93">
        <f ca="1">IFERROR(Prices!I96/Prices!I95-1,"")</f>
        <v>3.160923715024011E-2</v>
      </c>
      <c r="J97" s="94">
        <f t="shared" ca="1" si="2"/>
        <v>1.5970534087474734E-2</v>
      </c>
      <c r="K97" s="113"/>
      <c r="L97" s="113"/>
      <c r="M97" s="113"/>
    </row>
    <row r="98" spans="1:16" x14ac:dyDescent="0.3">
      <c r="A98" s="80">
        <f ca="1">Prices!$A$97</f>
        <v>46195</v>
      </c>
      <c r="B98" s="95">
        <f ca="1">IFERROR(Prices!B97/Prices!B96-1,"")</f>
        <v>6.5673921344022723E-3</v>
      </c>
      <c r="C98" s="95">
        <f ca="1">IFERROR(Prices!C97/Prices!C96-1,"")</f>
        <v>-3.1452794640988047E-2</v>
      </c>
      <c r="D98" s="95">
        <f ca="1">IFERROR(Prices!D97/Prices!D96-1,"")</f>
        <v>2.1159271608104602E-2</v>
      </c>
      <c r="E98" s="95">
        <f ca="1">IFERROR(Prices!E97/Prices!E96-1,"")</f>
        <v>1.6629448377440958E-3</v>
      </c>
      <c r="F98" s="95">
        <f ca="1">IFERROR(Prices!F97/Prices!F96-1,"")</f>
        <v>6.5320313655866213E-2</v>
      </c>
      <c r="G98" s="95">
        <f ca="1">IFERROR(Prices!G97/Prices!G96-1,"")</f>
        <v>2.6129152668906253E-2</v>
      </c>
      <c r="H98" s="95">
        <f ca="1">IFERROR(Prices!H97/Prices!H96-1,"")</f>
        <v>-2.7392418485464365E-2</v>
      </c>
      <c r="I98" s="93">
        <f ca="1">IFERROR(Prices!I97/Prices!I96-1,"")</f>
        <v>1.0438544469560274E-2</v>
      </c>
      <c r="J98" s="94">
        <f t="shared" ca="1" si="2"/>
        <v>8.7079023085450836E-3</v>
      </c>
      <c r="K98" s="113"/>
      <c r="L98" s="113"/>
      <c r="M98" s="113"/>
    </row>
    <row r="99" spans="1:16" x14ac:dyDescent="0.3">
      <c r="A99" s="80">
        <f ca="1">Prices!$A$98</f>
        <v>46202</v>
      </c>
      <c r="B99" s="95">
        <f ca="1">IFERROR(Prices!B98/Prices!B97-1,"")</f>
        <v>-1.069721568924964E-2</v>
      </c>
      <c r="C99" s="95">
        <f ca="1">IFERROR(Prices!C98/Prices!C97-1,"")</f>
        <v>3.2258064516129004E-2</v>
      </c>
      <c r="D99" s="95">
        <f ca="1">IFERROR(Prices!D98/Prices!D97-1,"")</f>
        <v>5.965088534471974E-3</v>
      </c>
      <c r="E99" s="95">
        <f ca="1">IFERROR(Prices!E98/Prices!E97-1,"")</f>
        <v>-4.5014704487240209E-2</v>
      </c>
      <c r="F99" s="95">
        <f ca="1">IFERROR(Prices!F98/Prices!F97-1,"")</f>
        <v>1.2568571626970337E-2</v>
      </c>
      <c r="G99" s="95">
        <f ca="1">IFERROR(Prices!G98/Prices!G97-1,"")</f>
        <v>4.5180065478355846E-2</v>
      </c>
      <c r="H99" s="95">
        <f ca="1">IFERROR(Prices!H98/Prices!H97-1,"")</f>
        <v>3.4796038884346236E-2</v>
      </c>
      <c r="I99" s="93">
        <f ca="1">IFERROR(Prices!I98/Prices!I97-1,"")</f>
        <v>-6.4992340376567315E-3</v>
      </c>
      <c r="J99" s="94">
        <f t="shared" ca="1" si="2"/>
        <v>7.032534673079403E-3</v>
      </c>
      <c r="K99" s="113"/>
      <c r="L99" s="113"/>
      <c r="M99" s="113"/>
    </row>
    <row r="100" spans="1:16" x14ac:dyDescent="0.3">
      <c r="A100" s="80">
        <f ca="1">Prices!$A$99</f>
        <v>46209</v>
      </c>
      <c r="B100" s="95">
        <f ca="1">IFERROR(Prices!B99/Prices!B98-1,"")</f>
        <v>2.9141104294478914E-3</v>
      </c>
      <c r="C100" s="95">
        <f ca="1">IFERROR(Prices!C99/Prices!C98-1,"")</f>
        <v>5.2345058626466212E-3</v>
      </c>
      <c r="D100" s="95">
        <f ca="1">IFERROR(Prices!D99/Prices!D98-1,"")</f>
        <v>2.9835840459397245E-2</v>
      </c>
      <c r="E100" s="95">
        <f ca="1">IFERROR(Prices!E99/Prices!E98-1,"")</f>
        <v>-2.0066557393334294E-2</v>
      </c>
      <c r="F100" s="95">
        <f ca="1">IFERROR(Prices!F99/Prices!F98-1,"")</f>
        <v>-1.2892607324098138E-2</v>
      </c>
      <c r="G100" s="95">
        <f ca="1">IFERROR(Prices!G99/Prices!G98-1,"")</f>
        <v>-3.5639704858694166E-2</v>
      </c>
      <c r="H100" s="95">
        <f ca="1">IFERROR(Prices!H99/Prices!H98-1,"")</f>
        <v>2.2036874451272892E-2</v>
      </c>
      <c r="I100" s="93">
        <f ca="1">IFERROR(Prices!I99/Prices!I98-1,"")</f>
        <v>2.0216092681526243E-2</v>
      </c>
      <c r="J100" s="94">
        <f t="shared" ca="1" si="2"/>
        <v>-7.1907944930772261E-4</v>
      </c>
      <c r="K100" s="113"/>
      <c r="L100" s="113"/>
      <c r="M100" s="113"/>
    </row>
    <row r="101" spans="1:16" x14ac:dyDescent="0.3">
      <c r="A101" s="80">
        <f ca="1">Prices!$A$100</f>
        <v>46216</v>
      </c>
      <c r="B101" s="95">
        <f ca="1">IFERROR(Prices!B100/Prices!B99-1,"")</f>
        <v>1.4834072488148164E-2</v>
      </c>
      <c r="C101" s="95">
        <f ca="1">IFERROR(Prices!C100/Prices!C99-1,"")</f>
        <v>-6.0404082482816701E-3</v>
      </c>
      <c r="D101" s="95">
        <f ca="1">IFERROR(Prices!D100/Prices!D99-1,"")</f>
        <v>-6.485241529789687E-3</v>
      </c>
      <c r="E101" s="95">
        <f ca="1">IFERROR(Prices!E100/Prices!E99-1,"")</f>
        <v>-3.3275888286279143E-2</v>
      </c>
      <c r="F101" s="95">
        <f ca="1">IFERROR(Prices!F100/Prices!F99-1,"")</f>
        <v>-1.4380992080033406E-2</v>
      </c>
      <c r="G101" s="95">
        <f ca="1">IFERROR(Prices!G100/Prices!G99-1,"")</f>
        <v>-3.681247293200518E-3</v>
      </c>
      <c r="H101" s="95">
        <f ca="1">IFERROR(Prices!H100/Prices!H99-1,"")</f>
        <v>3.418950262005005E-2</v>
      </c>
      <c r="I101" s="93">
        <f ca="1">IFERROR(Prices!I100/Prices!I99-1,"")</f>
        <v>-8.9785702162373804E-3</v>
      </c>
      <c r="J101" s="94">
        <f t="shared" ca="1" si="2"/>
        <v>-2.2160486434992725E-3</v>
      </c>
      <c r="K101" s="113"/>
      <c r="L101" s="113"/>
      <c r="M101" s="113"/>
    </row>
    <row r="102" spans="1:16" x14ac:dyDescent="0.3">
      <c r="A102" s="80">
        <f ca="1">Prices!$A$101</f>
        <v>46223</v>
      </c>
      <c r="B102" s="95">
        <f ca="1">IFERROR(Prices!B101/Prices!B100-1,"")</f>
        <v>-3.7070524412296635E-2</v>
      </c>
      <c r="C102" s="95">
        <f ca="1">IFERROR(Prices!C101/Prices!C100-1,"")</f>
        <v>-5.5532271584241011E-3</v>
      </c>
      <c r="D102" s="95">
        <f ca="1">IFERROR(Prices!D101/Prices!D100-1,"")</f>
        <v>-9.3704245973645794E-2</v>
      </c>
      <c r="E102" s="95">
        <f ca="1">IFERROR(Prices!E101/Prices!E100-1,"")</f>
        <v>-7.5763533883864698E-3</v>
      </c>
      <c r="F102" s="95">
        <f ca="1">IFERROR(Prices!F101/Prices!F100-1,"")</f>
        <v>-5.7094523155002408E-3</v>
      </c>
      <c r="G102" s="95">
        <f ca="1">IFERROR(Prices!G101/Prices!G100-1,"")</f>
        <v>-2.615373469535609E-2</v>
      </c>
      <c r="H102" s="95">
        <f ca="1">IFERROR(Prices!H101/Prices!H100-1,"")</f>
        <v>5.5735526206495578E-2</v>
      </c>
      <c r="I102" s="93">
        <f ca="1">IFERROR(Prices!I101/Prices!I100-1,"")</f>
        <v>1.1358473421172466E-3</v>
      </c>
      <c r="J102" s="94">
        <f t="shared" ref="J102:J134" ca="1" si="3">IFERROR(SUMPRODUCT(Weights,$B102:$H102),"")</f>
        <v>-2.3282916141730975E-2</v>
      </c>
      <c r="K102" s="113"/>
      <c r="L102" s="113"/>
      <c r="M102" s="113"/>
      <c r="P102" s="112"/>
    </row>
    <row r="103" spans="1:16" x14ac:dyDescent="0.3">
      <c r="A103" s="80">
        <f ca="1">Prices!$A$102</f>
        <v>46230</v>
      </c>
      <c r="B103" s="95">
        <f ca="1">IFERROR(Prices!B102/Prices!B101-1,"")</f>
        <v>2.3317683881064033E-2</v>
      </c>
      <c r="C103" s="95">
        <f ca="1">IFERROR(Prices!C102/Prices!C101-1,"")</f>
        <v>3.8878937941207337E-2</v>
      </c>
      <c r="D103" s="95">
        <f ca="1">IFERROR(Prices!D102/Prices!D101-1,"")</f>
        <v>7.202477113624095E-3</v>
      </c>
      <c r="E103" s="95">
        <f ca="1">IFERROR(Prices!E102/Prices!E101-1,"")</f>
        <v>4.0495562130177465E-2</v>
      </c>
      <c r="F103" s="95">
        <f ca="1">IFERROR(Prices!F102/Prices!F101-1,"")</f>
        <v>4.4378278746632693E-2</v>
      </c>
      <c r="G103" s="95">
        <f ca="1">IFERROR(Prices!G102/Prices!G101-1,"")</f>
        <v>5.891980360065463E-2</v>
      </c>
      <c r="H103" s="95">
        <f ca="1">IFERROR(Prices!H102/Prices!H101-1,"")</f>
        <v>5.9716758457907249E-2</v>
      </c>
      <c r="I103" s="93">
        <f ca="1">IFERROR(Prices!I102/Prices!I101-1,"")</f>
        <v>-1.0006839583720062E-2</v>
      </c>
      <c r="J103" s="94">
        <f t="shared" ca="1" si="3"/>
        <v>3.5714936391980416E-2</v>
      </c>
      <c r="K103" s="113"/>
      <c r="L103" s="113"/>
      <c r="M103" s="113"/>
    </row>
    <row r="104" spans="1:16" x14ac:dyDescent="0.3">
      <c r="A104" s="80">
        <f ca="1">Prices!$A$103</f>
        <v>46237</v>
      </c>
      <c r="B104" s="95">
        <f ca="1">IFERROR(Prices!B103/Prices!B102-1,"")</f>
        <v>2.06453586175257E-2</v>
      </c>
      <c r="C104" s="95">
        <f ca="1">IFERROR(Prices!C103/Prices!C102-1,"")</f>
        <v>-6.135902636916768E-3</v>
      </c>
      <c r="D104" s="95">
        <f ca="1">IFERROR(Prices!D103/Prices!D102-1,"")</f>
        <v>-2.2923210586112353E-2</v>
      </c>
      <c r="E104" s="95">
        <f ca="1">IFERROR(Prices!E103/Prices!E102-1,"")</f>
        <v>2.9729112188682016E-2</v>
      </c>
      <c r="F104" s="95">
        <f ca="1">IFERROR(Prices!F103/Prices!F102-1,"")</f>
        <v>-6.3806679337496952E-3</v>
      </c>
      <c r="G104" s="95">
        <f ca="1">IFERROR(Prices!G103/Prices!G102-1,"")</f>
        <v>-1.3840101166221697E-2</v>
      </c>
      <c r="H104" s="95">
        <f ca="1">IFERROR(Prices!H103/Prices!H102-1,"")</f>
        <v>7.2017224738285535E-3</v>
      </c>
      <c r="I104" s="93">
        <f ca="1">IFERROR(Prices!I103/Prices!I102-1,"")</f>
        <v>3.2436789868341975E-2</v>
      </c>
      <c r="J104" s="94">
        <f t="shared" ca="1" si="3"/>
        <v>2.7733039356400285E-3</v>
      </c>
      <c r="K104" s="113"/>
      <c r="L104" s="113"/>
      <c r="M104" s="113"/>
    </row>
    <row r="105" spans="1:16" x14ac:dyDescent="0.3">
      <c r="A105" s="80">
        <f ca="1">Prices!$A$104</f>
        <v>46244</v>
      </c>
      <c r="B105" s="95">
        <f ca="1">IFERROR(Prices!B104/Prices!B103-1,"")</f>
        <v>-1.8579562481270573E-2</v>
      </c>
      <c r="C105" s="95">
        <f ca="1">IFERROR(Prices!C104/Prices!C103-1,"")</f>
        <v>1.6429409663758276E-2</v>
      </c>
      <c r="D105" s="95">
        <f ca="1">IFERROR(Prices!D104/Prices!D103-1,"")</f>
        <v>-5.4719562243502606E-3</v>
      </c>
      <c r="E105" s="95">
        <f ca="1">IFERROR(Prices!E104/Prices!E103-1,"")</f>
        <v>2.4654832347148492E-4</v>
      </c>
      <c r="F105" s="95">
        <f ca="1">IFERROR(Prices!F104/Prices!F103-1,"")</f>
        <v>-9.42751742041259E-3</v>
      </c>
      <c r="G105" s="95">
        <f ca="1">IFERROR(Prices!G104/Prices!G103-1,"")</f>
        <v>-1.446177958253192E-2</v>
      </c>
      <c r="H105" s="95">
        <f ca="1">IFERROR(Prices!H104/Prices!H103-1,"")</f>
        <v>2.5062656641605674E-3</v>
      </c>
      <c r="I105" s="93">
        <f ca="1">IFERROR(Prices!I104/Prices!I103-1,"")</f>
        <v>-7.6894198420395243E-3</v>
      </c>
      <c r="J105" s="94">
        <f t="shared" ca="1" si="3"/>
        <v>-5.2363163200739122E-3</v>
      </c>
      <c r="K105" s="113"/>
      <c r="L105" s="113"/>
      <c r="M105" s="113"/>
    </row>
    <row r="106" spans="1:16" x14ac:dyDescent="0.3">
      <c r="A106" s="80">
        <f ca="1">Prices!$A$105</f>
        <v>46251</v>
      </c>
      <c r="B106" s="95">
        <f ca="1">IFERROR(Prices!B105/Prices!B104-1,"")</f>
        <v>4.5801526717557106E-3</v>
      </c>
      <c r="C106" s="95">
        <f ca="1">IFERROR(Prices!C105/Prices!C104-1,"")</f>
        <v>-2.3141408563827071E-2</v>
      </c>
      <c r="D106" s="95">
        <f ca="1">IFERROR(Prices!D105/Prices!D104-1,"")</f>
        <v>-6.8775790921571378E-5</v>
      </c>
      <c r="E106" s="95">
        <f ca="1">IFERROR(Prices!E105/Prices!E104-1,"")</f>
        <v>8.8735518856297713E-3</v>
      </c>
      <c r="F106" s="95">
        <f ca="1">IFERROR(Prices!F105/Prices!F104-1,"")</f>
        <v>-1.2275862068965471E-2</v>
      </c>
      <c r="G106" s="95">
        <f ca="1">IFERROR(Prices!G105/Prices!G104-1,"")</f>
        <v>-1.9444846031516527E-2</v>
      </c>
      <c r="H106" s="95">
        <f ca="1">IFERROR(Prices!H105/Prices!H104-1,"")</f>
        <v>-4.2279411764705843E-2</v>
      </c>
      <c r="I106" s="93">
        <f ca="1">IFERROR(Prices!I105/Prices!I104-1,"")</f>
        <v>-1.2046566487427524E-2</v>
      </c>
      <c r="J106" s="94">
        <f t="shared" ca="1" si="3"/>
        <v>-8.7974273056016794E-3</v>
      </c>
      <c r="K106" s="113"/>
      <c r="L106" s="113"/>
      <c r="M106" s="113"/>
    </row>
    <row r="107" spans="1:16" x14ac:dyDescent="0.3">
      <c r="A107" s="80">
        <f ca="1">Prices!$A$106</f>
        <v>46258</v>
      </c>
      <c r="B107" s="95">
        <f ca="1">IFERROR(Prices!B106/Prices!B105-1,"")</f>
        <v>-2.203647416413379E-2</v>
      </c>
      <c r="C107" s="95">
        <f ca="1">IFERROR(Prices!C106/Prices!C105-1,"")</f>
        <v>-3.2682425488180789E-2</v>
      </c>
      <c r="D107" s="95">
        <f ca="1">IFERROR(Prices!D106/Prices!D105-1,"")</f>
        <v>-9.1478093403949412E-3</v>
      </c>
      <c r="E107" s="95">
        <f ca="1">IFERROR(Prices!E106/Prices!E105-1,"")</f>
        <v>-1.1531883703884582E-2</v>
      </c>
      <c r="F107" s="95">
        <f ca="1">IFERROR(Prices!F106/Prices!F105-1,"")</f>
        <v>-6.0745705906996017E-3</v>
      </c>
      <c r="G107" s="95">
        <f ca="1">IFERROR(Prices!G106/Prices!G105-1,"")</f>
        <v>-1.393291559159604E-2</v>
      </c>
      <c r="H107" s="95">
        <f ca="1">IFERROR(Prices!H106/Prices!H105-1,"")</f>
        <v>1.0441458733205344E-2</v>
      </c>
      <c r="I107" s="93">
        <f ca="1">IFERROR(Prices!I106/Prices!I105-1,"")</f>
        <v>-2.8244646259186768E-3</v>
      </c>
      <c r="J107" s="94">
        <f t="shared" ca="1" si="3"/>
        <v>-1.4418555056467969E-2</v>
      </c>
      <c r="K107" s="113"/>
      <c r="L107" s="113"/>
      <c r="M107" s="113"/>
    </row>
    <row r="108" spans="1:16" x14ac:dyDescent="0.3">
      <c r="A108" s="80">
        <f ca="1">Prices!$A$107</f>
        <v>46265</v>
      </c>
      <c r="B108" s="95">
        <f ca="1">IFERROR(Prices!B107/Prices!B106-1,"")</f>
        <v>2.7195027195027199E-2</v>
      </c>
      <c r="C108" s="95">
        <f ca="1">IFERROR(Prices!C107/Prices!C106-1,"")</f>
        <v>-2.2524436889077792E-2</v>
      </c>
      <c r="D108" s="95">
        <f ca="1">IFERROR(Prices!D107/Prices!D106-1,"")</f>
        <v>-1.1384145494932607E-2</v>
      </c>
      <c r="E108" s="95">
        <f ca="1">IFERROR(Prices!E107/Prices!E106-1,"")</f>
        <v>-2.0193781205200545E-2</v>
      </c>
      <c r="F108" s="95">
        <f ca="1">IFERROR(Prices!F107/Prices!F106-1,"")</f>
        <v>-2.7046013347383213E-2</v>
      </c>
      <c r="G108" s="95">
        <f ca="1">IFERROR(Prices!G107/Prices!G106-1,"")</f>
        <v>-5.0986842105263164E-2</v>
      </c>
      <c r="H108" s="95">
        <f ca="1">IFERROR(Prices!H107/Prices!H106-1,"")</f>
        <v>-1.7247929488640512E-2</v>
      </c>
      <c r="I108" s="93">
        <f ca="1">IFERROR(Prices!I107/Prices!I106-1,"")</f>
        <v>-5.7248482559167924E-3</v>
      </c>
      <c r="J108" s="94">
        <f t="shared" ca="1" si="3"/>
        <v>-1.2574816779768593E-2</v>
      </c>
      <c r="K108" s="113"/>
      <c r="L108" s="113"/>
      <c r="M108" s="113"/>
    </row>
    <row r="109" spans="1:16" x14ac:dyDescent="0.3">
      <c r="A109" s="80">
        <f ca="1">Prices!$A$108</f>
        <v>46272</v>
      </c>
      <c r="B109" s="95">
        <f ca="1">IFERROR(Prices!B108/Prices!B107-1,"")</f>
        <v>-9.4553706505294821E-3</v>
      </c>
      <c r="C109" s="95">
        <f ca="1">IFERROR(Prices!C108/Prices!C107-1,"")</f>
        <v>7.6086956521739246E-3</v>
      </c>
      <c r="D109" s="95">
        <f ca="1">IFERROR(Prices!D108/Prices!D107-1,"")</f>
        <v>-2.2468754388429435E-3</v>
      </c>
      <c r="E109" s="95">
        <f ca="1">IFERROR(Prices!E108/Prices!E107-1,"")</f>
        <v>8.8040160439948334E-3</v>
      </c>
      <c r="F109" s="95">
        <f ca="1">IFERROR(Prices!F108/Prices!F107-1,"")</f>
        <v>7.2202166064982976E-3</v>
      </c>
      <c r="G109" s="95">
        <f ca="1">IFERROR(Prices!G108/Prices!G107-1,"")</f>
        <v>5.199306759098743E-3</v>
      </c>
      <c r="H109" s="95">
        <f ca="1">IFERROR(Prices!H108/Prices!H107-1,"")</f>
        <v>-8.1954538425855761E-3</v>
      </c>
      <c r="I109" s="93">
        <f ca="1">IFERROR(Prices!I108/Prices!I107-1,"")</f>
        <v>-1.2510174046660882E-2</v>
      </c>
      <c r="J109" s="94">
        <f t="shared" ca="1" si="3"/>
        <v>6.1485198657608604E-4</v>
      </c>
      <c r="K109" s="113"/>
      <c r="L109" s="113"/>
      <c r="M109" s="113"/>
    </row>
    <row r="110" spans="1:16" x14ac:dyDescent="0.3">
      <c r="A110" s="80" t="str">
        <f ca="1">Prices!$A$109</f>
        <v/>
      </c>
      <c r="B110" s="80" t="str">
        <f ca="1">IFERROR(Prices!B109/Prices!B108-1,"")</f>
        <v/>
      </c>
      <c r="C110" s="80" t="str">
        <f ca="1">IFERROR(Prices!C109/Prices!C108-1,"")</f>
        <v/>
      </c>
      <c r="D110" s="80" t="str">
        <f ca="1">IFERROR(Prices!D109/Prices!D108-1,"")</f>
        <v/>
      </c>
      <c r="E110" s="80" t="str">
        <f ca="1">IFERROR(Prices!E109/Prices!E108-1,"")</f>
        <v/>
      </c>
      <c r="F110" s="80" t="str">
        <f ca="1">IFERROR(Prices!F109/Prices!F108-1,"")</f>
        <v/>
      </c>
      <c r="G110" s="80" t="str">
        <f ca="1">IFERROR(Prices!G109/Prices!G108-1,"")</f>
        <v/>
      </c>
      <c r="H110" s="80" t="str">
        <f ca="1">IFERROR(Prices!H109/Prices!H108-1,"")</f>
        <v/>
      </c>
      <c r="I110" s="93" t="str">
        <f ca="1">IFERROR(Prices!I109/Prices!I108-1,"")</f>
        <v/>
      </c>
      <c r="J110" s="94">
        <f t="shared" ca="1" si="3"/>
        <v>0</v>
      </c>
      <c r="K110" s="113"/>
      <c r="L110" s="113"/>
      <c r="M110" s="113"/>
    </row>
    <row r="111" spans="1:16" x14ac:dyDescent="0.3">
      <c r="A111" s="80" t="str">
        <f ca="1">Prices!$A$110</f>
        <v/>
      </c>
      <c r="B111" s="95" t="str">
        <f ca="1">IFERROR(Prices!B110/Prices!B109-1,"")</f>
        <v/>
      </c>
      <c r="C111" s="95" t="str">
        <f ca="1">IFERROR(Prices!C110/Prices!C109-1,"")</f>
        <v/>
      </c>
      <c r="D111" s="95" t="str">
        <f ca="1">IFERROR(Prices!D110/Prices!D109-1,"")</f>
        <v/>
      </c>
      <c r="E111" s="95" t="str">
        <f ca="1">IFERROR(Prices!E110/Prices!E109-1,"")</f>
        <v/>
      </c>
      <c r="F111" s="95" t="str">
        <f ca="1">IFERROR(Prices!F110/Prices!F109-1,"")</f>
        <v/>
      </c>
      <c r="G111" s="95" t="str">
        <f ca="1">IFERROR(Prices!G110/Prices!G109-1,"")</f>
        <v/>
      </c>
      <c r="H111" s="95" t="str">
        <f ca="1">IFERROR(Prices!H110/Prices!H109-1,"")</f>
        <v/>
      </c>
      <c r="I111" s="93" t="str">
        <f ca="1">IFERROR(Prices!I110/Prices!I109-1,"")</f>
        <v/>
      </c>
      <c r="J111" s="94">
        <f t="shared" ca="1" si="3"/>
        <v>0</v>
      </c>
      <c r="K111" s="113"/>
      <c r="L111" s="113"/>
      <c r="M111" s="113"/>
    </row>
    <row r="112" spans="1:16" x14ac:dyDescent="0.3">
      <c r="A112" s="80" t="str">
        <f ca="1">Prices!$A$111</f>
        <v/>
      </c>
      <c r="B112" s="95" t="str">
        <f ca="1">IFERROR(Prices!B111/Prices!B110-1,"")</f>
        <v/>
      </c>
      <c r="C112" s="95" t="str">
        <f ca="1">IFERROR(Prices!C111/Prices!C110-1,"")</f>
        <v/>
      </c>
      <c r="D112" s="95" t="str">
        <f ca="1">IFERROR(Prices!D111/Prices!D110-1,"")</f>
        <v/>
      </c>
      <c r="E112" s="95" t="str">
        <f ca="1">IFERROR(Prices!E111/Prices!E110-1,"")</f>
        <v/>
      </c>
      <c r="F112" s="95" t="str">
        <f ca="1">IFERROR(Prices!F111/Prices!F110-1,"")</f>
        <v/>
      </c>
      <c r="G112" s="95" t="str">
        <f ca="1">IFERROR(Prices!G111/Prices!G110-1,"")</f>
        <v/>
      </c>
      <c r="H112" s="95" t="str">
        <f ca="1">IFERROR(Prices!H111/Prices!H110-1,"")</f>
        <v/>
      </c>
      <c r="I112" s="93" t="str">
        <f ca="1">IFERROR(Prices!I111/Prices!I110-1,"")</f>
        <v/>
      </c>
      <c r="J112" s="94">
        <f t="shared" ca="1" si="3"/>
        <v>0</v>
      </c>
      <c r="K112" s="113"/>
      <c r="L112" s="113"/>
      <c r="M112" s="113"/>
    </row>
    <row r="113" spans="1:13" x14ac:dyDescent="0.3">
      <c r="A113" s="80" t="str">
        <f ca="1">Prices!$A$112</f>
        <v/>
      </c>
      <c r="B113" s="95" t="str">
        <f ca="1">IFERROR(Prices!B112/Prices!B111-1,"")</f>
        <v/>
      </c>
      <c r="C113" s="95" t="str">
        <f ca="1">IFERROR(Prices!C112/Prices!C111-1,"")</f>
        <v/>
      </c>
      <c r="D113" s="95" t="str">
        <f ca="1">IFERROR(Prices!D112/Prices!D111-1,"")</f>
        <v/>
      </c>
      <c r="E113" s="95" t="str">
        <f ca="1">IFERROR(Prices!E112/Prices!E111-1,"")</f>
        <v/>
      </c>
      <c r="F113" s="95" t="str">
        <f ca="1">IFERROR(Prices!F112/Prices!F111-1,"")</f>
        <v/>
      </c>
      <c r="G113" s="95" t="str">
        <f ca="1">IFERROR(Prices!G112/Prices!G111-1,"")</f>
        <v/>
      </c>
      <c r="H113" s="95" t="str">
        <f ca="1">IFERROR(Prices!H112/Prices!H111-1,"")</f>
        <v/>
      </c>
      <c r="I113" s="93" t="str">
        <f ca="1">IFERROR(Prices!I112/Prices!I111-1,"")</f>
        <v/>
      </c>
      <c r="J113" s="94">
        <f t="shared" ca="1" si="3"/>
        <v>0</v>
      </c>
      <c r="K113" s="113"/>
      <c r="L113" s="113"/>
      <c r="M113" s="113"/>
    </row>
    <row r="114" spans="1:13" x14ac:dyDescent="0.3">
      <c r="A114" s="80" t="str">
        <f ca="1">Prices!$A$113</f>
        <v/>
      </c>
      <c r="B114" s="95" t="str">
        <f ca="1">IFERROR(Prices!B113/Prices!B112-1,"")</f>
        <v/>
      </c>
      <c r="C114" s="95" t="str">
        <f ca="1">IFERROR(Prices!C113/Prices!C112-1,"")</f>
        <v/>
      </c>
      <c r="D114" s="95" t="str">
        <f ca="1">IFERROR(Prices!D113/Prices!D112-1,"")</f>
        <v/>
      </c>
      <c r="E114" s="95" t="str">
        <f ca="1">IFERROR(Prices!E113/Prices!E112-1,"")</f>
        <v/>
      </c>
      <c r="F114" s="95" t="str">
        <f ca="1">IFERROR(Prices!F113/Prices!F112-1,"")</f>
        <v/>
      </c>
      <c r="G114" s="95" t="str">
        <f ca="1">IFERROR(Prices!G113/Prices!G112-1,"")</f>
        <v/>
      </c>
      <c r="H114" s="95" t="str">
        <f ca="1">IFERROR(Prices!H113/Prices!H112-1,"")</f>
        <v/>
      </c>
      <c r="I114" s="93" t="str">
        <f ca="1">IFERROR(Prices!I113/Prices!I112-1,"")</f>
        <v/>
      </c>
      <c r="J114" s="94">
        <f t="shared" ca="1" si="3"/>
        <v>0</v>
      </c>
      <c r="K114" s="113"/>
      <c r="L114" s="113"/>
      <c r="M114" s="113"/>
    </row>
    <row r="115" spans="1:13" x14ac:dyDescent="0.3">
      <c r="A115" s="80" t="str">
        <f ca="1">Prices!$A$114</f>
        <v/>
      </c>
      <c r="B115" s="95" t="str">
        <f ca="1">IFERROR(Prices!B114/Prices!B113-1,"")</f>
        <v/>
      </c>
      <c r="C115" s="95" t="str">
        <f ca="1">IFERROR(Prices!C114/Prices!C113-1,"")</f>
        <v/>
      </c>
      <c r="D115" s="95" t="str">
        <f ca="1">IFERROR(Prices!D114/Prices!D113-1,"")</f>
        <v/>
      </c>
      <c r="E115" s="95" t="str">
        <f ca="1">IFERROR(Prices!E114/Prices!E113-1,"")</f>
        <v/>
      </c>
      <c r="F115" s="95" t="str">
        <f ca="1">IFERROR(Prices!F114/Prices!F113-1,"")</f>
        <v/>
      </c>
      <c r="G115" s="95" t="str">
        <f ca="1">IFERROR(Prices!G114/Prices!G113-1,"")</f>
        <v/>
      </c>
      <c r="H115" s="95" t="str">
        <f ca="1">IFERROR(Prices!H114/Prices!H113-1,"")</f>
        <v/>
      </c>
      <c r="I115" s="93" t="str">
        <f ca="1">IFERROR(Prices!I114/Prices!I113-1,"")</f>
        <v/>
      </c>
      <c r="J115" s="94">
        <f t="shared" ca="1" si="3"/>
        <v>0</v>
      </c>
      <c r="K115" s="113"/>
      <c r="L115" s="113"/>
      <c r="M115" s="113"/>
    </row>
    <row r="116" spans="1:13" x14ac:dyDescent="0.3">
      <c r="A116" s="80" t="str">
        <f ca="1">Prices!$A$115</f>
        <v/>
      </c>
      <c r="B116" s="95" t="str">
        <f ca="1">IFERROR(Prices!B115/Prices!B114-1,"")</f>
        <v/>
      </c>
      <c r="C116" s="95" t="str">
        <f ca="1">IFERROR(Prices!C115/Prices!C114-1,"")</f>
        <v/>
      </c>
      <c r="D116" s="95" t="str">
        <f ca="1">IFERROR(Prices!D115/Prices!D114-1,"")</f>
        <v/>
      </c>
      <c r="E116" s="95" t="str">
        <f ca="1">IFERROR(Prices!E115/Prices!E114-1,"")</f>
        <v/>
      </c>
      <c r="F116" s="95" t="str">
        <f ca="1">IFERROR(Prices!F115/Prices!F114-1,"")</f>
        <v/>
      </c>
      <c r="G116" s="95" t="str">
        <f ca="1">IFERROR(Prices!G115/Prices!G114-1,"")</f>
        <v/>
      </c>
      <c r="H116" s="95" t="str">
        <f ca="1">IFERROR(Prices!H115/Prices!H114-1,"")</f>
        <v/>
      </c>
      <c r="I116" s="93" t="str">
        <f ca="1">IFERROR(Prices!I115/Prices!I114-1,"")</f>
        <v/>
      </c>
      <c r="J116" s="94">
        <f t="shared" ca="1" si="3"/>
        <v>0</v>
      </c>
      <c r="K116" s="113"/>
      <c r="L116" s="113"/>
      <c r="M116" s="113"/>
    </row>
    <row r="117" spans="1:13" x14ac:dyDescent="0.3">
      <c r="A117" s="80" t="str">
        <f ca="1">Prices!$A$116</f>
        <v/>
      </c>
      <c r="B117" s="95" t="str">
        <f ca="1">IFERROR(Prices!B116/Prices!B115-1,"")</f>
        <v/>
      </c>
      <c r="C117" s="95" t="str">
        <f ca="1">IFERROR(Prices!C116/Prices!C115-1,"")</f>
        <v/>
      </c>
      <c r="D117" s="95" t="str">
        <f ca="1">IFERROR(Prices!D116/Prices!D115-1,"")</f>
        <v/>
      </c>
      <c r="E117" s="95" t="str">
        <f ca="1">IFERROR(Prices!E116/Prices!E115-1,"")</f>
        <v/>
      </c>
      <c r="F117" s="95" t="str">
        <f ca="1">IFERROR(Prices!F116/Prices!F115-1,"")</f>
        <v/>
      </c>
      <c r="G117" s="95" t="str">
        <f ca="1">IFERROR(Prices!G116/Prices!G115-1,"")</f>
        <v/>
      </c>
      <c r="H117" s="95" t="str">
        <f ca="1">IFERROR(Prices!H116/Prices!H115-1,"")</f>
        <v/>
      </c>
      <c r="I117" s="93" t="str">
        <f ca="1">IFERROR(Prices!I116/Prices!I115-1,"")</f>
        <v/>
      </c>
      <c r="J117" s="94">
        <f t="shared" ca="1" si="3"/>
        <v>0</v>
      </c>
      <c r="K117" s="113"/>
      <c r="L117" s="113"/>
      <c r="M117" s="113"/>
    </row>
    <row r="118" spans="1:13" x14ac:dyDescent="0.3">
      <c r="A118" s="80" t="str">
        <f ca="1">Prices!$A$117</f>
        <v/>
      </c>
      <c r="B118" s="95" t="str">
        <f ca="1">IFERROR(Prices!B117/Prices!B116-1,"")</f>
        <v/>
      </c>
      <c r="C118" s="95" t="str">
        <f ca="1">IFERROR(Prices!C117/Prices!C116-1,"")</f>
        <v/>
      </c>
      <c r="D118" s="95" t="str">
        <f ca="1">IFERROR(Prices!D117/Prices!D116-1,"")</f>
        <v/>
      </c>
      <c r="E118" s="95" t="str">
        <f ca="1">IFERROR(Prices!E117/Prices!E116-1,"")</f>
        <v/>
      </c>
      <c r="F118" s="95" t="str">
        <f ca="1">IFERROR(Prices!F117/Prices!F116-1,"")</f>
        <v/>
      </c>
      <c r="G118" s="95" t="str">
        <f ca="1">IFERROR(Prices!G117/Prices!G116-1,"")</f>
        <v/>
      </c>
      <c r="H118" s="95" t="str">
        <f ca="1">IFERROR(Prices!H117/Prices!H116-1,"")</f>
        <v/>
      </c>
      <c r="I118" s="93" t="str">
        <f ca="1">IFERROR(Prices!I117/Prices!I116-1,"")</f>
        <v/>
      </c>
      <c r="J118" s="94">
        <f t="shared" ca="1" si="3"/>
        <v>0</v>
      </c>
      <c r="K118" s="113"/>
      <c r="L118" s="113"/>
      <c r="M118" s="113"/>
    </row>
    <row r="119" spans="1:13" x14ac:dyDescent="0.3">
      <c r="A119" s="80" t="str">
        <f ca="1">Prices!$A$118</f>
        <v/>
      </c>
      <c r="B119" s="95" t="str">
        <f ca="1">IFERROR(Prices!B118/Prices!B117-1,"")</f>
        <v/>
      </c>
      <c r="C119" s="95" t="str">
        <f ca="1">IFERROR(Prices!C118/Prices!C117-1,"")</f>
        <v/>
      </c>
      <c r="D119" s="95" t="str">
        <f ca="1">IFERROR(Prices!D118/Prices!D117-1,"")</f>
        <v/>
      </c>
      <c r="E119" s="95" t="str">
        <f ca="1">IFERROR(Prices!E118/Prices!E117-1,"")</f>
        <v/>
      </c>
      <c r="F119" s="95" t="str">
        <f ca="1">IFERROR(Prices!F118/Prices!F117-1,"")</f>
        <v/>
      </c>
      <c r="G119" s="95" t="str">
        <f ca="1">IFERROR(Prices!G118/Prices!G117-1,"")</f>
        <v/>
      </c>
      <c r="H119" s="95" t="str">
        <f ca="1">IFERROR(Prices!H118/Prices!H117-1,"")</f>
        <v/>
      </c>
      <c r="I119" s="93" t="str">
        <f ca="1">IFERROR(Prices!I118/Prices!I117-1,"")</f>
        <v/>
      </c>
      <c r="J119" s="94">
        <f t="shared" ca="1" si="3"/>
        <v>0</v>
      </c>
      <c r="K119" s="113"/>
      <c r="L119" s="113"/>
      <c r="M119" s="113"/>
    </row>
    <row r="120" spans="1:13" x14ac:dyDescent="0.3">
      <c r="A120" s="80" t="str">
        <f ca="1">Prices!$A$119</f>
        <v/>
      </c>
      <c r="B120" s="95" t="str">
        <f ca="1">IFERROR(Prices!B119/Prices!B118-1,"")</f>
        <v/>
      </c>
      <c r="C120" s="95" t="str">
        <f ca="1">IFERROR(Prices!C119/Prices!C118-1,"")</f>
        <v/>
      </c>
      <c r="D120" s="95" t="str">
        <f ca="1">IFERROR(Prices!D119/Prices!D118-1,"")</f>
        <v/>
      </c>
      <c r="E120" s="95" t="str">
        <f ca="1">IFERROR(Prices!E119/Prices!E118-1,"")</f>
        <v/>
      </c>
      <c r="F120" s="95" t="str">
        <f ca="1">IFERROR(Prices!F119/Prices!F118-1,"")</f>
        <v/>
      </c>
      <c r="G120" s="95" t="str">
        <f ca="1">IFERROR(Prices!G119/Prices!G118-1,"")</f>
        <v/>
      </c>
      <c r="H120" s="95" t="str">
        <f ca="1">IFERROR(Prices!H119/Prices!H118-1,"")</f>
        <v/>
      </c>
      <c r="I120" s="93" t="str">
        <f ca="1">IFERROR(Prices!I119/Prices!I118-1,"")</f>
        <v/>
      </c>
      <c r="J120" s="94">
        <f t="shared" ca="1" si="3"/>
        <v>0</v>
      </c>
      <c r="K120" s="113"/>
      <c r="L120" s="113"/>
      <c r="M120" s="113"/>
    </row>
    <row r="121" spans="1:13" x14ac:dyDescent="0.3">
      <c r="A121" s="80" t="str">
        <f ca="1">Prices!$A$120</f>
        <v/>
      </c>
      <c r="B121" s="95" t="str">
        <f ca="1">IFERROR(Prices!B120/Prices!B119-1,"")</f>
        <v/>
      </c>
      <c r="C121" s="95" t="str">
        <f ca="1">IFERROR(Prices!C120/Prices!C119-1,"")</f>
        <v/>
      </c>
      <c r="D121" s="95" t="str">
        <f ca="1">IFERROR(Prices!D120/Prices!D119-1,"")</f>
        <v/>
      </c>
      <c r="E121" s="95" t="str">
        <f ca="1">IFERROR(Prices!E120/Prices!E119-1,"")</f>
        <v/>
      </c>
      <c r="F121" s="95" t="str">
        <f ca="1">IFERROR(Prices!F120/Prices!F119-1,"")</f>
        <v/>
      </c>
      <c r="G121" s="95" t="str">
        <f ca="1">IFERROR(Prices!G120/Prices!G119-1,"")</f>
        <v/>
      </c>
      <c r="H121" s="95" t="str">
        <f ca="1">IFERROR(Prices!H120/Prices!H119-1,"")</f>
        <v/>
      </c>
      <c r="I121" s="93" t="str">
        <f ca="1">IFERROR(Prices!I120/Prices!I119-1,"")</f>
        <v/>
      </c>
      <c r="J121" s="94">
        <f t="shared" ca="1" si="3"/>
        <v>0</v>
      </c>
      <c r="K121" s="113"/>
      <c r="L121" s="113"/>
      <c r="M121" s="113"/>
    </row>
    <row r="122" spans="1:13" x14ac:dyDescent="0.3">
      <c r="A122" s="80" t="str">
        <f ca="1">Prices!$A$121</f>
        <v/>
      </c>
      <c r="B122" s="95" t="str">
        <f ca="1">IFERROR(Prices!B121/Prices!B120-1,"")</f>
        <v/>
      </c>
      <c r="C122" s="95" t="str">
        <f ca="1">IFERROR(Prices!C121/Prices!C120-1,"")</f>
        <v/>
      </c>
      <c r="D122" s="95" t="str">
        <f ca="1">IFERROR(Prices!D121/Prices!D120-1,"")</f>
        <v/>
      </c>
      <c r="E122" s="95" t="str">
        <f ca="1">IFERROR(Prices!E121/Prices!E120-1,"")</f>
        <v/>
      </c>
      <c r="F122" s="95" t="str">
        <f ca="1">IFERROR(Prices!F121/Prices!F120-1,"")</f>
        <v/>
      </c>
      <c r="G122" s="95" t="str">
        <f ca="1">IFERROR(Prices!G121/Prices!G120-1,"")</f>
        <v/>
      </c>
      <c r="H122" s="95" t="str">
        <f ca="1">IFERROR(Prices!H121/Prices!H120-1,"")</f>
        <v/>
      </c>
      <c r="I122" s="93" t="str">
        <f ca="1">IFERROR(Prices!I121/Prices!I120-1,"")</f>
        <v/>
      </c>
      <c r="J122" s="94">
        <f t="shared" ca="1" si="3"/>
        <v>0</v>
      </c>
      <c r="K122" s="113"/>
      <c r="L122" s="113"/>
      <c r="M122" s="113"/>
    </row>
    <row r="123" spans="1:13" x14ac:dyDescent="0.3">
      <c r="A123" s="80" t="str">
        <f ca="1">Prices!$A$122</f>
        <v/>
      </c>
      <c r="B123" s="95" t="str">
        <f ca="1">IFERROR(Prices!B122/Prices!B121-1,"")</f>
        <v/>
      </c>
      <c r="C123" s="95" t="str">
        <f ca="1">IFERROR(Prices!C122/Prices!C121-1,"")</f>
        <v/>
      </c>
      <c r="D123" s="95" t="str">
        <f ca="1">IFERROR(Prices!D122/Prices!D121-1,"")</f>
        <v/>
      </c>
      <c r="E123" s="95" t="str">
        <f ca="1">IFERROR(Prices!E122/Prices!E121-1,"")</f>
        <v/>
      </c>
      <c r="F123" s="95" t="str">
        <f ca="1">IFERROR(Prices!F122/Prices!F121-1,"")</f>
        <v/>
      </c>
      <c r="G123" s="95" t="str">
        <f ca="1">IFERROR(Prices!G122/Prices!G121-1,"")</f>
        <v/>
      </c>
      <c r="H123" s="95" t="str">
        <f ca="1">IFERROR(Prices!H122/Prices!H121-1,"")</f>
        <v/>
      </c>
      <c r="I123" s="93" t="str">
        <f ca="1">IFERROR(Prices!I122/Prices!I121-1,"")</f>
        <v/>
      </c>
      <c r="J123" s="94">
        <f t="shared" ca="1" si="3"/>
        <v>0</v>
      </c>
      <c r="K123" s="113"/>
      <c r="L123" s="113"/>
      <c r="M123" s="113"/>
    </row>
    <row r="124" spans="1:13" x14ac:dyDescent="0.3">
      <c r="A124" s="80" t="str">
        <f ca="1">Prices!$A$123</f>
        <v/>
      </c>
      <c r="B124" s="95" t="str">
        <f ca="1">IFERROR(Prices!B123/Prices!B122-1,"")</f>
        <v/>
      </c>
      <c r="C124" s="95" t="str">
        <f ca="1">IFERROR(Prices!C123/Prices!C122-1,"")</f>
        <v/>
      </c>
      <c r="D124" s="95" t="str">
        <f ca="1">IFERROR(Prices!D123/Prices!D122-1,"")</f>
        <v/>
      </c>
      <c r="E124" s="95" t="str">
        <f ca="1">IFERROR(Prices!E123/Prices!E122-1,"")</f>
        <v/>
      </c>
      <c r="F124" s="95" t="str">
        <f ca="1">IFERROR(Prices!F123/Prices!F122-1,"")</f>
        <v/>
      </c>
      <c r="G124" s="95" t="str">
        <f ca="1">IFERROR(Prices!G123/Prices!G122-1,"")</f>
        <v/>
      </c>
      <c r="H124" s="95" t="str">
        <f ca="1">IFERROR(Prices!H123/Prices!H122-1,"")</f>
        <v/>
      </c>
      <c r="I124" s="93" t="str">
        <f ca="1">IFERROR(Prices!I123/Prices!I122-1,"")</f>
        <v/>
      </c>
      <c r="J124" s="94">
        <f t="shared" ca="1" si="3"/>
        <v>0</v>
      </c>
      <c r="K124" s="113"/>
      <c r="L124" s="113"/>
      <c r="M124" s="113"/>
    </row>
    <row r="125" spans="1:13" x14ac:dyDescent="0.3">
      <c r="A125" s="80" t="str">
        <f ca="1">Prices!$A$124</f>
        <v/>
      </c>
      <c r="B125" s="95" t="str">
        <f ca="1">IFERROR(Prices!B124/Prices!B123-1,"")</f>
        <v/>
      </c>
      <c r="C125" s="95" t="str">
        <f ca="1">IFERROR(Prices!C124/Prices!C123-1,"")</f>
        <v/>
      </c>
      <c r="D125" s="95" t="str">
        <f ca="1">IFERROR(Prices!D124/Prices!D123-1,"")</f>
        <v/>
      </c>
      <c r="E125" s="95" t="str">
        <f ca="1">IFERROR(Prices!E124/Prices!E123-1,"")</f>
        <v/>
      </c>
      <c r="F125" s="95" t="str">
        <f ca="1">IFERROR(Prices!F124/Prices!F123-1,"")</f>
        <v/>
      </c>
      <c r="G125" s="95" t="str">
        <f ca="1">IFERROR(Prices!G124/Prices!G123-1,"")</f>
        <v/>
      </c>
      <c r="H125" s="95" t="str">
        <f ca="1">IFERROR(Prices!H124/Prices!H123-1,"")</f>
        <v/>
      </c>
      <c r="I125" s="93" t="str">
        <f ca="1">IFERROR(Prices!I124/Prices!I123-1,"")</f>
        <v/>
      </c>
      <c r="J125" s="94">
        <f t="shared" ca="1" si="3"/>
        <v>0</v>
      </c>
      <c r="K125" s="113"/>
      <c r="L125" s="113"/>
      <c r="M125" s="113"/>
    </row>
    <row r="126" spans="1:13" x14ac:dyDescent="0.3">
      <c r="A126" s="80" t="str">
        <f ca="1">Prices!$A$125</f>
        <v/>
      </c>
      <c r="B126" s="95" t="str">
        <f ca="1">IFERROR(Prices!B125/Prices!B124-1,"")</f>
        <v/>
      </c>
      <c r="C126" s="95" t="str">
        <f ca="1">IFERROR(Prices!C125/Prices!C124-1,"")</f>
        <v/>
      </c>
      <c r="D126" s="95" t="str">
        <f ca="1">IFERROR(Prices!D125/Prices!D124-1,"")</f>
        <v/>
      </c>
      <c r="E126" s="95" t="str">
        <f ca="1">IFERROR(Prices!E125/Prices!E124-1,"")</f>
        <v/>
      </c>
      <c r="F126" s="95" t="str">
        <f ca="1">IFERROR(Prices!F125/Prices!F124-1,"")</f>
        <v/>
      </c>
      <c r="G126" s="95" t="str">
        <f ca="1">IFERROR(Prices!G125/Prices!G124-1,"")</f>
        <v/>
      </c>
      <c r="H126" s="95" t="str">
        <f ca="1">IFERROR(Prices!H125/Prices!H124-1,"")</f>
        <v/>
      </c>
      <c r="I126" s="93" t="str">
        <f ca="1">IFERROR(Prices!I125/Prices!I124-1,"")</f>
        <v/>
      </c>
      <c r="J126" s="94">
        <f t="shared" ca="1" si="3"/>
        <v>0</v>
      </c>
      <c r="K126" s="113"/>
      <c r="L126" s="113"/>
      <c r="M126" s="113"/>
    </row>
    <row r="127" spans="1:13" x14ac:dyDescent="0.3">
      <c r="A127" s="80" t="str">
        <f ca="1">Prices!$A$126</f>
        <v/>
      </c>
      <c r="B127" s="95" t="str">
        <f ca="1">IFERROR(Prices!B126/Prices!B125-1,"")</f>
        <v/>
      </c>
      <c r="C127" s="95" t="str">
        <f ca="1">IFERROR(Prices!C126/Prices!C125-1,"")</f>
        <v/>
      </c>
      <c r="D127" s="95" t="str">
        <f ca="1">IFERROR(Prices!D126/Prices!D125-1,"")</f>
        <v/>
      </c>
      <c r="E127" s="95" t="str">
        <f ca="1">IFERROR(Prices!E126/Prices!E125-1,"")</f>
        <v/>
      </c>
      <c r="F127" s="95" t="str">
        <f ca="1">IFERROR(Prices!F126/Prices!F125-1,"")</f>
        <v/>
      </c>
      <c r="G127" s="95" t="str">
        <f ca="1">IFERROR(Prices!G126/Prices!G125-1,"")</f>
        <v/>
      </c>
      <c r="H127" s="95" t="str">
        <f ca="1">IFERROR(Prices!H126/Prices!H125-1,"")</f>
        <v/>
      </c>
      <c r="I127" s="93" t="str">
        <f ca="1">IFERROR(Prices!I126/Prices!I125-1,"")</f>
        <v/>
      </c>
      <c r="J127" s="94">
        <f t="shared" ca="1" si="3"/>
        <v>0</v>
      </c>
      <c r="K127" s="113"/>
      <c r="L127" s="113"/>
      <c r="M127" s="113"/>
    </row>
    <row r="128" spans="1:13" x14ac:dyDescent="0.3">
      <c r="A128" s="80" t="str">
        <f ca="1">Prices!$A$127</f>
        <v/>
      </c>
      <c r="B128" s="95" t="str">
        <f ca="1">IFERROR(Prices!B127/Prices!B126-1,"")</f>
        <v/>
      </c>
      <c r="C128" s="95" t="str">
        <f ca="1">IFERROR(Prices!C127/Prices!C126-1,"")</f>
        <v/>
      </c>
      <c r="D128" s="95" t="str">
        <f ca="1">IFERROR(Prices!D127/Prices!D126-1,"")</f>
        <v/>
      </c>
      <c r="E128" s="95" t="str">
        <f ca="1">IFERROR(Prices!E127/Prices!E126-1,"")</f>
        <v/>
      </c>
      <c r="F128" s="95" t="str">
        <f ca="1">IFERROR(Prices!F127/Prices!F126-1,"")</f>
        <v/>
      </c>
      <c r="G128" s="95" t="str">
        <f ca="1">IFERROR(Prices!G127/Prices!G126-1,"")</f>
        <v/>
      </c>
      <c r="H128" s="95" t="str">
        <f ca="1">IFERROR(Prices!H127/Prices!H126-1,"")</f>
        <v/>
      </c>
      <c r="I128" s="93" t="str">
        <f ca="1">IFERROR(Prices!I127/Prices!I126-1,"")</f>
        <v/>
      </c>
      <c r="J128" s="94">
        <f t="shared" ca="1" si="3"/>
        <v>0</v>
      </c>
      <c r="K128" s="113"/>
      <c r="L128" s="113"/>
      <c r="M128" s="113"/>
    </row>
    <row r="129" spans="1:13" x14ac:dyDescent="0.3">
      <c r="A129" s="80" t="str">
        <f ca="1">Prices!$A$128</f>
        <v/>
      </c>
      <c r="B129" s="95" t="str">
        <f ca="1">IFERROR(Prices!B128/Prices!B127-1,"")</f>
        <v/>
      </c>
      <c r="C129" s="95" t="str">
        <f ca="1">IFERROR(Prices!C128/Prices!C127-1,"")</f>
        <v/>
      </c>
      <c r="D129" s="95" t="str">
        <f ca="1">IFERROR(Prices!D128/Prices!D127-1,"")</f>
        <v/>
      </c>
      <c r="E129" s="95" t="str">
        <f ca="1">IFERROR(Prices!E128/Prices!E127-1,"")</f>
        <v/>
      </c>
      <c r="F129" s="95" t="str">
        <f ca="1">IFERROR(Prices!F128/Prices!F127-1,"")</f>
        <v/>
      </c>
      <c r="G129" s="95" t="str">
        <f ca="1">IFERROR(Prices!G128/Prices!G127-1,"")</f>
        <v/>
      </c>
      <c r="H129" s="95" t="str">
        <f ca="1">IFERROR(Prices!H128/Prices!H127-1,"")</f>
        <v/>
      </c>
      <c r="I129" s="93" t="str">
        <f ca="1">IFERROR(Prices!I128/Prices!I127-1,"")</f>
        <v/>
      </c>
      <c r="J129" s="94">
        <f t="shared" ca="1" si="3"/>
        <v>0</v>
      </c>
      <c r="K129" s="113"/>
      <c r="L129" s="113"/>
      <c r="M129" s="113"/>
    </row>
    <row r="130" spans="1:13" x14ac:dyDescent="0.3">
      <c r="A130" s="80" t="str">
        <f ca="1">Prices!$A$129</f>
        <v/>
      </c>
      <c r="B130" s="95" t="str">
        <f ca="1">IFERROR(Prices!B129/Prices!B128-1,"")</f>
        <v/>
      </c>
      <c r="C130" s="95" t="str">
        <f ca="1">IFERROR(Prices!C129/Prices!C128-1,"")</f>
        <v/>
      </c>
      <c r="D130" s="95" t="str">
        <f ca="1">IFERROR(Prices!D129/Prices!D128-1,"")</f>
        <v/>
      </c>
      <c r="E130" s="95" t="str">
        <f ca="1">IFERROR(Prices!E129/Prices!E128-1,"")</f>
        <v/>
      </c>
      <c r="F130" s="95" t="str">
        <f ca="1">IFERROR(Prices!F129/Prices!F128-1,"")</f>
        <v/>
      </c>
      <c r="G130" s="95" t="str">
        <f ca="1">IFERROR(Prices!G129/Prices!G128-1,"")</f>
        <v/>
      </c>
      <c r="H130" s="95" t="str">
        <f ca="1">IFERROR(Prices!H129/Prices!H128-1,"")</f>
        <v/>
      </c>
      <c r="I130" s="93" t="str">
        <f ca="1">IFERROR(Prices!I129/Prices!I128-1,"")</f>
        <v/>
      </c>
      <c r="J130" s="94">
        <f t="shared" ca="1" si="3"/>
        <v>0</v>
      </c>
      <c r="K130" s="113"/>
      <c r="L130" s="113"/>
      <c r="M130" s="113"/>
    </row>
    <row r="131" spans="1:13" x14ac:dyDescent="0.3">
      <c r="A131" s="80" t="str">
        <f ca="1">Prices!$A$130</f>
        <v/>
      </c>
      <c r="B131" s="95" t="str">
        <f ca="1">IFERROR(Prices!B130/Prices!B129-1,"")</f>
        <v/>
      </c>
      <c r="C131" s="95" t="str">
        <f ca="1">IFERROR(Prices!C130/Prices!C129-1,"")</f>
        <v/>
      </c>
      <c r="D131" s="95" t="str">
        <f ca="1">IFERROR(Prices!D130/Prices!D129-1,"")</f>
        <v/>
      </c>
      <c r="E131" s="95" t="str">
        <f ca="1">IFERROR(Prices!E130/Prices!E129-1,"")</f>
        <v/>
      </c>
      <c r="F131" s="95" t="str">
        <f ca="1">IFERROR(Prices!F130/Prices!F129-1,"")</f>
        <v/>
      </c>
      <c r="G131" s="95" t="str">
        <f ca="1">IFERROR(Prices!G130/Prices!G129-1,"")</f>
        <v/>
      </c>
      <c r="H131" s="95" t="str">
        <f ca="1">IFERROR(Prices!H130/Prices!H129-1,"")</f>
        <v/>
      </c>
      <c r="I131" s="93" t="str">
        <f ca="1">IFERROR(Prices!I130/Prices!I129-1,"")</f>
        <v/>
      </c>
      <c r="J131" s="94">
        <f t="shared" ca="1" si="3"/>
        <v>0</v>
      </c>
      <c r="K131" s="113"/>
      <c r="L131" s="113"/>
      <c r="M131" s="113"/>
    </row>
    <row r="132" spans="1:13" x14ac:dyDescent="0.3">
      <c r="A132" s="80" t="str">
        <f ca="1">Prices!$A$131</f>
        <v/>
      </c>
      <c r="B132" s="95" t="str">
        <f ca="1">IFERROR(Prices!B131/Prices!B130-1,"")</f>
        <v/>
      </c>
      <c r="C132" s="95" t="str">
        <f ca="1">IFERROR(Prices!C131/Prices!C130-1,"")</f>
        <v/>
      </c>
      <c r="D132" s="95" t="str">
        <f ca="1">IFERROR(Prices!D131/Prices!D130-1,"")</f>
        <v/>
      </c>
      <c r="E132" s="95" t="str">
        <f ca="1">IFERROR(Prices!E131/Prices!E130-1,"")</f>
        <v/>
      </c>
      <c r="F132" s="95" t="str">
        <f ca="1">IFERROR(Prices!F131/Prices!F130-1,"")</f>
        <v/>
      </c>
      <c r="G132" s="95" t="str">
        <f ca="1">IFERROR(Prices!G131/Prices!G130-1,"")</f>
        <v/>
      </c>
      <c r="H132" s="95" t="str">
        <f ca="1">IFERROR(Prices!H131/Prices!H130-1,"")</f>
        <v/>
      </c>
      <c r="I132" s="93" t="str">
        <f ca="1">IFERROR(Prices!I131/Prices!I130-1,"")</f>
        <v/>
      </c>
      <c r="J132" s="94">
        <f t="shared" ca="1" si="3"/>
        <v>0</v>
      </c>
      <c r="K132" s="113"/>
      <c r="L132" s="113"/>
      <c r="M132" s="113"/>
    </row>
    <row r="133" spans="1:13" x14ac:dyDescent="0.3">
      <c r="A133" s="80" t="str">
        <f ca="1">Prices!$A$132</f>
        <v/>
      </c>
      <c r="B133" s="95" t="str">
        <f ca="1">IFERROR(Prices!B132/Prices!B131-1,"")</f>
        <v/>
      </c>
      <c r="C133" s="95" t="str">
        <f ca="1">IFERROR(Prices!C132/Prices!C131-1,"")</f>
        <v/>
      </c>
      <c r="D133" s="95" t="str">
        <f ca="1">IFERROR(Prices!D132/Prices!D131-1,"")</f>
        <v/>
      </c>
      <c r="E133" s="95" t="str">
        <f ca="1">IFERROR(Prices!E132/Prices!E131-1,"")</f>
        <v/>
      </c>
      <c r="F133" s="95" t="str">
        <f ca="1">IFERROR(Prices!F132/Prices!F131-1,"")</f>
        <v/>
      </c>
      <c r="G133" s="95" t="str">
        <f ca="1">IFERROR(Prices!G132/Prices!G131-1,"")</f>
        <v/>
      </c>
      <c r="H133" s="95" t="str">
        <f ca="1">IFERROR(Prices!H132/Prices!H131-1,"")</f>
        <v/>
      </c>
      <c r="I133" s="93" t="str">
        <f ca="1">IFERROR(Prices!I132/Prices!I131-1,"")</f>
        <v/>
      </c>
      <c r="J133" s="94">
        <f t="shared" ca="1" si="3"/>
        <v>0</v>
      </c>
      <c r="K133" s="113"/>
      <c r="L133" s="113"/>
      <c r="M133" s="113"/>
    </row>
    <row r="134" spans="1:13" x14ac:dyDescent="0.3">
      <c r="A134" s="129" t="str">
        <f ca="1">Prices!$A$133</f>
        <v/>
      </c>
      <c r="B134" s="130" t="str">
        <f ca="1">IFERROR(Prices!B133/Prices!B132-1,"")</f>
        <v/>
      </c>
      <c r="C134" s="130" t="str">
        <f ca="1">IFERROR(Prices!C133/Prices!C132-1,"")</f>
        <v/>
      </c>
      <c r="D134" s="130" t="str">
        <f ca="1">IFERROR(Prices!D133/Prices!D132-1,"")</f>
        <v/>
      </c>
      <c r="E134" s="130" t="str">
        <f ca="1">IFERROR(Prices!E133/Prices!E132-1,"")</f>
        <v/>
      </c>
      <c r="F134" s="130" t="str">
        <f ca="1">IFERROR(Prices!F133/Prices!F132-1,"")</f>
        <v/>
      </c>
      <c r="G134" s="130" t="str">
        <f ca="1">IFERROR(Prices!G133/Prices!G132-1,"")</f>
        <v/>
      </c>
      <c r="H134" s="130" t="str">
        <f ca="1">IFERROR(Prices!H133/Prices!H132-1,"")</f>
        <v/>
      </c>
      <c r="I134" s="131" t="str">
        <f ca="1">IFERROR(Prices!I133/Prices!I132-1,"")</f>
        <v/>
      </c>
      <c r="J134" s="132">
        <f t="shared" ca="1" si="3"/>
        <v>0</v>
      </c>
      <c r="K134" s="113"/>
      <c r="L134" s="113"/>
      <c r="M134" s="113"/>
    </row>
    <row r="135" spans="1:13" x14ac:dyDescent="0.3">
      <c r="A135" s="214" t="s">
        <v>258</v>
      </c>
      <c r="B135" s="214"/>
      <c r="C135" s="214"/>
      <c r="D135" s="214"/>
      <c r="E135" s="214"/>
      <c r="F135" s="214"/>
      <c r="G135" s="214"/>
      <c r="H135" s="214"/>
      <c r="I135" s="214"/>
      <c r="J135" s="214"/>
    </row>
    <row r="136" spans="1:13" x14ac:dyDescent="0.3">
      <c r="A136" s="128" t="s">
        <v>259</v>
      </c>
      <c r="B136" s="128">
        <f ca="1">AVERAGE(RelRet)</f>
        <v>-6.8895330228276464E-4</v>
      </c>
      <c r="C136" s="128">
        <f ca="1">AVERAGE(AirRet)</f>
        <v>1.5662489364998656E-3</v>
      </c>
      <c r="D136" s="128">
        <f ca="1">AVERAGE(HdfRet)</f>
        <v>-1.1655070000019978E-3</v>
      </c>
      <c r="E136" s="128">
        <f ca="1">AVERAGE(LtRet)</f>
        <v>1.6254779665995623E-3</v>
      </c>
      <c r="F136" s="128">
        <f ca="1">AVERAGE(CipRet)</f>
        <v>-1.3343796645782279E-3</v>
      </c>
      <c r="G136" s="128">
        <f ca="1">AVERAGE(MarRet)</f>
        <v>9.0180635048366206E-4</v>
      </c>
      <c r="H136" s="128">
        <f ca="1">AVERAGE(HclRet)</f>
        <v>-2.4901645330348042E-3</v>
      </c>
      <c r="I136" s="128">
        <f ca="1">AVERAGE(BenchRet)</f>
        <v>-2.8069112445888191E-4</v>
      </c>
      <c r="J136" s="128">
        <f ca="1">AVERAGE(PortRet)</f>
        <v>-1.4680465939089724E-4</v>
      </c>
    </row>
    <row r="137" spans="1:13" x14ac:dyDescent="0.3">
      <c r="A137" s="128" t="s">
        <v>260</v>
      </c>
      <c r="B137" s="128">
        <f ca="1">_xlfn.STDEV.S(RelRet)</f>
        <v>2.9738495154242196E-2</v>
      </c>
      <c r="C137" s="128">
        <f ca="1">_xlfn.STDEV.S(AirRet)</f>
        <v>2.6743737881380278E-2</v>
      </c>
      <c r="D137" s="128">
        <f ca="1">_xlfn.STDEV.S(HdfRet)</f>
        <v>2.6042953715800052E-2</v>
      </c>
      <c r="E137" s="128">
        <f ca="1">_xlfn.STDEV.S(LtRet)</f>
        <v>3.5984863277089441E-2</v>
      </c>
      <c r="F137" s="128">
        <f ca="1">_xlfn.STDEV.S(CipRet)</f>
        <v>2.5993200761721739E-2</v>
      </c>
      <c r="G137" s="128">
        <f ca="1">_xlfn.STDEV.S(MarRet)</f>
        <v>3.3791048055604907E-2</v>
      </c>
      <c r="H137" s="128">
        <f ca="1">_xlfn.STDEV.S(HclRet)</f>
        <v>3.9590711489895347E-2</v>
      </c>
      <c r="I137" s="128">
        <f ca="1">_xlfn.STDEV.S(BenchRet)</f>
        <v>1.8883573951430359E-2</v>
      </c>
      <c r="J137" s="128">
        <f ca="1">_xlfn.STDEV.S(PortRet)</f>
        <v>1.9667496891032161E-2</v>
      </c>
    </row>
    <row r="138" spans="1:13" x14ac:dyDescent="0.3">
      <c r="A138" s="128" t="s">
        <v>261</v>
      </c>
      <c r="B138" s="128">
        <f ca="1">AVERAGE(RelRet)*WeeksPerYear</f>
        <v>-3.5825571718703764E-2</v>
      </c>
      <c r="C138" s="128">
        <f ca="1">AVERAGE(AirRet)*WeeksPerYear</f>
        <v>8.1444944697993016E-2</v>
      </c>
      <c r="D138" s="128">
        <f ca="1">AVERAGE(HdfRet)*WeeksPerYear</f>
        <v>-6.0606364000103885E-2</v>
      </c>
      <c r="E138" s="128">
        <f ca="1">AVERAGE(LtRet)*WeeksPerYear</f>
        <v>8.452485426317724E-2</v>
      </c>
      <c r="F138" s="128">
        <f ca="1">AVERAGE(CipRet)*WeeksPerYear</f>
        <v>-6.9387742558067844E-2</v>
      </c>
      <c r="G138" s="128">
        <f ca="1">AVERAGE(MarRet)*WeeksPerYear</f>
        <v>4.6893930225150426E-2</v>
      </c>
      <c r="H138" s="128">
        <f ca="1">AVERAGE(HclRet)*WeeksPerYear</f>
        <v>-0.12948855571780982</v>
      </c>
      <c r="I138" s="128">
        <f ca="1">AVERAGE(BenchRet)*WeeksPerYear</f>
        <v>-1.459593847186186E-2</v>
      </c>
      <c r="J138" s="128">
        <f ca="1">AVERAGE(PortRet)*WeeksPerYear</f>
        <v>-7.6338422883266569E-3</v>
      </c>
    </row>
    <row r="139" spans="1:13" x14ac:dyDescent="0.3">
      <c r="A139" s="128" t="s">
        <v>262</v>
      </c>
      <c r="B139" s="128">
        <f ca="1">_xlfn.STDEV.S(RelRet)*SQRT(WeeksPerYear)</f>
        <v>0.21444733826751522</v>
      </c>
      <c r="C139" s="128">
        <f ca="1">_xlfn.STDEV.S(AirRet)*SQRT(WeeksPerYear)</f>
        <v>0.19285183645777051</v>
      </c>
      <c r="D139" s="128">
        <f ca="1">_xlfn.STDEV.S(HdfRet)*SQRT(WeeksPerYear)</f>
        <v>0.18779840997370503</v>
      </c>
      <c r="E139" s="128">
        <f ca="1">_xlfn.STDEV.S(LtRet)*SQRT(WeeksPerYear)</f>
        <v>0.25949053937221417</v>
      </c>
      <c r="F139" s="128">
        <f ca="1">_xlfn.STDEV.S(CipRet)*SQRT(WeeksPerYear)</f>
        <v>0.1874396363196347</v>
      </c>
      <c r="G139" s="128">
        <f ca="1">_xlfn.STDEV.S(MarRet)*SQRT(WeeksPerYear)</f>
        <v>0.24367071283230243</v>
      </c>
      <c r="H139" s="128">
        <f ca="1">_xlfn.STDEV.S(HclRet)*SQRT(WeeksPerYear)</f>
        <v>0.28549268061783795</v>
      </c>
      <c r="I139" s="128">
        <f ca="1">_xlfn.STDEV.S(BenchRet)*SQRT(WeeksPerYear)</f>
        <v>0.13617138829179659</v>
      </c>
      <c r="J139" s="128">
        <f ca="1">_xlfn.STDEV.S(PortRet)*SQRT(WeeksPerYear)</f>
        <v>0.1418243370012901</v>
      </c>
    </row>
    <row r="140" spans="1:13" x14ac:dyDescent="0.3">
      <c r="A140" s="128" t="s">
        <v>263</v>
      </c>
      <c r="B140" s="128">
        <f ca="1">SLOPE(RelRet,BenchRet)</f>
        <v>0.20147550171893297</v>
      </c>
      <c r="C140" s="128">
        <f ca="1">SLOPE(AirRet,BenchRet)</f>
        <v>0.21867351308207619</v>
      </c>
      <c r="D140" s="128">
        <f ca="1">SLOPE(HdfRet,BenchRet)</f>
        <v>0.23044952639196511</v>
      </c>
      <c r="E140" s="128">
        <f ca="1">SLOPE(LtRet,BenchRet)</f>
        <v>0.56640664283814868</v>
      </c>
      <c r="F140" s="128">
        <f ca="1">SLOPE(CipRet,BenchRet)</f>
        <v>7.2294599543887048E-2</v>
      </c>
      <c r="G140" s="128">
        <f ca="1">SLOPE(MarRet,BenchRet)</f>
        <v>0.31007668617353729</v>
      </c>
      <c r="H140" s="128">
        <f ca="1">SLOPE(HclRet,BenchRet)</f>
        <v>0.46327060699245975</v>
      </c>
      <c r="I140" s="128">
        <f ca="1">SLOPE(BenchRet,BenchRet)</f>
        <v>1</v>
      </c>
      <c r="J140" s="128">
        <f ca="1">SLOPE(PortRet,BenchRet)</f>
        <v>0.28058366022921394</v>
      </c>
    </row>
    <row r="141" spans="1:13" x14ac:dyDescent="0.3">
      <c r="A141" s="128" t="s">
        <v>264</v>
      </c>
      <c r="B141" s="128">
        <f ca="1">CORREL(RelRet,BenchRet)</f>
        <v>0.1279344336819371</v>
      </c>
      <c r="C141" s="128">
        <f ca="1">CORREL(AirRet,BenchRet)</f>
        <v>0.15440390097374607</v>
      </c>
      <c r="D141" s="128">
        <f ca="1">CORREL(HdfRet,BenchRet)</f>
        <v>0.167097431465872</v>
      </c>
      <c r="E141" s="128">
        <f ca="1">CORREL(LtRet,BenchRet)</f>
        <v>0.29723002264191695</v>
      </c>
      <c r="F141" s="128">
        <f ca="1">CORREL(CipRet,BenchRet)</f>
        <v>5.2520673744282945E-2</v>
      </c>
      <c r="G141" s="128">
        <f ca="1">CORREL(MarRet,BenchRet)</f>
        <v>0.17328127924109263</v>
      </c>
      <c r="H141" s="128">
        <f ca="1">CORREL(HclRet,BenchRet)</f>
        <v>0.2209660912231631</v>
      </c>
      <c r="I141" s="128">
        <f ca="1">CORREL(BenchRet,BenchRet)</f>
        <v>1</v>
      </c>
      <c r="J141" s="128">
        <f ca="1">CORREL(PortRet,BenchRet)</f>
        <v>0.26939993059906386</v>
      </c>
    </row>
    <row r="142" spans="1:13" x14ac:dyDescent="0.3">
      <c r="A142" s="128" t="s">
        <v>265</v>
      </c>
      <c r="B142" s="128">
        <f ca="1">COUNTIF(RelRet,"&gt;0")/COUNT(RelRet)</f>
        <v>0.50961538461538458</v>
      </c>
      <c r="C142" s="128">
        <f ca="1">COUNTIF(AirRet,"&gt;0")/COUNT(AirRet)</f>
        <v>0.50961538461538458</v>
      </c>
      <c r="D142" s="128">
        <f ca="1">COUNTIF(HdfRet,"&gt;0")/COUNT(HdfRet)</f>
        <v>0.46153846153846156</v>
      </c>
      <c r="E142" s="128">
        <f ca="1">COUNTIF(LtRet,"&gt;0")/COUNT(LtRet)</f>
        <v>0.52884615384615385</v>
      </c>
      <c r="F142" s="128">
        <f ca="1">COUNTIF(CipRet,"&gt;0")/COUNT(CipRet)</f>
        <v>0.47115384615384615</v>
      </c>
      <c r="G142" s="128">
        <f ca="1">COUNTIF(MarRet,"&gt;0")/COUNT(MarRet)</f>
        <v>0.47115384615384615</v>
      </c>
      <c r="H142" s="128">
        <f ca="1">COUNTIF(HclRet,"&gt;0")/COUNT(HclRet)</f>
        <v>0.48076923076923078</v>
      </c>
      <c r="I142" s="128">
        <f ca="1">COUNTIF(BenchRet,"&gt;0")/COUNT(BenchRet)</f>
        <v>0.5</v>
      </c>
      <c r="J142" s="128">
        <f ca="1">COUNTIF(PortRet,"&gt;0")/COUNT(PortRet)</f>
        <v>0.49038461538461536</v>
      </c>
    </row>
  </sheetData>
  <mergeCells count="3">
    <mergeCell ref="A135:J135"/>
    <mergeCell ref="A1:J1"/>
    <mergeCell ref="A2:J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90"/>
  <sheetViews>
    <sheetView showGridLines="0" topLeftCell="A94" zoomScaleNormal="100" workbookViewId="0">
      <selection activeCell="G36" sqref="G36"/>
    </sheetView>
  </sheetViews>
  <sheetFormatPr defaultColWidth="8.6640625" defaultRowHeight="14.4" x14ac:dyDescent="0.3"/>
  <cols>
    <col min="1" max="1" width="40" customWidth="1"/>
    <col min="2" max="4" width="15" customWidth="1"/>
    <col min="5" max="5" width="13" customWidth="1"/>
    <col min="6" max="6" width="14" customWidth="1"/>
    <col min="7" max="7" width="13" customWidth="1"/>
    <col min="8" max="8" width="15" customWidth="1"/>
    <col min="9" max="9" width="2" customWidth="1"/>
    <col min="10" max="10" width="34" customWidth="1"/>
    <col min="11" max="11" width="54" customWidth="1"/>
  </cols>
  <sheetData>
    <row r="1" spans="1:13" ht="24" customHeight="1" x14ac:dyDescent="0.3">
      <c r="A1" s="195" t="s">
        <v>266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3"/>
      <c r="M1" s="3"/>
    </row>
    <row r="2" spans="1:13" ht="13.5" customHeight="1" x14ac:dyDescent="0.3">
      <c r="A2" s="193" t="s">
        <v>267</v>
      </c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3"/>
      <c r="M2" s="3"/>
    </row>
    <row r="3" spans="1:13" x14ac:dyDescent="0.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13" ht="16.5" customHeight="1" x14ac:dyDescent="0.3">
      <c r="A4" s="177" t="s">
        <v>268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3"/>
      <c r="M4" s="3"/>
    </row>
    <row r="5" spans="1:13" ht="27.75" customHeight="1" x14ac:dyDescent="0.3">
      <c r="A5" s="1" t="s">
        <v>269</v>
      </c>
      <c r="B5" s="1" t="s">
        <v>255</v>
      </c>
      <c r="C5" s="1" t="s">
        <v>17</v>
      </c>
      <c r="D5" s="1" t="s">
        <v>270</v>
      </c>
      <c r="E5" s="1"/>
      <c r="F5" s="1"/>
      <c r="G5" s="1"/>
      <c r="H5" s="1"/>
      <c r="I5" s="1"/>
      <c r="J5" s="1" t="s">
        <v>271</v>
      </c>
      <c r="K5" s="1" t="s">
        <v>272</v>
      </c>
      <c r="L5" s="3"/>
      <c r="M5" s="3"/>
    </row>
    <row r="6" spans="1:13" x14ac:dyDescent="0.3">
      <c r="A6" s="5" t="s">
        <v>273</v>
      </c>
      <c r="B6" s="45">
        <f ca="1">COUNT(PortRet)</f>
        <v>104</v>
      </c>
      <c r="C6" s="13">
        <f ca="1">COUNT(BenchRet)</f>
        <v>104</v>
      </c>
      <c r="D6" s="46" t="s">
        <v>274</v>
      </c>
      <c r="E6" s="3"/>
      <c r="F6" s="3"/>
      <c r="G6" s="3"/>
      <c r="H6" s="3"/>
      <c r="I6" s="3"/>
      <c r="J6" s="47" t="s">
        <v>275</v>
      </c>
      <c r="K6" s="12" t="s">
        <v>276</v>
      </c>
      <c r="L6" s="3"/>
      <c r="M6" s="3"/>
    </row>
    <row r="7" spans="1:13" x14ac:dyDescent="0.3">
      <c r="A7" s="5" t="s">
        <v>259</v>
      </c>
      <c r="B7" s="48">
        <f ca="1">AVERAGE(PortRet)</f>
        <v>-1.4680465939089724E-4</v>
      </c>
      <c r="C7" s="43">
        <f ca="1">AVERAGE(BenchRet)</f>
        <v>-2.8069112445888191E-4</v>
      </c>
      <c r="D7" s="43">
        <f t="shared" ref="D7:D15" ca="1" si="0">B7-C7</f>
        <v>1.3388646506798466E-4</v>
      </c>
      <c r="E7" s="3"/>
      <c r="F7" s="3"/>
      <c r="G7" s="3"/>
      <c r="H7" s="3"/>
      <c r="I7" s="3"/>
      <c r="J7" s="47" t="s">
        <v>277</v>
      </c>
      <c r="K7" s="12" t="s">
        <v>278</v>
      </c>
      <c r="L7" s="3"/>
      <c r="M7" s="3"/>
    </row>
    <row r="8" spans="1:13" x14ac:dyDescent="0.3">
      <c r="A8" s="5" t="s">
        <v>279</v>
      </c>
      <c r="B8" s="48">
        <f ca="1">_xlfn.STDEV.S(PortRet)</f>
        <v>1.9667496891032161E-2</v>
      </c>
      <c r="C8" s="43">
        <f ca="1">_xlfn.STDEV.S(BenchRet)</f>
        <v>1.8883573951430359E-2</v>
      </c>
      <c r="D8" s="43">
        <f t="shared" ca="1" si="0"/>
        <v>7.8392293960180201E-4</v>
      </c>
      <c r="E8" s="3"/>
      <c r="F8" s="3"/>
      <c r="G8" s="3"/>
      <c r="H8" s="3"/>
      <c r="I8" s="3"/>
      <c r="J8" s="47" t="s">
        <v>280</v>
      </c>
      <c r="K8" s="12" t="s">
        <v>281</v>
      </c>
      <c r="L8" s="3"/>
      <c r="M8" s="3"/>
    </row>
    <row r="9" spans="1:13" x14ac:dyDescent="0.3">
      <c r="A9" s="22" t="s">
        <v>282</v>
      </c>
      <c r="B9" s="48">
        <f ca="1">AVERAGE(PortRet)*WeeksPerYear</f>
        <v>-7.6338422883266569E-3</v>
      </c>
      <c r="C9" s="43">
        <f ca="1">AVERAGE(BenchRet)*WeeksPerYear</f>
        <v>-1.459593847186186E-2</v>
      </c>
      <c r="D9" s="43">
        <f t="shared" ca="1" si="0"/>
        <v>6.9620961835352027E-3</v>
      </c>
      <c r="E9" s="3"/>
      <c r="F9" s="3"/>
      <c r="G9" s="3"/>
      <c r="H9" s="3"/>
      <c r="I9" s="3"/>
      <c r="J9" s="47" t="s">
        <v>283</v>
      </c>
      <c r="K9" s="12" t="s">
        <v>284</v>
      </c>
      <c r="L9" s="3"/>
      <c r="M9" s="3"/>
    </row>
    <row r="10" spans="1:13" x14ac:dyDescent="0.3">
      <c r="A10" s="22" t="s">
        <v>285</v>
      </c>
      <c r="B10" s="48">
        <f ca="1">_xlfn.STDEV.S(PortRet)*SQRT(WeeksPerYear)</f>
        <v>0.1418243370012901</v>
      </c>
      <c r="C10" s="43">
        <f ca="1">_xlfn.STDEV.S(BenchRet)*SQRT(WeeksPerYear)</f>
        <v>0.13617138829179659</v>
      </c>
      <c r="D10" s="43">
        <f t="shared" ca="1" si="0"/>
        <v>5.6529487094935105E-3</v>
      </c>
      <c r="E10" s="3"/>
      <c r="F10" s="3"/>
      <c r="G10" s="3"/>
      <c r="H10" s="3"/>
      <c r="I10" s="3"/>
      <c r="J10" s="47" t="s">
        <v>286</v>
      </c>
      <c r="K10" s="12" t="s">
        <v>287</v>
      </c>
      <c r="L10" s="3"/>
      <c r="M10" s="3"/>
    </row>
    <row r="11" spans="1:13" x14ac:dyDescent="0.3">
      <c r="A11" s="5" t="s">
        <v>288</v>
      </c>
      <c r="B11" s="48">
        <f ca="1">Drawdown!$B$147</f>
        <v>-3.4623975052780587E-2</v>
      </c>
      <c r="C11" s="43">
        <f ca="1">Drawdown!$C$147</f>
        <v>-4.6408061383032662E-2</v>
      </c>
      <c r="D11" s="43">
        <f t="shared" ca="1" si="0"/>
        <v>1.1784086330252075E-2</v>
      </c>
      <c r="E11" s="3"/>
      <c r="F11" s="3"/>
      <c r="G11" s="3"/>
      <c r="H11" s="3"/>
      <c r="I11" s="3"/>
      <c r="J11" s="47" t="s">
        <v>289</v>
      </c>
      <c r="K11" s="12" t="s">
        <v>290</v>
      </c>
      <c r="L11" s="3"/>
      <c r="M11" s="3"/>
    </row>
    <row r="12" spans="1:13" x14ac:dyDescent="0.3">
      <c r="A12" s="5" t="s">
        <v>291</v>
      </c>
      <c r="B12" s="49">
        <f ca="1">Drawdown!$B$146</f>
        <v>96.537602494721938</v>
      </c>
      <c r="C12" s="42">
        <f ca="1">Drawdown!$C$146</f>
        <v>95.359193861696738</v>
      </c>
      <c r="D12" s="42">
        <f t="shared" ca="1" si="0"/>
        <v>1.1784086330251995</v>
      </c>
      <c r="E12" s="3"/>
      <c r="F12" s="3"/>
      <c r="G12" s="3"/>
      <c r="H12" s="3"/>
      <c r="I12" s="3"/>
      <c r="J12" s="47" t="s">
        <v>292</v>
      </c>
      <c r="K12" s="12" t="s">
        <v>293</v>
      </c>
      <c r="L12" s="3"/>
      <c r="M12" s="3"/>
    </row>
    <row r="13" spans="1:13" x14ac:dyDescent="0.3">
      <c r="A13" s="5" t="s">
        <v>294</v>
      </c>
      <c r="B13" s="48">
        <f ca="1">MAX(PortRet)</f>
        <v>5.4554696808246164E-2</v>
      </c>
      <c r="C13" s="43">
        <f ca="1">MAX(BenchRet)</f>
        <v>5.265645045682299E-2</v>
      </c>
      <c r="D13" s="43">
        <f t="shared" ca="1" si="0"/>
        <v>1.8982463514231745E-3</v>
      </c>
      <c r="E13" s="3"/>
      <c r="F13" s="3"/>
      <c r="G13" s="3"/>
      <c r="H13" s="3"/>
      <c r="I13" s="3"/>
      <c r="J13" s="47" t="s">
        <v>295</v>
      </c>
      <c r="K13" s="12" t="s">
        <v>296</v>
      </c>
      <c r="L13" s="3"/>
      <c r="M13" s="3"/>
    </row>
    <row r="14" spans="1:13" x14ac:dyDescent="0.3">
      <c r="A14" s="5" t="s">
        <v>297</v>
      </c>
      <c r="B14" s="48">
        <f ca="1">MIN(PortRet)</f>
        <v>-5.8302103969896858E-2</v>
      </c>
      <c r="C14" s="43">
        <f ca="1">MIN(BenchRet)</f>
        <v>-4.3344239251897676E-2</v>
      </c>
      <c r="D14" s="43">
        <f t="shared" ca="1" si="0"/>
        <v>-1.4957864717999182E-2</v>
      </c>
      <c r="E14" s="3"/>
      <c r="F14" s="3"/>
      <c r="G14" s="3"/>
      <c r="H14" s="3"/>
      <c r="I14" s="3"/>
      <c r="J14" s="47" t="s">
        <v>298</v>
      </c>
      <c r="K14" s="12" t="s">
        <v>299</v>
      </c>
      <c r="L14" s="3"/>
      <c r="M14" s="3"/>
    </row>
    <row r="15" spans="1:13" x14ac:dyDescent="0.3">
      <c r="A15" s="5" t="s">
        <v>265</v>
      </c>
      <c r="B15" s="50">
        <f ca="1">COUNTIF(PortRet,"&gt;0")/COUNT(PortRet)</f>
        <v>0.49038461538461536</v>
      </c>
      <c r="C15" s="51">
        <f ca="1">COUNTIF(BenchRet,"&gt;0")/COUNT(BenchRet)</f>
        <v>0.5</v>
      </c>
      <c r="D15" s="51">
        <f t="shared" ca="1" si="0"/>
        <v>-9.6153846153846367E-3</v>
      </c>
      <c r="E15" s="3"/>
      <c r="F15" s="3"/>
      <c r="G15" s="3"/>
      <c r="H15" s="3"/>
      <c r="I15" s="3"/>
      <c r="J15" s="47" t="s">
        <v>300</v>
      </c>
      <c r="K15" s="12" t="s">
        <v>301</v>
      </c>
      <c r="L15" s="3"/>
      <c r="M15" s="3"/>
    </row>
    <row r="16" spans="1:13" x14ac:dyDescent="0.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3" ht="16.5" customHeight="1" x14ac:dyDescent="0.3">
      <c r="A17" s="177" t="s">
        <v>302</v>
      </c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3"/>
      <c r="M17" s="3"/>
    </row>
    <row r="18" spans="1:13" ht="27.75" customHeight="1" x14ac:dyDescent="0.3">
      <c r="A18" s="1" t="s">
        <v>269</v>
      </c>
      <c r="B18" s="1" t="s">
        <v>255</v>
      </c>
      <c r="C18" s="1" t="s">
        <v>17</v>
      </c>
      <c r="D18" s="1" t="s">
        <v>270</v>
      </c>
      <c r="E18" s="1"/>
      <c r="F18" s="1"/>
      <c r="G18" s="1"/>
      <c r="H18" s="1"/>
      <c r="I18" s="1"/>
      <c r="J18" s="1" t="s">
        <v>271</v>
      </c>
      <c r="K18" s="1" t="s">
        <v>272</v>
      </c>
      <c r="L18" s="3"/>
      <c r="M18" s="3"/>
    </row>
    <row r="19" spans="1:13" x14ac:dyDescent="0.3">
      <c r="A19" s="5" t="s">
        <v>136</v>
      </c>
      <c r="B19" s="35">
        <f>RiskFree</f>
        <v>6.9500000000000006E-2</v>
      </c>
      <c r="C19" s="37">
        <f>RiskFree</f>
        <v>6.9500000000000006E-2</v>
      </c>
      <c r="D19" s="46" t="s">
        <v>274</v>
      </c>
      <c r="E19" s="3"/>
      <c r="F19" s="3"/>
      <c r="G19" s="3"/>
      <c r="H19" s="3"/>
      <c r="I19" s="3"/>
      <c r="J19" s="47" t="s">
        <v>303</v>
      </c>
      <c r="K19" s="12" t="s">
        <v>304</v>
      </c>
      <c r="L19" s="3"/>
      <c r="M19" s="3"/>
    </row>
    <row r="20" spans="1:13" x14ac:dyDescent="0.3">
      <c r="A20" s="5" t="s">
        <v>305</v>
      </c>
      <c r="B20" s="48">
        <f ca="1">B9-RiskFree</f>
        <v>-7.7133842288326662E-2</v>
      </c>
      <c r="C20" s="43">
        <f ca="1">C9-RiskFree</f>
        <v>-8.4095938471861864E-2</v>
      </c>
      <c r="D20" s="43">
        <f ca="1">B20-C20</f>
        <v>6.9620961835352019E-3</v>
      </c>
      <c r="E20" s="3"/>
      <c r="F20" s="3"/>
      <c r="G20" s="3"/>
      <c r="H20" s="3"/>
      <c r="I20" s="3"/>
      <c r="J20" s="47" t="s">
        <v>306</v>
      </c>
      <c r="K20" s="12" t="s">
        <v>307</v>
      </c>
      <c r="L20" s="3"/>
      <c r="M20" s="3"/>
    </row>
    <row r="21" spans="1:13" x14ac:dyDescent="0.3">
      <c r="A21" s="22" t="s">
        <v>308</v>
      </c>
      <c r="B21" s="52">
        <f ca="1">IFERROR((B9-RiskFree)/B10,"n.m.")</f>
        <v>-0.54386887271417328</v>
      </c>
      <c r="C21" s="53">
        <f ca="1">IFERROR((C9-RiskFree)/C10,"n.m.")</f>
        <v>-0.61757421677787272</v>
      </c>
      <c r="D21" s="53">
        <f ca="1">B21-C21</f>
        <v>7.3705344063699441E-2</v>
      </c>
      <c r="E21" s="3"/>
      <c r="F21" s="3"/>
      <c r="G21" s="3"/>
      <c r="H21" s="3"/>
      <c r="I21" s="3"/>
      <c r="J21" s="47" t="s">
        <v>309</v>
      </c>
      <c r="K21" s="12" t="s">
        <v>310</v>
      </c>
      <c r="L21" s="3"/>
      <c r="M21" s="3"/>
    </row>
    <row r="22" spans="1:13" x14ac:dyDescent="0.3">
      <c r="A22" s="5" t="s">
        <v>311</v>
      </c>
      <c r="B22" s="48">
        <f ca="1">SQRT(SUMPRODUCT((PortRet&lt;0)*(PortRet^2))/(COUNT(PortRet)-1))*SQRT(WeeksPerYear)</f>
        <v>0.10233381676762482</v>
      </c>
      <c r="C22" s="43">
        <f ca="1">SQRT(SUMPRODUCT((BenchRet&lt;0)*(BenchRet^2))/(COUNT(BenchRet)-1))*SQRT(WeeksPerYear)</f>
        <v>9.3637086478462833E-2</v>
      </c>
      <c r="D22" s="43">
        <f ca="1">B22-C22</f>
        <v>8.6967302891619858E-3</v>
      </c>
      <c r="E22" s="3"/>
      <c r="F22" s="3"/>
      <c r="G22" s="3"/>
      <c r="H22" s="3"/>
      <c r="I22" s="3"/>
      <c r="J22" s="47" t="s">
        <v>312</v>
      </c>
      <c r="K22" s="12" t="s">
        <v>313</v>
      </c>
      <c r="L22" s="3"/>
      <c r="M22" s="3"/>
    </row>
    <row r="23" spans="1:13" x14ac:dyDescent="0.3">
      <c r="A23" s="5" t="s">
        <v>314</v>
      </c>
      <c r="B23" s="52">
        <f ca="1">IFERROR((B9-RiskFree)/B22,"n.m.")</f>
        <v>-0.75374734105226271</v>
      </c>
      <c r="C23" s="53">
        <f ca="1">IFERROR((C9-RiskFree)/C22,"n.m.")</f>
        <v>-0.8981050311855282</v>
      </c>
      <c r="D23" s="53">
        <f ca="1">B23-C23</f>
        <v>0.14435769013326549</v>
      </c>
      <c r="E23" s="3"/>
      <c r="F23" s="3"/>
      <c r="G23" s="3"/>
      <c r="H23" s="3"/>
      <c r="I23" s="3"/>
      <c r="J23" s="47" t="s">
        <v>315</v>
      </c>
      <c r="K23" s="12" t="s">
        <v>316</v>
      </c>
      <c r="L23" s="3"/>
      <c r="M23" s="3"/>
    </row>
    <row r="24" spans="1:13" x14ac:dyDescent="0.3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ht="16.5" customHeight="1" x14ac:dyDescent="0.3">
      <c r="A25" s="177" t="s">
        <v>317</v>
      </c>
      <c r="B25" s="136"/>
      <c r="C25" s="136"/>
      <c r="D25" s="136"/>
      <c r="E25" s="136"/>
      <c r="F25" s="136"/>
      <c r="G25" s="136"/>
      <c r="H25" s="136"/>
      <c r="I25" s="136"/>
      <c r="J25" s="136"/>
      <c r="K25" s="136"/>
      <c r="L25" s="3"/>
      <c r="M25" s="3"/>
    </row>
    <row r="26" spans="1:13" ht="27.75" customHeight="1" x14ac:dyDescent="0.3">
      <c r="A26" s="1" t="s">
        <v>269</v>
      </c>
      <c r="B26" s="1" t="s">
        <v>255</v>
      </c>
      <c r="C26" s="1" t="s">
        <v>17</v>
      </c>
      <c r="D26" s="1" t="s">
        <v>270</v>
      </c>
      <c r="E26" s="1"/>
      <c r="F26" s="1"/>
      <c r="G26" s="1"/>
      <c r="H26" s="1"/>
      <c r="I26" s="1"/>
      <c r="J26" s="1" t="s">
        <v>271</v>
      </c>
      <c r="K26" s="1" t="s">
        <v>272</v>
      </c>
      <c r="L26" s="3"/>
      <c r="M26" s="3"/>
    </row>
    <row r="27" spans="1:13" x14ac:dyDescent="0.3">
      <c r="A27" s="22" t="s">
        <v>318</v>
      </c>
      <c r="B27" s="52">
        <f ca="1">SLOPE(PortRet,BenchRet)</f>
        <v>0.28058366022921394</v>
      </c>
      <c r="C27" s="53">
        <v>1</v>
      </c>
      <c r="D27" s="46" t="s">
        <v>274</v>
      </c>
      <c r="E27" s="3"/>
      <c r="F27" s="3"/>
      <c r="G27" s="3"/>
      <c r="H27" s="3"/>
      <c r="I27" s="3"/>
      <c r="J27" s="47" t="s">
        <v>319</v>
      </c>
      <c r="K27" s="12" t="s">
        <v>320</v>
      </c>
      <c r="L27" s="3"/>
      <c r="M27" s="3"/>
    </row>
    <row r="28" spans="1:13" x14ac:dyDescent="0.3">
      <c r="A28" s="5" t="s">
        <v>264</v>
      </c>
      <c r="B28" s="52">
        <f ca="1">CORREL(PortRet,BenchRet)</f>
        <v>0.26939993059906386</v>
      </c>
      <c r="C28" s="53">
        <v>1</v>
      </c>
      <c r="D28" s="46" t="s">
        <v>274</v>
      </c>
      <c r="E28" s="3"/>
      <c r="F28" s="3"/>
      <c r="G28" s="3"/>
      <c r="H28" s="3"/>
      <c r="I28" s="3"/>
      <c r="J28" s="47" t="s">
        <v>321</v>
      </c>
      <c r="K28" s="12" t="s">
        <v>322</v>
      </c>
      <c r="L28" s="3"/>
      <c r="M28" s="3"/>
    </row>
    <row r="29" spans="1:13" x14ac:dyDescent="0.3">
      <c r="A29" s="5" t="s">
        <v>323</v>
      </c>
      <c r="B29" s="50">
        <f ca="1">RSQ(PortRet,BenchRet)</f>
        <v>7.2576322606780458E-2</v>
      </c>
      <c r="C29" s="51">
        <v>1</v>
      </c>
      <c r="D29" s="46" t="s">
        <v>274</v>
      </c>
      <c r="E29" s="3"/>
      <c r="F29" s="3"/>
      <c r="G29" s="3"/>
      <c r="H29" s="3"/>
      <c r="I29" s="3"/>
      <c r="J29" s="47" t="s">
        <v>324</v>
      </c>
      <c r="K29" s="12" t="s">
        <v>325</v>
      </c>
      <c r="L29" s="3"/>
      <c r="M29" s="3"/>
    </row>
    <row r="30" spans="1:13" x14ac:dyDescent="0.3">
      <c r="A30" s="5" t="s">
        <v>326</v>
      </c>
      <c r="B30" s="48">
        <f ca="1">INTERCEPT(PortRet,BenchRet)</f>
        <v>-6.8047316296370315E-5</v>
      </c>
      <c r="C30" s="43" t="s">
        <v>274</v>
      </c>
      <c r="D30" s="46" t="s">
        <v>274</v>
      </c>
      <c r="E30" s="3"/>
      <c r="F30" s="3"/>
      <c r="G30" s="3"/>
      <c r="H30" s="3"/>
      <c r="I30" s="3"/>
      <c r="J30" s="47" t="s">
        <v>327</v>
      </c>
      <c r="K30" s="12" t="s">
        <v>328</v>
      </c>
      <c r="L30" s="3"/>
      <c r="M30" s="3"/>
    </row>
    <row r="31" spans="1:13" x14ac:dyDescent="0.3">
      <c r="A31" s="5" t="s">
        <v>329</v>
      </c>
      <c r="B31" s="48">
        <f ca="1">B9-C9</f>
        <v>6.9620961835352027E-3</v>
      </c>
      <c r="C31" s="43" t="s">
        <v>274</v>
      </c>
      <c r="D31" s="46" t="s">
        <v>274</v>
      </c>
      <c r="E31" s="3"/>
      <c r="F31" s="3"/>
      <c r="G31" s="3"/>
      <c r="H31" s="3"/>
      <c r="I31" s="3"/>
      <c r="J31" s="47" t="s">
        <v>330</v>
      </c>
      <c r="K31" s="12" t="s">
        <v>331</v>
      </c>
      <c r="L31" s="3"/>
      <c r="M31" s="3"/>
    </row>
    <row r="32" spans="1:13" x14ac:dyDescent="0.3">
      <c r="A32" s="5" t="s">
        <v>332</v>
      </c>
      <c r="B32" s="48">
        <f ca="1">RiskFree+B27*(C9-RiskFree)</f>
        <v>4.5904053773154235E-2</v>
      </c>
      <c r="C32" s="43" t="s">
        <v>274</v>
      </c>
      <c r="D32" s="46" t="s">
        <v>274</v>
      </c>
      <c r="E32" s="3"/>
      <c r="F32" s="3"/>
      <c r="G32" s="3"/>
      <c r="H32" s="3"/>
      <c r="I32" s="3"/>
      <c r="J32" s="47" t="s">
        <v>333</v>
      </c>
      <c r="K32" s="12" t="s">
        <v>334</v>
      </c>
      <c r="L32" s="3"/>
      <c r="M32" s="3"/>
    </row>
    <row r="33" spans="1:13" x14ac:dyDescent="0.3">
      <c r="A33" s="22" t="s">
        <v>335</v>
      </c>
      <c r="B33" s="48">
        <f ca="1">B9-(RiskFree+B27*(C9-RiskFree))</f>
        <v>-5.3537896061480891E-2</v>
      </c>
      <c r="C33" s="43" t="s">
        <v>274</v>
      </c>
      <c r="D33" s="46" t="s">
        <v>274</v>
      </c>
      <c r="E33" s="3"/>
      <c r="F33" s="3"/>
      <c r="G33" s="3"/>
      <c r="H33" s="3"/>
      <c r="I33" s="3"/>
      <c r="J33" s="47" t="s">
        <v>336</v>
      </c>
      <c r="K33" s="12" t="s">
        <v>337</v>
      </c>
      <c r="L33" s="3"/>
      <c r="M33" s="3"/>
    </row>
    <row r="34" spans="1:13" x14ac:dyDescent="0.3">
      <c r="A34" s="5" t="s">
        <v>338</v>
      </c>
      <c r="B34" s="52">
        <f ca="1">IFERROR((B9-RiskFree)/B27,"n.m.")</f>
        <v>-0.27490496854062924</v>
      </c>
      <c r="C34" s="53">
        <f ca="1">IFERROR((C9-RiskFree)/1,"n.m.")</f>
        <v>-8.4095938471861864E-2</v>
      </c>
      <c r="D34" s="46" t="s">
        <v>274</v>
      </c>
      <c r="E34" s="3"/>
      <c r="F34" s="3"/>
      <c r="G34" s="3"/>
      <c r="H34" s="3"/>
      <c r="I34" s="3"/>
      <c r="J34" s="47" t="s">
        <v>339</v>
      </c>
      <c r="K34" s="12" t="s">
        <v>340</v>
      </c>
      <c r="L34" s="3"/>
      <c r="M34" s="3"/>
    </row>
    <row r="35" spans="1:13" x14ac:dyDescent="0.3">
      <c r="A35" s="22" t="s">
        <v>341</v>
      </c>
      <c r="B35" s="48">
        <f ca="1">Drawdown!$B$140</f>
        <v>-0.17991189250061801</v>
      </c>
      <c r="C35" s="43">
        <f ca="1">Drawdown!$C$140</f>
        <v>-0.14928973284085856</v>
      </c>
      <c r="D35" s="43">
        <f ca="1">B35-C35</f>
        <v>-3.0622159659759451E-2</v>
      </c>
      <c r="E35" s="3"/>
      <c r="F35" s="3"/>
      <c r="G35" s="3"/>
      <c r="H35" s="3"/>
      <c r="I35" s="3"/>
      <c r="J35" s="47" t="s">
        <v>342</v>
      </c>
      <c r="K35" s="12" t="s">
        <v>343</v>
      </c>
      <c r="L35" s="3"/>
      <c r="M35" s="3"/>
    </row>
    <row r="36" spans="1:13" x14ac:dyDescent="0.3">
      <c r="A36" s="5" t="s">
        <v>344</v>
      </c>
      <c r="B36" s="50">
        <f ca="1">IFERROR(AVERAGEIF(BenchRet,"&gt;0",PortRet)/AVERAGEIF(BenchRet,"&gt;0",BenchRet),"n.m.")</f>
        <v>0.19929122564280932</v>
      </c>
      <c r="C36" s="51" t="s">
        <v>274</v>
      </c>
      <c r="D36" s="46" t="s">
        <v>274</v>
      </c>
      <c r="E36" s="3"/>
      <c r="F36" s="3"/>
      <c r="G36" s="3"/>
      <c r="H36" s="3"/>
      <c r="I36" s="3"/>
      <c r="J36" s="47" t="s">
        <v>345</v>
      </c>
      <c r="K36" s="12" t="s">
        <v>346</v>
      </c>
      <c r="L36" s="3"/>
      <c r="M36" s="3"/>
    </row>
    <row r="37" spans="1:13" x14ac:dyDescent="0.3">
      <c r="A37" s="5" t="s">
        <v>347</v>
      </c>
      <c r="B37" s="50">
        <f ca="1">IFERROR(AVERAGEIF(BenchRet,"&lt;0",PortRet)/AVERAGEIF(BenchRet,"&lt;0",BenchRet),"n.m.")</f>
        <v>0.211436395848838</v>
      </c>
      <c r="C37" s="51" t="s">
        <v>274</v>
      </c>
      <c r="D37" s="46" t="s">
        <v>274</v>
      </c>
      <c r="E37" s="3"/>
      <c r="F37" s="3"/>
      <c r="G37" s="3"/>
      <c r="H37" s="3"/>
      <c r="I37" s="3"/>
      <c r="J37" s="47" t="s">
        <v>348</v>
      </c>
      <c r="K37" s="12" t="s">
        <v>349</v>
      </c>
      <c r="L37" s="3"/>
      <c r="M37" s="3"/>
    </row>
    <row r="38" spans="1:13" x14ac:dyDescent="0.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ht="16.5" customHeight="1" x14ac:dyDescent="0.3">
      <c r="A39" s="177" t="s">
        <v>350</v>
      </c>
      <c r="B39" s="136"/>
      <c r="C39" s="136"/>
      <c r="D39" s="136"/>
      <c r="E39" s="136"/>
      <c r="F39" s="136"/>
      <c r="G39" s="136"/>
      <c r="H39" s="136"/>
      <c r="I39" s="136"/>
      <c r="J39" s="136"/>
      <c r="K39" s="136"/>
      <c r="L39" s="3"/>
      <c r="M39" s="3"/>
    </row>
    <row r="40" spans="1:13" ht="27.75" customHeight="1" x14ac:dyDescent="0.3">
      <c r="A40" s="1" t="s">
        <v>351</v>
      </c>
      <c r="B40" s="1" t="s">
        <v>37</v>
      </c>
      <c r="C40" s="1" t="s">
        <v>193</v>
      </c>
      <c r="D40" s="1" t="s">
        <v>352</v>
      </c>
      <c r="E40" s="1" t="s">
        <v>353</v>
      </c>
      <c r="F40" s="1" t="s">
        <v>354</v>
      </c>
      <c r="G40" s="1" t="s">
        <v>355</v>
      </c>
      <c r="H40" s="1" t="s">
        <v>356</v>
      </c>
      <c r="I40" s="3"/>
      <c r="J40" s="3"/>
      <c r="K40" s="3"/>
      <c r="L40" s="3"/>
      <c r="M40" s="3"/>
    </row>
    <row r="41" spans="1:13" x14ac:dyDescent="0.3">
      <c r="A41" s="24" t="s">
        <v>10</v>
      </c>
      <c r="B41" s="54">
        <f>Holdings!$E$7</f>
        <v>0.23</v>
      </c>
      <c r="C41" s="55">
        <f ca="1">Returns!B$138</f>
        <v>-3.5825571718703764E-2</v>
      </c>
      <c r="D41" s="55">
        <f ca="1">Returns!B$139</f>
        <v>0.21444733826751522</v>
      </c>
      <c r="E41" s="53">
        <f ca="1">SLOPE(RelRet,BenchRet)</f>
        <v>0.20147550171893297</v>
      </c>
      <c r="F41" s="53">
        <f ca="1">CORREL(RelRet,BenchRet)</f>
        <v>0.1279344336819371</v>
      </c>
      <c r="G41" s="53">
        <f t="shared" ref="G41:G47" ca="1" si="1">IFERROR(($C41-RiskFree)/$D41,"n.m.")</f>
        <v>-0.49114888797227207</v>
      </c>
      <c r="H41" s="55">
        <f ca="1">Holdings!$G$7</f>
        <v>-0.11077158135981668</v>
      </c>
      <c r="I41" s="3"/>
      <c r="J41" s="3"/>
      <c r="K41" s="3"/>
      <c r="L41" s="3"/>
      <c r="M41" s="3"/>
    </row>
    <row r="42" spans="1:13" x14ac:dyDescent="0.3">
      <c r="A42" s="24" t="s">
        <v>11</v>
      </c>
      <c r="B42" s="54">
        <f>Holdings!$E$8</f>
        <v>0.15</v>
      </c>
      <c r="C42" s="55">
        <f ca="1">Returns!C$138</f>
        <v>8.1444944697993016E-2</v>
      </c>
      <c r="D42" s="55">
        <f ca="1">Returns!C$139</f>
        <v>0.19285183645777051</v>
      </c>
      <c r="E42" s="53">
        <f ca="1">SLOPE(AirRet,BenchRet)</f>
        <v>0.21867351308207619</v>
      </c>
      <c r="F42" s="53">
        <f ca="1">CORREL(AirRet,BenchRet)</f>
        <v>0.15440390097374607</v>
      </c>
      <c r="G42" s="53">
        <f t="shared" ca="1" si="1"/>
        <v>6.1938454501617557E-2</v>
      </c>
      <c r="H42" s="55">
        <f ca="1">Holdings!$G$8</f>
        <v>0.13432653186087062</v>
      </c>
      <c r="I42" s="3"/>
      <c r="J42" s="3"/>
      <c r="K42" s="3"/>
      <c r="L42" s="3"/>
      <c r="M42" s="3"/>
    </row>
    <row r="43" spans="1:13" x14ac:dyDescent="0.3">
      <c r="A43" s="24" t="s">
        <v>12</v>
      </c>
      <c r="B43" s="54">
        <f>Holdings!$E$9</f>
        <v>0.15</v>
      </c>
      <c r="C43" s="55">
        <f ca="1">Returns!D$138</f>
        <v>-6.0606364000103885E-2</v>
      </c>
      <c r="D43" s="55">
        <f ca="1">Returns!D$139</f>
        <v>0.18779840997370503</v>
      </c>
      <c r="E43" s="53">
        <f ca="1">SLOPE(HdfRet,BenchRet)</f>
        <v>0.23044952639196511</v>
      </c>
      <c r="F43" s="53">
        <f ca="1">CORREL(HdfRet,BenchRet)</f>
        <v>0.167097431465872</v>
      </c>
      <c r="G43" s="53">
        <f t="shared" ca="1" si="1"/>
        <v>-0.69279800621486087</v>
      </c>
      <c r="H43" s="55">
        <f ca="1">Holdings!$G$9</f>
        <v>-0.14491258491300862</v>
      </c>
      <c r="I43" s="3"/>
      <c r="J43" s="3"/>
      <c r="K43" s="3"/>
      <c r="L43" s="3"/>
      <c r="M43" s="3"/>
    </row>
    <row r="44" spans="1:13" x14ac:dyDescent="0.3">
      <c r="A44" s="24" t="s">
        <v>13</v>
      </c>
      <c r="B44" s="54">
        <f>Holdings!$E$10</f>
        <v>0.14000000000000001</v>
      </c>
      <c r="C44" s="55">
        <f ca="1">Returns!E$138</f>
        <v>8.452485426317724E-2</v>
      </c>
      <c r="D44" s="55">
        <f ca="1">Returns!E$139</f>
        <v>0.25949053937221417</v>
      </c>
      <c r="E44" s="53">
        <f ca="1">SLOPE(LtRet,BenchRet)</f>
        <v>0.56640664283814868</v>
      </c>
      <c r="F44" s="53">
        <f ca="1">CORREL(LtRet,BenchRet)</f>
        <v>0.29723002264191695</v>
      </c>
      <c r="G44" s="53">
        <f t="shared" ca="1" si="1"/>
        <v>5.7901356633374326E-2</v>
      </c>
      <c r="H44" s="55">
        <f ca="1">Holdings!$G$10</f>
        <v>0.10683642402435645</v>
      </c>
      <c r="I44" s="3"/>
      <c r="J44" s="3"/>
      <c r="K44" s="3"/>
      <c r="L44" s="3"/>
      <c r="M44" s="3"/>
    </row>
    <row r="45" spans="1:13" x14ac:dyDescent="0.3">
      <c r="A45" s="24" t="s">
        <v>14</v>
      </c>
      <c r="B45" s="54">
        <f>Holdings!$E$11</f>
        <v>0.12</v>
      </c>
      <c r="C45" s="55">
        <f ca="1">Returns!F$138</f>
        <v>-6.9387742558067844E-2</v>
      </c>
      <c r="D45" s="55">
        <f ca="1">Returns!F$139</f>
        <v>0.1874396363196347</v>
      </c>
      <c r="E45" s="53">
        <f ca="1">SLOPE(CipRet,BenchRet)</f>
        <v>7.2294599543887048E-2</v>
      </c>
      <c r="F45" s="53">
        <f ca="1">CORREL(CipRet,BenchRet)</f>
        <v>5.2520673744282945E-2</v>
      </c>
      <c r="G45" s="53">
        <f t="shared" ca="1" si="1"/>
        <v>-0.74097317560532983</v>
      </c>
      <c r="H45" s="55">
        <f ca="1">Holdings!$G$11</f>
        <v>-0.15948665421461716</v>
      </c>
      <c r="I45" s="3"/>
      <c r="J45" s="3"/>
      <c r="K45" s="3"/>
      <c r="L45" s="3"/>
      <c r="M45" s="3"/>
    </row>
    <row r="46" spans="1:13" x14ac:dyDescent="0.3">
      <c r="A46" s="24" t="s">
        <v>15</v>
      </c>
      <c r="B46" s="54">
        <f>Holdings!$E$12</f>
        <v>0.12</v>
      </c>
      <c r="C46" s="55">
        <f ca="1">Returns!G$138</f>
        <v>4.6893930225150426E-2</v>
      </c>
      <c r="D46" s="55">
        <f ca="1">Returns!G$139</f>
        <v>0.24367071283230243</v>
      </c>
      <c r="E46" s="53">
        <f ca="1">SLOPE(MarRet,BenchRet)</f>
        <v>0.31007668617353729</v>
      </c>
      <c r="F46" s="53">
        <f ca="1">CORREL(MarRet,BenchRet)</f>
        <v>0.17328127924109263</v>
      </c>
      <c r="G46" s="53">
        <f t="shared" ca="1" si="1"/>
        <v>-9.2773027632612498E-2</v>
      </c>
      <c r="H46" s="55">
        <f ca="1">Holdings!$G$12</f>
        <v>3.6046459700959321E-2</v>
      </c>
      <c r="I46" s="3"/>
      <c r="J46" s="3"/>
      <c r="K46" s="3"/>
      <c r="L46" s="3"/>
      <c r="M46" s="3"/>
    </row>
    <row r="47" spans="1:13" x14ac:dyDescent="0.3">
      <c r="A47" s="24" t="s">
        <v>16</v>
      </c>
      <c r="B47" s="54">
        <f>Holdings!$E$13</f>
        <v>0.09</v>
      </c>
      <c r="C47" s="55">
        <f ca="1">Returns!H$138</f>
        <v>-0.12948855571780982</v>
      </c>
      <c r="D47" s="55">
        <f ca="1">Returns!H$139</f>
        <v>0.28549268061783795</v>
      </c>
      <c r="E47" s="53">
        <f ca="1">SLOPE(HclRet,BenchRet)</f>
        <v>0.46327060699245975</v>
      </c>
      <c r="F47" s="53">
        <f ca="1">CORREL(HclRet,BenchRet)</f>
        <v>0.2209660912231631</v>
      </c>
      <c r="G47" s="53">
        <f t="shared" ca="1" si="1"/>
        <v>-0.69700055107254044</v>
      </c>
      <c r="H47" s="55">
        <f ca="1">Holdings!$G$13</f>
        <v>-0.28998684970187261</v>
      </c>
      <c r="I47" s="3"/>
      <c r="J47" s="3"/>
      <c r="K47" s="3"/>
      <c r="L47" s="3"/>
      <c r="M47" s="3"/>
    </row>
    <row r="48" spans="1:13" x14ac:dyDescent="0.3">
      <c r="A48" s="38" t="s">
        <v>357</v>
      </c>
      <c r="B48" s="30">
        <f>SUM(B41:B47)</f>
        <v>1</v>
      </c>
      <c r="C48" s="33">
        <f ca="1">B9</f>
        <v>-7.6338422883266569E-3</v>
      </c>
      <c r="D48" s="33">
        <f ca="1">B10</f>
        <v>0.1418243370012901</v>
      </c>
      <c r="E48" s="56">
        <f ca="1">B27</f>
        <v>0.28058366022921394</v>
      </c>
      <c r="F48" s="56">
        <f ca="1">B28</f>
        <v>0.26939993059906386</v>
      </c>
      <c r="G48" s="56">
        <f ca="1">B21</f>
        <v>-0.54386887271417328</v>
      </c>
      <c r="H48" s="33">
        <f ca="1">B11</f>
        <v>-3.4623975052780587E-2</v>
      </c>
      <c r="I48" s="3"/>
      <c r="J48" s="3"/>
      <c r="K48" s="3"/>
      <c r="L48" s="3"/>
      <c r="M48" s="3"/>
    </row>
    <row r="49" spans="1:13" x14ac:dyDescent="0.3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</row>
    <row r="50" spans="1:13" ht="16.5" customHeight="1" x14ac:dyDescent="0.3">
      <c r="A50" s="177" t="s">
        <v>358</v>
      </c>
      <c r="B50" s="136"/>
      <c r="C50" s="136"/>
      <c r="D50" s="136"/>
      <c r="E50" s="136"/>
      <c r="F50" s="136"/>
      <c r="G50" s="136"/>
      <c r="H50" s="136"/>
      <c r="I50" s="136"/>
      <c r="J50" s="136"/>
      <c r="K50" s="136"/>
      <c r="L50" s="3"/>
      <c r="M50" s="3"/>
    </row>
    <row r="51" spans="1:13" ht="30" customHeight="1" x14ac:dyDescent="0.3">
      <c r="A51" s="175" t="str">
        <f ca="1">"BETA — The portfolio's beta of "&amp;TEXT(B27,"0.00")&amp;" means that for a 1% move in the NIFTY 50, the portfolio moved about "&amp;TEXT(B27,"0.00")&amp;"% on average. "&amp;IF(B27&gt;1.05,"Beta above 1.0 indicates a MORE market-sensitive (aggressive) book — outperformance in a rising market is expected and is not, on its own, evidence of skill.",IF(B27&lt;0.95,"Beta below 1.0 indicates a DEFENSIVE book — it should lag a rising market and cushion a falling one.","Beta of approximately 1.0 indicates MARKET-LIKE exposure — the portfolio carries essentially the same systematic risk as the index, so any return difference is not explained by leverage on market direction."))</f>
        <v>BETA — The portfolio's beta of 0.28 means that for a 1% move in the NIFTY 50, the portfolio moved about 0.28% on average. Beta below 1.0 indicates a DEFENSIVE book — it should lag a rising market and cushion a falling one.</v>
      </c>
      <c r="B51" s="174"/>
      <c r="C51" s="174"/>
      <c r="D51" s="174"/>
      <c r="E51" s="174"/>
      <c r="F51" s="174"/>
      <c r="G51" s="174"/>
      <c r="H51" s="174"/>
      <c r="I51" s="174"/>
      <c r="J51" s="174"/>
      <c r="K51" s="174"/>
      <c r="L51" s="3"/>
      <c r="M51" s="3"/>
    </row>
    <row r="52" spans="1:13" ht="30" customHeight="1" x14ac:dyDescent="0.3">
      <c r="A52" s="175" t="str">
        <f ca="1">"ALPHA — Jensen's alpha of "&amp;TEXT(B33,"0.00%")&amp;" p.a. is the return earned above the CAPM benchmark of "&amp;TEXT(B32,"0.00%")&amp;" implied by a beta of "&amp;TEXT(B27,"0.00")&amp;". Raw excess return vs the index was "&amp;TEXT(B31,"0.00%")&amp;". "&amp;IF(B33&gt;0,"Alpha is POSITIVE: the portfolio delivered more than its market exposure alone would predict.","Alpha is NEGATIVE: the portfolio delivered less than its market exposure alone would predict.")&amp;" Note that alpha and raw excess return are close here precisely because beta is near 1.0."</f>
        <v>ALPHA — Jensen's alpha of -5.35% p.a. is the return earned above the CAPM benchmark of 4.59% implied by a beta of 0.28. Raw excess return vs the index was 0.70%. Alpha is NEGATIVE: the portfolio delivered less than its market exposure alone would predict. Note that alpha and raw excess return are close here precisely because beta is near 1.0.</v>
      </c>
      <c r="B52" s="174"/>
      <c r="C52" s="174"/>
      <c r="D52" s="174"/>
      <c r="E52" s="174"/>
      <c r="F52" s="174"/>
      <c r="G52" s="174"/>
      <c r="H52" s="174"/>
      <c r="I52" s="174"/>
      <c r="J52" s="174"/>
      <c r="K52" s="174"/>
      <c r="L52" s="3"/>
      <c r="M52" s="3"/>
    </row>
    <row r="53" spans="1:13" ht="30" customHeight="1" x14ac:dyDescent="0.3">
      <c r="A53" s="175" t="str">
        <f ca="1">"SHARPE — Portfolio Sharpe of "&amp;TEXT(B21,"0.00")&amp;" vs NIFTY 50 "&amp;TEXT(C21,"0.00")&amp;". "&amp;IF(B21&gt;C21,"The portfolio produced a BETTER return per unit of total risk than the index.","The portfolio produced a WORSE return per unit of total risk than the index.")&amp;IF(B21&lt;0," Both figures are negative because the annualised return sits below the "&amp;TEXT(RiskFree,"0.00%")&amp;" risk-free rate — over this window, government bonds outperformed equity on a risk-adjusted basis. A negative Sharpe should be read as a ranking, not a ratio: less negative is better.","")</f>
        <v>SHARPE — Portfolio Sharpe of -0.54 vs NIFTY 50 -0.62. The portfolio produced a BETTER return per unit of total risk than the index. Both figures are negative because the annualised return sits below the 6.95% risk-free rate — over this window, government bonds outperformed equity on a risk-adjusted basis. A negative Sharpe should be read as a ranking, not a ratio: less negative is better.</v>
      </c>
      <c r="B53" s="174"/>
      <c r="C53" s="174"/>
      <c r="D53" s="174"/>
      <c r="E53" s="174"/>
      <c r="F53" s="174"/>
      <c r="G53" s="174"/>
      <c r="H53" s="174"/>
      <c r="I53" s="174"/>
      <c r="J53" s="174"/>
      <c r="K53" s="174"/>
      <c r="L53" s="3"/>
      <c r="M53" s="3"/>
    </row>
    <row r="54" spans="1:13" ht="30" customHeight="1" x14ac:dyDescent="0.3">
      <c r="A54" s="175" t="str">
        <f ca="1">"RISK — Annualised volatility of "&amp;TEXT(B10,"0.00%")&amp;" vs the index at "&amp;TEXT(C10,"0.00%")&amp;"; maximum drawdown "&amp;TEXT(B35,"0.00%")&amp;" vs "&amp;TEXT(C35,"0.00%")&amp;". Upside capture "&amp;TEXT(B36,"0.0%")&amp;" and downside capture "&amp;TEXT(B37,"0.0%")&amp;" — "&amp;IF(B36&gt;B37,"the portfolio captured more of the index's up-weeks than its down-weeks, the asymmetry a manager wants.","the portfolio suffered more of the index's down-weeks than it captured of its up-weeks — an unfavourable asymmetry.")</f>
        <v>RISK — Annualised volatility of 14.18% vs the index at 13.62%; maximum drawdown -17.99% vs -14.93%. Upside capture 19.9% and downside capture 21.1% — the portfolio suffered more of the index's down-weeks than it captured of its up-weeks — an unfavourable asymmetry.</v>
      </c>
      <c r="B54" s="174"/>
      <c r="C54" s="174"/>
      <c r="D54" s="174"/>
      <c r="E54" s="174"/>
      <c r="F54" s="174"/>
      <c r="G54" s="174"/>
      <c r="H54" s="174"/>
      <c r="I54" s="174"/>
      <c r="J54" s="174"/>
      <c r="K54" s="174"/>
      <c r="L54" s="3"/>
      <c r="M54" s="3"/>
    </row>
    <row r="55" spans="1:13" ht="30" customHeight="1" x14ac:dyDescent="0.3">
      <c r="A55" s="175" t="str">
        <f ca="1">"MARKET DEPENDENCE — R² of "&amp;TEXT(B29,"0.0%")&amp;" means roughly "&amp;TEXT(B29,"0%")&amp;_xlfn._LONGTEXT(" of the portfolio's weekly variance is explained by NIFTY 50 movement; the remainder is stock-specific. A single-country, long-only equity book of seven large caps will always be dominated by market beta — which is exactly why alpha, not raw return, is th","e honest scorecard.")</f>
        <v>MARKET DEPENDENCE — R² of 7.3% means roughly 7% of the portfolio's weekly variance is explained by NIFTY 50 movement; the remainder is stock-specific. A single-country, long-only equity book of seven large caps will always be dominated by market beta — which is exactly why alpha, not raw return, is the honest scorecard.</v>
      </c>
      <c r="B55" s="174"/>
      <c r="C55" s="174"/>
      <c r="D55" s="174"/>
      <c r="E55" s="174"/>
      <c r="F55" s="174"/>
      <c r="G55" s="174"/>
      <c r="H55" s="174"/>
      <c r="I55" s="174"/>
      <c r="J55" s="174"/>
      <c r="K55" s="174"/>
      <c r="L55" s="3"/>
      <c r="M55" s="3"/>
    </row>
    <row r="56" spans="1:13" x14ac:dyDescent="0.3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</row>
    <row r="57" spans="1:13" x14ac:dyDescent="0.3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</row>
    <row r="58" spans="1:13" x14ac:dyDescent="0.3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</row>
    <row r="59" spans="1:13" x14ac:dyDescent="0.3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</row>
    <row r="60" spans="1:13" x14ac:dyDescent="0.3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</row>
    <row r="61" spans="1:13" x14ac:dyDescent="0.3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</row>
    <row r="62" spans="1:13" x14ac:dyDescent="0.3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</row>
    <row r="63" spans="1:13" x14ac:dyDescent="0.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</row>
    <row r="64" spans="1:13" x14ac:dyDescent="0.3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</row>
    <row r="65" spans="1:13" x14ac:dyDescent="0.3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</row>
    <row r="66" spans="1:13" x14ac:dyDescent="0.3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</row>
    <row r="67" spans="1:13" x14ac:dyDescent="0.3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</row>
    <row r="68" spans="1:13" x14ac:dyDescent="0.3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</row>
    <row r="69" spans="1:13" x14ac:dyDescent="0.3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</row>
    <row r="70" spans="1:13" x14ac:dyDescent="0.3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</row>
    <row r="71" spans="1:13" x14ac:dyDescent="0.3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</row>
    <row r="72" spans="1:13" x14ac:dyDescent="0.3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</row>
    <row r="73" spans="1:13" x14ac:dyDescent="0.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</row>
    <row r="74" spans="1:13" x14ac:dyDescent="0.3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</row>
    <row r="75" spans="1:13" x14ac:dyDescent="0.3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</row>
    <row r="76" spans="1:13" x14ac:dyDescent="0.3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</row>
    <row r="77" spans="1:13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</row>
    <row r="78" spans="1:13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</row>
    <row r="79" spans="1:13" x14ac:dyDescent="0.3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</row>
    <row r="80" spans="1:13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</row>
    <row r="81" spans="1:13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</row>
    <row r="82" spans="1:13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</row>
    <row r="83" spans="1:13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</row>
    <row r="84" spans="1:13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</row>
    <row r="85" spans="1:13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</row>
    <row r="86" spans="1:13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</row>
    <row r="87" spans="1:13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</row>
    <row r="88" spans="1:13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</row>
    <row r="89" spans="1:13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</row>
    <row r="90" spans="1:13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</row>
  </sheetData>
  <mergeCells count="12">
    <mergeCell ref="A2:K2"/>
    <mergeCell ref="A51:K51"/>
    <mergeCell ref="A52:K52"/>
    <mergeCell ref="A1:K1"/>
    <mergeCell ref="A17:K17"/>
    <mergeCell ref="A53:K53"/>
    <mergeCell ref="A50:K50"/>
    <mergeCell ref="A4:K4"/>
    <mergeCell ref="A54:K54"/>
    <mergeCell ref="A55:K55"/>
    <mergeCell ref="A39:K39"/>
    <mergeCell ref="A25:K2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70"/>
  <sheetViews>
    <sheetView showGridLines="0" topLeftCell="A70" workbookViewId="0">
      <selection activeCell="I6" sqref="I6"/>
    </sheetView>
  </sheetViews>
  <sheetFormatPr defaultColWidth="8.6640625" defaultRowHeight="14.4" x14ac:dyDescent="0.3"/>
  <cols>
    <col min="1" max="1" width="30" customWidth="1"/>
    <col min="2" max="9" width="15" customWidth="1"/>
    <col min="10" max="11" width="30" customWidth="1"/>
    <col min="12" max="12" width="22" customWidth="1"/>
  </cols>
  <sheetData>
    <row r="1" spans="1:13" ht="24" customHeight="1" x14ac:dyDescent="0.3">
      <c r="A1" s="195" t="s">
        <v>359</v>
      </c>
      <c r="B1" s="136"/>
      <c r="C1" s="136"/>
      <c r="D1" s="136"/>
      <c r="E1" s="136"/>
      <c r="F1" s="136"/>
      <c r="G1" s="136"/>
      <c r="H1" s="136"/>
      <c r="I1" s="136"/>
      <c r="J1" s="3"/>
      <c r="K1" s="3"/>
      <c r="L1" s="3"/>
      <c r="M1" s="3"/>
    </row>
    <row r="2" spans="1:13" ht="13.5" customHeight="1" x14ac:dyDescent="0.3">
      <c r="A2" s="193" t="s">
        <v>360</v>
      </c>
      <c r="B2" s="136"/>
      <c r="C2" s="136"/>
      <c r="D2" s="136"/>
      <c r="E2" s="136"/>
      <c r="F2" s="136"/>
      <c r="G2" s="136"/>
      <c r="H2" s="136"/>
      <c r="I2" s="136"/>
      <c r="J2" s="3"/>
      <c r="K2" s="3"/>
      <c r="L2" s="3"/>
      <c r="M2" s="3"/>
    </row>
    <row r="3" spans="1:13" x14ac:dyDescent="0.3">
      <c r="A3" s="57" t="s">
        <v>361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13" x14ac:dyDescent="0.3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</row>
    <row r="5" spans="1:13" ht="16.5" customHeight="1" x14ac:dyDescent="0.3">
      <c r="A5" s="177" t="s">
        <v>362</v>
      </c>
      <c r="B5" s="136"/>
      <c r="C5" s="136"/>
      <c r="D5" s="136"/>
      <c r="E5" s="136"/>
      <c r="F5" s="136"/>
      <c r="G5" s="136"/>
      <c r="H5" s="136"/>
      <c r="I5" s="136"/>
      <c r="J5" s="3"/>
      <c r="K5" s="3"/>
      <c r="L5" s="3"/>
      <c r="M5" s="3"/>
    </row>
    <row r="6" spans="1:13" ht="30" customHeight="1" x14ac:dyDescent="0.3">
      <c r="A6" s="7"/>
      <c r="B6" s="1" t="s">
        <v>10</v>
      </c>
      <c r="C6" s="1" t="s">
        <v>11</v>
      </c>
      <c r="D6" s="1" t="s">
        <v>12</v>
      </c>
      <c r="E6" s="1" t="s">
        <v>13</v>
      </c>
      <c r="F6" s="1" t="s">
        <v>14</v>
      </c>
      <c r="G6" s="1" t="s">
        <v>15</v>
      </c>
      <c r="H6" s="1" t="s">
        <v>16</v>
      </c>
      <c r="I6" s="3"/>
      <c r="J6" s="3"/>
      <c r="K6" s="3"/>
      <c r="L6" s="3"/>
      <c r="M6" s="3"/>
    </row>
    <row r="7" spans="1:13" x14ac:dyDescent="0.3">
      <c r="A7" s="58" t="s">
        <v>10</v>
      </c>
      <c r="B7" s="115">
        <f ca="1">CORREL(RelRet,RelRet)</f>
        <v>1</v>
      </c>
      <c r="C7" s="115">
        <f ca="1">CORREL(RelRet,AirRet)</f>
        <v>0.39814713709419636</v>
      </c>
      <c r="D7" s="115">
        <f ca="1">CORREL(RelRet,HdfRet)</f>
        <v>0.39330991060742465</v>
      </c>
      <c r="E7" s="115">
        <f ca="1">CORREL(RelRet,LtRet)</f>
        <v>0.42911332161365057</v>
      </c>
      <c r="F7" s="115">
        <f ca="1">CORREL(RelRet,CipRet)</f>
        <v>0.19182906544793354</v>
      </c>
      <c r="G7" s="115">
        <f ca="1">CORREL(RelRet,MarRet)</f>
        <v>0.41736088460372872</v>
      </c>
      <c r="H7" s="115">
        <f ca="1">CORREL(RelRet,HclRet)</f>
        <v>0.21879103830136123</v>
      </c>
      <c r="I7" s="3"/>
      <c r="J7" s="3"/>
      <c r="K7" s="3"/>
      <c r="L7" s="3"/>
      <c r="M7" s="3"/>
    </row>
    <row r="8" spans="1:13" x14ac:dyDescent="0.3">
      <c r="A8" s="58" t="s">
        <v>11</v>
      </c>
      <c r="B8" s="115">
        <f ca="1">CORREL(AirRet,RelRet)</f>
        <v>0.39814713709419636</v>
      </c>
      <c r="C8" s="115">
        <f ca="1">CORREL(AirRet,AirRet)</f>
        <v>1</v>
      </c>
      <c r="D8" s="115">
        <f ca="1">CORREL(AirRet,HdfRet)</f>
        <v>0.39908704849454363</v>
      </c>
      <c r="E8" s="115">
        <f ca="1">CORREL(AirRet,LtRet)</f>
        <v>0.33335130835297272</v>
      </c>
      <c r="F8" s="115">
        <f ca="1">CORREL(AirRet,CipRet)</f>
        <v>0.22807050544452712</v>
      </c>
      <c r="G8" s="115">
        <f ca="1">CORREL(AirRet,MarRet)</f>
        <v>0.34271125746479353</v>
      </c>
      <c r="H8" s="115">
        <f ca="1">CORREL(AirRet,HclRet)</f>
        <v>0.24743998863619182</v>
      </c>
      <c r="I8" s="3"/>
      <c r="J8" s="3"/>
      <c r="K8" s="3"/>
      <c r="L8" s="3"/>
      <c r="M8" s="3"/>
    </row>
    <row r="9" spans="1:13" x14ac:dyDescent="0.3">
      <c r="A9" s="58" t="s">
        <v>12</v>
      </c>
      <c r="B9" s="115">
        <f ca="1">CORREL(HdfRet,RelRet)</f>
        <v>0.39330991060742465</v>
      </c>
      <c r="C9" s="115">
        <f ca="1">CORREL(HdfRet,AirRet)</f>
        <v>0.39908704849454363</v>
      </c>
      <c r="D9" s="115">
        <f ca="1">CORREL(HdfRet,HdfRet)</f>
        <v>1</v>
      </c>
      <c r="E9" s="115">
        <f ca="1">CORREL(HdfRet,LtRet)</f>
        <v>0.42568372135354943</v>
      </c>
      <c r="F9" s="115">
        <f ca="1">CORREL(HdfRet,CipRet)</f>
        <v>0.24527870287517381</v>
      </c>
      <c r="G9" s="115">
        <f ca="1">CORREL(HdfRet,MarRet)</f>
        <v>0.32132267277966131</v>
      </c>
      <c r="H9" s="115">
        <f ca="1">CORREL(HdfRet,HclRet)</f>
        <v>0.14603491832963389</v>
      </c>
      <c r="I9" s="3"/>
      <c r="J9" s="3"/>
      <c r="K9" s="3"/>
      <c r="L9" s="3"/>
      <c r="M9" s="3"/>
    </row>
    <row r="10" spans="1:13" x14ac:dyDescent="0.3">
      <c r="A10" s="58" t="s">
        <v>13</v>
      </c>
      <c r="B10" s="115">
        <f ca="1">CORREL(LtRet,RelRet)</f>
        <v>0.42911332161365057</v>
      </c>
      <c r="C10" s="115">
        <f ca="1">CORREL(LtRet,AirRet)</f>
        <v>0.33335130835297272</v>
      </c>
      <c r="D10" s="115">
        <f ca="1">CORREL(LtRet,HdfRet)</f>
        <v>0.42568372135354943</v>
      </c>
      <c r="E10" s="115">
        <f ca="1">CORREL(LtRet,LtRet)</f>
        <v>0.99999999999999978</v>
      </c>
      <c r="F10" s="115">
        <f ca="1">CORREL(LtRet,CipRet)</f>
        <v>0.22740707421938569</v>
      </c>
      <c r="G10" s="115">
        <f ca="1">CORREL(LtRet,MarRet)</f>
        <v>0.37306294593451916</v>
      </c>
      <c r="H10" s="115">
        <f ca="1">CORREL(LtRet,HclRet)</f>
        <v>0.22900743275501198</v>
      </c>
      <c r="I10" s="3"/>
      <c r="J10" s="3"/>
      <c r="K10" s="3"/>
      <c r="L10" s="3"/>
      <c r="M10" s="3"/>
    </row>
    <row r="11" spans="1:13" x14ac:dyDescent="0.3">
      <c r="A11" s="58" t="s">
        <v>14</v>
      </c>
      <c r="B11" s="115">
        <f ca="1">CORREL(CipRet,RelRet)</f>
        <v>0.19182906544793354</v>
      </c>
      <c r="C11" s="115">
        <f ca="1">CORREL(CipRet,AirRet)</f>
        <v>0.22807050544452712</v>
      </c>
      <c r="D11" s="115">
        <f ca="1">CORREL(CipRet,HdfRet)</f>
        <v>0.24527870287517381</v>
      </c>
      <c r="E11" s="115">
        <f ca="1">CORREL(CipRet,LtRet)</f>
        <v>0.22740707421938569</v>
      </c>
      <c r="F11" s="115">
        <f ca="1">CORREL(CipRet,CipRet)</f>
        <v>0.99999999999999989</v>
      </c>
      <c r="G11" s="115">
        <f ca="1">CORREL(CipRet,MarRet)</f>
        <v>0.30138072257200194</v>
      </c>
      <c r="H11" s="115">
        <f ca="1">CORREL(CipRet,HclRet)</f>
        <v>-4.4990875352997242E-2</v>
      </c>
      <c r="I11" s="3"/>
      <c r="J11" s="3"/>
      <c r="K11" s="3"/>
      <c r="L11" s="3"/>
      <c r="M11" s="3"/>
    </row>
    <row r="12" spans="1:13" x14ac:dyDescent="0.3">
      <c r="A12" s="58" t="s">
        <v>15</v>
      </c>
      <c r="B12" s="115">
        <f ca="1">CORREL(MarRet,RelRet)</f>
        <v>0.41736088460372872</v>
      </c>
      <c r="C12" s="115">
        <f ca="1">CORREL(MarRet,AirRet)</f>
        <v>0.34271125746479353</v>
      </c>
      <c r="D12" s="115">
        <f ca="1">CORREL(MarRet,HdfRet)</f>
        <v>0.32132267277966131</v>
      </c>
      <c r="E12" s="115">
        <f ca="1">CORREL(MarRet,LtRet)</f>
        <v>0.37306294593451916</v>
      </c>
      <c r="F12" s="115">
        <f ca="1">CORREL(MarRet,CipRet)</f>
        <v>0.30138072257200194</v>
      </c>
      <c r="G12" s="115">
        <f ca="1">CORREL(MarRet,MarRet)</f>
        <v>0.99999999999999978</v>
      </c>
      <c r="H12" s="115">
        <f ca="1">CORREL(MarRet,HclRet)</f>
        <v>0.20278158613504191</v>
      </c>
      <c r="I12" s="3"/>
      <c r="J12" s="3"/>
      <c r="K12" s="3"/>
      <c r="L12" s="3"/>
      <c r="M12" s="3"/>
    </row>
    <row r="13" spans="1:13" x14ac:dyDescent="0.3">
      <c r="A13" s="58" t="s">
        <v>16</v>
      </c>
      <c r="B13" s="115">
        <f ca="1">CORREL(HclRet,RelRet)</f>
        <v>0.21879103830136123</v>
      </c>
      <c r="C13" s="115">
        <f ca="1">CORREL(HclRet,AirRet)</f>
        <v>0.24743998863619182</v>
      </c>
      <c r="D13" s="115">
        <f ca="1">CORREL(HclRet,HdfRet)</f>
        <v>0.14603491832963389</v>
      </c>
      <c r="E13" s="115">
        <f ca="1">CORREL(HclRet,LtRet)</f>
        <v>0.22900743275501198</v>
      </c>
      <c r="F13" s="115">
        <f ca="1">CORREL(HclRet,CipRet)</f>
        <v>-4.4990875352997242E-2</v>
      </c>
      <c r="G13" s="115">
        <f ca="1">CORREL(HclRet,MarRet)</f>
        <v>0.20278158613504191</v>
      </c>
      <c r="H13" s="115">
        <f ca="1">CORREL(HclRet,HclRet)</f>
        <v>1</v>
      </c>
      <c r="I13" s="3"/>
      <c r="J13" s="3"/>
      <c r="K13" s="3"/>
      <c r="L13" s="3"/>
      <c r="M13" s="3"/>
    </row>
    <row r="14" spans="1:13" x14ac:dyDescent="0.3">
      <c r="A14" s="57" t="s">
        <v>363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13" ht="16.5" customHeight="1" x14ac:dyDescent="0.3">
      <c r="A15" s="177" t="s">
        <v>364</v>
      </c>
      <c r="B15" s="136"/>
      <c r="C15" s="136"/>
      <c r="D15" s="136"/>
      <c r="E15" s="136"/>
      <c r="F15" s="136"/>
      <c r="G15" s="136"/>
      <c r="H15" s="136"/>
      <c r="I15" s="136"/>
      <c r="J15" s="3"/>
      <c r="K15" s="3"/>
      <c r="L15" s="3"/>
      <c r="M15" s="3"/>
    </row>
    <row r="16" spans="1:13" ht="18" customHeight="1" x14ac:dyDescent="0.3">
      <c r="A16" s="1" t="s">
        <v>365</v>
      </c>
      <c r="B16" s="180" t="s">
        <v>366</v>
      </c>
      <c r="C16" s="181"/>
      <c r="D16" s="180" t="s">
        <v>367</v>
      </c>
      <c r="E16" s="181"/>
      <c r="F16" s="1" t="s">
        <v>66</v>
      </c>
      <c r="G16" s="180" t="s">
        <v>167</v>
      </c>
      <c r="H16" s="181"/>
      <c r="I16" s="180" t="s">
        <v>169</v>
      </c>
      <c r="J16" s="174"/>
      <c r="K16" s="174"/>
      <c r="L16" s="181"/>
      <c r="M16" s="3"/>
    </row>
    <row r="17" spans="1:13" x14ac:dyDescent="0.3">
      <c r="A17" s="59">
        <f t="shared" ref="A17:A37" ca="1" si="0">RANK($F17,$F$17:$F$37,0)</f>
        <v>5</v>
      </c>
      <c r="B17" s="216" t="s">
        <v>10</v>
      </c>
      <c r="C17" s="181"/>
      <c r="D17" s="216" t="s">
        <v>11</v>
      </c>
      <c r="E17" s="181"/>
      <c r="F17" s="53">
        <f ca="1">CORREL(RelRet,AirRet)</f>
        <v>0.39814713709419636</v>
      </c>
      <c r="G17" s="215" t="str">
        <f ca="1">IF($F17&gt;THR80,"&gt; 0.80   Poor diversification",IF($F17&gt;THR50,"0.50 – 0.80   Moderate / high",IF($F17&gt;THR30,"0.30 – 0.50   Moderate","&lt; 0.30   Strong diversification")))</f>
        <v>&gt; 0.80   Poor diversification</v>
      </c>
      <c r="H17" s="181"/>
      <c r="I17" s="218" t="str">
        <f ca="1">IF($F17&gt;THR80,"Pair behaves close to one bet — review for redundancy",IF($F17&gt;THR50,"Meaningful shared risk driver — monitor combined weight",IF($F17&gt;THR30,"Some shared exposure; still adds diversification","Largely independent return drivers — diversifying")))</f>
        <v>Pair behaves close to one bet — review for redundancy</v>
      </c>
      <c r="J17" s="174"/>
      <c r="K17" s="174"/>
      <c r="L17" s="181"/>
      <c r="M17" s="3"/>
    </row>
    <row r="18" spans="1:13" x14ac:dyDescent="0.3">
      <c r="A18" s="59">
        <f t="shared" ca="1" si="0"/>
        <v>6</v>
      </c>
      <c r="B18" s="216" t="s">
        <v>10</v>
      </c>
      <c r="C18" s="181"/>
      <c r="D18" s="216" t="s">
        <v>12</v>
      </c>
      <c r="E18" s="181"/>
      <c r="F18" s="53">
        <f ca="1">CORREL(RelRet,HdfRet)</f>
        <v>0.39330991060742465</v>
      </c>
      <c r="G18" s="215" t="str">
        <f ca="1">IF($F18&gt;THR80,"&gt; 0.80   Poor diversification",IF($F18&gt;THR50,"0.50 – 0.80   Moderate / high",IF($F18&gt;THR30,"0.30 – 0.50   Moderate","&lt; 0.30   Strong diversification")))</f>
        <v>&gt; 0.80   Poor diversification</v>
      </c>
      <c r="H18" s="181"/>
      <c r="I18" s="218" t="str">
        <f ca="1">IF($F18&gt;THR80,"Pair behaves close to one bet — review for redundancy",IF($F18&gt;THR50,"Meaningful shared risk driver — monitor combined weight",IF($F18&gt;THR30,"Some shared exposure; still adds diversification","Largely independent return drivers — diversifying")))</f>
        <v>Pair behaves close to one bet — review for redundancy</v>
      </c>
      <c r="J18" s="174"/>
      <c r="K18" s="174"/>
      <c r="L18" s="181"/>
      <c r="M18" s="3"/>
    </row>
    <row r="19" spans="1:13" x14ac:dyDescent="0.3">
      <c r="A19" s="59">
        <f t="shared" ca="1" si="0"/>
        <v>1</v>
      </c>
      <c r="B19" s="216" t="s">
        <v>10</v>
      </c>
      <c r="C19" s="181"/>
      <c r="D19" s="216" t="s">
        <v>13</v>
      </c>
      <c r="E19" s="181"/>
      <c r="F19" s="53">
        <f ca="1">CORREL(RelRet,LtRet)</f>
        <v>0.42911332161365057</v>
      </c>
      <c r="G19" s="215" t="str">
        <f ca="1">IF($F19&gt;THR80,"&gt; 0.80   Poor diversification",IF($F19&gt;THR50,"0.50 – 0.80   Moderate / high",IF($F19&gt;THR30,"0.30 – 0.50   Moderate","&lt; 0.30   Strong diversification")))</f>
        <v>&gt; 0.80   Poor diversification</v>
      </c>
      <c r="H19" s="181"/>
      <c r="I19" s="218" t="str">
        <f ca="1">IF($F19&gt;THR80,"Pair behaves close to one bet — review for redundancy",IF($F19&gt;THR50,"Meaningful shared risk driver — monitor combined weight",IF($F19&gt;THR30,"Some shared exposure; still adds diversification","Largely independent return drivers — diversifying")))</f>
        <v>Pair behaves close to one bet — review for redundancy</v>
      </c>
      <c r="J19" s="174"/>
      <c r="K19" s="174"/>
      <c r="L19" s="181"/>
      <c r="M19" s="3"/>
    </row>
    <row r="20" spans="1:13" x14ac:dyDescent="0.3">
      <c r="A20" s="59">
        <f t="shared" ca="1" si="0"/>
        <v>19</v>
      </c>
      <c r="B20" s="216" t="s">
        <v>10</v>
      </c>
      <c r="C20" s="181"/>
      <c r="D20" s="216" t="s">
        <v>14</v>
      </c>
      <c r="E20" s="181"/>
      <c r="F20" s="53">
        <f ca="1">CORREL(RelRet,CipRet)</f>
        <v>0.19182906544793354</v>
      </c>
      <c r="G20" s="215" t="str">
        <f ca="1">IF($F20&gt;THR80,"&gt; 0.80   Poor diversification",IF($F20&gt;THR50,"0.50 – 0.80   Moderate / high",IF($F20&gt;THR30,"0.30 – 0.50   Moderate","&lt; 0.30   Strong diversification")))</f>
        <v>&gt; 0.80   Poor diversification</v>
      </c>
      <c r="H20" s="181"/>
      <c r="I20" s="218" t="str">
        <f ca="1">IF($F20&gt;THR80,"Pair behaves close to one bet — review for redundancy",IF($F20&gt;THR50,"Meaningful shared risk driver — monitor combined weight",IF($F20&gt;THR30,"Some shared exposure; still adds diversification","Largely independent return drivers — diversifying")))</f>
        <v>Pair behaves close to one bet — review for redundancy</v>
      </c>
      <c r="J20" s="174"/>
      <c r="K20" s="174"/>
      <c r="L20" s="181"/>
      <c r="M20" s="3"/>
    </row>
    <row r="21" spans="1:13" x14ac:dyDescent="0.3">
      <c r="A21" s="59">
        <f t="shared" ca="1" si="0"/>
        <v>3</v>
      </c>
      <c r="B21" s="216" t="s">
        <v>10</v>
      </c>
      <c r="C21" s="181"/>
      <c r="D21" s="216" t="s">
        <v>15</v>
      </c>
      <c r="E21" s="181"/>
      <c r="F21" s="53">
        <f ca="1">CORREL(RelRet,MarRet)</f>
        <v>0.41736088460372872</v>
      </c>
      <c r="G21" s="215" t="str">
        <f ca="1">IF($F21&gt;THR80,"&gt; 0.80   Poor diversification",IF($F21&gt;THR50,"0.50 – 0.80   Moderate / high",IF($F21&gt;THR30,"0.30 – 0.50   Moderate","&lt; 0.30   Strong diversification")))</f>
        <v>&gt; 0.80   Poor diversification</v>
      </c>
      <c r="H21" s="181"/>
      <c r="I21" s="218" t="str">
        <f ca="1">IF($F21&gt;THR80,"Pair behaves close to one bet — review for redundancy",IF($F21&gt;THR50,"Meaningful shared risk driver — monitor combined weight",IF($F21&gt;THR30,"Some shared exposure; still adds diversification","Largely independent return drivers — diversifying")))</f>
        <v>Pair behaves close to one bet — review for redundancy</v>
      </c>
      <c r="J21" s="174"/>
      <c r="K21" s="174"/>
      <c r="L21" s="181"/>
      <c r="M21" s="3"/>
    </row>
    <row r="22" spans="1:13" x14ac:dyDescent="0.3">
      <c r="A22" s="59">
        <f t="shared" ca="1" si="0"/>
        <v>17</v>
      </c>
      <c r="B22" s="216" t="s">
        <v>10</v>
      </c>
      <c r="C22" s="181"/>
      <c r="D22" s="216" t="s">
        <v>16</v>
      </c>
      <c r="E22" s="181"/>
      <c r="F22" s="53">
        <f ca="1">CORREL(RelRet,HclRet)</f>
        <v>0.21879103830136123</v>
      </c>
      <c r="G22" s="215" t="str">
        <f ca="1">IF($F22&gt;THR80,"&gt; 0.80   Poor diversification",IF($F22&gt;THR50,"0.50 – 0.80   Moderate / high",IF($F22&gt;THR30,"0.30 – 0.50   Moderate","&lt; 0.30   Strong diversification")))</f>
        <v>&gt; 0.80   Poor diversification</v>
      </c>
      <c r="H22" s="181"/>
      <c r="I22" s="218" t="str">
        <f ca="1">IF($F22&gt;THR80,"Pair behaves close to one bet — review for redundancy",IF($F22&gt;THR50,"Meaningful shared risk driver — monitor combined weight",IF($F22&gt;THR30,"Some shared exposure; still adds diversification","Largely independent return drivers — diversifying")))</f>
        <v>Pair behaves close to one bet — review for redundancy</v>
      </c>
      <c r="J22" s="174"/>
      <c r="K22" s="174"/>
      <c r="L22" s="181"/>
      <c r="M22" s="3"/>
    </row>
    <row r="23" spans="1:13" x14ac:dyDescent="0.3">
      <c r="A23" s="59">
        <f t="shared" ca="1" si="0"/>
        <v>4</v>
      </c>
      <c r="B23" s="216" t="s">
        <v>11</v>
      </c>
      <c r="C23" s="181"/>
      <c r="D23" s="216" t="s">
        <v>12</v>
      </c>
      <c r="E23" s="181"/>
      <c r="F23" s="53">
        <f ca="1">CORREL(AirRet,HdfRet)</f>
        <v>0.39908704849454363</v>
      </c>
      <c r="G23" s="215" t="str">
        <f ca="1">IF($F23&gt;THR80,"&gt; 0.80   Poor diversification",IF($F23&gt;THR50,"0.50 – 0.80   Moderate / high",IF($F23&gt;THR30,"0.30 – 0.50   Moderate","&lt; 0.30   Strong diversification")))</f>
        <v>&gt; 0.80   Poor diversification</v>
      </c>
      <c r="H23" s="181"/>
      <c r="I23" s="218" t="str">
        <f ca="1">IF($F23&gt;THR80,"Pair behaves close to one bet — review for redundancy",IF($F23&gt;THR50,"Meaningful shared risk driver — monitor combined weight",IF($F23&gt;THR30,"Some shared exposure; still adds diversification","Largely independent return drivers — diversifying")))</f>
        <v>Pair behaves close to one bet — review for redundancy</v>
      </c>
      <c r="J23" s="174"/>
      <c r="K23" s="174"/>
      <c r="L23" s="181"/>
      <c r="M23" s="3"/>
    </row>
    <row r="24" spans="1:13" x14ac:dyDescent="0.3">
      <c r="A24" s="59">
        <f t="shared" ca="1" si="0"/>
        <v>9</v>
      </c>
      <c r="B24" s="216" t="s">
        <v>11</v>
      </c>
      <c r="C24" s="181"/>
      <c r="D24" s="216" t="s">
        <v>13</v>
      </c>
      <c r="E24" s="181"/>
      <c r="F24" s="53">
        <f ca="1">CORREL(AirRet,LtRet)</f>
        <v>0.33335130835297272</v>
      </c>
      <c r="G24" s="215" t="str">
        <f ca="1">IF($F24&gt;THR80,"&gt; 0.80   Poor diversification",IF($F24&gt;THR50,"0.50 – 0.80   Moderate / high",IF($F24&gt;THR30,"0.30 – 0.50   Moderate","&lt; 0.30   Strong diversification")))</f>
        <v>&gt; 0.80   Poor diversification</v>
      </c>
      <c r="H24" s="181"/>
      <c r="I24" s="218" t="str">
        <f ca="1">IF($F24&gt;THR80,"Pair behaves close to one bet — review for redundancy",IF($F24&gt;THR50,"Meaningful shared risk driver — monitor combined weight",IF($F24&gt;THR30,"Some shared exposure; still adds diversification","Largely independent return drivers — diversifying")))</f>
        <v>Pair behaves close to one bet — review for redundancy</v>
      </c>
      <c r="J24" s="174"/>
      <c r="K24" s="174"/>
      <c r="L24" s="181"/>
      <c r="M24" s="3"/>
    </row>
    <row r="25" spans="1:13" x14ac:dyDescent="0.3">
      <c r="A25" s="59">
        <f t="shared" ca="1" si="0"/>
        <v>15</v>
      </c>
      <c r="B25" s="216" t="s">
        <v>11</v>
      </c>
      <c r="C25" s="181"/>
      <c r="D25" s="216" t="s">
        <v>14</v>
      </c>
      <c r="E25" s="181"/>
      <c r="F25" s="53">
        <f ca="1">CORREL(AirRet,CipRet)</f>
        <v>0.22807050544452712</v>
      </c>
      <c r="G25" s="215" t="str">
        <f ca="1">IF($F25&gt;THR80,"&gt; 0.80   Poor diversification",IF($F25&gt;THR50,"0.50 – 0.80   Moderate / high",IF($F25&gt;THR30,"0.30 – 0.50   Moderate","&lt; 0.30   Strong diversification")))</f>
        <v>&gt; 0.80   Poor diversification</v>
      </c>
      <c r="H25" s="181"/>
      <c r="I25" s="218" t="str">
        <f ca="1">IF($F25&gt;THR80,"Pair behaves close to one bet — review for redundancy",IF($F25&gt;THR50,"Meaningful shared risk driver — monitor combined weight",IF($F25&gt;THR30,"Some shared exposure; still adds diversification","Largely independent return drivers — diversifying")))</f>
        <v>Pair behaves close to one bet — review for redundancy</v>
      </c>
      <c r="J25" s="174"/>
      <c r="K25" s="174"/>
      <c r="L25" s="181"/>
      <c r="M25" s="3"/>
    </row>
    <row r="26" spans="1:13" x14ac:dyDescent="0.3">
      <c r="A26" s="59">
        <f t="shared" ca="1" si="0"/>
        <v>8</v>
      </c>
      <c r="B26" s="216" t="s">
        <v>11</v>
      </c>
      <c r="C26" s="181"/>
      <c r="D26" s="216" t="s">
        <v>15</v>
      </c>
      <c r="E26" s="181"/>
      <c r="F26" s="53">
        <f ca="1">CORREL(AirRet,MarRet)</f>
        <v>0.34271125746479353</v>
      </c>
      <c r="G26" s="215" t="str">
        <f ca="1">IF($F26&gt;THR80,"&gt; 0.80   Poor diversification",IF($F26&gt;THR50,"0.50 – 0.80   Moderate / high",IF($F26&gt;THR30,"0.30 – 0.50   Moderate","&lt; 0.30   Strong diversification")))</f>
        <v>&gt; 0.80   Poor diversification</v>
      </c>
      <c r="H26" s="181"/>
      <c r="I26" s="218" t="str">
        <f ca="1">IF($F26&gt;THR80,"Pair behaves close to one bet — review for redundancy",IF($F26&gt;THR50,"Meaningful shared risk driver — monitor combined weight",IF($F26&gt;THR30,"Some shared exposure; still adds diversification","Largely independent return drivers — diversifying")))</f>
        <v>Pair behaves close to one bet — review for redundancy</v>
      </c>
      <c r="J26" s="174"/>
      <c r="K26" s="174"/>
      <c r="L26" s="181"/>
      <c r="M26" s="3"/>
    </row>
    <row r="27" spans="1:13" x14ac:dyDescent="0.3">
      <c r="A27" s="59">
        <f t="shared" ca="1" si="0"/>
        <v>12</v>
      </c>
      <c r="B27" s="216" t="s">
        <v>11</v>
      </c>
      <c r="C27" s="181"/>
      <c r="D27" s="216" t="s">
        <v>16</v>
      </c>
      <c r="E27" s="181"/>
      <c r="F27" s="53">
        <f ca="1">CORREL(AirRet,HclRet)</f>
        <v>0.24743998863619182</v>
      </c>
      <c r="G27" s="215" t="str">
        <f ca="1">IF($F27&gt;THR80,"&gt; 0.80   Poor diversification",IF($F27&gt;THR50,"0.50 – 0.80   Moderate / high",IF($F27&gt;THR30,"0.30 – 0.50   Moderate","&lt; 0.30   Strong diversification")))</f>
        <v>&gt; 0.80   Poor diversification</v>
      </c>
      <c r="H27" s="181"/>
      <c r="I27" s="218" t="str">
        <f ca="1">IF($F27&gt;THR80,"Pair behaves close to one bet — review for redundancy",IF($F27&gt;THR50,"Meaningful shared risk driver — monitor combined weight",IF($F27&gt;THR30,"Some shared exposure; still adds diversification","Largely independent return drivers — diversifying")))</f>
        <v>Pair behaves close to one bet — review for redundancy</v>
      </c>
      <c r="J27" s="174"/>
      <c r="K27" s="174"/>
      <c r="L27" s="181"/>
      <c r="M27" s="3"/>
    </row>
    <row r="28" spans="1:13" x14ac:dyDescent="0.3">
      <c r="A28" s="59">
        <f t="shared" ca="1" si="0"/>
        <v>2</v>
      </c>
      <c r="B28" s="216" t="s">
        <v>12</v>
      </c>
      <c r="C28" s="181"/>
      <c r="D28" s="216" t="s">
        <v>13</v>
      </c>
      <c r="E28" s="181"/>
      <c r="F28" s="53">
        <f ca="1">CORREL(HdfRet,LtRet)</f>
        <v>0.42568372135354943</v>
      </c>
      <c r="G28" s="215" t="str">
        <f ca="1">IF($F28&gt;THR80,"&gt; 0.80   Poor diversification",IF($F28&gt;THR50,"0.50 – 0.80   Moderate / high",IF($F28&gt;THR30,"0.30 – 0.50   Moderate","&lt; 0.30   Strong diversification")))</f>
        <v>&gt; 0.80   Poor diversification</v>
      </c>
      <c r="H28" s="181"/>
      <c r="I28" s="218" t="str">
        <f ca="1">IF($F28&gt;THR80,"Pair behaves close to one bet — review for redundancy",IF($F28&gt;THR50,"Meaningful shared risk driver — monitor combined weight",IF($F28&gt;THR30,"Some shared exposure; still adds diversification","Largely independent return drivers — diversifying")))</f>
        <v>Pair behaves close to one bet — review for redundancy</v>
      </c>
      <c r="J28" s="174"/>
      <c r="K28" s="174"/>
      <c r="L28" s="181"/>
      <c r="M28" s="3"/>
    </row>
    <row r="29" spans="1:13" x14ac:dyDescent="0.3">
      <c r="A29" s="59">
        <f t="shared" ca="1" si="0"/>
        <v>13</v>
      </c>
      <c r="B29" s="216" t="s">
        <v>12</v>
      </c>
      <c r="C29" s="181"/>
      <c r="D29" s="216" t="s">
        <v>14</v>
      </c>
      <c r="E29" s="181"/>
      <c r="F29" s="53">
        <f ca="1">CORREL(HdfRet,CipRet)</f>
        <v>0.24527870287517381</v>
      </c>
      <c r="G29" s="215" t="str">
        <f ca="1">IF($F29&gt;THR80,"&gt; 0.80   Poor diversification",IF($F29&gt;THR50,"0.50 – 0.80   Moderate / high",IF($F29&gt;THR30,"0.30 – 0.50   Moderate","&lt; 0.30   Strong diversification")))</f>
        <v>&gt; 0.80   Poor diversification</v>
      </c>
      <c r="H29" s="181"/>
      <c r="I29" s="218" t="str">
        <f ca="1">IF($F29&gt;THR80,"Pair behaves close to one bet — review for redundancy",IF($F29&gt;THR50,"Meaningful shared risk driver — monitor combined weight",IF($F29&gt;THR30,"Some shared exposure; still adds diversification","Largely independent return drivers — diversifying")))</f>
        <v>Pair behaves close to one bet — review for redundancy</v>
      </c>
      <c r="J29" s="174"/>
      <c r="K29" s="174"/>
      <c r="L29" s="181"/>
      <c r="M29" s="3"/>
    </row>
    <row r="30" spans="1:13" x14ac:dyDescent="0.3">
      <c r="A30" s="59">
        <f t="shared" ca="1" si="0"/>
        <v>10</v>
      </c>
      <c r="B30" s="216" t="s">
        <v>12</v>
      </c>
      <c r="C30" s="181"/>
      <c r="D30" s="216" t="s">
        <v>15</v>
      </c>
      <c r="E30" s="181"/>
      <c r="F30" s="53">
        <f ca="1">CORREL(HdfRet,MarRet)</f>
        <v>0.32132267277966131</v>
      </c>
      <c r="G30" s="215" t="str">
        <f ca="1">IF($F30&gt;THR80,"&gt; 0.80   Poor diversification",IF($F30&gt;THR50,"0.50 – 0.80   Moderate / high",IF($F30&gt;THR30,"0.30 – 0.50   Moderate","&lt; 0.30   Strong diversification")))</f>
        <v>&gt; 0.80   Poor diversification</v>
      </c>
      <c r="H30" s="181"/>
      <c r="I30" s="218" t="str">
        <f ca="1">IF($F30&gt;THR80,"Pair behaves close to one bet — review for redundancy",IF($F30&gt;THR50,"Meaningful shared risk driver — monitor combined weight",IF($F30&gt;THR30,"Some shared exposure; still adds diversification","Largely independent return drivers — diversifying")))</f>
        <v>Pair behaves close to one bet — review for redundancy</v>
      </c>
      <c r="J30" s="174"/>
      <c r="K30" s="174"/>
      <c r="L30" s="181"/>
      <c r="M30" s="3"/>
    </row>
    <row r="31" spans="1:13" x14ac:dyDescent="0.3">
      <c r="A31" s="59">
        <f t="shared" ca="1" si="0"/>
        <v>20</v>
      </c>
      <c r="B31" s="216" t="s">
        <v>12</v>
      </c>
      <c r="C31" s="181"/>
      <c r="D31" s="216" t="s">
        <v>16</v>
      </c>
      <c r="E31" s="181"/>
      <c r="F31" s="53">
        <f ca="1">CORREL(HdfRet,HclRet)</f>
        <v>0.14603491832963389</v>
      </c>
      <c r="G31" s="215" t="str">
        <f ca="1">IF($F31&gt;THR80,"&gt; 0.80   Poor diversification",IF($F31&gt;THR50,"0.50 – 0.80   Moderate / high",IF($F31&gt;THR30,"0.30 – 0.50   Moderate","&lt; 0.30   Strong diversification")))</f>
        <v>&gt; 0.80   Poor diversification</v>
      </c>
      <c r="H31" s="181"/>
      <c r="I31" s="218" t="str">
        <f ca="1">IF($F31&gt;THR80,"Pair behaves close to one bet — review for redundancy",IF($F31&gt;THR50,"Meaningful shared risk driver — monitor combined weight",IF($F31&gt;THR30,"Some shared exposure; still adds diversification","Largely independent return drivers — diversifying")))</f>
        <v>Pair behaves close to one bet — review for redundancy</v>
      </c>
      <c r="J31" s="174"/>
      <c r="K31" s="174"/>
      <c r="L31" s="181"/>
      <c r="M31" s="3"/>
    </row>
    <row r="32" spans="1:13" x14ac:dyDescent="0.3">
      <c r="A32" s="59">
        <f t="shared" ca="1" si="0"/>
        <v>16</v>
      </c>
      <c r="B32" s="216" t="s">
        <v>13</v>
      </c>
      <c r="C32" s="181"/>
      <c r="D32" s="216" t="s">
        <v>14</v>
      </c>
      <c r="E32" s="181"/>
      <c r="F32" s="53">
        <f ca="1">CORREL(LtRet,CipRet)</f>
        <v>0.22740707421938569</v>
      </c>
      <c r="G32" s="215" t="str">
        <f ca="1">IF($F32&gt;THR80,"&gt; 0.80   Poor diversification",IF($F32&gt;THR50,"0.50 – 0.80   Moderate / high",IF($F32&gt;THR30,"0.30 – 0.50   Moderate","&lt; 0.30   Strong diversification")))</f>
        <v>&gt; 0.80   Poor diversification</v>
      </c>
      <c r="H32" s="181"/>
      <c r="I32" s="218" t="str">
        <f ca="1">IF($F32&gt;THR80,"Pair behaves close to one bet — review for redundancy",IF($F32&gt;THR50,"Meaningful shared risk driver — monitor combined weight",IF($F32&gt;THR30,"Some shared exposure; still adds diversification","Largely independent return drivers — diversifying")))</f>
        <v>Pair behaves close to one bet — review for redundancy</v>
      </c>
      <c r="J32" s="174"/>
      <c r="K32" s="174"/>
      <c r="L32" s="181"/>
      <c r="M32" s="3"/>
    </row>
    <row r="33" spans="1:13" x14ac:dyDescent="0.3">
      <c r="A33" s="59">
        <f t="shared" ca="1" si="0"/>
        <v>7</v>
      </c>
      <c r="B33" s="216" t="s">
        <v>13</v>
      </c>
      <c r="C33" s="181"/>
      <c r="D33" s="216" t="s">
        <v>15</v>
      </c>
      <c r="E33" s="181"/>
      <c r="F33" s="53">
        <f ca="1">CORREL(LtRet,MarRet)</f>
        <v>0.37306294593451916</v>
      </c>
      <c r="G33" s="215" t="str">
        <f ca="1">IF($F33&gt;THR80,"&gt; 0.80   Poor diversification",IF($F33&gt;THR50,"0.50 – 0.80   Moderate / high",IF($F33&gt;THR30,"0.30 – 0.50   Moderate","&lt; 0.30   Strong diversification")))</f>
        <v>&gt; 0.80   Poor diversification</v>
      </c>
      <c r="H33" s="181"/>
      <c r="I33" s="218" t="str">
        <f ca="1">IF($F33&gt;THR80,"Pair behaves close to one bet — review for redundancy",IF($F33&gt;THR50,"Meaningful shared risk driver — monitor combined weight",IF($F33&gt;THR30,"Some shared exposure; still adds diversification","Largely independent return drivers — diversifying")))</f>
        <v>Pair behaves close to one bet — review for redundancy</v>
      </c>
      <c r="J33" s="174"/>
      <c r="K33" s="174"/>
      <c r="L33" s="181"/>
      <c r="M33" s="3"/>
    </row>
    <row r="34" spans="1:13" x14ac:dyDescent="0.3">
      <c r="A34" s="59">
        <f t="shared" ca="1" si="0"/>
        <v>14</v>
      </c>
      <c r="B34" s="216" t="s">
        <v>13</v>
      </c>
      <c r="C34" s="181"/>
      <c r="D34" s="216" t="s">
        <v>16</v>
      </c>
      <c r="E34" s="181"/>
      <c r="F34" s="53">
        <f ca="1">CORREL(LtRet,HclRet)</f>
        <v>0.22900743275501198</v>
      </c>
      <c r="G34" s="215" t="str">
        <f ca="1">IF($F34&gt;THR80,"&gt; 0.80   Poor diversification",IF($F34&gt;THR50,"0.50 – 0.80   Moderate / high",IF($F34&gt;THR30,"0.30 – 0.50   Moderate","&lt; 0.30   Strong diversification")))</f>
        <v>&gt; 0.80   Poor diversification</v>
      </c>
      <c r="H34" s="181"/>
      <c r="I34" s="218" t="str">
        <f ca="1">IF($F34&gt;THR80,"Pair behaves close to one bet — review for redundancy",IF($F34&gt;THR50,"Meaningful shared risk driver — monitor combined weight",IF($F34&gt;THR30,"Some shared exposure; still adds diversification","Largely independent return drivers — diversifying")))</f>
        <v>Pair behaves close to one bet — review for redundancy</v>
      </c>
      <c r="J34" s="174"/>
      <c r="K34" s="174"/>
      <c r="L34" s="181"/>
      <c r="M34" s="3"/>
    </row>
    <row r="35" spans="1:13" x14ac:dyDescent="0.3">
      <c r="A35" s="59">
        <f t="shared" ca="1" si="0"/>
        <v>11</v>
      </c>
      <c r="B35" s="216" t="s">
        <v>14</v>
      </c>
      <c r="C35" s="181"/>
      <c r="D35" s="216" t="s">
        <v>15</v>
      </c>
      <c r="E35" s="181"/>
      <c r="F35" s="53">
        <f ca="1">CORREL(CipRet,MarRet)</f>
        <v>0.30138072257200194</v>
      </c>
      <c r="G35" s="215" t="str">
        <f ca="1">IF($F35&gt;THR80,"&gt; 0.80   Poor diversification",IF($F35&gt;THR50,"0.50 – 0.80   Moderate / high",IF($F35&gt;THR30,"0.30 – 0.50   Moderate","&lt; 0.30   Strong diversification")))</f>
        <v>&gt; 0.80   Poor diversification</v>
      </c>
      <c r="H35" s="181"/>
      <c r="I35" s="218" t="str">
        <f ca="1">IF($F35&gt;THR80,"Pair behaves close to one bet — review for redundancy",IF($F35&gt;THR50,"Meaningful shared risk driver — monitor combined weight",IF($F35&gt;THR30,"Some shared exposure; still adds diversification","Largely independent return drivers — diversifying")))</f>
        <v>Pair behaves close to one bet — review for redundancy</v>
      </c>
      <c r="J35" s="174"/>
      <c r="K35" s="174"/>
      <c r="L35" s="181"/>
      <c r="M35" s="3"/>
    </row>
    <row r="36" spans="1:13" x14ac:dyDescent="0.3">
      <c r="A36" s="59">
        <f t="shared" ca="1" si="0"/>
        <v>21</v>
      </c>
      <c r="B36" s="216" t="s">
        <v>14</v>
      </c>
      <c r="C36" s="181"/>
      <c r="D36" s="216" t="s">
        <v>16</v>
      </c>
      <c r="E36" s="181"/>
      <c r="F36" s="53">
        <f ca="1">CORREL(CipRet,HclRet)</f>
        <v>-4.4990875352997242E-2</v>
      </c>
      <c r="G36" s="215" t="str">
        <f ca="1">IF($F36&gt;THR80,"&gt; 0.80   Poor diversification",IF($F36&gt;THR50,"0.50 – 0.80   Moderate / high",IF($F36&gt;THR30,"0.30 – 0.50   Moderate","&lt; 0.30   Strong diversification")))</f>
        <v>&lt; 0.30   Strong diversification</v>
      </c>
      <c r="H36" s="181"/>
      <c r="I36" s="218" t="str">
        <f ca="1">IF($F36&gt;THR80,"Pair behaves close to one bet — review for redundancy",IF($F36&gt;THR50,"Meaningful shared risk driver — monitor combined weight",IF($F36&gt;THR30,"Some shared exposure; still adds diversification","Largely independent return drivers — diversifying")))</f>
        <v>Largely independent return drivers — diversifying</v>
      </c>
      <c r="J36" s="174"/>
      <c r="K36" s="174"/>
      <c r="L36" s="181"/>
      <c r="M36" s="3"/>
    </row>
    <row r="37" spans="1:13" x14ac:dyDescent="0.3">
      <c r="A37" s="59">
        <f t="shared" ca="1" si="0"/>
        <v>18</v>
      </c>
      <c r="B37" s="216" t="s">
        <v>15</v>
      </c>
      <c r="C37" s="181"/>
      <c r="D37" s="216" t="s">
        <v>16</v>
      </c>
      <c r="E37" s="181"/>
      <c r="F37" s="53">
        <f ca="1">CORREL(MarRet,HclRet)</f>
        <v>0.20278158613504191</v>
      </c>
      <c r="G37" s="215" t="str">
        <f ca="1">IF($F37&gt;THR80,"&gt; 0.80   Poor diversification",IF($F37&gt;THR50,"0.50 – 0.80   Moderate / high",IF($F37&gt;THR30,"0.30 – 0.50   Moderate","&lt; 0.30   Strong diversification")))</f>
        <v>&gt; 0.80   Poor diversification</v>
      </c>
      <c r="H37" s="181"/>
      <c r="I37" s="218" t="str">
        <f ca="1">IF($F37&gt;THR80,"Pair behaves close to one bet — review for redundancy",IF($F37&gt;THR50,"Meaningful shared risk driver — monitor combined weight",IF($F37&gt;THR30,"Some shared exposure; still adds diversification","Largely independent return drivers — diversifying")))</f>
        <v>Pair behaves close to one bet — review for redundancy</v>
      </c>
      <c r="J37" s="174"/>
      <c r="K37" s="174"/>
      <c r="L37" s="181"/>
      <c r="M37" s="3"/>
    </row>
    <row r="38" spans="1:13" x14ac:dyDescent="0.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ht="16.5" customHeight="1" x14ac:dyDescent="0.3">
      <c r="A39" s="177" t="s">
        <v>368</v>
      </c>
      <c r="B39" s="136"/>
      <c r="C39" s="136"/>
      <c r="D39" s="136"/>
      <c r="E39" s="136"/>
      <c r="F39" s="136"/>
      <c r="G39" s="136"/>
      <c r="H39" s="136"/>
      <c r="I39" s="136"/>
      <c r="J39" s="3"/>
      <c r="K39" s="3"/>
      <c r="L39" s="3"/>
      <c r="M39" s="3"/>
    </row>
    <row r="40" spans="1:13" ht="27.75" customHeight="1" x14ac:dyDescent="0.3">
      <c r="A40" s="1" t="s">
        <v>369</v>
      </c>
      <c r="B40" s="1" t="s">
        <v>108</v>
      </c>
      <c r="C40" s="180" t="s">
        <v>370</v>
      </c>
      <c r="D40" s="174"/>
      <c r="E40" s="174"/>
      <c r="F40" s="174"/>
      <c r="G40" s="174"/>
      <c r="H40" s="174"/>
      <c r="I40" s="174"/>
      <c r="J40" s="174"/>
      <c r="K40" s="174"/>
      <c r="L40" s="181"/>
      <c r="M40" s="3"/>
    </row>
    <row r="41" spans="1:13" x14ac:dyDescent="0.3">
      <c r="A41" s="5" t="s">
        <v>371</v>
      </c>
      <c r="B41" s="52">
        <f ca="1">MAX($F$17:$F$37)</f>
        <v>0.42911332161365057</v>
      </c>
      <c r="C41" s="217" t="str">
        <f ca="1">"Most correlated pair: "&amp;INDEX($B$17:$B$37,MATCH(MAX($F$17:$F$37),$F$17:$F$37,0))&amp;" / "&amp;INDEX($D$17:$D$37,MATCH(MAX($F$17:$F$37),$F$17:$F$37,0))&amp;" at ρ = "&amp;TEXT(MAX($F$17:$F$37),"0.00")&amp;". "&amp;IF(MAX($F$17:$F$37)&gt;THR80,"Above the 0.80 redundancy threshold — the pair is effectively one bet.",IF(MAX($F$17:$F$37)&gt;THR50,"Meaningful shared risk driver, but below the 0.80 redundancy threshold.","Even the most correlated pair sits below 0.50 — no redundant holding in the book."))</f>
        <v>Most correlated pair: Reliance Industries / Larsen &amp; Toubro at ρ = 0.43. Above the 0.80 redundancy threshold — the pair is effectively one bet.</v>
      </c>
      <c r="D41" s="174"/>
      <c r="E41" s="174"/>
      <c r="F41" s="174"/>
      <c r="G41" s="174"/>
      <c r="H41" s="174"/>
      <c r="I41" s="174"/>
      <c r="J41" s="174"/>
      <c r="K41" s="174"/>
      <c r="L41" s="181"/>
      <c r="M41" s="3"/>
    </row>
    <row r="42" spans="1:13" x14ac:dyDescent="0.3">
      <c r="A42" s="5" t="s">
        <v>372</v>
      </c>
      <c r="B42" s="52">
        <f ca="1">MIN($F$17:$F$37)</f>
        <v>-4.4990875352997242E-2</v>
      </c>
      <c r="C42" s="217" t="str">
        <f ca="1">"Least correlated pair: "&amp;INDEX($B$17:$B$37,MATCH(MIN($F$17:$F$37),$F$17:$F$37,0))&amp;" / "&amp;INDEX($D$17:$D$37,MATCH(MIN($F$17:$F$37),$F$17:$F$37,0))&amp;" at ρ = "&amp;TEXT(MIN($F$17:$F$37),"0.00")&amp;" — the strongest diversifying relationship in the portfolio."</f>
        <v>Least correlated pair: Cipla / HCL Technologies at ρ = -0.04 — the strongest diversifying relationship in the portfolio.</v>
      </c>
      <c r="D42" s="174"/>
      <c r="E42" s="174"/>
      <c r="F42" s="174"/>
      <c r="G42" s="174"/>
      <c r="H42" s="174"/>
      <c r="I42" s="174"/>
      <c r="J42" s="174"/>
      <c r="K42" s="174"/>
      <c r="L42" s="181"/>
      <c r="M42" s="3"/>
    </row>
    <row r="43" spans="1:13" x14ac:dyDescent="0.3">
      <c r="A43" s="5" t="s">
        <v>373</v>
      </c>
      <c r="B43" s="52">
        <f ca="1">AVERAGE($F$17:$F$37)</f>
        <v>0.28696096988868125</v>
      </c>
      <c r="C43" s="217" t="str">
        <f>"Mean of all 21 unique pairs. Values below 0.40 indicate genuinely different return drivers across the book; values approaching 0.70+ would mean the sector labels are more diversified than the underlying risk."</f>
        <v>Mean of all 21 unique pairs. Values below 0.40 indicate genuinely different return drivers across the book; values approaching 0.70+ would mean the sector labels are more diversified than the underlying risk.</v>
      </c>
      <c r="D43" s="174"/>
      <c r="E43" s="174"/>
      <c r="F43" s="174"/>
      <c r="G43" s="174"/>
      <c r="H43" s="174"/>
      <c r="I43" s="174"/>
      <c r="J43" s="174"/>
      <c r="K43" s="174"/>
      <c r="L43" s="181"/>
      <c r="M43" s="3"/>
    </row>
    <row r="44" spans="1:13" x14ac:dyDescent="0.3">
      <c r="A44" s="5" t="s">
        <v>374</v>
      </c>
      <c r="B44" s="45">
        <f ca="1">COUNTIF($F$17:$F$37,"&gt;"&amp;THR80)</f>
        <v>0</v>
      </c>
      <c r="C44" s="217" t="str">
        <f ca="1">IF(COUNTIF($F$17:$F$37,"&gt;"&amp;THR80)=0,"No pair breaches the 0.80 redundancy threshold — no holding is a duplicate of another.","Review flagged pairs: overlapping exposure is consuming weight without adding diversification.")</f>
        <v>No pair breaches the 0.80 redundancy threshold — no holding is a duplicate of another.</v>
      </c>
      <c r="D44" s="174"/>
      <c r="E44" s="174"/>
      <c r="F44" s="174"/>
      <c r="G44" s="174"/>
      <c r="H44" s="174"/>
      <c r="I44" s="174"/>
      <c r="J44" s="174"/>
      <c r="K44" s="174"/>
      <c r="L44" s="181"/>
      <c r="M44" s="3"/>
    </row>
    <row r="45" spans="1:13" ht="15" customHeight="1" x14ac:dyDescent="0.3">
      <c r="A45" s="5" t="s">
        <v>375</v>
      </c>
      <c r="B45" s="45">
        <f ca="1">COUNTIFS($F$17:$F$37,"&gt;"&amp;THR50,$F$17:$F$37,"&lt;="&amp;THR80)</f>
        <v>0</v>
      </c>
      <c r="C45" s="217" t="s">
        <v>376</v>
      </c>
      <c r="D45" s="174"/>
      <c r="E45" s="174"/>
      <c r="F45" s="174"/>
      <c r="G45" s="174"/>
      <c r="H45" s="174"/>
      <c r="I45" s="174"/>
      <c r="J45" s="174"/>
      <c r="K45" s="174"/>
      <c r="L45" s="181"/>
      <c r="M45" s="3"/>
    </row>
    <row r="46" spans="1:13" ht="15" customHeight="1" x14ac:dyDescent="0.3">
      <c r="A46" s="5" t="s">
        <v>377</v>
      </c>
      <c r="B46" s="45">
        <f ca="1">COUNTIF($F$17:$F$37,"&lt;"&amp;THR30)</f>
        <v>0</v>
      </c>
      <c r="C46" s="217" t="s">
        <v>378</v>
      </c>
      <c r="D46" s="174"/>
      <c r="E46" s="174"/>
      <c r="F46" s="174"/>
      <c r="G46" s="174"/>
      <c r="H46" s="174"/>
      <c r="I46" s="174"/>
      <c r="J46" s="174"/>
      <c r="K46" s="174"/>
      <c r="L46" s="181"/>
      <c r="M46" s="3"/>
    </row>
    <row r="47" spans="1:13" x14ac:dyDescent="0.3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</row>
    <row r="48" spans="1:13" x14ac:dyDescent="0.3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</row>
    <row r="49" spans="1:13" x14ac:dyDescent="0.3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</row>
    <row r="50" spans="1:13" x14ac:dyDescent="0.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</row>
    <row r="51" spans="1:13" x14ac:dyDescent="0.3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</row>
    <row r="52" spans="1:13" x14ac:dyDescent="0.3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</row>
    <row r="53" spans="1:13" x14ac:dyDescent="0.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</row>
    <row r="54" spans="1:13" x14ac:dyDescent="0.3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</row>
    <row r="55" spans="1:13" x14ac:dyDescent="0.3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</row>
    <row r="56" spans="1:13" x14ac:dyDescent="0.3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</row>
    <row r="57" spans="1:13" x14ac:dyDescent="0.3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</row>
    <row r="58" spans="1:13" x14ac:dyDescent="0.3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</row>
    <row r="59" spans="1:13" x14ac:dyDescent="0.3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</row>
    <row r="60" spans="1:13" x14ac:dyDescent="0.3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</row>
    <row r="61" spans="1:13" x14ac:dyDescent="0.3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</row>
    <row r="62" spans="1:13" x14ac:dyDescent="0.3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</row>
    <row r="63" spans="1:13" x14ac:dyDescent="0.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</row>
    <row r="64" spans="1:13" x14ac:dyDescent="0.3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</row>
    <row r="65" spans="1:13" x14ac:dyDescent="0.3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</row>
    <row r="66" spans="1:13" x14ac:dyDescent="0.3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</row>
    <row r="67" spans="1:13" x14ac:dyDescent="0.3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</row>
    <row r="68" spans="1:13" x14ac:dyDescent="0.3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</row>
    <row r="69" spans="1:13" x14ac:dyDescent="0.3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</row>
    <row r="70" spans="1:13" x14ac:dyDescent="0.3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</row>
  </sheetData>
  <mergeCells count="100">
    <mergeCell ref="I27:L27"/>
    <mergeCell ref="B20:C20"/>
    <mergeCell ref="C45:L45"/>
    <mergeCell ref="G30:H30"/>
    <mergeCell ref="D18:E18"/>
    <mergeCell ref="C44:L44"/>
    <mergeCell ref="G29:H29"/>
    <mergeCell ref="I22:L22"/>
    <mergeCell ref="I28:L28"/>
    <mergeCell ref="C40:L40"/>
    <mergeCell ref="B36:C36"/>
    <mergeCell ref="G31:H31"/>
    <mergeCell ref="C43:L43"/>
    <mergeCell ref="I23:L23"/>
    <mergeCell ref="G27:H27"/>
    <mergeCell ref="G36:H36"/>
    <mergeCell ref="I36:L36"/>
    <mergeCell ref="C41:L41"/>
    <mergeCell ref="B30:C30"/>
    <mergeCell ref="D30:E30"/>
    <mergeCell ref="I21:L21"/>
    <mergeCell ref="G32:H32"/>
    <mergeCell ref="D37:E37"/>
    <mergeCell ref="I32:L32"/>
    <mergeCell ref="G26:H26"/>
    <mergeCell ref="G35:H35"/>
    <mergeCell ref="I37:L37"/>
    <mergeCell ref="B31:C31"/>
    <mergeCell ref="B21:C21"/>
    <mergeCell ref="D21:E21"/>
    <mergeCell ref="I34:L34"/>
    <mergeCell ref="B23:C23"/>
    <mergeCell ref="A1:I1"/>
    <mergeCell ref="I24:L24"/>
    <mergeCell ref="I33:L33"/>
    <mergeCell ref="I17:L17"/>
    <mergeCell ref="I35:L35"/>
    <mergeCell ref="I19:L19"/>
    <mergeCell ref="A5:I5"/>
    <mergeCell ref="D27:E27"/>
    <mergeCell ref="I30:L30"/>
    <mergeCell ref="B17:C17"/>
    <mergeCell ref="D17:E17"/>
    <mergeCell ref="B19:C19"/>
    <mergeCell ref="B34:C34"/>
    <mergeCell ref="B28:C28"/>
    <mergeCell ref="D28:E28"/>
    <mergeCell ref="D25:E25"/>
    <mergeCell ref="D29:E29"/>
    <mergeCell ref="G25:H25"/>
    <mergeCell ref="D23:E23"/>
    <mergeCell ref="G37:H37"/>
    <mergeCell ref="D16:E16"/>
    <mergeCell ref="D36:E36"/>
    <mergeCell ref="D31:E31"/>
    <mergeCell ref="G23:H23"/>
    <mergeCell ref="G19:H19"/>
    <mergeCell ref="D32:E32"/>
    <mergeCell ref="G28:H28"/>
    <mergeCell ref="G17:H17"/>
    <mergeCell ref="C46:L46"/>
    <mergeCell ref="D26:E26"/>
    <mergeCell ref="B35:C35"/>
    <mergeCell ref="D35:E35"/>
    <mergeCell ref="B16:C16"/>
    <mergeCell ref="B25:C25"/>
    <mergeCell ref="D19:E19"/>
    <mergeCell ref="D34:E34"/>
    <mergeCell ref="I20:L20"/>
    <mergeCell ref="I29:L29"/>
    <mergeCell ref="B27:C27"/>
    <mergeCell ref="B18:C18"/>
    <mergeCell ref="I31:L31"/>
    <mergeCell ref="B29:C29"/>
    <mergeCell ref="G24:H24"/>
    <mergeCell ref="G33:H33"/>
    <mergeCell ref="C42:L42"/>
    <mergeCell ref="G34:H34"/>
    <mergeCell ref="I26:L26"/>
    <mergeCell ref="I16:L16"/>
    <mergeCell ref="I25:L25"/>
    <mergeCell ref="A39:I39"/>
    <mergeCell ref="B24:C24"/>
    <mergeCell ref="G20:H20"/>
    <mergeCell ref="D24:E24"/>
    <mergeCell ref="B33:C33"/>
    <mergeCell ref="I18:L18"/>
    <mergeCell ref="D33:E33"/>
    <mergeCell ref="B32:C32"/>
    <mergeCell ref="B26:C26"/>
    <mergeCell ref="G22:H22"/>
    <mergeCell ref="B37:C37"/>
    <mergeCell ref="A2:I2"/>
    <mergeCell ref="G18:H18"/>
    <mergeCell ref="G21:H21"/>
    <mergeCell ref="D20:E20"/>
    <mergeCell ref="B22:C22"/>
    <mergeCell ref="D22:E22"/>
    <mergeCell ref="G16:H16"/>
    <mergeCell ref="A15:I15"/>
  </mergeCells>
  <conditionalFormatting sqref="B7:H13">
    <cfRule type="colorScale" priority="2">
      <colorScale>
        <cfvo type="num" val="-0.2"/>
        <cfvo type="num" val="0.4"/>
        <cfvo type="num" val="1"/>
        <color rgb="FF1F5C4D"/>
        <color rgb="FF17253F"/>
        <color rgb="FF6B2C2C"/>
      </colorScale>
    </cfRule>
  </conditionalFormatting>
  <conditionalFormatting sqref="F17:F37">
    <cfRule type="colorScale" priority="3">
      <colorScale>
        <cfvo type="num" val="-0.2"/>
        <cfvo type="num" val="0.4"/>
        <cfvo type="num" val="1"/>
        <color rgb="FF1F5C4D"/>
        <color rgb="FF17253F"/>
        <color rgb="FF6B2C2C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147"/>
  <sheetViews>
    <sheetView showGridLines="0" topLeftCell="A133" workbookViewId="0">
      <selection activeCell="D154" sqref="D154"/>
    </sheetView>
  </sheetViews>
  <sheetFormatPr defaultColWidth="8.6640625" defaultRowHeight="14.4" x14ac:dyDescent="0.3"/>
  <cols>
    <col min="1" max="1" width="34" customWidth="1"/>
    <col min="2" max="4" width="14" customWidth="1"/>
    <col min="5" max="5" width="52" customWidth="1"/>
    <col min="6" max="6" width="12" customWidth="1"/>
    <col min="7" max="8" width="13" customWidth="1"/>
    <col min="9" max="9" width="12" customWidth="1"/>
    <col min="10" max="10" width="8" customWidth="1"/>
  </cols>
  <sheetData>
    <row r="1" spans="1:18" ht="24" customHeight="1" x14ac:dyDescent="0.3">
      <c r="A1" s="195" t="s">
        <v>379</v>
      </c>
      <c r="B1" s="136"/>
      <c r="C1" s="136"/>
      <c r="D1" s="136"/>
      <c r="E1" s="136"/>
      <c r="F1" s="136"/>
      <c r="G1" s="136"/>
      <c r="H1" s="136"/>
      <c r="I1" s="136"/>
      <c r="J1" s="3"/>
      <c r="K1" s="3"/>
    </row>
    <row r="2" spans="1:18" ht="13.5" customHeight="1" x14ac:dyDescent="0.3">
      <c r="A2" s="193" t="s">
        <v>380</v>
      </c>
      <c r="B2" s="136"/>
      <c r="C2" s="136"/>
      <c r="D2" s="136"/>
      <c r="E2" s="136"/>
      <c r="F2" s="136"/>
      <c r="G2" s="136"/>
      <c r="H2" s="136"/>
      <c r="I2" s="136"/>
      <c r="J2" s="3"/>
      <c r="K2" s="3"/>
    </row>
    <row r="3" spans="1:18" x14ac:dyDescent="0.3">
      <c r="A3" s="57" t="s">
        <v>381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8" x14ac:dyDescent="0.3">
      <c r="A4" s="3"/>
      <c r="B4" s="3"/>
      <c r="C4" s="3"/>
      <c r="D4" s="3"/>
      <c r="E4" s="3"/>
      <c r="F4" s="3"/>
      <c r="G4" s="3"/>
      <c r="H4" s="3"/>
      <c r="I4" s="3"/>
      <c r="J4" s="3"/>
      <c r="K4" s="3"/>
    </row>
    <row r="5" spans="1:18" x14ac:dyDescent="0.3">
      <c r="A5" s="3"/>
      <c r="B5" s="219" t="s">
        <v>382</v>
      </c>
      <c r="C5" s="220"/>
      <c r="D5" s="220"/>
      <c r="E5" s="220"/>
      <c r="F5" s="221" t="s">
        <v>383</v>
      </c>
      <c r="G5" s="222"/>
      <c r="H5" s="222"/>
      <c r="I5" s="222"/>
      <c r="J5" s="3"/>
      <c r="K5" s="3"/>
    </row>
    <row r="6" spans="1:18" ht="27.75" customHeight="1" x14ac:dyDescent="0.3">
      <c r="A6" s="1" t="s">
        <v>9</v>
      </c>
      <c r="B6" s="1" t="s">
        <v>384</v>
      </c>
      <c r="C6" s="1" t="s">
        <v>385</v>
      </c>
      <c r="D6" s="1" t="s">
        <v>386</v>
      </c>
      <c r="E6" s="1" t="s">
        <v>68</v>
      </c>
      <c r="F6" s="1" t="s">
        <v>384</v>
      </c>
      <c r="G6" s="1" t="s">
        <v>385</v>
      </c>
      <c r="H6" s="1" t="s">
        <v>386</v>
      </c>
      <c r="I6" s="1" t="s">
        <v>68</v>
      </c>
      <c r="J6" s="60" t="s">
        <v>387</v>
      </c>
      <c r="K6" s="3"/>
      <c r="L6" s="116" t="s">
        <v>496</v>
      </c>
      <c r="M6" s="116" t="s">
        <v>255</v>
      </c>
      <c r="N6" s="116" t="s">
        <v>17</v>
      </c>
      <c r="P6" s="116" t="s">
        <v>496</v>
      </c>
      <c r="Q6" s="116" t="s">
        <v>255</v>
      </c>
      <c r="R6" s="116" t="s">
        <v>17</v>
      </c>
    </row>
    <row r="7" spans="1:18" x14ac:dyDescent="0.3">
      <c r="A7" s="10">
        <f ca="1">Prices!$A$4</f>
        <v>45544</v>
      </c>
      <c r="B7" s="11" t="s">
        <v>274</v>
      </c>
      <c r="C7" s="61">
        <f>IndexBase</f>
        <v>100</v>
      </c>
      <c r="D7" s="61">
        <f>$C$7</f>
        <v>100</v>
      </c>
      <c r="E7" s="26">
        <v>0</v>
      </c>
      <c r="F7" s="11" t="s">
        <v>274</v>
      </c>
      <c r="G7" s="61">
        <f>IndexBase</f>
        <v>100</v>
      </c>
      <c r="H7" s="61">
        <f>$G$7</f>
        <v>100</v>
      </c>
      <c r="I7" s="26">
        <v>0</v>
      </c>
      <c r="J7" s="60" t="str">
        <f ca="1">TEXT($A$7,"mmm-yy")</f>
        <v>Sep-24</v>
      </c>
      <c r="K7" s="3"/>
      <c r="L7" t="str">
        <f ca="1">$J7</f>
        <v>Sep-24</v>
      </c>
      <c r="M7">
        <f>$C7</f>
        <v>100</v>
      </c>
      <c r="N7">
        <f>$G7</f>
        <v>100</v>
      </c>
      <c r="P7" t="str">
        <f ca="1">$J7</f>
        <v>Sep-24</v>
      </c>
      <c r="Q7">
        <f>$E7</f>
        <v>0</v>
      </c>
      <c r="R7">
        <f>$I7</f>
        <v>0</v>
      </c>
    </row>
    <row r="8" spans="1:18" x14ac:dyDescent="0.3">
      <c r="A8" s="10">
        <f ca="1">Returns!$A$6</f>
        <v>45551</v>
      </c>
      <c r="B8" s="27">
        <f ca="1">IF($A8="","",Returns!$J$6)</f>
        <v>2.172354871294413E-2</v>
      </c>
      <c r="C8" s="61">
        <f t="shared" ref="C8:C39" ca="1" si="0">IF($A8="","",C7*(1+$B8))</f>
        <v>102.17235487129442</v>
      </c>
      <c r="D8" s="61">
        <f ca="1">IF($A8="","",MAX($C$7:C8))</f>
        <v>102.17235487129442</v>
      </c>
      <c r="E8" s="26">
        <f t="shared" ref="E8:E39" ca="1" si="1">IF($A8="","",$C8/$D8-1)</f>
        <v>0</v>
      </c>
      <c r="F8" s="27">
        <f ca="1">IF($A8="","",Returns!$I$6)</f>
        <v>1.7939622494318908E-2</v>
      </c>
      <c r="G8" s="61">
        <f t="shared" ref="G8:G39" ca="1" si="2">IF($A8="","",G7*(1+$F8))</f>
        <v>101.79396224943189</v>
      </c>
      <c r="H8" s="61">
        <f ca="1">IF($A8="","",MAX($G$7:G8))</f>
        <v>101.79396224943189</v>
      </c>
      <c r="I8" s="26">
        <f t="shared" ref="I8:I39" ca="1" si="3">IF($A8="","",$G8/$H8-1)</f>
        <v>0</v>
      </c>
      <c r="J8" s="60" t="str">
        <f t="shared" ref="J8:J39" ca="1" si="4">IF($A8="","",TEXT($A8,"mmm-yy"))</f>
        <v>Sep-24</v>
      </c>
      <c r="K8" s="3"/>
      <c r="L8" t="str">
        <f t="shared" ref="L8:L71" ca="1" si="5">$J8</f>
        <v>Sep-24</v>
      </c>
      <c r="M8">
        <f t="shared" ref="M8:M71" ca="1" si="6">$C8</f>
        <v>102.17235487129442</v>
      </c>
      <c r="N8">
        <f t="shared" ref="N8:N71" ca="1" si="7">$G8</f>
        <v>101.79396224943189</v>
      </c>
      <c r="P8" t="str">
        <f t="shared" ref="P8:P71" ca="1" si="8">$J8</f>
        <v>Sep-24</v>
      </c>
      <c r="Q8">
        <f t="shared" ref="Q8:Q71" ca="1" si="9">$E8</f>
        <v>0</v>
      </c>
      <c r="R8">
        <f t="shared" ref="R8:R71" ca="1" si="10">$I8</f>
        <v>0</v>
      </c>
    </row>
    <row r="9" spans="1:18" x14ac:dyDescent="0.3">
      <c r="A9" s="10">
        <f ca="1">Returns!$A$7</f>
        <v>45558</v>
      </c>
      <c r="B9" s="27">
        <f ca="1">IF($A9="","",Returns!$J$7)</f>
        <v>1.9295337152416971E-2</v>
      </c>
      <c r="C9" s="61">
        <f t="shared" ca="1" si="0"/>
        <v>104.14380490619243</v>
      </c>
      <c r="D9" s="61">
        <f ca="1">IF($A9="","",MAX($C$7:C9))</f>
        <v>104.14380490619243</v>
      </c>
      <c r="E9" s="26">
        <f t="shared" ca="1" si="1"/>
        <v>0</v>
      </c>
      <c r="F9" s="27">
        <f ca="1">IF($A9="","",Returns!$I$7)</f>
        <v>2.1876231102575527E-2</v>
      </c>
      <c r="G9" s="61">
        <f t="shared" ca="1" si="2"/>
        <v>104.0208304924473</v>
      </c>
      <c r="H9" s="61">
        <f ca="1">IF($A9="","",MAX($G$7:G9))</f>
        <v>104.0208304924473</v>
      </c>
      <c r="I9" s="26">
        <f t="shared" ca="1" si="3"/>
        <v>0</v>
      </c>
      <c r="J9" s="60" t="str">
        <f t="shared" ca="1" si="4"/>
        <v>Sep-24</v>
      </c>
      <c r="K9" s="3"/>
      <c r="L9" t="str">
        <f t="shared" ca="1" si="5"/>
        <v>Sep-24</v>
      </c>
      <c r="M9">
        <f t="shared" ca="1" si="6"/>
        <v>104.14380490619243</v>
      </c>
      <c r="N9">
        <f t="shared" ca="1" si="7"/>
        <v>104.0208304924473</v>
      </c>
      <c r="P9" t="str">
        <f t="shared" ca="1" si="8"/>
        <v>Sep-24</v>
      </c>
      <c r="Q9">
        <f t="shared" ca="1" si="9"/>
        <v>0</v>
      </c>
      <c r="R9">
        <f t="shared" ca="1" si="10"/>
        <v>0</v>
      </c>
    </row>
    <row r="10" spans="1:18" x14ac:dyDescent="0.3">
      <c r="A10" s="10">
        <f ca="1">Returns!$A$8</f>
        <v>45565</v>
      </c>
      <c r="B10" s="27">
        <f ca="1">IF($A10="","",Returns!$J$8)</f>
        <v>-5.8302103969896858E-2</v>
      </c>
      <c r="C10" s="61">
        <f t="shared" ca="1" si="0"/>
        <v>98.072001964730944</v>
      </c>
      <c r="D10" s="61">
        <f ca="1">IF($A10="","",MAX($C$7:C10))</f>
        <v>104.14380490619243</v>
      </c>
      <c r="E10" s="26">
        <f t="shared" ca="1" si="1"/>
        <v>-5.8302103969896879E-2</v>
      </c>
      <c r="F10" s="27">
        <f ca="1">IF($A10="","",Returns!$I$8)</f>
        <v>-4.9424002811879753E-3</v>
      </c>
      <c r="G10" s="61">
        <f t="shared" ca="1" si="2"/>
        <v>103.50671791057202</v>
      </c>
      <c r="H10" s="61">
        <f ca="1">IF($A10="","",MAX($G$7:G10))</f>
        <v>104.0208304924473</v>
      </c>
      <c r="I10" s="26">
        <f t="shared" ca="1" si="3"/>
        <v>-4.9424002811879753E-3</v>
      </c>
      <c r="J10" s="60" t="str">
        <f t="shared" ca="1" si="4"/>
        <v>Sep-24</v>
      </c>
      <c r="K10" s="3"/>
      <c r="L10" t="str">
        <f t="shared" ca="1" si="5"/>
        <v>Sep-24</v>
      </c>
      <c r="M10">
        <f t="shared" ca="1" si="6"/>
        <v>98.072001964730944</v>
      </c>
      <c r="N10">
        <f t="shared" ca="1" si="7"/>
        <v>103.50671791057202</v>
      </c>
      <c r="P10" t="str">
        <f t="shared" ca="1" si="8"/>
        <v>Sep-24</v>
      </c>
      <c r="Q10">
        <f t="shared" ca="1" si="9"/>
        <v>-5.8302103969896879E-2</v>
      </c>
      <c r="R10">
        <f t="shared" ca="1" si="10"/>
        <v>-4.9424002811879753E-3</v>
      </c>
    </row>
    <row r="11" spans="1:18" x14ac:dyDescent="0.3">
      <c r="A11" s="10">
        <f ca="1">Returns!$A$9</f>
        <v>45572</v>
      </c>
      <c r="B11" s="27">
        <f ca="1">IF($A11="","",Returns!$J$9)</f>
        <v>3.5836357894099865E-3</v>
      </c>
      <c r="C11" s="61">
        <f t="shared" ca="1" si="0"/>
        <v>98.423456300910829</v>
      </c>
      <c r="D11" s="61">
        <f ca="1">IF($A11="","",MAX($C$7:C11))</f>
        <v>104.14380490619243</v>
      </c>
      <c r="E11" s="26">
        <f t="shared" ca="1" si="1"/>
        <v>-5.492740168687138E-2</v>
      </c>
      <c r="F11" s="27">
        <f ca="1">IF($A11="","",Returns!$I$9)</f>
        <v>-3.9328407423144141E-2</v>
      </c>
      <c r="G11" s="61">
        <f t="shared" ca="1" si="2"/>
        <v>99.435963537552595</v>
      </c>
      <c r="H11" s="61">
        <f ca="1">IF($A11="","",MAX($G$7:G11))</f>
        <v>104.0208304924473</v>
      </c>
      <c r="I11" s="26">
        <f t="shared" ca="1" si="3"/>
        <v>-4.4076430972425307E-2</v>
      </c>
      <c r="J11" s="60" t="str">
        <f t="shared" ca="1" si="4"/>
        <v>Oct-24</v>
      </c>
      <c r="K11" s="3"/>
      <c r="L11" t="str">
        <f t="shared" ca="1" si="5"/>
        <v>Oct-24</v>
      </c>
      <c r="M11">
        <f t="shared" ca="1" si="6"/>
        <v>98.423456300910829</v>
      </c>
      <c r="N11">
        <f t="shared" ca="1" si="7"/>
        <v>99.435963537552595</v>
      </c>
      <c r="P11" t="str">
        <f t="shared" ca="1" si="8"/>
        <v>Oct-24</v>
      </c>
      <c r="Q11">
        <f t="shared" ca="1" si="9"/>
        <v>-5.492740168687138E-2</v>
      </c>
      <c r="R11">
        <f t="shared" ca="1" si="10"/>
        <v>-4.4076430972425307E-2</v>
      </c>
    </row>
    <row r="12" spans="1:18" x14ac:dyDescent="0.3">
      <c r="A12" s="10">
        <f ca="1">Returns!$A$10</f>
        <v>45579</v>
      </c>
      <c r="B12" s="27">
        <f ca="1">IF($A12="","",Returns!$J$10)</f>
        <v>-2.4325909901184409E-3</v>
      </c>
      <c r="C12" s="61">
        <f t="shared" ca="1" si="0"/>
        <v>98.184032287896926</v>
      </c>
      <c r="D12" s="61">
        <f ca="1">IF($A12="","",MAX($C$7:C12))</f>
        <v>104.14380490619243</v>
      </c>
      <c r="E12" s="26">
        <f t="shared" ca="1" si="1"/>
        <v>-5.7226376774535681E-2</v>
      </c>
      <c r="F12" s="27">
        <f ca="1">IF($A12="","",Returns!$I$10)</f>
        <v>1.3397425718117084E-2</v>
      </c>
      <c r="G12" s="61">
        <f t="shared" ca="1" si="2"/>
        <v>100.76814947275635</v>
      </c>
      <c r="H12" s="61">
        <f ca="1">IF($A12="","",MAX($G$7:G12))</f>
        <v>104.0208304924473</v>
      </c>
      <c r="I12" s="26">
        <f t="shared" ca="1" si="3"/>
        <v>-3.1269515964181038E-2</v>
      </c>
      <c r="J12" s="60" t="str">
        <f t="shared" ca="1" si="4"/>
        <v>Oct-24</v>
      </c>
      <c r="K12" s="3"/>
      <c r="L12" t="str">
        <f t="shared" ca="1" si="5"/>
        <v>Oct-24</v>
      </c>
      <c r="M12">
        <f t="shared" ca="1" si="6"/>
        <v>98.184032287896926</v>
      </c>
      <c r="N12">
        <f t="shared" ca="1" si="7"/>
        <v>100.76814947275635</v>
      </c>
      <c r="P12" t="str">
        <f t="shared" ca="1" si="8"/>
        <v>Oct-24</v>
      </c>
      <c r="Q12">
        <f t="shared" ca="1" si="9"/>
        <v>-5.7226376774535681E-2</v>
      </c>
      <c r="R12">
        <f t="shared" ca="1" si="10"/>
        <v>-3.1269515964181038E-2</v>
      </c>
    </row>
    <row r="13" spans="1:18" x14ac:dyDescent="0.3">
      <c r="A13" s="10">
        <f ca="1">Returns!$A$11</f>
        <v>45586</v>
      </c>
      <c r="B13" s="27">
        <f ca="1">IF($A13="","",Returns!$J$11)</f>
        <v>-2.4431010936306324E-2</v>
      </c>
      <c r="C13" s="61">
        <f t="shared" ca="1" si="0"/>
        <v>95.785297121300673</v>
      </c>
      <c r="D13" s="61">
        <f ca="1">IF($A13="","",MAX($C$7:C13))</f>
        <v>104.14380490619243</v>
      </c>
      <c r="E13" s="26">
        <f t="shared" ca="1" si="1"/>
        <v>-8.0259289474018058E-2</v>
      </c>
      <c r="F13" s="27">
        <f ca="1">IF($A13="","",Returns!$I$11)</f>
        <v>-1.3803339315736407E-2</v>
      </c>
      <c r="G13" s="61">
        <f t="shared" ca="1" si="2"/>
        <v>99.377212513365052</v>
      </c>
      <c r="H13" s="61">
        <f ca="1">IF($A13="","",MAX($G$7:G13))</f>
        <v>104.0208304924473</v>
      </c>
      <c r="I13" s="26">
        <f t="shared" ca="1" si="3"/>
        <v>-4.4641231540824999E-2</v>
      </c>
      <c r="J13" s="60" t="str">
        <f t="shared" ca="1" si="4"/>
        <v>Oct-24</v>
      </c>
      <c r="K13" s="3"/>
      <c r="L13" t="str">
        <f t="shared" ca="1" si="5"/>
        <v>Oct-24</v>
      </c>
      <c r="M13">
        <f t="shared" ca="1" si="6"/>
        <v>95.785297121300673</v>
      </c>
      <c r="N13">
        <f t="shared" ca="1" si="7"/>
        <v>99.377212513365052</v>
      </c>
      <c r="P13" t="str">
        <f t="shared" ca="1" si="8"/>
        <v>Oct-24</v>
      </c>
      <c r="Q13">
        <f t="shared" ca="1" si="9"/>
        <v>-8.0259289474018058E-2</v>
      </c>
      <c r="R13">
        <f t="shared" ca="1" si="10"/>
        <v>-4.4641231540824999E-2</v>
      </c>
    </row>
    <row r="14" spans="1:18" x14ac:dyDescent="0.3">
      <c r="A14" s="10">
        <f ca="1">Returns!$A$12</f>
        <v>45593</v>
      </c>
      <c r="B14" s="27">
        <f ca="1">IF($A14="","",Returns!$J$12)</f>
        <v>6.4912391000878254E-3</v>
      </c>
      <c r="C14" s="61">
        <f t="shared" ca="1" si="0"/>
        <v>96.407062387187977</v>
      </c>
      <c r="D14" s="61">
        <f ca="1">IF($A14="","",MAX($C$7:C14))</f>
        <v>104.14380490619243</v>
      </c>
      <c r="E14" s="26">
        <f t="shared" ca="1" si="1"/>
        <v>-7.4289032611909334E-2</v>
      </c>
      <c r="F14" s="27">
        <f ca="1">IF($A14="","",Returns!$I$12)</f>
        <v>-1.78341246238648E-2</v>
      </c>
      <c r="G14" s="61">
        <f t="shared" ca="1" si="2"/>
        <v>97.604906920629404</v>
      </c>
      <c r="H14" s="61">
        <f ca="1">IF($A14="","",MAX($G$7:G14))</f>
        <v>104.0208304924473</v>
      </c>
      <c r="I14" s="26">
        <f t="shared" ca="1" si="3"/>
        <v>-6.1679218878027964E-2</v>
      </c>
      <c r="J14" s="60" t="str">
        <f t="shared" ca="1" si="4"/>
        <v>Oct-24</v>
      </c>
      <c r="K14" s="3"/>
      <c r="L14" t="str">
        <f t="shared" ca="1" si="5"/>
        <v>Oct-24</v>
      </c>
      <c r="M14">
        <f t="shared" ca="1" si="6"/>
        <v>96.407062387187977</v>
      </c>
      <c r="N14">
        <f t="shared" ca="1" si="7"/>
        <v>97.604906920629404</v>
      </c>
      <c r="P14" t="str">
        <f t="shared" ca="1" si="8"/>
        <v>Oct-24</v>
      </c>
      <c r="Q14">
        <f t="shared" ca="1" si="9"/>
        <v>-7.4289032611909334E-2</v>
      </c>
      <c r="R14">
        <f t="shared" ca="1" si="10"/>
        <v>-6.1679218878027964E-2</v>
      </c>
    </row>
    <row r="15" spans="1:18" x14ac:dyDescent="0.3">
      <c r="A15" s="10">
        <f ca="1">Returns!$A$13</f>
        <v>45600</v>
      </c>
      <c r="B15" s="27">
        <f ca="1">IF($A15="","",Returns!$J$13)</f>
        <v>-2.2311124897330618E-3</v>
      </c>
      <c r="C15" s="61">
        <f t="shared" ca="1" si="0"/>
        <v>96.191967386197447</v>
      </c>
      <c r="D15" s="61">
        <f ca="1">IF($A15="","",MAX($C$7:C15))</f>
        <v>104.14380490619243</v>
      </c>
      <c r="E15" s="26">
        <f t="shared" ca="1" si="1"/>
        <v>-7.6354397913131811E-2</v>
      </c>
      <c r="F15" s="27">
        <f ca="1">IF($A15="","",Returns!$I$13)</f>
        <v>-1.4125422446234048E-2</v>
      </c>
      <c r="G15" s="61">
        <f t="shared" ca="1" si="2"/>
        <v>96.226196377550167</v>
      </c>
      <c r="H15" s="61">
        <f ca="1">IF($A15="","",MAX($G$7:G15))</f>
        <v>104.0208304924473</v>
      </c>
      <c r="I15" s="26">
        <f t="shared" ca="1" si="3"/>
        <v>-7.4933396301456012E-2</v>
      </c>
      <c r="J15" s="60" t="str">
        <f t="shared" ca="1" si="4"/>
        <v>Nov-24</v>
      </c>
      <c r="K15" s="3"/>
      <c r="L15" t="str">
        <f t="shared" ca="1" si="5"/>
        <v>Nov-24</v>
      </c>
      <c r="M15">
        <f t="shared" ca="1" si="6"/>
        <v>96.191967386197447</v>
      </c>
      <c r="N15">
        <f t="shared" ca="1" si="7"/>
        <v>96.226196377550167</v>
      </c>
      <c r="P15" t="str">
        <f t="shared" ca="1" si="8"/>
        <v>Nov-24</v>
      </c>
      <c r="Q15">
        <f t="shared" ca="1" si="9"/>
        <v>-7.6354397913131811E-2</v>
      </c>
      <c r="R15">
        <f t="shared" ca="1" si="10"/>
        <v>-7.4933396301456012E-2</v>
      </c>
    </row>
    <row r="16" spans="1:18" x14ac:dyDescent="0.3">
      <c r="A16" s="10">
        <f ca="1">Returns!$A$14</f>
        <v>45607</v>
      </c>
      <c r="B16" s="27">
        <f ca="1">IF($A16="","",Returns!$J$14)</f>
        <v>-2.4247542684699253E-2</v>
      </c>
      <c r="C16" s="61">
        <f t="shared" ca="1" si="0"/>
        <v>93.85954855107542</v>
      </c>
      <c r="D16" s="61">
        <f ca="1">IF($A16="","",MAX($C$7:C16))</f>
        <v>104.14380490619243</v>
      </c>
      <c r="E16" s="26">
        <f t="shared" ca="1" si="1"/>
        <v>-9.8750534075267904E-2</v>
      </c>
      <c r="F16" s="27">
        <f ca="1">IF($A16="","",Returns!$I$14)</f>
        <v>6.0824774071213117E-3</v>
      </c>
      <c r="G16" s="61">
        <f t="shared" ca="1" si="2"/>
        <v>96.811490042989831</v>
      </c>
      <c r="H16" s="61">
        <f ca="1">IF($A16="","",MAX($G$7:G16))</f>
        <v>104.0208304924473</v>
      </c>
      <c r="I16" s="26">
        <f t="shared" ca="1" si="3"/>
        <v>-6.9306699584377185E-2</v>
      </c>
      <c r="J16" s="60" t="str">
        <f t="shared" ca="1" si="4"/>
        <v>Nov-24</v>
      </c>
      <c r="K16" s="3"/>
      <c r="L16" t="str">
        <f t="shared" ca="1" si="5"/>
        <v>Nov-24</v>
      </c>
      <c r="M16">
        <f t="shared" ca="1" si="6"/>
        <v>93.85954855107542</v>
      </c>
      <c r="N16">
        <f t="shared" ca="1" si="7"/>
        <v>96.811490042989831</v>
      </c>
      <c r="P16" t="str">
        <f t="shared" ca="1" si="8"/>
        <v>Nov-24</v>
      </c>
      <c r="Q16">
        <f t="shared" ca="1" si="9"/>
        <v>-9.8750534075267904E-2</v>
      </c>
      <c r="R16">
        <f t="shared" ca="1" si="10"/>
        <v>-6.9306699584377185E-2</v>
      </c>
    </row>
    <row r="17" spans="1:18" x14ac:dyDescent="0.3">
      <c r="A17" s="10">
        <f ca="1">Returns!$A$15</f>
        <v>45614</v>
      </c>
      <c r="B17" s="27">
        <f ca="1">IF($A17="","",Returns!$J$15)</f>
        <v>1.0647048240772939E-2</v>
      </c>
      <c r="C17" s="61">
        <f t="shared" ca="1" si="0"/>
        <v>94.858875692355895</v>
      </c>
      <c r="D17" s="61">
        <f ca="1">IF($A17="","",MAX($C$7:C17))</f>
        <v>104.14380490619243</v>
      </c>
      <c r="E17" s="26">
        <f t="shared" ca="1" si="1"/>
        <v>-8.9154887534596439E-2</v>
      </c>
      <c r="F17" s="27">
        <f ca="1">IF($A17="","",Returns!$I$15)</f>
        <v>-2.8478167196937743E-2</v>
      </c>
      <c r="G17" s="61">
        <f t="shared" ca="1" si="2"/>
        <v>94.054476242960888</v>
      </c>
      <c r="H17" s="61">
        <f ca="1">IF($A17="","",MAX($G$7:G17))</f>
        <v>104.0208304924473</v>
      </c>
      <c r="I17" s="26">
        <f t="shared" ca="1" si="3"/>
        <v>-9.5811139002683232E-2</v>
      </c>
      <c r="J17" s="60" t="str">
        <f t="shared" ca="1" si="4"/>
        <v>Nov-24</v>
      </c>
      <c r="K17" s="3"/>
      <c r="L17" t="str">
        <f t="shared" ca="1" si="5"/>
        <v>Nov-24</v>
      </c>
      <c r="M17">
        <f t="shared" ca="1" si="6"/>
        <v>94.858875692355895</v>
      </c>
      <c r="N17">
        <f t="shared" ca="1" si="7"/>
        <v>94.054476242960888</v>
      </c>
      <c r="P17" t="str">
        <f t="shared" ca="1" si="8"/>
        <v>Nov-24</v>
      </c>
      <c r="Q17">
        <f t="shared" ca="1" si="9"/>
        <v>-8.9154887534596439E-2</v>
      </c>
      <c r="R17">
        <f t="shared" ca="1" si="10"/>
        <v>-9.5811139002683232E-2</v>
      </c>
    </row>
    <row r="18" spans="1:18" x14ac:dyDescent="0.3">
      <c r="A18" s="10">
        <f ca="1">Returns!$A$16</f>
        <v>45621</v>
      </c>
      <c r="B18" s="27">
        <f ca="1">IF($A18="","",Returns!$J$16)</f>
        <v>2.1002937129024127E-2</v>
      </c>
      <c r="C18" s="61">
        <f t="shared" ca="1" si="0"/>
        <v>96.85119069465236</v>
      </c>
      <c r="D18" s="61">
        <f ca="1">IF($A18="","",MAX($C$7:C18))</f>
        <v>104.14380490619243</v>
      </c>
      <c r="E18" s="26">
        <f t="shared" ca="1" si="1"/>
        <v>-7.0024464903206574E-2</v>
      </c>
      <c r="F18" s="27">
        <f ca="1">IF($A18="","",Returns!$I$16)</f>
        <v>3.2749472741708141E-2</v>
      </c>
      <c r="G18" s="61">
        <f t="shared" ca="1" si="2"/>
        <v>97.134710748915367</v>
      </c>
      <c r="H18" s="61">
        <f ca="1">IF($A18="","",MAX($G$7:G18))</f>
        <v>104.0208304924473</v>
      </c>
      <c r="I18" s="26">
        <f t="shared" ca="1" si="3"/>
        <v>-6.619943054609545E-2</v>
      </c>
      <c r="J18" s="60" t="str">
        <f t="shared" ca="1" si="4"/>
        <v>Nov-24</v>
      </c>
      <c r="K18" s="3"/>
      <c r="L18" t="str">
        <f t="shared" ca="1" si="5"/>
        <v>Nov-24</v>
      </c>
      <c r="M18">
        <f t="shared" ca="1" si="6"/>
        <v>96.85119069465236</v>
      </c>
      <c r="N18">
        <f t="shared" ca="1" si="7"/>
        <v>97.134710748915367</v>
      </c>
      <c r="P18" t="str">
        <f t="shared" ca="1" si="8"/>
        <v>Nov-24</v>
      </c>
      <c r="Q18">
        <f t="shared" ca="1" si="9"/>
        <v>-7.0024464903206574E-2</v>
      </c>
      <c r="R18">
        <f t="shared" ca="1" si="10"/>
        <v>-6.619943054609545E-2</v>
      </c>
    </row>
    <row r="19" spans="1:18" x14ac:dyDescent="0.3">
      <c r="A19" s="10">
        <f ca="1">Returns!$A$17</f>
        <v>45628</v>
      </c>
      <c r="B19" s="27">
        <f ca="1">IF($A19="","",Returns!$J$17)</f>
        <v>1.2927436439887679E-2</v>
      </c>
      <c r="C19" s="61">
        <f t="shared" ca="1" si="0"/>
        <v>98.103228306484922</v>
      </c>
      <c r="D19" s="61">
        <f ca="1">IF($A19="","",MAX($C$7:C19))</f>
        <v>104.14380490619243</v>
      </c>
      <c r="E19" s="26">
        <f t="shared" ca="1" si="1"/>
        <v>-5.8002265282592225E-2</v>
      </c>
      <c r="F19" s="27">
        <f ca="1">IF($A19="","",Returns!$I$17)</f>
        <v>2.2355962889666348E-3</v>
      </c>
      <c r="G19" s="61">
        <f t="shared" ca="1" si="2"/>
        <v>97.351864747795489</v>
      </c>
      <c r="H19" s="61">
        <f ca="1">IF($A19="","",MAX($G$7:G19))</f>
        <v>104.0208304924473</v>
      </c>
      <c r="I19" s="26">
        <f t="shared" ca="1" si="3"/>
        <v>-6.4111829458389447E-2</v>
      </c>
      <c r="J19" s="60" t="str">
        <f t="shared" ca="1" si="4"/>
        <v>Dec-24</v>
      </c>
      <c r="K19" s="3"/>
      <c r="L19" t="str">
        <f t="shared" ca="1" si="5"/>
        <v>Dec-24</v>
      </c>
      <c r="M19">
        <f t="shared" ca="1" si="6"/>
        <v>98.103228306484922</v>
      </c>
      <c r="N19">
        <f t="shared" ca="1" si="7"/>
        <v>97.351864747795489</v>
      </c>
      <c r="P19" t="str">
        <f t="shared" ca="1" si="8"/>
        <v>Dec-24</v>
      </c>
      <c r="Q19">
        <f t="shared" ca="1" si="9"/>
        <v>-5.8002265282592225E-2</v>
      </c>
      <c r="R19">
        <f t="shared" ca="1" si="10"/>
        <v>-6.4111829458389447E-2</v>
      </c>
    </row>
    <row r="20" spans="1:18" x14ac:dyDescent="0.3">
      <c r="A20" s="10">
        <f ca="1">Returns!$A$18</f>
        <v>45635</v>
      </c>
      <c r="B20" s="27">
        <f ca="1">IF($A20="","",Returns!$J$18)</f>
        <v>2.3414089464156244E-3</v>
      </c>
      <c r="C20" s="61">
        <f t="shared" ca="1" si="0"/>
        <v>98.332928082913966</v>
      </c>
      <c r="D20" s="61">
        <f ca="1">IF($A20="","",MAX($C$7:C20))</f>
        <v>104.14380490619243</v>
      </c>
      <c r="E20" s="26">
        <f t="shared" ca="1" si="1"/>
        <v>-5.5796663359021781E-2</v>
      </c>
      <c r="F20" s="27">
        <f ca="1">IF($A20="","",Returns!$I$18)</f>
        <v>1.4127059703421097E-2</v>
      </c>
      <c r="G20" s="61">
        <f t="shared" ca="1" si="2"/>
        <v>98.727160353326965</v>
      </c>
      <c r="H20" s="61">
        <f ca="1">IF($A20="","",MAX($G$7:G20))</f>
        <v>104.0208304924473</v>
      </c>
      <c r="I20" s="26">
        <f t="shared" ca="1" si="3"/>
        <v>-5.0890481397422582E-2</v>
      </c>
      <c r="J20" s="60" t="str">
        <f t="shared" ca="1" si="4"/>
        <v>Dec-24</v>
      </c>
      <c r="K20" s="3"/>
      <c r="L20" t="str">
        <f t="shared" ca="1" si="5"/>
        <v>Dec-24</v>
      </c>
      <c r="M20">
        <f t="shared" ca="1" si="6"/>
        <v>98.332928082913966</v>
      </c>
      <c r="N20">
        <f t="shared" ca="1" si="7"/>
        <v>98.727160353326965</v>
      </c>
      <c r="P20" t="str">
        <f t="shared" ca="1" si="8"/>
        <v>Dec-24</v>
      </c>
      <c r="Q20">
        <f t="shared" ca="1" si="9"/>
        <v>-5.5796663359021781E-2</v>
      </c>
      <c r="R20">
        <f t="shared" ca="1" si="10"/>
        <v>-5.0890481397422582E-2</v>
      </c>
    </row>
    <row r="21" spans="1:18" x14ac:dyDescent="0.3">
      <c r="A21" s="10">
        <f ca="1">Returns!$A$19</f>
        <v>45642</v>
      </c>
      <c r="B21" s="27">
        <f ca="1">IF($A21="","",Returns!$J$19)</f>
        <v>-4.327559290478044E-2</v>
      </c>
      <c r="C21" s="61">
        <f t="shared" ca="1" si="0"/>
        <v>94.07751231806273</v>
      </c>
      <c r="D21" s="61">
        <f ca="1">IF($A21="","",MAX($C$7:C21))</f>
        <v>104.14380490619243</v>
      </c>
      <c r="E21" s="26">
        <f t="shared" ca="1" si="1"/>
        <v>-9.6657622574832125E-2</v>
      </c>
      <c r="F21" s="27">
        <f ca="1">IF($A21="","",Returns!$I$19)</f>
        <v>2.0004874284089702E-3</v>
      </c>
      <c r="G21" s="61">
        <f t="shared" ca="1" si="2"/>
        <v>98.924662796456317</v>
      </c>
      <c r="H21" s="61">
        <f ca="1">IF($A21="","",MAX($G$7:G21))</f>
        <v>104.0208304924473</v>
      </c>
      <c r="I21" s="26">
        <f t="shared" ca="1" si="3"/>
        <v>-4.8991799737274744E-2</v>
      </c>
      <c r="J21" s="60" t="str">
        <f t="shared" ca="1" si="4"/>
        <v>Dec-24</v>
      </c>
      <c r="K21" s="3"/>
      <c r="L21" t="str">
        <f t="shared" ca="1" si="5"/>
        <v>Dec-24</v>
      </c>
      <c r="M21">
        <f t="shared" ca="1" si="6"/>
        <v>94.07751231806273</v>
      </c>
      <c r="N21">
        <f t="shared" ca="1" si="7"/>
        <v>98.924662796456317</v>
      </c>
      <c r="P21" t="str">
        <f t="shared" ca="1" si="8"/>
        <v>Dec-24</v>
      </c>
      <c r="Q21">
        <f t="shared" ca="1" si="9"/>
        <v>-9.6657622574832125E-2</v>
      </c>
      <c r="R21">
        <f t="shared" ca="1" si="10"/>
        <v>-4.8991799737274744E-2</v>
      </c>
    </row>
    <row r="22" spans="1:18" x14ac:dyDescent="0.3">
      <c r="A22" s="10">
        <f ca="1">Returns!$A$20</f>
        <v>45649</v>
      </c>
      <c r="B22" s="27">
        <f ca="1">IF($A22="","",Returns!$J$20)</f>
        <v>8.8446670948861203E-3</v>
      </c>
      <c r="C22" s="61">
        <f t="shared" ca="1" si="0"/>
        <v>94.909596595631044</v>
      </c>
      <c r="D22" s="61">
        <f ca="1">IF($A22="","",MAX($C$7:C22))</f>
        <v>104.14380490619243</v>
      </c>
      <c r="E22" s="26">
        <f t="shared" ca="1" si="1"/>
        <v>-8.8667859973803553E-2</v>
      </c>
      <c r="F22" s="27">
        <f ca="1">IF($A22="","",Returns!$I$20)</f>
        <v>-3.7084137758049307E-2</v>
      </c>
      <c r="G22" s="61">
        <f t="shared" ca="1" si="2"/>
        <v>95.256126973643958</v>
      </c>
      <c r="H22" s="61">
        <f ca="1">IF($A22="","",MAX($G$7:G22))</f>
        <v>104.0208304924473</v>
      </c>
      <c r="I22" s="26">
        <f t="shared" ca="1" si="3"/>
        <v>-8.4259118844852265E-2</v>
      </c>
      <c r="J22" s="60" t="str">
        <f t="shared" ca="1" si="4"/>
        <v>Dec-24</v>
      </c>
      <c r="K22" s="3"/>
      <c r="L22" t="str">
        <f t="shared" ca="1" si="5"/>
        <v>Dec-24</v>
      </c>
      <c r="M22">
        <f t="shared" ca="1" si="6"/>
        <v>94.909596595631044</v>
      </c>
      <c r="N22">
        <f t="shared" ca="1" si="7"/>
        <v>95.256126973643958</v>
      </c>
      <c r="P22" t="str">
        <f t="shared" ca="1" si="8"/>
        <v>Dec-24</v>
      </c>
      <c r="Q22">
        <f t="shared" ca="1" si="9"/>
        <v>-8.8667859973803553E-2</v>
      </c>
      <c r="R22">
        <f t="shared" ca="1" si="10"/>
        <v>-8.4259118844852265E-2</v>
      </c>
    </row>
    <row r="23" spans="1:18" x14ac:dyDescent="0.3">
      <c r="A23" s="10">
        <f ca="1">Returns!$A$21</f>
        <v>45656</v>
      </c>
      <c r="B23" s="27">
        <f ca="1">IF($A23="","",Returns!$J$21)</f>
        <v>1.7357678981656244E-2</v>
      </c>
      <c r="C23" s="61">
        <f t="shared" ca="1" si="0"/>
        <v>96.557006905616504</v>
      </c>
      <c r="D23" s="61">
        <f ca="1">IF($A23="","",MAX($C$7:C23))</f>
        <v>104.14380490619243</v>
      </c>
      <c r="E23" s="26">
        <f t="shared" ca="1" si="1"/>
        <v>-7.2849249241562997E-2</v>
      </c>
      <c r="F23" s="27">
        <f ca="1">IF($A23="","",Returns!$I$21)</f>
        <v>-4.5698132984962614E-3</v>
      </c>
      <c r="G23" s="61">
        <f t="shared" ca="1" si="2"/>
        <v>94.820824257836549</v>
      </c>
      <c r="H23" s="61">
        <f ca="1">IF($A23="","",MAX($G$7:G23))</f>
        <v>104.0208304924473</v>
      </c>
      <c r="I23" s="26">
        <f t="shared" ca="1" si="3"/>
        <v>-8.8443883701531778E-2</v>
      </c>
      <c r="J23" s="60" t="str">
        <f t="shared" ca="1" si="4"/>
        <v>Dec-24</v>
      </c>
      <c r="K23" s="3"/>
      <c r="L23" t="str">
        <f t="shared" ca="1" si="5"/>
        <v>Dec-24</v>
      </c>
      <c r="M23">
        <f t="shared" ca="1" si="6"/>
        <v>96.557006905616504</v>
      </c>
      <c r="N23">
        <f t="shared" ca="1" si="7"/>
        <v>94.820824257836549</v>
      </c>
      <c r="P23" t="str">
        <f t="shared" ca="1" si="8"/>
        <v>Dec-24</v>
      </c>
      <c r="Q23">
        <f t="shared" ca="1" si="9"/>
        <v>-7.2849249241562997E-2</v>
      </c>
      <c r="R23">
        <f t="shared" ca="1" si="10"/>
        <v>-8.8443883701531778E-2</v>
      </c>
    </row>
    <row r="24" spans="1:18" x14ac:dyDescent="0.3">
      <c r="A24" s="10">
        <f ca="1">Returns!$A$22</f>
        <v>45663</v>
      </c>
      <c r="B24" s="27">
        <f ca="1">IF($A24="","",Returns!$J$22)</f>
        <v>-1.6941419431707922E-2</v>
      </c>
      <c r="C24" s="61">
        <f t="shared" ca="1" si="0"/>
        <v>94.921194152558144</v>
      </c>
      <c r="D24" s="61">
        <f ca="1">IF($A24="","",MAX($C$7:C24))</f>
        <v>104.14380490619243</v>
      </c>
      <c r="E24" s="26">
        <f t="shared" ca="1" si="1"/>
        <v>-8.8556498986584464E-2</v>
      </c>
      <c r="F24" s="27">
        <f ca="1">IF($A24="","",Returns!$I$22)</f>
        <v>-1.2201197255387042E-3</v>
      </c>
      <c r="G24" s="61">
        <f t="shared" ca="1" si="2"/>
        <v>94.705131499767717</v>
      </c>
      <c r="H24" s="61">
        <f ca="1">IF($A24="","",MAX($G$7:G24))</f>
        <v>104.0208304924473</v>
      </c>
      <c r="I24" s="26">
        <f t="shared" ca="1" si="3"/>
        <v>-8.9556091299963003E-2</v>
      </c>
      <c r="J24" s="60" t="str">
        <f t="shared" ca="1" si="4"/>
        <v>Jan-25</v>
      </c>
      <c r="K24" s="3"/>
      <c r="L24" t="str">
        <f t="shared" ca="1" si="5"/>
        <v>Jan-25</v>
      </c>
      <c r="M24">
        <f t="shared" ca="1" si="6"/>
        <v>94.921194152558144</v>
      </c>
      <c r="N24">
        <f t="shared" ca="1" si="7"/>
        <v>94.705131499767717</v>
      </c>
      <c r="P24" t="str">
        <f t="shared" ca="1" si="8"/>
        <v>Jan-25</v>
      </c>
      <c r="Q24">
        <f t="shared" ca="1" si="9"/>
        <v>-8.8556498986584464E-2</v>
      </c>
      <c r="R24">
        <f t="shared" ca="1" si="10"/>
        <v>-8.9556091299963003E-2</v>
      </c>
    </row>
    <row r="25" spans="1:18" x14ac:dyDescent="0.3">
      <c r="A25" s="10">
        <f ca="1">Returns!$A$23</f>
        <v>45670</v>
      </c>
      <c r="B25" s="27">
        <f ca="1">IF($A25="","",Returns!$J$23)</f>
        <v>5.7652559104861816E-3</v>
      </c>
      <c r="C25" s="61">
        <f t="shared" ca="1" si="0"/>
        <v>95.468439128176584</v>
      </c>
      <c r="D25" s="61">
        <f ca="1">IF($A25="","",MAX($C$7:C25))</f>
        <v>104.14380490619243</v>
      </c>
      <c r="E25" s="26">
        <f t="shared" ca="1" si="1"/>
        <v>-8.3301793955292691E-2</v>
      </c>
      <c r="F25" s="27">
        <f ca="1">IF($A25="","",Returns!$I$23)</f>
        <v>-2.2446664237395497E-2</v>
      </c>
      <c r="G25" s="61">
        <f t="shared" ca="1" si="2"/>
        <v>92.579317211434045</v>
      </c>
      <c r="H25" s="61">
        <f ca="1">IF($A25="","",MAX($G$7:G25))</f>
        <v>104.0208304924473</v>
      </c>
      <c r="I25" s="26">
        <f t="shared" ca="1" si="3"/>
        <v>-0.10999252002553472</v>
      </c>
      <c r="J25" s="60" t="str">
        <f t="shared" ca="1" si="4"/>
        <v>Jan-25</v>
      </c>
      <c r="K25" s="3"/>
      <c r="L25" t="str">
        <f t="shared" ca="1" si="5"/>
        <v>Jan-25</v>
      </c>
      <c r="M25">
        <f t="shared" ca="1" si="6"/>
        <v>95.468439128176584</v>
      </c>
      <c r="N25">
        <f t="shared" ca="1" si="7"/>
        <v>92.579317211434045</v>
      </c>
      <c r="P25" t="str">
        <f t="shared" ca="1" si="8"/>
        <v>Jan-25</v>
      </c>
      <c r="Q25">
        <f t="shared" ca="1" si="9"/>
        <v>-8.3301793955292691E-2</v>
      </c>
      <c r="R25">
        <f t="shared" ca="1" si="10"/>
        <v>-0.10999252002553472</v>
      </c>
    </row>
    <row r="26" spans="1:18" x14ac:dyDescent="0.3">
      <c r="A26" s="10">
        <f ca="1">Returns!$A$24</f>
        <v>45677</v>
      </c>
      <c r="B26" s="27">
        <f ca="1">IF($A26="","",Returns!$J$24)</f>
        <v>-1.5478964581627718E-2</v>
      </c>
      <c r="C26" s="61">
        <f t="shared" ca="1" si="0"/>
        <v>93.990686540248262</v>
      </c>
      <c r="D26" s="61">
        <f ca="1">IF($A26="","",MAX($C$7:C26))</f>
        <v>104.14380490619243</v>
      </c>
      <c r="E26" s="26">
        <f t="shared" ca="1" si="1"/>
        <v>-9.7491333018700388E-2</v>
      </c>
      <c r="F26" s="27">
        <f ca="1">IF($A26="","",Returns!$I$24)</f>
        <v>1.121031579848597E-2</v>
      </c>
      <c r="G26" s="61">
        <f t="shared" ca="1" si="2"/>
        <v>93.61716059378243</v>
      </c>
      <c r="H26" s="61">
        <f ca="1">IF($A26="","",MAX($G$7:G26))</f>
        <v>104.0208304924473</v>
      </c>
      <c r="I26" s="26">
        <f t="shared" ca="1" si="3"/>
        <v>-0.10001525511200626</v>
      </c>
      <c r="J26" s="60" t="str">
        <f t="shared" ca="1" si="4"/>
        <v>Jan-25</v>
      </c>
      <c r="K26" s="3"/>
      <c r="L26" t="str">
        <f t="shared" ca="1" si="5"/>
        <v>Jan-25</v>
      </c>
      <c r="M26">
        <f t="shared" ca="1" si="6"/>
        <v>93.990686540248262</v>
      </c>
      <c r="N26">
        <f t="shared" ca="1" si="7"/>
        <v>93.61716059378243</v>
      </c>
      <c r="P26" t="str">
        <f t="shared" ca="1" si="8"/>
        <v>Jan-25</v>
      </c>
      <c r="Q26">
        <f t="shared" ca="1" si="9"/>
        <v>-9.7491333018700388E-2</v>
      </c>
      <c r="R26">
        <f t="shared" ca="1" si="10"/>
        <v>-0.10001525511200626</v>
      </c>
    </row>
    <row r="27" spans="1:18" x14ac:dyDescent="0.3">
      <c r="A27" s="10">
        <f ca="1">Returns!$A$25</f>
        <v>45684</v>
      </c>
      <c r="B27" s="27">
        <f ca="1">IF($A27="","",Returns!$J$25)</f>
        <v>1.1658455482760961E-2</v>
      </c>
      <c r="C27" s="61">
        <f t="shared" ca="1" si="0"/>
        <v>95.086472775071897</v>
      </c>
      <c r="D27" s="61">
        <f ca="1">IF($A27="","",MAX($C$7:C27))</f>
        <v>104.14380490619243</v>
      </c>
      <c r="E27" s="26">
        <f t="shared" ca="1" si="1"/>
        <v>-8.6969475901892856E-2</v>
      </c>
      <c r="F27" s="27">
        <f ca="1">IF($A27="","",Returns!$I$25)</f>
        <v>-2.2086319595412296E-2</v>
      </c>
      <c r="G27" s="61">
        <f t="shared" ca="1" si="2"/>
        <v>91.549502065293112</v>
      </c>
      <c r="H27" s="61">
        <f ca="1">IF($A27="","",MAX($G$7:G27))</f>
        <v>104.0208304924473</v>
      </c>
      <c r="I27" s="26">
        <f t="shared" ca="1" si="3"/>
        <v>-0.11989260581859806</v>
      </c>
      <c r="J27" s="60" t="str">
        <f t="shared" ca="1" si="4"/>
        <v>Jan-25</v>
      </c>
      <c r="K27" s="3"/>
      <c r="L27" t="str">
        <f t="shared" ca="1" si="5"/>
        <v>Jan-25</v>
      </c>
      <c r="M27">
        <f t="shared" ca="1" si="6"/>
        <v>95.086472775071897</v>
      </c>
      <c r="N27">
        <f t="shared" ca="1" si="7"/>
        <v>91.549502065293112</v>
      </c>
      <c r="P27" t="str">
        <f t="shared" ca="1" si="8"/>
        <v>Jan-25</v>
      </c>
      <c r="Q27">
        <f t="shared" ca="1" si="9"/>
        <v>-8.6969475901892856E-2</v>
      </c>
      <c r="R27">
        <f t="shared" ca="1" si="10"/>
        <v>-0.11989260581859806</v>
      </c>
    </row>
    <row r="28" spans="1:18" x14ac:dyDescent="0.3">
      <c r="A28" s="10">
        <f ca="1">Returns!$A$26</f>
        <v>45691</v>
      </c>
      <c r="B28" s="27">
        <f ca="1">IF($A28="","",Returns!$J$26)</f>
        <v>1.0189601097502596E-2</v>
      </c>
      <c r="C28" s="61">
        <f t="shared" ca="1" si="0"/>
        <v>96.055366002418424</v>
      </c>
      <c r="D28" s="61">
        <f ca="1">IF($A28="","",MAX($C$7:C28))</f>
        <v>104.14380490619243</v>
      </c>
      <c r="E28" s="26">
        <f t="shared" ca="1" si="1"/>
        <v>-7.7666059071489379E-2</v>
      </c>
      <c r="F28" s="27">
        <f ca="1">IF($A28="","",Returns!$I$26)</f>
        <v>2.3299175901150937E-2</v>
      </c>
      <c r="G28" s="61">
        <f t="shared" ca="1" si="2"/>
        <v>93.682530017575161</v>
      </c>
      <c r="H28" s="61">
        <f ca="1">IF($A28="","",MAX($G$7:G28))</f>
        <v>104.0208304924473</v>
      </c>
      <c r="I28" s="26">
        <f t="shared" ca="1" si="3"/>
        <v>-9.9386828829661988E-2</v>
      </c>
      <c r="J28" s="60" t="str">
        <f t="shared" ca="1" si="4"/>
        <v>Feb-25</v>
      </c>
      <c r="K28" s="3"/>
      <c r="L28" t="str">
        <f t="shared" ca="1" si="5"/>
        <v>Feb-25</v>
      </c>
      <c r="M28">
        <f t="shared" ca="1" si="6"/>
        <v>96.055366002418424</v>
      </c>
      <c r="N28">
        <f t="shared" ca="1" si="7"/>
        <v>93.682530017575161</v>
      </c>
      <c r="P28" t="str">
        <f t="shared" ca="1" si="8"/>
        <v>Feb-25</v>
      </c>
      <c r="Q28">
        <f t="shared" ca="1" si="9"/>
        <v>-7.7666059071489379E-2</v>
      </c>
      <c r="R28">
        <f t="shared" ca="1" si="10"/>
        <v>-9.9386828829661988E-2</v>
      </c>
    </row>
    <row r="29" spans="1:18" x14ac:dyDescent="0.3">
      <c r="A29" s="10">
        <f ca="1">Returns!$A$27</f>
        <v>45698</v>
      </c>
      <c r="B29" s="27">
        <f ca="1">IF($A29="","",Returns!$J$27)</f>
        <v>-1.8008464458580849E-2</v>
      </c>
      <c r="C29" s="61">
        <f t="shared" ca="1" si="0"/>
        <v>94.325556357707896</v>
      </c>
      <c r="D29" s="61">
        <f ca="1">IF($A29="","",MAX($C$7:C29))</f>
        <v>104.14380490619243</v>
      </c>
      <c r="E29" s="26">
        <f t="shared" ca="1" si="1"/>
        <v>-9.4275877065643221E-2</v>
      </c>
      <c r="F29" s="27">
        <f ca="1">IF($A29="","",Returns!$I$27)</f>
        <v>8.7961917113310584E-4</v>
      </c>
      <c r="G29" s="61">
        <f t="shared" ca="1" si="2"/>
        <v>93.764934966978871</v>
      </c>
      <c r="H29" s="61">
        <f ca="1">IF($A29="","",MAX($G$7:G29))</f>
        <v>104.0208304924473</v>
      </c>
      <c r="I29" s="26">
        <f t="shared" ca="1" si="3"/>
        <v>-9.8594632218525602E-2</v>
      </c>
      <c r="J29" s="60" t="str">
        <f t="shared" ca="1" si="4"/>
        <v>Feb-25</v>
      </c>
      <c r="K29" s="3"/>
      <c r="L29" t="str">
        <f t="shared" ca="1" si="5"/>
        <v>Feb-25</v>
      </c>
      <c r="M29">
        <f t="shared" ca="1" si="6"/>
        <v>94.325556357707896</v>
      </c>
      <c r="N29">
        <f t="shared" ca="1" si="7"/>
        <v>93.764934966978871</v>
      </c>
      <c r="P29" t="str">
        <f t="shared" ca="1" si="8"/>
        <v>Feb-25</v>
      </c>
      <c r="Q29">
        <f t="shared" ca="1" si="9"/>
        <v>-9.4275877065643221E-2</v>
      </c>
      <c r="R29">
        <f t="shared" ca="1" si="10"/>
        <v>-9.8594632218525602E-2</v>
      </c>
    </row>
    <row r="30" spans="1:18" x14ac:dyDescent="0.3">
      <c r="A30" s="10">
        <f ca="1">Returns!$A$28</f>
        <v>45705</v>
      </c>
      <c r="B30" s="27">
        <f ca="1">IF($A30="","",Returns!$J$28)</f>
        <v>-4.1871477898263038E-3</v>
      </c>
      <c r="C30" s="61">
        <f t="shared" ca="1" si="0"/>
        <v>93.930601312880583</v>
      </c>
      <c r="D30" s="61">
        <f ca="1">IF($A30="","",MAX($C$7:C30))</f>
        <v>104.14380490619243</v>
      </c>
      <c r="E30" s="26">
        <f t="shared" ca="1" si="1"/>
        <v>-9.8068277825180239E-2</v>
      </c>
      <c r="F30" s="27">
        <f ca="1">IF($A30="","",Returns!$I$28)</f>
        <v>-1.8052640385038399E-2</v>
      </c>
      <c r="G30" s="61">
        <f t="shared" ca="1" si="2"/>
        <v>92.072230315293496</v>
      </c>
      <c r="H30" s="61">
        <f ca="1">IF($A30="","",MAX($G$7:G30))</f>
        <v>104.0208304924473</v>
      </c>
      <c r="I30" s="26">
        <f t="shared" ca="1" si="3"/>
        <v>-0.11486737916422773</v>
      </c>
      <c r="J30" s="60" t="str">
        <f t="shared" ca="1" si="4"/>
        <v>Feb-25</v>
      </c>
      <c r="K30" s="3"/>
      <c r="L30" t="str">
        <f t="shared" ca="1" si="5"/>
        <v>Feb-25</v>
      </c>
      <c r="M30">
        <f t="shared" ca="1" si="6"/>
        <v>93.930601312880583</v>
      </c>
      <c r="N30">
        <f t="shared" ca="1" si="7"/>
        <v>92.072230315293496</v>
      </c>
      <c r="P30" t="str">
        <f t="shared" ca="1" si="8"/>
        <v>Feb-25</v>
      </c>
      <c r="Q30">
        <f t="shared" ca="1" si="9"/>
        <v>-9.8068277825180239E-2</v>
      </c>
      <c r="R30">
        <f t="shared" ca="1" si="10"/>
        <v>-0.11486737916422773</v>
      </c>
    </row>
    <row r="31" spans="1:18" x14ac:dyDescent="0.3">
      <c r="A31" s="10">
        <f ca="1">Returns!$A$29</f>
        <v>45712</v>
      </c>
      <c r="B31" s="27">
        <f ca="1">IF($A31="","",Returns!$J$29)</f>
        <v>-3.0298649415231013E-2</v>
      </c>
      <c r="C31" s="61">
        <f t="shared" ca="1" si="0"/>
        <v>91.084630954339787</v>
      </c>
      <c r="D31" s="61">
        <f ca="1">IF($A31="","",MAX($C$7:C31))</f>
        <v>104.14380490619243</v>
      </c>
      <c r="E31" s="26">
        <f t="shared" ca="1" si="1"/>
        <v>-0.1253955908718305</v>
      </c>
      <c r="F31" s="27">
        <f ca="1">IF($A31="","",Returns!$I$29)</f>
        <v>-1.7689862175787829E-2</v>
      </c>
      <c r="G31" s="61">
        <f t="shared" ca="1" si="2"/>
        <v>90.44348525079856</v>
      </c>
      <c r="H31" s="61">
        <f ca="1">IF($A31="","",MAX($G$7:G31))</f>
        <v>104.0208304924473</v>
      </c>
      <c r="I31" s="26">
        <f t="shared" ca="1" si="3"/>
        <v>-0.13052525323410646</v>
      </c>
      <c r="J31" s="60" t="str">
        <f t="shared" ca="1" si="4"/>
        <v>Feb-25</v>
      </c>
      <c r="K31" s="3"/>
      <c r="L31" t="str">
        <f t="shared" ca="1" si="5"/>
        <v>Feb-25</v>
      </c>
      <c r="M31">
        <f t="shared" ca="1" si="6"/>
        <v>91.084630954339787</v>
      </c>
      <c r="N31">
        <f t="shared" ca="1" si="7"/>
        <v>90.44348525079856</v>
      </c>
      <c r="P31" t="str">
        <f t="shared" ca="1" si="8"/>
        <v>Feb-25</v>
      </c>
      <c r="Q31">
        <f t="shared" ca="1" si="9"/>
        <v>-0.1253955908718305</v>
      </c>
      <c r="R31">
        <f t="shared" ca="1" si="10"/>
        <v>-0.13052525323410646</v>
      </c>
    </row>
    <row r="32" spans="1:18" x14ac:dyDescent="0.3">
      <c r="A32" s="10">
        <f ca="1">Returns!$A$30</f>
        <v>45719</v>
      </c>
      <c r="B32" s="27">
        <f ca="1">IF($A32="","",Returns!$J$30)</f>
        <v>1.5683004759210497E-2</v>
      </c>
      <c r="C32" s="61">
        <f t="shared" ca="1" si="0"/>
        <v>92.513111655087627</v>
      </c>
      <c r="D32" s="61">
        <f ca="1">IF($A32="","",MAX($C$7:C32))</f>
        <v>104.14380490619243</v>
      </c>
      <c r="E32" s="26">
        <f t="shared" ca="1" si="1"/>
        <v>-0.11167916576104697</v>
      </c>
      <c r="F32" s="27">
        <f ca="1">IF($A32="","",Returns!$I$30)</f>
        <v>-1.9245426317719749E-2</v>
      </c>
      <c r="G32" s="61">
        <f t="shared" ca="1" si="2"/>
        <v>88.702861819486543</v>
      </c>
      <c r="H32" s="61">
        <f ca="1">IF($A32="","",MAX($G$7:G32))</f>
        <v>104.0208304924473</v>
      </c>
      <c r="I32" s="26">
        <f t="shared" ca="1" si="3"/>
        <v>-0.1472586654081075</v>
      </c>
      <c r="J32" s="60" t="str">
        <f t="shared" ca="1" si="4"/>
        <v>Mar-25</v>
      </c>
      <c r="K32" s="3"/>
      <c r="L32" t="str">
        <f t="shared" ca="1" si="5"/>
        <v>Mar-25</v>
      </c>
      <c r="M32">
        <f t="shared" ca="1" si="6"/>
        <v>92.513111655087627</v>
      </c>
      <c r="N32">
        <f t="shared" ca="1" si="7"/>
        <v>88.702861819486543</v>
      </c>
      <c r="P32" t="str">
        <f t="shared" ca="1" si="8"/>
        <v>Mar-25</v>
      </c>
      <c r="Q32">
        <f t="shared" ca="1" si="9"/>
        <v>-0.11167916576104697</v>
      </c>
      <c r="R32">
        <f t="shared" ca="1" si="10"/>
        <v>-0.1472586654081075</v>
      </c>
    </row>
    <row r="33" spans="1:18" x14ac:dyDescent="0.3">
      <c r="A33" s="10">
        <f ca="1">Returns!$A$31</f>
        <v>45726</v>
      </c>
      <c r="B33" s="27">
        <f ca="1">IF($A33="","",Returns!$J$31)</f>
        <v>-3.7232605605149829E-3</v>
      </c>
      <c r="C33" s="61">
        <f t="shared" ca="1" si="0"/>
        <v>92.168661235131722</v>
      </c>
      <c r="D33" s="61">
        <f ca="1">IF($A33="","",MAX($C$7:C33))</f>
        <v>104.14380490619243</v>
      </c>
      <c r="E33" s="26">
        <f t="shared" ca="1" si="1"/>
        <v>-0.11498661568825264</v>
      </c>
      <c r="F33" s="27">
        <f ca="1">IF($A33="","",Returns!$I$31)</f>
        <v>1.5416400517011652E-2</v>
      </c>
      <c r="G33" s="61">
        <f t="shared" ca="1" si="2"/>
        <v>90.070340664300886</v>
      </c>
      <c r="H33" s="61">
        <f ca="1">IF($A33="","",MAX($G$7:G33))</f>
        <v>104.0208304924473</v>
      </c>
      <c r="I33" s="26">
        <f t="shared" ca="1" si="3"/>
        <v>-0.13411246345662786</v>
      </c>
      <c r="J33" s="60" t="str">
        <f t="shared" ca="1" si="4"/>
        <v>Mar-25</v>
      </c>
      <c r="K33" s="3"/>
      <c r="L33" t="str">
        <f t="shared" ca="1" si="5"/>
        <v>Mar-25</v>
      </c>
      <c r="M33">
        <f t="shared" ca="1" si="6"/>
        <v>92.168661235131722</v>
      </c>
      <c r="N33">
        <f t="shared" ca="1" si="7"/>
        <v>90.070340664300886</v>
      </c>
      <c r="P33" t="str">
        <f t="shared" ca="1" si="8"/>
        <v>Mar-25</v>
      </c>
      <c r="Q33">
        <f t="shared" ca="1" si="9"/>
        <v>-0.11498661568825264</v>
      </c>
      <c r="R33">
        <f t="shared" ca="1" si="10"/>
        <v>-0.13411246345662786</v>
      </c>
    </row>
    <row r="34" spans="1:18" x14ac:dyDescent="0.3">
      <c r="A34" s="10">
        <f ca="1">Returns!$A$32</f>
        <v>45733</v>
      </c>
      <c r="B34" s="27">
        <f ca="1">IF($A34="","",Returns!$J$32)</f>
        <v>3.870413903861146E-2</v>
      </c>
      <c r="C34" s="61">
        <f t="shared" ca="1" si="0"/>
        <v>95.735969914578931</v>
      </c>
      <c r="D34" s="61">
        <f ca="1">IF($A34="","",MAX($C$7:C34))</f>
        <v>104.14380490619243</v>
      </c>
      <c r="E34" s="26">
        <f t="shared" ca="1" si="1"/>
        <v>-8.0732934610818763E-2</v>
      </c>
      <c r="F34" s="27">
        <f ca="1">IF($A34="","",Returns!$I$32)</f>
        <v>2.1571046274877492E-3</v>
      </c>
      <c r="G34" s="61">
        <f t="shared" ca="1" si="2"/>
        <v>90.264631812947243</v>
      </c>
      <c r="H34" s="61">
        <f ca="1">IF($A34="","",MAX($G$7:G34))</f>
        <v>104.0208304924473</v>
      </c>
      <c r="I34" s="26">
        <f t="shared" ca="1" si="3"/>
        <v>-0.13224465344466618</v>
      </c>
      <c r="J34" s="60" t="str">
        <f t="shared" ca="1" si="4"/>
        <v>Mar-25</v>
      </c>
      <c r="K34" s="3"/>
      <c r="L34" t="str">
        <f t="shared" ca="1" si="5"/>
        <v>Mar-25</v>
      </c>
      <c r="M34">
        <f t="shared" ca="1" si="6"/>
        <v>95.735969914578931</v>
      </c>
      <c r="N34">
        <f t="shared" ca="1" si="7"/>
        <v>90.264631812947243</v>
      </c>
      <c r="P34" t="str">
        <f t="shared" ca="1" si="8"/>
        <v>Mar-25</v>
      </c>
      <c r="Q34">
        <f t="shared" ca="1" si="9"/>
        <v>-8.0732934610818763E-2</v>
      </c>
      <c r="R34">
        <f t="shared" ca="1" si="10"/>
        <v>-0.13224465344466618</v>
      </c>
    </row>
    <row r="35" spans="1:18" x14ac:dyDescent="0.3">
      <c r="A35" s="10">
        <f ca="1">Returns!$A$33</f>
        <v>45740</v>
      </c>
      <c r="B35" s="27">
        <f ca="1">IF($A35="","",Returns!$J$33)</f>
        <v>1.3638739049066473E-3</v>
      </c>
      <c r="C35" s="61">
        <f t="shared" ca="1" si="0"/>
        <v>95.866541705706354</v>
      </c>
      <c r="D35" s="61">
        <f ca="1">IF($A35="","",MAX($C$7:C35))</f>
        <v>104.14380490619243</v>
      </c>
      <c r="E35" s="26">
        <f t="shared" ca="1" si="1"/>
        <v>-7.9479170248694331E-2</v>
      </c>
      <c r="F35" s="27">
        <f ca="1">IF($A35="","",Returns!$I$33)</f>
        <v>5.1073454073415903E-2</v>
      </c>
      <c r="G35" s="61">
        <f t="shared" ca="1" si="2"/>
        <v>94.874758340299607</v>
      </c>
      <c r="H35" s="61">
        <f ca="1">IF($A35="","",MAX($G$7:G35))</f>
        <v>104.0208304924473</v>
      </c>
      <c r="I35" s="26">
        <f t="shared" ca="1" si="3"/>
        <v>-8.7925390605411158E-2</v>
      </c>
      <c r="J35" s="60" t="str">
        <f t="shared" ca="1" si="4"/>
        <v>Mar-25</v>
      </c>
      <c r="K35" s="3"/>
      <c r="L35" t="str">
        <f t="shared" ca="1" si="5"/>
        <v>Mar-25</v>
      </c>
      <c r="M35">
        <f t="shared" ca="1" si="6"/>
        <v>95.866541705706354</v>
      </c>
      <c r="N35">
        <f t="shared" ca="1" si="7"/>
        <v>94.874758340299607</v>
      </c>
      <c r="P35" t="str">
        <f t="shared" ca="1" si="8"/>
        <v>Mar-25</v>
      </c>
      <c r="Q35">
        <f t="shared" ca="1" si="9"/>
        <v>-7.9479170248694331E-2</v>
      </c>
      <c r="R35">
        <f t="shared" ca="1" si="10"/>
        <v>-8.7925390605411158E-2</v>
      </c>
    </row>
    <row r="36" spans="1:18" x14ac:dyDescent="0.3">
      <c r="A36" s="10">
        <f ca="1">Returns!$A$34</f>
        <v>45747</v>
      </c>
      <c r="B36" s="27">
        <f ca="1">IF($A36="","",Returns!$J$34)</f>
        <v>0</v>
      </c>
      <c r="C36" s="61">
        <f t="shared" ca="1" si="0"/>
        <v>95.866541705706354</v>
      </c>
      <c r="D36" s="61">
        <f ca="1">IF($A36="","",MAX($C$7:C36))</f>
        <v>104.14380490619243</v>
      </c>
      <c r="E36" s="26">
        <f t="shared" ca="1" si="1"/>
        <v>-7.9479170248694331E-2</v>
      </c>
      <c r="F36" s="27">
        <f ca="1">IF($A36="","",Returns!$I$34)</f>
        <v>-2.08235315970553E-2</v>
      </c>
      <c r="G36" s="61">
        <f t="shared" ca="1" si="2"/>
        <v>92.899130812237388</v>
      </c>
      <c r="H36" s="61">
        <f ca="1">IF($A36="","",MAX($G$7:G36))</f>
        <v>104.0208304924473</v>
      </c>
      <c r="I36" s="26">
        <f t="shared" ca="1" si="3"/>
        <v>-0.1069180050530113</v>
      </c>
      <c r="J36" s="60" t="str">
        <f t="shared" ca="1" si="4"/>
        <v>Mar-25</v>
      </c>
      <c r="K36" s="3"/>
      <c r="L36" t="str">
        <f t="shared" ca="1" si="5"/>
        <v>Mar-25</v>
      </c>
      <c r="M36">
        <f t="shared" ca="1" si="6"/>
        <v>95.866541705706354</v>
      </c>
      <c r="N36">
        <f t="shared" ca="1" si="7"/>
        <v>92.899130812237388</v>
      </c>
      <c r="P36" t="str">
        <f t="shared" ca="1" si="8"/>
        <v>Mar-25</v>
      </c>
      <c r="Q36">
        <f t="shared" ca="1" si="9"/>
        <v>-7.9479170248694331E-2</v>
      </c>
      <c r="R36">
        <f t="shared" ca="1" si="10"/>
        <v>-0.1069180050530113</v>
      </c>
    </row>
    <row r="37" spans="1:18" x14ac:dyDescent="0.3">
      <c r="A37" s="10">
        <f ca="1">Returns!$A$35</f>
        <v>45754</v>
      </c>
      <c r="B37" s="27">
        <f ca="1">IF($A37="","",Returns!$J$35)</f>
        <v>-3.3845174581262724E-2</v>
      </c>
      <c r="C37" s="61">
        <f t="shared" ca="1" si="0"/>
        <v>92.621921865174826</v>
      </c>
      <c r="D37" s="61">
        <f ca="1">IF($A37="","",MAX($C$7:C37))</f>
        <v>104.14380490619243</v>
      </c>
      <c r="E37" s="26">
        <f t="shared" ca="1" si="1"/>
        <v>-0.11063435843731606</v>
      </c>
      <c r="F37" s="27">
        <f ca="1">IF($A37="","",Returns!$I$35)</f>
        <v>-4.3344239251897676E-2</v>
      </c>
      <c r="G37" s="61">
        <f t="shared" ca="1" si="2"/>
        <v>88.872488660018433</v>
      </c>
      <c r="H37" s="61">
        <f ca="1">IF($A37="","",MAX($G$7:G37))</f>
        <v>104.0208304924473</v>
      </c>
      <c r="I37" s="26">
        <f t="shared" ca="1" si="3"/>
        <v>-0.14562796471355566</v>
      </c>
      <c r="J37" s="60" t="str">
        <f t="shared" ca="1" si="4"/>
        <v>Apr-25</v>
      </c>
      <c r="K37" s="3"/>
      <c r="L37" t="str">
        <f t="shared" ca="1" si="5"/>
        <v>Apr-25</v>
      </c>
      <c r="M37">
        <f t="shared" ca="1" si="6"/>
        <v>92.621921865174826</v>
      </c>
      <c r="N37">
        <f t="shared" ca="1" si="7"/>
        <v>88.872488660018433</v>
      </c>
      <c r="P37" t="str">
        <f t="shared" ca="1" si="8"/>
        <v>Apr-25</v>
      </c>
      <c r="Q37">
        <f t="shared" ca="1" si="9"/>
        <v>-0.11063435843731606</v>
      </c>
      <c r="R37">
        <f t="shared" ca="1" si="10"/>
        <v>-0.14562796471355566</v>
      </c>
    </row>
    <row r="38" spans="1:18" x14ac:dyDescent="0.3">
      <c r="A38" s="10">
        <f ca="1">Returns!$A$36</f>
        <v>45761</v>
      </c>
      <c r="B38" s="27">
        <f ca="1">IF($A38="","",Returns!$J$36)</f>
        <v>0</v>
      </c>
      <c r="C38" s="61">
        <f t="shared" ca="1" si="0"/>
        <v>92.621921865174826</v>
      </c>
      <c r="D38" s="61">
        <f ca="1">IF($A38="","",MAX($C$7:C38))</f>
        <v>104.14380490619243</v>
      </c>
      <c r="E38" s="26">
        <f t="shared" ca="1" si="1"/>
        <v>-0.11063435843731606</v>
      </c>
      <c r="F38" s="27">
        <f ca="1">IF($A38="","",Returns!$I$36)</f>
        <v>5.265645045682299E-2</v>
      </c>
      <c r="G38" s="61">
        <f t="shared" ca="1" si="2"/>
        <v>93.552198456119257</v>
      </c>
      <c r="H38" s="61">
        <f ca="1">IF($A38="","",MAX($G$7:G38))</f>
        <v>104.0208304924473</v>
      </c>
      <c r="I38" s="26">
        <f t="shared" ca="1" si="3"/>
        <v>-0.10063976596579993</v>
      </c>
      <c r="J38" s="60" t="str">
        <f t="shared" ca="1" si="4"/>
        <v>Apr-25</v>
      </c>
      <c r="K38" s="3"/>
      <c r="L38" t="str">
        <f t="shared" ca="1" si="5"/>
        <v>Apr-25</v>
      </c>
      <c r="M38">
        <f t="shared" ca="1" si="6"/>
        <v>92.621921865174826</v>
      </c>
      <c r="N38">
        <f t="shared" ca="1" si="7"/>
        <v>93.552198456119257</v>
      </c>
      <c r="P38" t="str">
        <f t="shared" ca="1" si="8"/>
        <v>Apr-25</v>
      </c>
      <c r="Q38">
        <f t="shared" ca="1" si="9"/>
        <v>-0.11063435843731606</v>
      </c>
      <c r="R38">
        <f t="shared" ca="1" si="10"/>
        <v>-0.10063976596579993</v>
      </c>
    </row>
    <row r="39" spans="1:18" x14ac:dyDescent="0.3">
      <c r="A39" s="10">
        <f ca="1">Returns!$A$37</f>
        <v>45768</v>
      </c>
      <c r="B39" s="27">
        <f ca="1">IF($A39="","",Returns!$J$37)</f>
        <v>5.4554696808246164E-2</v>
      </c>
      <c r="C39" s="61">
        <f t="shared" ca="1" si="0"/>
        <v>97.674882730326516</v>
      </c>
      <c r="D39" s="61">
        <f ca="1">IF($A39="","",MAX($C$7:C39))</f>
        <v>104.14380490619243</v>
      </c>
      <c r="E39" s="26">
        <f t="shared" ca="1" si="1"/>
        <v>-6.2115285510192297E-2</v>
      </c>
      <c r="F39" s="27">
        <f ca="1">IF($A39="","",Returns!$I$37)</f>
        <v>3.4164145363053455E-2</v>
      </c>
      <c r="G39" s="61">
        <f t="shared" ca="1" si="2"/>
        <v>96.748329363207347</v>
      </c>
      <c r="H39" s="61">
        <f ca="1">IF($A39="","",MAX($G$7:G39))</f>
        <v>104.0208304924473</v>
      </c>
      <c r="I39" s="26">
        <f t="shared" ca="1" si="3"/>
        <v>-6.9913892196505678E-2</v>
      </c>
      <c r="J39" s="60" t="str">
        <f t="shared" ca="1" si="4"/>
        <v>Apr-25</v>
      </c>
      <c r="K39" s="3"/>
      <c r="L39" t="str">
        <f t="shared" ca="1" si="5"/>
        <v>Apr-25</v>
      </c>
      <c r="M39">
        <f t="shared" ca="1" si="6"/>
        <v>97.674882730326516</v>
      </c>
      <c r="N39">
        <f t="shared" ca="1" si="7"/>
        <v>96.748329363207347</v>
      </c>
      <c r="P39" t="str">
        <f t="shared" ca="1" si="8"/>
        <v>Apr-25</v>
      </c>
      <c r="Q39">
        <f t="shared" ca="1" si="9"/>
        <v>-6.2115285510192297E-2</v>
      </c>
      <c r="R39">
        <f t="shared" ca="1" si="10"/>
        <v>-6.9913892196505678E-2</v>
      </c>
    </row>
    <row r="40" spans="1:18" x14ac:dyDescent="0.3">
      <c r="A40" s="10">
        <f ca="1">Returns!$A$38</f>
        <v>45775</v>
      </c>
      <c r="B40" s="27">
        <f ca="1">IF($A40="","",Returns!$J$38)</f>
        <v>3.5136356184061496E-2</v>
      </c>
      <c r="C40" s="61">
        <f t="shared" ref="C40:C71" ca="1" si="11">IF($A40="","",C39*(1+$B40))</f>
        <v>101.1068222001757</v>
      </c>
      <c r="D40" s="61">
        <f ca="1">IF($A40="","",MAX($C$7:C40))</f>
        <v>104.14380490619243</v>
      </c>
      <c r="E40" s="26">
        <f t="shared" ref="E40:E71" ca="1" si="12">IF($A40="","",$C40/$D40-1)</f>
        <v>-2.9161434122291663E-2</v>
      </c>
      <c r="F40" s="27">
        <f ca="1">IF($A40="","",Returns!$I$38)</f>
        <v>8.4122107963533477E-3</v>
      </c>
      <c r="G40" s="61">
        <f t="shared" ref="G40:G71" ca="1" si="13">IF($A40="","",G39*(1+$F40))</f>
        <v>97.562196704005672</v>
      </c>
      <c r="H40" s="61">
        <f ca="1">IF($A40="","",MAX($G$7:G40))</f>
        <v>104.0208304924473</v>
      </c>
      <c r="I40" s="26">
        <f t="shared" ref="I40:I71" ca="1" si="14">IF($A40="","",$G40/$H40-1)</f>
        <v>-6.2089811798902828E-2</v>
      </c>
      <c r="J40" s="60" t="str">
        <f t="shared" ref="J40:J71" ca="1" si="15">IF($A40="","",TEXT($A40,"mmm-yy"))</f>
        <v>Apr-25</v>
      </c>
      <c r="K40" s="3"/>
      <c r="L40" t="str">
        <f t="shared" ca="1" si="5"/>
        <v>Apr-25</v>
      </c>
      <c r="M40">
        <f t="shared" ca="1" si="6"/>
        <v>101.1068222001757</v>
      </c>
      <c r="N40">
        <f t="shared" ca="1" si="7"/>
        <v>97.562196704005672</v>
      </c>
      <c r="P40" t="str">
        <f t="shared" ca="1" si="8"/>
        <v>Apr-25</v>
      </c>
      <c r="Q40">
        <f t="shared" ca="1" si="9"/>
        <v>-2.9161434122291663E-2</v>
      </c>
      <c r="R40">
        <f t="shared" ca="1" si="10"/>
        <v>-6.2089811798902828E-2</v>
      </c>
    </row>
    <row r="41" spans="1:18" x14ac:dyDescent="0.3">
      <c r="A41" s="10">
        <f ca="1">Returns!$A$39</f>
        <v>45782</v>
      </c>
      <c r="B41" s="27">
        <f ca="1">IF($A41="","",Returns!$J$39)</f>
        <v>-1.1046687455767821E-2</v>
      </c>
      <c r="C41" s="61">
        <f t="shared" ca="1" si="11"/>
        <v>99.989926735684463</v>
      </c>
      <c r="D41" s="61">
        <f ca="1">IF($A41="","",MAX($C$7:C41))</f>
        <v>104.14380490619243</v>
      </c>
      <c r="E41" s="26">
        <f t="shared" ca="1" si="12"/>
        <v>-3.9885984329548707E-2</v>
      </c>
      <c r="F41" s="27">
        <f ca="1">IF($A41="","",Returns!$I$39)</f>
        <v>5.4524689407484672E-3</v>
      </c>
      <c r="G41" s="61">
        <f t="shared" ca="1" si="13"/>
        <v>98.094151551325453</v>
      </c>
      <c r="H41" s="61">
        <f ca="1">IF($A41="","",MAX($G$7:G41))</f>
        <v>104.0208304924473</v>
      </c>
      <c r="I41" s="26">
        <f t="shared" ca="1" si="14"/>
        <v>-5.6975885628524847E-2</v>
      </c>
      <c r="J41" s="60" t="str">
        <f t="shared" ca="1" si="15"/>
        <v>May-25</v>
      </c>
      <c r="K41" s="3"/>
      <c r="L41" t="str">
        <f t="shared" ca="1" si="5"/>
        <v>May-25</v>
      </c>
      <c r="M41">
        <f t="shared" ca="1" si="6"/>
        <v>99.989926735684463</v>
      </c>
      <c r="N41">
        <f t="shared" ca="1" si="7"/>
        <v>98.094151551325453</v>
      </c>
      <c r="P41" t="str">
        <f t="shared" ca="1" si="8"/>
        <v>May-25</v>
      </c>
      <c r="Q41">
        <f t="shared" ca="1" si="9"/>
        <v>-3.9885984329548707E-2</v>
      </c>
      <c r="R41">
        <f t="shared" ca="1" si="10"/>
        <v>-5.6975885628524847E-2</v>
      </c>
    </row>
    <row r="42" spans="1:18" x14ac:dyDescent="0.3">
      <c r="A42" s="10">
        <f ca="1">Returns!$A$40</f>
        <v>45789</v>
      </c>
      <c r="B42" s="27">
        <f ca="1">IF($A42="","",Returns!$J$40)</f>
        <v>3.4645358308664838E-2</v>
      </c>
      <c r="C42" s="61">
        <f t="shared" ca="1" si="11"/>
        <v>103.45411357469939</v>
      </c>
      <c r="D42" s="61">
        <f ca="1">IF($A42="","",MAX($C$7:C42))</f>
        <v>104.14380490619243</v>
      </c>
      <c r="E42" s="26">
        <f t="shared" ca="1" si="12"/>
        <v>-6.6224902394749208E-3</v>
      </c>
      <c r="F42" s="27">
        <f ca="1">IF($A42="","",Returns!$I$40)</f>
        <v>1.8950409965291737E-2</v>
      </c>
      <c r="G42" s="61">
        <f t="shared" ca="1" si="13"/>
        <v>99.953075938420525</v>
      </c>
      <c r="H42" s="61">
        <f ca="1">IF($A42="","",MAX($G$7:G42))</f>
        <v>104.0208304924473</v>
      </c>
      <c r="I42" s="26">
        <f t="shared" ca="1" si="14"/>
        <v>-3.9105192054029292E-2</v>
      </c>
      <c r="J42" s="60" t="str">
        <f t="shared" ca="1" si="15"/>
        <v>May-25</v>
      </c>
      <c r="K42" s="3"/>
      <c r="L42" t="str">
        <f t="shared" ca="1" si="5"/>
        <v>May-25</v>
      </c>
      <c r="M42">
        <f t="shared" ca="1" si="6"/>
        <v>103.45411357469939</v>
      </c>
      <c r="N42">
        <f t="shared" ca="1" si="7"/>
        <v>99.953075938420525</v>
      </c>
      <c r="P42" t="str">
        <f t="shared" ca="1" si="8"/>
        <v>May-25</v>
      </c>
      <c r="Q42">
        <f t="shared" ca="1" si="9"/>
        <v>-6.6224902394749208E-3</v>
      </c>
      <c r="R42">
        <f t="shared" ca="1" si="10"/>
        <v>-3.9105192054029292E-2</v>
      </c>
    </row>
    <row r="43" spans="1:18" x14ac:dyDescent="0.3">
      <c r="A43" s="10">
        <f ca="1">Returns!$A$41</f>
        <v>45796</v>
      </c>
      <c r="B43" s="27">
        <f ca="1">IF($A43="","",Returns!$J$41)</f>
        <v>-1.037810263871719E-2</v>
      </c>
      <c r="C43" s="61">
        <f t="shared" ca="1" si="11"/>
        <v>102.38045616562366</v>
      </c>
      <c r="D43" s="61">
        <f ca="1">IF($A43="","",MAX($C$7:C43))</f>
        <v>104.14380490619243</v>
      </c>
      <c r="E43" s="26">
        <f t="shared" ca="1" si="12"/>
        <v>-1.6931863994762875E-2</v>
      </c>
      <c r="F43" s="27">
        <f ca="1">IF($A43="","",Returns!$I$41)</f>
        <v>8.325075387225489E-4</v>
      </c>
      <c r="G43" s="61">
        <f t="shared" ca="1" si="13"/>
        <v>100.03628762765777</v>
      </c>
      <c r="H43" s="61">
        <f ca="1">IF($A43="","",MAX($G$7:G43))</f>
        <v>104.0208304924473</v>
      </c>
      <c r="I43" s="26">
        <f t="shared" ca="1" si="14"/>
        <v>-3.8305239882494901E-2</v>
      </c>
      <c r="J43" s="60" t="str">
        <f t="shared" ca="1" si="15"/>
        <v>May-25</v>
      </c>
      <c r="K43" s="3"/>
      <c r="L43" t="str">
        <f t="shared" ca="1" si="5"/>
        <v>May-25</v>
      </c>
      <c r="M43">
        <f t="shared" ca="1" si="6"/>
        <v>102.38045616562366</v>
      </c>
      <c r="N43">
        <f t="shared" ca="1" si="7"/>
        <v>100.03628762765777</v>
      </c>
      <c r="P43" t="str">
        <f t="shared" ca="1" si="8"/>
        <v>May-25</v>
      </c>
      <c r="Q43">
        <f t="shared" ca="1" si="9"/>
        <v>-1.6931863994762875E-2</v>
      </c>
      <c r="R43">
        <f t="shared" ca="1" si="10"/>
        <v>-3.8305239882494901E-2</v>
      </c>
    </row>
    <row r="44" spans="1:18" x14ac:dyDescent="0.3">
      <c r="A44" s="10">
        <f ca="1">Returns!$A$42</f>
        <v>45803</v>
      </c>
      <c r="B44" s="27">
        <f ca="1">IF($A44="","",Returns!$J$42)</f>
        <v>1.4359557011984104E-3</v>
      </c>
      <c r="C44" s="61">
        <f t="shared" ca="1" si="11"/>
        <v>102.52746996534599</v>
      </c>
      <c r="D44" s="61">
        <f ca="1">IF($A44="","",MAX($C$7:C44))</f>
        <v>104.14380490619243</v>
      </c>
      <c r="E44" s="26">
        <f t="shared" ca="1" si="12"/>
        <v>-1.5520221700199621E-2</v>
      </c>
      <c r="F44" s="27">
        <f ca="1">IF($A44="","",Returns!$I$42)</f>
        <v>2.2329191744172583E-3</v>
      </c>
      <c r="G44" s="61">
        <f t="shared" ca="1" si="13"/>
        <v>100.25966057243909</v>
      </c>
      <c r="H44" s="61">
        <f ca="1">IF($A44="","",MAX($G$7:G44))</f>
        <v>104.0208304924473</v>
      </c>
      <c r="I44" s="26">
        <f t="shared" ca="1" si="14"/>
        <v>-3.6157853212691937E-2</v>
      </c>
      <c r="J44" s="60" t="str">
        <f t="shared" ca="1" si="15"/>
        <v>May-25</v>
      </c>
      <c r="K44" s="3"/>
      <c r="L44" t="str">
        <f t="shared" ca="1" si="5"/>
        <v>May-25</v>
      </c>
      <c r="M44">
        <f t="shared" ca="1" si="6"/>
        <v>102.52746996534599</v>
      </c>
      <c r="N44">
        <f t="shared" ca="1" si="7"/>
        <v>100.25966057243909</v>
      </c>
      <c r="P44" t="str">
        <f t="shared" ca="1" si="8"/>
        <v>May-25</v>
      </c>
      <c r="Q44">
        <f t="shared" ca="1" si="9"/>
        <v>-1.5520221700199621E-2</v>
      </c>
      <c r="R44">
        <f t="shared" ca="1" si="10"/>
        <v>-3.6157853212691937E-2</v>
      </c>
    </row>
    <row r="45" spans="1:18" x14ac:dyDescent="0.3">
      <c r="A45" s="10">
        <f ca="1">Returns!$A$43</f>
        <v>45810</v>
      </c>
      <c r="B45" s="27">
        <f ca="1">IF($A45="","",Returns!$J$43)</f>
        <v>1.1285776119075762E-2</v>
      </c>
      <c r="C45" s="61">
        <f t="shared" ca="1" si="11"/>
        <v>103.68457203743013</v>
      </c>
      <c r="D45" s="61">
        <f ca="1">IF($A45="","",MAX($C$7:C45))</f>
        <v>104.14380490619243</v>
      </c>
      <c r="E45" s="26">
        <f t="shared" ca="1" si="12"/>
        <v>-4.4096033285508929E-3</v>
      </c>
      <c r="F45" s="27">
        <f ca="1">IF($A45="","",Returns!$I$43)</f>
        <v>-1.1381507522817857E-2</v>
      </c>
      <c r="G45" s="61">
        <f t="shared" ca="1" si="13"/>
        <v>99.118554491398712</v>
      </c>
      <c r="H45" s="61">
        <f ca="1">IF($A45="","",MAX($G$7:G45))</f>
        <v>104.0208304924473</v>
      </c>
      <c r="I45" s="26">
        <f t="shared" ca="1" si="14"/>
        <v>-4.7127829857160464E-2</v>
      </c>
      <c r="J45" s="60" t="str">
        <f t="shared" ca="1" si="15"/>
        <v>Jun-25</v>
      </c>
      <c r="K45" s="3"/>
      <c r="L45" t="str">
        <f t="shared" ca="1" si="5"/>
        <v>Jun-25</v>
      </c>
      <c r="M45">
        <f t="shared" ca="1" si="6"/>
        <v>103.68457203743013</v>
      </c>
      <c r="N45">
        <f t="shared" ca="1" si="7"/>
        <v>99.118554491398712</v>
      </c>
      <c r="P45" t="str">
        <f t="shared" ca="1" si="8"/>
        <v>Jun-25</v>
      </c>
      <c r="Q45">
        <f t="shared" ca="1" si="9"/>
        <v>-4.4096033285508929E-3</v>
      </c>
      <c r="R45">
        <f t="shared" ca="1" si="10"/>
        <v>-4.7127829857160464E-2</v>
      </c>
    </row>
    <row r="46" spans="1:18" x14ac:dyDescent="0.3">
      <c r="A46" s="10">
        <f ca="1">Returns!$A$44</f>
        <v>45817</v>
      </c>
      <c r="B46" s="27">
        <f ca="1">IF($A46="","",Returns!$J$44)</f>
        <v>-9.420542832925323E-3</v>
      </c>
      <c r="C46" s="61">
        <f t="shared" ca="1" si="11"/>
        <v>102.70780708543798</v>
      </c>
      <c r="D46" s="61">
        <f ca="1">IF($A46="","",MAX($C$7:C46))</f>
        <v>104.14380490619243</v>
      </c>
      <c r="E46" s="26">
        <f t="shared" ca="1" si="12"/>
        <v>-1.378860530444348E-2</v>
      </c>
      <c r="F46" s="27">
        <f ca="1">IF($A46="","",Returns!$I$44)</f>
        <v>1.5641294331942168E-2</v>
      </c>
      <c r="G46" s="61">
        <f t="shared" ca="1" si="13"/>
        <v>100.66889697595532</v>
      </c>
      <c r="H46" s="61">
        <f ca="1">IF($A46="","",MAX($G$7:G46))</f>
        <v>104.0208304924473</v>
      </c>
      <c r="I46" s="26">
        <f t="shared" ca="1" si="14"/>
        <v>-3.2223675783239925E-2</v>
      </c>
      <c r="J46" s="60" t="str">
        <f t="shared" ca="1" si="15"/>
        <v>Jun-25</v>
      </c>
      <c r="K46" s="3"/>
      <c r="L46" t="str">
        <f t="shared" ca="1" si="5"/>
        <v>Jun-25</v>
      </c>
      <c r="M46">
        <f t="shared" ca="1" si="6"/>
        <v>102.70780708543798</v>
      </c>
      <c r="N46">
        <f t="shared" ca="1" si="7"/>
        <v>100.66889697595532</v>
      </c>
      <c r="P46" t="str">
        <f t="shared" ca="1" si="8"/>
        <v>Jun-25</v>
      </c>
      <c r="Q46">
        <f t="shared" ca="1" si="9"/>
        <v>-1.378860530444348E-2</v>
      </c>
      <c r="R46">
        <f t="shared" ca="1" si="10"/>
        <v>-3.2223675783239925E-2</v>
      </c>
    </row>
    <row r="47" spans="1:18" x14ac:dyDescent="0.3">
      <c r="A47" s="10">
        <f ca="1">Returns!$A$45</f>
        <v>45824</v>
      </c>
      <c r="B47" s="27">
        <f ca="1">IF($A47="","",Returns!$J$45)</f>
        <v>2.6246935283796909E-2</v>
      </c>
      <c r="C47" s="61">
        <f t="shared" ca="1" si="11"/>
        <v>105.40357225115017</v>
      </c>
      <c r="D47" s="61">
        <f ca="1">IF($A47="","",MAX($C$7:C47))</f>
        <v>105.40357225115017</v>
      </c>
      <c r="E47" s="26">
        <f t="shared" ca="1" si="12"/>
        <v>0</v>
      </c>
      <c r="F47" s="27">
        <f ca="1">IF($A47="","",Returns!$I$45)</f>
        <v>-6.2422011387679444E-3</v>
      </c>
      <c r="G47" s="61">
        <f t="shared" ca="1" si="13"/>
        <v>100.0405014726135</v>
      </c>
      <c r="H47" s="61">
        <f ca="1">IF($A47="","",MAX($G$7:G47))</f>
        <v>104.0208304924473</v>
      </c>
      <c r="I47" s="26">
        <f t="shared" ca="1" si="14"/>
        <v>-3.8264730256338475E-2</v>
      </c>
      <c r="J47" s="60" t="str">
        <f t="shared" ca="1" si="15"/>
        <v>Jun-25</v>
      </c>
      <c r="K47" s="3"/>
      <c r="L47" t="str">
        <f t="shared" ca="1" si="5"/>
        <v>Jun-25</v>
      </c>
      <c r="M47">
        <f t="shared" ca="1" si="6"/>
        <v>105.40357225115017</v>
      </c>
      <c r="N47">
        <f t="shared" ca="1" si="7"/>
        <v>100.0405014726135</v>
      </c>
      <c r="P47" t="str">
        <f t="shared" ca="1" si="8"/>
        <v>Jun-25</v>
      </c>
      <c r="Q47">
        <f t="shared" ca="1" si="9"/>
        <v>0</v>
      </c>
      <c r="R47">
        <f t="shared" ca="1" si="10"/>
        <v>-3.8264730256338475E-2</v>
      </c>
    </row>
    <row r="48" spans="1:18" x14ac:dyDescent="0.3">
      <c r="A48" s="10">
        <f ca="1">Returns!$A$46</f>
        <v>45831</v>
      </c>
      <c r="B48" s="27">
        <f ca="1">IF($A48="","",Returns!$J$46)</f>
        <v>1.7169228515119612E-2</v>
      </c>
      <c r="C48" s="61">
        <f t="shared" ca="1" si="11"/>
        <v>107.21327026944009</v>
      </c>
      <c r="D48" s="61">
        <f ca="1">IF($A48="","",MAX($C$7:C48))</f>
        <v>107.21327026944009</v>
      </c>
      <c r="E48" s="26">
        <f t="shared" ca="1" si="12"/>
        <v>0</v>
      </c>
      <c r="F48" s="27">
        <f ca="1">IF($A48="","",Returns!$I$46)</f>
        <v>1.0181945613612076E-3</v>
      </c>
      <c r="G48" s="61">
        <f t="shared" ca="1" si="13"/>
        <v>100.14236216712877</v>
      </c>
      <c r="H48" s="61">
        <f ca="1">IF($A48="","",MAX($G$7:G48))</f>
        <v>104.0208304924473</v>
      </c>
      <c r="I48" s="26">
        <f t="shared" ca="1" si="14"/>
        <v>-3.7285496635216187E-2</v>
      </c>
      <c r="J48" s="60" t="str">
        <f t="shared" ca="1" si="15"/>
        <v>Jun-25</v>
      </c>
      <c r="K48" s="3"/>
      <c r="L48" t="str">
        <f t="shared" ca="1" si="5"/>
        <v>Jun-25</v>
      </c>
      <c r="M48">
        <f t="shared" ca="1" si="6"/>
        <v>107.21327026944009</v>
      </c>
      <c r="N48">
        <f t="shared" ca="1" si="7"/>
        <v>100.14236216712877</v>
      </c>
      <c r="P48" t="str">
        <f t="shared" ca="1" si="8"/>
        <v>Jun-25</v>
      </c>
      <c r="Q48">
        <f t="shared" ca="1" si="9"/>
        <v>0</v>
      </c>
      <c r="R48">
        <f t="shared" ca="1" si="10"/>
        <v>-3.7285496635216187E-2</v>
      </c>
    </row>
    <row r="49" spans="1:18" x14ac:dyDescent="0.3">
      <c r="A49" s="10">
        <f ca="1">Returns!$A$47</f>
        <v>45838</v>
      </c>
      <c r="B49" s="27">
        <f ca="1">IF($A49="","",Returns!$J$47)</f>
        <v>-3.0070596809198226E-3</v>
      </c>
      <c r="C49" s="61">
        <f t="shared" ca="1" si="11"/>
        <v>106.89087356715329</v>
      </c>
      <c r="D49" s="61">
        <f ca="1">IF($A49="","",MAX($C$7:C49))</f>
        <v>107.21327026944009</v>
      </c>
      <c r="E49" s="26">
        <f t="shared" ca="1" si="12"/>
        <v>-3.0070596809198546E-3</v>
      </c>
      <c r="F49" s="27">
        <f ca="1">IF($A49="","",Returns!$I$47)</f>
        <v>2.1830552825273131E-2</v>
      </c>
      <c r="G49" s="61">
        <f t="shared" ca="1" si="13"/>
        <v>102.3285252944659</v>
      </c>
      <c r="H49" s="61">
        <f ca="1">IF($A49="","",MAX($G$7:G49))</f>
        <v>104.0208304924473</v>
      </c>
      <c r="I49" s="26">
        <f t="shared" ca="1" si="14"/>
        <v>-1.6268906813854622E-2</v>
      </c>
      <c r="J49" s="60" t="str">
        <f t="shared" ca="1" si="15"/>
        <v>Jun-25</v>
      </c>
      <c r="K49" s="3"/>
      <c r="L49" t="str">
        <f t="shared" ca="1" si="5"/>
        <v>Jun-25</v>
      </c>
      <c r="M49">
        <f t="shared" ca="1" si="6"/>
        <v>106.89087356715329</v>
      </c>
      <c r="N49">
        <f t="shared" ca="1" si="7"/>
        <v>102.3285252944659</v>
      </c>
      <c r="P49" t="str">
        <f t="shared" ca="1" si="8"/>
        <v>Jun-25</v>
      </c>
      <c r="Q49">
        <f t="shared" ca="1" si="9"/>
        <v>-3.0070596809198546E-3</v>
      </c>
      <c r="R49">
        <f t="shared" ca="1" si="10"/>
        <v>-1.6268906813854622E-2</v>
      </c>
    </row>
    <row r="50" spans="1:18" x14ac:dyDescent="0.3">
      <c r="A50" s="10">
        <f ca="1">Returns!$A$48</f>
        <v>45845</v>
      </c>
      <c r="B50" s="27">
        <f ca="1">IF($A50="","",Returns!$J$48)</f>
        <v>-2.1941370634226829E-2</v>
      </c>
      <c r="C50" s="61">
        <f t="shared" ca="1" si="11"/>
        <v>104.5455412928001</v>
      </c>
      <c r="D50" s="61">
        <f ca="1">IF($A50="","",MAX($C$7:C50))</f>
        <v>107.21327026944009</v>
      </c>
      <c r="E50" s="26">
        <f t="shared" ca="1" si="12"/>
        <v>-2.488245130416844E-2</v>
      </c>
      <c r="F50" s="27">
        <f ca="1">IF($A50="","",Returns!$I$48)</f>
        <v>-2.184813616507908E-3</v>
      </c>
      <c r="G50" s="61">
        <f t="shared" ca="1" si="13"/>
        <v>102.10495653904538</v>
      </c>
      <c r="H50" s="61">
        <f ca="1">IF($A50="","",MAX($G$7:G50))</f>
        <v>104.0208304924473</v>
      </c>
      <c r="I50" s="26">
        <f t="shared" ca="1" si="14"/>
        <v>-1.8418175901230072E-2</v>
      </c>
      <c r="J50" s="60" t="str">
        <f t="shared" ca="1" si="15"/>
        <v>Jul-25</v>
      </c>
      <c r="K50" s="3"/>
      <c r="L50" t="str">
        <f t="shared" ca="1" si="5"/>
        <v>Jul-25</v>
      </c>
      <c r="M50">
        <f t="shared" ca="1" si="6"/>
        <v>104.5455412928001</v>
      </c>
      <c r="N50">
        <f t="shared" ca="1" si="7"/>
        <v>102.10495653904538</v>
      </c>
      <c r="P50" t="str">
        <f t="shared" ca="1" si="8"/>
        <v>Jul-25</v>
      </c>
      <c r="Q50">
        <f t="shared" ca="1" si="9"/>
        <v>-2.488245130416844E-2</v>
      </c>
      <c r="R50">
        <f t="shared" ca="1" si="10"/>
        <v>-1.8418175901230072E-2</v>
      </c>
    </row>
    <row r="51" spans="1:18" x14ac:dyDescent="0.3">
      <c r="A51" s="10">
        <f ca="1">Returns!$A$49</f>
        <v>45852</v>
      </c>
      <c r="B51" s="27">
        <f ca="1">IF($A51="","",Returns!$J$49)</f>
        <v>-1.6184697884331269E-2</v>
      </c>
      <c r="C51" s="61">
        <f t="shared" ca="1" si="11"/>
        <v>102.85350329182225</v>
      </c>
      <c r="D51" s="61">
        <f ca="1">IF($A51="","",MAX($C$7:C51))</f>
        <v>107.21327026944009</v>
      </c>
      <c r="E51" s="26">
        <f t="shared" ca="1" si="12"/>
        <v>-4.0664434231520108E-2</v>
      </c>
      <c r="F51" s="27">
        <f ca="1">IF($A51="","",Returns!$I$49)</f>
        <v>-1.4885335327372573E-2</v>
      </c>
      <c r="G51" s="61">
        <f t="shared" ca="1" si="13"/>
        <v>100.58509002237489</v>
      </c>
      <c r="H51" s="61">
        <f ca="1">IF($A51="","",MAX($G$7:G51))</f>
        <v>104.0208304924473</v>
      </c>
      <c r="I51" s="26">
        <f t="shared" ca="1" si="14"/>
        <v>-3.3029350504194199E-2</v>
      </c>
      <c r="J51" s="60" t="str">
        <f t="shared" ca="1" si="15"/>
        <v>Jul-25</v>
      </c>
      <c r="K51" s="3"/>
      <c r="L51" t="str">
        <f t="shared" ca="1" si="5"/>
        <v>Jul-25</v>
      </c>
      <c r="M51">
        <f t="shared" ca="1" si="6"/>
        <v>102.85350329182225</v>
      </c>
      <c r="N51">
        <f t="shared" ca="1" si="7"/>
        <v>100.58509002237489</v>
      </c>
      <c r="P51" t="str">
        <f t="shared" ca="1" si="8"/>
        <v>Jul-25</v>
      </c>
      <c r="Q51">
        <f t="shared" ca="1" si="9"/>
        <v>-4.0664434231520108E-2</v>
      </c>
      <c r="R51">
        <f t="shared" ca="1" si="10"/>
        <v>-3.3029350504194199E-2</v>
      </c>
    </row>
    <row r="52" spans="1:18" x14ac:dyDescent="0.3">
      <c r="A52" s="10">
        <f ca="1">Returns!$A$50</f>
        <v>45859</v>
      </c>
      <c r="B52" s="27">
        <f ca="1">IF($A52="","",Returns!$J$50)</f>
        <v>-6.6025011724422881E-3</v>
      </c>
      <c r="C52" s="61">
        <f t="shared" ca="1" si="11"/>
        <v>102.17441291574819</v>
      </c>
      <c r="D52" s="61">
        <f ca="1">IF($A52="","",MAX($C$7:C52))</f>
        <v>107.21327026944009</v>
      </c>
      <c r="E52" s="26">
        <f t="shared" ca="1" si="12"/>
        <v>-4.6998448429272144E-2</v>
      </c>
      <c r="F52" s="27">
        <f ca="1">IF($A52="","",Returns!$I$50)</f>
        <v>3.3483521201849165E-4</v>
      </c>
      <c r="G52" s="61">
        <f t="shared" ca="1" si="13"/>
        <v>100.61876945231843</v>
      </c>
      <c r="H52" s="61">
        <f ca="1">IF($A52="","",MAX($G$7:G52))</f>
        <v>104.0208304924473</v>
      </c>
      <c r="I52" s="26">
        <f t="shared" ca="1" si="14"/>
        <v>-3.2705574681754612E-2</v>
      </c>
      <c r="J52" s="60" t="str">
        <f t="shared" ca="1" si="15"/>
        <v>Jul-25</v>
      </c>
      <c r="K52" s="3"/>
      <c r="L52" t="str">
        <f t="shared" ca="1" si="5"/>
        <v>Jul-25</v>
      </c>
      <c r="M52">
        <f t="shared" ca="1" si="6"/>
        <v>102.17441291574819</v>
      </c>
      <c r="N52">
        <f t="shared" ca="1" si="7"/>
        <v>100.61876945231843</v>
      </c>
      <c r="P52" t="str">
        <f t="shared" ca="1" si="8"/>
        <v>Jul-25</v>
      </c>
      <c r="Q52">
        <f t="shared" ca="1" si="9"/>
        <v>-4.6998448429272144E-2</v>
      </c>
      <c r="R52">
        <f t="shared" ca="1" si="10"/>
        <v>-3.2705574681754612E-2</v>
      </c>
    </row>
    <row r="53" spans="1:18" x14ac:dyDescent="0.3">
      <c r="A53" s="10">
        <f ca="1">Returns!$A$51</f>
        <v>45866</v>
      </c>
      <c r="B53" s="27">
        <f ca="1">IF($A53="","",Returns!$J$51)</f>
        <v>-2.9776015911633803E-3</v>
      </c>
      <c r="C53" s="61">
        <f t="shared" ca="1" si="11"/>
        <v>101.87017822127407</v>
      </c>
      <c r="D53" s="61">
        <f ca="1">IF($A53="","",MAX($C$7:C53))</f>
        <v>107.21327026944009</v>
      </c>
      <c r="E53" s="26">
        <f t="shared" ca="1" si="12"/>
        <v>-4.9836107365610283E-2</v>
      </c>
      <c r="F53" s="27">
        <f ca="1">IF($A53="","",Returns!$I$51)</f>
        <v>-1.633269860485842E-2</v>
      </c>
      <c r="G53" s="61">
        <f t="shared" ca="1" si="13"/>
        <v>98.975393416861976</v>
      </c>
      <c r="H53" s="61">
        <f ca="1">IF($A53="","",MAX($G$7:G53))</f>
        <v>104.0208304924473</v>
      </c>
      <c r="I53" s="26">
        <f t="shared" ca="1" si="14"/>
        <v>-4.8504102992637299E-2</v>
      </c>
      <c r="J53" s="60" t="str">
        <f t="shared" ca="1" si="15"/>
        <v>Jul-25</v>
      </c>
      <c r="K53" s="3"/>
      <c r="L53" t="str">
        <f t="shared" ca="1" si="5"/>
        <v>Jul-25</v>
      </c>
      <c r="M53">
        <f t="shared" ca="1" si="6"/>
        <v>101.87017822127407</v>
      </c>
      <c r="N53">
        <f t="shared" ca="1" si="7"/>
        <v>98.975393416861976</v>
      </c>
      <c r="P53" t="str">
        <f t="shared" ca="1" si="8"/>
        <v>Jul-25</v>
      </c>
      <c r="Q53">
        <f t="shared" ca="1" si="9"/>
        <v>-4.9836107365610283E-2</v>
      </c>
      <c r="R53">
        <f t="shared" ca="1" si="10"/>
        <v>-4.8504102992637299E-2</v>
      </c>
    </row>
    <row r="54" spans="1:18" x14ac:dyDescent="0.3">
      <c r="A54" s="10">
        <f ca="1">Returns!$A$52</f>
        <v>45873</v>
      </c>
      <c r="B54" s="27">
        <f ca="1">IF($A54="","",Returns!$J$52)</f>
        <v>-5.4762404317212519E-3</v>
      </c>
      <c r="C54" s="61">
        <f t="shared" ca="1" si="11"/>
        <v>101.31231263251209</v>
      </c>
      <c r="D54" s="61">
        <f ca="1">IF($A54="","",MAX($C$7:C54))</f>
        <v>107.21327026944009</v>
      </c>
      <c r="E54" s="26">
        <f t="shared" ca="1" si="12"/>
        <v>-5.5039433291216411E-2</v>
      </c>
      <c r="F54" s="27">
        <f ca="1">IF($A54="","",Returns!$I$52)</f>
        <v>1.6956273358201823E-3</v>
      </c>
      <c r="G54" s="61">
        <f t="shared" ca="1" si="13"/>
        <v>99.143218799513164</v>
      </c>
      <c r="H54" s="61">
        <f ca="1">IF($A54="","",MAX($G$7:G54))</f>
        <v>104.0208304924473</v>
      </c>
      <c r="I54" s="26">
        <f t="shared" ca="1" si="14"/>
        <v>-4.6890720539750852E-2</v>
      </c>
      <c r="J54" s="60" t="str">
        <f t="shared" ca="1" si="15"/>
        <v>Aug-25</v>
      </c>
      <c r="K54" s="3"/>
      <c r="L54" t="str">
        <f t="shared" ca="1" si="5"/>
        <v>Aug-25</v>
      </c>
      <c r="M54">
        <f t="shared" ca="1" si="6"/>
        <v>101.31231263251209</v>
      </c>
      <c r="N54">
        <f t="shared" ca="1" si="7"/>
        <v>99.143218799513164</v>
      </c>
      <c r="P54" t="str">
        <f t="shared" ca="1" si="8"/>
        <v>Aug-25</v>
      </c>
      <c r="Q54">
        <f t="shared" ca="1" si="9"/>
        <v>-5.5039433291216411E-2</v>
      </c>
      <c r="R54">
        <f t="shared" ca="1" si="10"/>
        <v>-4.6890720539750852E-2</v>
      </c>
    </row>
    <row r="55" spans="1:18" x14ac:dyDescent="0.3">
      <c r="A55" s="10">
        <f ca="1">Returns!$A$53</f>
        <v>45880</v>
      </c>
      <c r="B55" s="27">
        <f ca="1">IF($A55="","",Returns!$J$53)</f>
        <v>1.6709485356757571E-2</v>
      </c>
      <c r="C55" s="61">
        <f t="shared" ca="1" si="11"/>
        <v>103.00518923690429</v>
      </c>
      <c r="D55" s="61">
        <f ca="1">IF($A55="","",MAX($C$7:C55))</f>
        <v>107.21327026944009</v>
      </c>
      <c r="E55" s="26">
        <f t="shared" ca="1" si="12"/>
        <v>-3.9249628539082648E-2</v>
      </c>
      <c r="F55" s="27">
        <f ca="1">IF($A55="","",Returns!$I$53)</f>
        <v>-5.5697371348252256E-3</v>
      </c>
      <c r="G55" s="61">
        <f t="shared" ca="1" si="13"/>
        <v>98.59101713209941</v>
      </c>
      <c r="H55" s="61">
        <f ca="1">IF($A55="","",MAX($G$7:G55))</f>
        <v>104.0208304924473</v>
      </c>
      <c r="I55" s="26">
        <f t="shared" ca="1" si="14"/>
        <v>-5.2199288687107104E-2</v>
      </c>
      <c r="J55" s="60" t="str">
        <f t="shared" ca="1" si="15"/>
        <v>Aug-25</v>
      </c>
      <c r="K55" s="3"/>
      <c r="L55" t="str">
        <f t="shared" ca="1" si="5"/>
        <v>Aug-25</v>
      </c>
      <c r="M55">
        <f t="shared" ca="1" si="6"/>
        <v>103.00518923690429</v>
      </c>
      <c r="N55">
        <f t="shared" ca="1" si="7"/>
        <v>98.59101713209941</v>
      </c>
      <c r="P55" t="str">
        <f t="shared" ca="1" si="8"/>
        <v>Aug-25</v>
      </c>
      <c r="Q55">
        <f t="shared" ca="1" si="9"/>
        <v>-3.9249628539082648E-2</v>
      </c>
      <c r="R55">
        <f t="shared" ca="1" si="10"/>
        <v>-5.2199288687107104E-2</v>
      </c>
    </row>
    <row r="56" spans="1:18" x14ac:dyDescent="0.3">
      <c r="A56" s="10">
        <f ca="1">Returns!$A$54</f>
        <v>45887</v>
      </c>
      <c r="B56" s="27">
        <f ca="1">IF($A56="","",Returns!$J$54)</f>
        <v>1.9499312218958335E-2</v>
      </c>
      <c r="C56" s="61">
        <f t="shared" ca="1" si="11"/>
        <v>105.01371958200758</v>
      </c>
      <c r="D56" s="61">
        <f ca="1">IF($A56="","",MAX($C$7:C56))</f>
        <v>107.21327026944009</v>
      </c>
      <c r="E56" s="26">
        <f t="shared" ca="1" si="12"/>
        <v>-2.051565708148595E-2</v>
      </c>
      <c r="F56" s="27">
        <f ca="1">IF($A56="","",Returns!$I$54)</f>
        <v>1.1873005270447434E-2</v>
      </c>
      <c r="G56" s="61">
        <f t="shared" ca="1" si="13"/>
        <v>99.761588798127605</v>
      </c>
      <c r="H56" s="61">
        <f ca="1">IF($A56="","",MAX($G$7:G56))</f>
        <v>104.0208304924473</v>
      </c>
      <c r="I56" s="26">
        <f t="shared" ca="1" si="14"/>
        <v>-4.0946045846355306E-2</v>
      </c>
      <c r="J56" s="60" t="str">
        <f t="shared" ca="1" si="15"/>
        <v>Aug-25</v>
      </c>
      <c r="K56" s="3"/>
      <c r="L56" t="str">
        <f t="shared" ca="1" si="5"/>
        <v>Aug-25</v>
      </c>
      <c r="M56">
        <f t="shared" ca="1" si="6"/>
        <v>105.01371958200758</v>
      </c>
      <c r="N56">
        <f t="shared" ca="1" si="7"/>
        <v>99.761588798127605</v>
      </c>
      <c r="P56" t="str">
        <f t="shared" ca="1" si="8"/>
        <v>Aug-25</v>
      </c>
      <c r="Q56">
        <f t="shared" ca="1" si="9"/>
        <v>-2.051565708148595E-2</v>
      </c>
      <c r="R56">
        <f t="shared" ca="1" si="10"/>
        <v>-4.0946045846355306E-2</v>
      </c>
    </row>
    <row r="57" spans="1:18" x14ac:dyDescent="0.3">
      <c r="A57" s="10">
        <f ca="1">Returns!$A$55</f>
        <v>45894</v>
      </c>
      <c r="B57" s="27">
        <f ca="1">IF($A57="","",Returns!$J$55)</f>
        <v>-1.3690835510655877E-2</v>
      </c>
      <c r="C57" s="61">
        <f t="shared" ca="1" si="11"/>
        <v>103.57599402084817</v>
      </c>
      <c r="D57" s="61">
        <f ca="1">IF($A57="","",MAX($C$7:C57))</f>
        <v>107.21327026944009</v>
      </c>
      <c r="E57" s="26">
        <f t="shared" ca="1" si="12"/>
        <v>-3.3925616105646261E-2</v>
      </c>
      <c r="F57" s="27">
        <f ca="1">IF($A57="","",Returns!$I$55)</f>
        <v>3.6499966475616041E-3</v>
      </c>
      <c r="G57" s="61">
        <f t="shared" ca="1" si="13"/>
        <v>100.12571826279618</v>
      </c>
      <c r="H57" s="61">
        <f ca="1">IF($A57="","",MAX($G$7:G57))</f>
        <v>104.0208304924473</v>
      </c>
      <c r="I57" s="26">
        <f t="shared" ca="1" si="14"/>
        <v>-3.7445502128863772E-2</v>
      </c>
      <c r="J57" s="60" t="str">
        <f t="shared" ca="1" si="15"/>
        <v>Aug-25</v>
      </c>
      <c r="K57" s="3"/>
      <c r="L57" t="str">
        <f t="shared" ca="1" si="5"/>
        <v>Aug-25</v>
      </c>
      <c r="M57">
        <f t="shared" ca="1" si="6"/>
        <v>103.57599402084817</v>
      </c>
      <c r="N57">
        <f t="shared" ca="1" si="7"/>
        <v>100.12571826279618</v>
      </c>
      <c r="P57" t="str">
        <f t="shared" ca="1" si="8"/>
        <v>Aug-25</v>
      </c>
      <c r="Q57">
        <f t="shared" ca="1" si="9"/>
        <v>-3.3925616105646261E-2</v>
      </c>
      <c r="R57">
        <f t="shared" ca="1" si="10"/>
        <v>-3.7445502128863772E-2</v>
      </c>
    </row>
    <row r="58" spans="1:18" x14ac:dyDescent="0.3">
      <c r="A58" s="10">
        <f ca="1">Returns!$A$56</f>
        <v>45901</v>
      </c>
      <c r="B58" s="27">
        <f ca="1">IF($A58="","",Returns!$J$56)</f>
        <v>-5.3907876484530787E-4</v>
      </c>
      <c r="C58" s="61">
        <f t="shared" ca="1" si="11"/>
        <v>103.52015840192379</v>
      </c>
      <c r="D58" s="61">
        <f ca="1">IF($A58="","",MAX($C$7:C58))</f>
        <v>107.21327026944009</v>
      </c>
      <c r="E58" s="26">
        <f t="shared" ca="1" si="12"/>
        <v>-3.4446406291264609E-2</v>
      </c>
      <c r="F58" s="27">
        <f ca="1">IF($A58="","",Returns!$I$56)</f>
        <v>-1.3725674870583071E-2</v>
      </c>
      <c r="G58" s="61">
        <f t="shared" ca="1" si="13"/>
        <v>98.751425207737441</v>
      </c>
      <c r="H58" s="61">
        <f ca="1">IF($A58="","",MAX($G$7:G58))</f>
        <v>104.0208304924473</v>
      </c>
      <c r="I58" s="26">
        <f t="shared" ca="1" si="14"/>
        <v>-5.065721221186037E-2</v>
      </c>
      <c r="J58" s="60" t="str">
        <f t="shared" ca="1" si="15"/>
        <v>Sep-25</v>
      </c>
      <c r="K58" s="3"/>
      <c r="L58" t="str">
        <f t="shared" ca="1" si="5"/>
        <v>Sep-25</v>
      </c>
      <c r="M58">
        <f t="shared" ca="1" si="6"/>
        <v>103.52015840192379</v>
      </c>
      <c r="N58">
        <f t="shared" ca="1" si="7"/>
        <v>98.751425207737441</v>
      </c>
      <c r="P58" t="str">
        <f t="shared" ca="1" si="8"/>
        <v>Sep-25</v>
      </c>
      <c r="Q58">
        <f t="shared" ca="1" si="9"/>
        <v>-3.4446406291264609E-2</v>
      </c>
      <c r="R58">
        <f t="shared" ca="1" si="10"/>
        <v>-5.065721221186037E-2</v>
      </c>
    </row>
    <row r="59" spans="1:18" x14ac:dyDescent="0.3">
      <c r="A59" s="10">
        <f ca="1">Returns!$A$57</f>
        <v>45908</v>
      </c>
      <c r="B59" s="27">
        <f ca="1">IF($A59="","",Returns!$J$57)</f>
        <v>1.3721646766554107E-2</v>
      </c>
      <c r="C59" s="61">
        <f t="shared" ca="1" si="11"/>
        <v>104.94062544873273</v>
      </c>
      <c r="D59" s="61">
        <f ca="1">IF($A59="","",MAX($C$7:C59))</f>
        <v>107.21327026944009</v>
      </c>
      <c r="E59" s="26">
        <f t="shared" ca="1" si="12"/>
        <v>-2.1197420944216283E-2</v>
      </c>
      <c r="F59" s="27">
        <f ca="1">IF($A59="","",Returns!$I$57)</f>
        <v>6.0141849326769137E-3</v>
      </c>
      <c r="G59" s="61">
        <f t="shared" ca="1" si="13"/>
        <v>99.345334541302194</v>
      </c>
      <c r="H59" s="61">
        <f ca="1">IF($A59="","",MAX($G$7:G59))</f>
        <v>104.0208304924473</v>
      </c>
      <c r="I59" s="26">
        <f t="shared" ca="1" si="14"/>
        <v>-4.494768912159941E-2</v>
      </c>
      <c r="J59" s="60" t="str">
        <f t="shared" ca="1" si="15"/>
        <v>Sep-25</v>
      </c>
      <c r="K59" s="3"/>
      <c r="L59" t="str">
        <f t="shared" ca="1" si="5"/>
        <v>Sep-25</v>
      </c>
      <c r="M59">
        <f t="shared" ca="1" si="6"/>
        <v>104.94062544873273</v>
      </c>
      <c r="N59">
        <f t="shared" ca="1" si="7"/>
        <v>99.345334541302194</v>
      </c>
      <c r="P59" t="str">
        <f t="shared" ca="1" si="8"/>
        <v>Sep-25</v>
      </c>
      <c r="Q59">
        <f t="shared" ca="1" si="9"/>
        <v>-2.1197420944216283E-2</v>
      </c>
      <c r="R59">
        <f t="shared" ca="1" si="10"/>
        <v>-4.494768912159941E-2</v>
      </c>
    </row>
    <row r="60" spans="1:18" x14ac:dyDescent="0.3">
      <c r="A60" s="10">
        <f ca="1">Returns!$A$58</f>
        <v>45915</v>
      </c>
      <c r="B60" s="27">
        <f ca="1">IF($A60="","",Returns!$J$58)</f>
        <v>1.4760048258128931E-2</v>
      </c>
      <c r="C60" s="61">
        <f t="shared" ca="1" si="11"/>
        <v>106.48955414459427</v>
      </c>
      <c r="D60" s="61">
        <f ca="1">IF($A60="","",MAX($C$7:C60))</f>
        <v>107.21327026944009</v>
      </c>
      <c r="E60" s="26">
        <f t="shared" ca="1" si="12"/>
        <v>-6.7502476421719138E-3</v>
      </c>
      <c r="F60" s="27">
        <f ca="1">IF($A60="","",Returns!$I$58)</f>
        <v>1.195039078425153E-2</v>
      </c>
      <c r="G60" s="61">
        <f t="shared" ca="1" si="13"/>
        <v>100.53255011166296</v>
      </c>
      <c r="H60" s="61">
        <f ca="1">IF($A60="","",MAX($G$7:G60))</f>
        <v>104.0208304924473</v>
      </c>
      <c r="I60" s="26">
        <f t="shared" ca="1" si="14"/>
        <v>-3.3534440787200026E-2</v>
      </c>
      <c r="J60" s="60" t="str">
        <f t="shared" ca="1" si="15"/>
        <v>Sep-25</v>
      </c>
      <c r="K60" s="3"/>
      <c r="L60" t="str">
        <f t="shared" ca="1" si="5"/>
        <v>Sep-25</v>
      </c>
      <c r="M60">
        <f t="shared" ca="1" si="6"/>
        <v>106.48955414459427</v>
      </c>
      <c r="N60">
        <f t="shared" ca="1" si="7"/>
        <v>100.53255011166296</v>
      </c>
      <c r="P60" t="str">
        <f t="shared" ca="1" si="8"/>
        <v>Sep-25</v>
      </c>
      <c r="Q60">
        <f t="shared" ca="1" si="9"/>
        <v>-6.7502476421719138E-3</v>
      </c>
      <c r="R60">
        <f t="shared" ca="1" si="10"/>
        <v>-3.3534440787200026E-2</v>
      </c>
    </row>
    <row r="61" spans="1:18" x14ac:dyDescent="0.3">
      <c r="A61" s="10">
        <f ca="1">Returns!$A$59</f>
        <v>45922</v>
      </c>
      <c r="B61" s="27">
        <f ca="1">IF($A61="","",Returns!$J$59)</f>
        <v>-1.6747730486575456E-2</v>
      </c>
      <c r="C61" s="61">
        <f t="shared" ca="1" si="11"/>
        <v>104.70609579214502</v>
      </c>
      <c r="D61" s="61">
        <f ca="1">IF($A61="","",MAX($C$7:C61))</f>
        <v>107.21327026944009</v>
      </c>
      <c r="E61" s="26">
        <f t="shared" ca="1" si="12"/>
        <v>-2.3384926800518513E-2</v>
      </c>
      <c r="F61" s="27">
        <f ca="1">IF($A61="","",Returns!$I$59)</f>
        <v>5.3113140736227304E-3</v>
      </c>
      <c r="G61" s="61">
        <f t="shared" ca="1" si="13"/>
        <v>101.06651005992822</v>
      </c>
      <c r="H61" s="61">
        <f ca="1">IF($A61="","",MAX($G$7:G61))</f>
        <v>104.0208304924473</v>
      </c>
      <c r="I61" s="26">
        <f t="shared" ca="1" si="14"/>
        <v>-2.84012386608814E-2</v>
      </c>
      <c r="J61" s="60" t="str">
        <f t="shared" ca="1" si="15"/>
        <v>Sep-25</v>
      </c>
      <c r="K61" s="3"/>
      <c r="L61" t="str">
        <f t="shared" ca="1" si="5"/>
        <v>Sep-25</v>
      </c>
      <c r="M61">
        <f t="shared" ca="1" si="6"/>
        <v>104.70609579214502</v>
      </c>
      <c r="N61">
        <f t="shared" ca="1" si="7"/>
        <v>101.06651005992822</v>
      </c>
      <c r="P61" t="str">
        <f t="shared" ca="1" si="8"/>
        <v>Sep-25</v>
      </c>
      <c r="Q61">
        <f t="shared" ca="1" si="9"/>
        <v>-2.3384926800518513E-2</v>
      </c>
      <c r="R61">
        <f t="shared" ca="1" si="10"/>
        <v>-2.84012386608814E-2</v>
      </c>
    </row>
    <row r="62" spans="1:18" x14ac:dyDescent="0.3">
      <c r="A62" s="10">
        <f ca="1">Returns!$A$60</f>
        <v>45929</v>
      </c>
      <c r="B62" s="27">
        <f ca="1">IF($A62="","",Returns!$J$60)</f>
        <v>-2.791087391799413E-3</v>
      </c>
      <c r="C62" s="61">
        <f t="shared" ca="1" si="11"/>
        <v>104.41385192833502</v>
      </c>
      <c r="D62" s="61">
        <f ca="1">IF($A62="","",MAX($C$7:C62))</f>
        <v>107.21327026944009</v>
      </c>
      <c r="E62" s="26">
        <f t="shared" ca="1" si="12"/>
        <v>-2.6110744817966935E-2</v>
      </c>
      <c r="F62" s="27">
        <f ca="1">IF($A62="","",Returns!$I$60)</f>
        <v>-2.2515726809016035E-2</v>
      </c>
      <c r="G62" s="61">
        <f t="shared" ca="1" si="13"/>
        <v>98.790924129878206</v>
      </c>
      <c r="H62" s="61">
        <f ca="1">IF($A62="","",MAX($G$7:G62))</f>
        <v>104.0208304924473</v>
      </c>
      <c r="I62" s="26">
        <f t="shared" ca="1" si="14"/>
        <v>-5.0277490939171332E-2</v>
      </c>
      <c r="J62" s="60" t="str">
        <f t="shared" ca="1" si="15"/>
        <v>Sep-25</v>
      </c>
      <c r="K62" s="3"/>
      <c r="L62" t="str">
        <f t="shared" ca="1" si="5"/>
        <v>Sep-25</v>
      </c>
      <c r="M62">
        <f t="shared" ca="1" si="6"/>
        <v>104.41385192833502</v>
      </c>
      <c r="N62">
        <f t="shared" ca="1" si="7"/>
        <v>98.790924129878206</v>
      </c>
      <c r="P62" t="str">
        <f t="shared" ca="1" si="8"/>
        <v>Sep-25</v>
      </c>
      <c r="Q62">
        <f t="shared" ca="1" si="9"/>
        <v>-2.6110744817966935E-2</v>
      </c>
      <c r="R62">
        <f t="shared" ca="1" si="10"/>
        <v>-5.0277490939171332E-2</v>
      </c>
    </row>
    <row r="63" spans="1:18" x14ac:dyDescent="0.3">
      <c r="A63" s="10">
        <f ca="1">Returns!$A$61</f>
        <v>45936</v>
      </c>
      <c r="B63" s="27">
        <f ca="1">IF($A63="","",Returns!$J$61)</f>
        <v>2.4419607091792868E-2</v>
      </c>
      <c r="C63" s="61">
        <f t="shared" ca="1" si="11"/>
        <v>106.96359716736559</v>
      </c>
      <c r="D63" s="61">
        <f ca="1">IF($A63="","",MAX($C$7:C63))</f>
        <v>107.21327026944009</v>
      </c>
      <c r="E63" s="26">
        <f t="shared" ca="1" si="12"/>
        <v>-2.328751855502964E-3</v>
      </c>
      <c r="F63" s="27">
        <f ca="1">IF($A63="","",Returns!$I$61)</f>
        <v>1.7972469666185154E-2</v>
      </c>
      <c r="G63" s="61">
        <f t="shared" ca="1" si="13"/>
        <v>100.56644101709684</v>
      </c>
      <c r="H63" s="61">
        <f ca="1">IF($A63="","",MAX($G$7:G63))</f>
        <v>104.0208304924473</v>
      </c>
      <c r="I63" s="26">
        <f t="shared" ca="1" si="14"/>
        <v>-3.320863195378243E-2</v>
      </c>
      <c r="J63" s="60" t="str">
        <f t="shared" ca="1" si="15"/>
        <v>Oct-25</v>
      </c>
      <c r="K63" s="3"/>
      <c r="L63" t="str">
        <f t="shared" ca="1" si="5"/>
        <v>Oct-25</v>
      </c>
      <c r="M63">
        <f t="shared" ca="1" si="6"/>
        <v>106.96359716736559</v>
      </c>
      <c r="N63">
        <f t="shared" ca="1" si="7"/>
        <v>100.56644101709684</v>
      </c>
      <c r="P63" t="str">
        <f t="shared" ca="1" si="8"/>
        <v>Oct-25</v>
      </c>
      <c r="Q63">
        <f t="shared" ca="1" si="9"/>
        <v>-2.328751855502964E-3</v>
      </c>
      <c r="R63">
        <f t="shared" ca="1" si="10"/>
        <v>-3.320863195378243E-2</v>
      </c>
    </row>
    <row r="64" spans="1:18" x14ac:dyDescent="0.3">
      <c r="A64" s="10">
        <f ca="1">Returns!$A$62</f>
        <v>45943</v>
      </c>
      <c r="B64" s="27">
        <f ca="1">IF($A64="","",Returns!$J$62)</f>
        <v>1.8435936221820048E-2</v>
      </c>
      <c r="C64" s="61">
        <f t="shared" ca="1" si="11"/>
        <v>108.9355712227996</v>
      </c>
      <c r="D64" s="61">
        <f ca="1">IF($A64="","",MAX($C$7:C64))</f>
        <v>108.9355712227996</v>
      </c>
      <c r="E64" s="26">
        <f t="shared" ca="1" si="12"/>
        <v>0</v>
      </c>
      <c r="F64" s="27">
        <f ca="1">IF($A64="","",Returns!$I$62)</f>
        <v>5.969427614556988E-3</v>
      </c>
      <c r="G64" s="61">
        <f t="shared" ca="1" si="13"/>
        <v>101.16676510720201</v>
      </c>
      <c r="H64" s="61">
        <f ca="1">IF($A64="","",MAX($G$7:G64))</f>
        <v>104.0208304924473</v>
      </c>
      <c r="I64" s="26">
        <f t="shared" ca="1" si="14"/>
        <v>-2.7437440863851914E-2</v>
      </c>
      <c r="J64" s="60" t="str">
        <f t="shared" ca="1" si="15"/>
        <v>Oct-25</v>
      </c>
      <c r="K64" s="3"/>
      <c r="L64" t="str">
        <f t="shared" ca="1" si="5"/>
        <v>Oct-25</v>
      </c>
      <c r="M64">
        <f t="shared" ca="1" si="6"/>
        <v>108.9355712227996</v>
      </c>
      <c r="N64">
        <f t="shared" ca="1" si="7"/>
        <v>101.16676510720201</v>
      </c>
      <c r="P64" t="str">
        <f t="shared" ca="1" si="8"/>
        <v>Oct-25</v>
      </c>
      <c r="Q64">
        <f t="shared" ca="1" si="9"/>
        <v>0</v>
      </c>
      <c r="R64">
        <f t="shared" ca="1" si="10"/>
        <v>-2.7437440863851914E-2</v>
      </c>
    </row>
    <row r="65" spans="1:18" x14ac:dyDescent="0.3">
      <c r="A65" s="10">
        <f ca="1">Returns!$A$63</f>
        <v>45950</v>
      </c>
      <c r="B65" s="27">
        <f ca="1">IF($A65="","",Returns!$J$63)</f>
        <v>1.0025459678832373E-2</v>
      </c>
      <c r="C65" s="61">
        <f t="shared" ca="1" si="11"/>
        <v>110.02770039968433</v>
      </c>
      <c r="D65" s="61">
        <f ca="1">IF($A65="","",MAX($C$7:C65))</f>
        <v>110.02770039968433</v>
      </c>
      <c r="E65" s="26">
        <f t="shared" ca="1" si="12"/>
        <v>0</v>
      </c>
      <c r="F65" s="27">
        <f ca="1">IF($A65="","",Returns!$I$63)</f>
        <v>2.4410046667017182E-2</v>
      </c>
      <c r="G65" s="61">
        <f t="shared" ca="1" si="13"/>
        <v>103.63625056461997</v>
      </c>
      <c r="H65" s="61">
        <f ca="1">IF($A65="","",MAX($G$7:G65))</f>
        <v>104.0208304924473</v>
      </c>
      <c r="I65" s="26">
        <f t="shared" ca="1" si="14"/>
        <v>-3.6971434087449406E-3</v>
      </c>
      <c r="J65" s="60" t="str">
        <f t="shared" ca="1" si="15"/>
        <v>Oct-25</v>
      </c>
      <c r="K65" s="3"/>
      <c r="L65" t="str">
        <f t="shared" ca="1" si="5"/>
        <v>Oct-25</v>
      </c>
      <c r="M65">
        <f t="shared" ca="1" si="6"/>
        <v>110.02770039968433</v>
      </c>
      <c r="N65">
        <f t="shared" ca="1" si="7"/>
        <v>103.63625056461997</v>
      </c>
      <c r="P65" t="str">
        <f t="shared" ca="1" si="8"/>
        <v>Oct-25</v>
      </c>
      <c r="Q65">
        <f t="shared" ca="1" si="9"/>
        <v>0</v>
      </c>
      <c r="R65">
        <f t="shared" ca="1" si="10"/>
        <v>-3.6971434087449406E-3</v>
      </c>
    </row>
    <row r="66" spans="1:18" x14ac:dyDescent="0.3">
      <c r="A66" s="10">
        <f ca="1">Returns!$A$64</f>
        <v>45957</v>
      </c>
      <c r="B66" s="27">
        <f ca="1">IF($A66="","",Returns!$J$64)</f>
        <v>4.8732901359942451E-3</v>
      </c>
      <c r="C66" s="61">
        <f t="shared" ca="1" si="11"/>
        <v>110.56389730672825</v>
      </c>
      <c r="D66" s="61">
        <f ca="1">IF($A66="","",MAX($C$7:C66))</f>
        <v>110.56389730672825</v>
      </c>
      <c r="E66" s="26">
        <f t="shared" ca="1" si="12"/>
        <v>0</v>
      </c>
      <c r="F66" s="27">
        <f ca="1">IF($A66="","",Returns!$I$64)</f>
        <v>4.7556272655358001E-3</v>
      </c>
      <c r="G66" s="61">
        <f t="shared" ca="1" si="13"/>
        <v>104.12910594350298</v>
      </c>
      <c r="H66" s="61">
        <f ca="1">IF($A66="","",MAX($G$7:G66))</f>
        <v>104.12910594350298</v>
      </c>
      <c r="I66" s="26">
        <f t="shared" ca="1" si="14"/>
        <v>0</v>
      </c>
      <c r="J66" s="60" t="str">
        <f t="shared" ca="1" si="15"/>
        <v>Oct-25</v>
      </c>
      <c r="K66" s="3"/>
      <c r="L66" t="str">
        <f t="shared" ca="1" si="5"/>
        <v>Oct-25</v>
      </c>
      <c r="M66">
        <f t="shared" ca="1" si="6"/>
        <v>110.56389730672825</v>
      </c>
      <c r="N66">
        <f t="shared" ca="1" si="7"/>
        <v>104.12910594350298</v>
      </c>
      <c r="P66" t="str">
        <f t="shared" ca="1" si="8"/>
        <v>Oct-25</v>
      </c>
      <c r="Q66">
        <f t="shared" ca="1" si="9"/>
        <v>0</v>
      </c>
      <c r="R66">
        <f t="shared" ca="1" si="10"/>
        <v>0</v>
      </c>
    </row>
    <row r="67" spans="1:18" x14ac:dyDescent="0.3">
      <c r="A67" s="10">
        <f ca="1">Returns!$A$65</f>
        <v>45964</v>
      </c>
      <c r="B67" s="27">
        <f ca="1">IF($A67="","",Returns!$J$65)</f>
        <v>-1.7693940017564306E-2</v>
      </c>
      <c r="C67" s="61">
        <f t="shared" ca="1" si="11"/>
        <v>108.60758633967487</v>
      </c>
      <c r="D67" s="61">
        <f ca="1">IF($A67="","",MAX($C$7:C67))</f>
        <v>110.56389730672825</v>
      </c>
      <c r="E67" s="26">
        <f t="shared" ca="1" si="12"/>
        <v>-1.7693940017564302E-2</v>
      </c>
      <c r="F67" s="27">
        <f ca="1">IF($A67="","",Returns!$I$65)</f>
        <v>-7.8063920302184897E-3</v>
      </c>
      <c r="G67" s="61">
        <f t="shared" ca="1" si="13"/>
        <v>103.31623332075183</v>
      </c>
      <c r="H67" s="61">
        <f ca="1">IF($A67="","",MAX($G$7:G67))</f>
        <v>104.12910594350298</v>
      </c>
      <c r="I67" s="26">
        <f t="shared" ca="1" si="14"/>
        <v>-7.8063920302184897E-3</v>
      </c>
      <c r="J67" s="60" t="str">
        <f t="shared" ca="1" si="15"/>
        <v>Nov-25</v>
      </c>
      <c r="K67" s="3"/>
      <c r="L67" t="str">
        <f t="shared" ca="1" si="5"/>
        <v>Nov-25</v>
      </c>
      <c r="M67">
        <f t="shared" ca="1" si="6"/>
        <v>108.60758633967487</v>
      </c>
      <c r="N67">
        <f t="shared" ca="1" si="7"/>
        <v>103.31623332075183</v>
      </c>
      <c r="P67" t="str">
        <f t="shared" ca="1" si="8"/>
        <v>Nov-25</v>
      </c>
      <c r="Q67">
        <f t="shared" ca="1" si="9"/>
        <v>-1.7693940017564302E-2</v>
      </c>
      <c r="R67">
        <f t="shared" ca="1" si="10"/>
        <v>-7.8063920302184897E-3</v>
      </c>
    </row>
    <row r="68" spans="1:18" x14ac:dyDescent="0.3">
      <c r="A68" s="10">
        <f ca="1">Returns!$A$66</f>
        <v>45971</v>
      </c>
      <c r="B68" s="27">
        <f ca="1">IF($A68="","",Returns!$J$66)</f>
        <v>2.7917877111492143E-2</v>
      </c>
      <c r="C68" s="61">
        <f t="shared" ca="1" si="11"/>
        <v>111.63967958848167</v>
      </c>
      <c r="D68" s="61">
        <f ca="1">IF($A68="","",MAX($C$7:C68))</f>
        <v>111.63967958848167</v>
      </c>
      <c r="E68" s="26">
        <f t="shared" ca="1" si="12"/>
        <v>0</v>
      </c>
      <c r="F68" s="27">
        <f ca="1">IF($A68="","",Returns!$I$66)</f>
        <v>-7.3360026109037246E-3</v>
      </c>
      <c r="G68" s="61">
        <f t="shared" ca="1" si="13"/>
        <v>102.55830516336206</v>
      </c>
      <c r="H68" s="61">
        <f ca="1">IF($A68="","",MAX($G$7:G68))</f>
        <v>104.12910594350298</v>
      </c>
      <c r="I68" s="26">
        <f t="shared" ca="1" si="14"/>
        <v>-1.5085126928806813E-2</v>
      </c>
      <c r="J68" s="60" t="str">
        <f t="shared" ca="1" si="15"/>
        <v>Nov-25</v>
      </c>
      <c r="K68" s="3"/>
      <c r="L68" t="str">
        <f t="shared" ca="1" si="5"/>
        <v>Nov-25</v>
      </c>
      <c r="M68">
        <f t="shared" ca="1" si="6"/>
        <v>111.63967958848167</v>
      </c>
      <c r="N68">
        <f t="shared" ca="1" si="7"/>
        <v>102.55830516336206</v>
      </c>
      <c r="P68" t="str">
        <f t="shared" ca="1" si="8"/>
        <v>Nov-25</v>
      </c>
      <c r="Q68">
        <f t="shared" ca="1" si="9"/>
        <v>0</v>
      </c>
      <c r="R68">
        <f t="shared" ca="1" si="10"/>
        <v>-1.5085126928806813E-2</v>
      </c>
    </row>
    <row r="69" spans="1:18" x14ac:dyDescent="0.3">
      <c r="A69" s="10">
        <f ca="1">Returns!$A$67</f>
        <v>45978</v>
      </c>
      <c r="B69" s="27">
        <f ca="1">IF($A69="","",Returns!$J$67)</f>
        <v>1.2027213763844389E-2</v>
      </c>
      <c r="C69" s="61">
        <f t="shared" ca="1" si="11"/>
        <v>112.98239387941943</v>
      </c>
      <c r="D69" s="61">
        <f ca="1">IF($A69="","",MAX($C$7:C69))</f>
        <v>112.98239387941943</v>
      </c>
      <c r="E69" s="26">
        <f t="shared" ca="1" si="12"/>
        <v>0</v>
      </c>
      <c r="F69" s="27">
        <f ca="1">IF($A69="","",Returns!$I$67)</f>
        <v>1.7169531819258399E-2</v>
      </c>
      <c r="G69" s="61">
        <f t="shared" ca="1" si="13"/>
        <v>104.31918324719362</v>
      </c>
      <c r="H69" s="61">
        <f ca="1">IF($A69="","",MAX($G$7:G69))</f>
        <v>104.31918324719362</v>
      </c>
      <c r="I69" s="26">
        <f t="shared" ca="1" si="14"/>
        <v>0</v>
      </c>
      <c r="J69" s="60" t="str">
        <f t="shared" ca="1" si="15"/>
        <v>Nov-25</v>
      </c>
      <c r="K69" s="3"/>
      <c r="L69" t="str">
        <f t="shared" ca="1" si="5"/>
        <v>Nov-25</v>
      </c>
      <c r="M69">
        <f t="shared" ca="1" si="6"/>
        <v>112.98239387941943</v>
      </c>
      <c r="N69">
        <f t="shared" ca="1" si="7"/>
        <v>104.31918324719362</v>
      </c>
      <c r="P69" t="str">
        <f t="shared" ca="1" si="8"/>
        <v>Nov-25</v>
      </c>
      <c r="Q69">
        <f t="shared" ca="1" si="9"/>
        <v>0</v>
      </c>
      <c r="R69">
        <f t="shared" ca="1" si="10"/>
        <v>0</v>
      </c>
    </row>
    <row r="70" spans="1:18" x14ac:dyDescent="0.3">
      <c r="A70" s="10">
        <f ca="1">Returns!$A$68</f>
        <v>45985</v>
      </c>
      <c r="B70" s="27">
        <f ca="1">IF($A70="","",Returns!$J$68)</f>
        <v>3.7366786738261722E-3</v>
      </c>
      <c r="C70" s="61">
        <f t="shared" ca="1" si="11"/>
        <v>113.4045727811465</v>
      </c>
      <c r="D70" s="61">
        <f ca="1">IF($A70="","",MAX($C$7:C70))</f>
        <v>113.4045727811465</v>
      </c>
      <c r="E70" s="26">
        <f t="shared" ca="1" si="12"/>
        <v>0</v>
      </c>
      <c r="F70" s="27">
        <f ca="1">IF($A70="","",Returns!$I$68)</f>
        <v>-2.0738971712799259E-3</v>
      </c>
      <c r="G70" s="61">
        <f t="shared" ca="1" si="13"/>
        <v>104.10283598814704</v>
      </c>
      <c r="H70" s="61">
        <f ca="1">IF($A70="","",MAX($G$7:G70))</f>
        <v>104.31918324719362</v>
      </c>
      <c r="I70" s="26">
        <f t="shared" ca="1" si="14"/>
        <v>-2.0738971712799259E-3</v>
      </c>
      <c r="J70" s="60" t="str">
        <f t="shared" ca="1" si="15"/>
        <v>Nov-25</v>
      </c>
      <c r="K70" s="3"/>
      <c r="L70" t="str">
        <f t="shared" ca="1" si="5"/>
        <v>Nov-25</v>
      </c>
      <c r="M70">
        <f t="shared" ca="1" si="6"/>
        <v>113.4045727811465</v>
      </c>
      <c r="N70">
        <f t="shared" ca="1" si="7"/>
        <v>104.10283598814704</v>
      </c>
      <c r="P70" t="str">
        <f t="shared" ca="1" si="8"/>
        <v>Nov-25</v>
      </c>
      <c r="Q70">
        <f t="shared" ca="1" si="9"/>
        <v>0</v>
      </c>
      <c r="R70">
        <f t="shared" ca="1" si="10"/>
        <v>-2.0738971712799259E-3</v>
      </c>
    </row>
    <row r="71" spans="1:18" x14ac:dyDescent="0.3">
      <c r="A71" s="10">
        <f ca="1">Returns!$A$69</f>
        <v>45992</v>
      </c>
      <c r="B71" s="27">
        <f ca="1">IF($A71="","",Returns!$J$69)</f>
        <v>1.6491334128580781E-4</v>
      </c>
      <c r="C71" s="61">
        <f t="shared" ca="1" si="11"/>
        <v>113.42327470816092</v>
      </c>
      <c r="D71" s="61">
        <f ca="1">IF($A71="","",MAX($C$7:C71))</f>
        <v>113.42327470816092</v>
      </c>
      <c r="E71" s="26">
        <f t="shared" ca="1" si="12"/>
        <v>0</v>
      </c>
      <c r="F71" s="27">
        <f ca="1">IF($A71="","",Returns!$I$69)</f>
        <v>8.3302837111653982E-3</v>
      </c>
      <c r="G71" s="61">
        <f t="shared" ca="1" si="13"/>
        <v>104.97004214706521</v>
      </c>
      <c r="H71" s="61">
        <f ca="1">IF($A71="","",MAX($G$7:G71))</f>
        <v>104.97004214706521</v>
      </c>
      <c r="I71" s="26">
        <f t="shared" ca="1" si="14"/>
        <v>0</v>
      </c>
      <c r="J71" s="60" t="str">
        <f t="shared" ca="1" si="15"/>
        <v>Dec-25</v>
      </c>
      <c r="K71" s="3"/>
      <c r="L71" t="str">
        <f t="shared" ca="1" si="5"/>
        <v>Dec-25</v>
      </c>
      <c r="M71">
        <f t="shared" ca="1" si="6"/>
        <v>113.42327470816092</v>
      </c>
      <c r="N71">
        <f t="shared" ca="1" si="7"/>
        <v>104.97004214706521</v>
      </c>
      <c r="P71" t="str">
        <f t="shared" ca="1" si="8"/>
        <v>Dec-25</v>
      </c>
      <c r="Q71">
        <f t="shared" ca="1" si="9"/>
        <v>0</v>
      </c>
      <c r="R71">
        <f t="shared" ca="1" si="10"/>
        <v>0</v>
      </c>
    </row>
    <row r="72" spans="1:18" x14ac:dyDescent="0.3">
      <c r="A72" s="10">
        <f ca="1">Returns!$A$70</f>
        <v>45999</v>
      </c>
      <c r="B72" s="27">
        <f ca="1">IF($A72="","",Returns!$J$70)</f>
        <v>2.5190182187317988E-3</v>
      </c>
      <c r="C72" s="61">
        <f t="shared" ref="C72:C103" ca="1" si="16">IF($A72="","",C71*(1+$B72))</f>
        <v>113.70899000357899</v>
      </c>
      <c r="D72" s="61">
        <f ca="1">IF($A72="","",MAX($C$7:C72))</f>
        <v>113.70899000357899</v>
      </c>
      <c r="E72" s="26">
        <f t="shared" ref="E72:E103" ca="1" si="17">IF($A72="","",$C72/$D72-1)</f>
        <v>0</v>
      </c>
      <c r="F72" s="27">
        <f ca="1">IF($A72="","",Returns!$I$70)</f>
        <v>-8.2213200672378584E-3</v>
      </c>
      <c r="G72" s="61">
        <f t="shared" ref="G72:G103" ca="1" si="18">IF($A72="","",G71*(1+$F72))</f>
        <v>104.10704983310275</v>
      </c>
      <c r="H72" s="61">
        <f ca="1">IF($A72="","",MAX($G$7:G72))</f>
        <v>104.97004214706521</v>
      </c>
      <c r="I72" s="26">
        <f t="shared" ref="I72:I103" ca="1" si="19">IF($A72="","",$G72/$H72-1)</f>
        <v>-8.2213200672377473E-3</v>
      </c>
      <c r="J72" s="60" t="str">
        <f t="shared" ref="J72:J103" ca="1" si="20">IF($A72="","",TEXT($A72,"mmm-yy"))</f>
        <v>Dec-25</v>
      </c>
      <c r="K72" s="3"/>
      <c r="L72" t="str">
        <f t="shared" ref="L72:L111" ca="1" si="21">$J72</f>
        <v>Dec-25</v>
      </c>
      <c r="M72">
        <f t="shared" ref="M72:M111" ca="1" si="22">$C72</f>
        <v>113.70899000357899</v>
      </c>
      <c r="N72">
        <f t="shared" ref="N72:N111" ca="1" si="23">$G72</f>
        <v>104.10704983310275</v>
      </c>
      <c r="P72" t="str">
        <f t="shared" ref="P72:P111" ca="1" si="24">$J72</f>
        <v>Dec-25</v>
      </c>
      <c r="Q72">
        <f t="shared" ref="Q72:Q111" ca="1" si="25">$E72</f>
        <v>0</v>
      </c>
      <c r="R72">
        <f t="shared" ref="R72:R111" ca="1" si="26">$I72</f>
        <v>-8.2213200672377473E-3</v>
      </c>
    </row>
    <row r="73" spans="1:18" x14ac:dyDescent="0.3">
      <c r="A73" s="10">
        <f ca="1">Returns!$A$71</f>
        <v>46006</v>
      </c>
      <c r="B73" s="27">
        <f ca="1">IF($A73="","",Returns!$J$71)</f>
        <v>-2.5814956904060492E-3</v>
      </c>
      <c r="C73" s="61">
        <f t="shared" ca="1" si="16"/>
        <v>113.41545073592434</v>
      </c>
      <c r="D73" s="61">
        <f ca="1">IF($A73="","",MAX($C$7:C73))</f>
        <v>113.70899000357899</v>
      </c>
      <c r="E73" s="26">
        <f t="shared" ca="1" si="17"/>
        <v>-2.5814956904058883E-3</v>
      </c>
      <c r="F73" s="27">
        <f ca="1">IF($A73="","",Returns!$I$71)</f>
        <v>2.5712089301359597E-3</v>
      </c>
      <c r="G73" s="61">
        <f t="shared" ca="1" si="18"/>
        <v>104.37473080932374</v>
      </c>
      <c r="H73" s="61">
        <f ca="1">IF($A73="","",MAX($G$7:G73))</f>
        <v>104.97004214706521</v>
      </c>
      <c r="I73" s="26">
        <f t="shared" ca="1" si="19"/>
        <v>-5.6712498686761759E-3</v>
      </c>
      <c r="J73" s="60" t="str">
        <f t="shared" ca="1" si="20"/>
        <v>Dec-25</v>
      </c>
      <c r="K73" s="3"/>
      <c r="L73" t="str">
        <f t="shared" ca="1" si="21"/>
        <v>Dec-25</v>
      </c>
      <c r="M73">
        <f t="shared" ca="1" si="22"/>
        <v>113.41545073592434</v>
      </c>
      <c r="N73">
        <f t="shared" ca="1" si="23"/>
        <v>104.37473080932374</v>
      </c>
      <c r="P73" t="str">
        <f t="shared" ca="1" si="24"/>
        <v>Dec-25</v>
      </c>
      <c r="Q73">
        <f t="shared" ca="1" si="25"/>
        <v>-2.5814956904058883E-3</v>
      </c>
      <c r="R73">
        <f t="shared" ca="1" si="26"/>
        <v>-5.6712498686761759E-3</v>
      </c>
    </row>
    <row r="74" spans="1:18" x14ac:dyDescent="0.3">
      <c r="A74" s="10">
        <f ca="1">Returns!$A$72</f>
        <v>46013</v>
      </c>
      <c r="B74" s="27">
        <f ca="1">IF($A74="","",Returns!$J$72)</f>
        <v>1.2540187569457636E-3</v>
      </c>
      <c r="C74" s="61">
        <f t="shared" ca="1" si="16"/>
        <v>113.55767583847465</v>
      </c>
      <c r="D74" s="61">
        <f ca="1">IF($A74="","",MAX($C$7:C74))</f>
        <v>113.70899000357899</v>
      </c>
      <c r="E74" s="26">
        <f t="shared" ca="1" si="17"/>
        <v>-1.3307141774768771E-3</v>
      </c>
      <c r="F74" s="27">
        <f ca="1">IF($A74="","",Returns!$I$72)</f>
        <v>5.5749003938021513E-3</v>
      </c>
      <c r="G74" s="61">
        <f t="shared" ca="1" si="18"/>
        <v>104.95660953721563</v>
      </c>
      <c r="H74" s="61">
        <f ca="1">IF($A74="","",MAX($G$7:G74))</f>
        <v>104.97004214706521</v>
      </c>
      <c r="I74" s="26">
        <f t="shared" ca="1" si="19"/>
        <v>-1.2796612800025642E-4</v>
      </c>
      <c r="J74" s="60" t="str">
        <f t="shared" ca="1" si="20"/>
        <v>Dec-25</v>
      </c>
      <c r="K74" s="3"/>
      <c r="L74" t="str">
        <f t="shared" ca="1" si="21"/>
        <v>Dec-25</v>
      </c>
      <c r="M74">
        <f t="shared" ca="1" si="22"/>
        <v>113.55767583847465</v>
      </c>
      <c r="N74">
        <f t="shared" ca="1" si="23"/>
        <v>104.95660953721563</v>
      </c>
      <c r="P74" t="str">
        <f t="shared" ca="1" si="24"/>
        <v>Dec-25</v>
      </c>
      <c r="Q74">
        <f t="shared" ca="1" si="25"/>
        <v>-1.3307141774768771E-3</v>
      </c>
      <c r="R74">
        <f t="shared" ca="1" si="26"/>
        <v>-1.2796612800025642E-4</v>
      </c>
    </row>
    <row r="75" spans="1:18" x14ac:dyDescent="0.3">
      <c r="A75" s="10">
        <f ca="1">Returns!$A$73</f>
        <v>46020</v>
      </c>
      <c r="B75" s="27">
        <f ca="1">IF($A75="","",Returns!$J$73)</f>
        <v>1.2355604398829998E-2</v>
      </c>
      <c r="C75" s="61">
        <f t="shared" ca="1" si="16"/>
        <v>114.96074955758542</v>
      </c>
      <c r="D75" s="61">
        <f ca="1">IF($A75="","",MAX($C$7:C75))</f>
        <v>114.96074955758542</v>
      </c>
      <c r="E75" s="26">
        <f t="shared" ca="1" si="17"/>
        <v>0</v>
      </c>
      <c r="F75" s="27">
        <f ca="1">IF($A75="","",Returns!$I$73)</f>
        <v>-8.7993755946242924E-3</v>
      </c>
      <c r="G75" s="61">
        <f t="shared" ca="1" si="18"/>
        <v>104.03305690875933</v>
      </c>
      <c r="H75" s="61">
        <f ca="1">IF($A75="","",MAX($G$7:G75))</f>
        <v>104.97004214706521</v>
      </c>
      <c r="I75" s="26">
        <f t="shared" ca="1" si="19"/>
        <v>-8.9262157006009257E-3</v>
      </c>
      <c r="J75" s="60" t="str">
        <f t="shared" ca="1" si="20"/>
        <v>Dec-25</v>
      </c>
      <c r="K75" s="3"/>
      <c r="L75" t="str">
        <f t="shared" ca="1" si="21"/>
        <v>Dec-25</v>
      </c>
      <c r="M75">
        <f t="shared" ca="1" si="22"/>
        <v>114.96074955758542</v>
      </c>
      <c r="N75">
        <f t="shared" ca="1" si="23"/>
        <v>104.03305690875933</v>
      </c>
      <c r="P75" t="str">
        <f t="shared" ca="1" si="24"/>
        <v>Dec-25</v>
      </c>
      <c r="Q75">
        <f t="shared" ca="1" si="25"/>
        <v>0</v>
      </c>
      <c r="R75">
        <f t="shared" ca="1" si="26"/>
        <v>-8.9262157006009257E-3</v>
      </c>
    </row>
    <row r="76" spans="1:18" x14ac:dyDescent="0.3">
      <c r="A76" s="10">
        <f ca="1">Returns!$A$74</f>
        <v>46027</v>
      </c>
      <c r="B76" s="27">
        <f ca="1">IF($A76="","",Returns!$J$74)</f>
        <v>-4.2290657064082762E-2</v>
      </c>
      <c r="C76" s="61">
        <f t="shared" ca="1" si="16"/>
        <v>110.09898392221567</v>
      </c>
      <c r="D76" s="61">
        <f ca="1">IF($A76="","",MAX($C$7:C76))</f>
        <v>114.96074955758542</v>
      </c>
      <c r="E76" s="26">
        <f t="shared" ca="1" si="17"/>
        <v>-4.2290657064082748E-2</v>
      </c>
      <c r="F76" s="27">
        <f ca="1">IF($A76="","",Returns!$I$74)</f>
        <v>1.1880348025632426E-2</v>
      </c>
      <c r="G76" s="61">
        <f t="shared" ca="1" si="18"/>
        <v>105.26900583100581</v>
      </c>
      <c r="H76" s="61">
        <f ca="1">IF($A76="","",MAX($G$7:G76))</f>
        <v>105.26900583100581</v>
      </c>
      <c r="I76" s="26">
        <f t="shared" ca="1" si="19"/>
        <v>0</v>
      </c>
      <c r="J76" s="60" t="str">
        <f t="shared" ca="1" si="20"/>
        <v>Jan-26</v>
      </c>
      <c r="K76" s="3"/>
      <c r="L76" t="str">
        <f t="shared" ca="1" si="21"/>
        <v>Jan-26</v>
      </c>
      <c r="M76">
        <f t="shared" ca="1" si="22"/>
        <v>110.09898392221567</v>
      </c>
      <c r="N76">
        <f t="shared" ca="1" si="23"/>
        <v>105.26900583100581</v>
      </c>
      <c r="P76" t="str">
        <f t="shared" ca="1" si="24"/>
        <v>Jan-26</v>
      </c>
      <c r="Q76">
        <f t="shared" ca="1" si="25"/>
        <v>-4.2290657064082748E-2</v>
      </c>
      <c r="R76">
        <f t="shared" ca="1" si="26"/>
        <v>0</v>
      </c>
    </row>
    <row r="77" spans="1:18" x14ac:dyDescent="0.3">
      <c r="A77" s="10">
        <f ca="1">Returns!$A$75</f>
        <v>46034</v>
      </c>
      <c r="B77" s="27">
        <f ca="1">IF($A77="","",Returns!$J$75)</f>
        <v>-1.890725643892166E-2</v>
      </c>
      <c r="C77" s="61">
        <f t="shared" ca="1" si="16"/>
        <v>108.01731419953362</v>
      </c>
      <c r="D77" s="61">
        <f ca="1">IF($A77="","",MAX($C$7:C77))</f>
        <v>114.96074955758542</v>
      </c>
      <c r="E77" s="26">
        <f t="shared" ca="1" si="17"/>
        <v>-6.0398313204923393E-2</v>
      </c>
      <c r="F77" s="27">
        <f ca="1">IF($A77="","",Returns!$I$75)</f>
        <v>-1.7525543234102825E-2</v>
      </c>
      <c r="G77" s="61">
        <f t="shared" ca="1" si="18"/>
        <v>103.4241093181035</v>
      </c>
      <c r="H77" s="61">
        <f ca="1">IF($A77="","",MAX($G$7:G77))</f>
        <v>105.26900583100581</v>
      </c>
      <c r="I77" s="26">
        <f t="shared" ca="1" si="19"/>
        <v>-1.7525543234102825E-2</v>
      </c>
      <c r="J77" s="60" t="str">
        <f t="shared" ca="1" si="20"/>
        <v>Jan-26</v>
      </c>
      <c r="K77" s="3"/>
      <c r="L77" t="str">
        <f t="shared" ca="1" si="21"/>
        <v>Jan-26</v>
      </c>
      <c r="M77">
        <f t="shared" ca="1" si="22"/>
        <v>108.01731419953362</v>
      </c>
      <c r="N77">
        <f t="shared" ca="1" si="23"/>
        <v>103.4241093181035</v>
      </c>
      <c r="P77" t="str">
        <f t="shared" ca="1" si="24"/>
        <v>Jan-26</v>
      </c>
      <c r="Q77">
        <f t="shared" ca="1" si="25"/>
        <v>-6.0398313204923393E-2</v>
      </c>
      <c r="R77">
        <f t="shared" ca="1" si="26"/>
        <v>-1.7525543234102825E-2</v>
      </c>
    </row>
    <row r="78" spans="1:18" x14ac:dyDescent="0.3">
      <c r="A78" s="10">
        <f ca="1">Returns!$A$76</f>
        <v>46041</v>
      </c>
      <c r="B78" s="27">
        <f ca="1">IF($A78="","",Returns!$J$76)</f>
        <v>-2.9747714087267455E-2</v>
      </c>
      <c r="C78" s="61">
        <f t="shared" ca="1" si="16"/>
        <v>104.80404602025135</v>
      </c>
      <c r="D78" s="61">
        <f ca="1">IF($A78="","",MAX($C$7:C78))</f>
        <v>114.96074955758542</v>
      </c>
      <c r="E78" s="26">
        <f t="shared" ca="1" si="17"/>
        <v>-8.8349315539617557E-2</v>
      </c>
      <c r="F78" s="27">
        <f ca="1">IF($A78="","",Returns!$I$76)</f>
        <v>-7.9390467327768999E-3</v>
      </c>
      <c r="G78" s="61">
        <f t="shared" ca="1" si="18"/>
        <v>102.60302048093125</v>
      </c>
      <c r="H78" s="61">
        <f ca="1">IF($A78="","",MAX($G$7:G78))</f>
        <v>105.26900583100581</v>
      </c>
      <c r="I78" s="26">
        <f t="shared" ca="1" si="19"/>
        <v>-2.5325453860126856E-2</v>
      </c>
      <c r="J78" s="60" t="str">
        <f t="shared" ca="1" si="20"/>
        <v>Jan-26</v>
      </c>
      <c r="K78" s="3"/>
      <c r="L78" t="str">
        <f t="shared" ca="1" si="21"/>
        <v>Jan-26</v>
      </c>
      <c r="M78">
        <f t="shared" ca="1" si="22"/>
        <v>104.80404602025135</v>
      </c>
      <c r="N78">
        <f t="shared" ca="1" si="23"/>
        <v>102.60302048093125</v>
      </c>
      <c r="P78" t="str">
        <f t="shared" ca="1" si="24"/>
        <v>Jan-26</v>
      </c>
      <c r="Q78">
        <f t="shared" ca="1" si="25"/>
        <v>-8.8349315539617557E-2</v>
      </c>
      <c r="R78">
        <f t="shared" ca="1" si="26"/>
        <v>-2.5325453860126856E-2</v>
      </c>
    </row>
    <row r="79" spans="1:18" x14ac:dyDescent="0.3">
      <c r="A79" s="10">
        <f ca="1">Returns!$A$77</f>
        <v>46048</v>
      </c>
      <c r="B79" s="27">
        <f ca="1">IF($A79="","",Returns!$J$77)</f>
        <v>0</v>
      </c>
      <c r="C79" s="61">
        <f t="shared" ca="1" si="16"/>
        <v>104.80404602025135</v>
      </c>
      <c r="D79" s="61">
        <f ca="1">IF($A79="","",MAX($C$7:C79))</f>
        <v>114.96074955758542</v>
      </c>
      <c r="E79" s="26">
        <f t="shared" ca="1" si="17"/>
        <v>-8.8349315539617557E-2</v>
      </c>
      <c r="F79" s="27">
        <f ca="1">IF($A79="","",Returns!$I$77)</f>
        <v>-1.6028594687420572E-2</v>
      </c>
      <c r="G79" s="61">
        <f t="shared" ca="1" si="18"/>
        <v>100.9584382519373</v>
      </c>
      <c r="H79" s="61">
        <f ca="1">IF($A79="","",MAX($G$7:G79))</f>
        <v>105.26900583100581</v>
      </c>
      <c r="I79" s="26">
        <f t="shared" ca="1" si="19"/>
        <v>-4.094811711234847E-2</v>
      </c>
      <c r="J79" s="60" t="str">
        <f t="shared" ca="1" si="20"/>
        <v>Jan-26</v>
      </c>
      <c r="K79" s="3"/>
      <c r="L79" t="str">
        <f t="shared" ca="1" si="21"/>
        <v>Jan-26</v>
      </c>
      <c r="M79">
        <f t="shared" ca="1" si="22"/>
        <v>104.80404602025135</v>
      </c>
      <c r="N79">
        <f t="shared" ca="1" si="23"/>
        <v>100.9584382519373</v>
      </c>
      <c r="P79" t="str">
        <f t="shared" ca="1" si="24"/>
        <v>Jan-26</v>
      </c>
      <c r="Q79">
        <f t="shared" ca="1" si="25"/>
        <v>-8.8349315539617557E-2</v>
      </c>
      <c r="R79">
        <f t="shared" ca="1" si="26"/>
        <v>-4.094811711234847E-2</v>
      </c>
    </row>
    <row r="80" spans="1:18" x14ac:dyDescent="0.3">
      <c r="A80" s="10">
        <f ca="1">Returns!$A$78</f>
        <v>46055</v>
      </c>
      <c r="B80" s="27">
        <f ca="1">IF($A80="","",Returns!$J$78)</f>
        <v>2.274878225170331E-2</v>
      </c>
      <c r="C80" s="61">
        <f t="shared" ca="1" si="16"/>
        <v>107.18821044226355</v>
      </c>
      <c r="D80" s="61">
        <f ca="1">IF($A80="","",MAX($C$7:C80))</f>
        <v>114.96074955758542</v>
      </c>
      <c r="E80" s="26">
        <f t="shared" ca="1" si="17"/>
        <v>-6.761037262921199E-2</v>
      </c>
      <c r="F80" s="27">
        <f ca="1">IF($A80="","",Returns!$I$78)</f>
        <v>-3.4557543733205742E-3</v>
      </c>
      <c r="G80" s="61">
        <f t="shared" ca="1" si="18"/>
        <v>100.60955068742454</v>
      </c>
      <c r="H80" s="61">
        <f ca="1">IF($A80="","",MAX($G$7:G80))</f>
        <v>105.26900583100581</v>
      </c>
      <c r="I80" s="26">
        <f t="shared" ca="1" si="19"/>
        <v>-4.4262364850878866E-2</v>
      </c>
      <c r="J80" s="60" t="str">
        <f t="shared" ca="1" si="20"/>
        <v>Feb-26</v>
      </c>
      <c r="K80" s="3"/>
      <c r="L80" t="str">
        <f t="shared" ca="1" si="21"/>
        <v>Feb-26</v>
      </c>
      <c r="M80">
        <f t="shared" ca="1" si="22"/>
        <v>107.18821044226355</v>
      </c>
      <c r="N80">
        <f t="shared" ca="1" si="23"/>
        <v>100.60955068742454</v>
      </c>
      <c r="P80" t="str">
        <f t="shared" ca="1" si="24"/>
        <v>Feb-26</v>
      </c>
      <c r="Q80">
        <f t="shared" ca="1" si="25"/>
        <v>-6.761037262921199E-2</v>
      </c>
      <c r="R80">
        <f t="shared" ca="1" si="26"/>
        <v>-4.4262364850878866E-2</v>
      </c>
    </row>
    <row r="81" spans="1:18" x14ac:dyDescent="0.3">
      <c r="A81" s="10">
        <f ca="1">Returns!$A$79</f>
        <v>46062</v>
      </c>
      <c r="B81" s="27">
        <f ca="1">IF($A81="","",Returns!$J$79)</f>
        <v>-1.5480042145772888E-2</v>
      </c>
      <c r="C81" s="61">
        <f t="shared" ca="1" si="16"/>
        <v>105.52893242708734</v>
      </c>
      <c r="D81" s="61">
        <f ca="1">IF($A81="","",MAX($C$7:C81))</f>
        <v>114.96074955758542</v>
      </c>
      <c r="E81" s="26">
        <f t="shared" ca="1" si="17"/>
        <v>-8.204380335719319E-2</v>
      </c>
      <c r="F81" s="27">
        <f ca="1">IF($A81="","",Returns!$I$79)</f>
        <v>3.1046235650641796E-2</v>
      </c>
      <c r="G81" s="61">
        <f t="shared" ca="1" si="18"/>
        <v>103.73309850677151</v>
      </c>
      <c r="H81" s="61">
        <f ca="1">IF($A81="","",MAX($G$7:G81))</f>
        <v>105.26900583100581</v>
      </c>
      <c r="I81" s="26">
        <f t="shared" ca="1" si="19"/>
        <v>-1.4590309009852143E-2</v>
      </c>
      <c r="J81" s="60" t="str">
        <f t="shared" ca="1" si="20"/>
        <v>Feb-26</v>
      </c>
      <c r="K81" s="3"/>
      <c r="L81" t="str">
        <f t="shared" ca="1" si="21"/>
        <v>Feb-26</v>
      </c>
      <c r="M81">
        <f t="shared" ca="1" si="22"/>
        <v>105.52893242708734</v>
      </c>
      <c r="N81">
        <f t="shared" ca="1" si="23"/>
        <v>103.73309850677151</v>
      </c>
      <c r="P81" t="str">
        <f t="shared" ca="1" si="24"/>
        <v>Feb-26</v>
      </c>
      <c r="Q81">
        <f t="shared" ca="1" si="25"/>
        <v>-8.204380335719319E-2</v>
      </c>
      <c r="R81">
        <f t="shared" ca="1" si="26"/>
        <v>-1.4590309009852143E-2</v>
      </c>
    </row>
    <row r="82" spans="1:18" x14ac:dyDescent="0.3">
      <c r="A82" s="10">
        <f ca="1">Returns!$A$80</f>
        <v>46069</v>
      </c>
      <c r="B82" s="27">
        <f ca="1">IF($A82="","",Returns!$J$80)</f>
        <v>3.8382645277093138E-3</v>
      </c>
      <c r="C82" s="61">
        <f t="shared" ca="1" si="16"/>
        <v>105.93398038506926</v>
      </c>
      <c r="D82" s="61">
        <f ca="1">IF($A82="","",MAX($C$7:C82))</f>
        <v>114.96074955758542</v>
      </c>
      <c r="E82" s="26">
        <f t="shared" ca="1" si="17"/>
        <v>-7.8520444649628152E-2</v>
      </c>
      <c r="F82" s="27">
        <f ca="1">IF($A82="","",Returns!$I$80)</f>
        <v>-7.1345202505153082E-3</v>
      </c>
      <c r="G82" s="61">
        <f t="shared" ca="1" si="18"/>
        <v>102.99301261482626</v>
      </c>
      <c r="H82" s="61">
        <f ca="1">IF($A82="","",MAX($G$7:G82))</f>
        <v>105.26900583100581</v>
      </c>
      <c r="I82" s="26">
        <f t="shared" ca="1" si="19"/>
        <v>-2.1620734405275344E-2</v>
      </c>
      <c r="J82" s="60" t="str">
        <f t="shared" ca="1" si="20"/>
        <v>Feb-26</v>
      </c>
      <c r="K82" s="3"/>
      <c r="L82" t="str">
        <f t="shared" ca="1" si="21"/>
        <v>Feb-26</v>
      </c>
      <c r="M82">
        <f t="shared" ca="1" si="22"/>
        <v>105.93398038506926</v>
      </c>
      <c r="N82">
        <f t="shared" ca="1" si="23"/>
        <v>102.99301261482626</v>
      </c>
      <c r="P82" t="str">
        <f t="shared" ca="1" si="24"/>
        <v>Feb-26</v>
      </c>
      <c r="Q82">
        <f t="shared" ca="1" si="25"/>
        <v>-7.8520444649628152E-2</v>
      </c>
      <c r="R82">
        <f t="shared" ca="1" si="26"/>
        <v>-2.1620734405275344E-2</v>
      </c>
    </row>
    <row r="83" spans="1:18" x14ac:dyDescent="0.3">
      <c r="A83" s="10">
        <f ca="1">Returns!$A$81</f>
        <v>46076</v>
      </c>
      <c r="B83" s="27">
        <f ca="1">IF($A83="","",Returns!$J$81)</f>
        <v>-2.2103393516809421E-2</v>
      </c>
      <c r="C83" s="61">
        <f t="shared" ca="1" si="16"/>
        <v>103.59247992981611</v>
      </c>
      <c r="D83" s="61">
        <f ca="1">IF($A83="","",MAX($C$7:C83))</f>
        <v>114.96074955758542</v>
      </c>
      <c r="E83" s="26">
        <f t="shared" ca="1" si="17"/>
        <v>-9.8888269879232049E-2</v>
      </c>
      <c r="F83" s="27">
        <f ca="1">IF($A83="","",Returns!$I$81)</f>
        <v>1.1778333706475852E-3</v>
      </c>
      <c r="G83" s="61">
        <f t="shared" ca="1" si="18"/>
        <v>103.11432122202753</v>
      </c>
      <c r="H83" s="61">
        <f ca="1">IF($A83="","",MAX($G$7:G83))</f>
        <v>105.26900583100581</v>
      </c>
      <c r="I83" s="26">
        <f t="shared" ca="1" si="19"/>
        <v>-2.0468366657108161E-2</v>
      </c>
      <c r="J83" s="60" t="str">
        <f t="shared" ca="1" si="20"/>
        <v>Feb-26</v>
      </c>
      <c r="K83" s="3"/>
      <c r="L83" t="str">
        <f t="shared" ca="1" si="21"/>
        <v>Feb-26</v>
      </c>
      <c r="M83">
        <f t="shared" ca="1" si="22"/>
        <v>103.59247992981611</v>
      </c>
      <c r="N83">
        <f t="shared" ca="1" si="23"/>
        <v>103.11432122202753</v>
      </c>
      <c r="P83" t="str">
        <f t="shared" ca="1" si="24"/>
        <v>Feb-26</v>
      </c>
      <c r="Q83">
        <f t="shared" ca="1" si="25"/>
        <v>-9.8888269879232049E-2</v>
      </c>
      <c r="R83">
        <f t="shared" ca="1" si="26"/>
        <v>-2.0468366657108161E-2</v>
      </c>
    </row>
    <row r="84" spans="1:18" x14ac:dyDescent="0.3">
      <c r="A84" s="10">
        <f ca="1">Returns!$A$82</f>
        <v>46083</v>
      </c>
      <c r="B84" s="27">
        <f ca="1">IF($A84="","",Returns!$J$82)</f>
        <v>-2.4956912977215338E-2</v>
      </c>
      <c r="C84" s="61">
        <f t="shared" ca="1" si="16"/>
        <v>101.00713142311376</v>
      </c>
      <c r="D84" s="61">
        <f ca="1">IF($A84="","",MAX($C$7:C84))</f>
        <v>114.96074955758542</v>
      </c>
      <c r="E84" s="26">
        <f t="shared" ca="1" si="17"/>
        <v>-0.12137723691060398</v>
      </c>
      <c r="F84" s="27">
        <f ca="1">IF($A84="","",Returns!$I$82)</f>
        <v>-3.2952233549177423E-2</v>
      </c>
      <c r="G84" s="61">
        <f t="shared" ca="1" si="18"/>
        <v>99.716474026854371</v>
      </c>
      <c r="H84" s="61">
        <f ca="1">IF($A84="","",MAX($G$7:G84))</f>
        <v>105.26900583100581</v>
      </c>
      <c r="I84" s="26">
        <f t="shared" ca="1" si="19"/>
        <v>-5.2746121807830448E-2</v>
      </c>
      <c r="J84" s="60" t="str">
        <f t="shared" ca="1" si="20"/>
        <v>Mar-26</v>
      </c>
      <c r="K84" s="3"/>
      <c r="L84" t="str">
        <f t="shared" ca="1" si="21"/>
        <v>Mar-26</v>
      </c>
      <c r="M84">
        <f t="shared" ca="1" si="22"/>
        <v>101.00713142311376</v>
      </c>
      <c r="N84">
        <f t="shared" ca="1" si="23"/>
        <v>99.716474026854371</v>
      </c>
      <c r="P84" t="str">
        <f t="shared" ca="1" si="24"/>
        <v>Mar-26</v>
      </c>
      <c r="Q84">
        <f t="shared" ca="1" si="25"/>
        <v>-0.12137723691060398</v>
      </c>
      <c r="R84">
        <f t="shared" ca="1" si="26"/>
        <v>-5.2746121807830448E-2</v>
      </c>
    </row>
    <row r="85" spans="1:18" x14ac:dyDescent="0.3">
      <c r="A85" s="10">
        <f ca="1">Returns!$A$83</f>
        <v>46090</v>
      </c>
      <c r="B85" s="27">
        <f ca="1">IF($A85="","",Returns!$J$83)</f>
        <v>-5.0420400715880075E-2</v>
      </c>
      <c r="C85" s="61">
        <f t="shared" ca="1" si="16"/>
        <v>95.914311381598807</v>
      </c>
      <c r="D85" s="61">
        <f ca="1">IF($A85="","",MAX($C$7:C85))</f>
        <v>114.96074955758542</v>
      </c>
      <c r="E85" s="26">
        <f t="shared" ca="1" si="17"/>
        <v>-0.16567774870366503</v>
      </c>
      <c r="F85" s="27">
        <f ca="1">IF($A85="","",Returns!$I$83)</f>
        <v>-3.3686904604249834E-2</v>
      </c>
      <c r="G85" s="61">
        <f t="shared" ca="1" si="18"/>
        <v>96.357334678839578</v>
      </c>
      <c r="H85" s="61">
        <f ca="1">IF($A85="","",MAX($G$7:G85))</f>
        <v>105.26900583100581</v>
      </c>
      <c r="I85" s="26">
        <f t="shared" ca="1" si="19"/>
        <v>-8.4656172838495691E-2</v>
      </c>
      <c r="J85" s="60" t="str">
        <f t="shared" ca="1" si="20"/>
        <v>Mar-26</v>
      </c>
      <c r="K85" s="3"/>
      <c r="L85" t="str">
        <f t="shared" ca="1" si="21"/>
        <v>Mar-26</v>
      </c>
      <c r="M85">
        <f t="shared" ca="1" si="22"/>
        <v>95.914311381598807</v>
      </c>
      <c r="N85">
        <f t="shared" ca="1" si="23"/>
        <v>96.357334678839578</v>
      </c>
      <c r="P85" t="str">
        <f t="shared" ca="1" si="24"/>
        <v>Mar-26</v>
      </c>
      <c r="Q85">
        <f t="shared" ca="1" si="25"/>
        <v>-0.16567774870366503</v>
      </c>
      <c r="R85">
        <f t="shared" ca="1" si="26"/>
        <v>-8.4656172838495691E-2</v>
      </c>
    </row>
    <row r="86" spans="1:18" x14ac:dyDescent="0.3">
      <c r="A86" s="10">
        <f ca="1">Returns!$A$84</f>
        <v>46097</v>
      </c>
      <c r="B86" s="27">
        <f ca="1">IF($A86="","",Returns!$J$84)</f>
        <v>-2.3785189452325724E-3</v>
      </c>
      <c r="C86" s="61">
        <f t="shared" ca="1" si="16"/>
        <v>95.686177374858744</v>
      </c>
      <c r="D86" s="61">
        <f ca="1">IF($A86="","",MAX($C$7:C86))</f>
        <v>114.96074955758542</v>
      </c>
      <c r="E86" s="26">
        <f t="shared" ca="1" si="17"/>
        <v>-0.16766219998480236</v>
      </c>
      <c r="F86" s="27">
        <f ca="1">IF($A86="","",Returns!$I$84)</f>
        <v>-2.5771961514382324E-2</v>
      </c>
      <c r="G86" s="61">
        <f t="shared" ca="1" si="18"/>
        <v>93.874017157868067</v>
      </c>
      <c r="H86" s="61">
        <f ca="1">IF($A86="","",MAX($G$7:G86))</f>
        <v>105.26900583100581</v>
      </c>
      <c r="I86" s="26">
        <f t="shared" ca="1" si="19"/>
        <v>-0.10824637872452936</v>
      </c>
      <c r="J86" s="60" t="str">
        <f t="shared" ca="1" si="20"/>
        <v>Mar-26</v>
      </c>
      <c r="K86" s="3"/>
      <c r="L86" t="str">
        <f t="shared" ca="1" si="21"/>
        <v>Mar-26</v>
      </c>
      <c r="M86">
        <f t="shared" ca="1" si="22"/>
        <v>95.686177374858744</v>
      </c>
      <c r="N86">
        <f t="shared" ca="1" si="23"/>
        <v>93.874017157868067</v>
      </c>
      <c r="P86" t="str">
        <f t="shared" ca="1" si="24"/>
        <v>Mar-26</v>
      </c>
      <c r="Q86">
        <f t="shared" ca="1" si="25"/>
        <v>-0.16766219998480236</v>
      </c>
      <c r="R86">
        <f t="shared" ca="1" si="26"/>
        <v>-0.10824637872452936</v>
      </c>
    </row>
    <row r="87" spans="1:18" x14ac:dyDescent="0.3">
      <c r="A87" s="10">
        <f ca="1">Returns!$A$85</f>
        <v>46104</v>
      </c>
      <c r="B87" s="27">
        <f ca="1">IF($A87="","",Returns!$J$85)</f>
        <v>-1.1644513970686228E-2</v>
      </c>
      <c r="C87" s="61">
        <f t="shared" ca="1" si="16"/>
        <v>94.571958345615641</v>
      </c>
      <c r="D87" s="61">
        <f ca="1">IF($A87="","",MAX($C$7:C87))</f>
        <v>114.96074955758542</v>
      </c>
      <c r="E87" s="26">
        <f t="shared" ca="1" si="17"/>
        <v>-0.17735436912540958</v>
      </c>
      <c r="F87" s="27">
        <f ca="1">IF($A87="","",Returns!$I$85)</f>
        <v>-3.8282627076855591E-2</v>
      </c>
      <c r="G87" s="61">
        <f t="shared" ca="1" si="18"/>
        <v>90.280273166807063</v>
      </c>
      <c r="H87" s="61">
        <f ca="1">IF($A87="","",MAX($G$7:G87))</f>
        <v>105.26900583100581</v>
      </c>
      <c r="I87" s="26">
        <f t="shared" ca="1" si="19"/>
        <v>-0.14238505005225366</v>
      </c>
      <c r="J87" s="60" t="str">
        <f t="shared" ca="1" si="20"/>
        <v>Mar-26</v>
      </c>
      <c r="K87" s="3"/>
      <c r="L87" t="str">
        <f t="shared" ca="1" si="21"/>
        <v>Mar-26</v>
      </c>
      <c r="M87">
        <f t="shared" ca="1" si="22"/>
        <v>94.571958345615641</v>
      </c>
      <c r="N87">
        <f t="shared" ca="1" si="23"/>
        <v>90.280273166807063</v>
      </c>
      <c r="P87" t="str">
        <f t="shared" ca="1" si="24"/>
        <v>Mar-26</v>
      </c>
      <c r="Q87">
        <f t="shared" ca="1" si="25"/>
        <v>-0.17735436912540958</v>
      </c>
      <c r="R87">
        <f t="shared" ca="1" si="26"/>
        <v>-0.14238505005225366</v>
      </c>
    </row>
    <row r="88" spans="1:18" x14ac:dyDescent="0.3">
      <c r="A88" s="10">
        <f ca="1">Returns!$A$86</f>
        <v>46111</v>
      </c>
      <c r="B88" s="27">
        <f ca="1">IF($A88="","",Returns!$J$86)</f>
        <v>-3.1089004538799587E-3</v>
      </c>
      <c r="C88" s="61">
        <f t="shared" ca="1" si="16"/>
        <v>94.277943541390641</v>
      </c>
      <c r="D88" s="61">
        <f ca="1">IF($A88="","",MAX($C$7:C88))</f>
        <v>114.96074955758542</v>
      </c>
      <c r="E88" s="26">
        <f t="shared" ca="1" si="17"/>
        <v>-0.17991189250061801</v>
      </c>
      <c r="F88" s="27">
        <f ca="1">IF($A88="","",Returns!$I$86)</f>
        <v>-8.0510289483941566E-3</v>
      </c>
      <c r="G88" s="61">
        <f t="shared" ca="1" si="18"/>
        <v>89.553424074072169</v>
      </c>
      <c r="H88" s="61">
        <f ca="1">IF($A88="","",MAX($G$7:G88))</f>
        <v>105.26900583100581</v>
      </c>
      <c r="I88" s="26">
        <f t="shared" ca="1" si="19"/>
        <v>-0.14928973284085856</v>
      </c>
      <c r="J88" s="60" t="str">
        <f t="shared" ca="1" si="20"/>
        <v>Mar-26</v>
      </c>
      <c r="K88" s="3"/>
      <c r="L88" t="str">
        <f t="shared" ca="1" si="21"/>
        <v>Mar-26</v>
      </c>
      <c r="M88">
        <f t="shared" ca="1" si="22"/>
        <v>94.277943541390641</v>
      </c>
      <c r="N88">
        <f t="shared" ca="1" si="23"/>
        <v>89.553424074072169</v>
      </c>
      <c r="P88" t="str">
        <f t="shared" ca="1" si="24"/>
        <v>Mar-26</v>
      </c>
      <c r="Q88">
        <f t="shared" ca="1" si="25"/>
        <v>-0.17991189250061801</v>
      </c>
      <c r="R88">
        <f t="shared" ca="1" si="26"/>
        <v>-0.14928973284085856</v>
      </c>
    </row>
    <row r="89" spans="1:18" x14ac:dyDescent="0.3">
      <c r="A89" s="10">
        <f ca="1">Returns!$A$87</f>
        <v>46118</v>
      </c>
      <c r="B89" s="27">
        <f ca="1">IF($A89="","",Returns!$J$87)</f>
        <v>4.9102788856759977E-2</v>
      </c>
      <c r="C89" s="61">
        <f t="shared" ca="1" si="16"/>
        <v>98.907253496953075</v>
      </c>
      <c r="D89" s="61">
        <f ca="1">IF($A89="","",MAX($C$7:C89))</f>
        <v>114.96074955758542</v>
      </c>
      <c r="E89" s="26">
        <f t="shared" ca="1" si="17"/>
        <v>-0.139643279314136</v>
      </c>
      <c r="F89" s="27">
        <f ca="1">IF($A89="","",Returns!$I$87)</f>
        <v>2.8518122385300826E-2</v>
      </c>
      <c r="G89" s="61">
        <f t="shared" ca="1" si="18"/>
        <v>92.107319581839306</v>
      </c>
      <c r="H89" s="61">
        <f ca="1">IF($A89="","",MAX($G$7:G89))</f>
        <v>105.26900583100581</v>
      </c>
      <c r="I89" s="26">
        <f t="shared" ca="1" si="19"/>
        <v>-0.12502907332758229</v>
      </c>
      <c r="J89" s="60" t="str">
        <f t="shared" ca="1" si="20"/>
        <v>Apr-26</v>
      </c>
      <c r="K89" s="3"/>
      <c r="L89" t="str">
        <f t="shared" ca="1" si="21"/>
        <v>Apr-26</v>
      </c>
      <c r="M89">
        <f t="shared" ca="1" si="22"/>
        <v>98.907253496953075</v>
      </c>
      <c r="N89">
        <f t="shared" ca="1" si="23"/>
        <v>92.107319581839306</v>
      </c>
      <c r="P89" t="str">
        <f t="shared" ca="1" si="24"/>
        <v>Apr-26</v>
      </c>
      <c r="Q89">
        <f t="shared" ca="1" si="25"/>
        <v>-0.139643279314136</v>
      </c>
      <c r="R89">
        <f t="shared" ca="1" si="26"/>
        <v>-0.12502907332758229</v>
      </c>
    </row>
    <row r="90" spans="1:18" x14ac:dyDescent="0.3">
      <c r="A90" s="10">
        <f ca="1">Returns!$A$88</f>
        <v>46125</v>
      </c>
      <c r="B90" s="27">
        <f ca="1">IF($A90="","",Returns!$J$88)</f>
        <v>1.8682937216473318E-3</v>
      </c>
      <c r="C90" s="61">
        <f t="shared" ca="1" si="16"/>
        <v>99.092041297686819</v>
      </c>
      <c r="D90" s="61">
        <f ca="1">IF($A90="","",MAX($C$7:C90))</f>
        <v>114.96074955758542</v>
      </c>
      <c r="E90" s="26">
        <f t="shared" ca="1" si="17"/>
        <v>-0.13803588025450153</v>
      </c>
      <c r="F90" s="27">
        <f ca="1">IF($A90="","",Returns!$I$88)</f>
        <v>3.8069961386914652E-2</v>
      </c>
      <c r="G90" s="61">
        <f t="shared" ca="1" si="18"/>
        <v>95.613841681772129</v>
      </c>
      <c r="H90" s="61">
        <f ca="1">IF($A90="","",MAX($G$7:G90))</f>
        <v>105.26900583100581</v>
      </c>
      <c r="I90" s="26">
        <f t="shared" ca="1" si="19"/>
        <v>-9.1718963934490416E-2</v>
      </c>
      <c r="J90" s="60" t="str">
        <f t="shared" ca="1" si="20"/>
        <v>Apr-26</v>
      </c>
      <c r="K90" s="3"/>
      <c r="L90" t="str">
        <f t="shared" ca="1" si="21"/>
        <v>Apr-26</v>
      </c>
      <c r="M90">
        <f t="shared" ca="1" si="22"/>
        <v>99.092041297686819</v>
      </c>
      <c r="N90">
        <f t="shared" ca="1" si="23"/>
        <v>95.613841681772129</v>
      </c>
      <c r="P90" t="str">
        <f t="shared" ca="1" si="24"/>
        <v>Apr-26</v>
      </c>
      <c r="Q90">
        <f t="shared" ca="1" si="25"/>
        <v>-0.13803588025450153</v>
      </c>
      <c r="R90">
        <f t="shared" ca="1" si="26"/>
        <v>-9.1718963934490416E-2</v>
      </c>
    </row>
    <row r="91" spans="1:18" x14ac:dyDescent="0.3">
      <c r="A91" s="10">
        <f ca="1">Returns!$A$89</f>
        <v>46132</v>
      </c>
      <c r="B91" s="27">
        <f ca="1">IF($A91="","",Returns!$J$89)</f>
        <v>-2.7808343483779051E-2</v>
      </c>
      <c r="C91" s="61">
        <f t="shared" ca="1" si="16"/>
        <v>96.336455776771928</v>
      </c>
      <c r="D91" s="61">
        <f ca="1">IF($A91="","",MAX($C$7:C91))</f>
        <v>114.96074955758542</v>
      </c>
      <c r="E91" s="26">
        <f t="shared" ca="1" si="17"/>
        <v>-0.1620056745670776</v>
      </c>
      <c r="F91" s="27">
        <f ca="1">IF($A91="","",Returns!$I$89)</f>
        <v>2.190189472204529E-2</v>
      </c>
      <c r="G91" s="61">
        <f t="shared" ca="1" si="18"/>
        <v>97.707965976256602</v>
      </c>
      <c r="H91" s="61">
        <f ca="1">IF($A91="","",MAX($G$7:G91))</f>
        <v>105.26900583100581</v>
      </c>
      <c r="I91" s="26">
        <f t="shared" ca="1" si="19"/>
        <v>-7.1825888304553498E-2</v>
      </c>
      <c r="J91" s="60" t="str">
        <f t="shared" ca="1" si="20"/>
        <v>Apr-26</v>
      </c>
      <c r="K91" s="3"/>
      <c r="L91" t="str">
        <f t="shared" ca="1" si="21"/>
        <v>Apr-26</v>
      </c>
      <c r="M91">
        <f t="shared" ca="1" si="22"/>
        <v>96.336455776771928</v>
      </c>
      <c r="N91">
        <f t="shared" ca="1" si="23"/>
        <v>97.707965976256602</v>
      </c>
      <c r="P91" t="str">
        <f t="shared" ca="1" si="24"/>
        <v>Apr-26</v>
      </c>
      <c r="Q91">
        <f t="shared" ca="1" si="25"/>
        <v>-0.1620056745670776</v>
      </c>
      <c r="R91">
        <f t="shared" ca="1" si="26"/>
        <v>-7.1825888304553498E-2</v>
      </c>
    </row>
    <row r="92" spans="1:18" x14ac:dyDescent="0.3">
      <c r="A92" s="10">
        <f ca="1">Returns!$A$90</f>
        <v>46139</v>
      </c>
      <c r="B92" s="27">
        <f ca="1">IF($A92="","",Returns!$J$90)</f>
        <v>2.4787279349254294E-2</v>
      </c>
      <c r="C92" s="61">
        <f t="shared" ca="1" si="16"/>
        <v>98.724374417627857</v>
      </c>
      <c r="D92" s="61">
        <f ca="1">IF($A92="","",MAX($C$7:C92))</f>
        <v>114.96074955758542</v>
      </c>
      <c r="E92" s="26">
        <f t="shared" ca="1" si="17"/>
        <v>-0.14123407512948183</v>
      </c>
      <c r="F92" s="27">
        <f ca="1">IF($A92="","",Returns!$I$90)</f>
        <v>-1.1169795627233525E-2</v>
      </c>
      <c r="G92" s="61">
        <f t="shared" ca="1" si="18"/>
        <v>96.616587965149122</v>
      </c>
      <c r="H92" s="61">
        <f ca="1">IF($A92="","",MAX($G$7:G92))</f>
        <v>105.26900583100581</v>
      </c>
      <c r="I92" s="26">
        <f t="shared" ca="1" si="19"/>
        <v>-8.2193403438680646E-2</v>
      </c>
      <c r="J92" s="60" t="str">
        <f t="shared" ca="1" si="20"/>
        <v>Apr-26</v>
      </c>
      <c r="K92" s="3"/>
      <c r="L92" t="str">
        <f t="shared" ca="1" si="21"/>
        <v>Apr-26</v>
      </c>
      <c r="M92">
        <f t="shared" ca="1" si="22"/>
        <v>98.724374417627857</v>
      </c>
      <c r="N92">
        <f t="shared" ca="1" si="23"/>
        <v>96.616587965149122</v>
      </c>
      <c r="P92" t="str">
        <f t="shared" ca="1" si="24"/>
        <v>Apr-26</v>
      </c>
      <c r="Q92">
        <f t="shared" ca="1" si="25"/>
        <v>-0.14123407512948183</v>
      </c>
      <c r="R92">
        <f t="shared" ca="1" si="26"/>
        <v>-8.2193403438680646E-2</v>
      </c>
    </row>
    <row r="93" spans="1:18" x14ac:dyDescent="0.3">
      <c r="A93" s="10">
        <f ca="1">Returns!$A$91</f>
        <v>46146</v>
      </c>
      <c r="B93" s="27">
        <f ca="1">IF($A93="","",Returns!$J$91)</f>
        <v>4.0381716195274512E-3</v>
      </c>
      <c r="C93" s="61">
        <f t="shared" ca="1" si="16"/>
        <v>99.123040384556731</v>
      </c>
      <c r="D93" s="61">
        <f ca="1">IF($A93="","",MAX($C$7:C93))</f>
        <v>114.96074955758542</v>
      </c>
      <c r="E93" s="26">
        <f t="shared" ca="1" si="17"/>
        <v>-0.13776623094385232</v>
      </c>
      <c r="F93" s="27">
        <f ca="1">IF($A93="","",Returns!$I$91)</f>
        <v>1.1041337568062914E-3</v>
      </c>
      <c r="G93" s="61">
        <f t="shared" ca="1" si="18"/>
        <v>96.723265601388889</v>
      </c>
      <c r="H93" s="61">
        <f ca="1">IF($A93="","",MAX($G$7:G93))</f>
        <v>105.26900583100581</v>
      </c>
      <c r="I93" s="26">
        <f t="shared" ca="1" si="19"/>
        <v>-8.1180022193197865E-2</v>
      </c>
      <c r="J93" s="60" t="str">
        <f t="shared" ca="1" si="20"/>
        <v>May-26</v>
      </c>
      <c r="K93" s="3"/>
      <c r="L93" t="str">
        <f t="shared" ca="1" si="21"/>
        <v>May-26</v>
      </c>
      <c r="M93">
        <f t="shared" ca="1" si="22"/>
        <v>99.123040384556731</v>
      </c>
      <c r="N93">
        <f t="shared" ca="1" si="23"/>
        <v>96.723265601388889</v>
      </c>
      <c r="P93" t="str">
        <f t="shared" ca="1" si="24"/>
        <v>May-26</v>
      </c>
      <c r="Q93">
        <f t="shared" ca="1" si="25"/>
        <v>-0.13776623094385232</v>
      </c>
      <c r="R93">
        <f t="shared" ca="1" si="26"/>
        <v>-8.1180022193197865E-2</v>
      </c>
    </row>
    <row r="94" spans="1:18" x14ac:dyDescent="0.3">
      <c r="A94" s="10">
        <f ca="1">Returns!$A$92</f>
        <v>46153</v>
      </c>
      <c r="B94" s="27">
        <f ca="1">IF($A94="","",Returns!$J$92)</f>
        <v>-1.6683110764752901E-2</v>
      </c>
      <c r="C94" s="61">
        <f t="shared" ca="1" si="16"/>
        <v>97.469359722482096</v>
      </c>
      <c r="D94" s="61">
        <f ca="1">IF($A94="","",MAX($C$7:C94))</f>
        <v>114.96074955758542</v>
      </c>
      <c r="E94" s="26">
        <f t="shared" ca="1" si="17"/>
        <v>-0.15215097241812647</v>
      </c>
      <c r="F94" s="27">
        <f ca="1">IF($A94="","",Returns!$I$92)</f>
        <v>-1.2581259076585583E-2</v>
      </c>
      <c r="G94" s="61">
        <f t="shared" ca="1" si="18"/>
        <v>95.506365138124423</v>
      </c>
      <c r="H94" s="61">
        <f ca="1">IF($A94="","",MAX($G$7:G94))</f>
        <v>105.26900583100581</v>
      </c>
      <c r="I94" s="26">
        <f t="shared" ca="1" si="19"/>
        <v>-9.273993437872774E-2</v>
      </c>
      <c r="J94" s="60" t="str">
        <f t="shared" ca="1" si="20"/>
        <v>May-26</v>
      </c>
      <c r="K94" s="3"/>
      <c r="L94" t="str">
        <f t="shared" ca="1" si="21"/>
        <v>May-26</v>
      </c>
      <c r="M94">
        <f t="shared" ca="1" si="22"/>
        <v>97.469359722482096</v>
      </c>
      <c r="N94">
        <f t="shared" ca="1" si="23"/>
        <v>95.506365138124423</v>
      </c>
      <c r="P94" t="str">
        <f t="shared" ca="1" si="24"/>
        <v>May-26</v>
      </c>
      <c r="Q94">
        <f t="shared" ca="1" si="25"/>
        <v>-0.15215097241812647</v>
      </c>
      <c r="R94">
        <f t="shared" ca="1" si="26"/>
        <v>-9.273993437872774E-2</v>
      </c>
    </row>
    <row r="95" spans="1:18" x14ac:dyDescent="0.3">
      <c r="A95" s="10">
        <f ca="1">Returns!$A$93</f>
        <v>46160</v>
      </c>
      <c r="B95" s="27">
        <f ca="1">IF($A95="","",Returns!$J$93)</f>
        <v>-1.4535262267617701E-3</v>
      </c>
      <c r="C95" s="61">
        <f t="shared" ca="1" si="16"/>
        <v>97.327685451819789</v>
      </c>
      <c r="D95" s="61">
        <f ca="1">IF($A95="","",MAX($C$7:C95))</f>
        <v>114.96074955758542</v>
      </c>
      <c r="E95" s="26">
        <f t="shared" ca="1" si="17"/>
        <v>-0.15338334321605118</v>
      </c>
      <c r="F95" s="27">
        <f ca="1">IF($A95="","",Returns!$I$93)</f>
        <v>-6.9659656634586398E-3</v>
      </c>
      <c r="G95" s="61">
        <f t="shared" ca="1" si="18"/>
        <v>94.841071077930508</v>
      </c>
      <c r="H95" s="61">
        <f ca="1">IF($A95="","",MAX($G$7:G95))</f>
        <v>105.26900583100581</v>
      </c>
      <c r="I95" s="26">
        <f t="shared" ca="1" si="19"/>
        <v>-9.9059876843672789E-2</v>
      </c>
      <c r="J95" s="60" t="str">
        <f t="shared" ca="1" si="20"/>
        <v>May-26</v>
      </c>
      <c r="K95" s="3"/>
      <c r="L95" t="str">
        <f t="shared" ca="1" si="21"/>
        <v>May-26</v>
      </c>
      <c r="M95">
        <f t="shared" ca="1" si="22"/>
        <v>97.327685451819789</v>
      </c>
      <c r="N95">
        <f t="shared" ca="1" si="23"/>
        <v>94.841071077930508</v>
      </c>
      <c r="P95" t="str">
        <f t="shared" ca="1" si="24"/>
        <v>May-26</v>
      </c>
      <c r="Q95">
        <f t="shared" ca="1" si="25"/>
        <v>-0.15338334321605118</v>
      </c>
      <c r="R95">
        <f t="shared" ca="1" si="26"/>
        <v>-9.9059876843672789E-2</v>
      </c>
    </row>
    <row r="96" spans="1:18" x14ac:dyDescent="0.3">
      <c r="A96" s="10">
        <f ca="1">Returns!$A$94</f>
        <v>46167</v>
      </c>
      <c r="B96" s="27">
        <f ca="1">IF($A96="","",Returns!$J$94)</f>
        <v>-5.082038160955816E-3</v>
      </c>
      <c r="C96" s="61">
        <f t="shared" ca="1" si="16"/>
        <v>96.833062440236134</v>
      </c>
      <c r="D96" s="61">
        <f ca="1">IF($A96="","",MAX($C$7:C96))</f>
        <v>114.96074955758542</v>
      </c>
      <c r="E96" s="26">
        <f t="shared" ca="1" si="17"/>
        <v>-0.15768588137352801</v>
      </c>
      <c r="F96" s="27">
        <f ca="1">IF($A96="","",Returns!$I$94)</f>
        <v>1.6141683708028598E-2</v>
      </c>
      <c r="G96" s="61">
        <f t="shared" ca="1" si="18"/>
        <v>96.371965649801126</v>
      </c>
      <c r="H96" s="61">
        <f ca="1">IF($A96="","",MAX($G$7:G96))</f>
        <v>105.26900583100581</v>
      </c>
      <c r="I96" s="26">
        <f t="shared" ca="1" si="19"/>
        <v>-8.4517186335810957E-2</v>
      </c>
      <c r="J96" s="60" t="str">
        <f t="shared" ca="1" si="20"/>
        <v>May-26</v>
      </c>
      <c r="K96" s="3"/>
      <c r="L96" t="str">
        <f t="shared" ca="1" si="21"/>
        <v>May-26</v>
      </c>
      <c r="M96">
        <f t="shared" ca="1" si="22"/>
        <v>96.833062440236134</v>
      </c>
      <c r="N96">
        <f t="shared" ca="1" si="23"/>
        <v>96.371965649801126</v>
      </c>
      <c r="P96" t="str">
        <f t="shared" ca="1" si="24"/>
        <v>May-26</v>
      </c>
      <c r="Q96">
        <f t="shared" ca="1" si="25"/>
        <v>-0.15768588137352801</v>
      </c>
      <c r="R96">
        <f t="shared" ca="1" si="26"/>
        <v>-8.4517186335810957E-2</v>
      </c>
    </row>
    <row r="97" spans="1:18" x14ac:dyDescent="0.3">
      <c r="A97" s="10">
        <f ca="1">Returns!$A$95</f>
        <v>46174</v>
      </c>
      <c r="B97" s="27">
        <f ca="1">IF($A97="","",Returns!$J$95)</f>
        <v>-1.4404731022372622E-2</v>
      </c>
      <c r="C97" s="61">
        <f t="shared" ca="1" si="16"/>
        <v>95.438208221711918</v>
      </c>
      <c r="D97" s="61">
        <f ca="1">IF($A97="","",MAX($C$7:C97))</f>
        <v>114.96074955758542</v>
      </c>
      <c r="E97" s="26">
        <f t="shared" ca="1" si="17"/>
        <v>-0.16981918968868925</v>
      </c>
      <c r="F97" s="27">
        <f ca="1">IF($A97="","",Returns!$I$95)</f>
        <v>-2.701014204058283E-2</v>
      </c>
      <c r="G97" s="61">
        <f t="shared" ca="1" si="18"/>
        <v>93.768945168869834</v>
      </c>
      <c r="H97" s="61">
        <f ca="1">IF($A97="","",MAX($G$7:G97))</f>
        <v>105.26900583100581</v>
      </c>
      <c r="I97" s="26">
        <f t="shared" ca="1" si="19"/>
        <v>-0.10924450716859302</v>
      </c>
      <c r="J97" s="60" t="str">
        <f t="shared" ca="1" si="20"/>
        <v>Jun-26</v>
      </c>
      <c r="K97" s="3"/>
      <c r="L97" t="str">
        <f t="shared" ca="1" si="21"/>
        <v>Jun-26</v>
      </c>
      <c r="M97">
        <f t="shared" ca="1" si="22"/>
        <v>95.438208221711918</v>
      </c>
      <c r="N97">
        <f t="shared" ca="1" si="23"/>
        <v>93.768945168869834</v>
      </c>
      <c r="P97" t="str">
        <f t="shared" ca="1" si="24"/>
        <v>Jun-26</v>
      </c>
      <c r="Q97">
        <f t="shared" ca="1" si="25"/>
        <v>-0.16981918968868925</v>
      </c>
      <c r="R97">
        <f t="shared" ca="1" si="26"/>
        <v>-0.10924450716859302</v>
      </c>
    </row>
    <row r="98" spans="1:18" x14ac:dyDescent="0.3">
      <c r="A98" s="10">
        <f ca="1">Returns!$A$96</f>
        <v>46181</v>
      </c>
      <c r="B98" s="27">
        <f ca="1">IF($A98="","",Returns!$J$96)</f>
        <v>9.2582136676796212E-3</v>
      </c>
      <c r="C98" s="61">
        <f t="shared" ca="1" si="16"/>
        <v>96.32179554548901</v>
      </c>
      <c r="D98" s="61">
        <f ca="1">IF($A98="","",MAX($C$7:C98))</f>
        <v>114.96074955758542</v>
      </c>
      <c r="E98" s="26">
        <f t="shared" ca="1" si="17"/>
        <v>-0.16213319836401985</v>
      </c>
      <c r="F98" s="27">
        <f ca="1">IF($A98="","",Returns!$I$96)</f>
        <v>-1.1102256109749131E-2</v>
      </c>
      <c r="G98" s="61">
        <f t="shared" ca="1" si="18"/>
        <v>92.727898324464022</v>
      </c>
      <c r="H98" s="61">
        <f ca="1">IF($A98="","",MAX($G$7:G98))</f>
        <v>105.26900583100581</v>
      </c>
      <c r="I98" s="26">
        <f t="shared" ca="1" si="19"/>
        <v>-0.11913390278117308</v>
      </c>
      <c r="J98" s="60" t="str">
        <f t="shared" ca="1" si="20"/>
        <v>Jun-26</v>
      </c>
      <c r="K98" s="3"/>
      <c r="L98" t="str">
        <f t="shared" ca="1" si="21"/>
        <v>Jun-26</v>
      </c>
      <c r="M98">
        <f t="shared" ca="1" si="22"/>
        <v>96.32179554548901</v>
      </c>
      <c r="N98">
        <f t="shared" ca="1" si="23"/>
        <v>92.727898324464022</v>
      </c>
      <c r="P98" t="str">
        <f t="shared" ca="1" si="24"/>
        <v>Jun-26</v>
      </c>
      <c r="Q98">
        <f t="shared" ca="1" si="25"/>
        <v>-0.16213319836401985</v>
      </c>
      <c r="R98">
        <f t="shared" ca="1" si="26"/>
        <v>-0.11913390278117308</v>
      </c>
    </row>
    <row r="99" spans="1:18" x14ac:dyDescent="0.3">
      <c r="A99" s="10">
        <f ca="1">Returns!$A$97</f>
        <v>46188</v>
      </c>
      <c r="B99" s="27">
        <f ca="1">IF($A99="","",Returns!$J$97)</f>
        <v>1.5970534087474734E-2</v>
      </c>
      <c r="C99" s="61">
        <f t="shared" ca="1" si="16"/>
        <v>97.86010606461501</v>
      </c>
      <c r="D99" s="61">
        <f ca="1">IF($A99="","",MAX($C$7:C99))</f>
        <v>114.96074955758542</v>
      </c>
      <c r="E99" s="26">
        <f t="shared" ca="1" si="17"/>
        <v>-0.14875201804772908</v>
      </c>
      <c r="F99" s="27">
        <f ca="1">IF($A99="","",Returns!$I$97)</f>
        <v>3.160923715024011E-2</v>
      </c>
      <c r="G99" s="61">
        <f t="shared" ca="1" si="18"/>
        <v>95.658956453045363</v>
      </c>
      <c r="H99" s="61">
        <f ca="1">IF($A99="","",MAX($G$7:G99))</f>
        <v>105.26900583100581</v>
      </c>
      <c r="I99" s="26">
        <f t="shared" ca="1" si="19"/>
        <v>-9.1290397416576741E-2</v>
      </c>
      <c r="J99" s="60" t="str">
        <f t="shared" ca="1" si="20"/>
        <v>Jun-26</v>
      </c>
      <c r="K99" s="3"/>
      <c r="L99" t="str">
        <f t="shared" ca="1" si="21"/>
        <v>Jun-26</v>
      </c>
      <c r="M99">
        <f t="shared" ca="1" si="22"/>
        <v>97.86010606461501</v>
      </c>
      <c r="N99">
        <f t="shared" ca="1" si="23"/>
        <v>95.658956453045363</v>
      </c>
      <c r="P99" t="str">
        <f t="shared" ca="1" si="24"/>
        <v>Jun-26</v>
      </c>
      <c r="Q99">
        <f t="shared" ca="1" si="25"/>
        <v>-0.14875201804772908</v>
      </c>
      <c r="R99">
        <f t="shared" ca="1" si="26"/>
        <v>-9.1290397416576741E-2</v>
      </c>
    </row>
    <row r="100" spans="1:18" x14ac:dyDescent="0.3">
      <c r="A100" s="10">
        <f ca="1">Returns!$A$98</f>
        <v>46195</v>
      </c>
      <c r="B100" s="27">
        <f ca="1">IF($A100="","",Returns!$J$98)</f>
        <v>8.7079023085450836E-3</v>
      </c>
      <c r="C100" s="61">
        <f t="shared" ca="1" si="16"/>
        <v>98.712262308129525</v>
      </c>
      <c r="D100" s="61">
        <f ca="1">IF($A100="","",MAX($C$7:C100))</f>
        <v>114.96074955758542</v>
      </c>
      <c r="E100" s="26">
        <f t="shared" ca="1" si="17"/>
        <v>-0.1413394337805427</v>
      </c>
      <c r="F100" s="27">
        <f ca="1">IF($A100="","",Returns!$I$98)</f>
        <v>1.0438544469560274E-2</v>
      </c>
      <c r="G100" s="61">
        <f t="shared" ca="1" si="18"/>
        <v>96.657496723892208</v>
      </c>
      <c r="H100" s="61">
        <f ca="1">IF($A100="","",MAX($G$7:G100))</f>
        <v>105.26900583100581</v>
      </c>
      <c r="I100" s="26">
        <f t="shared" ca="1" si="19"/>
        <v>-8.1804791820093148E-2</v>
      </c>
      <c r="J100" s="60" t="str">
        <f t="shared" ca="1" si="20"/>
        <v>Jun-26</v>
      </c>
      <c r="K100" s="3"/>
      <c r="L100" t="str">
        <f t="shared" ca="1" si="21"/>
        <v>Jun-26</v>
      </c>
      <c r="M100">
        <f t="shared" ca="1" si="22"/>
        <v>98.712262308129525</v>
      </c>
      <c r="N100">
        <f t="shared" ca="1" si="23"/>
        <v>96.657496723892208</v>
      </c>
      <c r="P100" t="str">
        <f t="shared" ca="1" si="24"/>
        <v>Jun-26</v>
      </c>
      <c r="Q100">
        <f t="shared" ca="1" si="25"/>
        <v>-0.1413394337805427</v>
      </c>
      <c r="R100">
        <f t="shared" ca="1" si="26"/>
        <v>-8.1804791820093148E-2</v>
      </c>
    </row>
    <row r="101" spans="1:18" x14ac:dyDescent="0.3">
      <c r="A101" s="10">
        <f ca="1">Returns!$A$99</f>
        <v>46202</v>
      </c>
      <c r="B101" s="27">
        <f ca="1">IF($A101="","",Returns!$J$99)</f>
        <v>7.032534673079403E-3</v>
      </c>
      <c r="C101" s="61">
        <f t="shared" ca="1" si="16"/>
        <v>99.406459715469538</v>
      </c>
      <c r="D101" s="61">
        <f ca="1">IF($A101="","",MAX($C$7:C101))</f>
        <v>114.96074955758542</v>
      </c>
      <c r="E101" s="26">
        <f t="shared" ca="1" si="17"/>
        <v>-0.13530087357619847</v>
      </c>
      <c r="F101" s="27">
        <f ca="1">IF($A101="","",Returns!$I$99)</f>
        <v>-6.4992340376567315E-3</v>
      </c>
      <c r="G101" s="61">
        <f t="shared" ca="1" si="18"/>
        <v>96.0292970311896</v>
      </c>
      <c r="H101" s="61">
        <f ca="1">IF($A101="","",MAX($G$7:G101))</f>
        <v>105.26900583100581</v>
      </c>
      <c r="I101" s="26">
        <f t="shared" ca="1" si="19"/>
        <v>-8.7772357370309306E-2</v>
      </c>
      <c r="J101" s="60" t="str">
        <f t="shared" ca="1" si="20"/>
        <v>Jun-26</v>
      </c>
      <c r="K101" s="3"/>
      <c r="L101" t="str">
        <f t="shared" ca="1" si="21"/>
        <v>Jun-26</v>
      </c>
      <c r="M101">
        <f t="shared" ca="1" si="22"/>
        <v>99.406459715469538</v>
      </c>
      <c r="N101">
        <f t="shared" ca="1" si="23"/>
        <v>96.0292970311896</v>
      </c>
      <c r="P101" t="str">
        <f t="shared" ca="1" si="24"/>
        <v>Jun-26</v>
      </c>
      <c r="Q101">
        <f t="shared" ca="1" si="25"/>
        <v>-0.13530087357619847</v>
      </c>
      <c r="R101">
        <f t="shared" ca="1" si="26"/>
        <v>-8.7772357370309306E-2</v>
      </c>
    </row>
    <row r="102" spans="1:18" x14ac:dyDescent="0.3">
      <c r="A102" s="10">
        <f ca="1">Returns!$A$100</f>
        <v>46209</v>
      </c>
      <c r="B102" s="27">
        <f ca="1">IF($A102="","",Returns!$J$100)</f>
        <v>-7.1907944930772261E-4</v>
      </c>
      <c r="C102" s="61">
        <f t="shared" ca="1" si="16"/>
        <v>99.334978573159702</v>
      </c>
      <c r="D102" s="61">
        <f ca="1">IF($A102="","",MAX($C$7:C102))</f>
        <v>114.96074955758542</v>
      </c>
      <c r="E102" s="26">
        <f t="shared" ca="1" si="17"/>
        <v>-0.13592266094784422</v>
      </c>
      <c r="F102" s="27">
        <f ca="1">IF($A102="","",Returns!$I$100)</f>
        <v>2.0216092681526243E-2</v>
      </c>
      <c r="G102" s="61">
        <f t="shared" ca="1" si="18"/>
        <v>97.970634200113935</v>
      </c>
      <c r="H102" s="61">
        <f ca="1">IF($A102="","",MAX($G$7:G102))</f>
        <v>105.26900583100581</v>
      </c>
      <c r="I102" s="26">
        <f t="shared" ca="1" si="19"/>
        <v>-6.9330678800257339E-2</v>
      </c>
      <c r="J102" s="60" t="str">
        <f t="shared" ca="1" si="20"/>
        <v>Jul-26</v>
      </c>
      <c r="K102" s="3"/>
      <c r="L102" t="str">
        <f t="shared" ca="1" si="21"/>
        <v>Jul-26</v>
      </c>
      <c r="M102">
        <f t="shared" ca="1" si="22"/>
        <v>99.334978573159702</v>
      </c>
      <c r="N102">
        <f t="shared" ca="1" si="23"/>
        <v>97.970634200113935</v>
      </c>
      <c r="P102" t="str">
        <f t="shared" ca="1" si="24"/>
        <v>Jul-26</v>
      </c>
      <c r="Q102">
        <f t="shared" ca="1" si="25"/>
        <v>-0.13592266094784422</v>
      </c>
      <c r="R102">
        <f t="shared" ca="1" si="26"/>
        <v>-6.9330678800257339E-2</v>
      </c>
    </row>
    <row r="103" spans="1:18" x14ac:dyDescent="0.3">
      <c r="A103" s="10">
        <f ca="1">Returns!$A$101</f>
        <v>46216</v>
      </c>
      <c r="B103" s="27">
        <f ca="1">IF($A103="","",Returns!$J$101)</f>
        <v>-2.2160486434992725E-3</v>
      </c>
      <c r="C103" s="61">
        <f t="shared" ca="1" si="16"/>
        <v>99.11484742864063</v>
      </c>
      <c r="D103" s="61">
        <f ca="1">IF($A103="","",MAX($C$7:C103))</f>
        <v>114.96074955758542</v>
      </c>
      <c r="E103" s="26">
        <f t="shared" ca="1" si="17"/>
        <v>-0.13783749836292913</v>
      </c>
      <c r="F103" s="27">
        <f ca="1">IF($A103="","",Returns!$I$101)</f>
        <v>-8.9785702162373804E-3</v>
      </c>
      <c r="G103" s="61">
        <f t="shared" ca="1" si="18"/>
        <v>97.090997981818902</v>
      </c>
      <c r="H103" s="61">
        <f ca="1">IF($A103="","",MAX($G$7:G103))</f>
        <v>105.26900583100581</v>
      </c>
      <c r="I103" s="26">
        <f t="shared" ca="1" si="19"/>
        <v>-7.768675864874719E-2</v>
      </c>
      <c r="J103" s="60" t="str">
        <f t="shared" ca="1" si="20"/>
        <v>Jul-26</v>
      </c>
      <c r="K103" s="3"/>
      <c r="L103" t="str">
        <f t="shared" ca="1" si="21"/>
        <v>Jul-26</v>
      </c>
      <c r="M103">
        <f t="shared" ca="1" si="22"/>
        <v>99.11484742864063</v>
      </c>
      <c r="N103">
        <f t="shared" ca="1" si="23"/>
        <v>97.090997981818902</v>
      </c>
      <c r="P103" t="str">
        <f t="shared" ca="1" si="24"/>
        <v>Jul-26</v>
      </c>
      <c r="Q103">
        <f t="shared" ca="1" si="25"/>
        <v>-0.13783749836292913</v>
      </c>
      <c r="R103">
        <f t="shared" ca="1" si="26"/>
        <v>-7.768675864874719E-2</v>
      </c>
    </row>
    <row r="104" spans="1:18" x14ac:dyDescent="0.3">
      <c r="A104" s="10">
        <f ca="1">Returns!$A$102</f>
        <v>46223</v>
      </c>
      <c r="B104" s="27">
        <f ca="1">IF($A104="","",Returns!$J$102)</f>
        <v>-2.3282916141730975E-2</v>
      </c>
      <c r="C104" s="61">
        <f t="shared" ref="C104:C136" ca="1" si="27">IF($A104="","",C103*(1+$B104))</f>
        <v>96.807164747559128</v>
      </c>
      <c r="D104" s="61">
        <f ca="1">IF($A104="","",MAX($C$7:C104))</f>
        <v>114.96074955758542</v>
      </c>
      <c r="E104" s="26">
        <f t="shared" ref="E104:E136" ca="1" si="28">IF($A104="","",$C104/$D104-1)</f>
        <v>-0.15791115558909008</v>
      </c>
      <c r="F104" s="27">
        <f ca="1">IF($A104="","",Returns!$I$102)</f>
        <v>1.1358473421172466E-3</v>
      </c>
      <c r="G104" s="61">
        <f t="shared" ref="G104:G136" ca="1" si="29">IF($A104="","",G103*(1+$F104))</f>
        <v>97.201278533820059</v>
      </c>
      <c r="H104" s="61">
        <f ca="1">IF($A104="","",MAX($G$7:G104))</f>
        <v>105.26900583100581</v>
      </c>
      <c r="I104" s="26">
        <f t="shared" ref="I104:I136" ca="1" si="30">IF($A104="","",$G104/$H104-1)</f>
        <v>-7.6639151604958933E-2</v>
      </c>
      <c r="J104" s="60" t="str">
        <f t="shared" ref="J104:J136" ca="1" si="31">IF($A104="","",TEXT($A104,"mmm-yy"))</f>
        <v>Jul-26</v>
      </c>
      <c r="K104" s="3"/>
      <c r="L104" t="str">
        <f t="shared" ca="1" si="21"/>
        <v>Jul-26</v>
      </c>
      <c r="M104">
        <f t="shared" ca="1" si="22"/>
        <v>96.807164747559128</v>
      </c>
      <c r="N104">
        <f t="shared" ca="1" si="23"/>
        <v>97.201278533820059</v>
      </c>
      <c r="P104" t="str">
        <f t="shared" ca="1" si="24"/>
        <v>Jul-26</v>
      </c>
      <c r="Q104">
        <f t="shared" ca="1" si="25"/>
        <v>-0.15791115558909008</v>
      </c>
      <c r="R104">
        <f t="shared" ca="1" si="26"/>
        <v>-7.6639151604958933E-2</v>
      </c>
    </row>
    <row r="105" spans="1:18" x14ac:dyDescent="0.3">
      <c r="A105" s="10">
        <f ca="1">Returns!$A$103</f>
        <v>46230</v>
      </c>
      <c r="B105" s="27">
        <f ca="1">IF($A105="","",Returns!$J$103)</f>
        <v>3.5714936391980416E-2</v>
      </c>
      <c r="C105" s="61">
        <f t="shared" ca="1" si="27"/>
        <v>100.26462647880618</v>
      </c>
      <c r="D105" s="61">
        <f ca="1">IF($A105="","",MAX($C$7:C105))</f>
        <v>114.96074955758542</v>
      </c>
      <c r="E105" s="26">
        <f t="shared" ca="1" si="28"/>
        <v>-0.12783600607455803</v>
      </c>
      <c r="F105" s="27">
        <f ca="1">IF($A105="","",Returns!$I$103)</f>
        <v>-1.0006839583720062E-2</v>
      </c>
      <c r="G105" s="61">
        <f t="shared" ca="1" si="29"/>
        <v>96.228600932199626</v>
      </c>
      <c r="H105" s="61">
        <f ca="1">IF($A105="","",MAX($G$7:G105))</f>
        <v>105.26900583100581</v>
      </c>
      <c r="I105" s="26">
        <f t="shared" ca="1" si="30"/>
        <v>-8.5879075492735768E-2</v>
      </c>
      <c r="J105" s="60" t="str">
        <f t="shared" ca="1" si="31"/>
        <v>Jul-26</v>
      </c>
      <c r="K105" s="3"/>
      <c r="L105" t="str">
        <f t="shared" ca="1" si="21"/>
        <v>Jul-26</v>
      </c>
      <c r="M105">
        <f t="shared" ca="1" si="22"/>
        <v>100.26462647880618</v>
      </c>
      <c r="N105">
        <f t="shared" ca="1" si="23"/>
        <v>96.228600932199626</v>
      </c>
      <c r="P105" t="str">
        <f t="shared" ca="1" si="24"/>
        <v>Jul-26</v>
      </c>
      <c r="Q105">
        <f t="shared" ca="1" si="25"/>
        <v>-0.12783600607455803</v>
      </c>
      <c r="R105">
        <f t="shared" ca="1" si="26"/>
        <v>-8.5879075492735768E-2</v>
      </c>
    </row>
    <row r="106" spans="1:18" x14ac:dyDescent="0.3">
      <c r="A106" s="10">
        <f ca="1">Returns!$A$104</f>
        <v>46237</v>
      </c>
      <c r="B106" s="27">
        <f ca="1">IF($A106="","",Returns!$J$104)</f>
        <v>2.7733039356400285E-3</v>
      </c>
      <c r="C106" s="61">
        <f t="shared" ca="1" si="27"/>
        <v>100.54269076202534</v>
      </c>
      <c r="D106" s="61">
        <f ca="1">IF($A106="","",MAX($C$7:C106))</f>
        <v>114.96074955758542</v>
      </c>
      <c r="E106" s="26">
        <f t="shared" ca="1" si="28"/>
        <v>-0.12541723023768092</v>
      </c>
      <c r="F106" s="27">
        <f ca="1">IF($A106="","",Returns!$I$104)</f>
        <v>3.2436789868341975E-2</v>
      </c>
      <c r="G106" s="61">
        <f t="shared" ca="1" si="29"/>
        <v>99.349947839961928</v>
      </c>
      <c r="H106" s="61">
        <f ca="1">IF($A106="","",MAX($G$7:G106))</f>
        <v>105.26900583100581</v>
      </c>
      <c r="I106" s="26">
        <f t="shared" ca="1" si="30"/>
        <v>-5.6227927150239054E-2</v>
      </c>
      <c r="J106" s="60" t="str">
        <f t="shared" ca="1" si="31"/>
        <v>Aug-26</v>
      </c>
      <c r="K106" s="3"/>
      <c r="L106" t="str">
        <f t="shared" ca="1" si="21"/>
        <v>Aug-26</v>
      </c>
      <c r="M106">
        <f t="shared" ca="1" si="22"/>
        <v>100.54269076202534</v>
      </c>
      <c r="N106">
        <f t="shared" ca="1" si="23"/>
        <v>99.349947839961928</v>
      </c>
      <c r="P106" t="str">
        <f t="shared" ca="1" si="24"/>
        <v>Aug-26</v>
      </c>
      <c r="Q106">
        <f t="shared" ca="1" si="25"/>
        <v>-0.12541723023768092</v>
      </c>
      <c r="R106">
        <f t="shared" ca="1" si="26"/>
        <v>-5.6227927150239054E-2</v>
      </c>
    </row>
    <row r="107" spans="1:18" x14ac:dyDescent="0.3">
      <c r="A107" s="10">
        <f ca="1">Returns!$A$105</f>
        <v>46244</v>
      </c>
      <c r="B107" s="27">
        <f ca="1">IF($A107="","",Returns!$J$105)</f>
        <v>-5.2363163200739122E-3</v>
      </c>
      <c r="C107" s="61">
        <f t="shared" ca="1" si="27"/>
        <v>100.016217429524</v>
      </c>
      <c r="D107" s="61">
        <f ca="1">IF($A107="","",MAX($C$7:C107))</f>
        <v>114.96074955758542</v>
      </c>
      <c r="E107" s="26">
        <f t="shared" ca="1" si="28"/>
        <v>-0.12999682226824283</v>
      </c>
      <c r="F107" s="27">
        <f ca="1">IF($A107="","",Returns!$I$105)</f>
        <v>-7.6894198420395243E-3</v>
      </c>
      <c r="G107" s="61">
        <f t="shared" ca="1" si="29"/>
        <v>98.586004379735726</v>
      </c>
      <c r="H107" s="61">
        <f ca="1">IF($A107="","",MAX($G$7:G107))</f>
        <v>105.26900583100581</v>
      </c>
      <c r="I107" s="26">
        <f t="shared" ca="1" si="30"/>
        <v>-6.3484986853572845E-2</v>
      </c>
      <c r="J107" s="60" t="str">
        <f t="shared" ca="1" si="31"/>
        <v>Aug-26</v>
      </c>
      <c r="K107" s="3"/>
      <c r="L107" t="str">
        <f t="shared" ca="1" si="21"/>
        <v>Aug-26</v>
      </c>
      <c r="M107">
        <f t="shared" ca="1" si="22"/>
        <v>100.016217429524</v>
      </c>
      <c r="N107">
        <f t="shared" ca="1" si="23"/>
        <v>98.586004379735726</v>
      </c>
      <c r="P107" t="str">
        <f t="shared" ca="1" si="24"/>
        <v>Aug-26</v>
      </c>
      <c r="Q107">
        <f t="shared" ca="1" si="25"/>
        <v>-0.12999682226824283</v>
      </c>
      <c r="R107">
        <f t="shared" ca="1" si="26"/>
        <v>-6.3484986853572845E-2</v>
      </c>
    </row>
    <row r="108" spans="1:18" x14ac:dyDescent="0.3">
      <c r="A108" s="10">
        <f ca="1">Returns!$A$106</f>
        <v>46251</v>
      </c>
      <c r="B108" s="27">
        <f ca="1">IF($A108="","",Returns!$J$106)</f>
        <v>-8.7974273056016794E-3</v>
      </c>
      <c r="C108" s="61">
        <f t="shared" ca="1" si="27"/>
        <v>99.136332027306509</v>
      </c>
      <c r="D108" s="61">
        <f ca="1">IF($A108="","",MAX($C$7:C108))</f>
        <v>114.96074955758542</v>
      </c>
      <c r="E108" s="26">
        <f t="shared" ca="1" si="28"/>
        <v>-0.13765061197998052</v>
      </c>
      <c r="F108" s="27">
        <f ca="1">IF($A108="","",Returns!$I$106)</f>
        <v>-1.2046566487427524E-2</v>
      </c>
      <c r="G108" s="61">
        <f t="shared" ca="1" si="29"/>
        <v>97.398381523245419</v>
      </c>
      <c r="H108" s="61">
        <f ca="1">IF($A108="","",MAX($G$7:G108))</f>
        <v>105.26900583100581</v>
      </c>
      <c r="I108" s="26">
        <f t="shared" ca="1" si="30"/>
        <v>-7.4766777225915293E-2</v>
      </c>
      <c r="J108" s="60" t="str">
        <f t="shared" ca="1" si="31"/>
        <v>Aug-26</v>
      </c>
      <c r="K108" s="3"/>
      <c r="L108" t="str">
        <f t="shared" ca="1" si="21"/>
        <v>Aug-26</v>
      </c>
      <c r="M108">
        <f t="shared" ca="1" si="22"/>
        <v>99.136332027306509</v>
      </c>
      <c r="N108">
        <f t="shared" ca="1" si="23"/>
        <v>97.398381523245419</v>
      </c>
      <c r="P108" t="str">
        <f t="shared" ca="1" si="24"/>
        <v>Aug-26</v>
      </c>
      <c r="Q108">
        <f t="shared" ca="1" si="25"/>
        <v>-0.13765061197998052</v>
      </c>
      <c r="R108">
        <f t="shared" ca="1" si="26"/>
        <v>-7.4766777225915293E-2</v>
      </c>
    </row>
    <row r="109" spans="1:18" x14ac:dyDescent="0.3">
      <c r="A109" s="10">
        <f ca="1">Returns!$A$107</f>
        <v>46258</v>
      </c>
      <c r="B109" s="27">
        <f ca="1">IF($A109="","",Returns!$J$107)</f>
        <v>-1.4418555056467969E-2</v>
      </c>
      <c r="C109" s="61">
        <f t="shared" ca="1" si="27"/>
        <v>97.706929365874501</v>
      </c>
      <c r="D109" s="61">
        <f ca="1">IF($A109="","",MAX($C$7:C109))</f>
        <v>114.96074955758542</v>
      </c>
      <c r="E109" s="26">
        <f t="shared" ca="1" si="28"/>
        <v>-0.15008444410905863</v>
      </c>
      <c r="F109" s="27">
        <f ca="1">IF($A109="","",Returns!$I$107)</f>
        <v>-2.8244646259186768E-3</v>
      </c>
      <c r="G109" s="61">
        <f t="shared" ca="1" si="29"/>
        <v>97.123283240011276</v>
      </c>
      <c r="H109" s="61">
        <f ca="1">IF($A109="","",MAX($G$7:G109))</f>
        <v>105.26900583100581</v>
      </c>
      <c r="I109" s="26">
        <f t="shared" ca="1" si="30"/>
        <v>-7.7380065734365511E-2</v>
      </c>
      <c r="J109" s="60" t="str">
        <f t="shared" ca="1" si="31"/>
        <v>Aug-26</v>
      </c>
      <c r="K109" s="3"/>
      <c r="L109" t="str">
        <f t="shared" ca="1" si="21"/>
        <v>Aug-26</v>
      </c>
      <c r="M109">
        <f t="shared" ca="1" si="22"/>
        <v>97.706929365874501</v>
      </c>
      <c r="N109">
        <f t="shared" ca="1" si="23"/>
        <v>97.123283240011276</v>
      </c>
      <c r="P109" t="str">
        <f t="shared" ca="1" si="24"/>
        <v>Aug-26</v>
      </c>
      <c r="Q109">
        <f t="shared" ca="1" si="25"/>
        <v>-0.15008444410905863</v>
      </c>
      <c r="R109">
        <f t="shared" ca="1" si="26"/>
        <v>-7.7380065734365511E-2</v>
      </c>
    </row>
    <row r="110" spans="1:18" x14ac:dyDescent="0.3">
      <c r="A110" s="10">
        <f ca="1">Returns!$A$108</f>
        <v>46265</v>
      </c>
      <c r="B110" s="27">
        <f ca="1">IF($A110="","",Returns!$J$108)</f>
        <v>-1.2574816779768593E-2</v>
      </c>
      <c r="C110" s="61">
        <f t="shared" ca="1" si="27"/>
        <v>96.478282630984836</v>
      </c>
      <c r="D110" s="61">
        <f ca="1">IF($A110="","",MAX($C$7:C110))</f>
        <v>114.96074955758542</v>
      </c>
      <c r="E110" s="26">
        <f t="shared" ca="1" si="28"/>
        <v>-0.16077197650266239</v>
      </c>
      <c r="F110" s="27">
        <f ca="1">IF($A110="","",Returns!$I$108)</f>
        <v>-5.7248482559167924E-3</v>
      </c>
      <c r="G110" s="61">
        <f t="shared" ca="1" si="29"/>
        <v>96.567267181345784</v>
      </c>
      <c r="H110" s="61">
        <f ca="1">IF($A110="","",MAX($G$7:G110))</f>
        <v>105.26900583100581</v>
      </c>
      <c r="I110" s="26">
        <f t="shared" ca="1" si="30"/>
        <v>-8.2661924855920166E-2</v>
      </c>
      <c r="J110" s="60" t="str">
        <f t="shared" ca="1" si="31"/>
        <v>Aug-26</v>
      </c>
      <c r="K110" s="3"/>
      <c r="L110" t="str">
        <f t="shared" ca="1" si="21"/>
        <v>Aug-26</v>
      </c>
      <c r="M110">
        <f t="shared" ca="1" si="22"/>
        <v>96.478282630984836</v>
      </c>
      <c r="N110">
        <f t="shared" ca="1" si="23"/>
        <v>96.567267181345784</v>
      </c>
      <c r="P110" t="str">
        <f t="shared" ca="1" si="24"/>
        <v>Aug-26</v>
      </c>
      <c r="Q110">
        <f t="shared" ca="1" si="25"/>
        <v>-0.16077197650266239</v>
      </c>
      <c r="R110">
        <f t="shared" ca="1" si="26"/>
        <v>-8.2661924855920166E-2</v>
      </c>
    </row>
    <row r="111" spans="1:18" x14ac:dyDescent="0.3">
      <c r="A111" s="10">
        <f ca="1">Returns!$A$109</f>
        <v>46272</v>
      </c>
      <c r="B111" s="27">
        <f ca="1">IF($A111="","",Returns!$J$109)</f>
        <v>6.1485198657608604E-4</v>
      </c>
      <c r="C111" s="61">
        <f t="shared" ca="1" si="27"/>
        <v>96.537602494721938</v>
      </c>
      <c r="D111" s="61">
        <f ca="1">IF($A111="","",MAX($C$7:C111))</f>
        <v>114.96074955758542</v>
      </c>
      <c r="E111" s="26">
        <f t="shared" ca="1" si="28"/>
        <v>-0.16025597548522486</v>
      </c>
      <c r="F111" s="27">
        <f ca="1">IF($A111="","",Returns!$I$109)</f>
        <v>-1.2510174046660882E-2</v>
      </c>
      <c r="G111" s="61">
        <f t="shared" ca="1" si="29"/>
        <v>95.359193861696738</v>
      </c>
      <c r="H111" s="61">
        <f ca="1">IF($A111="","",MAX($G$7:G111))</f>
        <v>105.26900583100581</v>
      </c>
      <c r="I111" s="26">
        <f t="shared" ca="1" si="30"/>
        <v>-9.4137983835601569E-2</v>
      </c>
      <c r="J111" s="60" t="str">
        <f t="shared" ca="1" si="31"/>
        <v>Sep-26</v>
      </c>
      <c r="K111" s="3"/>
      <c r="L111" t="str">
        <f t="shared" ca="1" si="21"/>
        <v>Sep-26</v>
      </c>
      <c r="M111">
        <f t="shared" ca="1" si="22"/>
        <v>96.537602494721938</v>
      </c>
      <c r="N111">
        <f t="shared" ca="1" si="23"/>
        <v>95.359193861696738</v>
      </c>
      <c r="P111" t="str">
        <f t="shared" ca="1" si="24"/>
        <v>Sep-26</v>
      </c>
      <c r="Q111">
        <f t="shared" ca="1" si="25"/>
        <v>-0.16025597548522486</v>
      </c>
      <c r="R111">
        <f t="shared" ca="1" si="26"/>
        <v>-9.4137983835601569E-2</v>
      </c>
    </row>
    <row r="112" spans="1:18" x14ac:dyDescent="0.3">
      <c r="A112" s="10" t="str">
        <f ca="1">Returns!$A$110</f>
        <v/>
      </c>
      <c r="B112" s="27" t="str">
        <f ca="1">IF($A112="","",Returns!$J$110)</f>
        <v/>
      </c>
      <c r="C112" s="61" t="str">
        <f t="shared" ca="1" si="27"/>
        <v/>
      </c>
      <c r="D112" s="61" t="str">
        <f ca="1">IF($A112="","",MAX($C$7:C112))</f>
        <v/>
      </c>
      <c r="E112" s="26" t="str">
        <f t="shared" ca="1" si="28"/>
        <v/>
      </c>
      <c r="F112" s="27" t="str">
        <f ca="1">IF($A112="","",Returns!$I$110)</f>
        <v/>
      </c>
      <c r="G112" s="61" t="str">
        <f t="shared" ca="1" si="29"/>
        <v/>
      </c>
      <c r="H112" s="61" t="str">
        <f ca="1">IF($A112="","",MAX($G$7:G112))</f>
        <v/>
      </c>
      <c r="I112" s="26" t="str">
        <f t="shared" ca="1" si="30"/>
        <v/>
      </c>
      <c r="J112" s="60" t="str">
        <f t="shared" ca="1" si="31"/>
        <v/>
      </c>
      <c r="K112" s="3"/>
      <c r="L112" t="str">
        <f t="shared" ref="L112:L147" ca="1" si="32">$J112</f>
        <v/>
      </c>
      <c r="M112" s="133" t="str">
        <f t="shared" ref="M112:M147" ca="1" si="33">$C112</f>
        <v/>
      </c>
      <c r="N112" s="133" t="str">
        <f t="shared" ref="N112:N147" ca="1" si="34">$G112</f>
        <v/>
      </c>
      <c r="P112" t="str">
        <f t="shared" ref="P112:P147" ca="1" si="35">$J112</f>
        <v/>
      </c>
      <c r="Q112" s="134" t="str">
        <f t="shared" ref="Q112:Q147" ca="1" si="36">$E112</f>
        <v/>
      </c>
      <c r="R112" s="134" t="str">
        <f t="shared" ref="R112:R147" ca="1" si="37">$I112</f>
        <v/>
      </c>
    </row>
    <row r="113" spans="1:18" ht="16.5" customHeight="1" x14ac:dyDescent="0.3">
      <c r="A113" s="10" t="str">
        <f ca="1">Returns!$A$111</f>
        <v/>
      </c>
      <c r="B113" s="27" t="str">
        <f ca="1">IF($A113="","",Returns!$J$111)</f>
        <v/>
      </c>
      <c r="C113" s="27" t="str">
        <f t="shared" ca="1" si="27"/>
        <v/>
      </c>
      <c r="D113" s="27" t="str">
        <f ca="1">IF($A113="","",MAX($C$7:C113))</f>
        <v/>
      </c>
      <c r="E113" s="27" t="str">
        <f t="shared" ca="1" si="28"/>
        <v/>
      </c>
      <c r="F113" s="27" t="str">
        <f ca="1">IF($A113="","",Returns!$I$111)</f>
        <v/>
      </c>
      <c r="G113" s="27" t="str">
        <f t="shared" ca="1" si="29"/>
        <v/>
      </c>
      <c r="H113" s="27" t="str">
        <f ca="1">IF($A113="","",MAX($G$7:G113))</f>
        <v/>
      </c>
      <c r="I113" s="27" t="str">
        <f t="shared" ca="1" si="30"/>
        <v/>
      </c>
      <c r="J113" s="60" t="str">
        <f t="shared" ca="1" si="31"/>
        <v/>
      </c>
      <c r="K113" s="3"/>
      <c r="L113" t="str">
        <f t="shared" ca="1" si="32"/>
        <v/>
      </c>
      <c r="M113" s="134" t="str">
        <f t="shared" ca="1" si="33"/>
        <v/>
      </c>
      <c r="N113" s="134" t="str">
        <f t="shared" ca="1" si="34"/>
        <v/>
      </c>
      <c r="P113" t="str">
        <f t="shared" ca="1" si="35"/>
        <v/>
      </c>
      <c r="Q113" s="134" t="str">
        <f t="shared" ca="1" si="36"/>
        <v/>
      </c>
      <c r="R113" s="134" t="str">
        <f t="shared" ca="1" si="37"/>
        <v/>
      </c>
    </row>
    <row r="114" spans="1:18" ht="27.75" customHeight="1" x14ac:dyDescent="0.3">
      <c r="A114" s="10" t="str">
        <f ca="1">Returns!$A$112</f>
        <v/>
      </c>
      <c r="B114" s="27" t="str">
        <f ca="1">IF($A114="","",Returns!$J$112)</f>
        <v/>
      </c>
      <c r="C114" s="61" t="str">
        <f t="shared" ca="1" si="27"/>
        <v/>
      </c>
      <c r="D114" s="61" t="str">
        <f ca="1">IF($A114="","",MAX($C$7:C114))</f>
        <v/>
      </c>
      <c r="E114" s="26" t="str">
        <f t="shared" ca="1" si="28"/>
        <v/>
      </c>
      <c r="F114" s="27" t="str">
        <f ca="1">IF($A114="","",Returns!$I$112)</f>
        <v/>
      </c>
      <c r="G114" s="61" t="str">
        <f t="shared" ca="1" si="29"/>
        <v/>
      </c>
      <c r="H114" s="61" t="str">
        <f ca="1">IF($A114="","",MAX($G$7:G114))</f>
        <v/>
      </c>
      <c r="I114" s="26" t="str">
        <f t="shared" ca="1" si="30"/>
        <v/>
      </c>
      <c r="J114" s="60" t="str">
        <f t="shared" ca="1" si="31"/>
        <v/>
      </c>
      <c r="K114" s="3"/>
      <c r="L114" t="str">
        <f t="shared" ca="1" si="32"/>
        <v/>
      </c>
      <c r="M114" s="133" t="str">
        <f t="shared" ca="1" si="33"/>
        <v/>
      </c>
      <c r="N114" s="133" t="str">
        <f t="shared" ca="1" si="34"/>
        <v/>
      </c>
      <c r="P114" t="str">
        <f t="shared" ca="1" si="35"/>
        <v/>
      </c>
      <c r="Q114" s="134" t="str">
        <f t="shared" ca="1" si="36"/>
        <v/>
      </c>
      <c r="R114" s="134" t="str">
        <f t="shared" ca="1" si="37"/>
        <v/>
      </c>
    </row>
    <row r="115" spans="1:18" x14ac:dyDescent="0.3">
      <c r="A115" s="10" t="str">
        <f ca="1">Returns!$A$113</f>
        <v/>
      </c>
      <c r="B115" s="27" t="str">
        <f ca="1">IF($A115="","",Returns!$J$113)</f>
        <v/>
      </c>
      <c r="C115" s="61" t="str">
        <f t="shared" ca="1" si="27"/>
        <v/>
      </c>
      <c r="D115" s="61" t="str">
        <f ca="1">IF($A115="","",MAX($C$7:C115))</f>
        <v/>
      </c>
      <c r="E115" s="26" t="str">
        <f t="shared" ca="1" si="28"/>
        <v/>
      </c>
      <c r="F115" s="27" t="str">
        <f ca="1">IF($A115="","",Returns!$I$113)</f>
        <v/>
      </c>
      <c r="G115" s="61" t="str">
        <f t="shared" ca="1" si="29"/>
        <v/>
      </c>
      <c r="H115" s="61" t="str">
        <f ca="1">IF($A115="","",MAX($G$7:G115))</f>
        <v/>
      </c>
      <c r="I115" s="26" t="str">
        <f t="shared" ca="1" si="30"/>
        <v/>
      </c>
      <c r="J115" s="60" t="str">
        <f t="shared" ca="1" si="31"/>
        <v/>
      </c>
      <c r="K115" s="3"/>
      <c r="L115" t="str">
        <f t="shared" ca="1" si="32"/>
        <v/>
      </c>
      <c r="M115" s="133" t="str">
        <f t="shared" ca="1" si="33"/>
        <v/>
      </c>
      <c r="N115" s="133" t="str">
        <f t="shared" ca="1" si="34"/>
        <v/>
      </c>
      <c r="P115" t="str">
        <f t="shared" ca="1" si="35"/>
        <v/>
      </c>
      <c r="Q115" s="134" t="str">
        <f t="shared" ca="1" si="36"/>
        <v/>
      </c>
      <c r="R115" s="134" t="str">
        <f t="shared" ca="1" si="37"/>
        <v/>
      </c>
    </row>
    <row r="116" spans="1:18" x14ac:dyDescent="0.3">
      <c r="A116" s="10" t="str">
        <f ca="1">Returns!$A$114</f>
        <v/>
      </c>
      <c r="B116" s="27" t="str">
        <f ca="1">IF($A116="","",Returns!$J$114)</f>
        <v/>
      </c>
      <c r="C116" s="61" t="str">
        <f t="shared" ca="1" si="27"/>
        <v/>
      </c>
      <c r="D116" s="61" t="str">
        <f ca="1">IF($A116="","",MAX($C$7:C116))</f>
        <v/>
      </c>
      <c r="E116" s="26" t="str">
        <f t="shared" ca="1" si="28"/>
        <v/>
      </c>
      <c r="F116" s="27" t="str">
        <f ca="1">IF($A116="","",Returns!$I$114)</f>
        <v/>
      </c>
      <c r="G116" s="61" t="str">
        <f t="shared" ca="1" si="29"/>
        <v/>
      </c>
      <c r="H116" s="61" t="str">
        <f ca="1">IF($A116="","",MAX($G$7:G116))</f>
        <v/>
      </c>
      <c r="I116" s="26" t="str">
        <f t="shared" ca="1" si="30"/>
        <v/>
      </c>
      <c r="J116" s="60" t="str">
        <f t="shared" ca="1" si="31"/>
        <v/>
      </c>
      <c r="K116" s="3"/>
      <c r="L116" t="str">
        <f t="shared" ca="1" si="32"/>
        <v/>
      </c>
      <c r="M116" s="133" t="str">
        <f t="shared" ca="1" si="33"/>
        <v/>
      </c>
      <c r="N116" s="133" t="str">
        <f t="shared" ca="1" si="34"/>
        <v/>
      </c>
      <c r="P116" t="str">
        <f t="shared" ca="1" si="35"/>
        <v/>
      </c>
      <c r="Q116" s="134" t="str">
        <f t="shared" ca="1" si="36"/>
        <v/>
      </c>
      <c r="R116" s="134" t="str">
        <f t="shared" ca="1" si="37"/>
        <v/>
      </c>
    </row>
    <row r="117" spans="1:18" x14ac:dyDescent="0.3">
      <c r="A117" s="10" t="str">
        <f ca="1">Returns!$A$115</f>
        <v/>
      </c>
      <c r="B117" s="27" t="str">
        <f ca="1">IF($A117="","",Returns!$J$115)</f>
        <v/>
      </c>
      <c r="C117" s="61" t="str">
        <f t="shared" ca="1" si="27"/>
        <v/>
      </c>
      <c r="D117" s="61" t="str">
        <f ca="1">IF($A117="","",MAX($C$7:C117))</f>
        <v/>
      </c>
      <c r="E117" s="26" t="str">
        <f t="shared" ca="1" si="28"/>
        <v/>
      </c>
      <c r="F117" s="27" t="str">
        <f ca="1">IF($A117="","",Returns!$I$115)</f>
        <v/>
      </c>
      <c r="G117" s="61" t="str">
        <f t="shared" ca="1" si="29"/>
        <v/>
      </c>
      <c r="H117" s="61" t="str">
        <f ca="1">IF($A117="","",MAX($G$7:G117))</f>
        <v/>
      </c>
      <c r="I117" s="26" t="str">
        <f t="shared" ca="1" si="30"/>
        <v/>
      </c>
      <c r="J117" s="60" t="str">
        <f t="shared" ca="1" si="31"/>
        <v/>
      </c>
      <c r="K117" s="3"/>
      <c r="L117" t="str">
        <f t="shared" ca="1" si="32"/>
        <v/>
      </c>
      <c r="M117" s="133" t="str">
        <f t="shared" ca="1" si="33"/>
        <v/>
      </c>
      <c r="N117" s="133" t="str">
        <f t="shared" ca="1" si="34"/>
        <v/>
      </c>
      <c r="P117" t="str">
        <f t="shared" ca="1" si="35"/>
        <v/>
      </c>
      <c r="Q117" s="134" t="str">
        <f t="shared" ca="1" si="36"/>
        <v/>
      </c>
      <c r="R117" s="134" t="str">
        <f t="shared" ca="1" si="37"/>
        <v/>
      </c>
    </row>
    <row r="118" spans="1:18" x14ac:dyDescent="0.3">
      <c r="A118" s="10" t="str">
        <f ca="1">Returns!$A$116</f>
        <v/>
      </c>
      <c r="B118" s="27" t="str">
        <f ca="1">IF($A118="","",Returns!$J$116)</f>
        <v/>
      </c>
      <c r="C118" s="61" t="str">
        <f t="shared" ca="1" si="27"/>
        <v/>
      </c>
      <c r="D118" s="61" t="str">
        <f ca="1">IF($A118="","",MAX($C$7:C118))</f>
        <v/>
      </c>
      <c r="E118" s="26" t="str">
        <f t="shared" ca="1" si="28"/>
        <v/>
      </c>
      <c r="F118" s="27" t="str">
        <f ca="1">IF($A118="","",Returns!$I$116)</f>
        <v/>
      </c>
      <c r="G118" s="61" t="str">
        <f t="shared" ca="1" si="29"/>
        <v/>
      </c>
      <c r="H118" s="61" t="str">
        <f ca="1">IF($A118="","",MAX($G$7:G118))</f>
        <v/>
      </c>
      <c r="I118" s="26" t="str">
        <f t="shared" ca="1" si="30"/>
        <v/>
      </c>
      <c r="J118" s="60" t="str">
        <f t="shared" ca="1" si="31"/>
        <v/>
      </c>
      <c r="K118" s="3"/>
      <c r="L118" t="str">
        <f t="shared" ca="1" si="32"/>
        <v/>
      </c>
      <c r="M118" s="133" t="str">
        <f t="shared" ca="1" si="33"/>
        <v/>
      </c>
      <c r="N118" s="133" t="str">
        <f t="shared" ca="1" si="34"/>
        <v/>
      </c>
      <c r="P118" t="str">
        <f t="shared" ca="1" si="35"/>
        <v/>
      </c>
      <c r="Q118" s="134" t="str">
        <f t="shared" ca="1" si="36"/>
        <v/>
      </c>
      <c r="R118" s="134" t="str">
        <f t="shared" ca="1" si="37"/>
        <v/>
      </c>
    </row>
    <row r="119" spans="1:18" x14ac:dyDescent="0.3">
      <c r="A119" s="10" t="str">
        <f ca="1">Returns!$A$117</f>
        <v/>
      </c>
      <c r="B119" s="27" t="str">
        <f ca="1">IF($A119="","",Returns!$J$117)</f>
        <v/>
      </c>
      <c r="C119" s="61" t="str">
        <f t="shared" ca="1" si="27"/>
        <v/>
      </c>
      <c r="D119" s="61" t="str">
        <f ca="1">IF($A119="","",MAX($C$7:C119))</f>
        <v/>
      </c>
      <c r="E119" s="26" t="str">
        <f t="shared" ca="1" si="28"/>
        <v/>
      </c>
      <c r="F119" s="27" t="str">
        <f ca="1">IF($A119="","",Returns!$I$117)</f>
        <v/>
      </c>
      <c r="G119" s="61" t="str">
        <f t="shared" ca="1" si="29"/>
        <v/>
      </c>
      <c r="H119" s="61" t="str">
        <f ca="1">IF($A119="","",MAX($G$7:G119))</f>
        <v/>
      </c>
      <c r="I119" s="26" t="str">
        <f t="shared" ca="1" si="30"/>
        <v/>
      </c>
      <c r="J119" s="60" t="str">
        <f t="shared" ca="1" si="31"/>
        <v/>
      </c>
      <c r="K119" s="3"/>
      <c r="L119" t="str">
        <f t="shared" ca="1" si="32"/>
        <v/>
      </c>
      <c r="M119" s="133" t="str">
        <f t="shared" ca="1" si="33"/>
        <v/>
      </c>
      <c r="N119" s="133" t="str">
        <f t="shared" ca="1" si="34"/>
        <v/>
      </c>
      <c r="P119" t="str">
        <f t="shared" ca="1" si="35"/>
        <v/>
      </c>
      <c r="Q119" s="134" t="str">
        <f t="shared" ca="1" si="36"/>
        <v/>
      </c>
      <c r="R119" s="134" t="str">
        <f t="shared" ca="1" si="37"/>
        <v/>
      </c>
    </row>
    <row r="120" spans="1:18" ht="22.8" customHeight="1" x14ac:dyDescent="0.3">
      <c r="A120" s="10" t="str">
        <f ca="1">Returns!$A$118</f>
        <v/>
      </c>
      <c r="B120" s="27" t="str">
        <f ca="1">IF($A120="","",Returns!$J$118)</f>
        <v/>
      </c>
      <c r="C120" s="61" t="str">
        <f t="shared" ca="1" si="27"/>
        <v/>
      </c>
      <c r="D120" s="61" t="str">
        <f ca="1">IF($A120="","",MAX($C$7:C120))</f>
        <v/>
      </c>
      <c r="E120" s="26" t="str">
        <f t="shared" ca="1" si="28"/>
        <v/>
      </c>
      <c r="F120" s="27" t="str">
        <f ca="1">IF($A120="","",Returns!$I$118)</f>
        <v/>
      </c>
      <c r="G120" s="61" t="str">
        <f t="shared" ca="1" si="29"/>
        <v/>
      </c>
      <c r="H120" s="61" t="str">
        <f ca="1">IF($A120="","",MAX($G$7:G120))</f>
        <v/>
      </c>
      <c r="I120" s="26" t="str">
        <f t="shared" ca="1" si="30"/>
        <v/>
      </c>
      <c r="J120" s="60" t="str">
        <f t="shared" ca="1" si="31"/>
        <v/>
      </c>
      <c r="K120" s="3"/>
      <c r="L120" t="str">
        <f t="shared" ca="1" si="32"/>
        <v/>
      </c>
      <c r="M120" s="133" t="str">
        <f t="shared" ca="1" si="33"/>
        <v/>
      </c>
      <c r="N120" s="133" t="str">
        <f t="shared" ca="1" si="34"/>
        <v/>
      </c>
      <c r="P120" t="str">
        <f t="shared" ca="1" si="35"/>
        <v/>
      </c>
      <c r="Q120" s="134" t="str">
        <f t="shared" ca="1" si="36"/>
        <v/>
      </c>
      <c r="R120" s="134" t="str">
        <f t="shared" ca="1" si="37"/>
        <v/>
      </c>
    </row>
    <row r="121" spans="1:18" x14ac:dyDescent="0.3">
      <c r="A121" s="10" t="str">
        <f ca="1">Returns!$A$119</f>
        <v/>
      </c>
      <c r="B121" s="27" t="str">
        <f ca="1">IF($A121="","",Returns!$J$119)</f>
        <v/>
      </c>
      <c r="C121" s="61" t="str">
        <f t="shared" ca="1" si="27"/>
        <v/>
      </c>
      <c r="D121" s="61" t="str">
        <f ca="1">IF($A121="","",MAX($C$7:C121))</f>
        <v/>
      </c>
      <c r="E121" s="26" t="str">
        <f t="shared" ca="1" si="28"/>
        <v/>
      </c>
      <c r="F121" s="27" t="str">
        <f ca="1">IF($A121="","",Returns!$I$119)</f>
        <v/>
      </c>
      <c r="G121" s="61" t="str">
        <f t="shared" ca="1" si="29"/>
        <v/>
      </c>
      <c r="H121" s="61" t="str">
        <f ca="1">IF($A121="","",MAX($G$7:G121))</f>
        <v/>
      </c>
      <c r="I121" s="26" t="str">
        <f t="shared" ca="1" si="30"/>
        <v/>
      </c>
      <c r="J121" s="60" t="str">
        <f t="shared" ca="1" si="31"/>
        <v/>
      </c>
      <c r="K121" s="3"/>
      <c r="L121" t="str">
        <f t="shared" ca="1" si="32"/>
        <v/>
      </c>
      <c r="M121" s="133" t="str">
        <f t="shared" ca="1" si="33"/>
        <v/>
      </c>
      <c r="N121" s="133" t="str">
        <f t="shared" ca="1" si="34"/>
        <v/>
      </c>
      <c r="P121" t="str">
        <f t="shared" ca="1" si="35"/>
        <v/>
      </c>
      <c r="Q121" s="134" t="str">
        <f t="shared" ca="1" si="36"/>
        <v/>
      </c>
      <c r="R121" s="134" t="str">
        <f t="shared" ca="1" si="37"/>
        <v/>
      </c>
    </row>
    <row r="122" spans="1:18" x14ac:dyDescent="0.3">
      <c r="A122" s="10" t="str">
        <f ca="1">Returns!$A$120</f>
        <v/>
      </c>
      <c r="B122" s="27" t="str">
        <f ca="1">IF($A122="","",Returns!$J$120)</f>
        <v/>
      </c>
      <c r="C122" s="61" t="str">
        <f t="shared" ca="1" si="27"/>
        <v/>
      </c>
      <c r="D122" s="61" t="str">
        <f ca="1">IF($A122="","",MAX($C$7:C122))</f>
        <v/>
      </c>
      <c r="E122" s="26" t="str">
        <f t="shared" ca="1" si="28"/>
        <v/>
      </c>
      <c r="F122" s="27" t="str">
        <f ca="1">IF($A122="","",Returns!$I$120)</f>
        <v/>
      </c>
      <c r="G122" s="61" t="str">
        <f t="shared" ca="1" si="29"/>
        <v/>
      </c>
      <c r="H122" s="61" t="str">
        <f ca="1">IF($A122="","",MAX($G$7:G122))</f>
        <v/>
      </c>
      <c r="I122" s="26" t="str">
        <f t="shared" ca="1" si="30"/>
        <v/>
      </c>
      <c r="J122" s="60" t="str">
        <f t="shared" ca="1" si="31"/>
        <v/>
      </c>
      <c r="K122" s="3"/>
      <c r="L122" t="str">
        <f t="shared" ca="1" si="32"/>
        <v/>
      </c>
      <c r="M122" s="133" t="str">
        <f t="shared" ca="1" si="33"/>
        <v/>
      </c>
      <c r="N122" s="133" t="str">
        <f t="shared" ca="1" si="34"/>
        <v/>
      </c>
      <c r="P122" t="str">
        <f t="shared" ca="1" si="35"/>
        <v/>
      </c>
      <c r="Q122" s="134" t="str">
        <f t="shared" ca="1" si="36"/>
        <v/>
      </c>
      <c r="R122" s="134" t="str">
        <f t="shared" ca="1" si="37"/>
        <v/>
      </c>
    </row>
    <row r="123" spans="1:18" x14ac:dyDescent="0.3">
      <c r="A123" s="10" t="str">
        <f ca="1">Returns!$A$121</f>
        <v/>
      </c>
      <c r="B123" s="27" t="str">
        <f ca="1">IF($A123="","",Returns!$J$121)</f>
        <v/>
      </c>
      <c r="C123" s="61" t="str">
        <f t="shared" ca="1" si="27"/>
        <v/>
      </c>
      <c r="D123" s="61" t="str">
        <f ca="1">IF($A123="","",MAX($C$7:C123))</f>
        <v/>
      </c>
      <c r="E123" s="26" t="str">
        <f t="shared" ca="1" si="28"/>
        <v/>
      </c>
      <c r="F123" s="27" t="str">
        <f ca="1">IF($A123="","",Returns!$I$121)</f>
        <v/>
      </c>
      <c r="G123" s="61" t="str">
        <f t="shared" ca="1" si="29"/>
        <v/>
      </c>
      <c r="H123" s="61" t="str">
        <f ca="1">IF($A123="","",MAX($G$7:G123))</f>
        <v/>
      </c>
      <c r="I123" s="26" t="str">
        <f t="shared" ca="1" si="30"/>
        <v/>
      </c>
      <c r="J123" s="60" t="str">
        <f t="shared" ca="1" si="31"/>
        <v/>
      </c>
      <c r="K123" s="3"/>
      <c r="L123" t="str">
        <f t="shared" ca="1" si="32"/>
        <v/>
      </c>
      <c r="M123" s="133" t="str">
        <f t="shared" ca="1" si="33"/>
        <v/>
      </c>
      <c r="N123" s="133" t="str">
        <f t="shared" ca="1" si="34"/>
        <v/>
      </c>
      <c r="P123" t="str">
        <f t="shared" ca="1" si="35"/>
        <v/>
      </c>
      <c r="Q123" s="134" t="str">
        <f t="shared" ca="1" si="36"/>
        <v/>
      </c>
      <c r="R123" s="134" t="str">
        <f t="shared" ca="1" si="37"/>
        <v/>
      </c>
    </row>
    <row r="124" spans="1:18" x14ac:dyDescent="0.3">
      <c r="A124" s="10" t="str">
        <f ca="1">Returns!$A$122</f>
        <v/>
      </c>
      <c r="B124" s="27" t="str">
        <f ca="1">IF($A124="","",Returns!$J$122)</f>
        <v/>
      </c>
      <c r="C124" s="61" t="str">
        <f t="shared" ca="1" si="27"/>
        <v/>
      </c>
      <c r="D124" s="61" t="str">
        <f ca="1">IF($A124="","",MAX($C$7:C124))</f>
        <v/>
      </c>
      <c r="E124" s="26" t="str">
        <f t="shared" ca="1" si="28"/>
        <v/>
      </c>
      <c r="F124" s="27" t="str">
        <f ca="1">IF($A124="","",Returns!$I$122)</f>
        <v/>
      </c>
      <c r="G124" s="61" t="str">
        <f t="shared" ca="1" si="29"/>
        <v/>
      </c>
      <c r="H124" s="61" t="str">
        <f ca="1">IF($A124="","",MAX($G$7:G124))</f>
        <v/>
      </c>
      <c r="I124" s="26" t="str">
        <f t="shared" ca="1" si="30"/>
        <v/>
      </c>
      <c r="J124" s="60" t="str">
        <f t="shared" ca="1" si="31"/>
        <v/>
      </c>
      <c r="K124" s="3"/>
      <c r="L124" t="str">
        <f t="shared" ca="1" si="32"/>
        <v/>
      </c>
      <c r="M124" s="133" t="str">
        <f t="shared" ca="1" si="33"/>
        <v/>
      </c>
      <c r="N124" s="133" t="str">
        <f t="shared" ca="1" si="34"/>
        <v/>
      </c>
      <c r="P124" t="str">
        <f t="shared" ca="1" si="35"/>
        <v/>
      </c>
      <c r="Q124" s="134" t="str">
        <f t="shared" ca="1" si="36"/>
        <v/>
      </c>
      <c r="R124" s="134" t="str">
        <f t="shared" ca="1" si="37"/>
        <v/>
      </c>
    </row>
    <row r="125" spans="1:18" x14ac:dyDescent="0.3">
      <c r="A125" s="10" t="str">
        <f ca="1">Returns!$A$123</f>
        <v/>
      </c>
      <c r="B125" s="27" t="str">
        <f ca="1">IF($A125="","",Returns!$J$123)</f>
        <v/>
      </c>
      <c r="C125" s="61" t="str">
        <f t="shared" ca="1" si="27"/>
        <v/>
      </c>
      <c r="D125" s="61" t="str">
        <f ca="1">IF($A125="","",MAX($C$7:C125))</f>
        <v/>
      </c>
      <c r="E125" s="26" t="str">
        <f t="shared" ca="1" si="28"/>
        <v/>
      </c>
      <c r="F125" s="27" t="str">
        <f ca="1">IF($A125="","",Returns!$I$123)</f>
        <v/>
      </c>
      <c r="G125" s="61" t="str">
        <f t="shared" ca="1" si="29"/>
        <v/>
      </c>
      <c r="H125" s="61" t="str">
        <f ca="1">IF($A125="","",MAX($G$7:G125))</f>
        <v/>
      </c>
      <c r="I125" s="26" t="str">
        <f t="shared" ca="1" si="30"/>
        <v/>
      </c>
      <c r="J125" s="60" t="str">
        <f t="shared" ca="1" si="31"/>
        <v/>
      </c>
      <c r="K125" s="3"/>
      <c r="L125" t="str">
        <f t="shared" ca="1" si="32"/>
        <v/>
      </c>
      <c r="M125" s="133" t="str">
        <f t="shared" ca="1" si="33"/>
        <v/>
      </c>
      <c r="N125" s="133" t="str">
        <f t="shared" ca="1" si="34"/>
        <v/>
      </c>
      <c r="P125" t="str">
        <f t="shared" ca="1" si="35"/>
        <v/>
      </c>
      <c r="Q125" s="134" t="str">
        <f t="shared" ca="1" si="36"/>
        <v/>
      </c>
      <c r="R125" s="134" t="str">
        <f t="shared" ca="1" si="37"/>
        <v/>
      </c>
    </row>
    <row r="126" spans="1:18" x14ac:dyDescent="0.3">
      <c r="A126" s="10" t="str">
        <f ca="1">Returns!$A$124</f>
        <v/>
      </c>
      <c r="B126" s="27" t="str">
        <f ca="1">IF($A126="","",Returns!$J$124)</f>
        <v/>
      </c>
      <c r="C126" s="61" t="str">
        <f t="shared" ca="1" si="27"/>
        <v/>
      </c>
      <c r="D126" s="61" t="str">
        <f ca="1">IF($A126="","",MAX($C$7:C126))</f>
        <v/>
      </c>
      <c r="E126" s="26" t="str">
        <f t="shared" ca="1" si="28"/>
        <v/>
      </c>
      <c r="F126" s="27" t="str">
        <f ca="1">IF($A126="","",Returns!$I$124)</f>
        <v/>
      </c>
      <c r="G126" s="61" t="str">
        <f t="shared" ca="1" si="29"/>
        <v/>
      </c>
      <c r="H126" s="61" t="str">
        <f ca="1">IF($A126="","",MAX($G$7:G126))</f>
        <v/>
      </c>
      <c r="I126" s="26" t="str">
        <f t="shared" ca="1" si="30"/>
        <v/>
      </c>
      <c r="J126" s="60" t="str">
        <f t="shared" ca="1" si="31"/>
        <v/>
      </c>
      <c r="K126" s="3"/>
      <c r="L126" t="str">
        <f t="shared" ca="1" si="32"/>
        <v/>
      </c>
      <c r="M126" s="133" t="str">
        <f t="shared" ca="1" si="33"/>
        <v/>
      </c>
      <c r="N126" s="133" t="str">
        <f t="shared" ca="1" si="34"/>
        <v/>
      </c>
      <c r="P126" t="str">
        <f t="shared" ca="1" si="35"/>
        <v/>
      </c>
      <c r="Q126" s="134" t="str">
        <f t="shared" ca="1" si="36"/>
        <v/>
      </c>
      <c r="R126" s="134" t="str">
        <f t="shared" ca="1" si="37"/>
        <v/>
      </c>
    </row>
    <row r="127" spans="1:18" x14ac:dyDescent="0.3">
      <c r="A127" s="10" t="str">
        <f ca="1">Returns!$A$125</f>
        <v/>
      </c>
      <c r="B127" s="27" t="str">
        <f ca="1">IF($A127="","",Returns!$J$125)</f>
        <v/>
      </c>
      <c r="C127" s="61" t="str">
        <f t="shared" ca="1" si="27"/>
        <v/>
      </c>
      <c r="D127" s="61" t="str">
        <f ca="1">IF($A127="","",MAX($C$7:C127))</f>
        <v/>
      </c>
      <c r="E127" s="26" t="str">
        <f t="shared" ca="1" si="28"/>
        <v/>
      </c>
      <c r="F127" s="27" t="str">
        <f ca="1">IF($A127="","",Returns!$I$125)</f>
        <v/>
      </c>
      <c r="G127" s="61" t="str">
        <f t="shared" ca="1" si="29"/>
        <v/>
      </c>
      <c r="H127" s="61" t="str">
        <f ca="1">IF($A127="","",MAX($G$7:G127))</f>
        <v/>
      </c>
      <c r="I127" s="26" t="str">
        <f t="shared" ca="1" si="30"/>
        <v/>
      </c>
      <c r="J127" s="60" t="str">
        <f t="shared" ca="1" si="31"/>
        <v/>
      </c>
      <c r="K127" s="3"/>
      <c r="L127" t="str">
        <f t="shared" ca="1" si="32"/>
        <v/>
      </c>
      <c r="M127" s="133" t="str">
        <f t="shared" ca="1" si="33"/>
        <v/>
      </c>
      <c r="N127" s="133" t="str">
        <f t="shared" ca="1" si="34"/>
        <v/>
      </c>
      <c r="P127" t="str">
        <f t="shared" ca="1" si="35"/>
        <v/>
      </c>
      <c r="Q127" s="134" t="str">
        <f t="shared" ca="1" si="36"/>
        <v/>
      </c>
      <c r="R127" s="134" t="str">
        <f t="shared" ca="1" si="37"/>
        <v/>
      </c>
    </row>
    <row r="128" spans="1:18" x14ac:dyDescent="0.3">
      <c r="A128" s="10" t="str">
        <f ca="1">Returns!$A$126</f>
        <v/>
      </c>
      <c r="B128" s="27" t="str">
        <f ca="1">IF($A128="","",Returns!$J$126)</f>
        <v/>
      </c>
      <c r="C128" s="61" t="str">
        <f t="shared" ca="1" si="27"/>
        <v/>
      </c>
      <c r="D128" s="61" t="str">
        <f ca="1">IF($A128="","",MAX($C$7:C128))</f>
        <v/>
      </c>
      <c r="E128" s="26" t="str">
        <f t="shared" ca="1" si="28"/>
        <v/>
      </c>
      <c r="F128" s="27" t="str">
        <f ca="1">IF($A128="","",Returns!$I$126)</f>
        <v/>
      </c>
      <c r="G128" s="61" t="str">
        <f t="shared" ca="1" si="29"/>
        <v/>
      </c>
      <c r="H128" s="61" t="str">
        <f ca="1">IF($A128="","",MAX($G$7:G128))</f>
        <v/>
      </c>
      <c r="I128" s="26" t="str">
        <f t="shared" ca="1" si="30"/>
        <v/>
      </c>
      <c r="J128" s="60" t="str">
        <f t="shared" ca="1" si="31"/>
        <v/>
      </c>
      <c r="K128" s="3"/>
      <c r="L128" t="str">
        <f t="shared" ca="1" si="32"/>
        <v/>
      </c>
      <c r="M128" s="133" t="str">
        <f t="shared" ca="1" si="33"/>
        <v/>
      </c>
      <c r="N128" s="133" t="str">
        <f t="shared" ca="1" si="34"/>
        <v/>
      </c>
      <c r="P128" t="str">
        <f t="shared" ca="1" si="35"/>
        <v/>
      </c>
      <c r="Q128" s="134" t="str">
        <f t="shared" ca="1" si="36"/>
        <v/>
      </c>
      <c r="R128" s="134" t="str">
        <f t="shared" ca="1" si="37"/>
        <v/>
      </c>
    </row>
    <row r="129" spans="1:18" x14ac:dyDescent="0.3">
      <c r="A129" s="10" t="str">
        <f ca="1">Returns!$A$127</f>
        <v/>
      </c>
      <c r="B129" s="27" t="str">
        <f ca="1">IF($A129="","",Returns!$J$127)</f>
        <v/>
      </c>
      <c r="C129" s="61" t="str">
        <f t="shared" ca="1" si="27"/>
        <v/>
      </c>
      <c r="D129" s="61" t="str">
        <f ca="1">IF($A129="","",MAX($C$7:C129))</f>
        <v/>
      </c>
      <c r="E129" s="26" t="str">
        <f t="shared" ca="1" si="28"/>
        <v/>
      </c>
      <c r="F129" s="27" t="str">
        <f ca="1">IF($A129="","",Returns!$I$127)</f>
        <v/>
      </c>
      <c r="G129" s="61" t="str">
        <f t="shared" ca="1" si="29"/>
        <v/>
      </c>
      <c r="H129" s="61" t="str">
        <f ca="1">IF($A129="","",MAX($G$7:G129))</f>
        <v/>
      </c>
      <c r="I129" s="26" t="str">
        <f t="shared" ca="1" si="30"/>
        <v/>
      </c>
      <c r="J129" s="60" t="str">
        <f t="shared" ca="1" si="31"/>
        <v/>
      </c>
      <c r="K129" s="3"/>
      <c r="L129" t="str">
        <f t="shared" ca="1" si="32"/>
        <v/>
      </c>
      <c r="M129" s="133" t="str">
        <f t="shared" ca="1" si="33"/>
        <v/>
      </c>
      <c r="N129" s="133" t="str">
        <f t="shared" ca="1" si="34"/>
        <v/>
      </c>
      <c r="P129" t="str">
        <f t="shared" ca="1" si="35"/>
        <v/>
      </c>
      <c r="Q129" s="134" t="str">
        <f t="shared" ca="1" si="36"/>
        <v/>
      </c>
      <c r="R129" s="134" t="str">
        <f t="shared" ca="1" si="37"/>
        <v/>
      </c>
    </row>
    <row r="130" spans="1:18" x14ac:dyDescent="0.3">
      <c r="A130" s="10" t="str">
        <f ca="1">Returns!$A$128</f>
        <v/>
      </c>
      <c r="B130" s="27" t="str">
        <f ca="1">IF($A130="","",Returns!$J$128)</f>
        <v/>
      </c>
      <c r="C130" s="61" t="str">
        <f t="shared" ca="1" si="27"/>
        <v/>
      </c>
      <c r="D130" s="61" t="str">
        <f ca="1">IF($A130="","",MAX($C$7:C130))</f>
        <v/>
      </c>
      <c r="E130" s="26" t="str">
        <f t="shared" ca="1" si="28"/>
        <v/>
      </c>
      <c r="F130" s="27" t="str">
        <f ca="1">IF($A130="","",Returns!$I$128)</f>
        <v/>
      </c>
      <c r="G130" s="61" t="str">
        <f t="shared" ca="1" si="29"/>
        <v/>
      </c>
      <c r="H130" s="61" t="str">
        <f ca="1">IF($A130="","",MAX($G$7:G130))</f>
        <v/>
      </c>
      <c r="I130" s="26" t="str">
        <f t="shared" ca="1" si="30"/>
        <v/>
      </c>
      <c r="J130" s="60" t="str">
        <f t="shared" ca="1" si="31"/>
        <v/>
      </c>
      <c r="K130" s="3"/>
      <c r="L130" t="str">
        <f t="shared" ca="1" si="32"/>
        <v/>
      </c>
      <c r="M130" s="133" t="str">
        <f t="shared" ca="1" si="33"/>
        <v/>
      </c>
      <c r="N130" s="133" t="str">
        <f t="shared" ca="1" si="34"/>
        <v/>
      </c>
      <c r="P130" t="str">
        <f t="shared" ca="1" si="35"/>
        <v/>
      </c>
      <c r="Q130" s="134" t="str">
        <f t="shared" ca="1" si="36"/>
        <v/>
      </c>
      <c r="R130" s="134" t="str">
        <f t="shared" ca="1" si="37"/>
        <v/>
      </c>
    </row>
    <row r="131" spans="1:18" x14ac:dyDescent="0.3">
      <c r="A131" s="10" t="str">
        <f ca="1">Returns!$A$129</f>
        <v/>
      </c>
      <c r="B131" s="27" t="str">
        <f ca="1">IF($A131="","",Returns!$J$129)</f>
        <v/>
      </c>
      <c r="C131" s="61" t="str">
        <f t="shared" ca="1" si="27"/>
        <v/>
      </c>
      <c r="D131" s="61" t="str">
        <f ca="1">IF($A131="","",MAX($C$7:C131))</f>
        <v/>
      </c>
      <c r="E131" s="26" t="str">
        <f t="shared" ca="1" si="28"/>
        <v/>
      </c>
      <c r="F131" s="27" t="str">
        <f ca="1">IF($A131="","",Returns!$I$129)</f>
        <v/>
      </c>
      <c r="G131" s="61" t="str">
        <f t="shared" ca="1" si="29"/>
        <v/>
      </c>
      <c r="H131" s="61" t="str">
        <f ca="1">IF($A131="","",MAX($G$7:G131))</f>
        <v/>
      </c>
      <c r="I131" s="26" t="str">
        <f t="shared" ca="1" si="30"/>
        <v/>
      </c>
      <c r="J131" s="60" t="str">
        <f t="shared" ca="1" si="31"/>
        <v/>
      </c>
      <c r="K131" s="3"/>
      <c r="L131" t="str">
        <f t="shared" ca="1" si="32"/>
        <v/>
      </c>
      <c r="M131" s="133" t="str">
        <f t="shared" ca="1" si="33"/>
        <v/>
      </c>
      <c r="N131" s="133" t="str">
        <f t="shared" ca="1" si="34"/>
        <v/>
      </c>
      <c r="P131" t="str">
        <f t="shared" ca="1" si="35"/>
        <v/>
      </c>
      <c r="Q131" s="134" t="str">
        <f t="shared" ca="1" si="36"/>
        <v/>
      </c>
      <c r="R131" s="134" t="str">
        <f t="shared" ca="1" si="37"/>
        <v/>
      </c>
    </row>
    <row r="132" spans="1:18" x14ac:dyDescent="0.3">
      <c r="A132" s="10" t="str">
        <f ca="1">Returns!$A$130</f>
        <v/>
      </c>
      <c r="B132" s="27" t="str">
        <f ca="1">IF($A132="","",Returns!$J$130)</f>
        <v/>
      </c>
      <c r="C132" s="61" t="str">
        <f t="shared" ca="1" si="27"/>
        <v/>
      </c>
      <c r="D132" s="61" t="str">
        <f ca="1">IF($A132="","",MAX($C$7:C132))</f>
        <v/>
      </c>
      <c r="E132" s="26" t="str">
        <f t="shared" ca="1" si="28"/>
        <v/>
      </c>
      <c r="F132" s="27" t="str">
        <f ca="1">IF($A132="","",Returns!$I$130)</f>
        <v/>
      </c>
      <c r="G132" s="61" t="str">
        <f t="shared" ca="1" si="29"/>
        <v/>
      </c>
      <c r="H132" s="61" t="str">
        <f ca="1">IF($A132="","",MAX($G$7:G132))</f>
        <v/>
      </c>
      <c r="I132" s="26" t="str">
        <f t="shared" ca="1" si="30"/>
        <v/>
      </c>
      <c r="J132" s="60" t="str">
        <f t="shared" ca="1" si="31"/>
        <v/>
      </c>
      <c r="K132" s="3"/>
      <c r="L132" t="str">
        <f t="shared" ca="1" si="32"/>
        <v/>
      </c>
      <c r="M132" s="133" t="str">
        <f t="shared" ca="1" si="33"/>
        <v/>
      </c>
      <c r="N132" s="133" t="str">
        <f t="shared" ca="1" si="34"/>
        <v/>
      </c>
      <c r="P132" t="str">
        <f t="shared" ca="1" si="35"/>
        <v/>
      </c>
      <c r="Q132" s="134" t="str">
        <f t="shared" ca="1" si="36"/>
        <v/>
      </c>
      <c r="R132" s="134" t="str">
        <f t="shared" ca="1" si="37"/>
        <v/>
      </c>
    </row>
    <row r="133" spans="1:18" x14ac:dyDescent="0.3">
      <c r="A133" s="10" t="str">
        <f ca="1">Returns!$A$131</f>
        <v/>
      </c>
      <c r="B133" s="27" t="str">
        <f ca="1">IF($A133="","",Returns!$J$131)</f>
        <v/>
      </c>
      <c r="C133" s="61" t="str">
        <f t="shared" ca="1" si="27"/>
        <v/>
      </c>
      <c r="D133" s="61" t="str">
        <f ca="1">IF($A133="","",MAX($C$7:C133))</f>
        <v/>
      </c>
      <c r="E133" s="26" t="str">
        <f t="shared" ca="1" si="28"/>
        <v/>
      </c>
      <c r="F133" s="27" t="str">
        <f ca="1">IF($A133="","",Returns!$I$131)</f>
        <v/>
      </c>
      <c r="G133" s="61" t="str">
        <f t="shared" ca="1" si="29"/>
        <v/>
      </c>
      <c r="H133" s="61" t="str">
        <f ca="1">IF($A133="","",MAX($G$7:G133))</f>
        <v/>
      </c>
      <c r="I133" s="26" t="str">
        <f t="shared" ca="1" si="30"/>
        <v/>
      </c>
      <c r="J133" s="60" t="str">
        <f t="shared" ca="1" si="31"/>
        <v/>
      </c>
      <c r="K133" s="3"/>
      <c r="L133" t="str">
        <f t="shared" ca="1" si="32"/>
        <v/>
      </c>
      <c r="M133" s="133" t="str">
        <f t="shared" ca="1" si="33"/>
        <v/>
      </c>
      <c r="N133" s="133" t="str">
        <f t="shared" ca="1" si="34"/>
        <v/>
      </c>
      <c r="P133" t="str">
        <f t="shared" ca="1" si="35"/>
        <v/>
      </c>
      <c r="Q133" s="134" t="str">
        <f t="shared" ca="1" si="36"/>
        <v/>
      </c>
      <c r="R133" s="134" t="str">
        <f t="shared" ca="1" si="37"/>
        <v/>
      </c>
    </row>
    <row r="134" spans="1:18" x14ac:dyDescent="0.3">
      <c r="A134" s="10" t="str">
        <f ca="1">Returns!$A$132</f>
        <v/>
      </c>
      <c r="B134" s="27" t="str">
        <f ca="1">IF($A134="","",Returns!$J$132)</f>
        <v/>
      </c>
      <c r="C134" s="61" t="str">
        <f t="shared" ca="1" si="27"/>
        <v/>
      </c>
      <c r="D134" s="61" t="str">
        <f ca="1">IF($A134="","",MAX($C$7:C134))</f>
        <v/>
      </c>
      <c r="E134" s="26" t="str">
        <f t="shared" ca="1" si="28"/>
        <v/>
      </c>
      <c r="F134" s="27" t="str">
        <f ca="1">IF($A134="","",Returns!$I$132)</f>
        <v/>
      </c>
      <c r="G134" s="61" t="str">
        <f t="shared" ca="1" si="29"/>
        <v/>
      </c>
      <c r="H134" s="61" t="str">
        <f ca="1">IF($A134="","",MAX($G$7:G134))</f>
        <v/>
      </c>
      <c r="I134" s="26" t="str">
        <f t="shared" ca="1" si="30"/>
        <v/>
      </c>
      <c r="J134" s="60" t="str">
        <f t="shared" ca="1" si="31"/>
        <v/>
      </c>
      <c r="K134" s="3"/>
      <c r="L134" t="str">
        <f t="shared" ca="1" si="32"/>
        <v/>
      </c>
      <c r="M134" s="133" t="str">
        <f t="shared" ca="1" si="33"/>
        <v/>
      </c>
      <c r="N134" s="133" t="str">
        <f t="shared" ca="1" si="34"/>
        <v/>
      </c>
      <c r="P134" t="str">
        <f t="shared" ca="1" si="35"/>
        <v/>
      </c>
      <c r="Q134" s="134" t="str">
        <f t="shared" ca="1" si="36"/>
        <v/>
      </c>
      <c r="R134" s="134" t="str">
        <f t="shared" ca="1" si="37"/>
        <v/>
      </c>
    </row>
    <row r="135" spans="1:18" x14ac:dyDescent="0.3">
      <c r="A135" s="10" t="str">
        <f ca="1">Returns!$A$133</f>
        <v/>
      </c>
      <c r="B135" s="27" t="str">
        <f ca="1">IF($A135="","",Returns!$J$133)</f>
        <v/>
      </c>
      <c r="C135" s="61" t="str">
        <f t="shared" ca="1" si="27"/>
        <v/>
      </c>
      <c r="D135" s="61" t="str">
        <f ca="1">IF($A135="","",MAX($C$7:C135))</f>
        <v/>
      </c>
      <c r="E135" s="26" t="str">
        <f t="shared" ca="1" si="28"/>
        <v/>
      </c>
      <c r="F135" s="27" t="str">
        <f ca="1">IF($A135="","",Returns!$I$133)</f>
        <v/>
      </c>
      <c r="G135" s="61" t="str">
        <f t="shared" ca="1" si="29"/>
        <v/>
      </c>
      <c r="H135" s="61" t="str">
        <f ca="1">IF($A135="","",MAX($G$7:G135))</f>
        <v/>
      </c>
      <c r="I135" s="26" t="str">
        <f t="shared" ca="1" si="30"/>
        <v/>
      </c>
      <c r="J135" s="60" t="str">
        <f t="shared" ca="1" si="31"/>
        <v/>
      </c>
      <c r="K135" s="3"/>
      <c r="L135" t="str">
        <f t="shared" ca="1" si="32"/>
        <v/>
      </c>
      <c r="M135" s="133" t="str">
        <f t="shared" ca="1" si="33"/>
        <v/>
      </c>
      <c r="N135" s="133" t="str">
        <f t="shared" ca="1" si="34"/>
        <v/>
      </c>
      <c r="P135" t="str">
        <f t="shared" ca="1" si="35"/>
        <v/>
      </c>
      <c r="Q135" s="134" t="str">
        <f t="shared" ca="1" si="36"/>
        <v/>
      </c>
      <c r="R135" s="134" t="str">
        <f t="shared" ca="1" si="37"/>
        <v/>
      </c>
    </row>
    <row r="136" spans="1:18" x14ac:dyDescent="0.3">
      <c r="A136" s="10" t="str">
        <f ca="1">Returns!$A$134</f>
        <v/>
      </c>
      <c r="B136" s="27" t="str">
        <f ca="1">IF($A136="","",Returns!$J$134)</f>
        <v/>
      </c>
      <c r="C136" s="61" t="str">
        <f t="shared" ca="1" si="27"/>
        <v/>
      </c>
      <c r="D136" s="61" t="str">
        <f ca="1">IF($A136="","",MAX($C$7:C136))</f>
        <v/>
      </c>
      <c r="E136" s="26" t="str">
        <f t="shared" ca="1" si="28"/>
        <v/>
      </c>
      <c r="F136" s="27" t="str">
        <f ca="1">IF($A136="","",Returns!$I$134)</f>
        <v/>
      </c>
      <c r="G136" s="61" t="str">
        <f t="shared" ca="1" si="29"/>
        <v/>
      </c>
      <c r="H136" s="61" t="str">
        <f ca="1">IF($A136="","",MAX($G$7:G136))</f>
        <v/>
      </c>
      <c r="I136" s="26" t="str">
        <f t="shared" ca="1" si="30"/>
        <v/>
      </c>
      <c r="J136" s="60" t="str">
        <f t="shared" ca="1" si="31"/>
        <v/>
      </c>
      <c r="K136" s="3"/>
      <c r="L136" t="str">
        <f t="shared" ca="1" si="32"/>
        <v/>
      </c>
      <c r="M136" s="133" t="str">
        <f t="shared" ca="1" si="33"/>
        <v/>
      </c>
      <c r="N136" s="133" t="str">
        <f t="shared" ca="1" si="34"/>
        <v/>
      </c>
      <c r="P136" t="str">
        <f t="shared" ca="1" si="35"/>
        <v/>
      </c>
      <c r="Q136" s="134" t="str">
        <f t="shared" ca="1" si="36"/>
        <v/>
      </c>
      <c r="R136" s="134" t="str">
        <f t="shared" ca="1" si="37"/>
        <v/>
      </c>
    </row>
    <row r="137" spans="1:18" x14ac:dyDescent="0.3">
      <c r="L137">
        <f t="shared" si="32"/>
        <v>0</v>
      </c>
      <c r="M137">
        <f t="shared" si="33"/>
        <v>0</v>
      </c>
      <c r="N137">
        <f t="shared" si="34"/>
        <v>0</v>
      </c>
      <c r="P137">
        <f t="shared" si="35"/>
        <v>0</v>
      </c>
      <c r="Q137">
        <f t="shared" si="36"/>
        <v>0</v>
      </c>
      <c r="R137">
        <f t="shared" si="37"/>
        <v>0</v>
      </c>
    </row>
    <row r="138" spans="1:18" x14ac:dyDescent="0.3">
      <c r="A138" s="136" t="s">
        <v>388</v>
      </c>
      <c r="B138" s="136"/>
      <c r="C138" s="136"/>
      <c r="D138" s="136"/>
      <c r="E138" s="136"/>
      <c r="F138" s="136"/>
      <c r="G138" s="136"/>
      <c r="H138" s="136"/>
      <c r="I138" s="136"/>
      <c r="L138">
        <f t="shared" si="32"/>
        <v>0</v>
      </c>
      <c r="M138">
        <f t="shared" si="33"/>
        <v>0</v>
      </c>
      <c r="N138">
        <f t="shared" si="34"/>
        <v>0</v>
      </c>
      <c r="P138">
        <f t="shared" si="35"/>
        <v>0</v>
      </c>
      <c r="Q138">
        <f t="shared" si="36"/>
        <v>0</v>
      </c>
      <c r="R138">
        <f t="shared" si="37"/>
        <v>0</v>
      </c>
    </row>
    <row r="139" spans="1:18" x14ac:dyDescent="0.3">
      <c r="A139" t="s">
        <v>269</v>
      </c>
      <c r="B139" t="s">
        <v>255</v>
      </c>
      <c r="C139" t="s">
        <v>17</v>
      </c>
      <c r="D139" t="s">
        <v>270</v>
      </c>
      <c r="E139" t="s">
        <v>389</v>
      </c>
      <c r="L139">
        <f t="shared" si="32"/>
        <v>0</v>
      </c>
      <c r="M139" t="str">
        <f t="shared" si="33"/>
        <v>NIFTY 50</v>
      </c>
      <c r="N139">
        <f t="shared" si="34"/>
        <v>0</v>
      </c>
      <c r="P139">
        <f t="shared" si="35"/>
        <v>0</v>
      </c>
      <c r="Q139" t="str">
        <f t="shared" si="36"/>
        <v>Comment</v>
      </c>
      <c r="R139">
        <f t="shared" si="37"/>
        <v>0</v>
      </c>
    </row>
    <row r="140" spans="1:18" x14ac:dyDescent="0.3">
      <c r="A140" t="s">
        <v>341</v>
      </c>
      <c r="B140">
        <f ca="1">MIN($E$8:INDEX($E$8:$E$1000,COUNT($A$8:$A$1000)))</f>
        <v>-0.17991189250061801</v>
      </c>
      <c r="C140">
        <f ca="1">MIN($I$8:INDEX($I$8:$I$1000,COUNT($A$8:$A$1000)))</f>
        <v>-0.14928973284085856</v>
      </c>
      <c r="D140">
        <f ca="1">B140-C140</f>
        <v>-3.0622159659759451E-2</v>
      </c>
      <c r="E140" t="s">
        <v>390</v>
      </c>
      <c r="L140">
        <f t="shared" si="32"/>
        <v>0</v>
      </c>
      <c r="M140">
        <f t="shared" ca="1" si="33"/>
        <v>-0.14928973284085856</v>
      </c>
      <c r="N140">
        <f t="shared" si="34"/>
        <v>0</v>
      </c>
      <c r="P140">
        <f t="shared" si="35"/>
        <v>0</v>
      </c>
      <c r="Q140" t="str">
        <f t="shared" si="36"/>
        <v>Worst peak-to-trough loss over the analysis window</v>
      </c>
      <c r="R140">
        <f t="shared" si="37"/>
        <v>0</v>
      </c>
    </row>
    <row r="141" spans="1:18" x14ac:dyDescent="0.3">
      <c r="A141" t="s">
        <v>391</v>
      </c>
      <c r="B141">
        <f ca="1">INDEX($A$8:INDEX($A$8:$A$1000,COUNT($A$8:$A$1000)),MATCH(MIN($E$8:INDEX($E$8:$E$1000,COUNT($A$8:$A$1000))),$E$8:INDEX($E$8:$E$1000,COUNT($A$8:$A$1000)),0))</f>
        <v>46111</v>
      </c>
      <c r="C141">
        <f ca="1">INDEX($A$8:INDEX($A$8:$A$1000,COUNT($A$8:$A$1000)),MATCH(MIN($I$8:INDEX($I$8:$I$1000,COUNT($A$8:$A$1000))),$I$8:INDEX($I$8:$I$1000,COUNT($A$8:$A$1000)),0))</f>
        <v>46111</v>
      </c>
      <c r="E141" t="s">
        <v>392</v>
      </c>
      <c r="L141">
        <f t="shared" si="32"/>
        <v>0</v>
      </c>
      <c r="M141">
        <f t="shared" ca="1" si="33"/>
        <v>46111</v>
      </c>
      <c r="N141">
        <f t="shared" si="34"/>
        <v>0</v>
      </c>
      <c r="P141">
        <f t="shared" si="35"/>
        <v>0</v>
      </c>
      <c r="Q141" t="str">
        <f t="shared" si="36"/>
        <v>Week in which the maximum drawdown was recorded</v>
      </c>
      <c r="R141">
        <f t="shared" si="37"/>
        <v>0</v>
      </c>
    </row>
    <row r="142" spans="1:18" x14ac:dyDescent="0.3">
      <c r="A142" t="s">
        <v>393</v>
      </c>
      <c r="B142">
        <f ca="1">INDEX($D$8:INDEX($D$8:$D$1000,COUNT($A$8:$A$1000)),MATCH(MIN($E$8:INDEX($E$8:$E$1000,COUNT($A$8:$A$1000))),$E$8:INDEX($E$8:$E$1000,COUNT($A$8:$A$1000)),0))</f>
        <v>114.96074955758542</v>
      </c>
      <c r="C142">
        <f ca="1">INDEX($H$8:INDEX($H$8:$H$1000,COUNT($A$8:$A$1000)),MATCH(MIN($I$8:INDEX($I$8:$I$1000,COUNT($A$8:$A$1000))),$I$8:INDEX($I$8:$I$1000,COUNT($A$8:$A$1000)),0))</f>
        <v>105.26900583100581</v>
      </c>
      <c r="E142" t="s">
        <v>394</v>
      </c>
      <c r="L142">
        <f t="shared" si="32"/>
        <v>0</v>
      </c>
      <c r="M142">
        <f t="shared" ca="1" si="33"/>
        <v>105.26900583100581</v>
      </c>
      <c r="N142">
        <f t="shared" si="34"/>
        <v>0</v>
      </c>
      <c r="P142">
        <f t="shared" si="35"/>
        <v>0</v>
      </c>
      <c r="Q142" t="str">
        <f t="shared" si="36"/>
        <v>Running peak of the ₹100 growth index at the point of maximum loss</v>
      </c>
      <c r="R142">
        <f t="shared" si="37"/>
        <v>0</v>
      </c>
    </row>
    <row r="143" spans="1:18" x14ac:dyDescent="0.3">
      <c r="A143" t="s">
        <v>395</v>
      </c>
      <c r="B143">
        <f ca="1">INDEX($C$8:INDEX($C$8:$C$1000,COUNT($A$8:$A$1000)),MATCH(MIN($E$8:INDEX($E$8:$E$1000,COUNT($A$8:$A$1000))),$E$8:INDEX($E$8:$E$1000,COUNT($A$8:$A$1000)),0))</f>
        <v>94.277943541390641</v>
      </c>
      <c r="C143">
        <f ca="1">INDEX($G$8:INDEX($G$8:$G$1000,COUNT($A$8:$A$1000)),MATCH(MIN($I$8:INDEX($I$8:$I$1000,COUNT($A$8:$A$1000))),$I$8:INDEX($I$8:$I$1000,COUNT($A$8:$A$1000)),0))</f>
        <v>89.553424074072169</v>
      </c>
      <c r="E143" t="s">
        <v>396</v>
      </c>
      <c r="L143">
        <f t="shared" si="32"/>
        <v>0</v>
      </c>
      <c r="M143">
        <f t="shared" ca="1" si="33"/>
        <v>89.553424074072169</v>
      </c>
      <c r="N143">
        <f t="shared" si="34"/>
        <v>0</v>
      </c>
      <c r="P143">
        <f t="shared" si="35"/>
        <v>0</v>
      </c>
      <c r="Q143" t="str">
        <f t="shared" si="36"/>
        <v>Value of the ₹100 growth index at the trough</v>
      </c>
      <c r="R143">
        <f t="shared" si="37"/>
        <v>0</v>
      </c>
    </row>
    <row r="144" spans="1:18" x14ac:dyDescent="0.3">
      <c r="A144" t="s">
        <v>397</v>
      </c>
      <c r="B144">
        <f ca="1">INDEX($E$8:$E$1000,COUNT($A$8:$A$1000))</f>
        <v>-0.16025597548522486</v>
      </c>
      <c r="C144">
        <f ca="1">INDEX($I$8:$I$1000,COUNT($A$8:$A$1000))</f>
        <v>-9.4137983835601569E-2</v>
      </c>
      <c r="D144">
        <f ca="1">B144-C144</f>
        <v>-6.6117991649623287E-2</v>
      </c>
      <c r="E144" t="s">
        <v>398</v>
      </c>
      <c r="L144">
        <f t="shared" si="32"/>
        <v>0</v>
      </c>
      <c r="M144">
        <f t="shared" ca="1" si="33"/>
        <v>-9.4137983835601569E-2</v>
      </c>
      <c r="N144">
        <f t="shared" si="34"/>
        <v>0</v>
      </c>
      <c r="P144">
        <f t="shared" si="35"/>
        <v>0</v>
      </c>
      <c r="Q144" t="str">
        <f t="shared" si="36"/>
        <v>Distance below the all-time peak as at the last observation</v>
      </c>
      <c r="R144">
        <f t="shared" si="37"/>
        <v>0</v>
      </c>
    </row>
    <row r="145" spans="1:18" x14ac:dyDescent="0.3">
      <c r="A145" t="s">
        <v>399</v>
      </c>
      <c r="B145">
        <f ca="1">COUNTIF($E$8:INDEX($E$8:$E$1000,COUNT($A$8:$A$1000)),"&lt;-0.01")</f>
        <v>84</v>
      </c>
      <c r="C145">
        <f ca="1">COUNTIF($I$8:INDEX($I$8:$I$1000,COUNT($A$8:$A$1000)),"&lt;-0.01")</f>
        <v>90</v>
      </c>
      <c r="D145">
        <f ca="1">B145-C145</f>
        <v>-6</v>
      </c>
      <c r="E145" t="s">
        <v>400</v>
      </c>
      <c r="L145">
        <f t="shared" si="32"/>
        <v>0</v>
      </c>
      <c r="M145">
        <f t="shared" ca="1" si="33"/>
        <v>90</v>
      </c>
      <c r="N145">
        <f t="shared" si="34"/>
        <v>0</v>
      </c>
      <c r="P145">
        <f t="shared" si="35"/>
        <v>0</v>
      </c>
      <c r="Q145" t="str">
        <f t="shared" si="36"/>
        <v>Count of weekly observations spent more than 1% below the running peak</v>
      </c>
      <c r="R145">
        <f t="shared" si="37"/>
        <v>0</v>
      </c>
    </row>
    <row r="146" spans="1:18" x14ac:dyDescent="0.3">
      <c r="A146" t="s">
        <v>401</v>
      </c>
      <c r="B146">
        <f ca="1">INDEX($C$8:$C$1000,COUNT($A$8:$A$1000))</f>
        <v>96.537602494721938</v>
      </c>
      <c r="C146">
        <f ca="1">INDEX($G$8:$G$1000,COUNT($A$8:$A$1000))</f>
        <v>95.359193861696738</v>
      </c>
      <c r="D146">
        <f ca="1">B146-C146</f>
        <v>1.1784086330251995</v>
      </c>
      <c r="E146" t="s">
        <v>402</v>
      </c>
      <c r="L146">
        <f t="shared" si="32"/>
        <v>0</v>
      </c>
      <c r="M146">
        <f t="shared" ca="1" si="33"/>
        <v>95.359193861696738</v>
      </c>
      <c r="N146">
        <f t="shared" si="34"/>
        <v>0</v>
      </c>
      <c r="P146">
        <f t="shared" si="35"/>
        <v>0</v>
      </c>
      <c r="Q146" t="str">
        <f t="shared" si="36"/>
        <v>Growth of ₹100 invested at the start of the analysis window</v>
      </c>
      <c r="R146">
        <f t="shared" si="37"/>
        <v>0</v>
      </c>
    </row>
    <row r="147" spans="1:18" x14ac:dyDescent="0.3">
      <c r="A147" t="s">
        <v>403</v>
      </c>
      <c r="B147">
        <f ca="1">INDEX($C$8:$C$1000,COUNT($A$8:$A$1000))/IndexBase-1</f>
        <v>-3.4623975052780587E-2</v>
      </c>
      <c r="C147">
        <f ca="1">INDEX($G$8:$G$1000,COUNT($A$8:$A$1000))/IndexBase-1</f>
        <v>-4.6408061383032662E-2</v>
      </c>
      <c r="D147">
        <f ca="1">B147-C147</f>
        <v>1.1784086330252075E-2</v>
      </c>
      <c r="E147" t="s">
        <v>404</v>
      </c>
      <c r="L147">
        <f t="shared" si="32"/>
        <v>0</v>
      </c>
      <c r="M147">
        <f t="shared" ca="1" si="33"/>
        <v>-4.6408061383032662E-2</v>
      </c>
      <c r="N147">
        <f t="shared" si="34"/>
        <v>0</v>
      </c>
      <c r="P147">
        <f t="shared" si="35"/>
        <v>0</v>
      </c>
      <c r="Q147" t="str">
        <f t="shared" si="36"/>
        <v>Total return over the full period (not annualised)</v>
      </c>
      <c r="R147">
        <f t="shared" si="37"/>
        <v>0</v>
      </c>
    </row>
  </sheetData>
  <mergeCells count="5">
    <mergeCell ref="A2:I2"/>
    <mergeCell ref="A138:I138"/>
    <mergeCell ref="A1:I1"/>
    <mergeCell ref="B5:E5"/>
    <mergeCell ref="F5:I5"/>
  </mergeCells>
  <conditionalFormatting sqref="E8:E111">
    <cfRule type="colorScale" priority="2">
      <colorScale>
        <cfvo type="num" val="-0.2"/>
        <cfvo type="num" val="-0.05"/>
        <cfvo type="num" val="0"/>
        <color rgb="FF5C2323"/>
        <color rgb="FF2E1818"/>
        <color rgb="FF111D33"/>
      </colorScale>
    </cfRule>
  </conditionalFormatting>
  <conditionalFormatting sqref="I8:I111">
    <cfRule type="colorScale" priority="3">
      <colorScale>
        <cfvo type="num" val="-0.2"/>
        <cfvo type="num" val="-0.05"/>
        <cfvo type="num" val="0"/>
        <color rgb="FF3A4356"/>
        <color rgb="FF222E47"/>
        <color rgb="FF111D33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45"/>
  <sheetViews>
    <sheetView showGridLines="0" topLeftCell="A40" zoomScale="106" workbookViewId="0">
      <selection sqref="A1:F1"/>
    </sheetView>
  </sheetViews>
  <sheetFormatPr defaultColWidth="8.6640625" defaultRowHeight="14.4" x14ac:dyDescent="0.3"/>
  <cols>
    <col min="1" max="1" width="38" customWidth="1"/>
    <col min="2" max="4" width="16" customWidth="1"/>
    <col min="5" max="5" width="78" customWidth="1"/>
  </cols>
  <sheetData>
    <row r="1" spans="1:7" ht="24" customHeight="1" x14ac:dyDescent="0.3">
      <c r="A1" s="195" t="s">
        <v>405</v>
      </c>
      <c r="B1" s="136"/>
      <c r="C1" s="136"/>
      <c r="D1" s="136"/>
      <c r="E1" s="136"/>
      <c r="F1" s="136"/>
      <c r="G1" s="3"/>
    </row>
    <row r="2" spans="1:7" ht="13.5" customHeight="1" x14ac:dyDescent="0.3">
      <c r="A2" s="193" t="s">
        <v>406</v>
      </c>
      <c r="B2" s="136"/>
      <c r="C2" s="136"/>
      <c r="D2" s="136"/>
      <c r="E2" s="136"/>
      <c r="F2" s="136"/>
      <c r="G2" s="3"/>
    </row>
    <row r="3" spans="1:7" x14ac:dyDescent="0.3">
      <c r="A3" s="3"/>
      <c r="B3" s="3"/>
      <c r="C3" s="3"/>
      <c r="D3" s="3"/>
      <c r="E3" s="3"/>
      <c r="F3" s="3"/>
      <c r="G3" s="3"/>
    </row>
    <row r="4" spans="1:7" ht="16.5" customHeight="1" x14ac:dyDescent="0.3">
      <c r="A4" s="177" t="s">
        <v>407</v>
      </c>
      <c r="B4" s="136"/>
      <c r="C4" s="136"/>
      <c r="D4" s="136"/>
      <c r="E4" s="136"/>
      <c r="F4" s="3"/>
      <c r="G4" s="3"/>
    </row>
    <row r="5" spans="1:7" ht="27.75" customHeight="1" x14ac:dyDescent="0.3">
      <c r="A5" s="1" t="s">
        <v>269</v>
      </c>
      <c r="B5" s="1" t="s">
        <v>255</v>
      </c>
      <c r="C5" s="1" t="s">
        <v>17</v>
      </c>
      <c r="D5" s="1" t="s">
        <v>270</v>
      </c>
      <c r="E5" s="1" t="s">
        <v>408</v>
      </c>
      <c r="F5" s="3"/>
      <c r="G5" s="3"/>
    </row>
    <row r="6" spans="1:7" ht="25.5" customHeight="1" x14ac:dyDescent="0.3">
      <c r="A6" s="22" t="s">
        <v>282</v>
      </c>
      <c r="B6" s="48">
        <f ca="1">Risk_Analysis!$B$9</f>
        <v>-7.6338422883266569E-3</v>
      </c>
      <c r="C6" s="43">
        <f ca="1">Risk_Analysis!$C$9</f>
        <v>-1.459593847186186E-2</v>
      </c>
      <c r="D6" s="43">
        <f ca="1">B6-C6</f>
        <v>6.9620961835352027E-3</v>
      </c>
      <c r="E6" s="12" t="str">
        <f ca="1">IF(Risk_Analysis!$B$9&gt;Risk_Analysis!$C$9,"Portfolio ahead by "&amp;TEXT(Risk_Analysis!$B$9-Risk_Analysis!$C$9,"0.00%")&amp;" p.a. Raw return alone proves nothing until adjusted for risk.","Portfolio behind by "&amp;TEXT(Risk_Analysis!$C$9-Risk_Analysis!$B$9,"0.00%")&amp;" p.a.")</f>
        <v>Portfolio ahead by 0.70% p.a. Raw return alone proves nothing until adjusted for risk.</v>
      </c>
      <c r="F6" s="3"/>
      <c r="G6" s="3"/>
    </row>
    <row r="7" spans="1:7" ht="25.5" customHeight="1" x14ac:dyDescent="0.3">
      <c r="A7" s="22" t="s">
        <v>285</v>
      </c>
      <c r="B7" s="48">
        <f ca="1">Risk_Analysis!$B$10</f>
        <v>0.1418243370012901</v>
      </c>
      <c r="C7" s="43">
        <f ca="1">Risk_Analysis!$C$10</f>
        <v>0.13617138829179659</v>
      </c>
      <c r="D7" s="43">
        <f ca="1">B7-C7</f>
        <v>5.6529487094935105E-3</v>
      </c>
      <c r="E7" s="12" t="str">
        <f ca="1">IF(Risk_Analysis!$B$10&gt;Risk_Analysis!$C$10,"Portfolio was MORE volatile than the index by "&amp;TEXT(Risk_Analysis!$B$10-Risk_Analysis!$C$10,"0.00%")&amp;" — a seven-stock book cannot fully replicate a 50-stock index's diversification.","Portfolio was LESS volatile than the index by "&amp;TEXT(Risk_Analysis!$C$10-Risk_Analysis!$B$10,"0.00%")&amp;".")</f>
        <v>Portfolio was MORE volatile than the index by 0.57% — a seven-stock book cannot fully replicate a 50-stock index's diversification.</v>
      </c>
      <c r="F7" s="3"/>
      <c r="G7" s="3"/>
    </row>
    <row r="8" spans="1:7" ht="25.5" customHeight="1" x14ac:dyDescent="0.3">
      <c r="A8" s="22" t="s">
        <v>308</v>
      </c>
      <c r="B8" s="52">
        <f ca="1">Risk_Analysis!$B$21</f>
        <v>-0.54386887271417328</v>
      </c>
      <c r="C8" s="53">
        <f ca="1">Risk_Analysis!$C$21</f>
        <v>-0.61757421677787272</v>
      </c>
      <c r="D8" s="53">
        <f ca="1">B8-C8</f>
        <v>7.3705344063699441E-2</v>
      </c>
      <c r="E8" s="12" t="str">
        <f ca="1">IF(Risk_Analysis!$B$21&gt;Risk_Analysis!$C$21,"Portfolio delivered BETTER return per unit of total risk than the benchmark.","Portfolio delivered WORSE return per unit of total risk than the benchmark.")&amp;IF(Risk_Analysis!$B$21&lt;0," Both are negative — equity returned less than the risk-free rate over this window; read the comparison as a ranking.","")</f>
        <v>Portfolio delivered BETTER return per unit of total risk than the benchmark. Both are negative — equity returned less than the risk-free rate over this window; read the comparison as a ranking.</v>
      </c>
      <c r="F8" s="3"/>
      <c r="G8" s="3"/>
    </row>
    <row r="9" spans="1:7" ht="25.5" customHeight="1" x14ac:dyDescent="0.3">
      <c r="A9" s="5" t="s">
        <v>314</v>
      </c>
      <c r="B9" s="52">
        <f ca="1">Risk_Analysis!$B$23</f>
        <v>-0.75374734105226271</v>
      </c>
      <c r="C9" s="53">
        <f ca="1">Risk_Analysis!$C$23</f>
        <v>-0.8981050311855282</v>
      </c>
      <c r="D9" s="53">
        <f ca="1">B9-C9</f>
        <v>0.14435769013326549</v>
      </c>
      <c r="E9" s="12" t="s">
        <v>409</v>
      </c>
      <c r="F9" s="3"/>
      <c r="G9" s="3"/>
    </row>
    <row r="10" spans="1:7" ht="25.5" customHeight="1" x14ac:dyDescent="0.3">
      <c r="A10" s="22" t="s">
        <v>410</v>
      </c>
      <c r="B10" s="52">
        <f ca="1">Risk_Analysis!$B$27</f>
        <v>0.28058366022921394</v>
      </c>
      <c r="C10" s="53">
        <v>1</v>
      </c>
      <c r="D10" s="46" t="s">
        <v>274</v>
      </c>
      <c r="E10" s="12" t="str">
        <f ca="1">IF(Risk_Analysis!$B$27&gt;1.05,"Aggressive: the portfolio amplifies index moves.",IF(Risk_Analysis!$B$27&lt;0.95,"Defensive: the portfolio dampens index moves.","Market-like exposure: beta is effectively 1.0, so return differences are NOT explained by taking more or less market risk."))</f>
        <v>Defensive: the portfolio dampens index moves.</v>
      </c>
      <c r="F10" s="3"/>
      <c r="G10" s="3"/>
    </row>
    <row r="11" spans="1:7" ht="25.5" customHeight="1" x14ac:dyDescent="0.3">
      <c r="A11" s="22" t="s">
        <v>341</v>
      </c>
      <c r="B11" s="48">
        <f ca="1">Risk_Analysis!$B$35</f>
        <v>-0.17991189250061801</v>
      </c>
      <c r="C11" s="43">
        <f ca="1">Risk_Analysis!$C$35</f>
        <v>-0.14928973284085856</v>
      </c>
      <c r="D11" s="43">
        <f ca="1">B11-C11</f>
        <v>-3.0622159659759451E-2</v>
      </c>
      <c r="E11" s="12" t="str">
        <f ca="1">IF(Risk_Analysis!$B$35&lt;Risk_Analysis!$C$35,"Portfolio's worst peak-to-trough loss was DEEPER than the index by "&amp;TEXT(Risk_Analysis!$C$35-Risk_Analysis!$B$35,"0.00%")&amp;" — concentration risk showing up exactly where investors feel it.","Portfolio's worst loss was SHALLOWER than the index by "&amp;TEXT(Risk_Analysis!$B$35-Risk_Analysis!$C$35,"0.00%")&amp;".")</f>
        <v>Portfolio's worst peak-to-trough loss was DEEPER than the index by 3.06% — concentration risk showing up exactly where investors feel it.</v>
      </c>
      <c r="F11" s="3"/>
      <c r="G11" s="3"/>
    </row>
    <row r="12" spans="1:7" ht="25.5" customHeight="1" x14ac:dyDescent="0.3">
      <c r="A12" s="5" t="s">
        <v>288</v>
      </c>
      <c r="B12" s="48">
        <f ca="1">Risk_Analysis!$B$11</f>
        <v>-3.4623975052780587E-2</v>
      </c>
      <c r="C12" s="43">
        <f ca="1">Risk_Analysis!$C$11</f>
        <v>-4.6408061383032662E-2</v>
      </c>
      <c r="D12" s="43">
        <f ca="1">B12-C12</f>
        <v>1.1784086330252075E-2</v>
      </c>
      <c r="E12" s="12" t="s">
        <v>411</v>
      </c>
      <c r="F12" s="3"/>
      <c r="G12" s="3"/>
    </row>
    <row r="13" spans="1:7" ht="25.5" customHeight="1" x14ac:dyDescent="0.3">
      <c r="A13" s="22" t="s">
        <v>291</v>
      </c>
      <c r="B13" s="49">
        <f ca="1">Risk_Analysis!$B$12</f>
        <v>96.537602494721938</v>
      </c>
      <c r="C13" s="42">
        <f ca="1">Risk_Analysis!$C$12</f>
        <v>95.359193861696738</v>
      </c>
      <c r="D13" s="42">
        <f ca="1">B13-C13</f>
        <v>1.1784086330251995</v>
      </c>
      <c r="E13" s="12" t="str">
        <f ca="1">"₹100 invested at the start became ₹"&amp;TEXT(Risk_Analysis!$B$12,"0.00")&amp;" in the portfolio and ₹"&amp;TEXT(Risk_Analysis!$C$12,"0.00")&amp;" in the index."</f>
        <v>₹100 invested at the start became ₹96.54 in the portfolio and ₹95.36 in the index.</v>
      </c>
      <c r="F13" s="3"/>
      <c r="G13" s="3"/>
    </row>
    <row r="14" spans="1:7" ht="25.5" customHeight="1" x14ac:dyDescent="0.3">
      <c r="A14" s="5" t="s">
        <v>329</v>
      </c>
      <c r="B14" s="48">
        <f ca="1">Risk_Analysis!$B$31</f>
        <v>6.9620961835352027E-3</v>
      </c>
      <c r="C14" s="43" t="s">
        <v>274</v>
      </c>
      <c r="D14" s="46" t="s">
        <v>274</v>
      </c>
      <c r="E14" s="12" t="s">
        <v>412</v>
      </c>
      <c r="F14" s="3"/>
      <c r="G14" s="3"/>
    </row>
    <row r="15" spans="1:7" ht="25.5" customHeight="1" x14ac:dyDescent="0.3">
      <c r="A15" s="22" t="s">
        <v>335</v>
      </c>
      <c r="B15" s="48">
        <f ca="1">Risk_Analysis!$B$33</f>
        <v>-5.3537896061480891E-2</v>
      </c>
      <c r="C15" s="43" t="s">
        <v>274</v>
      </c>
      <c r="D15" s="46" t="s">
        <v>274</v>
      </c>
      <c r="E15" s="12" t="str">
        <f ca="1">"Rp − [Rf + β(Rb − Rf)] = "&amp;TEXT(Risk_Analysis!$B$9,"0.00%")&amp;" − ["&amp;TEXT(RiskFree,"0.00%")&amp;" + "&amp;TEXT(Risk_Analysis!$B$27,"0.00")&amp;"×("&amp;TEXT(Risk_Analysis!$C$9,"0.00%")&amp;" − "&amp;TEXT(RiskFree,"0.00%")&amp;")] = "&amp;TEXT(Risk_Analysis!$B$33,"0.00%")&amp;". "&amp;IF(Risk_Analysis!$B$33&gt;0,"Positive risk-adjusted alpha.","Negative risk-adjusted alpha.")</f>
        <v>Rp − [Rf + β(Rb − Rf)] = -0.76% − [6.95% + 0.28×(-1.46% − 6.95%)] = -5.35%. Negative risk-adjusted alpha.</v>
      </c>
      <c r="F15" s="3"/>
      <c r="G15" s="3"/>
    </row>
    <row r="16" spans="1:7" ht="25.5" customHeight="1" x14ac:dyDescent="0.3">
      <c r="A16" s="5" t="s">
        <v>338</v>
      </c>
      <c r="B16" s="52">
        <f ca="1">Risk_Analysis!$B$34</f>
        <v>-0.27490496854062924</v>
      </c>
      <c r="C16" s="53">
        <f ca="1">Risk_Analysis!$C$34</f>
        <v>-8.4095938471861864E-2</v>
      </c>
      <c r="D16" s="53">
        <f ca="1">B16-C16</f>
        <v>-0.19080903006876737</v>
      </c>
      <c r="E16" s="12" t="s">
        <v>413</v>
      </c>
      <c r="F16" s="3"/>
      <c r="G16" s="3"/>
    </row>
    <row r="17" spans="1:7" ht="25.5" customHeight="1" x14ac:dyDescent="0.3">
      <c r="A17" s="5" t="s">
        <v>414</v>
      </c>
      <c r="B17" s="52">
        <f ca="1">Risk_Analysis!$B$28</f>
        <v>0.26939993059906386</v>
      </c>
      <c r="C17" s="53">
        <v>1</v>
      </c>
      <c r="D17" s="46" t="s">
        <v>274</v>
      </c>
      <c r="E17" s="12" t="s">
        <v>415</v>
      </c>
      <c r="F17" s="3"/>
      <c r="G17" s="3"/>
    </row>
    <row r="18" spans="1:7" ht="25.5" customHeight="1" x14ac:dyDescent="0.3">
      <c r="A18" s="5" t="s">
        <v>416</v>
      </c>
      <c r="B18" s="50">
        <f ca="1">Risk_Analysis!$B$29</f>
        <v>7.2576322606780458E-2</v>
      </c>
      <c r="C18" s="51">
        <v>1</v>
      </c>
      <c r="D18" s="46" t="s">
        <v>274</v>
      </c>
      <c r="E18" s="12" t="s">
        <v>417</v>
      </c>
      <c r="F18" s="3"/>
      <c r="G18" s="3"/>
    </row>
    <row r="19" spans="1:7" ht="25.5" customHeight="1" x14ac:dyDescent="0.3">
      <c r="A19" s="5" t="s">
        <v>265</v>
      </c>
      <c r="B19" s="50">
        <f ca="1">Risk_Analysis!$B$15</f>
        <v>0.49038461538461536</v>
      </c>
      <c r="C19" s="51">
        <f ca="1">Risk_Analysis!$C$15</f>
        <v>0.5</v>
      </c>
      <c r="D19" s="51">
        <f ca="1">B19-C19</f>
        <v>-9.6153846153846367E-3</v>
      </c>
      <c r="E19" s="12" t="s">
        <v>418</v>
      </c>
      <c r="F19" s="3"/>
      <c r="G19" s="3"/>
    </row>
    <row r="20" spans="1:7" ht="25.5" customHeight="1" x14ac:dyDescent="0.3">
      <c r="A20" s="5" t="s">
        <v>419</v>
      </c>
      <c r="B20" s="50">
        <f ca="1">Risk_Analysis!$B$36</f>
        <v>0.19929122564280932</v>
      </c>
      <c r="C20" s="51">
        <v>1</v>
      </c>
      <c r="D20" s="46" t="s">
        <v>274</v>
      </c>
      <c r="E20" s="12" t="s">
        <v>420</v>
      </c>
      <c r="F20" s="3"/>
      <c r="G20" s="3"/>
    </row>
    <row r="21" spans="1:7" ht="25.5" customHeight="1" x14ac:dyDescent="0.3">
      <c r="A21" s="5" t="s">
        <v>421</v>
      </c>
      <c r="B21" s="50">
        <f ca="1">Risk_Analysis!$B$37</f>
        <v>0.211436395848838</v>
      </c>
      <c r="C21" s="51">
        <v>1</v>
      </c>
      <c r="D21" s="46" t="s">
        <v>274</v>
      </c>
      <c r="E21" s="12" t="s">
        <v>422</v>
      </c>
      <c r="F21" s="3"/>
      <c r="G21" s="3"/>
    </row>
    <row r="22" spans="1:7" x14ac:dyDescent="0.3">
      <c r="A22" s="3"/>
      <c r="B22" s="3"/>
      <c r="C22" s="3"/>
      <c r="D22" s="3"/>
      <c r="E22" s="3"/>
      <c r="F22" s="3"/>
      <c r="G22" s="3"/>
    </row>
    <row r="23" spans="1:7" ht="16.5" customHeight="1" x14ac:dyDescent="0.3">
      <c r="A23" s="177" t="s">
        <v>423</v>
      </c>
      <c r="B23" s="136"/>
      <c r="C23" s="136"/>
      <c r="D23" s="136"/>
      <c r="E23" s="136"/>
      <c r="F23" s="3"/>
      <c r="G23" s="3"/>
    </row>
    <row r="24" spans="1:7" ht="27.75" customHeight="1" x14ac:dyDescent="0.3">
      <c r="A24" s="1" t="s">
        <v>424</v>
      </c>
      <c r="B24" s="1" t="s">
        <v>425</v>
      </c>
      <c r="C24" s="1"/>
      <c r="D24" s="1"/>
      <c r="E24" s="1" t="s">
        <v>426</v>
      </c>
      <c r="F24" s="3"/>
      <c r="G24" s="3"/>
    </row>
    <row r="25" spans="1:7" ht="31.5" customHeight="1" x14ac:dyDescent="0.3">
      <c r="A25" s="62" t="s">
        <v>427</v>
      </c>
      <c r="B25" s="223" t="str">
        <f ca="1">IF(Risk_Analysis!$B$9&gt;Risk_Analysis!$C$9,"YES","NO")</f>
        <v>YES</v>
      </c>
      <c r="C25" s="174"/>
      <c r="D25" s="174"/>
      <c r="E25" s="12" t="str">
        <f ca="1">"Annualised "&amp;TEXT(Risk_Analysis!$B$9,"0.00%")&amp;" vs "&amp;TEXT(Risk_Analysis!$C$9,"0.00%")&amp;"; cumulative "&amp;TEXT(Risk_Analysis!$B$11,"0.00%")&amp;" vs "&amp;TEXT(Risk_Analysis!$C$11,"0.00%")&amp;"."</f>
        <v>Annualised -0.76% vs -1.46%; cumulative -3.46% vs -4.64%.</v>
      </c>
      <c r="F25" s="3"/>
      <c r="G25" s="3"/>
    </row>
    <row r="26" spans="1:7" ht="31.5" customHeight="1" x14ac:dyDescent="0.3">
      <c r="A26" s="62" t="s">
        <v>428</v>
      </c>
      <c r="B26" s="223" t="str">
        <f ca="1">IF(Risk_Analysis!$B$27&gt;1.05,"YES — higher beta",IF(Risk_Analysis!$B$27&lt;0.95,"NO — lower beta","NO — beta ≈ 1.0"))</f>
        <v>NO — lower beta</v>
      </c>
      <c r="C26" s="174"/>
      <c r="D26" s="174"/>
      <c r="E26" s="12" t="str">
        <f ca="1">"Beta of "&amp;TEXT(Risk_Analysis!$B$27,"0.00")&amp;" means market exposure was "&amp;IF(ABS(Risk_Analysis!$B$27-1)&lt;0.05,"essentially identical to the index, so leverage on market direction does not explain the gap.",IF(Risk_Analysis!$B$27&gt;1,"higher than the index — part of the outperformance is compensation for extra market risk.","lower than the index — the result was achieved with less market risk."))</f>
        <v>Beta of 0.28 means market exposure was lower than the index — the result was achieved with less market risk.</v>
      </c>
      <c r="F26" s="3"/>
      <c r="G26" s="3"/>
    </row>
    <row r="27" spans="1:7" ht="31.5" customHeight="1" x14ac:dyDescent="0.3">
      <c r="A27" s="62" t="s">
        <v>429</v>
      </c>
      <c r="B27" s="223" t="str">
        <f ca="1">IF(Risk_Analysis!$B$21&gt;Risk_Analysis!$C$21,"YES","NO")</f>
        <v>YES</v>
      </c>
      <c r="C27" s="174"/>
      <c r="D27" s="174"/>
      <c r="E27" s="12" t="str">
        <f ca="1">"Sharpe "&amp;TEXT(Risk_Analysis!$B$21,"0.00")&amp;" vs "&amp;TEXT(Risk_Analysis!$C$21,"0.00")&amp;"; Sortino "&amp;TEXT(Risk_Analysis!$B$23,"0.00")&amp;" vs "&amp;TEXT(Risk_Analysis!$C$23,"0.00")&amp;"."</f>
        <v>Sharpe -0.54 vs -0.62; Sortino -0.75 vs -0.90.</v>
      </c>
      <c r="F27" s="3"/>
      <c r="G27" s="3"/>
    </row>
    <row r="28" spans="1:7" ht="31.5" customHeight="1" x14ac:dyDescent="0.3">
      <c r="A28" s="62" t="s">
        <v>430</v>
      </c>
      <c r="B28" s="223" t="str">
        <f ca="1">IF(Risk_Analysis!$B$10&gt;Risk_Analysis!$C$10,"MORE volatile","LESS volatile")</f>
        <v>MORE volatile</v>
      </c>
      <c r="C28" s="174"/>
      <c r="D28" s="174"/>
      <c r="E28" s="12" t="str">
        <f ca="1">"Annualised volatility "&amp;TEXT(Risk_Analysis!$B$10,"0.00%")&amp;" vs "&amp;TEXT(Risk_Analysis!$C$10,"0.00%")&amp;" — a gap of "&amp;TEXT(ABS(Risk_Analysis!$B$10-Risk_Analysis!$C$10),"0.00%")&amp;"."</f>
        <v>Annualised volatility 14.18% vs 13.62% — a gap of 0.57%.</v>
      </c>
      <c r="F28" s="3"/>
      <c r="G28" s="3"/>
    </row>
    <row r="29" spans="1:7" ht="31.5" customHeight="1" x14ac:dyDescent="0.3">
      <c r="A29" s="62" t="s">
        <v>431</v>
      </c>
      <c r="B29" s="223" t="str">
        <f ca="1">TEXT(Risk_Analysis!$B$35,"0.0%")&amp;" vs index "&amp;TEXT(Risk_Analysis!$C$35,"0.0%")</f>
        <v>-18.0% vs index -14.9%</v>
      </c>
      <c r="C29" s="174"/>
      <c r="D29" s="174"/>
      <c r="E29" s="12" t="str">
        <f ca="1">"Portfolio trough recorded in the week of "&amp;TEXT(Drawdown!$B$141,"dd-mmm-yyyy")&amp;"; index trough in the week of "&amp;TEXT(Drawdown!$C$141,"dd-mmm-yyyy")&amp;". Current drawdown "&amp;TEXT(Drawdown!$B$144,"0.0%")&amp;"."</f>
        <v>Portfolio trough recorded in the week of 30-Mar-2026; index trough in the week of 30-Mar-2026. Current drawdown -16.0%.</v>
      </c>
      <c r="F29" s="3"/>
      <c r="G29" s="3"/>
    </row>
    <row r="30" spans="1:7" ht="31.5" customHeight="1" x14ac:dyDescent="0.3">
      <c r="A30" s="62" t="s">
        <v>432</v>
      </c>
      <c r="B30" s="223" t="str">
        <f ca="1">IF(Contribution!$B$42&gt;1.15,"YES — materially",IF(Contribution!$B$42&gt;1.02,"YES — modestly","NO"))</f>
        <v>YES — materially</v>
      </c>
      <c r="C30" s="174"/>
      <c r="D30" s="174"/>
      <c r="E30" s="12" t="str">
        <f ca="1">"Weighted-average standalone volatility "&amp;TEXT(Contribution!$B$39,"0.00%")&amp;" vs realised "&amp;TEXT(Contribution!$B$40,"0.00%")&amp;" — a "&amp;TEXT(Contribution!$B$43,"0.0%")&amp;" reduction, diversification ratio "&amp;TEXT(Contribution!$B$42,"0.00")&amp;"x."</f>
        <v>Weighted-average standalone volatility 22.02% vs realised 14.18% — a 35.6% reduction, diversification ratio 1.55x.</v>
      </c>
      <c r="F30" s="3"/>
      <c r="G30" s="3"/>
    </row>
    <row r="31" spans="1:7" ht="31.5" customHeight="1" x14ac:dyDescent="0.3">
      <c r="A31" s="62" t="s">
        <v>433</v>
      </c>
      <c r="B31" s="223" t="str">
        <f ca="1">IF(Risk_Analysis!$B$33&gt;0,"YES","NO")</f>
        <v>NO</v>
      </c>
      <c r="C31" s="174"/>
      <c r="D31" s="174"/>
      <c r="E31" s="12" t="str">
        <f ca="1">"Jensen's alpha "&amp;TEXT(Risk_Analysis!$B$33,"0.00%")&amp;" p.a. against a CAPM-expected "&amp;TEXT(Risk_Analysis!$B$32,"0.00%")&amp;". Raw excess return was "&amp;TEXT(Risk_Analysis!$B$31,"0.00%")&amp;"."</f>
        <v>Jensen's alpha -5.35% p.a. against a CAPM-expected 4.59%. Raw excess return was 0.70%.</v>
      </c>
      <c r="F31" s="3"/>
      <c r="G31" s="3"/>
    </row>
    <row r="32" spans="1:7" x14ac:dyDescent="0.3">
      <c r="A32" s="3"/>
      <c r="B32" s="3"/>
      <c r="C32" s="3"/>
      <c r="D32" s="3"/>
      <c r="E32" s="3"/>
      <c r="F32" s="3"/>
      <c r="G32" s="3"/>
    </row>
    <row r="33" spans="1:7" ht="16.5" customHeight="1" x14ac:dyDescent="0.3">
      <c r="A33" s="177" t="s">
        <v>434</v>
      </c>
      <c r="B33" s="136"/>
      <c r="C33" s="136"/>
      <c r="D33" s="136"/>
      <c r="E33" s="136"/>
      <c r="F33" s="3"/>
      <c r="G33" s="3"/>
    </row>
    <row r="34" spans="1:7" ht="45.75" customHeight="1" x14ac:dyDescent="0.3">
      <c r="A34" s="9" t="s">
        <v>435</v>
      </c>
      <c r="B34" s="175" t="str">
        <f ca="1">"Over "&amp;TEXT(Risk_Analysis!$B$6,"0")&amp;" weekly observations from "&amp;TEXT(Inputs!$B$6,"dd-mmm-yyyy")&amp;" to "&amp;TEXT(Inputs!$B$7,"dd-mmm-yyyy")&amp;", the portfolio returned "&amp;TEXT(Risk_Analysis!$B$9,"0.00%")&amp;" annualised ("&amp;TEXT(Risk_Analysis!$B$11,"0.00%")&amp;" cumulative) against "&amp;TEXT(Risk_Analysis!$C$9,"0.00%")&amp;" ("&amp;TEXT(Risk_Analysis!$C$11,"0.00%")&amp;") for the NIFTY 50. ₹100 invested at inception became ₹"&amp;TEXT(Risk_Analysis!$B$12,"0.00")&amp;" versus ₹"&amp;TEXT(Risk_Analysis!$C$12,"0.00")&amp;" in the index. This was a flat-to-negative window for Indian large-cap equity, which is the more instructive test: the portfolio's job here was to lose less, not to compound."</f>
        <v>Over 104 weekly observations from 09-Sep-2024 to 07-Sep-2026, the portfolio returned -0.76% annualised (-3.46% cumulative) against -1.46% (-4.64%) for the NIFTY 50. ₹100 invested at inception became ₹96.54 versus ₹95.36 in the index. This was a flat-to-negative window for Indian large-cap equity, which is the more instructive test: the portfolio's job here was to lose less, not to compound.</v>
      </c>
      <c r="C34" s="174"/>
      <c r="D34" s="174"/>
      <c r="E34" s="174"/>
      <c r="F34" s="3"/>
      <c r="G34" s="3"/>
    </row>
    <row r="35" spans="1:7" ht="45.75" customHeight="1" x14ac:dyDescent="0.3">
      <c r="A35" s="9" t="s">
        <v>49</v>
      </c>
      <c r="B35" s="175" t="str">
        <f ca="1">"Sharpe of "&amp;TEXT(Risk_Analysis!$B$21,"0.00")&amp;" against the benchmark's "&amp;TEXT(Risk_Analysis!$C$21,"0.00")&amp;", on a documented risk-free rate of "&amp;TEXT(RiskFree,"0.00%")&amp;". "&amp;IF(Risk_Analysis!$B$21&lt;0,"Both Sharpe ratios are negative because equity returned less than the 10-year government bond over this window; the metric should be read as an ordinal ranking, where the less negative figure is the better outcome. ","")&amp;"Sortino of "&amp;TEXT(Risk_Analysis!$B$23,"0.00")&amp;" vs "&amp;TEXT(Risk_Analysis!$C$23,"0.00")&amp;" tells the same story once upside volatility is excluded from the penalty."</f>
        <v>Sharpe of -0.54 against the benchmark's -0.62, on a documented risk-free rate of 6.95%. Both Sharpe ratios are negative because equity returned less than the 10-year government bond over this window; the metric should be read as an ordinal ranking, where the less negative figure is the better outcome. Sortino of -0.75 vs -0.90 tells the same story once upside volatility is excluded from the penalty.</v>
      </c>
      <c r="C35" s="174"/>
      <c r="D35" s="174"/>
      <c r="E35" s="174"/>
      <c r="F35" s="3"/>
      <c r="G35" s="3"/>
    </row>
    <row r="36" spans="1:7" ht="45.75" customHeight="1" x14ac:dyDescent="0.3">
      <c r="A36" s="9" t="s">
        <v>24</v>
      </c>
      <c r="B36" s="175" t="str">
        <f ca="1">"Beta of "&amp;TEXT(Risk_Analysis!$B$27,"0.00")&amp;" with an R² of "&amp;TEXT(Risk_Analysis!$B$29,"0.0%")&amp;" means the portfolio carried "&amp;IF(ABS(Risk_Analysis!$B$27-1)&lt;0.05,"essentially index-equivalent","materially different")&amp;" systematic risk. Jensen's alpha of "&amp;TEXT(Risk_Analysis!$B$33,"0.00%")&amp;" p.a. is therefore close to the raw excess return of "&amp;TEXT(Risk_Analysis!$B$31,"0.00%")&amp;" — the outperformance is not a beta artefact. Upside capture "&amp;TEXT(Risk_Analysis!$B$36,"0.0%")&amp;" against downside capture "&amp;TEXT(Risk_Analysis!$B$37,"0.0%")&amp;" shows where that alpha was earned."</f>
        <v>Beta of 0.28 with an R² of 7.3% means the portfolio carried materially different systematic risk. Jensen's alpha of -5.35% p.a. is therefore close to the raw excess return of 0.70% — the outperformance is not a beta artefact. Upside capture 19.9% against downside capture 21.1% shows where that alpha was earned.</v>
      </c>
      <c r="C36" s="174"/>
      <c r="D36" s="174"/>
      <c r="E36" s="174"/>
      <c r="F36" s="3"/>
      <c r="G36" s="3"/>
    </row>
    <row r="37" spans="1:7" ht="45.75" customHeight="1" x14ac:dyDescent="0.3">
      <c r="A37" s="9" t="s">
        <v>436</v>
      </c>
      <c r="B37" s="175" t="str">
        <f ca="1">"Average pairwise correlation across the seven holdings is "&amp;TEXT(Correlation!$B$43,"0.00")&amp;", with the tightest pair at "&amp;TEXT(Correlation!$B$41,"0.00")&amp;" and the loosest at "&amp;TEXT(Correlation!$B$42,"0.00")&amp;". No pair breaches the 0.80 redundancy threshold. The measurable payoff: weighted-average standalone volatility of "&amp;TEXT(Contribution!$B$39,"0.00%")&amp;" compresses to a realised "&amp;TEXT(Contribution!$B$40,"0.00%")&amp;", a diversification ratio of "&amp;TEXT(Contribution!$B$42,"0.00")&amp;"x."</f>
        <v>Average pairwise correlation across the seven holdings is 0.29, with the tightest pair at 0.43 and the loosest at -0.04. No pair breaches the 0.80 redundancy threshold. The measurable payoff: weighted-average standalone volatility of 22.02% compresses to a realised 14.18%, a diversification ratio of 1.55x.</v>
      </c>
      <c r="C37" s="174"/>
      <c r="D37" s="174"/>
      <c r="E37" s="174"/>
      <c r="F37" s="3"/>
      <c r="G37" s="3"/>
    </row>
    <row r="38" spans="1:7" ht="45.75" customHeight="1" x14ac:dyDescent="0.3">
      <c r="A38" s="9" t="s">
        <v>437</v>
      </c>
      <c r="B38" s="175" t="str">
        <f ca="1">"Performance was led by "&amp;INDEX(Contribution!$A$6:$A$12,MATCH(MAX(Contribution!$D$6:$D$12),Contribution!$D$6:$D$12,0))&amp;" (+"&amp;TEXT(MAX(Contribution!$D$6:$D$12),"0.00%")&amp;" weighted contribution) and held back by "&amp;INDEX(Contribution!$A$6:$A$12,MATCH(MIN(Contribution!$D$6:$D$12),Contribution!$D$6:$D$12,0))&amp;" ("&amp;TEXT(MIN(Contribution!$D$6:$D$12),"0.00%")&amp;"). Weighted contributions sum exactly to the portfolio's annualised return, which is the arithmetic check that the attribution is complete."</f>
        <v>Performance was led by Bharti Airtel (+1.22% weighted contribution) and held back by HCL Technologies (-1.17%). Weighted contributions sum exactly to the portfolio's annualised return, which is the arithmetic check that the attribution is complete.</v>
      </c>
      <c r="C38" s="174"/>
      <c r="D38" s="174"/>
      <c r="E38" s="174"/>
      <c r="F38" s="3"/>
      <c r="G38" s="3"/>
    </row>
    <row r="39" spans="1:7" ht="45.75" customHeight="1" x14ac:dyDescent="0.3">
      <c r="A39" s="9" t="s">
        <v>438</v>
      </c>
      <c r="B39" s="175" t="str">
        <f ca="1">"The largest consumer of the risk budget is "&amp;INDEX(Contribution!$A$28:$A$34,MATCH(MAX(Contribution!$F$28:$F$34),Contribution!$F$28:$F$34,0))&amp;" at "&amp;TEXT(MAX(Contribution!$F$28:$F$34),"0.0%")&amp;" of portfolio variance on a "&amp;TEXT(INDEX(Contribution!$B$28:$B$34,MATCH(MAX(Contribution!$F$28:$F$34),Contribution!$F$28:$F$34,0)),"0.0%")&amp;" capital weight. Risk share and capital weight are not the same thing, and the gap is where position sizing decisions actually get made."</f>
        <v>The largest consumer of the risk budget is Reliance Industries at 26.9% of portfolio variance on a 23.0% capital weight. Risk share and capital weight are not the same thing, and the gap is where position sizing decisions actually get made.</v>
      </c>
      <c r="C39" s="174"/>
      <c r="D39" s="174"/>
      <c r="E39" s="174"/>
      <c r="F39" s="3"/>
      <c r="G39" s="3"/>
    </row>
    <row r="40" spans="1:7" ht="45.75" customHeight="1" x14ac:dyDescent="0.3">
      <c r="A40" s="9" t="s">
        <v>68</v>
      </c>
      <c r="B40" s="175" t="str">
        <f ca="1">"Maximum drawdown of "&amp;TEXT(Risk_Analysis!$B$35,"0.00%")&amp;" (trough week of "&amp;TEXT(Drawdown!$B$141,"dd-mmm-yyyy")&amp;") against the index's "&amp;TEXT(Risk_Analysis!$C$35,"0.00%")&amp;" (trough "&amp;TEXT(Drawdown!$C$141,"dd-mmm-yyyy")&amp;"). The portfolio spent "&amp;TEXT(Drawdown!$B$145,"0")&amp;" of "&amp;TEXT(Risk_Analysis!$B$6,"0")&amp;" weeks more than 1% below its running peak. Drawdown, not volatility, is the risk number clients actually experience."</f>
        <v>Maximum drawdown of -17.99% (trough week of 30-Mar-2026) against the index's -14.93% (trough 30-Mar-2026). The portfolio spent 84 of 104 weeks more than 1% below its running peak. Drawdown, not volatility, is the risk number clients actually experience.</v>
      </c>
      <c r="C40" s="174"/>
      <c r="D40" s="174"/>
      <c r="E40" s="174"/>
      <c r="F40" s="3"/>
      <c r="G40" s="3"/>
    </row>
    <row r="41" spans="1:7" ht="45.75" customHeight="1" x14ac:dyDescent="0.3">
      <c r="A41" s="9" t="s">
        <v>439</v>
      </c>
      <c r="B41" s="175" t="s">
        <v>440</v>
      </c>
      <c r="C41" s="174"/>
      <c r="D41" s="174"/>
      <c r="E41" s="174"/>
      <c r="F41" s="3"/>
      <c r="G41" s="3"/>
    </row>
    <row r="42" spans="1:7" x14ac:dyDescent="0.3">
      <c r="A42" s="3"/>
      <c r="B42" s="3"/>
      <c r="C42" s="3"/>
      <c r="D42" s="3"/>
      <c r="E42" s="3"/>
      <c r="F42" s="3"/>
      <c r="G42" s="3"/>
    </row>
    <row r="43" spans="1:7" x14ac:dyDescent="0.3">
      <c r="A43" s="3"/>
      <c r="B43" s="3"/>
      <c r="C43" s="3"/>
      <c r="D43" s="3"/>
      <c r="E43" s="3"/>
      <c r="F43" s="3"/>
      <c r="G43" s="3"/>
    </row>
    <row r="44" spans="1:7" x14ac:dyDescent="0.3">
      <c r="A44" s="3"/>
      <c r="B44" s="3"/>
      <c r="C44" s="3"/>
      <c r="D44" s="3"/>
      <c r="E44" s="3"/>
      <c r="F44" s="3"/>
      <c r="G44" s="3"/>
    </row>
    <row r="45" spans="1:7" x14ac:dyDescent="0.3">
      <c r="A45" s="3"/>
      <c r="B45" s="3"/>
      <c r="C45" s="3"/>
      <c r="D45" s="3"/>
      <c r="E45" s="3"/>
      <c r="F45" s="3"/>
      <c r="G45" s="3"/>
    </row>
  </sheetData>
  <mergeCells count="20">
    <mergeCell ref="A1:F1"/>
    <mergeCell ref="B38:E38"/>
    <mergeCell ref="B27:D27"/>
    <mergeCell ref="B37:E37"/>
    <mergeCell ref="B34:E34"/>
    <mergeCell ref="A2:F2"/>
    <mergeCell ref="A23:E23"/>
    <mergeCell ref="B25:D25"/>
    <mergeCell ref="A4:E4"/>
    <mergeCell ref="B41:E41"/>
    <mergeCell ref="B35:E35"/>
    <mergeCell ref="B30:D30"/>
    <mergeCell ref="A33:E33"/>
    <mergeCell ref="B26:D26"/>
    <mergeCell ref="B39:E39"/>
    <mergeCell ref="B31:D31"/>
    <mergeCell ref="B40:E40"/>
    <mergeCell ref="B29:D29"/>
    <mergeCell ref="B36:E36"/>
    <mergeCell ref="B28:D2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O55"/>
  <sheetViews>
    <sheetView showGridLines="0" topLeftCell="A45" workbookViewId="0">
      <selection activeCell="M33" sqref="M33"/>
    </sheetView>
  </sheetViews>
  <sheetFormatPr defaultColWidth="8.6640625" defaultRowHeight="14.4" x14ac:dyDescent="0.3"/>
  <cols>
    <col min="1" max="1" width="24" customWidth="1"/>
    <col min="2" max="2" width="10" customWidth="1"/>
    <col min="3" max="4" width="13" customWidth="1"/>
    <col min="5" max="5" width="14" customWidth="1"/>
    <col min="6" max="6" width="12" customWidth="1"/>
    <col min="7" max="10" width="13" customWidth="1"/>
    <col min="12" max="12" width="8" customWidth="1"/>
    <col min="13" max="13" width="20" customWidth="1"/>
    <col min="14" max="14" width="16" customWidth="1"/>
  </cols>
  <sheetData>
    <row r="1" spans="1:15" ht="24" customHeight="1" x14ac:dyDescent="0.3">
      <c r="A1" s="195" t="s">
        <v>441</v>
      </c>
      <c r="B1" s="136"/>
      <c r="C1" s="136"/>
      <c r="D1" s="136"/>
      <c r="E1" s="136"/>
      <c r="F1" s="136"/>
      <c r="G1" s="136"/>
      <c r="H1" s="136"/>
      <c r="I1" s="136"/>
      <c r="J1" s="136"/>
      <c r="K1" s="3"/>
      <c r="L1" s="3"/>
      <c r="M1" s="3"/>
      <c r="N1" s="3"/>
      <c r="O1" s="3"/>
    </row>
    <row r="2" spans="1:15" ht="13.5" customHeight="1" x14ac:dyDescent="0.3">
      <c r="A2" s="193" t="s">
        <v>442</v>
      </c>
      <c r="B2" s="136"/>
      <c r="C2" s="136"/>
      <c r="D2" s="136"/>
      <c r="E2" s="136"/>
      <c r="F2" s="136"/>
      <c r="G2" s="136"/>
      <c r="H2" s="136"/>
      <c r="I2" s="136"/>
      <c r="J2" s="136"/>
      <c r="K2" s="3"/>
      <c r="L2" s="3"/>
      <c r="M2" s="3"/>
      <c r="N2" s="3"/>
      <c r="O2" s="3"/>
    </row>
    <row r="3" spans="1:15" x14ac:dyDescent="0.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ht="16.5" customHeight="1" x14ac:dyDescent="0.3">
      <c r="A4" s="191" t="s">
        <v>443</v>
      </c>
      <c r="B4" s="191"/>
      <c r="C4" s="191"/>
      <c r="D4" s="191"/>
      <c r="E4" s="191"/>
      <c r="F4" s="191"/>
      <c r="G4" s="191"/>
      <c r="H4" s="3"/>
      <c r="I4" s="3"/>
      <c r="J4" s="3"/>
      <c r="K4" s="3"/>
      <c r="L4" s="3"/>
      <c r="M4" s="3"/>
      <c r="N4" s="3"/>
      <c r="O4" s="3"/>
    </row>
    <row r="5" spans="1:15" ht="40.200000000000003" customHeight="1" x14ac:dyDescent="0.3">
      <c r="A5" s="1" t="s">
        <v>351</v>
      </c>
      <c r="B5" s="1" t="s">
        <v>37</v>
      </c>
      <c r="C5" s="1" t="s">
        <v>193</v>
      </c>
      <c r="D5" s="1" t="s">
        <v>444</v>
      </c>
      <c r="E5" s="1" t="s">
        <v>445</v>
      </c>
      <c r="F5" s="1" t="s">
        <v>356</v>
      </c>
      <c r="G5" s="1" t="s">
        <v>446</v>
      </c>
      <c r="H5" s="3"/>
      <c r="I5" s="3"/>
      <c r="J5" s="3"/>
      <c r="K5" s="3"/>
      <c r="L5" s="63" t="s">
        <v>365</v>
      </c>
      <c r="M5" s="63" t="s">
        <v>447</v>
      </c>
      <c r="N5" s="63" t="s">
        <v>448</v>
      </c>
      <c r="O5" s="3"/>
    </row>
    <row r="6" spans="1:15" x14ac:dyDescent="0.3">
      <c r="A6" s="24" t="s">
        <v>10</v>
      </c>
      <c r="B6" s="54">
        <f>Holdings!$E$7</f>
        <v>0.23</v>
      </c>
      <c r="C6" s="55">
        <f ca="1">Returns!B$138</f>
        <v>-3.5825571718703764E-2</v>
      </c>
      <c r="D6" s="48">
        <f t="shared" ref="D6:D12" ca="1" si="0">$B6*$C6</f>
        <v>-8.2398814953018665E-3</v>
      </c>
      <c r="E6" s="51">
        <f t="shared" ref="E6:E12" ca="1" si="1">IFERROR($D6/SUM($D$6:$D$12),"n.m.")</f>
        <v>1.079388489319715</v>
      </c>
      <c r="F6" s="55">
        <f ca="1">Holdings!$G$7</f>
        <v>-0.11077158135981668</v>
      </c>
      <c r="G6" s="43">
        <f t="shared" ref="G6:G12" ca="1" si="2">$B6*$F6</f>
        <v>-2.5477463712757838E-2</v>
      </c>
      <c r="H6" s="3"/>
      <c r="I6" s="3"/>
      <c r="J6" s="3"/>
      <c r="K6" s="3"/>
      <c r="L6" s="6">
        <v>1</v>
      </c>
      <c r="M6" s="64" t="str">
        <f t="shared" ref="M6:M12" ca="1" si="3">INDEX($A$6:$A$12,MATCH($N6,$D$6:$D$12,0))</f>
        <v>Bharti Airtel</v>
      </c>
      <c r="N6" s="43">
        <f ca="1">LARGE($D$6:$D$12,1)</f>
        <v>1.2216741704698952E-2</v>
      </c>
      <c r="O6" s="3"/>
    </row>
    <row r="7" spans="1:15" x14ac:dyDescent="0.3">
      <c r="A7" s="24" t="s">
        <v>11</v>
      </c>
      <c r="B7" s="54">
        <f>Holdings!$E$8</f>
        <v>0.15</v>
      </c>
      <c r="C7" s="55">
        <f ca="1">Returns!C$138</f>
        <v>8.1444944697993016E-2</v>
      </c>
      <c r="D7" s="48">
        <f t="shared" ca="1" si="0"/>
        <v>1.2216741704698952E-2</v>
      </c>
      <c r="E7" s="51">
        <f t="shared" ca="1" si="1"/>
        <v>-1.6003398083531628</v>
      </c>
      <c r="F7" s="55">
        <f ca="1">Holdings!$G$8</f>
        <v>0.13432653186087062</v>
      </c>
      <c r="G7" s="43">
        <f t="shared" ca="1" si="2"/>
        <v>2.0148979779130594E-2</v>
      </c>
      <c r="H7" s="3"/>
      <c r="I7" s="3"/>
      <c r="J7" s="3"/>
      <c r="K7" s="3"/>
      <c r="L7" s="6">
        <v>2</v>
      </c>
      <c r="M7" s="64" t="str">
        <f t="shared" ca="1" si="3"/>
        <v>Larsen &amp; Toubro</v>
      </c>
      <c r="N7" s="43">
        <f ca="1">LARGE($D$6:$D$12,2)</f>
        <v>1.1833479596844814E-2</v>
      </c>
      <c r="O7" s="3"/>
    </row>
    <row r="8" spans="1:15" x14ac:dyDescent="0.3">
      <c r="A8" s="24" t="s">
        <v>12</v>
      </c>
      <c r="B8" s="54">
        <f>Holdings!$E$9</f>
        <v>0.15</v>
      </c>
      <c r="C8" s="55">
        <f ca="1">Returns!D$138</f>
        <v>-6.0606364000103885E-2</v>
      </c>
      <c r="D8" s="48">
        <f t="shared" ca="1" si="0"/>
        <v>-9.0909546000155824E-3</v>
      </c>
      <c r="E8" s="51">
        <f t="shared" ca="1" si="1"/>
        <v>1.1908753490908608</v>
      </c>
      <c r="F8" s="55">
        <f ca="1">Holdings!$G$9</f>
        <v>-0.14491258491300862</v>
      </c>
      <c r="G8" s="43">
        <f t="shared" ca="1" si="2"/>
        <v>-2.1736887736951292E-2</v>
      </c>
      <c r="H8" s="3"/>
      <c r="I8" s="3"/>
      <c r="J8" s="3"/>
      <c r="K8" s="3"/>
      <c r="L8" s="6">
        <v>3</v>
      </c>
      <c r="M8" s="64" t="str">
        <f t="shared" ca="1" si="3"/>
        <v>Maruti Suzuki</v>
      </c>
      <c r="N8" s="43">
        <f ca="1">LARGE($D$6:$D$12,3)</f>
        <v>5.6272716270180509E-3</v>
      </c>
      <c r="O8" s="3"/>
    </row>
    <row r="9" spans="1:15" x14ac:dyDescent="0.3">
      <c r="A9" s="24" t="s">
        <v>13</v>
      </c>
      <c r="B9" s="54">
        <f>Holdings!$E$10</f>
        <v>0.14000000000000001</v>
      </c>
      <c r="C9" s="55">
        <f ca="1">Returns!E$138</f>
        <v>8.452485426317724E-2</v>
      </c>
      <c r="D9" s="48">
        <f t="shared" ca="1" si="0"/>
        <v>1.1833479596844814E-2</v>
      </c>
      <c r="E9" s="51">
        <f t="shared" ca="1" si="1"/>
        <v>-1.5501341460695437</v>
      </c>
      <c r="F9" s="55">
        <f ca="1">Holdings!$G$10</f>
        <v>0.10683642402435645</v>
      </c>
      <c r="G9" s="43">
        <f t="shared" ca="1" si="2"/>
        <v>1.4957099363409904E-2</v>
      </c>
      <c r="H9" s="3"/>
      <c r="I9" s="3"/>
      <c r="J9" s="3"/>
      <c r="K9" s="3"/>
      <c r="L9" s="6">
        <v>4</v>
      </c>
      <c r="M9" s="64" t="str">
        <f t="shared" ca="1" si="3"/>
        <v>Reliance Industries</v>
      </c>
      <c r="N9" s="43">
        <f ca="1">LARGE($D$6:$D$12,4)</f>
        <v>-8.2398814953018665E-3</v>
      </c>
      <c r="O9" s="3"/>
    </row>
    <row r="10" spans="1:15" x14ac:dyDescent="0.3">
      <c r="A10" s="24" t="s">
        <v>14</v>
      </c>
      <c r="B10" s="54">
        <f>Holdings!$E$11</f>
        <v>0.12</v>
      </c>
      <c r="C10" s="55">
        <f ca="1">Returns!F$138</f>
        <v>-6.9387742558067844E-2</v>
      </c>
      <c r="D10" s="48">
        <f t="shared" ca="1" si="0"/>
        <v>-8.3265291069681419E-3</v>
      </c>
      <c r="E10" s="51">
        <f t="shared" ca="1" si="1"/>
        <v>1.0907389480263054</v>
      </c>
      <c r="F10" s="55">
        <f ca="1">Holdings!$G$11</f>
        <v>-0.15948665421461716</v>
      </c>
      <c r="G10" s="43">
        <f t="shared" ca="1" si="2"/>
        <v>-1.9138398505754058E-2</v>
      </c>
      <c r="H10" s="3"/>
      <c r="I10" s="3"/>
      <c r="J10" s="3"/>
      <c r="K10" s="3"/>
      <c r="L10" s="6">
        <v>5</v>
      </c>
      <c r="M10" s="64" t="str">
        <f t="shared" ca="1" si="3"/>
        <v>Cipla</v>
      </c>
      <c r="N10" s="43">
        <f ca="1">LARGE($D$6:$D$12,5)</f>
        <v>-8.3265291069681419E-3</v>
      </c>
      <c r="O10" s="3"/>
    </row>
    <row r="11" spans="1:15" x14ac:dyDescent="0.3">
      <c r="A11" s="24" t="s">
        <v>15</v>
      </c>
      <c r="B11" s="54">
        <f>Holdings!$E$12</f>
        <v>0.12</v>
      </c>
      <c r="C11" s="55">
        <f ca="1">Returns!G$138</f>
        <v>4.6893930225150426E-2</v>
      </c>
      <c r="D11" s="48">
        <f t="shared" ca="1" si="0"/>
        <v>5.6272716270180509E-3</v>
      </c>
      <c r="E11" s="51">
        <f t="shared" ca="1" si="1"/>
        <v>-0.73714800679377834</v>
      </c>
      <c r="F11" s="55">
        <f ca="1">Holdings!$G$12</f>
        <v>3.6046459700959321E-2</v>
      </c>
      <c r="G11" s="43">
        <f t="shared" ca="1" si="2"/>
        <v>4.3255751641151181E-3</v>
      </c>
      <c r="H11" s="3"/>
      <c r="I11" s="3"/>
      <c r="J11" s="3"/>
      <c r="K11" s="3"/>
      <c r="L11" s="6">
        <v>6</v>
      </c>
      <c r="M11" s="64" t="str">
        <f t="shared" ca="1" si="3"/>
        <v>HDFC Bank</v>
      </c>
      <c r="N11" s="43">
        <f ca="1">LARGE($D$6:$D$12,6)</f>
        <v>-9.0909546000155824E-3</v>
      </c>
      <c r="O11" s="3"/>
    </row>
    <row r="12" spans="1:15" x14ac:dyDescent="0.3">
      <c r="A12" s="24" t="s">
        <v>16</v>
      </c>
      <c r="B12" s="54">
        <f>Holdings!$E$13</f>
        <v>0.09</v>
      </c>
      <c r="C12" s="55">
        <f ca="1">Returns!H$138</f>
        <v>-0.12948855571780982</v>
      </c>
      <c r="D12" s="48">
        <f t="shared" ca="1" si="0"/>
        <v>-1.1653970014602883E-2</v>
      </c>
      <c r="E12" s="51">
        <f t="shared" ca="1" si="1"/>
        <v>1.5266191747796036</v>
      </c>
      <c r="F12" s="55">
        <f ca="1">Holdings!$G$13</f>
        <v>-0.28998684970187261</v>
      </c>
      <c r="G12" s="43">
        <f t="shared" ca="1" si="2"/>
        <v>-2.6098816473168533E-2</v>
      </c>
      <c r="H12" s="3"/>
      <c r="I12" s="3"/>
      <c r="J12" s="3"/>
      <c r="K12" s="3"/>
      <c r="L12" s="6">
        <v>7</v>
      </c>
      <c r="M12" s="64" t="str">
        <f t="shared" ca="1" si="3"/>
        <v>HCL Technologies</v>
      </c>
      <c r="N12" s="43">
        <f ca="1">LARGE($D$6:$D$12,7)</f>
        <v>-1.1653970014602883E-2</v>
      </c>
      <c r="O12" s="3"/>
    </row>
    <row r="13" spans="1:15" x14ac:dyDescent="0.3">
      <c r="A13" s="38" t="s">
        <v>201</v>
      </c>
      <c r="B13" s="30">
        <f>SUM(B6:B12)</f>
        <v>1</v>
      </c>
      <c r="C13" s="7"/>
      <c r="D13" s="33">
        <f ca="1">SUM(D6:D12)</f>
        <v>-7.6338422883266569E-3</v>
      </c>
      <c r="E13" s="65">
        <f ca="1">SUM(E6:E12)</f>
        <v>1</v>
      </c>
      <c r="F13" s="7"/>
      <c r="G13" s="33">
        <f ca="1">SUM(G6:G12)</f>
        <v>-5.3019912121976098E-2</v>
      </c>
      <c r="H13" s="3"/>
      <c r="I13" s="3"/>
      <c r="J13" s="3"/>
      <c r="K13" s="3"/>
      <c r="L13" s="3"/>
      <c r="M13" s="3"/>
      <c r="N13" s="3"/>
      <c r="O13" s="3"/>
    </row>
    <row r="14" spans="1:15" x14ac:dyDescent="0.3">
      <c r="A14" s="57" t="s">
        <v>449</v>
      </c>
      <c r="B14" s="3"/>
      <c r="C14" s="3"/>
      <c r="D14" s="66">
        <f ca="1">D13-Risk_Analysis!$B$9</f>
        <v>0</v>
      </c>
      <c r="E14" s="36" t="str">
        <f ca="1">IF(ABS(D14)&lt;0.000001,"✓ PASS — reconciles exactly","✗ FAIL")</f>
        <v>✓ PASS — reconciles exactly</v>
      </c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5" x14ac:dyDescent="0.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5" ht="16.5" customHeight="1" x14ac:dyDescent="0.3">
      <c r="A16" s="191" t="s">
        <v>450</v>
      </c>
      <c r="B16" s="191"/>
      <c r="C16" s="191"/>
      <c r="D16" s="191"/>
      <c r="E16" s="191"/>
      <c r="F16" s="191"/>
      <c r="G16" s="191"/>
      <c r="H16" s="191"/>
      <c r="I16" s="3"/>
      <c r="J16" s="3"/>
      <c r="K16" s="3"/>
      <c r="L16" s="3"/>
      <c r="M16" s="3"/>
      <c r="N16" s="3"/>
      <c r="O16" s="3"/>
    </row>
    <row r="17" spans="1:15" ht="30" customHeight="1" x14ac:dyDescent="0.3">
      <c r="A17" s="7"/>
      <c r="B17" s="67" t="s">
        <v>10</v>
      </c>
      <c r="C17" s="67" t="s">
        <v>11</v>
      </c>
      <c r="D17" s="67" t="s">
        <v>12</v>
      </c>
      <c r="E17" s="67" t="s">
        <v>13</v>
      </c>
      <c r="F17" s="67" t="s">
        <v>14</v>
      </c>
      <c r="G17" s="67" t="s">
        <v>15</v>
      </c>
      <c r="H17" s="67" t="s">
        <v>16</v>
      </c>
      <c r="I17" s="3"/>
      <c r="J17" s="3"/>
      <c r="K17" s="3"/>
      <c r="L17" s="3"/>
      <c r="M17" s="3"/>
      <c r="N17" s="3"/>
      <c r="O17" s="3"/>
    </row>
    <row r="18" spans="1:15" x14ac:dyDescent="0.3">
      <c r="A18" s="68" t="s">
        <v>10</v>
      </c>
      <c r="B18" s="114">
        <f ca="1">Correlation!B$7*_xlfn.STDEV.S(RelRet)*_xlfn.STDEV.S(RelRet)*WeeksPerYear</f>
        <v>4.5987660890022097E-2</v>
      </c>
      <c r="C18" s="114">
        <f ca="1">Correlation!C$7*_xlfn.STDEV.S(RelRet)*_xlfn.STDEV.S(AirRet)*WeeksPerYear</f>
        <v>1.6465997161838674E-2</v>
      </c>
      <c r="D18" s="114">
        <f ca="1">Correlation!D$7*_xlfn.STDEV.S(RelRet)*_xlfn.STDEV.S(HdfRet)*WeeksPerYear</f>
        <v>1.5839718565185849E-2</v>
      </c>
      <c r="E18" s="114">
        <f ca="1">Correlation!E$7*_xlfn.STDEV.S(RelRet)*_xlfn.STDEV.S(LtRet)*WeeksPerYear</f>
        <v>2.3878892812455716E-2</v>
      </c>
      <c r="F18" s="114">
        <f ca="1">Correlation!F$7*_xlfn.STDEV.S(RelRet)*_xlfn.STDEV.S(CipRet)*WeeksPerYear</f>
        <v>7.7107478966821881E-3</v>
      </c>
      <c r="G18" s="114">
        <f ca="1">Correlation!G$7*_xlfn.STDEV.S(RelRet)*_xlfn.STDEV.S(MarRet)*WeeksPerYear</f>
        <v>2.1808999277963152E-2</v>
      </c>
      <c r="H18" s="114">
        <f ca="1">Correlation!H$7*_xlfn.STDEV.S(RelRet)*_xlfn.STDEV.S(HclRet)*WeeksPerYear</f>
        <v>1.3395075561814407E-2</v>
      </c>
      <c r="I18" s="3"/>
      <c r="J18" s="3"/>
      <c r="K18" s="3"/>
      <c r="L18" s="3"/>
      <c r="M18" s="3"/>
      <c r="N18" s="3"/>
      <c r="O18" s="3"/>
    </row>
    <row r="19" spans="1:15" x14ac:dyDescent="0.3">
      <c r="A19" s="68" t="s">
        <v>11</v>
      </c>
      <c r="B19" s="114">
        <f ca="1">Correlation!B$8*_xlfn.STDEV.S(AirRet)*_xlfn.STDEV.S(RelRet)*WeeksPerYear</f>
        <v>1.6465997161838674E-2</v>
      </c>
      <c r="C19" s="114">
        <f ca="1">Correlation!C$8*_xlfn.STDEV.S(AirRet)*_xlfn.STDEV.S(AirRet)*WeeksPerYear</f>
        <v>3.7191830825134671E-2</v>
      </c>
      <c r="D19" s="114">
        <f ca="1">Correlation!D$8*_xlfn.STDEV.S(AirRet)*_xlfn.STDEV.S(HdfRet)*WeeksPerYear</f>
        <v>1.4453842689341453E-2</v>
      </c>
      <c r="E19" s="114">
        <f ca="1">Correlation!E$8*_xlfn.STDEV.S(AirRet)*_xlfn.STDEV.S(LtRet)*WeeksPerYear</f>
        <v>1.668197521510555E-2</v>
      </c>
      <c r="F19" s="114">
        <f ca="1">Correlation!F$8*_xlfn.STDEV.S(AirRet)*_xlfn.STDEV.S(CipRet)*WeeksPerYear</f>
        <v>8.2443104406562263E-3</v>
      </c>
      <c r="G19" s="114">
        <f ca="1">Correlation!G$8*_xlfn.STDEV.S(AirRet)*_xlfn.STDEV.S(MarRet)*WeeksPerYear</f>
        <v>1.6104805461339588E-2</v>
      </c>
      <c r="H19" s="114">
        <f ca="1">Correlation!H$8*_xlfn.STDEV.S(AirRet)*_xlfn.STDEV.S(HclRet)*WeeksPerYear</f>
        <v>1.3623498375788164E-2</v>
      </c>
      <c r="I19" s="3"/>
      <c r="J19" s="3"/>
      <c r="K19" s="3"/>
      <c r="L19" s="3"/>
      <c r="M19" s="3"/>
      <c r="N19" s="3"/>
      <c r="O19" s="3"/>
    </row>
    <row r="20" spans="1:15" x14ac:dyDescent="0.3">
      <c r="A20" s="68" t="s">
        <v>12</v>
      </c>
      <c r="B20" s="114">
        <f ca="1">Correlation!B$9*_xlfn.STDEV.S(HdfRet)*_xlfn.STDEV.S(RelRet)*WeeksPerYear</f>
        <v>1.5839718565185852E-2</v>
      </c>
      <c r="C20" s="114">
        <f ca="1">Correlation!C$9*_xlfn.STDEV.S(HdfRet)*_xlfn.STDEV.S(AirRet)*WeeksPerYear</f>
        <v>1.4453842689341453E-2</v>
      </c>
      <c r="D20" s="114">
        <f ca="1">Correlation!D$9*_xlfn.STDEV.S(HdfRet)*_xlfn.STDEV.S(HdfRet)*WeeksPerYear</f>
        <v>3.5268242788651795E-2</v>
      </c>
      <c r="E20" s="114">
        <f ca="1">Correlation!E$9*_xlfn.STDEV.S(HdfRet)*_xlfn.STDEV.S(LtRet)*WeeksPerYear</f>
        <v>2.0744381094304418E-2</v>
      </c>
      <c r="F20" s="114">
        <f ca="1">Correlation!F$9*_xlfn.STDEV.S(HdfRet)*_xlfn.STDEV.S(CipRet)*WeeksPerYear</f>
        <v>8.6340226708548143E-3</v>
      </c>
      <c r="G20" s="114">
        <f ca="1">Correlation!G$9*_xlfn.STDEV.S(HdfRet)*_xlfn.STDEV.S(MarRet)*WeeksPerYear</f>
        <v>1.4704037969261129E-2</v>
      </c>
      <c r="H20" s="114">
        <f ca="1">Correlation!H$9*_xlfn.STDEV.S(HdfRet)*_xlfn.STDEV.S(HclRet)*WeeksPerYear</f>
        <v>7.8296725846967261E-3</v>
      </c>
      <c r="I20" s="3"/>
      <c r="J20" s="3"/>
      <c r="K20" s="3"/>
      <c r="L20" s="3"/>
      <c r="M20" s="3"/>
      <c r="N20" s="3"/>
      <c r="O20" s="3"/>
    </row>
    <row r="21" spans="1:15" x14ac:dyDescent="0.3">
      <c r="A21" s="68" t="s">
        <v>13</v>
      </c>
      <c r="B21" s="114">
        <f ca="1">Correlation!B$10*_xlfn.STDEV.S(LtRet)*_xlfn.STDEV.S(RelRet)*WeeksPerYear</f>
        <v>2.3878892812455716E-2</v>
      </c>
      <c r="C21" s="114">
        <f ca="1">Correlation!C$10*_xlfn.STDEV.S(LtRet)*_xlfn.STDEV.S(AirRet)*WeeksPerYear</f>
        <v>1.6681975215105553E-2</v>
      </c>
      <c r="D21" s="114">
        <f ca="1">Correlation!D$10*_xlfn.STDEV.S(LtRet)*_xlfn.STDEV.S(HdfRet)*WeeksPerYear</f>
        <v>2.0744381094304418E-2</v>
      </c>
      <c r="E21" s="114">
        <f ca="1">Correlation!E$10*_xlfn.STDEV.S(LtRet)*_xlfn.STDEV.S(LtRet)*WeeksPerYear</f>
        <v>6.7335340023682633E-2</v>
      </c>
      <c r="F21" s="114">
        <f ca="1">Correlation!F$10*_xlfn.STDEV.S(LtRet)*_xlfn.STDEV.S(CipRet)*WeeksPerYear</f>
        <v>1.1060810005087601E-2</v>
      </c>
      <c r="G21" s="114">
        <f ca="1">Correlation!G$10*_xlfn.STDEV.S(LtRet)*_xlfn.STDEV.S(MarRet)*WeeksPerYear</f>
        <v>2.3588861360713295E-2</v>
      </c>
      <c r="H21" s="114">
        <f ca="1">Correlation!H$10*_xlfn.STDEV.S(LtRet)*_xlfn.STDEV.S(HclRet)*WeeksPerYear</f>
        <v>1.696547741498404E-2</v>
      </c>
      <c r="I21" s="3"/>
      <c r="J21" s="3"/>
      <c r="K21" s="3"/>
      <c r="L21" s="3"/>
      <c r="M21" s="3"/>
      <c r="N21" s="3"/>
      <c r="O21" s="3"/>
    </row>
    <row r="22" spans="1:15" x14ac:dyDescent="0.3">
      <c r="A22" s="68" t="s">
        <v>14</v>
      </c>
      <c r="B22" s="114">
        <f ca="1">Correlation!B$11*_xlfn.STDEV.S(CipRet)*_xlfn.STDEV.S(RelRet)*WeeksPerYear</f>
        <v>7.7107478966821881E-3</v>
      </c>
      <c r="C22" s="114">
        <f ca="1">Correlation!C$11*_xlfn.STDEV.S(CipRet)*_xlfn.STDEV.S(AirRet)*WeeksPerYear</f>
        <v>8.2443104406562263E-3</v>
      </c>
      <c r="D22" s="114">
        <f ca="1">Correlation!D$11*_xlfn.STDEV.S(CipRet)*_xlfn.STDEV.S(HdfRet)*WeeksPerYear</f>
        <v>8.6340226708548126E-3</v>
      </c>
      <c r="E22" s="114">
        <f ca="1">Correlation!E$11*_xlfn.STDEV.S(CipRet)*_xlfn.STDEV.S(LtRet)*WeeksPerYear</f>
        <v>1.1060810005087601E-2</v>
      </c>
      <c r="F22" s="114">
        <f ca="1">Correlation!F$11*_xlfn.STDEV.S(CipRet)*_xlfn.STDEV.S(CipRet)*WeeksPerYear</f>
        <v>3.5133617263636917E-2</v>
      </c>
      <c r="G22" s="114">
        <f ca="1">Correlation!G$11*_xlfn.STDEV.S(CipRet)*_xlfn.STDEV.S(MarRet)*WeeksPerYear</f>
        <v>1.3765127439655332E-2</v>
      </c>
      <c r="H22" s="114">
        <f ca="1">Correlation!H$11*_xlfn.STDEV.S(CipRet)*_xlfn.STDEV.S(HclRet)*WeeksPerYear</f>
        <v>-2.4075807062228778E-3</v>
      </c>
      <c r="I22" s="3"/>
      <c r="J22" s="3"/>
      <c r="K22" s="3"/>
      <c r="L22" s="3"/>
      <c r="M22" s="3"/>
      <c r="N22" s="3"/>
      <c r="O22" s="3"/>
    </row>
    <row r="23" spans="1:15" x14ac:dyDescent="0.3">
      <c r="A23" s="68" t="s">
        <v>15</v>
      </c>
      <c r="B23" s="114">
        <f ca="1">Correlation!B$12*_xlfn.STDEV.S(MarRet)*_xlfn.STDEV.S(RelRet)*WeeksPerYear</f>
        <v>2.1808999277963155E-2</v>
      </c>
      <c r="C23" s="114">
        <f ca="1">Correlation!C$12*_xlfn.STDEV.S(MarRet)*_xlfn.STDEV.S(AirRet)*WeeksPerYear</f>
        <v>1.6104805461339588E-2</v>
      </c>
      <c r="D23" s="114">
        <f ca="1">Correlation!D$12*_xlfn.STDEV.S(MarRet)*_xlfn.STDEV.S(HdfRet)*WeeksPerYear</f>
        <v>1.4704037969261131E-2</v>
      </c>
      <c r="E23" s="114">
        <f ca="1">Correlation!E$12*_xlfn.STDEV.S(MarRet)*_xlfn.STDEV.S(LtRet)*WeeksPerYear</f>
        <v>2.3588861360713295E-2</v>
      </c>
      <c r="F23" s="114">
        <f ca="1">Correlation!F$12*_xlfn.STDEV.S(MarRet)*_xlfn.STDEV.S(CipRet)*WeeksPerYear</f>
        <v>1.3765127439655332E-2</v>
      </c>
      <c r="G23" s="114">
        <f ca="1">Correlation!G$12*_xlfn.STDEV.S(MarRet)*_xlfn.STDEV.S(MarRet)*WeeksPerYear</f>
        <v>5.9375416292202401E-2</v>
      </c>
      <c r="H23" s="114">
        <f ca="1">Correlation!H$12*_xlfn.STDEV.S(MarRet)*_xlfn.STDEV.S(HclRet)*WeeksPerYear</f>
        <v>1.4106745390191019E-2</v>
      </c>
      <c r="I23" s="3"/>
      <c r="J23" s="3"/>
      <c r="K23" s="3"/>
      <c r="L23" s="3"/>
      <c r="M23" s="3"/>
      <c r="N23" s="3"/>
      <c r="O23" s="3"/>
    </row>
    <row r="24" spans="1:15" x14ac:dyDescent="0.3">
      <c r="A24" s="68" t="s">
        <v>16</v>
      </c>
      <c r="B24" s="114">
        <f ca="1">Correlation!B$13*_xlfn.STDEV.S(HclRet)*_xlfn.STDEV.S(RelRet)*WeeksPerYear</f>
        <v>1.3395075561814407E-2</v>
      </c>
      <c r="C24" s="114">
        <f ca="1">Correlation!C$13*_xlfn.STDEV.S(HclRet)*_xlfn.STDEV.S(AirRet)*WeeksPerYear</f>
        <v>1.3623498375788164E-2</v>
      </c>
      <c r="D24" s="114">
        <f ca="1">Correlation!D$13*_xlfn.STDEV.S(HclRet)*_xlfn.STDEV.S(HdfRet)*WeeksPerYear</f>
        <v>7.8296725846967261E-3</v>
      </c>
      <c r="E24" s="114">
        <f ca="1">Correlation!E$13*_xlfn.STDEV.S(HclRet)*_xlfn.STDEV.S(LtRet)*WeeksPerYear</f>
        <v>1.6965477414984043E-2</v>
      </c>
      <c r="F24" s="114">
        <f ca="1">Correlation!F$13*_xlfn.STDEV.S(HclRet)*_xlfn.STDEV.S(CipRet)*WeeksPerYear</f>
        <v>-2.4075807062228778E-3</v>
      </c>
      <c r="G24" s="114">
        <f ca="1">Correlation!G$13*_xlfn.STDEV.S(HclRet)*_xlfn.STDEV.S(MarRet)*WeeksPerYear</f>
        <v>1.4106745390191022E-2</v>
      </c>
      <c r="H24" s="114">
        <f ca="1">Correlation!H$13*_xlfn.STDEV.S(HclRet)*_xlfn.STDEV.S(HclRet)*WeeksPerYear</f>
        <v>8.1506070686358845E-2</v>
      </c>
      <c r="I24" s="3"/>
      <c r="J24" s="3"/>
      <c r="K24" s="3"/>
      <c r="L24" s="3"/>
      <c r="M24" s="3"/>
      <c r="N24" s="3"/>
      <c r="O24" s="3"/>
    </row>
    <row r="25" spans="1:15" x14ac:dyDescent="0.3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ht="16.5" customHeight="1" x14ac:dyDescent="0.3">
      <c r="A26" s="191" t="s">
        <v>451</v>
      </c>
      <c r="B26" s="191"/>
      <c r="C26" s="191"/>
      <c r="D26" s="191"/>
      <c r="E26" s="191"/>
      <c r="F26" s="191"/>
      <c r="G26" s="191"/>
      <c r="H26" s="3"/>
      <c r="I26" s="3"/>
      <c r="J26" s="3"/>
      <c r="K26" s="3"/>
      <c r="L26" s="3"/>
      <c r="M26" s="3"/>
      <c r="N26" s="3"/>
      <c r="O26" s="3"/>
    </row>
    <row r="27" spans="1:15" ht="27.75" customHeight="1" x14ac:dyDescent="0.3">
      <c r="A27" s="1" t="s">
        <v>351</v>
      </c>
      <c r="B27" s="1" t="s">
        <v>37</v>
      </c>
      <c r="C27" s="1" t="s">
        <v>352</v>
      </c>
      <c r="D27" s="1" t="s">
        <v>452</v>
      </c>
      <c r="E27" s="1" t="s">
        <v>453</v>
      </c>
      <c r="F27" s="1" t="s">
        <v>454</v>
      </c>
      <c r="G27" s="1" t="s">
        <v>455</v>
      </c>
      <c r="H27" s="3"/>
      <c r="I27" s="3"/>
      <c r="J27" s="3"/>
      <c r="K27" s="3"/>
      <c r="L27" s="3"/>
      <c r="M27" s="3"/>
      <c r="N27" s="3"/>
      <c r="O27" s="3"/>
    </row>
    <row r="28" spans="1:15" x14ac:dyDescent="0.3">
      <c r="A28" s="24" t="s">
        <v>10</v>
      </c>
      <c r="B28" s="54">
        <f>Holdings!$E$7</f>
        <v>0.23</v>
      </c>
      <c r="C28" s="55">
        <f ca="1">Returns!B$139</f>
        <v>0.21444733826751522</v>
      </c>
      <c r="D28" s="69">
        <f ca="1">SUMPRODUCT(Weights,$B$18:$H$18)</f>
        <v>2.3513990819023296E-2</v>
      </c>
      <c r="E28" s="69">
        <f t="shared" ref="E28:E34" ca="1" si="4">$B28*$D28</f>
        <v>5.4082178883753584E-3</v>
      </c>
      <c r="F28" s="50">
        <f t="shared" ref="F28:F34" ca="1" si="5">IFERROR($E28/SUM($E$28:$E$34),"n.m.")</f>
        <v>0.26887638240945977</v>
      </c>
      <c r="G28" s="51">
        <f t="shared" ref="G28:G34" ca="1" si="6">$B28-$F28</f>
        <v>-3.8876382409459759E-2</v>
      </c>
      <c r="H28" s="3"/>
      <c r="I28" s="3"/>
      <c r="J28" s="3"/>
      <c r="K28" s="3"/>
      <c r="L28" s="3"/>
      <c r="M28" s="3"/>
      <c r="N28" s="3"/>
      <c r="O28" s="3"/>
    </row>
    <row r="29" spans="1:15" x14ac:dyDescent="0.3">
      <c r="A29" s="24" t="s">
        <v>11</v>
      </c>
      <c r="B29" s="54">
        <f>Holdings!$E$8</f>
        <v>0.15</v>
      </c>
      <c r="C29" s="55">
        <f ca="1">Returns!C$139</f>
        <v>0.19285183645777051</v>
      </c>
      <c r="D29" s="69">
        <f ca="1">SUMPRODUCT(Weights,$B$19:$H$19)</f>
        <v>1.8017515666569523E-2</v>
      </c>
      <c r="E29" s="69">
        <f t="shared" ca="1" si="4"/>
        <v>2.7026273499854282E-3</v>
      </c>
      <c r="F29" s="50">
        <f t="shared" ca="1" si="5"/>
        <v>0.13436453187784583</v>
      </c>
      <c r="G29" s="51">
        <f t="shared" ca="1" si="6"/>
        <v>1.5635468122154161E-2</v>
      </c>
      <c r="H29" s="3"/>
      <c r="I29" s="3"/>
      <c r="J29" s="3"/>
      <c r="K29" s="3"/>
      <c r="L29" s="3"/>
      <c r="M29" s="3"/>
      <c r="N29" s="3"/>
      <c r="O29" s="3"/>
    </row>
    <row r="30" spans="1:15" x14ac:dyDescent="0.3">
      <c r="A30" s="24" t="s">
        <v>12</v>
      </c>
      <c r="B30" s="54">
        <f>Holdings!$E$9</f>
        <v>0.15</v>
      </c>
      <c r="C30" s="55">
        <f ca="1">Returns!D$139</f>
        <v>0.18779840997370503</v>
      </c>
      <c r="D30" s="69">
        <f ca="1">SUMPRODUCT(Weights,$B$20:$H$20)</f>
        <v>1.7510899254330969E-2</v>
      </c>
      <c r="E30" s="69">
        <f t="shared" ca="1" si="4"/>
        <v>2.6266348881496455E-3</v>
      </c>
      <c r="F30" s="50">
        <f t="shared" ca="1" si="5"/>
        <v>0.13058647066609014</v>
      </c>
      <c r="G30" s="51">
        <f t="shared" ca="1" si="6"/>
        <v>1.9413529333909857E-2</v>
      </c>
      <c r="H30" s="3"/>
      <c r="I30" s="3"/>
      <c r="J30" s="3"/>
      <c r="K30" s="3"/>
      <c r="L30" s="3"/>
      <c r="M30" s="3"/>
      <c r="N30" s="3"/>
      <c r="O30" s="3"/>
    </row>
    <row r="31" spans="1:15" x14ac:dyDescent="0.3">
      <c r="A31" s="24" t="s">
        <v>13</v>
      </c>
      <c r="B31" s="54">
        <f>Holdings!$E$10</f>
        <v>0.14000000000000001</v>
      </c>
      <c r="C31" s="55">
        <f ca="1">Returns!E$139</f>
        <v>0.25949053937221417</v>
      </c>
      <c r="D31" s="69">
        <f ca="1">SUMPRODUCT(Weights,$B$21:$H$21)</f>
        <v>2.6217899927836553E-2</v>
      </c>
      <c r="E31" s="69">
        <f t="shared" ca="1" si="4"/>
        <v>3.670505989897118E-3</v>
      </c>
      <c r="F31" s="50">
        <f t="shared" ca="1" si="5"/>
        <v>0.18248384080402888</v>
      </c>
      <c r="G31" s="51">
        <f t="shared" ca="1" si="6"/>
        <v>-4.2483840804028866E-2</v>
      </c>
      <c r="H31" s="3"/>
      <c r="I31" s="3"/>
      <c r="J31" s="3"/>
      <c r="K31" s="3"/>
      <c r="L31" s="3"/>
      <c r="M31" s="3"/>
      <c r="N31" s="3"/>
      <c r="O31" s="3"/>
    </row>
    <row r="32" spans="1:15" x14ac:dyDescent="0.3">
      <c r="A32" s="24" t="s">
        <v>14</v>
      </c>
      <c r="B32" s="54">
        <f>Holdings!$E$11</f>
        <v>0.12</v>
      </c>
      <c r="C32" s="55">
        <f ca="1">Returns!F$139</f>
        <v>0.1874396363196347</v>
      </c>
      <c r="D32" s="69">
        <f ca="1">SUMPRODUCT(Weights,$B$22:$H$22)</f>
        <v>1.1504902484510833E-2</v>
      </c>
      <c r="E32" s="69">
        <f t="shared" ca="1" si="4"/>
        <v>1.3805882981412999E-3</v>
      </c>
      <c r="F32" s="50">
        <f t="shared" ca="1" si="5"/>
        <v>6.863769079994983E-2</v>
      </c>
      <c r="G32" s="51">
        <f t="shared" ca="1" si="6"/>
        <v>5.1362309200050166E-2</v>
      </c>
      <c r="H32" s="3"/>
      <c r="I32" s="3"/>
      <c r="J32" s="3"/>
      <c r="K32" s="3"/>
      <c r="L32" s="3"/>
      <c r="M32" s="3"/>
      <c r="N32" s="3"/>
      <c r="O32" s="3"/>
    </row>
    <row r="33" spans="1:15" x14ac:dyDescent="0.3">
      <c r="A33" s="24" t="s">
        <v>15</v>
      </c>
      <c r="B33" s="54">
        <f>Holdings!$E$12</f>
        <v>0.12</v>
      </c>
      <c r="C33" s="55">
        <f ca="1">Returns!G$139</f>
        <v>0.24367071283230243</v>
      </c>
      <c r="D33" s="69">
        <f ca="1">SUMPRODUCT(Weights,$B$23:$H$23)</f>
        <v>2.2986309271961609E-2</v>
      </c>
      <c r="E33" s="69">
        <f t="shared" ca="1" si="4"/>
        <v>2.7583571126353931E-3</v>
      </c>
      <c r="F33" s="50">
        <f t="shared" ca="1" si="5"/>
        <v>0.13713520740962654</v>
      </c>
      <c r="G33" s="51">
        <f t="shared" ca="1" si="6"/>
        <v>-1.7135207409626541E-2</v>
      </c>
      <c r="H33" s="3"/>
      <c r="I33" s="3"/>
      <c r="J33" s="3"/>
      <c r="K33" s="3"/>
      <c r="L33" s="3"/>
      <c r="M33" s="3"/>
      <c r="N33" s="3"/>
      <c r="O33" s="3"/>
    </row>
    <row r="34" spans="1:15" x14ac:dyDescent="0.3">
      <c r="A34" s="24" t="s">
        <v>16</v>
      </c>
      <c r="B34" s="54">
        <f>Holdings!$E$13</f>
        <v>0.09</v>
      </c>
      <c r="C34" s="55">
        <f ca="1">Returns!H$139</f>
        <v>0.28549268061783795</v>
      </c>
      <c r="D34" s="69">
        <f ca="1">SUMPRODUCT(Weights,$B$24:$H$24)</f>
        <v>1.7413455985236286E-2</v>
      </c>
      <c r="E34" s="69">
        <f t="shared" ca="1" si="4"/>
        <v>1.5672110386712656E-3</v>
      </c>
      <c r="F34" s="50">
        <f t="shared" ca="1" si="5"/>
        <v>7.791587603299896E-2</v>
      </c>
      <c r="G34" s="51">
        <f t="shared" ca="1" si="6"/>
        <v>1.2084123967001037E-2</v>
      </c>
      <c r="H34" s="3"/>
      <c r="I34" s="3"/>
      <c r="J34" s="3"/>
      <c r="K34" s="3"/>
      <c r="L34" s="3"/>
      <c r="M34" s="3"/>
      <c r="N34" s="3"/>
      <c r="O34" s="3"/>
    </row>
    <row r="35" spans="1:15" x14ac:dyDescent="0.3">
      <c r="A35" s="38" t="s">
        <v>201</v>
      </c>
      <c r="B35" s="30">
        <f>SUM(B28:B34)</f>
        <v>1</v>
      </c>
      <c r="C35" s="7"/>
      <c r="D35" s="7"/>
      <c r="E35" s="70">
        <f ca="1">SUM(E28:E34)</f>
        <v>2.011414256585551E-2</v>
      </c>
      <c r="F35" s="65">
        <f ca="1">SUM(F28:F34)</f>
        <v>1</v>
      </c>
      <c r="G35" s="7"/>
      <c r="H35" s="3"/>
      <c r="I35" s="3"/>
      <c r="J35" s="3"/>
      <c r="K35" s="3"/>
      <c r="L35" s="3"/>
      <c r="M35" s="3"/>
      <c r="N35" s="3"/>
      <c r="O35" s="3"/>
    </row>
    <row r="36" spans="1:15" x14ac:dyDescent="0.3">
      <c r="A36" s="57" t="s">
        <v>456</v>
      </c>
      <c r="B36" s="3"/>
      <c r="C36" s="3"/>
      <c r="D36" s="3"/>
      <c r="E36" s="71">
        <f ca="1">E35-Risk_Analysis!$B$10^2</f>
        <v>0</v>
      </c>
      <c r="F36" s="36" t="str">
        <f ca="1">IF(ABS(E36)&lt;0.0000001,"✓ PASS — reconciles to σ²","✗ FAIL")</f>
        <v>✓ PASS — reconciles to σ²</v>
      </c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3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ht="16.5" customHeight="1" x14ac:dyDescent="0.3">
      <c r="A38" s="177" t="s">
        <v>457</v>
      </c>
      <c r="B38" s="136"/>
      <c r="C38" s="136"/>
      <c r="D38" s="136"/>
      <c r="E38" s="136"/>
      <c r="F38" s="136"/>
      <c r="G38" s="136"/>
      <c r="H38" s="136"/>
      <c r="I38" s="136"/>
      <c r="J38" s="136"/>
      <c r="K38" s="3"/>
      <c r="L38" s="3"/>
      <c r="M38" s="3"/>
      <c r="N38" s="3"/>
      <c r="O38" s="3"/>
    </row>
    <row r="39" spans="1:15" ht="15" customHeight="1" x14ac:dyDescent="0.3">
      <c r="A39" s="5" t="s">
        <v>458</v>
      </c>
      <c r="B39" s="48">
        <f ca="1">SUMPRODUCT(WeightsCol,$C$28:$C$34)</f>
        <v>0.22017668343219768</v>
      </c>
      <c r="C39" s="184" t="s">
        <v>459</v>
      </c>
      <c r="D39" s="174"/>
      <c r="E39" s="174"/>
      <c r="F39" s="174"/>
      <c r="G39" s="174"/>
      <c r="H39" s="174"/>
      <c r="I39" s="174"/>
      <c r="J39" s="174"/>
      <c r="K39" s="3"/>
      <c r="L39" s="3"/>
      <c r="M39" s="3"/>
      <c r="N39" s="3"/>
      <c r="O39" s="3"/>
    </row>
    <row r="40" spans="1:15" ht="15" customHeight="1" x14ac:dyDescent="0.3">
      <c r="A40" s="5" t="s">
        <v>460</v>
      </c>
      <c r="B40" s="48">
        <f ca="1">Risk_Analysis!$B$10</f>
        <v>0.1418243370012901</v>
      </c>
      <c r="C40" s="184" t="s">
        <v>461</v>
      </c>
      <c r="D40" s="174"/>
      <c r="E40" s="174"/>
      <c r="F40" s="174"/>
      <c r="G40" s="174"/>
      <c r="H40" s="174"/>
      <c r="I40" s="174"/>
      <c r="J40" s="174"/>
      <c r="K40" s="3"/>
      <c r="L40" s="3"/>
      <c r="M40" s="3"/>
      <c r="N40" s="3"/>
      <c r="O40" s="3"/>
    </row>
    <row r="41" spans="1:15" ht="15" customHeight="1" x14ac:dyDescent="0.3">
      <c r="A41" s="5" t="s">
        <v>462</v>
      </c>
      <c r="B41" s="48">
        <f ca="1">B39-B40</f>
        <v>7.8352346430907577E-2</v>
      </c>
      <c r="C41" s="184" t="s">
        <v>463</v>
      </c>
      <c r="D41" s="174"/>
      <c r="E41" s="174"/>
      <c r="F41" s="174"/>
      <c r="G41" s="174"/>
      <c r="H41" s="174"/>
      <c r="I41" s="174"/>
      <c r="J41" s="174"/>
      <c r="K41" s="3"/>
      <c r="L41" s="3"/>
      <c r="M41" s="3"/>
      <c r="N41" s="3"/>
      <c r="O41" s="3"/>
    </row>
    <row r="42" spans="1:15" ht="15" customHeight="1" x14ac:dyDescent="0.3">
      <c r="A42" s="5" t="s">
        <v>464</v>
      </c>
      <c r="B42" s="52">
        <f ca="1">IFERROR(B39/B40,"n.m.")</f>
        <v>1.5524605162102387</v>
      </c>
      <c r="C42" s="184" t="s">
        <v>465</v>
      </c>
      <c r="D42" s="174"/>
      <c r="E42" s="174"/>
      <c r="F42" s="174"/>
      <c r="G42" s="174"/>
      <c r="H42" s="174"/>
      <c r="I42" s="174"/>
      <c r="J42" s="174"/>
      <c r="K42" s="3"/>
      <c r="L42" s="3"/>
      <c r="M42" s="3"/>
      <c r="N42" s="3"/>
      <c r="O42" s="3"/>
    </row>
    <row r="43" spans="1:15" ht="15" customHeight="1" x14ac:dyDescent="0.3">
      <c r="A43" s="5" t="s">
        <v>466</v>
      </c>
      <c r="B43" s="50">
        <f ca="1">IFERROR(1-B40/B39,"n.m.")</f>
        <v>0.35586123475711173</v>
      </c>
      <c r="C43" s="184" t="s">
        <v>467</v>
      </c>
      <c r="D43" s="174"/>
      <c r="E43" s="174"/>
      <c r="F43" s="174"/>
      <c r="G43" s="174"/>
      <c r="H43" s="174"/>
      <c r="I43" s="174"/>
      <c r="J43" s="174"/>
      <c r="K43" s="3"/>
      <c r="L43" s="3"/>
      <c r="M43" s="3"/>
      <c r="N43" s="3"/>
      <c r="O43" s="3"/>
    </row>
    <row r="44" spans="1:15" x14ac:dyDescent="0.3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ht="16.5" customHeight="1" x14ac:dyDescent="0.3">
      <c r="A45" s="177" t="s">
        <v>468</v>
      </c>
      <c r="B45" s="136"/>
      <c r="C45" s="136"/>
      <c r="D45" s="136"/>
      <c r="E45" s="136"/>
      <c r="F45" s="136"/>
      <c r="G45" s="136"/>
      <c r="H45" s="136"/>
      <c r="I45" s="136"/>
      <c r="J45" s="136"/>
      <c r="K45" s="3"/>
      <c r="L45" s="3"/>
      <c r="M45" s="3"/>
      <c r="N45" s="3"/>
      <c r="O45" s="3"/>
    </row>
    <row r="46" spans="1:15" ht="30" customHeight="1" x14ac:dyDescent="0.3">
      <c r="A46" s="175" t="str">
        <f ca="1">"LARGEST CONTRIBUTOR — "&amp;INDEX($A$6:$A$12,MATCH(MAX($D$6:$D$12),$D$6:$D$12,0))&amp;" added "&amp;TEXT(MAX($D$6:$D$12),"0.00%")&amp;" p.a. to the portfolio on a weight of "&amp;TEXT(INDEX($B$6:$B$12,MATCH(MAX($D$6:$D$12),$D$6:$D$12,0)),"0.0%")&amp;", the single biggest positive driver of performance."</f>
        <v>LARGEST CONTRIBUTOR — Bharti Airtel added 1.22% p.a. to the portfolio on a weight of 15.0%, the single biggest positive driver of performance.</v>
      </c>
      <c r="B46" s="174"/>
      <c r="C46" s="174"/>
      <c r="D46" s="174"/>
      <c r="E46" s="174"/>
      <c r="F46" s="174"/>
      <c r="G46" s="174"/>
      <c r="H46" s="174"/>
      <c r="I46" s="174"/>
      <c r="J46" s="174"/>
      <c r="K46" s="3"/>
      <c r="L46" s="3"/>
      <c r="M46" s="3"/>
      <c r="N46" s="3"/>
      <c r="O46" s="3"/>
    </row>
    <row r="47" spans="1:15" ht="30" customHeight="1" x14ac:dyDescent="0.3">
      <c r="A47" s="175" t="str">
        <f ca="1">"LARGEST DETRACTOR — "&amp;INDEX($A$6:$A$12,MATCH(MIN($D$6:$D$12),$D$6:$D$12,0))&amp;" subtracted "&amp;TEXT(MIN($D$6:$D$12),"0.00%")&amp;" p.a. on a weight of "&amp;TEXT(INDEX($B$6:$B$12,MATCH(MIN($D$6:$D$12),$D$6:$D$12,0)),"0.0%")&amp;". "&amp;IF(COUNTIF($D$6:$D$12,"&lt;0")&gt;0,TEXT(COUNTIF($D$6:$D$12,"&lt;0"),"0")&amp;" of 7 holdings contributed negatively over the period.","All holdings contributed positively.")</f>
        <v>LARGEST DETRACTOR — HCL Technologies subtracted -1.17% p.a. on a weight of 9.0%. 4 of 7 holdings contributed negatively over the period.</v>
      </c>
      <c r="B47" s="174"/>
      <c r="C47" s="174"/>
      <c r="D47" s="174"/>
      <c r="E47" s="174"/>
      <c r="F47" s="174"/>
      <c r="G47" s="174"/>
      <c r="H47" s="174"/>
      <c r="I47" s="174"/>
      <c r="J47" s="174"/>
      <c r="K47" s="3"/>
      <c r="L47" s="3"/>
      <c r="M47" s="3"/>
      <c r="N47" s="3"/>
      <c r="O47" s="3"/>
    </row>
    <row r="48" spans="1:15" ht="30" customHeight="1" x14ac:dyDescent="0.3">
      <c r="A48" s="175" t="str">
        <f ca="1">"RISK BUDGET — "&amp;INDEX($A$28:$A$34,MATCH(MAX($F$28:$F$34),$F$28:$F$34,0))&amp;" consumes the largest share of portfolio risk at "&amp;TEXT(MAX($F$28:$F$34),"0.0%")&amp;" of total variance, against a capital weight of "&amp;TEXT(INDEX($B$28:$B$34,MATCH(MAX($F$28:$F$34),$F$28:$F$34,0)),"0.0%")&amp;". Where risk share exceeds capital weight, the holding is contributing more volatility than its size suggests."</f>
        <v>RISK BUDGET — Reliance Industries consumes the largest share of portfolio risk at 26.9% of total variance, against a capital weight of 23.0%. Where risk share exceeds capital weight, the holding is contributing more volatility than its size suggests.</v>
      </c>
      <c r="B48" s="174"/>
      <c r="C48" s="174"/>
      <c r="D48" s="174"/>
      <c r="E48" s="174"/>
      <c r="F48" s="174"/>
      <c r="G48" s="174"/>
      <c r="H48" s="174"/>
      <c r="I48" s="174"/>
      <c r="J48" s="174"/>
      <c r="K48" s="3"/>
      <c r="L48" s="3"/>
      <c r="M48" s="3"/>
      <c r="N48" s="3"/>
      <c r="O48" s="3"/>
    </row>
    <row r="49" spans="1:15" ht="30" customHeight="1" x14ac:dyDescent="0.3">
      <c r="A49" s="175" t="str">
        <f ca="1">"DIVERSIFICATION — If the seven holdings moved in perfect lockstep the portfolio would carry "&amp;TEXT($B$39,"0.00%")&amp;" annualised volatility. It actually carries "&amp;TEXT($B$40,"0.00%")&amp;" — a reduction of "&amp;TEXT($B$41,"0.00%")&amp;", or "&amp;TEXT($B$43,"0.0%")&amp;" of the naive risk, at a diversification ratio of "&amp;TEXT($B$42,"0.00")&amp;"x. This is the measurable payoff of the seven-sector construction."</f>
        <v>DIVERSIFICATION — If the seven holdings moved in perfect lockstep the portfolio would carry 22.02% annualised volatility. It actually carries 14.18% — a reduction of 7.84%, or 35.6% of the naive risk, at a diversification ratio of 1.55x. This is the measurable payoff of the seven-sector construction.</v>
      </c>
      <c r="B49" s="174"/>
      <c r="C49" s="174"/>
      <c r="D49" s="174"/>
      <c r="E49" s="174"/>
      <c r="F49" s="174"/>
      <c r="G49" s="174"/>
      <c r="H49" s="174"/>
      <c r="I49" s="174"/>
      <c r="J49" s="174"/>
      <c r="K49" s="3"/>
      <c r="L49" s="3"/>
      <c r="M49" s="3"/>
      <c r="N49" s="3"/>
      <c r="O49" s="3"/>
    </row>
    <row r="50" spans="1:15" x14ac:dyDescent="0.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3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3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  <row r="53" spans="1:15" x14ac:dyDescent="0.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</row>
    <row r="54" spans="1:15" x14ac:dyDescent="0.3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</row>
    <row r="55" spans="1:15" x14ac:dyDescent="0.3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</row>
  </sheetData>
  <mergeCells count="16">
    <mergeCell ref="A49:J49"/>
    <mergeCell ref="A48:J48"/>
    <mergeCell ref="C41:J41"/>
    <mergeCell ref="A38:J38"/>
    <mergeCell ref="C39:J39"/>
    <mergeCell ref="C40:J40"/>
    <mergeCell ref="A47:J47"/>
    <mergeCell ref="A16:H16"/>
    <mergeCell ref="A26:G26"/>
    <mergeCell ref="A1:J1"/>
    <mergeCell ref="A46:J46"/>
    <mergeCell ref="A45:J45"/>
    <mergeCell ref="C43:J43"/>
    <mergeCell ref="A2:J2"/>
    <mergeCell ref="C42:J42"/>
    <mergeCell ref="A4:G4"/>
  </mergeCells>
  <phoneticPr fontId="6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22D3EE"/>
  </sheetPr>
  <dimension ref="A1:AA100"/>
  <sheetViews>
    <sheetView showGridLines="0" topLeftCell="A50" workbookViewId="0">
      <selection activeCell="U64" sqref="U64"/>
    </sheetView>
  </sheetViews>
  <sheetFormatPr defaultColWidth="8.6640625" defaultRowHeight="14.4" x14ac:dyDescent="0.3"/>
  <cols>
    <col min="1" max="1" width="2" customWidth="1"/>
    <col min="2" max="16" width="5.6640625" customWidth="1"/>
    <col min="17" max="17" width="10" customWidth="1"/>
    <col min="18" max="25" width="5.6640625" customWidth="1"/>
    <col min="26" max="26" width="2" customWidth="1"/>
  </cols>
  <sheetData>
    <row r="1" spans="1:27" ht="33.75" customHeight="1" x14ac:dyDescent="0.3">
      <c r="A1" s="158" t="s">
        <v>469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3"/>
    </row>
    <row r="2" spans="1:27" ht="18.75" customHeight="1" x14ac:dyDescent="0.3">
      <c r="A2" s="167" t="s">
        <v>470</v>
      </c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6"/>
      <c r="W2" s="136"/>
      <c r="X2" s="136"/>
      <c r="Y2" s="136"/>
      <c r="Z2" s="136"/>
      <c r="AA2" s="3"/>
    </row>
    <row r="3" spans="1:27" ht="15" customHeight="1" x14ac:dyDescent="0.3">
      <c r="A3" s="163" t="str">
        <f ca="1">"   2-Year Weekly Analysis  ·  7 Holdings  ·  7 Sectors  ·  "&amp;TEXT(Inputs!$B$6,"dd-mmm-yy")&amp;" to "&amp;TEXT(Inputs!$B$7,"dd-mmm-yy")&amp;"  ·  risk-free "&amp;TEXT(RiskFree,"0.00%")&amp;"  ·  all figures INR"</f>
        <v xml:space="preserve">   2-Year Weekly Analysis  ·  7 Holdings  ·  7 Sectors  ·  09-Sep-24 to 07-Sep-26  ·  risk-free 6.95%  ·  all figures INR</v>
      </c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3"/>
    </row>
    <row r="4" spans="1:27" x14ac:dyDescent="0.3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ht="12" customHeight="1" x14ac:dyDescent="0.3">
      <c r="A5" s="3"/>
      <c r="B5" s="148" t="s">
        <v>471</v>
      </c>
      <c r="C5" s="142"/>
      <c r="D5" s="142"/>
      <c r="E5" s="143"/>
      <c r="F5" s="148" t="s">
        <v>472</v>
      </c>
      <c r="G5" s="142"/>
      <c r="H5" s="142"/>
      <c r="I5" s="143"/>
      <c r="J5" s="148" t="s">
        <v>473</v>
      </c>
      <c r="K5" s="142"/>
      <c r="L5" s="142"/>
      <c r="M5" s="143"/>
      <c r="N5" s="148" t="s">
        <v>474</v>
      </c>
      <c r="O5" s="142"/>
      <c r="P5" s="142"/>
      <c r="Q5" s="143"/>
      <c r="R5" s="148" t="s">
        <v>475</v>
      </c>
      <c r="S5" s="142"/>
      <c r="T5" s="142"/>
      <c r="U5" s="143"/>
      <c r="V5" s="148" t="s">
        <v>476</v>
      </c>
      <c r="W5" s="142"/>
      <c r="X5" s="142"/>
      <c r="Y5" s="143"/>
      <c r="Z5" s="3"/>
      <c r="AA5" s="3"/>
    </row>
    <row r="6" spans="1:27" ht="30" customHeight="1" x14ac:dyDescent="0.3">
      <c r="A6" s="3"/>
      <c r="B6" s="145">
        <f ca="1">Risk_Analysis!$B$9</f>
        <v>-7.6338422883266569E-3</v>
      </c>
      <c r="C6" s="136"/>
      <c r="D6" s="136"/>
      <c r="E6" s="137"/>
      <c r="F6" s="162">
        <f ca="1">Risk_Analysis!$B$21</f>
        <v>-0.54386887271417328</v>
      </c>
      <c r="G6" s="136"/>
      <c r="H6" s="136"/>
      <c r="I6" s="137"/>
      <c r="J6" s="166">
        <f ca="1">Risk_Analysis!$B$27</f>
        <v>0.28058366022921394</v>
      </c>
      <c r="K6" s="136"/>
      <c r="L6" s="136"/>
      <c r="M6" s="137"/>
      <c r="N6" s="135">
        <f ca="1">Risk_Analysis!$B$35</f>
        <v>-0.17991189250061801</v>
      </c>
      <c r="O6" s="136"/>
      <c r="P6" s="136"/>
      <c r="Q6" s="137"/>
      <c r="R6" s="145">
        <f ca="1">Risk_Analysis!$B$33</f>
        <v>-5.3537896061480891E-2</v>
      </c>
      <c r="S6" s="136"/>
      <c r="T6" s="136"/>
      <c r="U6" s="137"/>
      <c r="V6" s="164">
        <f ca="1">Risk_Analysis!$B$10</f>
        <v>0.1418243370012901</v>
      </c>
      <c r="W6" s="136"/>
      <c r="X6" s="136"/>
      <c r="Y6" s="137"/>
      <c r="Z6" s="3"/>
      <c r="AA6" s="3"/>
    </row>
    <row r="7" spans="1:27" ht="12.75" customHeight="1" x14ac:dyDescent="0.3">
      <c r="A7" s="3"/>
      <c r="B7" s="146" t="str">
        <f ca="1">"NIFTY 50   "&amp;TEXT(Risk_Analysis!$C$9,"0.00%")</f>
        <v>NIFTY 50   -1.46%</v>
      </c>
      <c r="C7" s="136"/>
      <c r="D7" s="136"/>
      <c r="E7" s="137"/>
      <c r="F7" s="146" t="str">
        <f ca="1">"NIFTY 50   "&amp;TEXT(Risk_Analysis!$C$21,"0.00")</f>
        <v>NIFTY 50   -0.62</v>
      </c>
      <c r="G7" s="136"/>
      <c r="H7" s="136"/>
      <c r="I7" s="137"/>
      <c r="J7" s="146" t="str">
        <f>"NIFTY 50   1.00"</f>
        <v>NIFTY 50   1.00</v>
      </c>
      <c r="K7" s="136"/>
      <c r="L7" s="136"/>
      <c r="M7" s="137"/>
      <c r="N7" s="146" t="str">
        <f ca="1">"NIFTY 50   "&amp;TEXT(Risk_Analysis!$C$35,"0.0%")</f>
        <v>NIFTY 50   -14.9%</v>
      </c>
      <c r="O7" s="136"/>
      <c r="P7" s="136"/>
      <c r="Q7" s="137"/>
      <c r="R7" s="146" t="str">
        <f ca="1">"CAPM exp.   "&amp;TEXT(Risk_Analysis!$B$32,"0.00%")</f>
        <v>CAPM exp.   4.59%</v>
      </c>
      <c r="S7" s="136"/>
      <c r="T7" s="136"/>
      <c r="U7" s="137"/>
      <c r="V7" s="146" t="str">
        <f ca="1">"NIFTY 50   "&amp;TEXT(Risk_Analysis!$C$10,"0.00%")</f>
        <v>NIFTY 50   13.62%</v>
      </c>
      <c r="W7" s="136"/>
      <c r="X7" s="136"/>
      <c r="Y7" s="137"/>
      <c r="Z7" s="3"/>
      <c r="AA7" s="3"/>
    </row>
    <row r="8" spans="1:27" ht="12.75" customHeight="1" x14ac:dyDescent="0.3">
      <c r="A8" s="3"/>
      <c r="B8" s="159" t="str">
        <f ca="1">IF(Risk_Analysis!$B$9&gt;Risk_Analysis!$C$9,"Ahead of benchmark","Behind benchmark")</f>
        <v>Ahead of benchmark</v>
      </c>
      <c r="C8" s="160"/>
      <c r="D8" s="160"/>
      <c r="E8" s="161"/>
      <c r="F8" s="159" t="str">
        <f ca="1">IF(Risk_Analysis!$B$21&gt;Risk_Analysis!$C$21,"Better risk-adjusted return","Worse risk-adjusted return")</f>
        <v>Better risk-adjusted return</v>
      </c>
      <c r="G8" s="160"/>
      <c r="H8" s="160"/>
      <c r="I8" s="161"/>
      <c r="J8" s="159" t="str">
        <f ca="1">IF(Risk_Analysis!$B$27&gt;1.05,"Aggressive tilt",IF(Risk_Analysis!$B$27&lt;0.95,"Defensive tilt","Market-like exposure"))</f>
        <v>Defensive tilt</v>
      </c>
      <c r="K8" s="160"/>
      <c r="L8" s="160"/>
      <c r="M8" s="161"/>
      <c r="N8" s="159" t="str">
        <f ca="1">IF(Risk_Analysis!$B$35&lt;Risk_Analysis!$C$35,"Deeper than benchmark","Shallower than benchmark")</f>
        <v>Deeper than benchmark</v>
      </c>
      <c r="O8" s="160"/>
      <c r="P8" s="160"/>
      <c r="Q8" s="161"/>
      <c r="R8" s="159" t="str">
        <f ca="1">IF(Risk_Analysis!$B$33&gt;0,"Positive risk-adjusted skill","Negative risk-adjusted alpha")</f>
        <v>Negative risk-adjusted alpha</v>
      </c>
      <c r="S8" s="160"/>
      <c r="T8" s="160"/>
      <c r="U8" s="161"/>
      <c r="V8" s="159" t="str">
        <f ca="1">IF(Risk_Analysis!$B$10&gt;Risk_Analysis!$C$10,"More volatile than benchmark","Less volatile than benchmark")</f>
        <v>More volatile than benchmark</v>
      </c>
      <c r="W8" s="160"/>
      <c r="X8" s="160"/>
      <c r="Y8" s="161"/>
      <c r="Z8" s="3"/>
      <c r="AA8" s="3"/>
    </row>
    <row r="9" spans="1:27" x14ac:dyDescent="0.3">
      <c r="A9" s="3"/>
      <c r="B9" s="119" t="s">
        <v>255</v>
      </c>
      <c r="C9" s="119" t="s">
        <v>17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6.5" customHeight="1" x14ac:dyDescent="0.3">
      <c r="A10" s="3"/>
      <c r="B10" s="140" t="s">
        <v>477</v>
      </c>
      <c r="C10" s="136"/>
      <c r="D10" s="136"/>
      <c r="E10" s="136"/>
      <c r="F10" s="136"/>
      <c r="G10" s="136"/>
      <c r="H10" s="136"/>
      <c r="I10" s="136"/>
      <c r="J10" s="136"/>
      <c r="K10" s="136"/>
      <c r="L10" s="136"/>
      <c r="M10" s="136"/>
      <c r="N10" s="136"/>
      <c r="O10" s="136"/>
      <c r="P10" s="136"/>
      <c r="Q10" s="140" t="s">
        <v>478</v>
      </c>
      <c r="R10" s="136"/>
      <c r="S10" s="136"/>
      <c r="T10" s="136"/>
      <c r="U10" s="136"/>
      <c r="V10" s="136"/>
      <c r="W10" s="136"/>
      <c r="X10" s="136"/>
      <c r="Y10" s="136"/>
      <c r="Z10" s="3"/>
      <c r="AA10" s="3"/>
    </row>
    <row r="11" spans="1:27" x14ac:dyDescent="0.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x14ac:dyDescent="0.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x14ac:dyDescent="0.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x14ac:dyDescent="0.3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x14ac:dyDescent="0.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x14ac:dyDescent="0.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x14ac:dyDescent="0.3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x14ac:dyDescent="0.3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x14ac:dyDescent="0.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x14ac:dyDescent="0.3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x14ac:dyDescent="0.3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x14ac:dyDescent="0.3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x14ac:dyDescent="0.3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x14ac:dyDescent="0.3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x14ac:dyDescent="0.3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x14ac:dyDescent="0.3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16.5" customHeight="1" x14ac:dyDescent="0.3">
      <c r="A32" s="3"/>
      <c r="B32" s="140" t="s">
        <v>479</v>
      </c>
      <c r="C32" s="136"/>
      <c r="D32" s="136"/>
      <c r="E32" s="136"/>
      <c r="F32" s="136"/>
      <c r="G32" s="136"/>
      <c r="H32" s="136"/>
      <c r="I32" s="136"/>
      <c r="J32" s="136"/>
      <c r="K32" s="136"/>
      <c r="L32" s="136"/>
      <c r="M32" s="136"/>
      <c r="N32" s="136"/>
      <c r="O32" s="136"/>
      <c r="P32" s="136"/>
      <c r="Q32" s="140" t="s">
        <v>480</v>
      </c>
      <c r="R32" s="136"/>
      <c r="S32" s="136"/>
      <c r="T32" s="136"/>
      <c r="U32" s="136"/>
      <c r="V32" s="136"/>
      <c r="W32" s="136"/>
      <c r="X32" s="136"/>
      <c r="Y32" s="136"/>
      <c r="Z32" s="3"/>
      <c r="AA32" s="3"/>
    </row>
    <row r="33" spans="1:27" x14ac:dyDescent="0.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x14ac:dyDescent="0.3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x14ac:dyDescent="0.3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x14ac:dyDescent="0.3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x14ac:dyDescent="0.3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x14ac:dyDescent="0.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x14ac:dyDescent="0.3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x14ac:dyDescent="0.3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x14ac:dyDescent="0.3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x14ac:dyDescent="0.3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x14ac:dyDescent="0.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x14ac:dyDescent="0.3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x14ac:dyDescent="0.3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x14ac:dyDescent="0.3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x14ac:dyDescent="0.3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16.5" customHeight="1" x14ac:dyDescent="0.3">
      <c r="A48" s="3"/>
      <c r="B48" s="140" t="s">
        <v>481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52" t="s">
        <v>482</v>
      </c>
      <c r="R48" s="153"/>
      <c r="S48" s="153"/>
      <c r="T48" s="153"/>
      <c r="U48" s="153"/>
      <c r="V48" s="153"/>
      <c r="W48" s="153"/>
      <c r="X48" s="153"/>
      <c r="Y48" s="153"/>
      <c r="Z48" s="3"/>
      <c r="AA48" s="3"/>
    </row>
    <row r="49" spans="1:27" ht="18" customHeight="1" x14ac:dyDescent="0.3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19.5" customHeight="1" x14ac:dyDescent="0.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19.5" customHeight="1" x14ac:dyDescent="0.3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19.5" customHeight="1" x14ac:dyDescent="0.3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7"/>
      <c r="S52" s="72" t="s">
        <v>483</v>
      </c>
      <c r="T52" s="72" t="s">
        <v>484</v>
      </c>
      <c r="U52" s="72" t="s">
        <v>485</v>
      </c>
      <c r="V52" s="72" t="s">
        <v>486</v>
      </c>
      <c r="W52" s="72" t="s">
        <v>487</v>
      </c>
      <c r="X52" s="72" t="s">
        <v>488</v>
      </c>
      <c r="Y52" s="72" t="s">
        <v>489</v>
      </c>
      <c r="Z52" s="3"/>
      <c r="AA52" s="3"/>
    </row>
    <row r="53" spans="1:27" ht="19.5" customHeight="1" x14ac:dyDescent="0.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72" t="s">
        <v>483</v>
      </c>
      <c r="S53" s="73">
        <f ca="1">Correlation!B7</f>
        <v>1</v>
      </c>
      <c r="T53" s="73">
        <f ca="1">Correlation!C7</f>
        <v>0.39814713709419636</v>
      </c>
      <c r="U53" s="73">
        <f ca="1">Correlation!D7</f>
        <v>0.39330991060742465</v>
      </c>
      <c r="V53" s="73">
        <f ca="1">Correlation!E7</f>
        <v>0.42911332161365057</v>
      </c>
      <c r="W53" s="73">
        <f ca="1">Correlation!F7</f>
        <v>0.19182906544793354</v>
      </c>
      <c r="X53" s="73">
        <f ca="1">Correlation!G7</f>
        <v>0.41736088460372872</v>
      </c>
      <c r="Y53" s="73">
        <f ca="1">Correlation!H7</f>
        <v>0.21879103830136123</v>
      </c>
      <c r="Z53" s="3"/>
      <c r="AA53" s="3"/>
    </row>
    <row r="54" spans="1:27" ht="19.5" customHeight="1" x14ac:dyDescent="0.3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72" t="s">
        <v>484</v>
      </c>
      <c r="S54" s="73">
        <f ca="1">Correlation!B8</f>
        <v>0.39814713709419636</v>
      </c>
      <c r="T54" s="73">
        <f ca="1">Correlation!C8</f>
        <v>1</v>
      </c>
      <c r="U54" s="73">
        <f ca="1">Correlation!D8</f>
        <v>0.39908704849454363</v>
      </c>
      <c r="V54" s="73">
        <f ca="1">Correlation!E8</f>
        <v>0.33335130835297272</v>
      </c>
      <c r="W54" s="73">
        <f ca="1">Correlation!F8</f>
        <v>0.22807050544452712</v>
      </c>
      <c r="X54" s="73">
        <f ca="1">Correlation!G8</f>
        <v>0.34271125746479353</v>
      </c>
      <c r="Y54" s="73">
        <f ca="1">Correlation!H8</f>
        <v>0.24743998863619182</v>
      </c>
      <c r="Z54" s="3"/>
      <c r="AA54" s="3"/>
    </row>
    <row r="55" spans="1:27" ht="19.5" customHeight="1" x14ac:dyDescent="0.3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72" t="s">
        <v>485</v>
      </c>
      <c r="S55" s="73">
        <f ca="1">Correlation!B9</f>
        <v>0.39330991060742465</v>
      </c>
      <c r="T55" s="73">
        <f ca="1">Correlation!C9</f>
        <v>0.39908704849454363</v>
      </c>
      <c r="U55" s="73">
        <f ca="1">Correlation!D9</f>
        <v>1</v>
      </c>
      <c r="V55" s="73">
        <f ca="1">Correlation!E9</f>
        <v>0.42568372135354943</v>
      </c>
      <c r="W55" s="73">
        <f ca="1">Correlation!F9</f>
        <v>0.24527870287517381</v>
      </c>
      <c r="X55" s="73">
        <f ca="1">Correlation!G9</f>
        <v>0.32132267277966131</v>
      </c>
      <c r="Y55" s="73">
        <f ca="1">Correlation!H9</f>
        <v>0.14603491832963389</v>
      </c>
      <c r="Z55" s="3"/>
      <c r="AA55" s="3"/>
    </row>
    <row r="56" spans="1:27" ht="19.5" customHeight="1" x14ac:dyDescent="0.3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72" t="s">
        <v>486</v>
      </c>
      <c r="S56" s="73">
        <f ca="1">Correlation!B10</f>
        <v>0.42911332161365057</v>
      </c>
      <c r="T56" s="73">
        <f ca="1">Correlation!C10</f>
        <v>0.33335130835297272</v>
      </c>
      <c r="U56" s="73">
        <f ca="1">Correlation!D10</f>
        <v>0.42568372135354943</v>
      </c>
      <c r="V56" s="73">
        <f ca="1">Correlation!E10</f>
        <v>0.99999999999999978</v>
      </c>
      <c r="W56" s="73">
        <f ca="1">Correlation!F10</f>
        <v>0.22740707421938569</v>
      </c>
      <c r="X56" s="73">
        <f ca="1">Correlation!G10</f>
        <v>0.37306294593451916</v>
      </c>
      <c r="Y56" s="73">
        <f ca="1">Correlation!H10</f>
        <v>0.22900743275501198</v>
      </c>
      <c r="Z56" s="3"/>
      <c r="AA56" s="3"/>
    </row>
    <row r="57" spans="1:27" x14ac:dyDescent="0.3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72" t="s">
        <v>487</v>
      </c>
      <c r="S57" s="73">
        <f ca="1">Correlation!B11</f>
        <v>0.19182906544793354</v>
      </c>
      <c r="T57" s="73">
        <f ca="1">Correlation!C11</f>
        <v>0.22807050544452712</v>
      </c>
      <c r="U57" s="73">
        <f ca="1">Correlation!D11</f>
        <v>0.24527870287517381</v>
      </c>
      <c r="V57" s="73">
        <f ca="1">Correlation!E11</f>
        <v>0.22740707421938569</v>
      </c>
      <c r="W57" s="73">
        <f ca="1">Correlation!F11</f>
        <v>0.99999999999999989</v>
      </c>
      <c r="X57" s="73">
        <f ca="1">Correlation!G11</f>
        <v>0.30138072257200194</v>
      </c>
      <c r="Y57" s="73">
        <f ca="1">Correlation!H11</f>
        <v>-4.4990875352997242E-2</v>
      </c>
      <c r="Z57" s="3"/>
      <c r="AA57" s="3"/>
    </row>
    <row r="58" spans="1:27" x14ac:dyDescent="0.3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72" t="s">
        <v>488</v>
      </c>
      <c r="S58" s="73">
        <f ca="1">Correlation!B12</f>
        <v>0.41736088460372872</v>
      </c>
      <c r="T58" s="73">
        <f ca="1">Correlation!C12</f>
        <v>0.34271125746479353</v>
      </c>
      <c r="U58" s="73">
        <f ca="1">Correlation!D12</f>
        <v>0.32132267277966131</v>
      </c>
      <c r="V58" s="73">
        <f ca="1">Correlation!E12</f>
        <v>0.37306294593451916</v>
      </c>
      <c r="W58" s="73">
        <f ca="1">Correlation!F12</f>
        <v>0.30138072257200194</v>
      </c>
      <c r="X58" s="73">
        <f ca="1">Correlation!G12</f>
        <v>0.99999999999999978</v>
      </c>
      <c r="Y58" s="73">
        <f ca="1">Correlation!H12</f>
        <v>0.20278158613504191</v>
      </c>
      <c r="Z58" s="3"/>
      <c r="AA58" s="3"/>
    </row>
    <row r="59" spans="1:27" x14ac:dyDescent="0.3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72" t="s">
        <v>489</v>
      </c>
      <c r="S59" s="73">
        <f ca="1">Correlation!B13</f>
        <v>0.21879103830136123</v>
      </c>
      <c r="T59" s="73">
        <f ca="1">Correlation!C13</f>
        <v>0.24743998863619182</v>
      </c>
      <c r="U59" s="73">
        <f ca="1">Correlation!D13</f>
        <v>0.14603491832963389</v>
      </c>
      <c r="V59" s="73">
        <f ca="1">Correlation!E13</f>
        <v>0.22900743275501198</v>
      </c>
      <c r="W59" s="73">
        <f ca="1">Correlation!F13</f>
        <v>-4.4990875352997242E-2</v>
      </c>
      <c r="X59" s="73">
        <f ca="1">Correlation!G13</f>
        <v>0.20278158613504191</v>
      </c>
      <c r="Y59" s="73">
        <f ca="1">Correlation!H13</f>
        <v>1</v>
      </c>
      <c r="Z59" s="3"/>
      <c r="AA59" s="3"/>
    </row>
    <row r="60" spans="1:27" x14ac:dyDescent="0.3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x14ac:dyDescent="0.3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147" t="str">
        <f>"Highest ρ = "&amp;TEXT([1]Correlation!$B$41,"0.00")&amp;" (cyan) · lowest ρ = "&amp;TEXT([1]Correlation!$B$42,"0.00")&amp;" (green) · average ρ = "&amp;TEXT([1]Correlation!$B$43,"0.00")</f>
        <v>Highest ρ = 0.43 (cyan) · lowest ρ = -0.04 (green) · average ρ = 0.29</v>
      </c>
      <c r="S61" s="147"/>
      <c r="T61" s="147"/>
      <c r="U61" s="147"/>
      <c r="V61" s="147"/>
      <c r="W61" s="147"/>
      <c r="X61" s="147"/>
      <c r="Y61" s="147"/>
      <c r="Z61" s="147"/>
      <c r="AA61" s="147"/>
    </row>
    <row r="62" spans="1:27" x14ac:dyDescent="0.3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147" t="s">
        <v>499</v>
      </c>
      <c r="S62" s="147"/>
      <c r="T62" s="147"/>
      <c r="U62" s="147"/>
      <c r="V62" s="147"/>
      <c r="W62" s="147"/>
      <c r="X62" s="147"/>
      <c r="Y62" s="147"/>
      <c r="Z62" s="147"/>
      <c r="AA62" s="147"/>
    </row>
    <row r="63" spans="1:27" x14ac:dyDescent="0.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x14ac:dyDescent="0.3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x14ac:dyDescent="0.3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16.5" customHeight="1" x14ac:dyDescent="0.3">
      <c r="A66" s="3"/>
      <c r="B66" s="140" t="s">
        <v>490</v>
      </c>
      <c r="C66" s="136"/>
      <c r="D66" s="136"/>
      <c r="E66" s="136"/>
      <c r="F66" s="136"/>
      <c r="G66" s="136"/>
      <c r="H66" s="136"/>
      <c r="I66" s="136"/>
      <c r="J66" s="136"/>
      <c r="K66" s="136"/>
      <c r="L66" s="136"/>
      <c r="M66" s="136"/>
      <c r="N66" s="136"/>
      <c r="O66" s="136"/>
      <c r="P66" s="136"/>
      <c r="Q66" s="140" t="s">
        <v>491</v>
      </c>
      <c r="R66" s="136"/>
      <c r="S66" s="136"/>
      <c r="T66" s="136"/>
      <c r="U66" s="136"/>
      <c r="V66" s="136"/>
      <c r="W66" s="136"/>
      <c r="X66" s="136"/>
      <c r="Y66" s="136"/>
      <c r="Z66" s="3"/>
      <c r="AA66" s="3"/>
    </row>
    <row r="67" spans="1:27" ht="12.75" customHeight="1" x14ac:dyDescent="0.3">
      <c r="A67" s="3"/>
      <c r="B67" s="151" t="s">
        <v>269</v>
      </c>
      <c r="C67" s="142"/>
      <c r="D67" s="142"/>
      <c r="E67" s="142"/>
      <c r="F67" s="142"/>
      <c r="G67" s="142"/>
      <c r="H67" s="142"/>
      <c r="I67" s="142"/>
      <c r="J67" s="156" t="s">
        <v>255</v>
      </c>
      <c r="K67" s="142"/>
      <c r="L67" s="142"/>
      <c r="M67" s="156" t="s">
        <v>17</v>
      </c>
      <c r="N67" s="142"/>
      <c r="O67" s="142"/>
      <c r="P67" s="74" t="s">
        <v>492</v>
      </c>
      <c r="Q67" s="141" t="str">
        <f ca="1">"1.  PERFORMANCE — "&amp;IF(Risk_Analysis!$B$9&gt;Risk_Analysis!$C$9,"Outperformed","Underperformed")&amp;" NIFTY: "&amp;TEXT(Risk_Analysis!$B$9,"0.00%")&amp;" vs "&amp;TEXT(Risk_Analysis!$C$9,"0.00%")&amp;"; beta "&amp;TEXT(Risk_Analysis!$B$27,"0.00")&amp;"."</f>
        <v>1.  PERFORMANCE — Outperformed NIFTY: -0.76% vs -1.46%; beta 0.28.</v>
      </c>
      <c r="R67" s="142"/>
      <c r="S67" s="142"/>
      <c r="T67" s="142"/>
      <c r="U67" s="142"/>
      <c r="V67" s="142"/>
      <c r="W67" s="142"/>
      <c r="X67" s="142"/>
      <c r="Y67" s="143"/>
      <c r="Z67" s="3"/>
      <c r="AA67" s="3"/>
    </row>
    <row r="68" spans="1:27" ht="12.75" customHeight="1" x14ac:dyDescent="0.3">
      <c r="A68" s="3"/>
      <c r="B68" s="149" t="s">
        <v>282</v>
      </c>
      <c r="C68" s="136"/>
      <c r="D68" s="136"/>
      <c r="E68" s="136"/>
      <c r="F68" s="136"/>
      <c r="G68" s="136"/>
      <c r="H68" s="136"/>
      <c r="I68" s="136"/>
      <c r="J68" s="157">
        <f ca="1">Benchmark!$B$6</f>
        <v>-7.6338422883266569E-3</v>
      </c>
      <c r="K68" s="136"/>
      <c r="L68" s="136"/>
      <c r="M68" s="139">
        <f ca="1">Benchmark!$C$6</f>
        <v>-1.459593847186186E-2</v>
      </c>
      <c r="N68" s="136"/>
      <c r="O68" s="136"/>
      <c r="P68" s="75">
        <f ca="1">J68-M68</f>
        <v>6.9620961835352027E-3</v>
      </c>
      <c r="Q68" s="144"/>
      <c r="R68" s="136"/>
      <c r="S68" s="136"/>
      <c r="T68" s="136"/>
      <c r="U68" s="136"/>
      <c r="V68" s="136"/>
      <c r="W68" s="136"/>
      <c r="X68" s="136"/>
      <c r="Y68" s="137"/>
      <c r="Z68" s="3"/>
      <c r="AA68" s="3"/>
    </row>
    <row r="69" spans="1:27" ht="12.75" customHeight="1" x14ac:dyDescent="0.3">
      <c r="A69" s="3"/>
      <c r="B69" s="149" t="s">
        <v>285</v>
      </c>
      <c r="C69" s="136"/>
      <c r="D69" s="136"/>
      <c r="E69" s="136"/>
      <c r="F69" s="136"/>
      <c r="G69" s="136"/>
      <c r="H69" s="136"/>
      <c r="I69" s="136"/>
      <c r="J69" s="157">
        <f ca="1">Benchmark!$B$7</f>
        <v>0.1418243370012901</v>
      </c>
      <c r="K69" s="136"/>
      <c r="L69" s="136"/>
      <c r="M69" s="139">
        <f ca="1">Benchmark!$C$7</f>
        <v>0.13617138829179659</v>
      </c>
      <c r="N69" s="136"/>
      <c r="O69" s="136"/>
      <c r="P69" s="75">
        <f ca="1">J69-M69</f>
        <v>5.6529487094935105E-3</v>
      </c>
      <c r="Q69" s="144"/>
      <c r="R69" s="136"/>
      <c r="S69" s="136"/>
      <c r="T69" s="136"/>
      <c r="U69" s="136"/>
      <c r="V69" s="136"/>
      <c r="W69" s="136"/>
      <c r="X69" s="136"/>
      <c r="Y69" s="137"/>
      <c r="Z69" s="3"/>
      <c r="AA69" s="3"/>
    </row>
    <row r="70" spans="1:27" ht="12.75" customHeight="1" x14ac:dyDescent="0.3">
      <c r="A70" s="3"/>
      <c r="B70" s="149" t="s">
        <v>308</v>
      </c>
      <c r="C70" s="136"/>
      <c r="D70" s="136"/>
      <c r="E70" s="136"/>
      <c r="F70" s="136"/>
      <c r="G70" s="136"/>
      <c r="H70" s="136"/>
      <c r="I70" s="136"/>
      <c r="J70" s="168">
        <f ca="1">Benchmark!$B$8</f>
        <v>-0.54386887271417328</v>
      </c>
      <c r="K70" s="136"/>
      <c r="L70" s="136"/>
      <c r="M70" s="138">
        <f ca="1">Benchmark!$C$8</f>
        <v>-0.61757421677787272</v>
      </c>
      <c r="N70" s="136"/>
      <c r="O70" s="136"/>
      <c r="P70" s="76">
        <f ca="1">J70-M70</f>
        <v>7.3705344063699441E-2</v>
      </c>
      <c r="Q70" s="150" t="str">
        <f ca="1">"2.  RISK — Sharpe "&amp;TEXT(Risk_Analysis!$B$21,"0.00")&amp;" vs "&amp;TEXT(Risk_Analysis!$C$21,"0.00")&amp;"; alpha "&amp;TEXT(Risk_Analysis!$B$33,"0.00%")&amp;"; max DD "&amp;TEXT(Risk_Analysis!$B$35,"0.0%")&amp;" vs "&amp;TEXT(Risk_Analysis!$C$35,"0.0%")&amp;"."</f>
        <v>2.  RISK — Sharpe -0.54 vs -0.62; alpha -5.35%; max DD -18.0% vs -14.9%.</v>
      </c>
      <c r="R70" s="136"/>
      <c r="S70" s="136"/>
      <c r="T70" s="136"/>
      <c r="U70" s="136"/>
      <c r="V70" s="136"/>
      <c r="W70" s="136"/>
      <c r="X70" s="136"/>
      <c r="Y70" s="137"/>
      <c r="Z70" s="3"/>
      <c r="AA70" s="3"/>
    </row>
    <row r="71" spans="1:27" ht="12.75" customHeight="1" x14ac:dyDescent="0.3">
      <c r="A71" s="3"/>
      <c r="B71" s="149" t="s">
        <v>341</v>
      </c>
      <c r="C71" s="136"/>
      <c r="D71" s="136"/>
      <c r="E71" s="136"/>
      <c r="F71" s="136"/>
      <c r="G71" s="136"/>
      <c r="H71" s="136"/>
      <c r="I71" s="136"/>
      <c r="J71" s="154">
        <f ca="1">Benchmark!$B$11</f>
        <v>-0.17991189250061801</v>
      </c>
      <c r="K71" s="136"/>
      <c r="L71" s="136"/>
      <c r="M71" s="155">
        <f ca="1">Benchmark!$C$11</f>
        <v>-0.14928973284085856</v>
      </c>
      <c r="N71" s="136"/>
      <c r="O71" s="136"/>
      <c r="P71" s="77">
        <f ca="1">J71-M71</f>
        <v>-3.0622159659759451E-2</v>
      </c>
      <c r="Q71" s="144"/>
      <c r="R71" s="136"/>
      <c r="S71" s="136"/>
      <c r="T71" s="136"/>
      <c r="U71" s="136"/>
      <c r="V71" s="136"/>
      <c r="W71" s="136"/>
      <c r="X71" s="136"/>
      <c r="Y71" s="137"/>
      <c r="Z71" s="3"/>
      <c r="AA71" s="3"/>
    </row>
    <row r="72" spans="1:27" ht="12.75" customHeight="1" x14ac:dyDescent="0.3">
      <c r="A72" s="3"/>
      <c r="B72" s="149" t="s">
        <v>403</v>
      </c>
      <c r="C72" s="136"/>
      <c r="D72" s="136"/>
      <c r="E72" s="136"/>
      <c r="F72" s="136"/>
      <c r="G72" s="136"/>
      <c r="H72" s="136"/>
      <c r="I72" s="136"/>
      <c r="J72" s="157">
        <f ca="1">Benchmark!$B$12</f>
        <v>-3.4623975052780587E-2</v>
      </c>
      <c r="K72" s="136"/>
      <c r="L72" s="136"/>
      <c r="M72" s="139">
        <f ca="1">Benchmark!$C$12</f>
        <v>-4.6408061383032662E-2</v>
      </c>
      <c r="N72" s="136"/>
      <c r="O72" s="136"/>
      <c r="P72" s="75">
        <f ca="1">J72-M72</f>
        <v>1.1784086330252075E-2</v>
      </c>
      <c r="Q72" s="144"/>
      <c r="R72" s="136"/>
      <c r="S72" s="136"/>
      <c r="T72" s="136"/>
      <c r="U72" s="136"/>
      <c r="V72" s="136"/>
      <c r="W72" s="136"/>
      <c r="X72" s="136"/>
      <c r="Y72" s="137"/>
      <c r="Z72" s="3"/>
      <c r="AA72" s="3"/>
    </row>
    <row r="73" spans="1:27" ht="12.75" customHeight="1" x14ac:dyDescent="0.3">
      <c r="A73" s="3"/>
      <c r="B73" s="149" t="s">
        <v>318</v>
      </c>
      <c r="C73" s="136"/>
      <c r="D73" s="136"/>
      <c r="E73" s="136"/>
      <c r="F73" s="136"/>
      <c r="G73" s="136"/>
      <c r="H73" s="136"/>
      <c r="I73" s="136"/>
      <c r="J73" s="168">
        <f ca="1">Benchmark!$B$10</f>
        <v>0.28058366022921394</v>
      </c>
      <c r="K73" s="136"/>
      <c r="L73" s="136"/>
      <c r="M73" s="138">
        <f>Benchmark!$C$10</f>
        <v>1</v>
      </c>
      <c r="N73" s="136"/>
      <c r="O73" s="136"/>
      <c r="P73" s="78" t="s">
        <v>274</v>
      </c>
      <c r="Q73" s="150" t="str">
        <f ca="1">"3.  DIVERSIFICATION — Avg. correlation "&amp;TEXT(Correlation!$B$43,"0.00")&amp;"; diversification ratio "&amp;TEXT(Contribution!$B$42,"0.00")&amp;"x; volatility reduction "&amp;TEXT(Contribution!$B$43,"0.0%")&amp;"."</f>
        <v>3.  DIVERSIFICATION — Avg. correlation 0.29; diversification ratio 1.55x; volatility reduction 35.6%.</v>
      </c>
      <c r="R73" s="136"/>
      <c r="S73" s="136"/>
      <c r="T73" s="136"/>
      <c r="U73" s="136"/>
      <c r="V73" s="136"/>
      <c r="W73" s="136"/>
      <c r="X73" s="136"/>
      <c r="Y73" s="137"/>
      <c r="Z73" s="3"/>
      <c r="AA73" s="3"/>
    </row>
    <row r="74" spans="1:27" ht="12.75" customHeight="1" x14ac:dyDescent="0.3">
      <c r="A74" s="3"/>
      <c r="B74" s="171"/>
      <c r="C74" s="136"/>
      <c r="D74" s="136"/>
      <c r="E74" s="136"/>
      <c r="F74" s="136"/>
      <c r="G74" s="136"/>
      <c r="H74" s="136"/>
      <c r="I74" s="136"/>
      <c r="J74" s="136"/>
      <c r="K74" s="136"/>
      <c r="L74" s="136"/>
      <c r="M74" s="136"/>
      <c r="N74" s="136"/>
      <c r="O74" s="136"/>
      <c r="P74" s="137"/>
      <c r="Q74" s="144"/>
      <c r="R74" s="136"/>
      <c r="S74" s="136"/>
      <c r="T74" s="136"/>
      <c r="U74" s="136"/>
      <c r="V74" s="136"/>
      <c r="W74" s="136"/>
      <c r="X74" s="136"/>
      <c r="Y74" s="137"/>
      <c r="Z74" s="3"/>
      <c r="AA74" s="3"/>
    </row>
    <row r="75" spans="1:27" ht="12.75" customHeight="1" x14ac:dyDescent="0.3">
      <c r="A75" s="3"/>
      <c r="B75" s="170"/>
      <c r="C75" s="160"/>
      <c r="D75" s="160"/>
      <c r="E75" s="160"/>
      <c r="F75" s="160"/>
      <c r="G75" s="160"/>
      <c r="H75" s="160"/>
      <c r="I75" s="160"/>
      <c r="J75" s="160"/>
      <c r="K75" s="160"/>
      <c r="L75" s="160"/>
      <c r="M75" s="160"/>
      <c r="N75" s="160"/>
      <c r="O75" s="160"/>
      <c r="P75" s="161"/>
      <c r="Q75" s="144"/>
      <c r="R75" s="136"/>
      <c r="S75" s="136"/>
      <c r="T75" s="136"/>
      <c r="U75" s="136"/>
      <c r="V75" s="136"/>
      <c r="W75" s="136"/>
      <c r="X75" s="136"/>
      <c r="Y75" s="137"/>
      <c r="Z75" s="3"/>
      <c r="AA75" s="3"/>
    </row>
    <row r="76" spans="1:27" ht="12.75" customHeight="1" x14ac:dyDescent="0.3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169"/>
      <c r="R76" s="136"/>
      <c r="S76" s="136"/>
      <c r="T76" s="136"/>
      <c r="U76" s="136"/>
      <c r="V76" s="136"/>
      <c r="W76" s="136"/>
      <c r="X76" s="136"/>
      <c r="Y76" s="137"/>
      <c r="Z76" s="3"/>
      <c r="AA76" s="3"/>
    </row>
    <row r="77" spans="1:2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144"/>
      <c r="R77" s="136"/>
      <c r="S77" s="136"/>
      <c r="T77" s="136"/>
      <c r="U77" s="136"/>
      <c r="V77" s="136"/>
      <c r="W77" s="136"/>
      <c r="X77" s="136"/>
      <c r="Y77" s="137"/>
      <c r="Z77" s="3"/>
      <c r="AA77" s="3"/>
    </row>
    <row r="78" spans="1:2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170"/>
      <c r="R78" s="160"/>
      <c r="S78" s="160"/>
      <c r="T78" s="160"/>
      <c r="U78" s="160"/>
      <c r="V78" s="160"/>
      <c r="W78" s="160"/>
      <c r="X78" s="160"/>
      <c r="Y78" s="161"/>
      <c r="Z78" s="3"/>
      <c r="AA78" s="3"/>
    </row>
    <row r="79" spans="1:27" x14ac:dyDescent="0.3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x14ac:dyDescent="0.3">
      <c r="A80" s="3"/>
      <c r="B80" s="165" t="s">
        <v>493</v>
      </c>
      <c r="C80" s="136"/>
      <c r="D80" s="136"/>
      <c r="E80" s="136"/>
      <c r="F80" s="136"/>
      <c r="G80" s="136"/>
      <c r="H80" s="136"/>
      <c r="I80" s="136"/>
      <c r="J80" s="136"/>
      <c r="K80" s="136"/>
      <c r="L80" s="136"/>
      <c r="M80" s="136"/>
      <c r="N80" s="136"/>
      <c r="O80" s="136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3"/>
      <c r="AA80" s="3"/>
    </row>
    <row r="81" spans="1:27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</sheetData>
  <mergeCells count="64">
    <mergeCell ref="M73:O73"/>
    <mergeCell ref="J7:M7"/>
    <mergeCell ref="J68:L68"/>
    <mergeCell ref="B74:P75"/>
    <mergeCell ref="B72:I72"/>
    <mergeCell ref="J70:L70"/>
    <mergeCell ref="B80:Y80"/>
    <mergeCell ref="Q66:Y66"/>
    <mergeCell ref="J6:M6"/>
    <mergeCell ref="Q70:Y72"/>
    <mergeCell ref="A2:Z2"/>
    <mergeCell ref="R7:U7"/>
    <mergeCell ref="R6:U6"/>
    <mergeCell ref="F5:I5"/>
    <mergeCell ref="B32:P32"/>
    <mergeCell ref="J73:L73"/>
    <mergeCell ref="J72:L72"/>
    <mergeCell ref="J67:L67"/>
    <mergeCell ref="M68:O68"/>
    <mergeCell ref="Q76:Y78"/>
    <mergeCell ref="N5:Q5"/>
    <mergeCell ref="B68:I68"/>
    <mergeCell ref="A1:Z1"/>
    <mergeCell ref="B10:P10"/>
    <mergeCell ref="R8:U8"/>
    <mergeCell ref="J8:M8"/>
    <mergeCell ref="B7:E7"/>
    <mergeCell ref="J5:M5"/>
    <mergeCell ref="N7:Q7"/>
    <mergeCell ref="V5:Y5"/>
    <mergeCell ref="F6:I6"/>
    <mergeCell ref="V8:Y8"/>
    <mergeCell ref="F7:I7"/>
    <mergeCell ref="A3:Z3"/>
    <mergeCell ref="B8:E8"/>
    <mergeCell ref="N8:Q8"/>
    <mergeCell ref="F8:I8"/>
    <mergeCell ref="V6:Y6"/>
    <mergeCell ref="B5:E5"/>
    <mergeCell ref="B71:I71"/>
    <mergeCell ref="Q73:Y75"/>
    <mergeCell ref="B70:I70"/>
    <mergeCell ref="R5:U5"/>
    <mergeCell ref="B67:I67"/>
    <mergeCell ref="Q48:Y48"/>
    <mergeCell ref="B73:I73"/>
    <mergeCell ref="M72:O72"/>
    <mergeCell ref="J71:L71"/>
    <mergeCell ref="B69:I69"/>
    <mergeCell ref="Q32:Y32"/>
    <mergeCell ref="M71:O71"/>
    <mergeCell ref="M67:O67"/>
    <mergeCell ref="B66:P66"/>
    <mergeCell ref="J69:L69"/>
    <mergeCell ref="N6:Q6"/>
    <mergeCell ref="M70:O70"/>
    <mergeCell ref="M69:O69"/>
    <mergeCell ref="B48:P48"/>
    <mergeCell ref="Q67:Y69"/>
    <mergeCell ref="Q10:Y10"/>
    <mergeCell ref="B6:E6"/>
    <mergeCell ref="V7:Y7"/>
    <mergeCell ref="R61:AA61"/>
    <mergeCell ref="R62:AA62"/>
  </mergeCells>
  <conditionalFormatting sqref="B6">
    <cfRule type="expression" dxfId="11" priority="2">
      <formula>B6&gt;0</formula>
    </cfRule>
    <cfRule type="expression" dxfId="10" priority="3">
      <formula>B6&lt;0</formula>
    </cfRule>
  </conditionalFormatting>
  <conditionalFormatting sqref="F6">
    <cfRule type="expression" dxfId="9" priority="4">
      <formula>F6&gt;0</formula>
    </cfRule>
    <cfRule type="expression" dxfId="8" priority="5">
      <formula>F6&lt;0</formula>
    </cfRule>
  </conditionalFormatting>
  <conditionalFormatting sqref="J69">
    <cfRule type="expression" dxfId="7" priority="13">
      <formula>J69&lt;M69</formula>
    </cfRule>
    <cfRule type="expression" dxfId="6" priority="14">
      <formula>J69&gt;=M69</formula>
    </cfRule>
  </conditionalFormatting>
  <conditionalFormatting sqref="J70:J71">
    <cfRule type="expression" dxfId="5" priority="15">
      <formula>J70&gt;M70</formula>
    </cfRule>
    <cfRule type="expression" dxfId="4" priority="16">
      <formula>J70&lt;=M70</formula>
    </cfRule>
  </conditionalFormatting>
  <conditionalFormatting sqref="N6">
    <cfRule type="expression" dxfId="3" priority="6">
      <formula>N6&gt;0</formula>
    </cfRule>
    <cfRule type="expression" dxfId="2" priority="7">
      <formula>N6&lt;0</formula>
    </cfRule>
  </conditionalFormatting>
  <conditionalFormatting sqref="R6">
    <cfRule type="expression" dxfId="1" priority="8">
      <formula>R6&gt;0</formula>
    </cfRule>
    <cfRule type="expression" dxfId="0" priority="9">
      <formula>R6&lt;0</formula>
    </cfRule>
  </conditionalFormatting>
  <conditionalFormatting sqref="S53:Y59">
    <cfRule type="colorScale" priority="10">
      <colorScale>
        <cfvo type="num" val="-0.2"/>
        <cfvo type="num" val="0.4"/>
        <cfvo type="num" val="1"/>
        <color rgb="FF1F5C4D"/>
        <color rgb="FF17253F"/>
        <color rgb="FF6B2C2C"/>
      </colorScale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4B9AA50-1AF2-405A-87B8-9B50DAC937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11</vt:i4>
      </vt:variant>
    </vt:vector>
  </HeadingPairs>
  <TitlesOfParts>
    <vt:vector size="23" baseType="lpstr">
      <vt:lpstr>Overview</vt:lpstr>
      <vt:lpstr>Inputs</vt:lpstr>
      <vt:lpstr>Holdings</vt:lpstr>
      <vt:lpstr>Prices</vt:lpstr>
      <vt:lpstr>Market_Data</vt:lpstr>
      <vt:lpstr>Returns</vt:lpstr>
      <vt:lpstr>Risk_Analysis</vt:lpstr>
      <vt:lpstr>Correlation</vt:lpstr>
      <vt:lpstr>Drawdown</vt:lpstr>
      <vt:lpstr>Benchmark</vt:lpstr>
      <vt:lpstr>Contribution</vt:lpstr>
      <vt:lpstr>Dashboard</vt:lpstr>
      <vt:lpstr>CompanyNames</vt:lpstr>
      <vt:lpstr>IndexBase</vt:lpstr>
      <vt:lpstr>NotionalValue</vt:lpstr>
      <vt:lpstr>RiskFree</vt:lpstr>
      <vt:lpstr>Thr30</vt:lpstr>
      <vt:lpstr>Thr50</vt:lpstr>
      <vt:lpstr>Thr80</vt:lpstr>
      <vt:lpstr>Tickers</vt:lpstr>
      <vt:lpstr>WeeksPerYear</vt:lpstr>
      <vt:lpstr>Weights</vt:lpstr>
      <vt:lpstr>WeightsCol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Yash Andhrutkar</dc:creator>
  <cp:lastModifiedBy>Yash Andhrutkar</cp:lastModifiedBy>
  <dcterms:created xsi:type="dcterms:W3CDTF">2026-09-08T14:03:27Z</dcterms:created>
  <dcterms:modified xsi:type="dcterms:W3CDTF">2026-09-09T08:29:16Z</dcterms:modified>
</cp:coreProperties>
</file>