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hr\Downloads\"/>
    </mc:Choice>
  </mc:AlternateContent>
  <xr:revisionPtr revIDLastSave="0" documentId="13_ncr:1_{18F6A12E-6278-401D-BD55-8E5CF3510063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Overview" sheetId="1" r:id="rId1"/>
    <sheet name="Inputs" sheetId="2" r:id="rId2"/>
    <sheet name="Holdings" sheetId="3" r:id="rId3"/>
    <sheet name="Prices" sheetId="4" r:id="rId4"/>
    <sheet name="Market_Data" sheetId="5" r:id="rId5"/>
    <sheet name="Returns" sheetId="6" r:id="rId6"/>
    <sheet name="Risk_Analysis" sheetId="7" r:id="rId7"/>
    <sheet name="Correlation" sheetId="8" r:id="rId8"/>
    <sheet name="Drawdown" sheetId="9" r:id="rId9"/>
    <sheet name="Benchmark" sheetId="10" r:id="rId10"/>
    <sheet name="Contribution" sheetId="11" r:id="rId11"/>
    <sheet name="Dashboard" sheetId="12" r:id="rId12"/>
  </sheets>
  <definedNames>
    <definedName name="AirRet">Returns!$C$6:INDEX(Returns!$C$6:$C$1000,COUNT(Returns!$A$6:$A$1000))</definedName>
    <definedName name="BenchRet">Returns!$I$6:INDEX(Returns!$I$6:$I$1000,COUNT(Returns!$A$6:$A$1000))</definedName>
    <definedName name="CipRet">Returns!$F$6:INDEX(Returns!$F$6:$F$1000,COUNT(Returns!$A$6:$A$1000))</definedName>
    <definedName name="CompanyNames">Holdings!$C$7:$C$13</definedName>
    <definedName name="CurrentPortValue">Drawdown!$X$1005</definedName>
    <definedName name="DD_BenchDD">Drawdown!$I$9:INDEX(Drawdown!$I$7:$I$1000,COUNT(Drawdown!$A$7:$A$1000))</definedName>
    <definedName name="DD_BenchVal">Drawdown!$G$9:INDEX(Drawdown!$G$7:$G$1000,COUNT(Drawdown!$A$7:$A$1000))</definedName>
    <definedName name="DD_ChartBenchDD">Drawdown!$R$7:INDEX(Drawdown!$R$7:$R$1000,COUNT(Drawdown!$A$7:$A$1000))</definedName>
    <definedName name="DD_ChartBenchVal">Drawdown!$N$7:INDEX(Drawdown!$N$7:$N$1000,COUNT(Drawdown!$A$7:$A$1000))</definedName>
    <definedName name="DD_ChartDates">Drawdown!$L$7:INDEX(Drawdown!$L$7:$L$1000,COUNT(Drawdown!$A$7:$A$1000))</definedName>
    <definedName name="DD_ChartDDDates">Drawdown!$P$7:INDEX(Drawdown!$P$7:$P$1000,COUNT(Drawdown!$A$7:$A$1000))</definedName>
    <definedName name="DD_ChartPortDD">Drawdown!$Q$7:INDEX(Drawdown!$Q$7:$Q$1000,COUNT(Drawdown!$A$7:$A$1000))</definedName>
    <definedName name="DD_ChartPortVal">Drawdown!$M$7:INDEX(Drawdown!$M$7:$M$1000,COUNT(Drawdown!$A$7:$A$1000))</definedName>
    <definedName name="DD_Dates">Drawdown!$J$9:INDEX(Drawdown!$J$7:$J$1000,COUNT(Drawdown!$A$7:$A$1000))</definedName>
    <definedName name="DD_PortDD">Drawdown!$E$9:INDEX(Drawdown!$E$7:$E$1000,COUNT(Drawdown!$A$7:$A$1000))</definedName>
    <definedName name="DD_PortVal">Drawdown!$C$9:INDEX(Drawdown!$C$7:$C$1000,COUNT(Drawdown!$A$7:$A$1000))</definedName>
    <definedName name="ExternalData_1" localSheetId="4" hidden="1">Market_Data!$W$20:$X$125</definedName>
    <definedName name="HclRet">Returns!$H$6:INDEX(Returns!$H$6:$H$1000,COUNT(Returns!$A$6:$A$1000))</definedName>
    <definedName name="HdfRet">Returns!$D$6:INDEX(Returns!$D$6:$D$1000,COUNT(Returns!$A$6:$A$1000))</definedName>
    <definedName name="IndexBase">Inputs!$B$12</definedName>
    <definedName name="LatestObsDate">Drawdown!$X$1009</definedName>
    <definedName name="LtRet">Returns!$E$6:INDEX(Returns!$E$6:$E$1000,COUNT(Returns!$A$6:$A$1000))</definedName>
    <definedName name="MarRet">Returns!$G$6:INDEX(Returns!$G$6:$G$1000,COUNT(Returns!$A$6:$A$1000))</definedName>
    <definedName name="NotionalValue">Inputs!$B$13</definedName>
    <definedName name="PortfolioPnL">Drawdown!$X$1006</definedName>
    <definedName name="PortRet">Returns!$J$6:INDEX(Returns!$J$6:$J$1000,COUNT(Returns!$A$6:$A$1000))</definedName>
    <definedName name="PortValueDates">Drawdown!$T$7:INDEX(Drawdown!$T$7:$T$1000,COUNT(Drawdown!$A$7:$A$1000))</definedName>
    <definedName name="PortValueSeries">Drawdown!$U$7:INDEX(Drawdown!$U$7:$U$1000,COUNT(Drawdown!$A$7:$A$1000))</definedName>
    <definedName name="RelRet">Returns!$B$6:INDEX(Returns!$B$6:$B$1000,COUNT(Returns!$A$6:$A$1000))</definedName>
    <definedName name="RiskFree">Inputs!$B$18</definedName>
    <definedName name="StockRets">Returns!$B$6:INDEX(Returns!$B$6:$H$1000,COUNT(Returns!$A$6:$A$1000),7)</definedName>
    <definedName name="Thr30">Inputs!$B$37</definedName>
    <definedName name="Thr50">Inputs!$B$36</definedName>
    <definedName name="Thr80">Inputs!$B$35</definedName>
    <definedName name="Tickers">Holdings!$B$7:$B$13</definedName>
    <definedName name="WeeksPerYear">Inputs!$B$11</definedName>
    <definedName name="Weights">Returns!$B$4:$H$4</definedName>
    <definedName name="WeightsCol">Holdings!$E$7:$E$13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3"/>
  <c r="I9" i="3"/>
  <c r="I10" i="3"/>
  <c r="I11" i="3"/>
  <c r="I12" i="3"/>
  <c r="I13" i="3"/>
  <c r="E14" i="3"/>
  <c r="D16" i="3"/>
  <c r="E16" i="3"/>
  <c r="E20" i="3"/>
  <c r="F20" i="3"/>
  <c r="G20" i="3" s="1"/>
  <c r="E21" i="3"/>
  <c r="F21" i="3"/>
  <c r="G21" i="3" s="1"/>
  <c r="E22" i="3"/>
  <c r="F22" i="3"/>
  <c r="G22" i="3" s="1"/>
  <c r="E23" i="3"/>
  <c r="F23" i="3"/>
  <c r="G23" i="3" s="1"/>
  <c r="E24" i="3"/>
  <c r="F24" i="3"/>
  <c r="G24" i="3" s="1"/>
  <c r="E25" i="3"/>
  <c r="F25" i="3"/>
  <c r="G25" i="3" s="1"/>
  <c r="E26" i="3"/>
  <c r="F26" i="3"/>
  <c r="G26" i="3" s="1"/>
  <c r="G31" i="3"/>
  <c r="I31" i="3"/>
  <c r="G32" i="3"/>
  <c r="I32" i="3"/>
  <c r="G49" i="3"/>
  <c r="I49" i="3"/>
  <c r="G51" i="3"/>
  <c r="I51" i="3" s="1"/>
  <c r="G52" i="3"/>
  <c r="I52" i="3" s="1"/>
  <c r="X1004" i="9"/>
  <c r="C7" i="9"/>
  <c r="M7" i="9" s="1"/>
  <c r="G7" i="9"/>
  <c r="H7" i="9" s="1"/>
  <c r="Q7" i="9"/>
  <c r="R7" i="9"/>
  <c r="R7" i="12"/>
  <c r="A4" i="12"/>
  <c r="D7" i="9" l="1"/>
  <c r="G39" i="3"/>
  <c r="I39" i="3"/>
  <c r="N7" i="9"/>
  <c r="G27" i="3"/>
  <c r="E27" i="3"/>
  <c r="F27" i="3"/>
  <c r="I14" i="3"/>
  <c r="B59" i="1"/>
  <c r="M79" i="12"/>
  <c r="J13" i="12"/>
  <c r="B34" i="11"/>
  <c r="B33" i="11"/>
  <c r="B32" i="11"/>
  <c r="B31" i="11"/>
  <c r="B30" i="11"/>
  <c r="B29" i="11"/>
  <c r="B28" i="11"/>
  <c r="B12" i="11"/>
  <c r="B11" i="11"/>
  <c r="B10" i="11"/>
  <c r="B9" i="11"/>
  <c r="B8" i="11"/>
  <c r="B7" i="11"/>
  <c r="B6" i="11"/>
  <c r="C43" i="8"/>
  <c r="B47" i="7"/>
  <c r="B46" i="7"/>
  <c r="B45" i="7"/>
  <c r="B44" i="7"/>
  <c r="B43" i="7"/>
  <c r="B42" i="7"/>
  <c r="B41" i="7"/>
  <c r="C19" i="7"/>
  <c r="B19" i="7"/>
  <c r="H4" i="6"/>
  <c r="G4" i="6"/>
  <c r="F4" i="6"/>
  <c r="E4" i="6"/>
  <c r="D4" i="6"/>
  <c r="C4" i="6"/>
  <c r="B4" i="6"/>
  <c r="G23" i="1"/>
  <c r="E23" i="1"/>
  <c r="E22" i="1"/>
  <c r="E21" i="1"/>
  <c r="E20" i="1"/>
  <c r="E19" i="1"/>
  <c r="E18" i="1"/>
  <c r="E17" i="1"/>
  <c r="E16" i="1"/>
  <c r="B11" i="1"/>
  <c r="A4" i="4"/>
  <c r="B20" i="5" a="1"/>
  <c r="K20" i="5" a="1"/>
  <c r="E20" i="5" a="1"/>
  <c r="Q20" i="5" a="1"/>
  <c r="H20" i="5" a="1"/>
  <c r="T20" i="5" a="1"/>
  <c r="N20" i="5" a="1"/>
  <c r="G46" i="3" l="1"/>
  <c r="I46" i="3"/>
  <c r="A7" i="9"/>
  <c r="U7" i="9" s="1"/>
  <c r="I4" i="4"/>
  <c r="N123" i="5"/>
  <c r="N119" i="5"/>
  <c r="N115" i="5"/>
  <c r="N111" i="5"/>
  <c r="N107" i="5"/>
  <c r="N103" i="5"/>
  <c r="O124" i="5"/>
  <c r="O120" i="5"/>
  <c r="O116" i="5"/>
  <c r="O112" i="5"/>
  <c r="O108" i="5"/>
  <c r="O104" i="5"/>
  <c r="O100" i="5"/>
  <c r="N124" i="5"/>
  <c r="O118" i="5"/>
  <c r="O113" i="5"/>
  <c r="N108" i="5"/>
  <c r="O102" i="5"/>
  <c r="N98" i="5"/>
  <c r="N94" i="5"/>
  <c r="N90" i="5"/>
  <c r="N86" i="5"/>
  <c r="N82" i="5"/>
  <c r="O123" i="5"/>
  <c r="N118" i="5"/>
  <c r="N113" i="5"/>
  <c r="O107" i="5"/>
  <c r="N102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122" i="5"/>
  <c r="O117" i="5"/>
  <c r="N112" i="5"/>
  <c r="O106" i="5"/>
  <c r="O101" i="5"/>
  <c r="N97" i="5"/>
  <c r="N93" i="5"/>
  <c r="N89" i="5"/>
  <c r="N85" i="5"/>
  <c r="N81" i="5"/>
  <c r="N77" i="5"/>
  <c r="N73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21" i="5"/>
  <c r="O115" i="5"/>
  <c r="N110" i="5"/>
  <c r="N105" i="5"/>
  <c r="O99" i="5"/>
  <c r="O95" i="5"/>
  <c r="O91" i="5"/>
  <c r="O87" i="5"/>
  <c r="O83" i="5"/>
  <c r="O79" i="5"/>
  <c r="O75" i="5"/>
  <c r="O71" i="5"/>
  <c r="O67" i="5"/>
  <c r="O63" i="5"/>
  <c r="O59" i="5"/>
  <c r="O55" i="5"/>
  <c r="O51" i="5"/>
  <c r="O47" i="5"/>
  <c r="O43" i="5"/>
  <c r="O39" i="5"/>
  <c r="O35" i="5"/>
  <c r="O31" i="5"/>
  <c r="O27" i="5"/>
  <c r="O23" i="5"/>
  <c r="N20" i="5"/>
  <c r="O125" i="5"/>
  <c r="N120" i="5"/>
  <c r="O114" i="5"/>
  <c r="O109" i="5"/>
  <c r="N104" i="5"/>
  <c r="N99" i="5"/>
  <c r="N95" i="5"/>
  <c r="N91" i="5"/>
  <c r="N87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16" i="5"/>
  <c r="N101" i="5"/>
  <c r="O90" i="5"/>
  <c r="N80" i="5"/>
  <c r="N72" i="5"/>
  <c r="N64" i="5"/>
  <c r="N56" i="5"/>
  <c r="N48" i="5"/>
  <c r="N40" i="5"/>
  <c r="N32" i="5"/>
  <c r="N24" i="5"/>
  <c r="N114" i="5"/>
  <c r="N100" i="5"/>
  <c r="O88" i="5"/>
  <c r="O78" i="5"/>
  <c r="O70" i="5"/>
  <c r="O62" i="5"/>
  <c r="O54" i="5"/>
  <c r="O46" i="5"/>
  <c r="O38" i="5"/>
  <c r="O30" i="5"/>
  <c r="O22" i="5"/>
  <c r="O111" i="5"/>
  <c r="O98" i="5"/>
  <c r="N88" i="5"/>
  <c r="N78" i="5"/>
  <c r="N70" i="5"/>
  <c r="N62" i="5"/>
  <c r="N54" i="5"/>
  <c r="N46" i="5"/>
  <c r="N38" i="5"/>
  <c r="N30" i="5"/>
  <c r="N22" i="5"/>
  <c r="N125" i="5"/>
  <c r="O110" i="5"/>
  <c r="O96" i="5"/>
  <c r="O86" i="5"/>
  <c r="O76" i="5"/>
  <c r="O68" i="5"/>
  <c r="O60" i="5"/>
  <c r="O52" i="5"/>
  <c r="O44" i="5"/>
  <c r="O36" i="5"/>
  <c r="O28" i="5"/>
  <c r="O20" i="5"/>
  <c r="O121" i="5"/>
  <c r="N106" i="5"/>
  <c r="O94" i="5"/>
  <c r="N84" i="5"/>
  <c r="O74" i="5"/>
  <c r="O66" i="5"/>
  <c r="O58" i="5"/>
  <c r="O50" i="5"/>
  <c r="O42" i="5"/>
  <c r="O34" i="5"/>
  <c r="O26" i="5"/>
  <c r="O119" i="5"/>
  <c r="O105" i="5"/>
  <c r="O92" i="5"/>
  <c r="O82" i="5"/>
  <c r="N74" i="5"/>
  <c r="N66" i="5"/>
  <c r="N58" i="5"/>
  <c r="N50" i="5"/>
  <c r="N42" i="5"/>
  <c r="N34" i="5"/>
  <c r="N26" i="5"/>
  <c r="N109" i="5"/>
  <c r="N68" i="5"/>
  <c r="N36" i="5"/>
  <c r="O84" i="5"/>
  <c r="N52" i="5"/>
  <c r="O103" i="5"/>
  <c r="O64" i="5"/>
  <c r="O32" i="5"/>
  <c r="N96" i="5"/>
  <c r="N60" i="5"/>
  <c r="N28" i="5"/>
  <c r="N92" i="5"/>
  <c r="O56" i="5"/>
  <c r="O24" i="5"/>
  <c r="O80" i="5"/>
  <c r="O48" i="5"/>
  <c r="N122" i="5"/>
  <c r="N76" i="5"/>
  <c r="N44" i="5"/>
  <c r="N117" i="5"/>
  <c r="O72" i="5"/>
  <c r="O40" i="5"/>
  <c r="B123" i="5"/>
  <c r="B119" i="5"/>
  <c r="C125" i="5"/>
  <c r="C121" i="5"/>
  <c r="C117" i="5"/>
  <c r="C122" i="5"/>
  <c r="B117" i="5"/>
  <c r="B113" i="5"/>
  <c r="B109" i="5"/>
  <c r="B105" i="5"/>
  <c r="B101" i="5"/>
  <c r="B97" i="5"/>
  <c r="B93" i="5"/>
  <c r="B89" i="5"/>
  <c r="B85" i="5"/>
  <c r="B81" i="5"/>
  <c r="B77" i="5"/>
  <c r="B73" i="5"/>
  <c r="B69" i="5"/>
  <c r="B65" i="5"/>
  <c r="B61" i="5"/>
  <c r="B57" i="5"/>
  <c r="B53" i="5"/>
  <c r="B49" i="5"/>
  <c r="B45" i="5"/>
  <c r="B41" i="5"/>
  <c r="B37" i="5"/>
  <c r="B33" i="5"/>
  <c r="B29" i="5"/>
  <c r="B25" i="5"/>
  <c r="B21" i="5"/>
  <c r="B122" i="5"/>
  <c r="C116" i="5"/>
  <c r="C112" i="5"/>
  <c r="C108" i="5"/>
  <c r="C104" i="5"/>
  <c r="C100" i="5"/>
  <c r="C96" i="5"/>
  <c r="C92" i="5"/>
  <c r="C88" i="5"/>
  <c r="C84" i="5"/>
  <c r="C80" i="5"/>
  <c r="C76" i="5"/>
  <c r="C72" i="5"/>
  <c r="C68" i="5"/>
  <c r="C64" i="5"/>
  <c r="C60" i="5"/>
  <c r="C56" i="5"/>
  <c r="C52" i="5"/>
  <c r="C48" i="5"/>
  <c r="C44" i="5"/>
  <c r="C40" i="5"/>
  <c r="C36" i="5"/>
  <c r="C32" i="5"/>
  <c r="C28" i="5"/>
  <c r="C24" i="5"/>
  <c r="C20" i="5"/>
  <c r="B121" i="5"/>
  <c r="B116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B36" i="5"/>
  <c r="B32" i="5"/>
  <c r="B28" i="5"/>
  <c r="B24" i="5"/>
  <c r="C120" i="5"/>
  <c r="C115" i="5"/>
  <c r="C111" i="5"/>
  <c r="C107" i="5"/>
  <c r="C103" i="5"/>
  <c r="C99" i="5"/>
  <c r="C95" i="5"/>
  <c r="C91" i="5"/>
  <c r="C87" i="5"/>
  <c r="C83" i="5"/>
  <c r="C79" i="5"/>
  <c r="C75" i="5"/>
  <c r="C71" i="5"/>
  <c r="C67" i="5"/>
  <c r="C63" i="5"/>
  <c r="C59" i="5"/>
  <c r="C55" i="5"/>
  <c r="C51" i="5"/>
  <c r="C47" i="5"/>
  <c r="C43" i="5"/>
  <c r="C39" i="5"/>
  <c r="C35" i="5"/>
  <c r="C31" i="5"/>
  <c r="C27" i="5"/>
  <c r="C23" i="5"/>
  <c r="B20" i="5"/>
  <c r="C124" i="5"/>
  <c r="C119" i="5"/>
  <c r="C114" i="5"/>
  <c r="C110" i="5"/>
  <c r="C106" i="5"/>
  <c r="C102" i="5"/>
  <c r="C98" i="5"/>
  <c r="C94" i="5"/>
  <c r="C90" i="5"/>
  <c r="C86" i="5"/>
  <c r="C82" i="5"/>
  <c r="C78" i="5"/>
  <c r="C74" i="5"/>
  <c r="C70" i="5"/>
  <c r="C66" i="5"/>
  <c r="C62" i="5"/>
  <c r="C58" i="5"/>
  <c r="C54" i="5"/>
  <c r="C50" i="5"/>
  <c r="C46" i="5"/>
  <c r="C42" i="5"/>
  <c r="C38" i="5"/>
  <c r="C34" i="5"/>
  <c r="C30" i="5"/>
  <c r="C26" i="5"/>
  <c r="C22" i="5"/>
  <c r="B124" i="5"/>
  <c r="C118" i="5"/>
  <c r="B114" i="5"/>
  <c r="B110" i="5"/>
  <c r="B106" i="5"/>
  <c r="B102" i="5"/>
  <c r="B98" i="5"/>
  <c r="B94" i="5"/>
  <c r="B90" i="5"/>
  <c r="B86" i="5"/>
  <c r="B82" i="5"/>
  <c r="B78" i="5"/>
  <c r="B74" i="5"/>
  <c r="B70" i="5"/>
  <c r="B66" i="5"/>
  <c r="B62" i="5"/>
  <c r="B58" i="5"/>
  <c r="B54" i="5"/>
  <c r="B50" i="5"/>
  <c r="B46" i="5"/>
  <c r="B42" i="5"/>
  <c r="B38" i="5"/>
  <c r="B34" i="5"/>
  <c r="B30" i="5"/>
  <c r="B26" i="5"/>
  <c r="B22" i="5"/>
  <c r="B120" i="5"/>
  <c r="B103" i="5"/>
  <c r="B87" i="5"/>
  <c r="B71" i="5"/>
  <c r="B55" i="5"/>
  <c r="B39" i="5"/>
  <c r="B23" i="5"/>
  <c r="B118" i="5"/>
  <c r="C101" i="5"/>
  <c r="C85" i="5"/>
  <c r="C69" i="5"/>
  <c r="C53" i="5"/>
  <c r="C37" i="5"/>
  <c r="C21" i="5"/>
  <c r="B111" i="5"/>
  <c r="B79" i="5"/>
  <c r="B63" i="5"/>
  <c r="B47" i="5"/>
  <c r="B31" i="5"/>
  <c r="B115" i="5"/>
  <c r="B99" i="5"/>
  <c r="B83" i="5"/>
  <c r="B67" i="5"/>
  <c r="B51" i="5"/>
  <c r="B35" i="5"/>
  <c r="B95" i="5"/>
  <c r="C113" i="5"/>
  <c r="C97" i="5"/>
  <c r="C81" i="5"/>
  <c r="C65" i="5"/>
  <c r="C49" i="5"/>
  <c r="C33" i="5"/>
  <c r="C109" i="5"/>
  <c r="C93" i="5"/>
  <c r="C77" i="5"/>
  <c r="C61" i="5"/>
  <c r="C45" i="5"/>
  <c r="C29" i="5"/>
  <c r="B125" i="5"/>
  <c r="B107" i="5"/>
  <c r="B91" i="5"/>
  <c r="B75" i="5"/>
  <c r="B59" i="5"/>
  <c r="B43" i="5"/>
  <c r="B27" i="5"/>
  <c r="C123" i="5"/>
  <c r="C105" i="5"/>
  <c r="C89" i="5"/>
  <c r="C73" i="5"/>
  <c r="C41" i="5"/>
  <c r="C25" i="5"/>
  <c r="C57" i="5"/>
  <c r="E125" i="5"/>
  <c r="E121" i="5"/>
  <c r="E117" i="5"/>
  <c r="E113" i="5"/>
  <c r="E109" i="5"/>
  <c r="E105" i="5"/>
  <c r="E101" i="5"/>
  <c r="E97" i="5"/>
  <c r="E93" i="5"/>
  <c r="E89" i="5"/>
  <c r="E85" i="5"/>
  <c r="E81" i="5"/>
  <c r="E77" i="5"/>
  <c r="E73" i="5"/>
  <c r="E69" i="5"/>
  <c r="E65" i="5"/>
  <c r="E61" i="5"/>
  <c r="E57" i="5"/>
  <c r="E53" i="5"/>
  <c r="E49" i="5"/>
  <c r="E45" i="5"/>
  <c r="E41" i="5"/>
  <c r="F124" i="5"/>
  <c r="F120" i="5"/>
  <c r="F116" i="5"/>
  <c r="F112" i="5"/>
  <c r="F108" i="5"/>
  <c r="F104" i="5"/>
  <c r="F100" i="5"/>
  <c r="F96" i="5"/>
  <c r="F92" i="5"/>
  <c r="F88" i="5"/>
  <c r="F84" i="5"/>
  <c r="F80" i="5"/>
  <c r="F76" i="5"/>
  <c r="F72" i="5"/>
  <c r="F68" i="5"/>
  <c r="F64" i="5"/>
  <c r="F60" i="5"/>
  <c r="F56" i="5"/>
  <c r="F52" i="5"/>
  <c r="F48" i="5"/>
  <c r="F44" i="5"/>
  <c r="F40" i="5"/>
  <c r="F36" i="5"/>
  <c r="F32" i="5"/>
  <c r="F28" i="5"/>
  <c r="F24" i="5"/>
  <c r="F20" i="5"/>
  <c r="E123" i="5"/>
  <c r="E119" i="5"/>
  <c r="E115" i="5"/>
  <c r="E111" i="5"/>
  <c r="E107" i="5"/>
  <c r="E103" i="5"/>
  <c r="E99" i="5"/>
  <c r="E95" i="5"/>
  <c r="E91" i="5"/>
  <c r="E87" i="5"/>
  <c r="E83" i="5"/>
  <c r="E79" i="5"/>
  <c r="E75" i="5"/>
  <c r="E71" i="5"/>
  <c r="E67" i="5"/>
  <c r="E63" i="5"/>
  <c r="E59" i="5"/>
  <c r="E55" i="5"/>
  <c r="E51" i="5"/>
  <c r="E47" i="5"/>
  <c r="E43" i="5"/>
  <c r="E39" i="5"/>
  <c r="E35" i="5"/>
  <c r="E31" i="5"/>
  <c r="E27" i="5"/>
  <c r="E23" i="5"/>
  <c r="F122" i="5"/>
  <c r="F118" i="5"/>
  <c r="F114" i="5"/>
  <c r="F110" i="5"/>
  <c r="F106" i="5"/>
  <c r="F102" i="5"/>
  <c r="F98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119" i="5"/>
  <c r="F111" i="5"/>
  <c r="F103" i="5"/>
  <c r="F95" i="5"/>
  <c r="F87" i="5"/>
  <c r="F79" i="5"/>
  <c r="F71" i="5"/>
  <c r="F63" i="5"/>
  <c r="F55" i="5"/>
  <c r="F47" i="5"/>
  <c r="F39" i="5"/>
  <c r="E33" i="5"/>
  <c r="F26" i="5"/>
  <c r="F21" i="5"/>
  <c r="E118" i="5"/>
  <c r="E110" i="5"/>
  <c r="E102" i="5"/>
  <c r="E94" i="5"/>
  <c r="E86" i="5"/>
  <c r="E78" i="5"/>
  <c r="E70" i="5"/>
  <c r="E62" i="5"/>
  <c r="E54" i="5"/>
  <c r="E46" i="5"/>
  <c r="E38" i="5"/>
  <c r="E32" i="5"/>
  <c r="E26" i="5"/>
  <c r="E21" i="5"/>
  <c r="F125" i="5"/>
  <c r="F117" i="5"/>
  <c r="F109" i="5"/>
  <c r="F101" i="5"/>
  <c r="F93" i="5"/>
  <c r="F85" i="5"/>
  <c r="F77" i="5"/>
  <c r="F69" i="5"/>
  <c r="F61" i="5"/>
  <c r="F53" i="5"/>
  <c r="F45" i="5"/>
  <c r="F37" i="5"/>
  <c r="F31" i="5"/>
  <c r="F25" i="5"/>
  <c r="E124" i="5"/>
  <c r="E116" i="5"/>
  <c r="E108" i="5"/>
  <c r="E100" i="5"/>
  <c r="E92" i="5"/>
  <c r="E84" i="5"/>
  <c r="E76" i="5"/>
  <c r="E68" i="5"/>
  <c r="E60" i="5"/>
  <c r="E52" i="5"/>
  <c r="E44" i="5"/>
  <c r="E37" i="5"/>
  <c r="E30" i="5"/>
  <c r="E25" i="5"/>
  <c r="E20" i="5"/>
  <c r="E122" i="5"/>
  <c r="E114" i="5"/>
  <c r="E106" i="5"/>
  <c r="E98" i="5"/>
  <c r="E90" i="5"/>
  <c r="E82" i="5"/>
  <c r="E74" i="5"/>
  <c r="E66" i="5"/>
  <c r="E58" i="5"/>
  <c r="E50" i="5"/>
  <c r="E42" i="5"/>
  <c r="F35" i="5"/>
  <c r="E29" i="5"/>
  <c r="F23" i="5"/>
  <c r="F121" i="5"/>
  <c r="F113" i="5"/>
  <c r="F105" i="5"/>
  <c r="F97" i="5"/>
  <c r="F89" i="5"/>
  <c r="F81" i="5"/>
  <c r="F73" i="5"/>
  <c r="F65" i="5"/>
  <c r="F57" i="5"/>
  <c r="F49" i="5"/>
  <c r="F41" i="5"/>
  <c r="E34" i="5"/>
  <c r="E28" i="5"/>
  <c r="F22" i="5"/>
  <c r="F99" i="5"/>
  <c r="F67" i="5"/>
  <c r="E36" i="5"/>
  <c r="E96" i="5"/>
  <c r="E64" i="5"/>
  <c r="F33" i="5"/>
  <c r="F115" i="5"/>
  <c r="F83" i="5"/>
  <c r="F51" i="5"/>
  <c r="E24" i="5"/>
  <c r="F123" i="5"/>
  <c r="F91" i="5"/>
  <c r="F59" i="5"/>
  <c r="F29" i="5"/>
  <c r="E120" i="5"/>
  <c r="E88" i="5"/>
  <c r="E56" i="5"/>
  <c r="F27" i="5"/>
  <c r="E112" i="5"/>
  <c r="E80" i="5"/>
  <c r="E48" i="5"/>
  <c r="E22" i="5"/>
  <c r="F107" i="5"/>
  <c r="F75" i="5"/>
  <c r="F43" i="5"/>
  <c r="E104" i="5"/>
  <c r="E72" i="5"/>
  <c r="E40" i="5"/>
  <c r="I122" i="5"/>
  <c r="I118" i="5"/>
  <c r="I114" i="5"/>
  <c r="I110" i="5"/>
  <c r="I106" i="5"/>
  <c r="I102" i="5"/>
  <c r="I98" i="5"/>
  <c r="I94" i="5"/>
  <c r="I90" i="5"/>
  <c r="I86" i="5"/>
  <c r="I82" i="5"/>
  <c r="I78" i="5"/>
  <c r="I74" i="5"/>
  <c r="I70" i="5"/>
  <c r="I66" i="5"/>
  <c r="I62" i="5"/>
  <c r="I58" i="5"/>
  <c r="I54" i="5"/>
  <c r="I50" i="5"/>
  <c r="I46" i="5"/>
  <c r="I42" i="5"/>
  <c r="I38" i="5"/>
  <c r="I34" i="5"/>
  <c r="I30" i="5"/>
  <c r="I26" i="5"/>
  <c r="I22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I124" i="5"/>
  <c r="I120" i="5"/>
  <c r="I116" i="5"/>
  <c r="I112" i="5"/>
  <c r="I108" i="5"/>
  <c r="I104" i="5"/>
  <c r="I100" i="5"/>
  <c r="I96" i="5"/>
  <c r="I92" i="5"/>
  <c r="I88" i="5"/>
  <c r="I84" i="5"/>
  <c r="I80" i="5"/>
  <c r="I76" i="5"/>
  <c r="I72" i="5"/>
  <c r="I68" i="5"/>
  <c r="I64" i="5"/>
  <c r="I60" i="5"/>
  <c r="I56" i="5"/>
  <c r="I52" i="5"/>
  <c r="I48" i="5"/>
  <c r="I44" i="5"/>
  <c r="I40" i="5"/>
  <c r="I36" i="5"/>
  <c r="I32" i="5"/>
  <c r="I28" i="5"/>
  <c r="I24" i="5"/>
  <c r="I20" i="5"/>
  <c r="H124" i="5"/>
  <c r="H120" i="5"/>
  <c r="H116" i="5"/>
  <c r="H112" i="5"/>
  <c r="H108" i="5"/>
  <c r="H104" i="5"/>
  <c r="H100" i="5"/>
  <c r="H96" i="5"/>
  <c r="H92" i="5"/>
  <c r="H88" i="5"/>
  <c r="H84" i="5"/>
  <c r="H80" i="5"/>
  <c r="H76" i="5"/>
  <c r="H72" i="5"/>
  <c r="H68" i="5"/>
  <c r="H64" i="5"/>
  <c r="H60" i="5"/>
  <c r="H56" i="5"/>
  <c r="H52" i="5"/>
  <c r="H48" i="5"/>
  <c r="H44" i="5"/>
  <c r="H40" i="5"/>
  <c r="H36" i="5"/>
  <c r="H32" i="5"/>
  <c r="H28" i="5"/>
  <c r="H24" i="5"/>
  <c r="H125" i="5"/>
  <c r="H117" i="5"/>
  <c r="H109" i="5"/>
  <c r="H101" i="5"/>
  <c r="H93" i="5"/>
  <c r="H85" i="5"/>
  <c r="H77" i="5"/>
  <c r="H69" i="5"/>
  <c r="H61" i="5"/>
  <c r="H53" i="5"/>
  <c r="H45" i="5"/>
  <c r="H37" i="5"/>
  <c r="H29" i="5"/>
  <c r="H21" i="5"/>
  <c r="I123" i="5"/>
  <c r="I115" i="5"/>
  <c r="I107" i="5"/>
  <c r="I99" i="5"/>
  <c r="I91" i="5"/>
  <c r="I83" i="5"/>
  <c r="I75" i="5"/>
  <c r="I67" i="5"/>
  <c r="I59" i="5"/>
  <c r="I51" i="5"/>
  <c r="I43" i="5"/>
  <c r="I35" i="5"/>
  <c r="I27" i="5"/>
  <c r="H20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I121" i="5"/>
  <c r="I113" i="5"/>
  <c r="I105" i="5"/>
  <c r="I97" i="5"/>
  <c r="I89" i="5"/>
  <c r="I81" i="5"/>
  <c r="I73" i="5"/>
  <c r="I65" i="5"/>
  <c r="I57" i="5"/>
  <c r="I49" i="5"/>
  <c r="I41" i="5"/>
  <c r="I33" i="5"/>
  <c r="I25" i="5"/>
  <c r="I119" i="5"/>
  <c r="I111" i="5"/>
  <c r="I103" i="5"/>
  <c r="I95" i="5"/>
  <c r="I87" i="5"/>
  <c r="I79" i="5"/>
  <c r="I71" i="5"/>
  <c r="I63" i="5"/>
  <c r="I55" i="5"/>
  <c r="I47" i="5"/>
  <c r="I39" i="5"/>
  <c r="I31" i="5"/>
  <c r="I23" i="5"/>
  <c r="H119" i="5"/>
  <c r="H111" i="5"/>
  <c r="H103" i="5"/>
  <c r="H95" i="5"/>
  <c r="H87" i="5"/>
  <c r="H79" i="5"/>
  <c r="H71" i="5"/>
  <c r="H63" i="5"/>
  <c r="H55" i="5"/>
  <c r="H47" i="5"/>
  <c r="H39" i="5"/>
  <c r="H31" i="5"/>
  <c r="H23" i="5"/>
  <c r="H121" i="5"/>
  <c r="H89" i="5"/>
  <c r="H57" i="5"/>
  <c r="H25" i="5"/>
  <c r="I117" i="5"/>
  <c r="I85" i="5"/>
  <c r="I53" i="5"/>
  <c r="I21" i="5"/>
  <c r="H105" i="5"/>
  <c r="H73" i="5"/>
  <c r="H41" i="5"/>
  <c r="H113" i="5"/>
  <c r="H81" i="5"/>
  <c r="H49" i="5"/>
  <c r="I109" i="5"/>
  <c r="I77" i="5"/>
  <c r="I45" i="5"/>
  <c r="I101" i="5"/>
  <c r="I69" i="5"/>
  <c r="I37" i="5"/>
  <c r="H97" i="5"/>
  <c r="H65" i="5"/>
  <c r="H33" i="5"/>
  <c r="I125" i="5"/>
  <c r="I93" i="5"/>
  <c r="I61" i="5"/>
  <c r="I29" i="5"/>
  <c r="K124" i="5"/>
  <c r="K120" i="5"/>
  <c r="K116" i="5"/>
  <c r="K112" i="5"/>
  <c r="K108" i="5"/>
  <c r="K104" i="5"/>
  <c r="K100" i="5"/>
  <c r="K96" i="5"/>
  <c r="K92" i="5"/>
  <c r="K88" i="5"/>
  <c r="K84" i="5"/>
  <c r="K80" i="5"/>
  <c r="K76" i="5"/>
  <c r="K72" i="5"/>
  <c r="K68" i="5"/>
  <c r="K64" i="5"/>
  <c r="K60" i="5"/>
  <c r="K56" i="5"/>
  <c r="K52" i="5"/>
  <c r="K48" i="5"/>
  <c r="K44" i="5"/>
  <c r="K40" i="5"/>
  <c r="K36" i="5"/>
  <c r="K32" i="5"/>
  <c r="K28" i="5"/>
  <c r="K24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K20" i="5"/>
  <c r="K122" i="5"/>
  <c r="K118" i="5"/>
  <c r="K114" i="5"/>
  <c r="K110" i="5"/>
  <c r="K106" i="5"/>
  <c r="K102" i="5"/>
  <c r="K98" i="5"/>
  <c r="K94" i="5"/>
  <c r="K90" i="5"/>
  <c r="K86" i="5"/>
  <c r="K82" i="5"/>
  <c r="K78" i="5"/>
  <c r="K74" i="5"/>
  <c r="K70" i="5"/>
  <c r="K66" i="5"/>
  <c r="K62" i="5"/>
  <c r="K58" i="5"/>
  <c r="K54" i="5"/>
  <c r="K50" i="5"/>
  <c r="K46" i="5"/>
  <c r="K42" i="5"/>
  <c r="K38" i="5"/>
  <c r="K34" i="5"/>
  <c r="K30" i="5"/>
  <c r="K26" i="5"/>
  <c r="K22" i="5"/>
  <c r="L125" i="5"/>
  <c r="L121" i="5"/>
  <c r="L117" i="5"/>
  <c r="L113" i="5"/>
  <c r="L109" i="5"/>
  <c r="L105" i="5"/>
  <c r="L101" i="5"/>
  <c r="L97" i="5"/>
  <c r="L93" i="5"/>
  <c r="L89" i="5"/>
  <c r="L85" i="5"/>
  <c r="L81" i="5"/>
  <c r="L77" i="5"/>
  <c r="L73" i="5"/>
  <c r="L69" i="5"/>
  <c r="L65" i="5"/>
  <c r="L61" i="5"/>
  <c r="L57" i="5"/>
  <c r="L53" i="5"/>
  <c r="L49" i="5"/>
  <c r="L45" i="5"/>
  <c r="L41" i="5"/>
  <c r="L37" i="5"/>
  <c r="L33" i="5"/>
  <c r="L29" i="5"/>
  <c r="L25" i="5"/>
  <c r="L21" i="5"/>
  <c r="L122" i="5"/>
  <c r="L114" i="5"/>
  <c r="L106" i="5"/>
  <c r="L98" i="5"/>
  <c r="L90" i="5"/>
  <c r="L82" i="5"/>
  <c r="L74" i="5"/>
  <c r="L66" i="5"/>
  <c r="L58" i="5"/>
  <c r="L50" i="5"/>
  <c r="L42" i="5"/>
  <c r="L34" i="5"/>
  <c r="L26" i="5"/>
  <c r="K121" i="5"/>
  <c r="K113" i="5"/>
  <c r="K105" i="5"/>
  <c r="K97" i="5"/>
  <c r="K89" i="5"/>
  <c r="K81" i="5"/>
  <c r="K73" i="5"/>
  <c r="K65" i="5"/>
  <c r="K57" i="5"/>
  <c r="K49" i="5"/>
  <c r="K41" i="5"/>
  <c r="K33" i="5"/>
  <c r="K25" i="5"/>
  <c r="L120" i="5"/>
  <c r="L112" i="5"/>
  <c r="L104" i="5"/>
  <c r="L96" i="5"/>
  <c r="L88" i="5"/>
  <c r="L80" i="5"/>
  <c r="L72" i="5"/>
  <c r="L64" i="5"/>
  <c r="L56" i="5"/>
  <c r="L48" i="5"/>
  <c r="L40" i="5"/>
  <c r="L32" i="5"/>
  <c r="L24" i="5"/>
  <c r="K119" i="5"/>
  <c r="K111" i="5"/>
  <c r="K103" i="5"/>
  <c r="K95" i="5"/>
  <c r="K87" i="5"/>
  <c r="K79" i="5"/>
  <c r="K71" i="5"/>
  <c r="K63" i="5"/>
  <c r="K55" i="5"/>
  <c r="K47" i="5"/>
  <c r="K39" i="5"/>
  <c r="K31" i="5"/>
  <c r="K23" i="5"/>
  <c r="K125" i="5"/>
  <c r="K117" i="5"/>
  <c r="K109" i="5"/>
  <c r="K101" i="5"/>
  <c r="K93" i="5"/>
  <c r="K85" i="5"/>
  <c r="K77" i="5"/>
  <c r="K69" i="5"/>
  <c r="K61" i="5"/>
  <c r="K53" i="5"/>
  <c r="K45" i="5"/>
  <c r="K37" i="5"/>
  <c r="K29" i="5"/>
  <c r="K21" i="5"/>
  <c r="L124" i="5"/>
  <c r="L116" i="5"/>
  <c r="L108" i="5"/>
  <c r="L100" i="5"/>
  <c r="L92" i="5"/>
  <c r="L84" i="5"/>
  <c r="L76" i="5"/>
  <c r="L68" i="5"/>
  <c r="L60" i="5"/>
  <c r="L52" i="5"/>
  <c r="L44" i="5"/>
  <c r="L36" i="5"/>
  <c r="L28" i="5"/>
  <c r="L20" i="5"/>
  <c r="L110" i="5"/>
  <c r="L78" i="5"/>
  <c r="L46" i="5"/>
  <c r="K107" i="5"/>
  <c r="K75" i="5"/>
  <c r="K43" i="5"/>
  <c r="L94" i="5"/>
  <c r="L30" i="5"/>
  <c r="L102" i="5"/>
  <c r="L70" i="5"/>
  <c r="L38" i="5"/>
  <c r="L62" i="5"/>
  <c r="K99" i="5"/>
  <c r="K67" i="5"/>
  <c r="K35" i="5"/>
  <c r="K123" i="5"/>
  <c r="K91" i="5"/>
  <c r="K59" i="5"/>
  <c r="K27" i="5"/>
  <c r="L118" i="5"/>
  <c r="L86" i="5"/>
  <c r="L54" i="5"/>
  <c r="L22" i="5"/>
  <c r="K115" i="5"/>
  <c r="K83" i="5"/>
  <c r="K51" i="5"/>
  <c r="U122" i="5"/>
  <c r="U118" i="5"/>
  <c r="U114" i="5"/>
  <c r="U110" i="5"/>
  <c r="U106" i="5"/>
  <c r="U102" i="5"/>
  <c r="U98" i="5"/>
  <c r="U94" i="5"/>
  <c r="U90" i="5"/>
  <c r="U86" i="5"/>
  <c r="U82" i="5"/>
  <c r="U78" i="5"/>
  <c r="U74" i="5"/>
  <c r="U70" i="5"/>
  <c r="U66" i="5"/>
  <c r="T122" i="5"/>
  <c r="T118" i="5"/>
  <c r="T114" i="5"/>
  <c r="T110" i="5"/>
  <c r="T106" i="5"/>
  <c r="T102" i="5"/>
  <c r="T98" i="5"/>
  <c r="T94" i="5"/>
  <c r="T90" i="5"/>
  <c r="T86" i="5"/>
  <c r="T82" i="5"/>
  <c r="T78" i="5"/>
  <c r="T74" i="5"/>
  <c r="T70" i="5"/>
  <c r="T66" i="5"/>
  <c r="T62" i="5"/>
  <c r="T58" i="5"/>
  <c r="T54" i="5"/>
  <c r="T50" i="5"/>
  <c r="T46" i="5"/>
  <c r="T42" i="5"/>
  <c r="T38" i="5"/>
  <c r="T34" i="5"/>
  <c r="T30" i="5"/>
  <c r="T26" i="5"/>
  <c r="T22" i="5"/>
  <c r="U125" i="5"/>
  <c r="U121" i="5"/>
  <c r="U117" i="5"/>
  <c r="U113" i="5"/>
  <c r="U109" i="5"/>
  <c r="U105" i="5"/>
  <c r="U101" i="5"/>
  <c r="U97" i="5"/>
  <c r="U93" i="5"/>
  <c r="U89" i="5"/>
  <c r="U85" i="5"/>
  <c r="U81" i="5"/>
  <c r="U77" i="5"/>
  <c r="U73" i="5"/>
  <c r="U69" i="5"/>
  <c r="U65" i="5"/>
  <c r="U61" i="5"/>
  <c r="U57" i="5"/>
  <c r="U53" i="5"/>
  <c r="U49" i="5"/>
  <c r="U45" i="5"/>
  <c r="U41" i="5"/>
  <c r="U37" i="5"/>
  <c r="U33" i="5"/>
  <c r="U29" i="5"/>
  <c r="U25" i="5"/>
  <c r="U21" i="5"/>
  <c r="T125" i="5"/>
  <c r="T121" i="5"/>
  <c r="T117" i="5"/>
  <c r="T113" i="5"/>
  <c r="T109" i="5"/>
  <c r="T105" i="5"/>
  <c r="T101" i="5"/>
  <c r="T97" i="5"/>
  <c r="T93" i="5"/>
  <c r="T89" i="5"/>
  <c r="T85" i="5"/>
  <c r="T81" i="5"/>
  <c r="T77" i="5"/>
  <c r="T73" i="5"/>
  <c r="T69" i="5"/>
  <c r="T65" i="5"/>
  <c r="T61" i="5"/>
  <c r="T57" i="5"/>
  <c r="T53" i="5"/>
  <c r="T49" i="5"/>
  <c r="T45" i="5"/>
  <c r="T41" i="5"/>
  <c r="U123" i="5"/>
  <c r="U119" i="5"/>
  <c r="U115" i="5"/>
  <c r="U111" i="5"/>
  <c r="U107" i="5"/>
  <c r="U103" i="5"/>
  <c r="U99" i="5"/>
  <c r="U95" i="5"/>
  <c r="U91" i="5"/>
  <c r="U87" i="5"/>
  <c r="U83" i="5"/>
  <c r="U79" i="5"/>
  <c r="U75" i="5"/>
  <c r="U71" i="5"/>
  <c r="U67" i="5"/>
  <c r="U63" i="5"/>
  <c r="U59" i="5"/>
  <c r="U55" i="5"/>
  <c r="U51" i="5"/>
  <c r="U47" i="5"/>
  <c r="U43" i="5"/>
  <c r="U39" i="5"/>
  <c r="U35" i="5"/>
  <c r="U31" i="5"/>
  <c r="U27" i="5"/>
  <c r="U23" i="5"/>
  <c r="T20" i="5"/>
  <c r="T116" i="5"/>
  <c r="U104" i="5"/>
  <c r="T95" i="5"/>
  <c r="T84" i="5"/>
  <c r="U72" i="5"/>
  <c r="T63" i="5"/>
  <c r="T55" i="5"/>
  <c r="T47" i="5"/>
  <c r="T39" i="5"/>
  <c r="U32" i="5"/>
  <c r="U26" i="5"/>
  <c r="U124" i="5"/>
  <c r="T115" i="5"/>
  <c r="T104" i="5"/>
  <c r="U92" i="5"/>
  <c r="T83" i="5"/>
  <c r="T72" i="5"/>
  <c r="U62" i="5"/>
  <c r="U54" i="5"/>
  <c r="U46" i="5"/>
  <c r="U38" i="5"/>
  <c r="T32" i="5"/>
  <c r="T25" i="5"/>
  <c r="T124" i="5"/>
  <c r="U112" i="5"/>
  <c r="T103" i="5"/>
  <c r="T92" i="5"/>
  <c r="U80" i="5"/>
  <c r="T71" i="5"/>
  <c r="U60" i="5"/>
  <c r="U52" i="5"/>
  <c r="U44" i="5"/>
  <c r="T37" i="5"/>
  <c r="T31" i="5"/>
  <c r="U24" i="5"/>
  <c r="T120" i="5"/>
  <c r="U108" i="5"/>
  <c r="T99" i="5"/>
  <c r="T88" i="5"/>
  <c r="U76" i="5"/>
  <c r="T67" i="5"/>
  <c r="U58" i="5"/>
  <c r="U50" i="5"/>
  <c r="U42" i="5"/>
  <c r="T35" i="5"/>
  <c r="U28" i="5"/>
  <c r="U22" i="5"/>
  <c r="T119" i="5"/>
  <c r="T108" i="5"/>
  <c r="U96" i="5"/>
  <c r="T87" i="5"/>
  <c r="T76" i="5"/>
  <c r="U64" i="5"/>
  <c r="U56" i="5"/>
  <c r="U48" i="5"/>
  <c r="U40" i="5"/>
  <c r="U34" i="5"/>
  <c r="T28" i="5"/>
  <c r="T21" i="5"/>
  <c r="T112" i="5"/>
  <c r="U84" i="5"/>
  <c r="T59" i="5"/>
  <c r="U36" i="5"/>
  <c r="U20" i="5"/>
  <c r="T111" i="5"/>
  <c r="T80" i="5"/>
  <c r="T56" i="5"/>
  <c r="T36" i="5"/>
  <c r="T107" i="5"/>
  <c r="T79" i="5"/>
  <c r="T52" i="5"/>
  <c r="T33" i="5"/>
  <c r="U100" i="5"/>
  <c r="T75" i="5"/>
  <c r="T51" i="5"/>
  <c r="U30" i="5"/>
  <c r="T123" i="5"/>
  <c r="T96" i="5"/>
  <c r="T68" i="5"/>
  <c r="T44" i="5"/>
  <c r="T27" i="5"/>
  <c r="U120" i="5"/>
  <c r="T91" i="5"/>
  <c r="T64" i="5"/>
  <c r="T43" i="5"/>
  <c r="T24" i="5"/>
  <c r="T29" i="5"/>
  <c r="U68" i="5"/>
  <c r="U116" i="5"/>
  <c r="T23" i="5"/>
  <c r="T100" i="5"/>
  <c r="U88" i="5"/>
  <c r="T60" i="5"/>
  <c r="T48" i="5"/>
  <c r="T40" i="5"/>
  <c r="R124" i="5"/>
  <c r="R120" i="5"/>
  <c r="R116" i="5"/>
  <c r="R112" i="5"/>
  <c r="R108" i="5"/>
  <c r="R104" i="5"/>
  <c r="R100" i="5"/>
  <c r="R96" i="5"/>
  <c r="R92" i="5"/>
  <c r="R88" i="5"/>
  <c r="R84" i="5"/>
  <c r="R80" i="5"/>
  <c r="R76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Q124" i="5"/>
  <c r="Q120" i="5"/>
  <c r="Q116" i="5"/>
  <c r="Q112" i="5"/>
  <c r="Q108" i="5"/>
  <c r="Q104" i="5"/>
  <c r="Q100" i="5"/>
  <c r="Q96" i="5"/>
  <c r="Q92" i="5"/>
  <c r="Q88" i="5"/>
  <c r="Q84" i="5"/>
  <c r="Q80" i="5"/>
  <c r="Q76" i="5"/>
  <c r="Q72" i="5"/>
  <c r="Q68" i="5"/>
  <c r="Q64" i="5"/>
  <c r="Q60" i="5"/>
  <c r="Q56" i="5"/>
  <c r="Q52" i="5"/>
  <c r="Q48" i="5"/>
  <c r="Q44" i="5"/>
  <c r="Q40" i="5"/>
  <c r="Q36" i="5"/>
  <c r="Q32" i="5"/>
  <c r="Q28" i="5"/>
  <c r="Q24" i="5"/>
  <c r="Q122" i="5"/>
  <c r="Q118" i="5"/>
  <c r="Q114" i="5"/>
  <c r="Q110" i="5"/>
  <c r="Q106" i="5"/>
  <c r="Q102" i="5"/>
  <c r="Q98" i="5"/>
  <c r="Q94" i="5"/>
  <c r="Q90" i="5"/>
  <c r="Q86" i="5"/>
  <c r="Q82" i="5"/>
  <c r="Q78" i="5"/>
  <c r="Q74" i="5"/>
  <c r="Q70" i="5"/>
  <c r="Q66" i="5"/>
  <c r="Q62" i="5"/>
  <c r="Q58" i="5"/>
  <c r="Q54" i="5"/>
  <c r="Q50" i="5"/>
  <c r="Q46" i="5"/>
  <c r="Q42" i="5"/>
  <c r="Q38" i="5"/>
  <c r="Q34" i="5"/>
  <c r="Q30" i="5"/>
  <c r="Q26" i="5"/>
  <c r="Q22" i="5"/>
  <c r="R119" i="5"/>
  <c r="R113" i="5"/>
  <c r="Q107" i="5"/>
  <c r="Q101" i="5"/>
  <c r="R94" i="5"/>
  <c r="R87" i="5"/>
  <c r="R81" i="5"/>
  <c r="Q75" i="5"/>
  <c r="Q69" i="5"/>
  <c r="R62" i="5"/>
  <c r="R55" i="5"/>
  <c r="R49" i="5"/>
  <c r="Q43" i="5"/>
  <c r="Q37" i="5"/>
  <c r="R30" i="5"/>
  <c r="R23" i="5"/>
  <c r="R125" i="5"/>
  <c r="Q119" i="5"/>
  <c r="Q113" i="5"/>
  <c r="R106" i="5"/>
  <c r="R99" i="5"/>
  <c r="R93" i="5"/>
  <c r="Q87" i="5"/>
  <c r="Q81" i="5"/>
  <c r="R74" i="5"/>
  <c r="R67" i="5"/>
  <c r="R61" i="5"/>
  <c r="Q55" i="5"/>
  <c r="Q49" i="5"/>
  <c r="R42" i="5"/>
  <c r="R35" i="5"/>
  <c r="R29" i="5"/>
  <c r="Q23" i="5"/>
  <c r="Q125" i="5"/>
  <c r="R118" i="5"/>
  <c r="R111" i="5"/>
  <c r="R105" i="5"/>
  <c r="Q99" i="5"/>
  <c r="Q93" i="5"/>
  <c r="R86" i="5"/>
  <c r="R79" i="5"/>
  <c r="R73" i="5"/>
  <c r="Q67" i="5"/>
  <c r="Q61" i="5"/>
  <c r="R54" i="5"/>
  <c r="R47" i="5"/>
  <c r="R41" i="5"/>
  <c r="Q35" i="5"/>
  <c r="Q29" i="5"/>
  <c r="R22" i="5"/>
  <c r="R122" i="5"/>
  <c r="R115" i="5"/>
  <c r="R109" i="5"/>
  <c r="Q103" i="5"/>
  <c r="Q97" i="5"/>
  <c r="R90" i="5"/>
  <c r="R83" i="5"/>
  <c r="R77" i="5"/>
  <c r="Q71" i="5"/>
  <c r="Q65" i="5"/>
  <c r="R58" i="5"/>
  <c r="R51" i="5"/>
  <c r="R45" i="5"/>
  <c r="Q39" i="5"/>
  <c r="Q33" i="5"/>
  <c r="R26" i="5"/>
  <c r="Q20" i="5"/>
  <c r="R121" i="5"/>
  <c r="Q115" i="5"/>
  <c r="Q109" i="5"/>
  <c r="R102" i="5"/>
  <c r="R95" i="5"/>
  <c r="R89" i="5"/>
  <c r="Q83" i="5"/>
  <c r="Q77" i="5"/>
  <c r="R70" i="5"/>
  <c r="R63" i="5"/>
  <c r="R57" i="5"/>
  <c r="Q51" i="5"/>
  <c r="Q45" i="5"/>
  <c r="R38" i="5"/>
  <c r="R31" i="5"/>
  <c r="R25" i="5"/>
  <c r="R110" i="5"/>
  <c r="R91" i="5"/>
  <c r="R75" i="5"/>
  <c r="Q59" i="5"/>
  <c r="Q41" i="5"/>
  <c r="Q25" i="5"/>
  <c r="R123" i="5"/>
  <c r="R107" i="5"/>
  <c r="Q91" i="5"/>
  <c r="Q73" i="5"/>
  <c r="Q57" i="5"/>
  <c r="R39" i="5"/>
  <c r="R21" i="5"/>
  <c r="Q123" i="5"/>
  <c r="Q105" i="5"/>
  <c r="Q89" i="5"/>
  <c r="R71" i="5"/>
  <c r="R53" i="5"/>
  <c r="R37" i="5"/>
  <c r="Q21" i="5"/>
  <c r="Q121" i="5"/>
  <c r="R103" i="5"/>
  <c r="R85" i="5"/>
  <c r="R69" i="5"/>
  <c r="Q53" i="5"/>
  <c r="R34" i="5"/>
  <c r="Q117" i="5"/>
  <c r="R98" i="5"/>
  <c r="R82" i="5"/>
  <c r="R65" i="5"/>
  <c r="Q47" i="5"/>
  <c r="Q31" i="5"/>
  <c r="R114" i="5"/>
  <c r="R97" i="5"/>
  <c r="Q79" i="5"/>
  <c r="Q63" i="5"/>
  <c r="R46" i="5"/>
  <c r="R27" i="5"/>
  <c r="R66" i="5"/>
  <c r="R33" i="5"/>
  <c r="R59" i="5"/>
  <c r="R101" i="5"/>
  <c r="R117" i="5"/>
  <c r="R50" i="5"/>
  <c r="Q111" i="5"/>
  <c r="R43" i="5"/>
  <c r="Q95" i="5"/>
  <c r="Q27" i="5"/>
  <c r="Q85" i="5"/>
  <c r="R78" i="5"/>
  <c r="B6" i="2"/>
  <c r="A5" i="4"/>
  <c r="I5" i="4" s="1"/>
  <c r="J4" i="6"/>
  <c r="M3" i="6"/>
  <c r="B48" i="7"/>
  <c r="B35" i="11"/>
  <c r="B13" i="11"/>
  <c r="J7" i="9" l="1"/>
  <c r="P7" i="9" s="1"/>
  <c r="G50" i="3"/>
  <c r="I50" i="3"/>
  <c r="D4" i="4"/>
  <c r="C4" i="4"/>
  <c r="B4" i="4"/>
  <c r="G4" i="4"/>
  <c r="H4" i="4"/>
  <c r="E4" i="4"/>
  <c r="F4" i="4"/>
  <c r="A6" i="6"/>
  <c r="C5" i="4"/>
  <c r="G5" i="4"/>
  <c r="A6" i="4"/>
  <c r="B5" i="4"/>
  <c r="I6" i="6"/>
  <c r="H5" i="4"/>
  <c r="E5" i="4"/>
  <c r="F5" i="4"/>
  <c r="D5" i="4"/>
  <c r="B62" i="1"/>
  <c r="T7" i="9" l="1"/>
  <c r="L7" i="9"/>
  <c r="I6" i="4"/>
  <c r="A8" i="9"/>
  <c r="F8" i="9" s="1"/>
  <c r="G8" i="9" s="1"/>
  <c r="N8" i="9" s="1"/>
  <c r="D6" i="6"/>
  <c r="G6" i="6"/>
  <c r="B6" i="6"/>
  <c r="F6" i="6"/>
  <c r="C6" i="6"/>
  <c r="E6" i="6"/>
  <c r="H6" i="6"/>
  <c r="A7" i="6"/>
  <c r="A9" i="9" s="1"/>
  <c r="A7" i="4"/>
  <c r="B6" i="4"/>
  <c r="B7" i="6" s="1"/>
  <c r="H6" i="4"/>
  <c r="H7" i="6" s="1"/>
  <c r="G6" i="4"/>
  <c r="G7" i="6" s="1"/>
  <c r="D6" i="4"/>
  <c r="D7" i="6" s="1"/>
  <c r="F6" i="4"/>
  <c r="F7" i="6" s="1"/>
  <c r="E6" i="4"/>
  <c r="E7" i="6" s="1"/>
  <c r="C6" i="4"/>
  <c r="C7" i="6" s="1"/>
  <c r="J8" i="9" l="1"/>
  <c r="T8" i="9" s="1"/>
  <c r="H8" i="9"/>
  <c r="I8" i="9" s="1"/>
  <c r="R8" i="9" s="1"/>
  <c r="J9" i="9"/>
  <c r="I7" i="4"/>
  <c r="I8" i="6" s="1"/>
  <c r="J6" i="6"/>
  <c r="B8" i="9" s="1"/>
  <c r="J7" i="6"/>
  <c r="B9" i="9" s="1"/>
  <c r="I7" i="6"/>
  <c r="F9" i="9" s="1"/>
  <c r="G9" i="9" s="1"/>
  <c r="A8" i="6"/>
  <c r="H7" i="4"/>
  <c r="H8" i="6" s="1"/>
  <c r="E7" i="4"/>
  <c r="E8" i="6" s="1"/>
  <c r="G7" i="4"/>
  <c r="G8" i="6" s="1"/>
  <c r="F7" i="4"/>
  <c r="F8" i="6" s="1"/>
  <c r="C7" i="4"/>
  <c r="C8" i="6" s="1"/>
  <c r="D7" i="4"/>
  <c r="D8" i="6" s="1"/>
  <c r="A8" i="4"/>
  <c r="B7" i="4"/>
  <c r="B8" i="6" s="1"/>
  <c r="P8" i="9" l="1"/>
  <c r="C8" i="9"/>
  <c r="C9" i="9" s="1"/>
  <c r="L8" i="9"/>
  <c r="I38" i="3"/>
  <c r="A10" i="9"/>
  <c r="J10" i="9" s="1"/>
  <c r="G38" i="3"/>
  <c r="N9" i="9"/>
  <c r="H9" i="9"/>
  <c r="I9" i="9" s="1"/>
  <c r="R9" i="9" s="1"/>
  <c r="P9" i="9"/>
  <c r="T9" i="9"/>
  <c r="L9" i="9"/>
  <c r="I8" i="4"/>
  <c r="I9" i="6" s="1"/>
  <c r="J8" i="6"/>
  <c r="A9" i="6"/>
  <c r="A11" i="9" s="1"/>
  <c r="H8" i="4"/>
  <c r="H9" i="6" s="1"/>
  <c r="D8" i="4"/>
  <c r="D9" i="6" s="1"/>
  <c r="G8" i="4"/>
  <c r="G9" i="6" s="1"/>
  <c r="F8" i="4"/>
  <c r="F9" i="6" s="1"/>
  <c r="E8" i="4"/>
  <c r="E9" i="6" s="1"/>
  <c r="A9" i="4"/>
  <c r="I9" i="4" s="1"/>
  <c r="B8" i="4"/>
  <c r="B9" i="6" s="1"/>
  <c r="C8" i="4"/>
  <c r="C9" i="6" s="1"/>
  <c r="M8" i="9" l="1"/>
  <c r="F10" i="9"/>
  <c r="G10" i="9" s="1"/>
  <c r="N10" i="9" s="1"/>
  <c r="U8" i="9"/>
  <c r="D8" i="9"/>
  <c r="E8" i="9" s="1"/>
  <c r="Q8" i="9" s="1"/>
  <c r="B10" i="9"/>
  <c r="C10" i="9" s="1"/>
  <c r="D10" i="9" s="1"/>
  <c r="M9" i="9"/>
  <c r="U9" i="9"/>
  <c r="F11" i="9"/>
  <c r="J11" i="9"/>
  <c r="P10" i="9"/>
  <c r="L10" i="9"/>
  <c r="T10" i="9"/>
  <c r="D9" i="9"/>
  <c r="E9" i="9" s="1"/>
  <c r="Q9" i="9" s="1"/>
  <c r="J9" i="6"/>
  <c r="B11" i="9" s="1"/>
  <c r="A10" i="6"/>
  <c r="G9" i="4"/>
  <c r="G10" i="6" s="1"/>
  <c r="C9" i="4"/>
  <c r="C10" i="6" s="1"/>
  <c r="F9" i="4"/>
  <c r="F10" i="6" s="1"/>
  <c r="E9" i="4"/>
  <c r="E10" i="6" s="1"/>
  <c r="D9" i="4"/>
  <c r="D10" i="6" s="1"/>
  <c r="A10" i="4"/>
  <c r="B9" i="4"/>
  <c r="B10" i="6" s="1"/>
  <c r="H9" i="4"/>
  <c r="H10" i="6" s="1"/>
  <c r="G11" i="9" l="1"/>
  <c r="N11" i="9" s="1"/>
  <c r="H10" i="9"/>
  <c r="I10" i="9" s="1"/>
  <c r="R10" i="9" s="1"/>
  <c r="C11" i="9"/>
  <c r="M11" i="9" s="1"/>
  <c r="A12" i="9"/>
  <c r="J12" i="9" s="1"/>
  <c r="H11" i="9"/>
  <c r="I11" i="9" s="1"/>
  <c r="R11" i="9" s="1"/>
  <c r="P11" i="9"/>
  <c r="L11" i="9"/>
  <c r="T11" i="9"/>
  <c r="M10" i="9"/>
  <c r="U10" i="9"/>
  <c r="E10" i="9"/>
  <c r="Q10" i="9" s="1"/>
  <c r="I10" i="4"/>
  <c r="I11" i="6" s="1"/>
  <c r="J10" i="6"/>
  <c r="B12" i="9" s="1"/>
  <c r="A11" i="6"/>
  <c r="A13" i="9" s="1"/>
  <c r="F10" i="4"/>
  <c r="F11" i="6" s="1"/>
  <c r="A11" i="4"/>
  <c r="I11" i="4" s="1"/>
  <c r="E10" i="4"/>
  <c r="E11" i="6" s="1"/>
  <c r="B10" i="4"/>
  <c r="B11" i="6" s="1"/>
  <c r="D10" i="4"/>
  <c r="D11" i="6" s="1"/>
  <c r="C10" i="4"/>
  <c r="C11" i="6" s="1"/>
  <c r="H10" i="4"/>
  <c r="H11" i="6" s="1"/>
  <c r="G10" i="4"/>
  <c r="G11" i="6" s="1"/>
  <c r="I10" i="6"/>
  <c r="F12" i="9" s="1"/>
  <c r="G12" i="9" s="1"/>
  <c r="C12" i="9" l="1"/>
  <c r="D12" i="9" s="1"/>
  <c r="E12" i="9" s="1"/>
  <c r="Q12" i="9" s="1"/>
  <c r="D11" i="9"/>
  <c r="E11" i="9" s="1"/>
  <c r="Q11" i="9" s="1"/>
  <c r="U11" i="9"/>
  <c r="N12" i="9"/>
  <c r="H12" i="9"/>
  <c r="I12" i="9" s="1"/>
  <c r="R12" i="9" s="1"/>
  <c r="P12" i="9"/>
  <c r="T12" i="9"/>
  <c r="L12" i="9"/>
  <c r="J13" i="9"/>
  <c r="F13" i="9"/>
  <c r="G13" i="9" s="1"/>
  <c r="J11" i="6"/>
  <c r="B13" i="9" s="1"/>
  <c r="A12" i="6"/>
  <c r="A14" i="9" s="1"/>
  <c r="E11" i="4"/>
  <c r="E12" i="6" s="1"/>
  <c r="D11" i="4"/>
  <c r="D12" i="6" s="1"/>
  <c r="I12" i="6"/>
  <c r="C11" i="4"/>
  <c r="C12" i="6" s="1"/>
  <c r="A12" i="4"/>
  <c r="I12" i="4" s="1"/>
  <c r="B11" i="4"/>
  <c r="B12" i="6" s="1"/>
  <c r="G11" i="4"/>
  <c r="G12" i="6" s="1"/>
  <c r="H11" i="4"/>
  <c r="H12" i="6" s="1"/>
  <c r="F11" i="4"/>
  <c r="F12" i="6" s="1"/>
  <c r="U12" i="9" l="1"/>
  <c r="C13" i="9"/>
  <c r="M13" i="9" s="1"/>
  <c r="M12" i="9"/>
  <c r="N13" i="9"/>
  <c r="H13" i="9"/>
  <c r="I13" i="9" s="1"/>
  <c r="R13" i="9" s="1"/>
  <c r="J14" i="9"/>
  <c r="F14" i="9"/>
  <c r="G14" i="9" s="1"/>
  <c r="N14" i="9" s="1"/>
  <c r="L13" i="9"/>
  <c r="T13" i="9"/>
  <c r="P13" i="9"/>
  <c r="J12" i="6"/>
  <c r="B14" i="9" s="1"/>
  <c r="A13" i="6"/>
  <c r="A15" i="9" s="1"/>
  <c r="D12" i="4"/>
  <c r="D13" i="6" s="1"/>
  <c r="H12" i="4"/>
  <c r="H13" i="6" s="1"/>
  <c r="C12" i="4"/>
  <c r="C13" i="6" s="1"/>
  <c r="A13" i="4"/>
  <c r="I13" i="4" s="1"/>
  <c r="B12" i="4"/>
  <c r="B13" i="6" s="1"/>
  <c r="I13" i="6"/>
  <c r="F12" i="4"/>
  <c r="F13" i="6" s="1"/>
  <c r="E12" i="4"/>
  <c r="E13" i="6" s="1"/>
  <c r="G12" i="4"/>
  <c r="G13" i="6" s="1"/>
  <c r="D13" i="9" l="1"/>
  <c r="E13" i="9" s="1"/>
  <c r="Q13" i="9" s="1"/>
  <c r="C14" i="9"/>
  <c r="U14" i="9" s="1"/>
  <c r="U13" i="9"/>
  <c r="F15" i="9"/>
  <c r="G15" i="9" s="1"/>
  <c r="J15" i="9"/>
  <c r="H14" i="9"/>
  <c r="I14" i="9" s="1"/>
  <c r="R14" i="9" s="1"/>
  <c r="P14" i="9"/>
  <c r="L14" i="9"/>
  <c r="T14" i="9"/>
  <c r="J13" i="6"/>
  <c r="B15" i="9" s="1"/>
  <c r="C15" i="9" s="1"/>
  <c r="A14" i="6"/>
  <c r="A16" i="9" s="1"/>
  <c r="C13" i="4"/>
  <c r="C14" i="6" s="1"/>
  <c r="A14" i="4"/>
  <c r="I14" i="4" s="1"/>
  <c r="B13" i="4"/>
  <c r="B14" i="6" s="1"/>
  <c r="G13" i="4"/>
  <c r="G14" i="6" s="1"/>
  <c r="I14" i="6"/>
  <c r="H13" i="4"/>
  <c r="H14" i="6" s="1"/>
  <c r="E13" i="4"/>
  <c r="E14" i="6" s="1"/>
  <c r="F13" i="4"/>
  <c r="F14" i="6" s="1"/>
  <c r="D13" i="4"/>
  <c r="D14" i="6" s="1"/>
  <c r="D14" i="9" l="1"/>
  <c r="E14" i="9" s="1"/>
  <c r="Q14" i="9" s="1"/>
  <c r="M14" i="9"/>
  <c r="M15" i="9"/>
  <c r="U15" i="9"/>
  <c r="D15" i="9"/>
  <c r="E15" i="9" s="1"/>
  <c r="Q15" i="9" s="1"/>
  <c r="N15" i="9"/>
  <c r="H15" i="9"/>
  <c r="I15" i="9" s="1"/>
  <c r="R15" i="9" s="1"/>
  <c r="F16" i="9"/>
  <c r="G16" i="9" s="1"/>
  <c r="N16" i="9" s="1"/>
  <c r="J16" i="9"/>
  <c r="T15" i="9"/>
  <c r="L15" i="9"/>
  <c r="P15" i="9"/>
  <c r="J14" i="6"/>
  <c r="B16" i="9" s="1"/>
  <c r="C16" i="9" s="1"/>
  <c r="A15" i="6"/>
  <c r="A17" i="9" s="1"/>
  <c r="A15" i="4"/>
  <c r="I15" i="4" s="1"/>
  <c r="B14" i="4"/>
  <c r="B15" i="6" s="1"/>
  <c r="I15" i="6"/>
  <c r="F14" i="4"/>
  <c r="F15" i="6" s="1"/>
  <c r="H14" i="4"/>
  <c r="H15" i="6" s="1"/>
  <c r="G14" i="4"/>
  <c r="G15" i="6" s="1"/>
  <c r="D14" i="4"/>
  <c r="D15" i="6" s="1"/>
  <c r="E14" i="4"/>
  <c r="E15" i="6" s="1"/>
  <c r="C14" i="4"/>
  <c r="C15" i="6" s="1"/>
  <c r="M16" i="9" l="1"/>
  <c r="D16" i="9"/>
  <c r="E16" i="9" s="1"/>
  <c r="Q16" i="9" s="1"/>
  <c r="U16" i="9"/>
  <c r="J17" i="9"/>
  <c r="F17" i="9"/>
  <c r="G17" i="9" s="1"/>
  <c r="P16" i="9"/>
  <c r="L16" i="9"/>
  <c r="T16" i="9"/>
  <c r="H16" i="9"/>
  <c r="I16" i="9" s="1"/>
  <c r="R16" i="9" s="1"/>
  <c r="J15" i="6"/>
  <c r="B17" i="9" s="1"/>
  <c r="C17" i="9" s="1"/>
  <c r="A16" i="6"/>
  <c r="A18" i="9" s="1"/>
  <c r="I16" i="6"/>
  <c r="E15" i="4"/>
  <c r="E16" i="6" s="1"/>
  <c r="H15" i="4"/>
  <c r="H16" i="6" s="1"/>
  <c r="G15" i="4"/>
  <c r="G16" i="6" s="1"/>
  <c r="F15" i="4"/>
  <c r="F16" i="6" s="1"/>
  <c r="C15" i="4"/>
  <c r="C16" i="6" s="1"/>
  <c r="A16" i="4"/>
  <c r="I16" i="4" s="1"/>
  <c r="D15" i="4"/>
  <c r="D16" i="6" s="1"/>
  <c r="B15" i="4"/>
  <c r="B16" i="6" s="1"/>
  <c r="N17" i="9" l="1"/>
  <c r="H17" i="9"/>
  <c r="I17" i="9" s="1"/>
  <c r="R17" i="9" s="1"/>
  <c r="M17" i="9"/>
  <c r="U17" i="9"/>
  <c r="D17" i="9"/>
  <c r="E17" i="9" s="1"/>
  <c r="Q17" i="9" s="1"/>
  <c r="J18" i="9"/>
  <c r="F18" i="9"/>
  <c r="G18" i="9" s="1"/>
  <c r="P17" i="9"/>
  <c r="L17" i="9"/>
  <c r="T17" i="9"/>
  <c r="J16" i="6"/>
  <c r="B18" i="9" s="1"/>
  <c r="C18" i="9" s="1"/>
  <c r="A17" i="6"/>
  <c r="A19" i="9" s="1"/>
  <c r="H16" i="4"/>
  <c r="H17" i="6" s="1"/>
  <c r="G16" i="4"/>
  <c r="G17" i="6" s="1"/>
  <c r="D16" i="4"/>
  <c r="D17" i="6" s="1"/>
  <c r="F16" i="4"/>
  <c r="F17" i="6" s="1"/>
  <c r="E16" i="4"/>
  <c r="E17" i="6" s="1"/>
  <c r="A17" i="4"/>
  <c r="I17" i="4" s="1"/>
  <c r="B16" i="4"/>
  <c r="B17" i="6" s="1"/>
  <c r="C16" i="4"/>
  <c r="C17" i="6" s="1"/>
  <c r="I17" i="6"/>
  <c r="N18" i="9" l="1"/>
  <c r="H18" i="9"/>
  <c r="I18" i="9" s="1"/>
  <c r="R18" i="9" s="1"/>
  <c r="M18" i="9"/>
  <c r="U18" i="9"/>
  <c r="D18" i="9"/>
  <c r="E18" i="9" s="1"/>
  <c r="Q18" i="9" s="1"/>
  <c r="J19" i="9"/>
  <c r="F19" i="9"/>
  <c r="G19" i="9" s="1"/>
  <c r="N19" i="9" s="1"/>
  <c r="P18" i="9"/>
  <c r="T18" i="9"/>
  <c r="L18" i="9"/>
  <c r="J17" i="6"/>
  <c r="B19" i="9" s="1"/>
  <c r="C19" i="9" s="1"/>
  <c r="A18" i="6"/>
  <c r="A20" i="9" s="1"/>
  <c r="G17" i="4"/>
  <c r="G18" i="6" s="1"/>
  <c r="C17" i="4"/>
  <c r="C18" i="6" s="1"/>
  <c r="F17" i="4"/>
  <c r="F18" i="6" s="1"/>
  <c r="E17" i="4"/>
  <c r="E18" i="6" s="1"/>
  <c r="D17" i="4"/>
  <c r="D18" i="6" s="1"/>
  <c r="I18" i="6"/>
  <c r="A18" i="4"/>
  <c r="I18" i="4" s="1"/>
  <c r="H17" i="4"/>
  <c r="H18" i="6" s="1"/>
  <c r="B17" i="4"/>
  <c r="B18" i="6" s="1"/>
  <c r="M19" i="9" l="1"/>
  <c r="U19" i="9"/>
  <c r="D19" i="9"/>
  <c r="E19" i="9" s="1"/>
  <c r="Q19" i="9" s="1"/>
  <c r="T19" i="9"/>
  <c r="L19" i="9"/>
  <c r="P19" i="9"/>
  <c r="H19" i="9"/>
  <c r="I19" i="9" s="1"/>
  <c r="R19" i="9" s="1"/>
  <c r="F20" i="9"/>
  <c r="G20" i="9" s="1"/>
  <c r="J20" i="9"/>
  <c r="J18" i="6"/>
  <c r="B20" i="9" s="1"/>
  <c r="C20" i="9" s="1"/>
  <c r="A19" i="6"/>
  <c r="A21" i="9" s="1"/>
  <c r="F18" i="4"/>
  <c r="F19" i="6" s="1"/>
  <c r="A19" i="4"/>
  <c r="I19" i="4" s="1"/>
  <c r="E18" i="4"/>
  <c r="E19" i="6" s="1"/>
  <c r="B18" i="4"/>
  <c r="B19" i="6" s="1"/>
  <c r="D18" i="4"/>
  <c r="D19" i="6" s="1"/>
  <c r="C18" i="4"/>
  <c r="C19" i="6" s="1"/>
  <c r="H18" i="4"/>
  <c r="H19" i="6" s="1"/>
  <c r="I19" i="6"/>
  <c r="G18" i="4"/>
  <c r="G19" i="6" s="1"/>
  <c r="N20" i="9" l="1"/>
  <c r="H20" i="9"/>
  <c r="I20" i="9" s="1"/>
  <c r="R20" i="9" s="1"/>
  <c r="M20" i="9"/>
  <c r="D20" i="9"/>
  <c r="E20" i="9" s="1"/>
  <c r="Q20" i="9" s="1"/>
  <c r="U20" i="9"/>
  <c r="F21" i="9"/>
  <c r="G21" i="9" s="1"/>
  <c r="J21" i="9"/>
  <c r="P20" i="9"/>
  <c r="L20" i="9"/>
  <c r="T20" i="9"/>
  <c r="J19" i="6"/>
  <c r="B21" i="9" s="1"/>
  <c r="C21" i="9" s="1"/>
  <c r="A20" i="6"/>
  <c r="A22" i="9" s="1"/>
  <c r="E19" i="4"/>
  <c r="E20" i="6" s="1"/>
  <c r="D19" i="4"/>
  <c r="D20" i="6" s="1"/>
  <c r="I20" i="6"/>
  <c r="C19" i="4"/>
  <c r="C20" i="6" s="1"/>
  <c r="A20" i="4"/>
  <c r="I20" i="4" s="1"/>
  <c r="B19" i="4"/>
  <c r="B20" i="6" s="1"/>
  <c r="G19" i="4"/>
  <c r="G20" i="6" s="1"/>
  <c r="F19" i="4"/>
  <c r="F20" i="6" s="1"/>
  <c r="H19" i="4"/>
  <c r="H20" i="6" s="1"/>
  <c r="N21" i="9" l="1"/>
  <c r="H21" i="9"/>
  <c r="I21" i="9" s="1"/>
  <c r="R21" i="9" s="1"/>
  <c r="M21" i="9"/>
  <c r="U21" i="9"/>
  <c r="D21" i="9"/>
  <c r="E21" i="9" s="1"/>
  <c r="Q21" i="9" s="1"/>
  <c r="J22" i="9"/>
  <c r="F22" i="9"/>
  <c r="G22" i="9" s="1"/>
  <c r="N22" i="9" s="1"/>
  <c r="T21" i="9"/>
  <c r="L21" i="9"/>
  <c r="P21" i="9"/>
  <c r="J20" i="6"/>
  <c r="B22" i="9" s="1"/>
  <c r="C22" i="9" s="1"/>
  <c r="M22" i="9" s="1"/>
  <c r="A21" i="6"/>
  <c r="A23" i="9" s="1"/>
  <c r="D20" i="4"/>
  <c r="D21" i="6" s="1"/>
  <c r="H20" i="4"/>
  <c r="H21" i="6" s="1"/>
  <c r="C20" i="4"/>
  <c r="C21" i="6" s="1"/>
  <c r="A21" i="4"/>
  <c r="I21" i="4" s="1"/>
  <c r="B20" i="4"/>
  <c r="B21" i="6" s="1"/>
  <c r="I21" i="6"/>
  <c r="F20" i="4"/>
  <c r="F21" i="6" s="1"/>
  <c r="G20" i="4"/>
  <c r="G21" i="6" s="1"/>
  <c r="E20" i="4"/>
  <c r="E21" i="6" s="1"/>
  <c r="J23" i="9" l="1"/>
  <c r="F23" i="9"/>
  <c r="G23" i="9" s="1"/>
  <c r="N23" i="9" s="1"/>
  <c r="H22" i="9"/>
  <c r="I22" i="9" s="1"/>
  <c r="R22" i="9" s="1"/>
  <c r="U22" i="9"/>
  <c r="D22" i="9"/>
  <c r="E22" i="9" s="1"/>
  <c r="Q22" i="9" s="1"/>
  <c r="P22" i="9"/>
  <c r="L22" i="9"/>
  <c r="T22" i="9"/>
  <c r="J21" i="6"/>
  <c r="B23" i="9" s="1"/>
  <c r="C23" i="9" s="1"/>
  <c r="A22" i="6"/>
  <c r="A24" i="9" s="1"/>
  <c r="C21" i="4"/>
  <c r="C22" i="6" s="1"/>
  <c r="A22" i="4"/>
  <c r="I22" i="4" s="1"/>
  <c r="B21" i="4"/>
  <c r="B22" i="6" s="1"/>
  <c r="G21" i="4"/>
  <c r="G22" i="6" s="1"/>
  <c r="I22" i="6"/>
  <c r="H21" i="4"/>
  <c r="H22" i="6" s="1"/>
  <c r="E21" i="4"/>
  <c r="E22" i="6" s="1"/>
  <c r="D21" i="4"/>
  <c r="D22" i="6" s="1"/>
  <c r="F21" i="4"/>
  <c r="F22" i="6" s="1"/>
  <c r="M23" i="9" l="1"/>
  <c r="D23" i="9"/>
  <c r="E23" i="9" s="1"/>
  <c r="Q23" i="9" s="1"/>
  <c r="U23" i="9"/>
  <c r="L23" i="9"/>
  <c r="T23" i="9"/>
  <c r="P23" i="9"/>
  <c r="F24" i="9"/>
  <c r="G24" i="9" s="1"/>
  <c r="J24" i="9"/>
  <c r="H23" i="9"/>
  <c r="I23" i="9" s="1"/>
  <c r="R23" i="9" s="1"/>
  <c r="J22" i="6"/>
  <c r="B24" i="9" s="1"/>
  <c r="C24" i="9" s="1"/>
  <c r="A23" i="6"/>
  <c r="A25" i="9" s="1"/>
  <c r="A23" i="4"/>
  <c r="I23" i="4" s="1"/>
  <c r="B22" i="4"/>
  <c r="B23" i="6" s="1"/>
  <c r="F22" i="4"/>
  <c r="F23" i="6" s="1"/>
  <c r="I23" i="6"/>
  <c r="H22" i="4"/>
  <c r="H23" i="6" s="1"/>
  <c r="G22" i="4"/>
  <c r="G23" i="6" s="1"/>
  <c r="D22" i="4"/>
  <c r="D23" i="6" s="1"/>
  <c r="E22" i="4"/>
  <c r="E23" i="6" s="1"/>
  <c r="C22" i="4"/>
  <c r="C23" i="6" s="1"/>
  <c r="N24" i="9" l="1"/>
  <c r="H24" i="9"/>
  <c r="I24" i="9" s="1"/>
  <c r="R24" i="9" s="1"/>
  <c r="M24" i="9"/>
  <c r="U24" i="9"/>
  <c r="D24" i="9"/>
  <c r="E24" i="9" s="1"/>
  <c r="Q24" i="9" s="1"/>
  <c r="J25" i="9"/>
  <c r="F25" i="9"/>
  <c r="G25" i="9" s="1"/>
  <c r="P24" i="9"/>
  <c r="L24" i="9"/>
  <c r="T24" i="9"/>
  <c r="J23" i="6"/>
  <c r="B25" i="9" s="1"/>
  <c r="C25" i="9" s="1"/>
  <c r="A24" i="6"/>
  <c r="A26" i="9" s="1"/>
  <c r="I24" i="6"/>
  <c r="H23" i="4"/>
  <c r="H24" i="6" s="1"/>
  <c r="E23" i="4"/>
  <c r="E24" i="6" s="1"/>
  <c r="G23" i="4"/>
  <c r="G24" i="6" s="1"/>
  <c r="F23" i="4"/>
  <c r="F24" i="6" s="1"/>
  <c r="C23" i="4"/>
  <c r="C24" i="6" s="1"/>
  <c r="B23" i="4"/>
  <c r="B24" i="6" s="1"/>
  <c r="D23" i="4"/>
  <c r="D24" i="6" s="1"/>
  <c r="A24" i="4"/>
  <c r="I24" i="4" s="1"/>
  <c r="N25" i="9" l="1"/>
  <c r="H25" i="9"/>
  <c r="I25" i="9" s="1"/>
  <c r="R25" i="9" s="1"/>
  <c r="M25" i="9"/>
  <c r="U25" i="9"/>
  <c r="D25" i="9"/>
  <c r="E25" i="9" s="1"/>
  <c r="Q25" i="9" s="1"/>
  <c r="J26" i="9"/>
  <c r="F26" i="9"/>
  <c r="G26" i="9" s="1"/>
  <c r="N26" i="9" s="1"/>
  <c r="L25" i="9"/>
  <c r="P25" i="9"/>
  <c r="T25" i="9"/>
  <c r="J24" i="6"/>
  <c r="B26" i="9" s="1"/>
  <c r="C26" i="9" s="1"/>
  <c r="A25" i="6"/>
  <c r="A27" i="9" s="1"/>
  <c r="H24" i="4"/>
  <c r="H25" i="6" s="1"/>
  <c r="G24" i="4"/>
  <c r="G25" i="6" s="1"/>
  <c r="D24" i="4"/>
  <c r="D25" i="6" s="1"/>
  <c r="F24" i="4"/>
  <c r="F25" i="6" s="1"/>
  <c r="E24" i="4"/>
  <c r="E25" i="6" s="1"/>
  <c r="A25" i="4"/>
  <c r="I25" i="4" s="1"/>
  <c r="B24" i="4"/>
  <c r="B25" i="6" s="1"/>
  <c r="C24" i="4"/>
  <c r="C25" i="6" s="1"/>
  <c r="I25" i="6"/>
  <c r="M26" i="9" l="1"/>
  <c r="U26" i="9"/>
  <c r="D26" i="9"/>
  <c r="E26" i="9" s="1"/>
  <c r="Q26" i="9" s="1"/>
  <c r="F27" i="9"/>
  <c r="G27" i="9" s="1"/>
  <c r="N27" i="9" s="1"/>
  <c r="J27" i="9"/>
  <c r="H26" i="9"/>
  <c r="I26" i="9" s="1"/>
  <c r="R26" i="9" s="1"/>
  <c r="P26" i="9"/>
  <c r="L26" i="9"/>
  <c r="T26" i="9"/>
  <c r="J25" i="6"/>
  <c r="B27" i="9" s="1"/>
  <c r="C27" i="9" s="1"/>
  <c r="A26" i="6"/>
  <c r="A28" i="9" s="1"/>
  <c r="G25" i="4"/>
  <c r="G26" i="6" s="1"/>
  <c r="C25" i="4"/>
  <c r="C26" i="6" s="1"/>
  <c r="F25" i="4"/>
  <c r="F26" i="6" s="1"/>
  <c r="E25" i="4"/>
  <c r="E26" i="6" s="1"/>
  <c r="D25" i="4"/>
  <c r="D26" i="6" s="1"/>
  <c r="I26" i="6"/>
  <c r="A26" i="4"/>
  <c r="I26" i="4" s="1"/>
  <c r="H25" i="4"/>
  <c r="H26" i="6" s="1"/>
  <c r="B25" i="4"/>
  <c r="B26" i="6" s="1"/>
  <c r="M27" i="9" l="1"/>
  <c r="U27" i="9"/>
  <c r="D27" i="9"/>
  <c r="E27" i="9" s="1"/>
  <c r="Q27" i="9" s="1"/>
  <c r="P27" i="9"/>
  <c r="T27" i="9"/>
  <c r="L27" i="9"/>
  <c r="H27" i="9"/>
  <c r="I27" i="9" s="1"/>
  <c r="R27" i="9" s="1"/>
  <c r="F28" i="9"/>
  <c r="G28" i="9" s="1"/>
  <c r="J28" i="9"/>
  <c r="J26" i="6"/>
  <c r="B28" i="9" s="1"/>
  <c r="C28" i="9" s="1"/>
  <c r="A27" i="6"/>
  <c r="A29" i="9" s="1"/>
  <c r="F26" i="4"/>
  <c r="F27" i="6" s="1"/>
  <c r="A27" i="4"/>
  <c r="I27" i="4" s="1"/>
  <c r="E26" i="4"/>
  <c r="E27" i="6" s="1"/>
  <c r="B26" i="4"/>
  <c r="B27" i="6" s="1"/>
  <c r="D26" i="4"/>
  <c r="D27" i="6" s="1"/>
  <c r="C26" i="4"/>
  <c r="C27" i="6" s="1"/>
  <c r="H26" i="4"/>
  <c r="H27" i="6" s="1"/>
  <c r="G26" i="4"/>
  <c r="G27" i="6" s="1"/>
  <c r="I27" i="6"/>
  <c r="N28" i="9" l="1"/>
  <c r="H28" i="9"/>
  <c r="I28" i="9" s="1"/>
  <c r="R28" i="9" s="1"/>
  <c r="M28" i="9"/>
  <c r="U28" i="9"/>
  <c r="D28" i="9"/>
  <c r="E28" i="9" s="1"/>
  <c r="Q28" i="9" s="1"/>
  <c r="J29" i="9"/>
  <c r="F29" i="9"/>
  <c r="G29" i="9" s="1"/>
  <c r="N29" i="9" s="1"/>
  <c r="P28" i="9"/>
  <c r="T28" i="9"/>
  <c r="L28" i="9"/>
  <c r="J27" i="6"/>
  <c r="B29" i="9" s="1"/>
  <c r="C29" i="9" s="1"/>
  <c r="A28" i="6"/>
  <c r="A30" i="9" s="1"/>
  <c r="E27" i="4"/>
  <c r="E28" i="6" s="1"/>
  <c r="D27" i="4"/>
  <c r="D28" i="6" s="1"/>
  <c r="I28" i="6"/>
  <c r="C27" i="4"/>
  <c r="C28" i="6" s="1"/>
  <c r="A28" i="4"/>
  <c r="I28" i="4" s="1"/>
  <c r="B27" i="4"/>
  <c r="B28" i="6" s="1"/>
  <c r="G27" i="4"/>
  <c r="G28" i="6" s="1"/>
  <c r="H27" i="4"/>
  <c r="H28" i="6" s="1"/>
  <c r="F27" i="4"/>
  <c r="F28" i="6" s="1"/>
  <c r="M29" i="9" l="1"/>
  <c r="U29" i="9"/>
  <c r="D29" i="9"/>
  <c r="E29" i="9" s="1"/>
  <c r="Q29" i="9" s="1"/>
  <c r="L29" i="9"/>
  <c r="P29" i="9"/>
  <c r="T29" i="9"/>
  <c r="H29" i="9"/>
  <c r="I29" i="9" s="1"/>
  <c r="R29" i="9" s="1"/>
  <c r="J30" i="9"/>
  <c r="F30" i="9"/>
  <c r="G30" i="9" s="1"/>
  <c r="N30" i="9" s="1"/>
  <c r="J28" i="6"/>
  <c r="B30" i="9" s="1"/>
  <c r="C30" i="9" s="1"/>
  <c r="A29" i="6"/>
  <c r="A31" i="9" s="1"/>
  <c r="D28" i="4"/>
  <c r="D29" i="6" s="1"/>
  <c r="H28" i="4"/>
  <c r="H29" i="6" s="1"/>
  <c r="C28" i="4"/>
  <c r="C29" i="6" s="1"/>
  <c r="A29" i="4"/>
  <c r="I29" i="4" s="1"/>
  <c r="B28" i="4"/>
  <c r="B29" i="6" s="1"/>
  <c r="I29" i="6"/>
  <c r="F28" i="4"/>
  <c r="F29" i="6" s="1"/>
  <c r="G28" i="4"/>
  <c r="G29" i="6" s="1"/>
  <c r="E28" i="4"/>
  <c r="E29" i="6" s="1"/>
  <c r="M30" i="9" l="1"/>
  <c r="U30" i="9"/>
  <c r="D30" i="9"/>
  <c r="E30" i="9" s="1"/>
  <c r="Q30" i="9" s="1"/>
  <c r="F31" i="9"/>
  <c r="G31" i="9" s="1"/>
  <c r="J31" i="9"/>
  <c r="P30" i="9"/>
  <c r="L30" i="9"/>
  <c r="T30" i="9"/>
  <c r="H30" i="9"/>
  <c r="I30" i="9" s="1"/>
  <c r="R30" i="9" s="1"/>
  <c r="J29" i="6"/>
  <c r="B31" i="9" s="1"/>
  <c r="C31" i="9" s="1"/>
  <c r="A30" i="6"/>
  <c r="A32" i="9" s="1"/>
  <c r="C29" i="4"/>
  <c r="C30" i="6" s="1"/>
  <c r="A30" i="4"/>
  <c r="I30" i="4" s="1"/>
  <c r="B29" i="4"/>
  <c r="B30" i="6" s="1"/>
  <c r="G29" i="4"/>
  <c r="G30" i="6" s="1"/>
  <c r="I30" i="6"/>
  <c r="H29" i="4"/>
  <c r="H30" i="6" s="1"/>
  <c r="E29" i="4"/>
  <c r="E30" i="6" s="1"/>
  <c r="F29" i="4"/>
  <c r="F30" i="6" s="1"/>
  <c r="D29" i="4"/>
  <c r="D30" i="6" s="1"/>
  <c r="M31" i="9" l="1"/>
  <c r="U31" i="9"/>
  <c r="D31" i="9"/>
  <c r="E31" i="9" s="1"/>
  <c r="Q31" i="9" s="1"/>
  <c r="N31" i="9"/>
  <c r="H31" i="9"/>
  <c r="I31" i="9" s="1"/>
  <c r="R31" i="9" s="1"/>
  <c r="T31" i="9"/>
  <c r="P31" i="9"/>
  <c r="L31" i="9"/>
  <c r="F32" i="9"/>
  <c r="G32" i="9" s="1"/>
  <c r="J32" i="9"/>
  <c r="J30" i="6"/>
  <c r="B32" i="9" s="1"/>
  <c r="C32" i="9" s="1"/>
  <c r="A31" i="6"/>
  <c r="A33" i="9" s="1"/>
  <c r="A31" i="4"/>
  <c r="I31" i="4" s="1"/>
  <c r="B30" i="4"/>
  <c r="B31" i="6" s="1"/>
  <c r="F30" i="4"/>
  <c r="F31" i="6" s="1"/>
  <c r="I31" i="6"/>
  <c r="H30" i="4"/>
  <c r="H31" i="6" s="1"/>
  <c r="G30" i="4"/>
  <c r="G31" i="6" s="1"/>
  <c r="D30" i="4"/>
  <c r="D31" i="6" s="1"/>
  <c r="C30" i="4"/>
  <c r="C31" i="6" s="1"/>
  <c r="E30" i="4"/>
  <c r="E31" i="6" s="1"/>
  <c r="N32" i="9" l="1"/>
  <c r="H32" i="9"/>
  <c r="I32" i="9" s="1"/>
  <c r="R32" i="9" s="1"/>
  <c r="M32" i="9"/>
  <c r="U32" i="9"/>
  <c r="D32" i="9"/>
  <c r="E32" i="9" s="1"/>
  <c r="Q32" i="9" s="1"/>
  <c r="F33" i="9"/>
  <c r="G33" i="9" s="1"/>
  <c r="J33" i="9"/>
  <c r="P32" i="9"/>
  <c r="L32" i="9"/>
  <c r="T32" i="9"/>
  <c r="J31" i="6"/>
  <c r="B33" i="9" s="1"/>
  <c r="C33" i="9" s="1"/>
  <c r="A32" i="6"/>
  <c r="A34" i="9" s="1"/>
  <c r="I32" i="6"/>
  <c r="E31" i="4"/>
  <c r="E32" i="6" s="1"/>
  <c r="H31" i="4"/>
  <c r="H32" i="6" s="1"/>
  <c r="G31" i="4"/>
  <c r="G32" i="6" s="1"/>
  <c r="F31" i="4"/>
  <c r="F32" i="6" s="1"/>
  <c r="C31" i="4"/>
  <c r="C32" i="6" s="1"/>
  <c r="D31" i="4"/>
  <c r="D32" i="6" s="1"/>
  <c r="A32" i="4"/>
  <c r="I32" i="4" s="1"/>
  <c r="B31" i="4"/>
  <c r="B32" i="6" s="1"/>
  <c r="N33" i="9" l="1"/>
  <c r="H33" i="9"/>
  <c r="I33" i="9" s="1"/>
  <c r="R33" i="9" s="1"/>
  <c r="M33" i="9"/>
  <c r="U33" i="9"/>
  <c r="D33" i="9"/>
  <c r="E33" i="9" s="1"/>
  <c r="Q33" i="9" s="1"/>
  <c r="P33" i="9"/>
  <c r="L33" i="9"/>
  <c r="T33" i="9"/>
  <c r="J34" i="9"/>
  <c r="F34" i="9"/>
  <c r="G34" i="9" s="1"/>
  <c r="J32" i="6"/>
  <c r="B34" i="9" s="1"/>
  <c r="C34" i="9" s="1"/>
  <c r="A33" i="6"/>
  <c r="A35" i="9" s="1"/>
  <c r="H32" i="4"/>
  <c r="H33" i="6" s="1"/>
  <c r="G32" i="4"/>
  <c r="G33" i="6" s="1"/>
  <c r="D32" i="4"/>
  <c r="D33" i="6" s="1"/>
  <c r="F32" i="4"/>
  <c r="F33" i="6" s="1"/>
  <c r="E32" i="4"/>
  <c r="E33" i="6" s="1"/>
  <c r="A33" i="4"/>
  <c r="I33" i="4" s="1"/>
  <c r="B32" i="4"/>
  <c r="B33" i="6" s="1"/>
  <c r="I33" i="6"/>
  <c r="C32" i="4"/>
  <c r="C33" i="6" s="1"/>
  <c r="N34" i="9" l="1"/>
  <c r="H34" i="9"/>
  <c r="I34" i="9" s="1"/>
  <c r="R34" i="9" s="1"/>
  <c r="M34" i="9"/>
  <c r="D34" i="9"/>
  <c r="E34" i="9" s="1"/>
  <c r="Q34" i="9" s="1"/>
  <c r="U34" i="9"/>
  <c r="J35" i="9"/>
  <c r="F35" i="9"/>
  <c r="G35" i="9" s="1"/>
  <c r="N35" i="9" s="1"/>
  <c r="P34" i="9"/>
  <c r="T34" i="9"/>
  <c r="L34" i="9"/>
  <c r="J33" i="6"/>
  <c r="B35" i="9" s="1"/>
  <c r="C35" i="9" s="1"/>
  <c r="A34" i="6"/>
  <c r="A36" i="9" s="1"/>
  <c r="G33" i="4"/>
  <c r="G34" i="6" s="1"/>
  <c r="C33" i="4"/>
  <c r="C34" i="6" s="1"/>
  <c r="F33" i="4"/>
  <c r="F34" i="6" s="1"/>
  <c r="E33" i="4"/>
  <c r="E34" i="6" s="1"/>
  <c r="D33" i="4"/>
  <c r="D34" i="6" s="1"/>
  <c r="I34" i="6"/>
  <c r="H33" i="4"/>
  <c r="H34" i="6" s="1"/>
  <c r="B33" i="4"/>
  <c r="B34" i="6" s="1"/>
  <c r="A34" i="4"/>
  <c r="I34" i="4" s="1"/>
  <c r="M35" i="9" l="1"/>
  <c r="U35" i="9"/>
  <c r="D35" i="9"/>
  <c r="E35" i="9" s="1"/>
  <c r="Q35" i="9" s="1"/>
  <c r="P35" i="9"/>
  <c r="L35" i="9"/>
  <c r="T35" i="9"/>
  <c r="H35" i="9"/>
  <c r="I35" i="9" s="1"/>
  <c r="R35" i="9" s="1"/>
  <c r="F36" i="9"/>
  <c r="G36" i="9" s="1"/>
  <c r="J36" i="9"/>
  <c r="J34" i="6"/>
  <c r="B36" i="9" s="1"/>
  <c r="C36" i="9" s="1"/>
  <c r="A35" i="6"/>
  <c r="A37" i="9" s="1"/>
  <c r="F34" i="4"/>
  <c r="F35" i="6" s="1"/>
  <c r="A35" i="4"/>
  <c r="I35" i="4" s="1"/>
  <c r="E34" i="4"/>
  <c r="E35" i="6" s="1"/>
  <c r="B34" i="4"/>
  <c r="B35" i="6" s="1"/>
  <c r="D34" i="4"/>
  <c r="D35" i="6" s="1"/>
  <c r="C34" i="4"/>
  <c r="C35" i="6" s="1"/>
  <c r="H34" i="4"/>
  <c r="H35" i="6" s="1"/>
  <c r="I35" i="6"/>
  <c r="G34" i="4"/>
  <c r="G35" i="6" s="1"/>
  <c r="N36" i="9" l="1"/>
  <c r="H36" i="9"/>
  <c r="I36" i="9" s="1"/>
  <c r="R36" i="9" s="1"/>
  <c r="M36" i="9"/>
  <c r="U36" i="9"/>
  <c r="D36" i="9"/>
  <c r="E36" i="9" s="1"/>
  <c r="Q36" i="9" s="1"/>
  <c r="F37" i="9"/>
  <c r="G37" i="9" s="1"/>
  <c r="J37" i="9"/>
  <c r="P36" i="9"/>
  <c r="T36" i="9"/>
  <c r="L36" i="9"/>
  <c r="J35" i="6"/>
  <c r="B37" i="9" s="1"/>
  <c r="C37" i="9" s="1"/>
  <c r="A36" i="6"/>
  <c r="A38" i="9" s="1"/>
  <c r="E35" i="4"/>
  <c r="E36" i="6" s="1"/>
  <c r="D35" i="4"/>
  <c r="D36" i="6" s="1"/>
  <c r="I36" i="6"/>
  <c r="C35" i="4"/>
  <c r="C36" i="6" s="1"/>
  <c r="A36" i="4"/>
  <c r="I36" i="4" s="1"/>
  <c r="B35" i="4"/>
  <c r="B36" i="6" s="1"/>
  <c r="G35" i="4"/>
  <c r="G36" i="6" s="1"/>
  <c r="H35" i="4"/>
  <c r="H36" i="6" s="1"/>
  <c r="F35" i="4"/>
  <c r="F36" i="6" s="1"/>
  <c r="N37" i="9" l="1"/>
  <c r="H37" i="9"/>
  <c r="I37" i="9" s="1"/>
  <c r="R37" i="9" s="1"/>
  <c r="M37" i="9"/>
  <c r="D37" i="9"/>
  <c r="E37" i="9" s="1"/>
  <c r="Q37" i="9" s="1"/>
  <c r="U37" i="9"/>
  <c r="T37" i="9"/>
  <c r="P37" i="9"/>
  <c r="L37" i="9"/>
  <c r="J38" i="9"/>
  <c r="F38" i="9"/>
  <c r="G38" i="9" s="1"/>
  <c r="J36" i="6"/>
  <c r="B38" i="9" s="1"/>
  <c r="C38" i="9" s="1"/>
  <c r="A37" i="6"/>
  <c r="A39" i="9" s="1"/>
  <c r="D36" i="4"/>
  <c r="D37" i="6" s="1"/>
  <c r="H36" i="4"/>
  <c r="H37" i="6" s="1"/>
  <c r="C36" i="4"/>
  <c r="C37" i="6" s="1"/>
  <c r="A37" i="4"/>
  <c r="I37" i="4" s="1"/>
  <c r="B36" i="4"/>
  <c r="B37" i="6" s="1"/>
  <c r="I37" i="6"/>
  <c r="F36" i="4"/>
  <c r="F37" i="6" s="1"/>
  <c r="G36" i="4"/>
  <c r="G37" i="6" s="1"/>
  <c r="E36" i="4"/>
  <c r="E37" i="6" s="1"/>
  <c r="M38" i="9" l="1"/>
  <c r="D38" i="9"/>
  <c r="E38" i="9" s="1"/>
  <c r="Q38" i="9" s="1"/>
  <c r="U38" i="9"/>
  <c r="N38" i="9"/>
  <c r="H38" i="9"/>
  <c r="I38" i="9" s="1"/>
  <c r="R38" i="9" s="1"/>
  <c r="F39" i="9"/>
  <c r="G39" i="9" s="1"/>
  <c r="N39" i="9" s="1"/>
  <c r="J39" i="9"/>
  <c r="P38" i="9"/>
  <c r="L38" i="9"/>
  <c r="T38" i="9"/>
  <c r="J37" i="6"/>
  <c r="B39" i="9" s="1"/>
  <c r="C39" i="9" s="1"/>
  <c r="C37" i="4"/>
  <c r="C38" i="6" s="1"/>
  <c r="A38" i="4"/>
  <c r="I38" i="4" s="1"/>
  <c r="B37" i="4"/>
  <c r="B38" i="6" s="1"/>
  <c r="G37" i="4"/>
  <c r="G38" i="6" s="1"/>
  <c r="I38" i="6"/>
  <c r="A38" i="6"/>
  <c r="A40" i="9" s="1"/>
  <c r="H37" i="4"/>
  <c r="H38" i="6" s="1"/>
  <c r="E37" i="4"/>
  <c r="E38" i="6" s="1"/>
  <c r="D37" i="4"/>
  <c r="D38" i="6" s="1"/>
  <c r="F37" i="4"/>
  <c r="F38" i="6" s="1"/>
  <c r="M39" i="9" l="1"/>
  <c r="D39" i="9"/>
  <c r="E39" i="9" s="1"/>
  <c r="Q39" i="9" s="1"/>
  <c r="U39" i="9"/>
  <c r="H39" i="9"/>
  <c r="I39" i="9" s="1"/>
  <c r="R39" i="9" s="1"/>
  <c r="F40" i="9"/>
  <c r="G40" i="9" s="1"/>
  <c r="J40" i="9"/>
  <c r="L39" i="9"/>
  <c r="P39" i="9"/>
  <c r="T39" i="9"/>
  <c r="J38" i="6"/>
  <c r="B40" i="9" s="1"/>
  <c r="C40" i="9" s="1"/>
  <c r="A39" i="6"/>
  <c r="A41" i="9" s="1"/>
  <c r="A39" i="4"/>
  <c r="I39" i="4" s="1"/>
  <c r="B38" i="4"/>
  <c r="B39" i="6" s="1"/>
  <c r="F38" i="4"/>
  <c r="F39" i="6" s="1"/>
  <c r="I39" i="6"/>
  <c r="H38" i="4"/>
  <c r="H39" i="6" s="1"/>
  <c r="G38" i="4"/>
  <c r="G39" i="6" s="1"/>
  <c r="D38" i="4"/>
  <c r="D39" i="6" s="1"/>
  <c r="E38" i="4"/>
  <c r="E39" i="6" s="1"/>
  <c r="C38" i="4"/>
  <c r="C39" i="6" s="1"/>
  <c r="N40" i="9" l="1"/>
  <c r="H40" i="9"/>
  <c r="I40" i="9" s="1"/>
  <c r="R40" i="9" s="1"/>
  <c r="M40" i="9"/>
  <c r="U40" i="9"/>
  <c r="D40" i="9"/>
  <c r="E40" i="9" s="1"/>
  <c r="Q40" i="9" s="1"/>
  <c r="F41" i="9"/>
  <c r="G41" i="9" s="1"/>
  <c r="J41" i="9"/>
  <c r="P40" i="9"/>
  <c r="T40" i="9"/>
  <c r="L40" i="9"/>
  <c r="J39" i="6"/>
  <c r="B41" i="9" s="1"/>
  <c r="C41" i="9" s="1"/>
  <c r="A40" i="6"/>
  <c r="A42" i="9" s="1"/>
  <c r="I40" i="6"/>
  <c r="H39" i="4"/>
  <c r="H40" i="6" s="1"/>
  <c r="E39" i="4"/>
  <c r="E40" i="6" s="1"/>
  <c r="G39" i="4"/>
  <c r="G40" i="6" s="1"/>
  <c r="F39" i="4"/>
  <c r="F40" i="6" s="1"/>
  <c r="C39" i="4"/>
  <c r="C40" i="6" s="1"/>
  <c r="A40" i="4"/>
  <c r="I40" i="4" s="1"/>
  <c r="D39" i="4"/>
  <c r="D40" i="6" s="1"/>
  <c r="B39" i="4"/>
  <c r="B40" i="6" s="1"/>
  <c r="M41" i="9" l="1"/>
  <c r="U41" i="9"/>
  <c r="D41" i="9"/>
  <c r="E41" i="9" s="1"/>
  <c r="Q41" i="9" s="1"/>
  <c r="N41" i="9"/>
  <c r="H41" i="9"/>
  <c r="I41" i="9" s="1"/>
  <c r="R41" i="9" s="1"/>
  <c r="L41" i="9"/>
  <c r="P41" i="9"/>
  <c r="T41" i="9"/>
  <c r="J42" i="9"/>
  <c r="F42" i="9"/>
  <c r="G42" i="9" s="1"/>
  <c r="J40" i="6"/>
  <c r="B42" i="9" s="1"/>
  <c r="C42" i="9" s="1"/>
  <c r="A41" i="6"/>
  <c r="A43" i="9" s="1"/>
  <c r="H40" i="4"/>
  <c r="H41" i="6" s="1"/>
  <c r="G40" i="4"/>
  <c r="G41" i="6" s="1"/>
  <c r="F40" i="4"/>
  <c r="F41" i="6" s="1"/>
  <c r="E40" i="4"/>
  <c r="E41" i="6" s="1"/>
  <c r="A41" i="4"/>
  <c r="I41" i="4" s="1"/>
  <c r="B40" i="4"/>
  <c r="B41" i="6" s="1"/>
  <c r="D40" i="4"/>
  <c r="D41" i="6" s="1"/>
  <c r="C40" i="4"/>
  <c r="C41" i="6" s="1"/>
  <c r="I41" i="6"/>
  <c r="M42" i="9" l="1"/>
  <c r="D42" i="9"/>
  <c r="E42" i="9" s="1"/>
  <c r="Q42" i="9" s="1"/>
  <c r="U42" i="9"/>
  <c r="N42" i="9"/>
  <c r="H42" i="9"/>
  <c r="I42" i="9" s="1"/>
  <c r="R42" i="9" s="1"/>
  <c r="F43" i="9"/>
  <c r="G43" i="9" s="1"/>
  <c r="J43" i="9"/>
  <c r="P42" i="9"/>
  <c r="L42" i="9"/>
  <c r="T42" i="9"/>
  <c r="J41" i="6"/>
  <c r="B43" i="9" s="1"/>
  <c r="C43" i="9" s="1"/>
  <c r="A42" i="6"/>
  <c r="A44" i="9" s="1"/>
  <c r="G41" i="4"/>
  <c r="G42" i="6" s="1"/>
  <c r="C41" i="4"/>
  <c r="C42" i="6" s="1"/>
  <c r="F41" i="4"/>
  <c r="F42" i="6" s="1"/>
  <c r="E41" i="4"/>
  <c r="E42" i="6" s="1"/>
  <c r="D41" i="4"/>
  <c r="D42" i="6" s="1"/>
  <c r="I42" i="6"/>
  <c r="A42" i="4"/>
  <c r="I42" i="4" s="1"/>
  <c r="H41" i="4"/>
  <c r="H42" i="6" s="1"/>
  <c r="B41" i="4"/>
  <c r="B42" i="6" s="1"/>
  <c r="N43" i="9" l="1"/>
  <c r="H43" i="9"/>
  <c r="I43" i="9" s="1"/>
  <c r="R43" i="9" s="1"/>
  <c r="M43" i="9"/>
  <c r="D43" i="9"/>
  <c r="E43" i="9" s="1"/>
  <c r="Q43" i="9" s="1"/>
  <c r="U43" i="9"/>
  <c r="F44" i="9"/>
  <c r="G44" i="9" s="1"/>
  <c r="J44" i="9"/>
  <c r="P43" i="9"/>
  <c r="L43" i="9"/>
  <c r="T43" i="9"/>
  <c r="J42" i="6"/>
  <c r="B44" i="9" s="1"/>
  <c r="C44" i="9" s="1"/>
  <c r="A43" i="6"/>
  <c r="A45" i="9" s="1"/>
  <c r="F42" i="4"/>
  <c r="F43" i="6" s="1"/>
  <c r="E42" i="4"/>
  <c r="E43" i="6" s="1"/>
  <c r="A43" i="4"/>
  <c r="I43" i="4" s="1"/>
  <c r="B42" i="4"/>
  <c r="B43" i="6" s="1"/>
  <c r="D42" i="4"/>
  <c r="D43" i="6" s="1"/>
  <c r="C42" i="4"/>
  <c r="C43" i="6" s="1"/>
  <c r="H42" i="4"/>
  <c r="H43" i="6" s="1"/>
  <c r="G42" i="4"/>
  <c r="G43" i="6" s="1"/>
  <c r="I43" i="6"/>
  <c r="M44" i="9" l="1"/>
  <c r="U44" i="9"/>
  <c r="N44" i="9"/>
  <c r="H44" i="9"/>
  <c r="I44" i="9" s="1"/>
  <c r="R44" i="9" s="1"/>
  <c r="P44" i="9"/>
  <c r="T44" i="9"/>
  <c r="L44" i="9"/>
  <c r="J45" i="9"/>
  <c r="F45" i="9"/>
  <c r="G45" i="9" s="1"/>
  <c r="N45" i="9" s="1"/>
  <c r="D44" i="9"/>
  <c r="E44" i="9" s="1"/>
  <c r="Q44" i="9" s="1"/>
  <c r="J43" i="6"/>
  <c r="B45" i="9" s="1"/>
  <c r="C45" i="9" s="1"/>
  <c r="A44" i="6"/>
  <c r="A46" i="9" s="1"/>
  <c r="E43" i="4"/>
  <c r="E44" i="6" s="1"/>
  <c r="I44" i="6"/>
  <c r="D43" i="4"/>
  <c r="D44" i="6" s="1"/>
  <c r="C43" i="4"/>
  <c r="C44" i="6" s="1"/>
  <c r="A44" i="4"/>
  <c r="I44" i="4" s="1"/>
  <c r="B43" i="4"/>
  <c r="B44" i="6" s="1"/>
  <c r="G43" i="4"/>
  <c r="G44" i="6" s="1"/>
  <c r="H43" i="4"/>
  <c r="H44" i="6" s="1"/>
  <c r="F43" i="4"/>
  <c r="F44" i="6" s="1"/>
  <c r="M45" i="9" l="1"/>
  <c r="U45" i="9"/>
  <c r="D45" i="9"/>
  <c r="E45" i="9" s="1"/>
  <c r="Q45" i="9" s="1"/>
  <c r="H45" i="9"/>
  <c r="I45" i="9" s="1"/>
  <c r="R45" i="9" s="1"/>
  <c r="J46" i="9"/>
  <c r="F46" i="9"/>
  <c r="G46" i="9" s="1"/>
  <c r="N46" i="9" s="1"/>
  <c r="L45" i="9"/>
  <c r="P45" i="9"/>
  <c r="T45" i="9"/>
  <c r="J44" i="6"/>
  <c r="B46" i="9" s="1"/>
  <c r="C46" i="9" s="1"/>
  <c r="A45" i="6"/>
  <c r="A47" i="9" s="1"/>
  <c r="D44" i="4"/>
  <c r="D45" i="6" s="1"/>
  <c r="C44" i="4"/>
  <c r="C45" i="6" s="1"/>
  <c r="H44" i="4"/>
  <c r="H45" i="6" s="1"/>
  <c r="A45" i="4"/>
  <c r="I45" i="4" s="1"/>
  <c r="B44" i="4"/>
  <c r="B45" i="6" s="1"/>
  <c r="I45" i="6"/>
  <c r="F44" i="4"/>
  <c r="F45" i="6" s="1"/>
  <c r="E44" i="4"/>
  <c r="E45" i="6" s="1"/>
  <c r="G44" i="4"/>
  <c r="G45" i="6" s="1"/>
  <c r="M46" i="9" l="1"/>
  <c r="D46" i="9"/>
  <c r="E46" i="9" s="1"/>
  <c r="Q46" i="9" s="1"/>
  <c r="U46" i="9"/>
  <c r="T46" i="9"/>
  <c r="P46" i="9"/>
  <c r="L46" i="9"/>
  <c r="H46" i="9"/>
  <c r="I46" i="9" s="1"/>
  <c r="R46" i="9" s="1"/>
  <c r="F47" i="9"/>
  <c r="G47" i="9" s="1"/>
  <c r="J47" i="9"/>
  <c r="J45" i="6"/>
  <c r="B47" i="9" s="1"/>
  <c r="C47" i="9" s="1"/>
  <c r="A46" i="6"/>
  <c r="A48" i="9" s="1"/>
  <c r="C45" i="4"/>
  <c r="C46" i="6" s="1"/>
  <c r="G45" i="4"/>
  <c r="G46" i="6" s="1"/>
  <c r="A46" i="4"/>
  <c r="I46" i="4" s="1"/>
  <c r="B45" i="4"/>
  <c r="B46" i="6" s="1"/>
  <c r="I46" i="6"/>
  <c r="H45" i="4"/>
  <c r="H46" i="6" s="1"/>
  <c r="E45" i="4"/>
  <c r="E46" i="6" s="1"/>
  <c r="D45" i="4"/>
  <c r="D46" i="6" s="1"/>
  <c r="F45" i="4"/>
  <c r="F46" i="6" s="1"/>
  <c r="N47" i="9" l="1"/>
  <c r="H47" i="9"/>
  <c r="I47" i="9" s="1"/>
  <c r="R47" i="9" s="1"/>
  <c r="M47" i="9"/>
  <c r="D47" i="9"/>
  <c r="E47" i="9" s="1"/>
  <c r="Q47" i="9" s="1"/>
  <c r="U47" i="9"/>
  <c r="F48" i="9"/>
  <c r="G48" i="9" s="1"/>
  <c r="J48" i="9"/>
  <c r="P47" i="9"/>
  <c r="T47" i="9"/>
  <c r="L47" i="9"/>
  <c r="J46" i="6"/>
  <c r="B48" i="9" s="1"/>
  <c r="C48" i="9" s="1"/>
  <c r="A47" i="6"/>
  <c r="A49" i="9" s="1"/>
  <c r="A47" i="4"/>
  <c r="I47" i="4" s="1"/>
  <c r="B46" i="4"/>
  <c r="B47" i="6" s="1"/>
  <c r="I47" i="6"/>
  <c r="F46" i="4"/>
  <c r="F47" i="6" s="1"/>
  <c r="H46" i="4"/>
  <c r="H47" i="6" s="1"/>
  <c r="G46" i="4"/>
  <c r="G47" i="6" s="1"/>
  <c r="D46" i="4"/>
  <c r="D47" i="6" s="1"/>
  <c r="E46" i="4"/>
  <c r="E47" i="6" s="1"/>
  <c r="C46" i="4"/>
  <c r="C47" i="6" s="1"/>
  <c r="N48" i="9" l="1"/>
  <c r="H48" i="9"/>
  <c r="I48" i="9" s="1"/>
  <c r="R48" i="9" s="1"/>
  <c r="M48" i="9"/>
  <c r="U48" i="9"/>
  <c r="D48" i="9"/>
  <c r="E48" i="9" s="1"/>
  <c r="Q48" i="9" s="1"/>
  <c r="P48" i="9"/>
  <c r="T48" i="9"/>
  <c r="L48" i="9"/>
  <c r="J49" i="9"/>
  <c r="F49" i="9"/>
  <c r="G49" i="9" s="1"/>
  <c r="N49" i="9" s="1"/>
  <c r="J47" i="6"/>
  <c r="B49" i="9" s="1"/>
  <c r="C49" i="9" s="1"/>
  <c r="A48" i="6"/>
  <c r="A50" i="9" s="1"/>
  <c r="I48" i="6"/>
  <c r="E47" i="4"/>
  <c r="E48" i="6" s="1"/>
  <c r="H47" i="4"/>
  <c r="H48" i="6" s="1"/>
  <c r="G47" i="4"/>
  <c r="G48" i="6" s="1"/>
  <c r="F47" i="4"/>
  <c r="F48" i="6" s="1"/>
  <c r="C47" i="4"/>
  <c r="C48" i="6" s="1"/>
  <c r="D47" i="4"/>
  <c r="D48" i="6" s="1"/>
  <c r="B47" i="4"/>
  <c r="B48" i="6" s="1"/>
  <c r="A48" i="4"/>
  <c r="I48" i="4" s="1"/>
  <c r="M49" i="9" l="1"/>
  <c r="U49" i="9"/>
  <c r="D49" i="9"/>
  <c r="E49" i="9" s="1"/>
  <c r="Q49" i="9" s="1"/>
  <c r="H49" i="9"/>
  <c r="I49" i="9" s="1"/>
  <c r="R49" i="9" s="1"/>
  <c r="F50" i="9"/>
  <c r="G50" i="9" s="1"/>
  <c r="N50" i="9" s="1"/>
  <c r="J50" i="9"/>
  <c r="L49" i="9"/>
  <c r="P49" i="9"/>
  <c r="T49" i="9"/>
  <c r="J48" i="6"/>
  <c r="B50" i="9" s="1"/>
  <c r="C50" i="9" s="1"/>
  <c r="A49" i="6"/>
  <c r="A51" i="9" s="1"/>
  <c r="A49" i="4"/>
  <c r="I49" i="4" s="1"/>
  <c r="B48" i="4"/>
  <c r="B49" i="6" s="1"/>
  <c r="I49" i="6"/>
  <c r="H48" i="4"/>
  <c r="H49" i="6" s="1"/>
  <c r="E48" i="4"/>
  <c r="E49" i="6" s="1"/>
  <c r="G48" i="4"/>
  <c r="G49" i="6" s="1"/>
  <c r="F48" i="4"/>
  <c r="F49" i="6" s="1"/>
  <c r="C48" i="4"/>
  <c r="C49" i="6" s="1"/>
  <c r="D48" i="4"/>
  <c r="D49" i="6" s="1"/>
  <c r="M50" i="9" l="1"/>
  <c r="U50" i="9"/>
  <c r="D50" i="9"/>
  <c r="E50" i="9" s="1"/>
  <c r="Q50" i="9" s="1"/>
  <c r="H50" i="9"/>
  <c r="I50" i="9" s="1"/>
  <c r="R50" i="9" s="1"/>
  <c r="F51" i="9"/>
  <c r="G51" i="9" s="1"/>
  <c r="J51" i="9"/>
  <c r="T50" i="9"/>
  <c r="L50" i="9"/>
  <c r="P50" i="9"/>
  <c r="J49" i="6"/>
  <c r="B51" i="9" s="1"/>
  <c r="C51" i="9" s="1"/>
  <c r="I50" i="6"/>
  <c r="A50" i="6"/>
  <c r="A52" i="9" s="1"/>
  <c r="A50" i="4"/>
  <c r="I50" i="4" s="1"/>
  <c r="E49" i="4"/>
  <c r="E50" i="6" s="1"/>
  <c r="H49" i="4"/>
  <c r="H50" i="6" s="1"/>
  <c r="G49" i="4"/>
  <c r="G50" i="6" s="1"/>
  <c r="F49" i="4"/>
  <c r="F50" i="6" s="1"/>
  <c r="C49" i="4"/>
  <c r="C50" i="6" s="1"/>
  <c r="B49" i="4"/>
  <c r="B50" i="6" s="1"/>
  <c r="D49" i="4"/>
  <c r="D50" i="6" s="1"/>
  <c r="N51" i="9" l="1"/>
  <c r="H51" i="9"/>
  <c r="I51" i="9" s="1"/>
  <c r="R51" i="9" s="1"/>
  <c r="M51" i="9"/>
  <c r="D51" i="9"/>
  <c r="E51" i="9" s="1"/>
  <c r="Q51" i="9" s="1"/>
  <c r="U51" i="9"/>
  <c r="F52" i="9"/>
  <c r="G52" i="9" s="1"/>
  <c r="J52" i="9"/>
  <c r="P51" i="9"/>
  <c r="T51" i="9"/>
  <c r="L51" i="9"/>
  <c r="J50" i="6"/>
  <c r="B52" i="9" s="1"/>
  <c r="C52" i="9" s="1"/>
  <c r="A51" i="6"/>
  <c r="A53" i="9" s="1"/>
  <c r="H50" i="4"/>
  <c r="H51" i="6" s="1"/>
  <c r="A51" i="4"/>
  <c r="I51" i="4" s="1"/>
  <c r="I51" i="6"/>
  <c r="E50" i="4"/>
  <c r="E51" i="6" s="1"/>
  <c r="G50" i="4"/>
  <c r="G51" i="6" s="1"/>
  <c r="F50" i="4"/>
  <c r="F51" i="6" s="1"/>
  <c r="C50" i="4"/>
  <c r="C51" i="6" s="1"/>
  <c r="B50" i="4"/>
  <c r="B51" i="6" s="1"/>
  <c r="D50" i="4"/>
  <c r="D51" i="6" s="1"/>
  <c r="N52" i="9" l="1"/>
  <c r="H52" i="9"/>
  <c r="I52" i="9" s="1"/>
  <c r="R52" i="9" s="1"/>
  <c r="M52" i="9"/>
  <c r="U52" i="9"/>
  <c r="D52" i="9"/>
  <c r="E52" i="9" s="1"/>
  <c r="Q52" i="9" s="1"/>
  <c r="J53" i="9"/>
  <c r="F53" i="9"/>
  <c r="G53" i="9" s="1"/>
  <c r="N53" i="9" s="1"/>
  <c r="P52" i="9"/>
  <c r="L52" i="9"/>
  <c r="T52" i="9"/>
  <c r="J51" i="6"/>
  <c r="B53" i="9" s="1"/>
  <c r="C53" i="9" s="1"/>
  <c r="A52" i="6"/>
  <c r="A54" i="9" s="1"/>
  <c r="G51" i="4"/>
  <c r="G52" i="6" s="1"/>
  <c r="A52" i="4"/>
  <c r="I52" i="4" s="1"/>
  <c r="E51" i="4"/>
  <c r="E52" i="6" s="1"/>
  <c r="I52" i="6"/>
  <c r="H51" i="4"/>
  <c r="H52" i="6" s="1"/>
  <c r="F51" i="4"/>
  <c r="F52" i="6" s="1"/>
  <c r="C51" i="4"/>
  <c r="C52" i="6" s="1"/>
  <c r="D51" i="4"/>
  <c r="D52" i="6" s="1"/>
  <c r="B51" i="4"/>
  <c r="B52" i="6" s="1"/>
  <c r="M53" i="9" l="1"/>
  <c r="U53" i="9"/>
  <c r="D53" i="9"/>
  <c r="E53" i="9" s="1"/>
  <c r="Q53" i="9" s="1"/>
  <c r="J54" i="9"/>
  <c r="F54" i="9"/>
  <c r="G54" i="9" s="1"/>
  <c r="H53" i="9"/>
  <c r="I53" i="9" s="1"/>
  <c r="R53" i="9" s="1"/>
  <c r="L53" i="9"/>
  <c r="T53" i="9"/>
  <c r="P53" i="9"/>
  <c r="J52" i="6"/>
  <c r="B54" i="9" s="1"/>
  <c r="C54" i="9" s="1"/>
  <c r="A53" i="6"/>
  <c r="A55" i="9" s="1"/>
  <c r="F52" i="4"/>
  <c r="F53" i="6" s="1"/>
  <c r="A53" i="4"/>
  <c r="I53" i="4" s="1"/>
  <c r="I53" i="6"/>
  <c r="E52" i="4"/>
  <c r="E53" i="6" s="1"/>
  <c r="H52" i="4"/>
  <c r="H53" i="6" s="1"/>
  <c r="G52" i="4"/>
  <c r="G53" i="6" s="1"/>
  <c r="C52" i="4"/>
  <c r="C53" i="6" s="1"/>
  <c r="B52" i="4"/>
  <c r="B53" i="6" s="1"/>
  <c r="D52" i="4"/>
  <c r="D53" i="6" s="1"/>
  <c r="N54" i="9" l="1"/>
  <c r="H54" i="9"/>
  <c r="I54" i="9" s="1"/>
  <c r="R54" i="9" s="1"/>
  <c r="M54" i="9"/>
  <c r="U54" i="9"/>
  <c r="D54" i="9"/>
  <c r="E54" i="9" s="1"/>
  <c r="Q54" i="9" s="1"/>
  <c r="F55" i="9"/>
  <c r="G55" i="9" s="1"/>
  <c r="J55" i="9"/>
  <c r="P54" i="9"/>
  <c r="L54" i="9"/>
  <c r="T54" i="9"/>
  <c r="J53" i="6"/>
  <c r="B55" i="9" s="1"/>
  <c r="C55" i="9" s="1"/>
  <c r="A54" i="6"/>
  <c r="A56" i="9" s="1"/>
  <c r="E53" i="4"/>
  <c r="E54" i="6" s="1"/>
  <c r="A54" i="4"/>
  <c r="I54" i="4" s="1"/>
  <c r="I54" i="6"/>
  <c r="F53" i="4"/>
  <c r="F54" i="6" s="1"/>
  <c r="H53" i="4"/>
  <c r="H54" i="6" s="1"/>
  <c r="G53" i="4"/>
  <c r="G54" i="6" s="1"/>
  <c r="C53" i="4"/>
  <c r="C54" i="6" s="1"/>
  <c r="D53" i="4"/>
  <c r="D54" i="6" s="1"/>
  <c r="B53" i="4"/>
  <c r="B54" i="6" s="1"/>
  <c r="N55" i="9" l="1"/>
  <c r="H55" i="9"/>
  <c r="I55" i="9" s="1"/>
  <c r="R55" i="9" s="1"/>
  <c r="M55" i="9"/>
  <c r="D55" i="9"/>
  <c r="E55" i="9" s="1"/>
  <c r="Q55" i="9" s="1"/>
  <c r="U55" i="9"/>
  <c r="F56" i="9"/>
  <c r="G56" i="9" s="1"/>
  <c r="J56" i="9"/>
  <c r="T55" i="9"/>
  <c r="L55" i="9"/>
  <c r="P55" i="9"/>
  <c r="J54" i="6"/>
  <c r="B56" i="9" s="1"/>
  <c r="C56" i="9" s="1"/>
  <c r="A55" i="6"/>
  <c r="A57" i="9" s="1"/>
  <c r="D54" i="4"/>
  <c r="D55" i="6" s="1"/>
  <c r="A55" i="4"/>
  <c r="I55" i="4" s="1"/>
  <c r="F54" i="4"/>
  <c r="F55" i="6" s="1"/>
  <c r="I55" i="6"/>
  <c r="H54" i="4"/>
  <c r="H55" i="6" s="1"/>
  <c r="G54" i="4"/>
  <c r="G55" i="6" s="1"/>
  <c r="C54" i="4"/>
  <c r="C55" i="6" s="1"/>
  <c r="E54" i="4"/>
  <c r="E55" i="6" s="1"/>
  <c r="B54" i="4"/>
  <c r="B55" i="6" s="1"/>
  <c r="N56" i="9" l="1"/>
  <c r="H56" i="9"/>
  <c r="I56" i="9" s="1"/>
  <c r="R56" i="9" s="1"/>
  <c r="M56" i="9"/>
  <c r="D56" i="9"/>
  <c r="E56" i="9" s="1"/>
  <c r="Q56" i="9" s="1"/>
  <c r="U56" i="9"/>
  <c r="L56" i="9"/>
  <c r="P56" i="9"/>
  <c r="T56" i="9"/>
  <c r="J57" i="9"/>
  <c r="F57" i="9"/>
  <c r="G57" i="9" s="1"/>
  <c r="J55" i="6"/>
  <c r="B57" i="9" s="1"/>
  <c r="C57" i="9" s="1"/>
  <c r="A56" i="6"/>
  <c r="A58" i="9" s="1"/>
  <c r="C55" i="4"/>
  <c r="C56" i="6" s="1"/>
  <c r="A56" i="4"/>
  <c r="I56" i="4" s="1"/>
  <c r="I56" i="6"/>
  <c r="F55" i="4"/>
  <c r="F56" i="6" s="1"/>
  <c r="H55" i="4"/>
  <c r="H56" i="6" s="1"/>
  <c r="G55" i="4"/>
  <c r="G56" i="6" s="1"/>
  <c r="D55" i="4"/>
  <c r="D56" i="6" s="1"/>
  <c r="E55" i="4"/>
  <c r="E56" i="6" s="1"/>
  <c r="B55" i="4"/>
  <c r="B56" i="6" s="1"/>
  <c r="N57" i="9" l="1"/>
  <c r="H57" i="9"/>
  <c r="I57" i="9" s="1"/>
  <c r="R57" i="9" s="1"/>
  <c r="M57" i="9"/>
  <c r="D57" i="9"/>
  <c r="E57" i="9" s="1"/>
  <c r="Q57" i="9" s="1"/>
  <c r="U57" i="9"/>
  <c r="T57" i="9"/>
  <c r="L57" i="9"/>
  <c r="P57" i="9"/>
  <c r="J58" i="9"/>
  <c r="F58" i="9"/>
  <c r="G58" i="9" s="1"/>
  <c r="J56" i="6"/>
  <c r="B58" i="9" s="1"/>
  <c r="C58" i="9" s="1"/>
  <c r="A57" i="6"/>
  <c r="A59" i="9" s="1"/>
  <c r="A57" i="4"/>
  <c r="I57" i="4" s="1"/>
  <c r="B56" i="4"/>
  <c r="B57" i="6" s="1"/>
  <c r="F56" i="4"/>
  <c r="F57" i="6" s="1"/>
  <c r="I57" i="6"/>
  <c r="H56" i="4"/>
  <c r="H57" i="6" s="1"/>
  <c r="G56" i="4"/>
  <c r="G57" i="6" s="1"/>
  <c r="D56" i="4"/>
  <c r="D57" i="6" s="1"/>
  <c r="E56" i="4"/>
  <c r="E57" i="6" s="1"/>
  <c r="C56" i="4"/>
  <c r="C57" i="6" s="1"/>
  <c r="N58" i="9" l="1"/>
  <c r="H58" i="9"/>
  <c r="I58" i="9" s="1"/>
  <c r="R58" i="9" s="1"/>
  <c r="M58" i="9"/>
  <c r="U58" i="9"/>
  <c r="D58" i="9"/>
  <c r="E58" i="9" s="1"/>
  <c r="Q58" i="9" s="1"/>
  <c r="F59" i="9"/>
  <c r="G59" i="9" s="1"/>
  <c r="J59" i="9"/>
  <c r="L58" i="9"/>
  <c r="T58" i="9"/>
  <c r="P58" i="9"/>
  <c r="J57" i="6"/>
  <c r="B59" i="9" s="1"/>
  <c r="C59" i="9" s="1"/>
  <c r="I58" i="6"/>
  <c r="A58" i="6"/>
  <c r="A60" i="9" s="1"/>
  <c r="B57" i="4"/>
  <c r="B58" i="6" s="1"/>
  <c r="A58" i="4"/>
  <c r="I58" i="4" s="1"/>
  <c r="F57" i="4"/>
  <c r="F58" i="6" s="1"/>
  <c r="H57" i="4"/>
  <c r="H58" i="6" s="1"/>
  <c r="G57" i="4"/>
  <c r="G58" i="6" s="1"/>
  <c r="D57" i="4"/>
  <c r="D58" i="6" s="1"/>
  <c r="E57" i="4"/>
  <c r="E58" i="6" s="1"/>
  <c r="C57" i="4"/>
  <c r="C58" i="6" s="1"/>
  <c r="N59" i="9" l="1"/>
  <c r="H59" i="9"/>
  <c r="I59" i="9" s="1"/>
  <c r="R59" i="9" s="1"/>
  <c r="M59" i="9"/>
  <c r="U59" i="9"/>
  <c r="D59" i="9"/>
  <c r="E59" i="9" s="1"/>
  <c r="Q59" i="9" s="1"/>
  <c r="F60" i="9"/>
  <c r="G60" i="9" s="1"/>
  <c r="J60" i="9"/>
  <c r="T59" i="9"/>
  <c r="P59" i="9"/>
  <c r="L59" i="9"/>
  <c r="J58" i="6"/>
  <c r="B60" i="9" s="1"/>
  <c r="C60" i="9" s="1"/>
  <c r="A59" i="6"/>
  <c r="A61" i="9" s="1"/>
  <c r="H58" i="4"/>
  <c r="H59" i="6" s="1"/>
  <c r="B58" i="4"/>
  <c r="B59" i="6" s="1"/>
  <c r="F58" i="4"/>
  <c r="F59" i="6" s="1"/>
  <c r="A59" i="4"/>
  <c r="I59" i="4" s="1"/>
  <c r="I59" i="6"/>
  <c r="G58" i="4"/>
  <c r="G59" i="6" s="1"/>
  <c r="D58" i="4"/>
  <c r="D59" i="6" s="1"/>
  <c r="C58" i="4"/>
  <c r="C59" i="6" s="1"/>
  <c r="E58" i="4"/>
  <c r="E59" i="6" s="1"/>
  <c r="N60" i="9" l="1"/>
  <c r="H60" i="9"/>
  <c r="I60" i="9" s="1"/>
  <c r="R60" i="9" s="1"/>
  <c r="M60" i="9"/>
  <c r="D60" i="9"/>
  <c r="E60" i="9" s="1"/>
  <c r="Q60" i="9" s="1"/>
  <c r="U60" i="9"/>
  <c r="J61" i="9"/>
  <c r="F61" i="9"/>
  <c r="G61" i="9" s="1"/>
  <c r="L60" i="9"/>
  <c r="T60" i="9"/>
  <c r="P60" i="9"/>
  <c r="J59" i="6"/>
  <c r="B61" i="9" s="1"/>
  <c r="C61" i="9" s="1"/>
  <c r="A60" i="6"/>
  <c r="A62" i="9" s="1"/>
  <c r="G59" i="4"/>
  <c r="G60" i="6" s="1"/>
  <c r="B59" i="4"/>
  <c r="B60" i="6" s="1"/>
  <c r="A60" i="4"/>
  <c r="I60" i="4" s="1"/>
  <c r="F59" i="4"/>
  <c r="F60" i="6" s="1"/>
  <c r="I60" i="6"/>
  <c r="H59" i="4"/>
  <c r="H60" i="6" s="1"/>
  <c r="D59" i="4"/>
  <c r="D60" i="6" s="1"/>
  <c r="E59" i="4"/>
  <c r="E60" i="6" s="1"/>
  <c r="C59" i="4"/>
  <c r="C60" i="6" s="1"/>
  <c r="M61" i="9" l="1"/>
  <c r="U61" i="9"/>
  <c r="D61" i="9"/>
  <c r="E61" i="9" s="1"/>
  <c r="Q61" i="9" s="1"/>
  <c r="N61" i="9"/>
  <c r="H61" i="9"/>
  <c r="I61" i="9" s="1"/>
  <c r="R61" i="9" s="1"/>
  <c r="F62" i="9"/>
  <c r="G62" i="9" s="1"/>
  <c r="J62" i="9"/>
  <c r="T61" i="9"/>
  <c r="P61" i="9"/>
  <c r="L61" i="9"/>
  <c r="J60" i="6"/>
  <c r="B62" i="9" s="1"/>
  <c r="C62" i="9" s="1"/>
  <c r="A61" i="6"/>
  <c r="A63" i="9" s="1"/>
  <c r="F60" i="4"/>
  <c r="F61" i="6" s="1"/>
  <c r="B60" i="4"/>
  <c r="B61" i="6" s="1"/>
  <c r="G60" i="4"/>
  <c r="G61" i="6" s="1"/>
  <c r="A61" i="4"/>
  <c r="I61" i="4" s="1"/>
  <c r="I61" i="6"/>
  <c r="H60" i="4"/>
  <c r="H61" i="6" s="1"/>
  <c r="D60" i="4"/>
  <c r="D61" i="6" s="1"/>
  <c r="C60" i="4"/>
  <c r="C61" i="6" s="1"/>
  <c r="E60" i="4"/>
  <c r="E61" i="6" s="1"/>
  <c r="N62" i="9" l="1"/>
  <c r="H62" i="9"/>
  <c r="I62" i="9" s="1"/>
  <c r="R62" i="9" s="1"/>
  <c r="M62" i="9"/>
  <c r="D62" i="9"/>
  <c r="E62" i="9" s="1"/>
  <c r="Q62" i="9" s="1"/>
  <c r="U62" i="9"/>
  <c r="L62" i="9"/>
  <c r="P62" i="9"/>
  <c r="T62" i="9"/>
  <c r="F63" i="9"/>
  <c r="G63" i="9" s="1"/>
  <c r="J63" i="9"/>
  <c r="J61" i="6"/>
  <c r="B63" i="9" s="1"/>
  <c r="C63" i="9" s="1"/>
  <c r="A62" i="6"/>
  <c r="A64" i="9" s="1"/>
  <c r="E61" i="4"/>
  <c r="E62" i="6" s="1"/>
  <c r="B61" i="4"/>
  <c r="B62" i="6" s="1"/>
  <c r="A62" i="4"/>
  <c r="I62" i="4" s="1"/>
  <c r="G61" i="4"/>
  <c r="G62" i="6" s="1"/>
  <c r="I62" i="6"/>
  <c r="H61" i="4"/>
  <c r="H62" i="6" s="1"/>
  <c r="D61" i="4"/>
  <c r="D62" i="6" s="1"/>
  <c r="C61" i="4"/>
  <c r="C62" i="6" s="1"/>
  <c r="F61" i="4"/>
  <c r="F62" i="6" s="1"/>
  <c r="J64" i="9" l="1"/>
  <c r="F64" i="9"/>
  <c r="G64" i="9" s="1"/>
  <c r="N63" i="9"/>
  <c r="H63" i="9"/>
  <c r="I63" i="9" s="1"/>
  <c r="R63" i="9" s="1"/>
  <c r="M63" i="9"/>
  <c r="U63" i="9"/>
  <c r="D63" i="9"/>
  <c r="E63" i="9" s="1"/>
  <c r="Q63" i="9" s="1"/>
  <c r="T63" i="9"/>
  <c r="P63" i="9"/>
  <c r="L63" i="9"/>
  <c r="J62" i="6"/>
  <c r="B64" i="9" s="1"/>
  <c r="C64" i="9" s="1"/>
  <c r="A63" i="6"/>
  <c r="A65" i="9" s="1"/>
  <c r="D62" i="4"/>
  <c r="D63" i="6" s="1"/>
  <c r="B62" i="4"/>
  <c r="B63" i="6" s="1"/>
  <c r="G62" i="4"/>
  <c r="G63" i="6" s="1"/>
  <c r="A63" i="4"/>
  <c r="I63" i="4" s="1"/>
  <c r="I63" i="6"/>
  <c r="H62" i="4"/>
  <c r="H63" i="6" s="1"/>
  <c r="E62" i="4"/>
  <c r="E63" i="6" s="1"/>
  <c r="F62" i="4"/>
  <c r="F63" i="6" s="1"/>
  <c r="C62" i="4"/>
  <c r="C63" i="6" s="1"/>
  <c r="N64" i="9" l="1"/>
  <c r="H64" i="9"/>
  <c r="I64" i="9" s="1"/>
  <c r="R64" i="9" s="1"/>
  <c r="M64" i="9"/>
  <c r="D64" i="9"/>
  <c r="E64" i="9" s="1"/>
  <c r="Q64" i="9" s="1"/>
  <c r="U64" i="9"/>
  <c r="L64" i="9"/>
  <c r="P64" i="9"/>
  <c r="T64" i="9"/>
  <c r="J65" i="9"/>
  <c r="F65" i="9"/>
  <c r="G65" i="9" s="1"/>
  <c r="J63" i="6"/>
  <c r="B65" i="9" s="1"/>
  <c r="C65" i="9" s="1"/>
  <c r="A64" i="6"/>
  <c r="A66" i="9" s="1"/>
  <c r="C63" i="4"/>
  <c r="C64" i="6" s="1"/>
  <c r="B63" i="4"/>
  <c r="B64" i="6" s="1"/>
  <c r="G63" i="4"/>
  <c r="G64" i="6" s="1"/>
  <c r="A64" i="4"/>
  <c r="I64" i="4" s="1"/>
  <c r="I64" i="6"/>
  <c r="H63" i="4"/>
  <c r="H64" i="6" s="1"/>
  <c r="E63" i="4"/>
  <c r="E64" i="6" s="1"/>
  <c r="F63" i="4"/>
  <c r="F64" i="6" s="1"/>
  <c r="D63" i="4"/>
  <c r="D64" i="6" s="1"/>
  <c r="M65" i="9" l="1"/>
  <c r="U65" i="9"/>
  <c r="D65" i="9"/>
  <c r="E65" i="9" s="1"/>
  <c r="Q65" i="9" s="1"/>
  <c r="N65" i="9"/>
  <c r="H65" i="9"/>
  <c r="I65" i="9" s="1"/>
  <c r="R65" i="9" s="1"/>
  <c r="F66" i="9"/>
  <c r="G66" i="9" s="1"/>
  <c r="N66" i="9" s="1"/>
  <c r="J66" i="9"/>
  <c r="P65" i="9"/>
  <c r="L65" i="9"/>
  <c r="T65" i="9"/>
  <c r="J64" i="6"/>
  <c r="B66" i="9" s="1"/>
  <c r="C66" i="9" s="1"/>
  <c r="A65" i="6"/>
  <c r="A67" i="9" s="1"/>
  <c r="A65" i="4"/>
  <c r="I65" i="4" s="1"/>
  <c r="B64" i="4"/>
  <c r="B65" i="6" s="1"/>
  <c r="C64" i="4"/>
  <c r="C65" i="6" s="1"/>
  <c r="G64" i="4"/>
  <c r="G65" i="6" s="1"/>
  <c r="I65" i="6"/>
  <c r="H64" i="4"/>
  <c r="H65" i="6" s="1"/>
  <c r="E64" i="4"/>
  <c r="E65" i="6" s="1"/>
  <c r="F64" i="4"/>
  <c r="F65" i="6" s="1"/>
  <c r="D64" i="4"/>
  <c r="D65" i="6" s="1"/>
  <c r="M66" i="9" l="1"/>
  <c r="D66" i="9"/>
  <c r="E66" i="9" s="1"/>
  <c r="Q66" i="9" s="1"/>
  <c r="U66" i="9"/>
  <c r="H66" i="9"/>
  <c r="I66" i="9" s="1"/>
  <c r="R66" i="9" s="1"/>
  <c r="F67" i="9"/>
  <c r="G67" i="9" s="1"/>
  <c r="N67" i="9" s="1"/>
  <c r="J67" i="9"/>
  <c r="T66" i="9"/>
  <c r="L66" i="9"/>
  <c r="P66" i="9"/>
  <c r="J65" i="6"/>
  <c r="B67" i="9" s="1"/>
  <c r="C67" i="9" s="1"/>
  <c r="A66" i="6"/>
  <c r="A68" i="9" s="1"/>
  <c r="I66" i="6"/>
  <c r="C65" i="4"/>
  <c r="C66" i="6" s="1"/>
  <c r="G65" i="4"/>
  <c r="G66" i="6" s="1"/>
  <c r="B65" i="4"/>
  <c r="B66" i="6" s="1"/>
  <c r="A66" i="4"/>
  <c r="I66" i="4" s="1"/>
  <c r="H65" i="4"/>
  <c r="H66" i="6" s="1"/>
  <c r="E65" i="4"/>
  <c r="E66" i="6" s="1"/>
  <c r="D65" i="4"/>
  <c r="D66" i="6" s="1"/>
  <c r="F65" i="4"/>
  <c r="F66" i="6" s="1"/>
  <c r="M67" i="9" l="1"/>
  <c r="U67" i="9"/>
  <c r="D67" i="9"/>
  <c r="E67" i="9" s="1"/>
  <c r="Q67" i="9" s="1"/>
  <c r="F68" i="9"/>
  <c r="G68" i="9" s="1"/>
  <c r="J68" i="9"/>
  <c r="H67" i="9"/>
  <c r="I67" i="9" s="1"/>
  <c r="R67" i="9" s="1"/>
  <c r="P67" i="9"/>
  <c r="L67" i="9"/>
  <c r="T67" i="9"/>
  <c r="J66" i="6"/>
  <c r="B68" i="9" s="1"/>
  <c r="C68" i="9" s="1"/>
  <c r="A67" i="6"/>
  <c r="A69" i="9" s="1"/>
  <c r="H66" i="4"/>
  <c r="H67" i="6" s="1"/>
  <c r="C66" i="4"/>
  <c r="C67" i="6" s="1"/>
  <c r="B66" i="4"/>
  <c r="B67" i="6" s="1"/>
  <c r="G66" i="4"/>
  <c r="G67" i="6" s="1"/>
  <c r="A67" i="4"/>
  <c r="I67" i="4" s="1"/>
  <c r="I67" i="6"/>
  <c r="E66" i="4"/>
  <c r="E67" i="6" s="1"/>
  <c r="D66" i="4"/>
  <c r="D67" i="6" s="1"/>
  <c r="F66" i="4"/>
  <c r="F67" i="6" s="1"/>
  <c r="N68" i="9" l="1"/>
  <c r="H68" i="9"/>
  <c r="I68" i="9" s="1"/>
  <c r="R68" i="9" s="1"/>
  <c r="M68" i="9"/>
  <c r="D68" i="9"/>
  <c r="E68" i="9" s="1"/>
  <c r="Q68" i="9" s="1"/>
  <c r="U68" i="9"/>
  <c r="J69" i="9"/>
  <c r="F69" i="9"/>
  <c r="G69" i="9" s="1"/>
  <c r="L68" i="9"/>
  <c r="P68" i="9"/>
  <c r="T68" i="9"/>
  <c r="J67" i="6"/>
  <c r="B69" i="9" s="1"/>
  <c r="C69" i="9" s="1"/>
  <c r="A68" i="6"/>
  <c r="A70" i="9" s="1"/>
  <c r="G67" i="4"/>
  <c r="G68" i="6" s="1"/>
  <c r="C67" i="4"/>
  <c r="C68" i="6" s="1"/>
  <c r="H67" i="4"/>
  <c r="H68" i="6" s="1"/>
  <c r="B67" i="4"/>
  <c r="B68" i="6" s="1"/>
  <c r="A68" i="4"/>
  <c r="I68" i="4" s="1"/>
  <c r="I68" i="6"/>
  <c r="E67" i="4"/>
  <c r="E68" i="6" s="1"/>
  <c r="F67" i="4"/>
  <c r="F68" i="6" s="1"/>
  <c r="D67" i="4"/>
  <c r="D68" i="6" s="1"/>
  <c r="N69" i="9" l="1"/>
  <c r="H69" i="9"/>
  <c r="I69" i="9" s="1"/>
  <c r="R69" i="9" s="1"/>
  <c r="M69" i="9"/>
  <c r="U69" i="9"/>
  <c r="D69" i="9"/>
  <c r="E69" i="9" s="1"/>
  <c r="Q69" i="9" s="1"/>
  <c r="F70" i="9"/>
  <c r="G70" i="9" s="1"/>
  <c r="N70" i="9" s="1"/>
  <c r="J70" i="9"/>
  <c r="P69" i="9"/>
  <c r="T69" i="9"/>
  <c r="L69" i="9"/>
  <c r="J68" i="6"/>
  <c r="B70" i="9" s="1"/>
  <c r="C70" i="9" s="1"/>
  <c r="A69" i="6"/>
  <c r="A71" i="9" s="1"/>
  <c r="F68" i="4"/>
  <c r="F69" i="6" s="1"/>
  <c r="C68" i="4"/>
  <c r="C69" i="6" s="1"/>
  <c r="B68" i="4"/>
  <c r="B69" i="6" s="1"/>
  <c r="H68" i="4"/>
  <c r="H69" i="6" s="1"/>
  <c r="A69" i="4"/>
  <c r="I69" i="4" s="1"/>
  <c r="I69" i="6"/>
  <c r="E68" i="4"/>
  <c r="E69" i="6" s="1"/>
  <c r="D68" i="4"/>
  <c r="D69" i="6" s="1"/>
  <c r="G68" i="4"/>
  <c r="G69" i="6" s="1"/>
  <c r="M70" i="9" l="1"/>
  <c r="D70" i="9"/>
  <c r="E70" i="9" s="1"/>
  <c r="Q70" i="9" s="1"/>
  <c r="U70" i="9"/>
  <c r="T70" i="9"/>
  <c r="L70" i="9"/>
  <c r="P70" i="9"/>
  <c r="H70" i="9"/>
  <c r="I70" i="9" s="1"/>
  <c r="R70" i="9" s="1"/>
  <c r="F71" i="9"/>
  <c r="G71" i="9" s="1"/>
  <c r="J71" i="9"/>
  <c r="J69" i="6"/>
  <c r="B71" i="9" s="1"/>
  <c r="C71" i="9" s="1"/>
  <c r="A70" i="6"/>
  <c r="A72" i="9" s="1"/>
  <c r="E69" i="4"/>
  <c r="E70" i="6" s="1"/>
  <c r="C69" i="4"/>
  <c r="C70" i="6" s="1"/>
  <c r="H69" i="4"/>
  <c r="H70" i="6" s="1"/>
  <c r="B69" i="4"/>
  <c r="B70" i="6" s="1"/>
  <c r="A70" i="4"/>
  <c r="I70" i="4" s="1"/>
  <c r="I70" i="6"/>
  <c r="F69" i="4"/>
  <c r="F70" i="6" s="1"/>
  <c r="G69" i="4"/>
  <c r="G70" i="6" s="1"/>
  <c r="D69" i="4"/>
  <c r="D70" i="6" s="1"/>
  <c r="N71" i="9" l="1"/>
  <c r="H71" i="9"/>
  <c r="I71" i="9" s="1"/>
  <c r="R71" i="9" s="1"/>
  <c r="M71" i="9"/>
  <c r="U71" i="9"/>
  <c r="D71" i="9"/>
  <c r="E71" i="9" s="1"/>
  <c r="Q71" i="9" s="1"/>
  <c r="F72" i="9"/>
  <c r="G72" i="9" s="1"/>
  <c r="J72" i="9"/>
  <c r="P71" i="9"/>
  <c r="L71" i="9"/>
  <c r="T71" i="9"/>
  <c r="J70" i="6"/>
  <c r="B72" i="9" s="1"/>
  <c r="C72" i="9" s="1"/>
  <c r="M72" i="9" s="1"/>
  <c r="A71" i="6"/>
  <c r="A73" i="9" s="1"/>
  <c r="D70" i="4"/>
  <c r="D71" i="6" s="1"/>
  <c r="C70" i="4"/>
  <c r="C71" i="6" s="1"/>
  <c r="B70" i="4"/>
  <c r="B71" i="6" s="1"/>
  <c r="H70" i="4"/>
  <c r="H71" i="6" s="1"/>
  <c r="A71" i="4"/>
  <c r="I71" i="4" s="1"/>
  <c r="I71" i="6"/>
  <c r="F70" i="4"/>
  <c r="F71" i="6" s="1"/>
  <c r="G70" i="4"/>
  <c r="G71" i="6" s="1"/>
  <c r="E70" i="4"/>
  <c r="E71" i="6" s="1"/>
  <c r="N72" i="9" l="1"/>
  <c r="H72" i="9"/>
  <c r="I72" i="9" s="1"/>
  <c r="R72" i="9" s="1"/>
  <c r="U72" i="9"/>
  <c r="D72" i="9"/>
  <c r="E72" i="9" s="1"/>
  <c r="Q72" i="9" s="1"/>
  <c r="P72" i="9"/>
  <c r="L72" i="9"/>
  <c r="T72" i="9"/>
  <c r="J73" i="9"/>
  <c r="F73" i="9"/>
  <c r="G73" i="9" s="1"/>
  <c r="J71" i="6"/>
  <c r="B73" i="9" s="1"/>
  <c r="C73" i="9" s="1"/>
  <c r="A72" i="6"/>
  <c r="A74" i="9" s="1"/>
  <c r="C71" i="4"/>
  <c r="C72" i="6" s="1"/>
  <c r="D71" i="4"/>
  <c r="D72" i="6" s="1"/>
  <c r="H71" i="4"/>
  <c r="H72" i="6" s="1"/>
  <c r="B71" i="4"/>
  <c r="B72" i="6" s="1"/>
  <c r="A72" i="4"/>
  <c r="I72" i="4" s="1"/>
  <c r="I72" i="6"/>
  <c r="F71" i="4"/>
  <c r="F72" i="6" s="1"/>
  <c r="G71" i="4"/>
  <c r="G72" i="6" s="1"/>
  <c r="E71" i="4"/>
  <c r="E72" i="6" s="1"/>
  <c r="M73" i="9" l="1"/>
  <c r="D73" i="9"/>
  <c r="E73" i="9" s="1"/>
  <c r="Q73" i="9" s="1"/>
  <c r="U73" i="9"/>
  <c r="N73" i="9"/>
  <c r="H73" i="9"/>
  <c r="I73" i="9" s="1"/>
  <c r="R73" i="9" s="1"/>
  <c r="P73" i="9"/>
  <c r="T73" i="9"/>
  <c r="L73" i="9"/>
  <c r="J74" i="9"/>
  <c r="F74" i="9"/>
  <c r="G74" i="9" s="1"/>
  <c r="N74" i="9" s="1"/>
  <c r="J72" i="6"/>
  <c r="B74" i="9" s="1"/>
  <c r="C74" i="9" s="1"/>
  <c r="A73" i="6"/>
  <c r="A75" i="9" s="1"/>
  <c r="A73" i="4"/>
  <c r="I73" i="4" s="1"/>
  <c r="B72" i="4"/>
  <c r="B73" i="6" s="1"/>
  <c r="D72" i="4"/>
  <c r="D73" i="6" s="1"/>
  <c r="C72" i="4"/>
  <c r="C73" i="6" s="1"/>
  <c r="H72" i="4"/>
  <c r="H73" i="6" s="1"/>
  <c r="I73" i="6"/>
  <c r="F72" i="4"/>
  <c r="F73" i="6" s="1"/>
  <c r="G72" i="4"/>
  <c r="G73" i="6" s="1"/>
  <c r="E72" i="4"/>
  <c r="E73" i="6" s="1"/>
  <c r="M74" i="9" l="1"/>
  <c r="D74" i="9"/>
  <c r="E74" i="9" s="1"/>
  <c r="Q74" i="9" s="1"/>
  <c r="U74" i="9"/>
  <c r="F75" i="9"/>
  <c r="G75" i="9" s="1"/>
  <c r="N75" i="9" s="1"/>
  <c r="J75" i="9"/>
  <c r="L74" i="9"/>
  <c r="T74" i="9"/>
  <c r="P74" i="9"/>
  <c r="H74" i="9"/>
  <c r="I74" i="9" s="1"/>
  <c r="R74" i="9" s="1"/>
  <c r="J73" i="6"/>
  <c r="B75" i="9" s="1"/>
  <c r="C75" i="9" s="1"/>
  <c r="A74" i="6"/>
  <c r="A76" i="9" s="1"/>
  <c r="I74" i="6"/>
  <c r="D73" i="4"/>
  <c r="D74" i="6" s="1"/>
  <c r="H73" i="4"/>
  <c r="H74" i="6" s="1"/>
  <c r="C73" i="4"/>
  <c r="C74" i="6" s="1"/>
  <c r="B73" i="4"/>
  <c r="B74" i="6" s="1"/>
  <c r="A74" i="4"/>
  <c r="I74" i="4" s="1"/>
  <c r="F73" i="4"/>
  <c r="F74" i="6" s="1"/>
  <c r="G73" i="4"/>
  <c r="G74" i="6" s="1"/>
  <c r="E73" i="4"/>
  <c r="E74" i="6" s="1"/>
  <c r="M75" i="9" l="1"/>
  <c r="D75" i="9"/>
  <c r="E75" i="9" s="1"/>
  <c r="Q75" i="9" s="1"/>
  <c r="U75" i="9"/>
  <c r="P75" i="9"/>
  <c r="T75" i="9"/>
  <c r="L75" i="9"/>
  <c r="F76" i="9"/>
  <c r="G76" i="9" s="1"/>
  <c r="J76" i="9"/>
  <c r="H75" i="9"/>
  <c r="I75" i="9" s="1"/>
  <c r="R75" i="9" s="1"/>
  <c r="J74" i="6"/>
  <c r="B76" i="9" s="1"/>
  <c r="C76" i="9" s="1"/>
  <c r="H74" i="4"/>
  <c r="H75" i="6" s="1"/>
  <c r="D74" i="4"/>
  <c r="D75" i="6" s="1"/>
  <c r="C74" i="4"/>
  <c r="C75" i="6" s="1"/>
  <c r="I75" i="6"/>
  <c r="B74" i="4"/>
  <c r="B75" i="6" s="1"/>
  <c r="A75" i="6"/>
  <c r="A77" i="9" s="1"/>
  <c r="A75" i="4"/>
  <c r="I75" i="4" s="1"/>
  <c r="F74" i="4"/>
  <c r="F75" i="6" s="1"/>
  <c r="E74" i="4"/>
  <c r="E75" i="6" s="1"/>
  <c r="G74" i="4"/>
  <c r="G75" i="6" s="1"/>
  <c r="N76" i="9" l="1"/>
  <c r="H76" i="9"/>
  <c r="I76" i="9" s="1"/>
  <c r="R76" i="9" s="1"/>
  <c r="M76" i="9"/>
  <c r="U76" i="9"/>
  <c r="D76" i="9"/>
  <c r="E76" i="9" s="1"/>
  <c r="Q76" i="9" s="1"/>
  <c r="T76" i="9"/>
  <c r="L76" i="9"/>
  <c r="P76" i="9"/>
  <c r="J77" i="9"/>
  <c r="F77" i="9"/>
  <c r="G77" i="9" s="1"/>
  <c r="J75" i="6"/>
  <c r="B77" i="9" s="1"/>
  <c r="C77" i="9" s="1"/>
  <c r="A76" i="6"/>
  <c r="A78" i="9" s="1"/>
  <c r="G75" i="4"/>
  <c r="G76" i="6" s="1"/>
  <c r="D75" i="4"/>
  <c r="D76" i="6" s="1"/>
  <c r="I76" i="6"/>
  <c r="C75" i="4"/>
  <c r="C76" i="6" s="1"/>
  <c r="B75" i="4"/>
  <c r="B76" i="6" s="1"/>
  <c r="A76" i="4"/>
  <c r="I76" i="4" s="1"/>
  <c r="F75" i="4"/>
  <c r="F76" i="6" s="1"/>
  <c r="H75" i="4"/>
  <c r="H76" i="6" s="1"/>
  <c r="E75" i="4"/>
  <c r="E76" i="6" s="1"/>
  <c r="M77" i="9" l="1"/>
  <c r="U77" i="9"/>
  <c r="D77" i="9"/>
  <c r="E77" i="9" s="1"/>
  <c r="Q77" i="9" s="1"/>
  <c r="N77" i="9"/>
  <c r="H77" i="9"/>
  <c r="I77" i="9" s="1"/>
  <c r="R77" i="9" s="1"/>
  <c r="F78" i="9"/>
  <c r="G78" i="9" s="1"/>
  <c r="N78" i="9" s="1"/>
  <c r="J78" i="9"/>
  <c r="P77" i="9"/>
  <c r="L77" i="9"/>
  <c r="T77" i="9"/>
  <c r="J76" i="6"/>
  <c r="B78" i="9" s="1"/>
  <c r="C78" i="9" s="1"/>
  <c r="A77" i="6"/>
  <c r="A79" i="9" s="1"/>
  <c r="F76" i="4"/>
  <c r="F77" i="6" s="1"/>
  <c r="D76" i="4"/>
  <c r="D77" i="6" s="1"/>
  <c r="C76" i="4"/>
  <c r="C77" i="6" s="1"/>
  <c r="I77" i="6"/>
  <c r="B76" i="4"/>
  <c r="B77" i="6" s="1"/>
  <c r="A77" i="4"/>
  <c r="I77" i="4" s="1"/>
  <c r="G76" i="4"/>
  <c r="G77" i="6" s="1"/>
  <c r="E76" i="4"/>
  <c r="E77" i="6" s="1"/>
  <c r="H76" i="4"/>
  <c r="H77" i="6" s="1"/>
  <c r="M78" i="9" l="1"/>
  <c r="D78" i="9"/>
  <c r="E78" i="9" s="1"/>
  <c r="Q78" i="9" s="1"/>
  <c r="U78" i="9"/>
  <c r="H78" i="9"/>
  <c r="I78" i="9" s="1"/>
  <c r="R78" i="9" s="1"/>
  <c r="P78" i="9"/>
  <c r="T78" i="9"/>
  <c r="L78" i="9"/>
  <c r="F79" i="9"/>
  <c r="G79" i="9" s="1"/>
  <c r="J79" i="9"/>
  <c r="J77" i="6"/>
  <c r="B79" i="9" s="1"/>
  <c r="C79" i="9" s="1"/>
  <c r="A78" i="6"/>
  <c r="A80" i="9" s="1"/>
  <c r="E77" i="4"/>
  <c r="E78" i="6" s="1"/>
  <c r="D77" i="4"/>
  <c r="D78" i="6" s="1"/>
  <c r="I78" i="6"/>
  <c r="C77" i="4"/>
  <c r="C78" i="6" s="1"/>
  <c r="B77" i="4"/>
  <c r="B78" i="6" s="1"/>
  <c r="A78" i="4"/>
  <c r="I78" i="4" s="1"/>
  <c r="G77" i="4"/>
  <c r="G78" i="6" s="1"/>
  <c r="F77" i="4"/>
  <c r="F78" i="6" s="1"/>
  <c r="H77" i="4"/>
  <c r="H78" i="6" s="1"/>
  <c r="N79" i="9" l="1"/>
  <c r="H79" i="9"/>
  <c r="I79" i="9" s="1"/>
  <c r="R79" i="9" s="1"/>
  <c r="M79" i="9"/>
  <c r="D79" i="9"/>
  <c r="E79" i="9" s="1"/>
  <c r="Q79" i="9" s="1"/>
  <c r="U79" i="9"/>
  <c r="J80" i="9"/>
  <c r="F80" i="9"/>
  <c r="G80" i="9" s="1"/>
  <c r="P79" i="9"/>
  <c r="T79" i="9"/>
  <c r="L79" i="9"/>
  <c r="J78" i="6"/>
  <c r="B80" i="9" s="1"/>
  <c r="C80" i="9" s="1"/>
  <c r="A79" i="6"/>
  <c r="A81" i="9" s="1"/>
  <c r="D78" i="4"/>
  <c r="D79" i="6" s="1"/>
  <c r="E78" i="4"/>
  <c r="E79" i="6" s="1"/>
  <c r="C78" i="4"/>
  <c r="C79" i="6" s="1"/>
  <c r="I79" i="6"/>
  <c r="B78" i="4"/>
  <c r="B79" i="6" s="1"/>
  <c r="A79" i="4"/>
  <c r="I79" i="4" s="1"/>
  <c r="G78" i="4"/>
  <c r="G79" i="6" s="1"/>
  <c r="F78" i="4"/>
  <c r="F79" i="6" s="1"/>
  <c r="H78" i="4"/>
  <c r="H79" i="6" s="1"/>
  <c r="N80" i="9" l="1"/>
  <c r="H80" i="9"/>
  <c r="I80" i="9" s="1"/>
  <c r="R80" i="9" s="1"/>
  <c r="M80" i="9"/>
  <c r="U80" i="9"/>
  <c r="D80" i="9"/>
  <c r="E80" i="9" s="1"/>
  <c r="Q80" i="9" s="1"/>
  <c r="T80" i="9"/>
  <c r="L80" i="9"/>
  <c r="P80" i="9"/>
  <c r="J81" i="9"/>
  <c r="F81" i="9"/>
  <c r="G81" i="9" s="1"/>
  <c r="J79" i="6"/>
  <c r="B81" i="9" s="1"/>
  <c r="C81" i="9" s="1"/>
  <c r="A80" i="6"/>
  <c r="A82" i="9" s="1"/>
  <c r="C79" i="4"/>
  <c r="C80" i="6" s="1"/>
  <c r="E79" i="4"/>
  <c r="E80" i="6" s="1"/>
  <c r="I80" i="6"/>
  <c r="D79" i="4"/>
  <c r="D80" i="6" s="1"/>
  <c r="B79" i="4"/>
  <c r="B80" i="6" s="1"/>
  <c r="A80" i="4"/>
  <c r="I80" i="4" s="1"/>
  <c r="G79" i="4"/>
  <c r="G80" i="6" s="1"/>
  <c r="H79" i="4"/>
  <c r="H80" i="6" s="1"/>
  <c r="F79" i="4"/>
  <c r="F80" i="6" s="1"/>
  <c r="N81" i="9" l="1"/>
  <c r="H81" i="9"/>
  <c r="I81" i="9" s="1"/>
  <c r="R81" i="9" s="1"/>
  <c r="M81" i="9"/>
  <c r="U81" i="9"/>
  <c r="D81" i="9"/>
  <c r="E81" i="9" s="1"/>
  <c r="Q81" i="9" s="1"/>
  <c r="F82" i="9"/>
  <c r="G82" i="9" s="1"/>
  <c r="N82" i="9" s="1"/>
  <c r="J82" i="9"/>
  <c r="P81" i="9"/>
  <c r="T81" i="9"/>
  <c r="L81" i="9"/>
  <c r="J80" i="6"/>
  <c r="B82" i="9" s="1"/>
  <c r="C82" i="9" s="1"/>
  <c r="A81" i="6"/>
  <c r="A83" i="9" s="1"/>
  <c r="A81" i="4"/>
  <c r="I81" i="4" s="1"/>
  <c r="B80" i="4"/>
  <c r="B81" i="6" s="1"/>
  <c r="E80" i="4"/>
  <c r="E81" i="6" s="1"/>
  <c r="D80" i="4"/>
  <c r="D81" i="6" s="1"/>
  <c r="I81" i="6"/>
  <c r="C80" i="4"/>
  <c r="C81" i="6" s="1"/>
  <c r="G80" i="4"/>
  <c r="G81" i="6" s="1"/>
  <c r="H80" i="4"/>
  <c r="H81" i="6" s="1"/>
  <c r="F80" i="4"/>
  <c r="F81" i="6" s="1"/>
  <c r="M82" i="9" l="1"/>
  <c r="U82" i="9"/>
  <c r="D82" i="9"/>
  <c r="E82" i="9" s="1"/>
  <c r="Q82" i="9" s="1"/>
  <c r="H82" i="9"/>
  <c r="I82" i="9" s="1"/>
  <c r="R82" i="9" s="1"/>
  <c r="F83" i="9"/>
  <c r="G83" i="9" s="1"/>
  <c r="J83" i="9"/>
  <c r="T82" i="9"/>
  <c r="P82" i="9"/>
  <c r="L82" i="9"/>
  <c r="J81" i="6"/>
  <c r="B83" i="9" s="1"/>
  <c r="C83" i="9" s="1"/>
  <c r="A82" i="6"/>
  <c r="A84" i="9" s="1"/>
  <c r="I82" i="6"/>
  <c r="E81" i="4"/>
  <c r="E82" i="6" s="1"/>
  <c r="A82" i="4"/>
  <c r="I82" i="4" s="1"/>
  <c r="D81" i="4"/>
  <c r="D82" i="6" s="1"/>
  <c r="C81" i="4"/>
  <c r="C82" i="6" s="1"/>
  <c r="B81" i="4"/>
  <c r="B82" i="6" s="1"/>
  <c r="G81" i="4"/>
  <c r="G82" i="6" s="1"/>
  <c r="F81" i="4"/>
  <c r="F82" i="6" s="1"/>
  <c r="H81" i="4"/>
  <c r="H82" i="6" s="1"/>
  <c r="N83" i="9" l="1"/>
  <c r="H83" i="9"/>
  <c r="I83" i="9" s="1"/>
  <c r="R83" i="9" s="1"/>
  <c r="M83" i="9"/>
  <c r="U83" i="9"/>
  <c r="D83" i="9"/>
  <c r="E83" i="9" s="1"/>
  <c r="Q83" i="9" s="1"/>
  <c r="F84" i="9"/>
  <c r="G84" i="9" s="1"/>
  <c r="N84" i="9" s="1"/>
  <c r="J84" i="9"/>
  <c r="P83" i="9"/>
  <c r="L83" i="9"/>
  <c r="T83" i="9"/>
  <c r="J82" i="6"/>
  <c r="B84" i="9" s="1"/>
  <c r="C84" i="9" s="1"/>
  <c r="A83" i="6"/>
  <c r="A85" i="9" s="1"/>
  <c r="H82" i="4"/>
  <c r="H83" i="6" s="1"/>
  <c r="E82" i="4"/>
  <c r="E83" i="6" s="1"/>
  <c r="D82" i="4"/>
  <c r="D83" i="6" s="1"/>
  <c r="C82" i="4"/>
  <c r="C83" i="6" s="1"/>
  <c r="A83" i="4"/>
  <c r="I83" i="4" s="1"/>
  <c r="B82" i="4"/>
  <c r="B83" i="6" s="1"/>
  <c r="G82" i="4"/>
  <c r="G83" i="6" s="1"/>
  <c r="I83" i="6"/>
  <c r="F82" i="4"/>
  <c r="F83" i="6" s="1"/>
  <c r="M84" i="9" l="1"/>
  <c r="D84" i="9"/>
  <c r="E84" i="9" s="1"/>
  <c r="Q84" i="9" s="1"/>
  <c r="U84" i="9"/>
  <c r="L84" i="9"/>
  <c r="T84" i="9"/>
  <c r="P84" i="9"/>
  <c r="J85" i="9"/>
  <c r="F85" i="9"/>
  <c r="G85" i="9" s="1"/>
  <c r="N85" i="9" s="1"/>
  <c r="H84" i="9"/>
  <c r="I84" i="9" s="1"/>
  <c r="R84" i="9" s="1"/>
  <c r="J83" i="6"/>
  <c r="B85" i="9" s="1"/>
  <c r="C85" i="9" s="1"/>
  <c r="A84" i="6"/>
  <c r="A86" i="9" s="1"/>
  <c r="G83" i="4"/>
  <c r="G84" i="6" s="1"/>
  <c r="E83" i="4"/>
  <c r="E84" i="6" s="1"/>
  <c r="D83" i="4"/>
  <c r="D84" i="6" s="1"/>
  <c r="A84" i="4"/>
  <c r="I84" i="4" s="1"/>
  <c r="C83" i="4"/>
  <c r="C84" i="6" s="1"/>
  <c r="B83" i="4"/>
  <c r="B84" i="6" s="1"/>
  <c r="H83" i="4"/>
  <c r="H84" i="6" s="1"/>
  <c r="I84" i="6"/>
  <c r="F83" i="4"/>
  <c r="F84" i="6" s="1"/>
  <c r="M85" i="9" l="1"/>
  <c r="U85" i="9"/>
  <c r="D85" i="9"/>
  <c r="E85" i="9" s="1"/>
  <c r="Q85" i="9" s="1"/>
  <c r="J86" i="9"/>
  <c r="F86" i="9"/>
  <c r="G86" i="9" s="1"/>
  <c r="P85" i="9"/>
  <c r="T85" i="9"/>
  <c r="L85" i="9"/>
  <c r="H85" i="9"/>
  <c r="I85" i="9" s="1"/>
  <c r="R85" i="9" s="1"/>
  <c r="J84" i="6"/>
  <c r="B86" i="9" s="1"/>
  <c r="C86" i="9" s="1"/>
  <c r="A85" i="6"/>
  <c r="A87" i="9" s="1"/>
  <c r="F84" i="4"/>
  <c r="F85" i="6" s="1"/>
  <c r="E84" i="4"/>
  <c r="E85" i="6" s="1"/>
  <c r="A85" i="4"/>
  <c r="I85" i="4" s="1"/>
  <c r="D84" i="4"/>
  <c r="D85" i="6" s="1"/>
  <c r="C84" i="4"/>
  <c r="C85" i="6" s="1"/>
  <c r="B84" i="4"/>
  <c r="B85" i="6" s="1"/>
  <c r="H84" i="4"/>
  <c r="H85" i="6" s="1"/>
  <c r="G84" i="4"/>
  <c r="G85" i="6" s="1"/>
  <c r="I85" i="6"/>
  <c r="N86" i="9" l="1"/>
  <c r="H86" i="9"/>
  <c r="I86" i="9" s="1"/>
  <c r="R86" i="9" s="1"/>
  <c r="M86" i="9"/>
  <c r="D86" i="9"/>
  <c r="E86" i="9" s="1"/>
  <c r="Q86" i="9" s="1"/>
  <c r="U86" i="9"/>
  <c r="F87" i="9"/>
  <c r="G87" i="9" s="1"/>
  <c r="J87" i="9"/>
  <c r="T86" i="9"/>
  <c r="P86" i="9"/>
  <c r="L86" i="9"/>
  <c r="J85" i="6"/>
  <c r="B87" i="9" s="1"/>
  <c r="C87" i="9" s="1"/>
  <c r="A86" i="6"/>
  <c r="A88" i="9" s="1"/>
  <c r="E85" i="4"/>
  <c r="E86" i="6" s="1"/>
  <c r="F85" i="4"/>
  <c r="F86" i="6" s="1"/>
  <c r="D85" i="4"/>
  <c r="D86" i="6" s="1"/>
  <c r="C85" i="4"/>
  <c r="C86" i="6" s="1"/>
  <c r="A86" i="4"/>
  <c r="I86" i="4" s="1"/>
  <c r="B85" i="4"/>
  <c r="B86" i="6" s="1"/>
  <c r="H85" i="4"/>
  <c r="H86" i="6" s="1"/>
  <c r="I86" i="6"/>
  <c r="G85" i="4"/>
  <c r="G86" i="6" s="1"/>
  <c r="M87" i="9" l="1"/>
  <c r="U87" i="9"/>
  <c r="D87" i="9"/>
  <c r="E87" i="9" s="1"/>
  <c r="Q87" i="9" s="1"/>
  <c r="N87" i="9"/>
  <c r="H87" i="9"/>
  <c r="I87" i="9" s="1"/>
  <c r="R87" i="9" s="1"/>
  <c r="F88" i="9"/>
  <c r="G88" i="9" s="1"/>
  <c r="J88" i="9"/>
  <c r="P87" i="9"/>
  <c r="L87" i="9"/>
  <c r="T87" i="9"/>
  <c r="J86" i="6"/>
  <c r="B88" i="9" s="1"/>
  <c r="C88" i="9" s="1"/>
  <c r="A87" i="6"/>
  <c r="A89" i="9" s="1"/>
  <c r="E86" i="4"/>
  <c r="E87" i="6" s="1"/>
  <c r="D86" i="4"/>
  <c r="D87" i="6" s="1"/>
  <c r="C86" i="4"/>
  <c r="C87" i="6" s="1"/>
  <c r="H86" i="4"/>
  <c r="H87" i="6" s="1"/>
  <c r="G86" i="4"/>
  <c r="G87" i="6" s="1"/>
  <c r="F86" i="4"/>
  <c r="F87" i="6" s="1"/>
  <c r="B86" i="4"/>
  <c r="B87" i="6" s="1"/>
  <c r="A87" i="4"/>
  <c r="I87" i="4" s="1"/>
  <c r="I87" i="6"/>
  <c r="N88" i="9" l="1"/>
  <c r="H88" i="9"/>
  <c r="I88" i="9" s="1"/>
  <c r="R88" i="9" s="1"/>
  <c r="M88" i="9"/>
  <c r="D88" i="9"/>
  <c r="E88" i="9" s="1"/>
  <c r="Q88" i="9" s="1"/>
  <c r="U88" i="9"/>
  <c r="J89" i="9"/>
  <c r="F89" i="9"/>
  <c r="G89" i="9" s="1"/>
  <c r="P88" i="9"/>
  <c r="T88" i="9"/>
  <c r="L88" i="9"/>
  <c r="J87" i="6"/>
  <c r="B89" i="9" s="1"/>
  <c r="C89" i="9" s="1"/>
  <c r="A88" i="6"/>
  <c r="A90" i="9" s="1"/>
  <c r="D87" i="4"/>
  <c r="D88" i="6" s="1"/>
  <c r="C87" i="4"/>
  <c r="C88" i="6" s="1"/>
  <c r="A88" i="4"/>
  <c r="I88" i="4" s="1"/>
  <c r="B87" i="4"/>
  <c r="B88" i="6" s="1"/>
  <c r="I88" i="6"/>
  <c r="F87" i="4"/>
  <c r="F88" i="6" s="1"/>
  <c r="H87" i="4"/>
  <c r="H88" i="6" s="1"/>
  <c r="G87" i="4"/>
  <c r="G88" i="6" s="1"/>
  <c r="E87" i="4"/>
  <c r="E88" i="6" s="1"/>
  <c r="N89" i="9" l="1"/>
  <c r="H89" i="9"/>
  <c r="I89" i="9" s="1"/>
  <c r="R89" i="9" s="1"/>
  <c r="M89" i="9"/>
  <c r="U89" i="9"/>
  <c r="D89" i="9"/>
  <c r="E89" i="9" s="1"/>
  <c r="Q89" i="9" s="1"/>
  <c r="J90" i="9"/>
  <c r="F90" i="9"/>
  <c r="G90" i="9" s="1"/>
  <c r="P89" i="9"/>
  <c r="T89" i="9"/>
  <c r="L89" i="9"/>
  <c r="J88" i="6"/>
  <c r="B90" i="9" s="1"/>
  <c r="C90" i="9" s="1"/>
  <c r="A89" i="6"/>
  <c r="A91" i="9" s="1"/>
  <c r="C88" i="4"/>
  <c r="C89" i="6" s="1"/>
  <c r="A89" i="4"/>
  <c r="I89" i="4" s="1"/>
  <c r="B88" i="4"/>
  <c r="B89" i="6" s="1"/>
  <c r="I89" i="6"/>
  <c r="D88" i="4"/>
  <c r="D89" i="6" s="1"/>
  <c r="H88" i="4"/>
  <c r="H89" i="6" s="1"/>
  <c r="F88" i="4"/>
  <c r="F89" i="6" s="1"/>
  <c r="G88" i="4"/>
  <c r="G89" i="6" s="1"/>
  <c r="E88" i="4"/>
  <c r="E89" i="6" s="1"/>
  <c r="N90" i="9" l="1"/>
  <c r="H90" i="9"/>
  <c r="I90" i="9" s="1"/>
  <c r="R90" i="9" s="1"/>
  <c r="M90" i="9"/>
  <c r="U90" i="9"/>
  <c r="D90" i="9"/>
  <c r="E90" i="9" s="1"/>
  <c r="Q90" i="9" s="1"/>
  <c r="L90" i="9"/>
  <c r="T90" i="9"/>
  <c r="P90" i="9"/>
  <c r="F91" i="9"/>
  <c r="G91" i="9" s="1"/>
  <c r="N91" i="9" s="1"/>
  <c r="J91" i="9"/>
  <c r="J89" i="6"/>
  <c r="B91" i="9" s="1"/>
  <c r="C91" i="9" s="1"/>
  <c r="A90" i="6"/>
  <c r="A92" i="9" s="1"/>
  <c r="A90" i="4"/>
  <c r="I90" i="4" s="1"/>
  <c r="B89" i="4"/>
  <c r="B90" i="6" s="1"/>
  <c r="I90" i="6"/>
  <c r="H89" i="4"/>
  <c r="H90" i="6" s="1"/>
  <c r="F89" i="4"/>
  <c r="F90" i="6" s="1"/>
  <c r="E89" i="4"/>
  <c r="E90" i="6" s="1"/>
  <c r="D89" i="4"/>
  <c r="D90" i="6" s="1"/>
  <c r="C89" i="4"/>
  <c r="C90" i="6" s="1"/>
  <c r="G89" i="4"/>
  <c r="G90" i="6" s="1"/>
  <c r="M91" i="9" l="1"/>
  <c r="U91" i="9"/>
  <c r="D91" i="9"/>
  <c r="E91" i="9" s="1"/>
  <c r="Q91" i="9" s="1"/>
  <c r="F92" i="9"/>
  <c r="G92" i="9" s="1"/>
  <c r="J92" i="9"/>
  <c r="P91" i="9"/>
  <c r="L91" i="9"/>
  <c r="T91" i="9"/>
  <c r="H91" i="9"/>
  <c r="I91" i="9" s="1"/>
  <c r="R91" i="9" s="1"/>
  <c r="J90" i="6"/>
  <c r="B92" i="9" s="1"/>
  <c r="C92" i="9" s="1"/>
  <c r="A91" i="6"/>
  <c r="A93" i="9" s="1"/>
  <c r="I91" i="6"/>
  <c r="H90" i="4"/>
  <c r="H91" i="6" s="1"/>
  <c r="G90" i="4"/>
  <c r="G91" i="6" s="1"/>
  <c r="A91" i="4"/>
  <c r="I91" i="4" s="1"/>
  <c r="F90" i="4"/>
  <c r="F91" i="6" s="1"/>
  <c r="D90" i="4"/>
  <c r="D91" i="6" s="1"/>
  <c r="E90" i="4"/>
  <c r="E91" i="6" s="1"/>
  <c r="B90" i="4"/>
  <c r="B91" i="6" s="1"/>
  <c r="C90" i="4"/>
  <c r="C91" i="6" s="1"/>
  <c r="N92" i="9" l="1"/>
  <c r="H92" i="9"/>
  <c r="I92" i="9" s="1"/>
  <c r="R92" i="9" s="1"/>
  <c r="M92" i="9"/>
  <c r="U92" i="9"/>
  <c r="D92" i="9"/>
  <c r="E92" i="9" s="1"/>
  <c r="Q92" i="9" s="1"/>
  <c r="J93" i="9"/>
  <c r="F93" i="9"/>
  <c r="G93" i="9" s="1"/>
  <c r="N93" i="9" s="1"/>
  <c r="T92" i="9"/>
  <c r="P92" i="9"/>
  <c r="L92" i="9"/>
  <c r="J91" i="6"/>
  <c r="B93" i="9" s="1"/>
  <c r="C93" i="9" s="1"/>
  <c r="A92" i="6"/>
  <c r="A94" i="9" s="1"/>
  <c r="H91" i="4"/>
  <c r="H92" i="6" s="1"/>
  <c r="G91" i="4"/>
  <c r="G92" i="6" s="1"/>
  <c r="F91" i="4"/>
  <c r="F92" i="6" s="1"/>
  <c r="B91" i="4"/>
  <c r="B92" i="6" s="1"/>
  <c r="I92" i="6"/>
  <c r="A92" i="4"/>
  <c r="I92" i="4" s="1"/>
  <c r="D91" i="4"/>
  <c r="D92" i="6" s="1"/>
  <c r="C91" i="4"/>
  <c r="C92" i="6" s="1"/>
  <c r="E91" i="4"/>
  <c r="E92" i="6" s="1"/>
  <c r="M93" i="9" l="1"/>
  <c r="U93" i="9"/>
  <c r="D93" i="9"/>
  <c r="E93" i="9" s="1"/>
  <c r="Q93" i="9" s="1"/>
  <c r="J94" i="9"/>
  <c r="F94" i="9"/>
  <c r="G94" i="9" s="1"/>
  <c r="H93" i="9"/>
  <c r="I93" i="9" s="1"/>
  <c r="R93" i="9" s="1"/>
  <c r="P93" i="9"/>
  <c r="L93" i="9"/>
  <c r="T93" i="9"/>
  <c r="J92" i="6"/>
  <c r="B94" i="9" s="1"/>
  <c r="C94" i="9" s="1"/>
  <c r="A93" i="6"/>
  <c r="A95" i="9" s="1"/>
  <c r="G92" i="4"/>
  <c r="G93" i="6" s="1"/>
  <c r="F92" i="4"/>
  <c r="F93" i="6" s="1"/>
  <c r="E92" i="4"/>
  <c r="E93" i="6" s="1"/>
  <c r="D92" i="4"/>
  <c r="D93" i="6" s="1"/>
  <c r="C92" i="4"/>
  <c r="C93" i="6" s="1"/>
  <c r="B92" i="4"/>
  <c r="B93" i="6" s="1"/>
  <c r="I93" i="6"/>
  <c r="A93" i="4"/>
  <c r="I93" i="4" s="1"/>
  <c r="H92" i="4"/>
  <c r="H93" i="6" s="1"/>
  <c r="N94" i="9" l="1"/>
  <c r="H94" i="9"/>
  <c r="I94" i="9" s="1"/>
  <c r="R94" i="9" s="1"/>
  <c r="M94" i="9"/>
  <c r="D94" i="9"/>
  <c r="E94" i="9" s="1"/>
  <c r="Q94" i="9" s="1"/>
  <c r="U94" i="9"/>
  <c r="F95" i="9"/>
  <c r="G95" i="9" s="1"/>
  <c r="J95" i="9"/>
  <c r="P94" i="9"/>
  <c r="T94" i="9"/>
  <c r="L94" i="9"/>
  <c r="J93" i="6"/>
  <c r="B95" i="9" s="1"/>
  <c r="C95" i="9" s="1"/>
  <c r="A94" i="6"/>
  <c r="A96" i="9" s="1"/>
  <c r="F93" i="4"/>
  <c r="F94" i="6" s="1"/>
  <c r="E93" i="4"/>
  <c r="E94" i="6" s="1"/>
  <c r="D93" i="4"/>
  <c r="D94" i="6" s="1"/>
  <c r="I94" i="6"/>
  <c r="H93" i="4"/>
  <c r="H94" i="6" s="1"/>
  <c r="G93" i="4"/>
  <c r="G94" i="6" s="1"/>
  <c r="B93" i="4"/>
  <c r="B94" i="6" s="1"/>
  <c r="C93" i="4"/>
  <c r="C94" i="6" s="1"/>
  <c r="A94" i="4"/>
  <c r="I94" i="4" s="1"/>
  <c r="N95" i="9" l="1"/>
  <c r="H95" i="9"/>
  <c r="I95" i="9" s="1"/>
  <c r="R95" i="9" s="1"/>
  <c r="M95" i="9"/>
  <c r="D95" i="9"/>
  <c r="E95" i="9" s="1"/>
  <c r="Q95" i="9" s="1"/>
  <c r="U95" i="9"/>
  <c r="J96" i="9"/>
  <c r="F96" i="9"/>
  <c r="G96" i="9" s="1"/>
  <c r="P95" i="9"/>
  <c r="T95" i="9"/>
  <c r="L95" i="9"/>
  <c r="J94" i="6"/>
  <c r="B96" i="9" s="1"/>
  <c r="C96" i="9" s="1"/>
  <c r="E94" i="4"/>
  <c r="E95" i="6" s="1"/>
  <c r="D94" i="4"/>
  <c r="D95" i="6" s="1"/>
  <c r="C94" i="4"/>
  <c r="C95" i="6" s="1"/>
  <c r="A95" i="6"/>
  <c r="A97" i="9" s="1"/>
  <c r="G94" i="4"/>
  <c r="G95" i="6" s="1"/>
  <c r="A95" i="4"/>
  <c r="I95" i="4" s="1"/>
  <c r="I95" i="6"/>
  <c r="H94" i="4"/>
  <c r="H95" i="6" s="1"/>
  <c r="B94" i="4"/>
  <c r="B95" i="6" s="1"/>
  <c r="F94" i="4"/>
  <c r="F95" i="6" s="1"/>
  <c r="M96" i="9" l="1"/>
  <c r="U96" i="9"/>
  <c r="D96" i="9"/>
  <c r="E96" i="9" s="1"/>
  <c r="Q96" i="9" s="1"/>
  <c r="N96" i="9"/>
  <c r="H96" i="9"/>
  <c r="I96" i="9" s="1"/>
  <c r="R96" i="9" s="1"/>
  <c r="P96" i="9"/>
  <c r="T96" i="9"/>
  <c r="L96" i="9"/>
  <c r="J97" i="9"/>
  <c r="F97" i="9"/>
  <c r="G97" i="9" s="1"/>
  <c r="J95" i="6"/>
  <c r="B97" i="9" s="1"/>
  <c r="C97" i="9" s="1"/>
  <c r="A96" i="6"/>
  <c r="A98" i="9" s="1"/>
  <c r="D95" i="4"/>
  <c r="D96" i="6" s="1"/>
  <c r="C95" i="4"/>
  <c r="C96" i="6" s="1"/>
  <c r="A96" i="4"/>
  <c r="I96" i="4" s="1"/>
  <c r="B95" i="4"/>
  <c r="B96" i="6" s="1"/>
  <c r="E95" i="4"/>
  <c r="E96" i="6" s="1"/>
  <c r="I96" i="6"/>
  <c r="G95" i="4"/>
  <c r="G96" i="6" s="1"/>
  <c r="F95" i="4"/>
  <c r="F96" i="6" s="1"/>
  <c r="H95" i="4"/>
  <c r="H96" i="6" s="1"/>
  <c r="M97" i="9" l="1"/>
  <c r="D97" i="9"/>
  <c r="E97" i="9" s="1"/>
  <c r="Q97" i="9" s="1"/>
  <c r="U97" i="9"/>
  <c r="N97" i="9"/>
  <c r="H97" i="9"/>
  <c r="I97" i="9" s="1"/>
  <c r="R97" i="9" s="1"/>
  <c r="F98" i="9"/>
  <c r="G98" i="9" s="1"/>
  <c r="J98" i="9"/>
  <c r="P97" i="9"/>
  <c r="T97" i="9"/>
  <c r="L97" i="9"/>
  <c r="J96" i="6"/>
  <c r="B98" i="9" s="1"/>
  <c r="C98" i="9" s="1"/>
  <c r="A97" i="6"/>
  <c r="A99" i="9" s="1"/>
  <c r="C96" i="4"/>
  <c r="C97" i="6" s="1"/>
  <c r="A97" i="4"/>
  <c r="I97" i="4" s="1"/>
  <c r="B96" i="4"/>
  <c r="B97" i="6" s="1"/>
  <c r="I97" i="6"/>
  <c r="G96" i="4"/>
  <c r="G97" i="6" s="1"/>
  <c r="F96" i="4"/>
  <c r="F97" i="6" s="1"/>
  <c r="E96" i="4"/>
  <c r="E97" i="6" s="1"/>
  <c r="D96" i="4"/>
  <c r="D97" i="6" s="1"/>
  <c r="H96" i="4"/>
  <c r="H97" i="6" s="1"/>
  <c r="N98" i="9" l="1"/>
  <c r="H98" i="9"/>
  <c r="I98" i="9" s="1"/>
  <c r="R98" i="9" s="1"/>
  <c r="M98" i="9"/>
  <c r="D98" i="9"/>
  <c r="E98" i="9" s="1"/>
  <c r="Q98" i="9" s="1"/>
  <c r="U98" i="9"/>
  <c r="F99" i="9"/>
  <c r="G99" i="9" s="1"/>
  <c r="N99" i="9" s="1"/>
  <c r="J99" i="9"/>
  <c r="T98" i="9"/>
  <c r="P98" i="9"/>
  <c r="L98" i="9"/>
  <c r="J97" i="6"/>
  <c r="B99" i="9" s="1"/>
  <c r="C99" i="9" s="1"/>
  <c r="A98" i="6"/>
  <c r="A100" i="9" s="1"/>
  <c r="A98" i="4"/>
  <c r="I98" i="4" s="1"/>
  <c r="B97" i="4"/>
  <c r="B98" i="6" s="1"/>
  <c r="I98" i="6"/>
  <c r="H97" i="4"/>
  <c r="H98" i="6" s="1"/>
  <c r="G97" i="4"/>
  <c r="G98" i="6" s="1"/>
  <c r="E97" i="4"/>
  <c r="E98" i="6" s="1"/>
  <c r="F97" i="4"/>
  <c r="F98" i="6" s="1"/>
  <c r="C97" i="4"/>
  <c r="C98" i="6" s="1"/>
  <c r="D97" i="4"/>
  <c r="D98" i="6" s="1"/>
  <c r="M99" i="9" l="1"/>
  <c r="U99" i="9"/>
  <c r="D99" i="9"/>
  <c r="E99" i="9" s="1"/>
  <c r="Q99" i="9" s="1"/>
  <c r="P99" i="9"/>
  <c r="L99" i="9"/>
  <c r="T99" i="9"/>
  <c r="F100" i="9"/>
  <c r="G100" i="9" s="1"/>
  <c r="J100" i="9"/>
  <c r="H99" i="9"/>
  <c r="I99" i="9" s="1"/>
  <c r="R99" i="9" s="1"/>
  <c r="J98" i="6"/>
  <c r="B100" i="9" s="1"/>
  <c r="C100" i="9" s="1"/>
  <c r="A99" i="6"/>
  <c r="A101" i="9" s="1"/>
  <c r="I99" i="6"/>
  <c r="H98" i="4"/>
  <c r="H99" i="6" s="1"/>
  <c r="G98" i="4"/>
  <c r="G99" i="6" s="1"/>
  <c r="C98" i="4"/>
  <c r="C99" i="6" s="1"/>
  <c r="A99" i="4"/>
  <c r="I99" i="4" s="1"/>
  <c r="B98" i="4"/>
  <c r="B99" i="6" s="1"/>
  <c r="E98" i="4"/>
  <c r="E99" i="6" s="1"/>
  <c r="D98" i="4"/>
  <c r="D99" i="6" s="1"/>
  <c r="F98" i="4"/>
  <c r="F99" i="6" s="1"/>
  <c r="M100" i="9" l="1"/>
  <c r="U100" i="9"/>
  <c r="D100" i="9"/>
  <c r="E100" i="9" s="1"/>
  <c r="Q100" i="9" s="1"/>
  <c r="N100" i="9"/>
  <c r="H100" i="9"/>
  <c r="I100" i="9" s="1"/>
  <c r="R100" i="9" s="1"/>
  <c r="J101" i="9"/>
  <c r="F101" i="9"/>
  <c r="G101" i="9" s="1"/>
  <c r="L100" i="9"/>
  <c r="P100" i="9"/>
  <c r="T100" i="9"/>
  <c r="J99" i="6"/>
  <c r="B101" i="9" s="1"/>
  <c r="C101" i="9" s="1"/>
  <c r="A100" i="6"/>
  <c r="A102" i="9" s="1"/>
  <c r="H99" i="4"/>
  <c r="H100" i="6" s="1"/>
  <c r="G99" i="4"/>
  <c r="G100" i="6" s="1"/>
  <c r="F99" i="4"/>
  <c r="F100" i="6" s="1"/>
  <c r="E99" i="4"/>
  <c r="E100" i="6" s="1"/>
  <c r="D99" i="4"/>
  <c r="D100" i="6" s="1"/>
  <c r="C99" i="4"/>
  <c r="C100" i="6" s="1"/>
  <c r="B99" i="4"/>
  <c r="B100" i="6" s="1"/>
  <c r="A100" i="4"/>
  <c r="I100" i="4" s="1"/>
  <c r="I100" i="6"/>
  <c r="N101" i="9" l="1"/>
  <c r="H101" i="9"/>
  <c r="I101" i="9" s="1"/>
  <c r="R101" i="9" s="1"/>
  <c r="M101" i="9"/>
  <c r="D101" i="9"/>
  <c r="E101" i="9" s="1"/>
  <c r="Q101" i="9" s="1"/>
  <c r="U101" i="9"/>
  <c r="F102" i="9"/>
  <c r="G102" i="9" s="1"/>
  <c r="N102" i="9" s="1"/>
  <c r="J102" i="9"/>
  <c r="P101" i="9"/>
  <c r="T101" i="9"/>
  <c r="L101" i="9"/>
  <c r="J100" i="6"/>
  <c r="B102" i="9" s="1"/>
  <c r="C102" i="9" s="1"/>
  <c r="A101" i="6"/>
  <c r="A103" i="9" s="1"/>
  <c r="G100" i="4"/>
  <c r="G101" i="6" s="1"/>
  <c r="F100" i="4"/>
  <c r="F101" i="6" s="1"/>
  <c r="E100" i="4"/>
  <c r="E101" i="6" s="1"/>
  <c r="A101" i="4"/>
  <c r="I101" i="4" s="1"/>
  <c r="I101" i="6"/>
  <c r="H100" i="4"/>
  <c r="H101" i="6" s="1"/>
  <c r="C100" i="4"/>
  <c r="C101" i="6" s="1"/>
  <c r="D100" i="4"/>
  <c r="D101" i="6" s="1"/>
  <c r="B100" i="4"/>
  <c r="B101" i="6" s="1"/>
  <c r="M102" i="9" l="1"/>
  <c r="U102" i="9"/>
  <c r="D102" i="9"/>
  <c r="E102" i="9" s="1"/>
  <c r="Q102" i="9" s="1"/>
  <c r="J103" i="9"/>
  <c r="F103" i="9"/>
  <c r="G103" i="9" s="1"/>
  <c r="H102" i="9"/>
  <c r="I102" i="9" s="1"/>
  <c r="R102" i="9" s="1"/>
  <c r="P102" i="9"/>
  <c r="T102" i="9"/>
  <c r="L102" i="9"/>
  <c r="J101" i="6"/>
  <c r="B103" i="9" s="1"/>
  <c r="C103" i="9" s="1"/>
  <c r="A102" i="6"/>
  <c r="A104" i="9" s="1"/>
  <c r="F101" i="4"/>
  <c r="F102" i="6" s="1"/>
  <c r="E101" i="4"/>
  <c r="E102" i="6" s="1"/>
  <c r="D101" i="4"/>
  <c r="D102" i="6" s="1"/>
  <c r="H101" i="4"/>
  <c r="H102" i="6" s="1"/>
  <c r="A102" i="4"/>
  <c r="I102" i="4" s="1"/>
  <c r="I102" i="6"/>
  <c r="C101" i="4"/>
  <c r="C102" i="6" s="1"/>
  <c r="G101" i="4"/>
  <c r="G102" i="6" s="1"/>
  <c r="B101" i="4"/>
  <c r="B102" i="6" s="1"/>
  <c r="N103" i="9" l="1"/>
  <c r="H103" i="9"/>
  <c r="I103" i="9" s="1"/>
  <c r="R103" i="9" s="1"/>
  <c r="M103" i="9"/>
  <c r="D103" i="9"/>
  <c r="E103" i="9" s="1"/>
  <c r="Q103" i="9" s="1"/>
  <c r="U103" i="9"/>
  <c r="J104" i="9"/>
  <c r="F104" i="9"/>
  <c r="G104" i="9" s="1"/>
  <c r="N104" i="9" s="1"/>
  <c r="L103" i="9"/>
  <c r="P103" i="9"/>
  <c r="T103" i="9"/>
  <c r="J102" i="6"/>
  <c r="B104" i="9" s="1"/>
  <c r="C104" i="9" s="1"/>
  <c r="A103" i="6"/>
  <c r="A105" i="9" s="1"/>
  <c r="E102" i="4"/>
  <c r="E103" i="6" s="1"/>
  <c r="D102" i="4"/>
  <c r="D103" i="6" s="1"/>
  <c r="C102" i="4"/>
  <c r="C103" i="6" s="1"/>
  <c r="F102" i="4"/>
  <c r="F103" i="6" s="1"/>
  <c r="B102" i="4"/>
  <c r="B103" i="6" s="1"/>
  <c r="A103" i="4"/>
  <c r="I103" i="4" s="1"/>
  <c r="H102" i="4"/>
  <c r="H103" i="6" s="1"/>
  <c r="I103" i="6"/>
  <c r="G102" i="4"/>
  <c r="G103" i="6" s="1"/>
  <c r="M104" i="9" l="1"/>
  <c r="U104" i="9"/>
  <c r="D104" i="9"/>
  <c r="E104" i="9" s="1"/>
  <c r="Q104" i="9" s="1"/>
  <c r="F105" i="9"/>
  <c r="G105" i="9" s="1"/>
  <c r="J105" i="9"/>
  <c r="T104" i="9"/>
  <c r="L104" i="9"/>
  <c r="P104" i="9"/>
  <c r="H104" i="9"/>
  <c r="I104" i="9" s="1"/>
  <c r="R104" i="9" s="1"/>
  <c r="J103" i="6"/>
  <c r="B105" i="9" s="1"/>
  <c r="C105" i="9" s="1"/>
  <c r="A104" i="6"/>
  <c r="A106" i="9" s="1"/>
  <c r="D103" i="4"/>
  <c r="D104" i="6" s="1"/>
  <c r="C103" i="4"/>
  <c r="C104" i="6" s="1"/>
  <c r="A104" i="4"/>
  <c r="I104" i="4" s="1"/>
  <c r="B103" i="4"/>
  <c r="B104" i="6" s="1"/>
  <c r="H103" i="4"/>
  <c r="H104" i="6" s="1"/>
  <c r="G103" i="4"/>
  <c r="G104" i="6" s="1"/>
  <c r="F103" i="4"/>
  <c r="F104" i="6" s="1"/>
  <c r="E103" i="4"/>
  <c r="E104" i="6" s="1"/>
  <c r="I104" i="6"/>
  <c r="N105" i="9" l="1"/>
  <c r="H105" i="9"/>
  <c r="I105" i="9" s="1"/>
  <c r="R105" i="9" s="1"/>
  <c r="M105" i="9"/>
  <c r="U105" i="9"/>
  <c r="D105" i="9"/>
  <c r="E105" i="9" s="1"/>
  <c r="Q105" i="9" s="1"/>
  <c r="T105" i="9"/>
  <c r="P105" i="9"/>
  <c r="L105" i="9"/>
  <c r="F106" i="9"/>
  <c r="G106" i="9" s="1"/>
  <c r="N106" i="9" s="1"/>
  <c r="J106" i="9"/>
  <c r="J104" i="6"/>
  <c r="B106" i="9" s="1"/>
  <c r="C106" i="9" s="1"/>
  <c r="C104" i="4"/>
  <c r="C105" i="6" s="1"/>
  <c r="A105" i="6"/>
  <c r="A107" i="9" s="1"/>
  <c r="A105" i="4"/>
  <c r="I105" i="4" s="1"/>
  <c r="B104" i="4"/>
  <c r="B105" i="6" s="1"/>
  <c r="I105" i="6"/>
  <c r="F104" i="4"/>
  <c r="F105" i="6" s="1"/>
  <c r="H104" i="4"/>
  <c r="H105" i="6" s="1"/>
  <c r="G104" i="4"/>
  <c r="G105" i="6" s="1"/>
  <c r="D104" i="4"/>
  <c r="D105" i="6" s="1"/>
  <c r="E104" i="4"/>
  <c r="E105" i="6" s="1"/>
  <c r="M106" i="9" l="1"/>
  <c r="U106" i="9"/>
  <c r="D106" i="9"/>
  <c r="E106" i="9" s="1"/>
  <c r="Q106" i="9" s="1"/>
  <c r="F107" i="9"/>
  <c r="G107" i="9" s="1"/>
  <c r="J107" i="9"/>
  <c r="P106" i="9"/>
  <c r="L106" i="9"/>
  <c r="T106" i="9"/>
  <c r="H106" i="9"/>
  <c r="I106" i="9" s="1"/>
  <c r="R106" i="9" s="1"/>
  <c r="J105" i="6"/>
  <c r="B107" i="9" s="1"/>
  <c r="C107" i="9" s="1"/>
  <c r="A106" i="6"/>
  <c r="A108" i="9" s="1"/>
  <c r="A106" i="4"/>
  <c r="I106" i="4" s="1"/>
  <c r="B105" i="4"/>
  <c r="B106" i="6" s="1"/>
  <c r="I106" i="6"/>
  <c r="H105" i="4"/>
  <c r="H106" i="6" s="1"/>
  <c r="D105" i="4"/>
  <c r="D106" i="6" s="1"/>
  <c r="C105" i="4"/>
  <c r="C106" i="6" s="1"/>
  <c r="F105" i="4"/>
  <c r="F106" i="6" s="1"/>
  <c r="G105" i="4"/>
  <c r="G106" i="6" s="1"/>
  <c r="E105" i="4"/>
  <c r="E106" i="6" s="1"/>
  <c r="N107" i="9" l="1"/>
  <c r="H107" i="9"/>
  <c r="I107" i="9" s="1"/>
  <c r="R107" i="9" s="1"/>
  <c r="M107" i="9"/>
  <c r="D107" i="9"/>
  <c r="E107" i="9" s="1"/>
  <c r="Q107" i="9" s="1"/>
  <c r="U107" i="9"/>
  <c r="J108" i="9"/>
  <c r="F108" i="9"/>
  <c r="G108" i="9" s="1"/>
  <c r="N108" i="9" s="1"/>
  <c r="L107" i="9"/>
  <c r="P107" i="9"/>
  <c r="T107" i="9"/>
  <c r="J106" i="6"/>
  <c r="B108" i="9" s="1"/>
  <c r="C108" i="9" s="1"/>
  <c r="A107" i="6"/>
  <c r="A109" i="9" s="1"/>
  <c r="I107" i="6"/>
  <c r="H106" i="4"/>
  <c r="H107" i="6" s="1"/>
  <c r="G106" i="4"/>
  <c r="G107" i="6" s="1"/>
  <c r="F106" i="4"/>
  <c r="F107" i="6" s="1"/>
  <c r="A107" i="4"/>
  <c r="I107" i="4" s="1"/>
  <c r="E106" i="4"/>
  <c r="E107" i="6" s="1"/>
  <c r="D106" i="4"/>
  <c r="D107" i="6" s="1"/>
  <c r="B106" i="4"/>
  <c r="B107" i="6" s="1"/>
  <c r="C106" i="4"/>
  <c r="C107" i="6" s="1"/>
  <c r="M108" i="9" l="1"/>
  <c r="D108" i="9"/>
  <c r="E108" i="9" s="1"/>
  <c r="Q108" i="9" s="1"/>
  <c r="U108" i="9"/>
  <c r="T108" i="9"/>
  <c r="L108" i="9"/>
  <c r="P108" i="9"/>
  <c r="I108" i="9"/>
  <c r="R108" i="9" s="1"/>
  <c r="J109" i="9"/>
  <c r="F109" i="9"/>
  <c r="G109" i="9" s="1"/>
  <c r="H108" i="9"/>
  <c r="J107" i="6"/>
  <c r="B109" i="9" s="1"/>
  <c r="C109" i="9" s="1"/>
  <c r="A108" i="6"/>
  <c r="A110" i="9" s="1"/>
  <c r="H107" i="4"/>
  <c r="H108" i="6" s="1"/>
  <c r="G107" i="4"/>
  <c r="G108" i="6" s="1"/>
  <c r="F107" i="4"/>
  <c r="F108" i="6" s="1"/>
  <c r="E107" i="4"/>
  <c r="E108" i="6" s="1"/>
  <c r="I108" i="6"/>
  <c r="A108" i="4"/>
  <c r="A109" i="4" s="1"/>
  <c r="C107" i="4"/>
  <c r="C108" i="6" s="1"/>
  <c r="B107" i="4"/>
  <c r="B108" i="6" s="1"/>
  <c r="D107" i="4"/>
  <c r="D108" i="6" s="1"/>
  <c r="M109" i="9" l="1"/>
  <c r="D109" i="9"/>
  <c r="E109" i="9" s="1"/>
  <c r="Q109" i="9" s="1"/>
  <c r="U109" i="9"/>
  <c r="N109" i="9"/>
  <c r="H109" i="9"/>
  <c r="I109" i="9" s="1"/>
  <c r="R109" i="9" s="1"/>
  <c r="F110" i="9"/>
  <c r="G110" i="9" s="1"/>
  <c r="N110" i="9" s="1"/>
  <c r="J110" i="9"/>
  <c r="L109" i="9"/>
  <c r="P109" i="9"/>
  <c r="T109" i="9"/>
  <c r="I108" i="4"/>
  <c r="I109" i="6" s="1"/>
  <c r="I109" i="4"/>
  <c r="J108" i="6"/>
  <c r="B110" i="9" s="1"/>
  <c r="C110" i="9" s="1"/>
  <c r="A109" i="6"/>
  <c r="A111" i="9" s="1"/>
  <c r="G108" i="4"/>
  <c r="G109" i="6" s="1"/>
  <c r="F108" i="4"/>
  <c r="F109" i="6" s="1"/>
  <c r="E108" i="4"/>
  <c r="E109" i="6" s="1"/>
  <c r="D108" i="4"/>
  <c r="D109" i="6" s="1"/>
  <c r="H108" i="4"/>
  <c r="C108" i="4"/>
  <c r="C109" i="6" s="1"/>
  <c r="B108" i="4"/>
  <c r="B109" i="6" s="1"/>
  <c r="H110" i="9" l="1"/>
  <c r="I110" i="9" s="1"/>
  <c r="R110" i="9" s="1"/>
  <c r="M110" i="9"/>
  <c r="D110" i="9"/>
  <c r="E110" i="9" s="1"/>
  <c r="Q110" i="9" s="1"/>
  <c r="U110" i="9"/>
  <c r="F111" i="9"/>
  <c r="G111" i="9" s="1"/>
  <c r="J111" i="9"/>
  <c r="P110" i="9"/>
  <c r="L110" i="9"/>
  <c r="T110" i="9"/>
  <c r="H109" i="6"/>
  <c r="J109" i="6" s="1"/>
  <c r="B111" i="9" s="1"/>
  <c r="C111" i="9" s="1"/>
  <c r="A110" i="6"/>
  <c r="A112" i="9" s="1"/>
  <c r="F109" i="4"/>
  <c r="F110" i="6" s="1"/>
  <c r="E109" i="4"/>
  <c r="E110" i="6" s="1"/>
  <c r="D109" i="4"/>
  <c r="D110" i="6" s="1"/>
  <c r="C109" i="4"/>
  <c r="C110" i="6" s="1"/>
  <c r="A110" i="4"/>
  <c r="I110" i="4" s="1"/>
  <c r="I110" i="6"/>
  <c r="G109" i="4"/>
  <c r="G110" i="6" s="1"/>
  <c r="H109" i="4"/>
  <c r="H110" i="6" s="1"/>
  <c r="B109" i="4"/>
  <c r="B110" i="6" s="1"/>
  <c r="N111" i="9" l="1"/>
  <c r="H111" i="9"/>
  <c r="I111" i="9" s="1"/>
  <c r="R111" i="9" s="1"/>
  <c r="M111" i="9"/>
  <c r="U111" i="9"/>
  <c r="D111" i="9"/>
  <c r="E111" i="9" s="1"/>
  <c r="Q111" i="9" s="1"/>
  <c r="P111" i="9"/>
  <c r="L111" i="9"/>
  <c r="T111" i="9"/>
  <c r="J112" i="9"/>
  <c r="F112" i="9"/>
  <c r="G112" i="9" s="1"/>
  <c r="J110" i="6"/>
  <c r="B112" i="9" s="1"/>
  <c r="C112" i="9" s="1"/>
  <c r="A111" i="6"/>
  <c r="A113" i="9" s="1"/>
  <c r="E110" i="4"/>
  <c r="E111" i="6" s="1"/>
  <c r="D110" i="4"/>
  <c r="D111" i="6" s="1"/>
  <c r="C110" i="4"/>
  <c r="C111" i="6" s="1"/>
  <c r="A111" i="4"/>
  <c r="I111" i="4" s="1"/>
  <c r="B110" i="4"/>
  <c r="F110" i="4"/>
  <c r="F111" i="6" s="1"/>
  <c r="H110" i="4"/>
  <c r="H111" i="6" s="1"/>
  <c r="G110" i="4"/>
  <c r="G111" i="6" s="1"/>
  <c r="I111" i="6"/>
  <c r="M112" i="9" l="1"/>
  <c r="D112" i="9"/>
  <c r="U112" i="9"/>
  <c r="E112" i="9"/>
  <c r="Q112" i="9" s="1"/>
  <c r="N112" i="9"/>
  <c r="H112" i="9"/>
  <c r="I112" i="9" s="1"/>
  <c r="R112" i="9" s="1"/>
  <c r="P112" i="9"/>
  <c r="L112" i="9"/>
  <c r="T112" i="9"/>
  <c r="H113" i="9"/>
  <c r="E113" i="9"/>
  <c r="Q113" i="9" s="1"/>
  <c r="F113" i="9"/>
  <c r="G113" i="9"/>
  <c r="N113" i="9" s="1"/>
  <c r="D113" i="9"/>
  <c r="I113" i="9"/>
  <c r="R113" i="9" s="1"/>
  <c r="J113" i="9"/>
  <c r="B113" i="9"/>
  <c r="U113" i="9"/>
  <c r="C113" i="9"/>
  <c r="M113" i="9" s="1"/>
  <c r="B111" i="6"/>
  <c r="J111" i="6" s="1"/>
  <c r="A112" i="6"/>
  <c r="A114" i="9" s="1"/>
  <c r="D111" i="4"/>
  <c r="D112" i="6" s="1"/>
  <c r="C111" i="4"/>
  <c r="C112" i="6" s="1"/>
  <c r="A112" i="4"/>
  <c r="I112" i="4" s="1"/>
  <c r="B111" i="4"/>
  <c r="B112" i="6" s="1"/>
  <c r="I112" i="6"/>
  <c r="H111" i="4"/>
  <c r="H112" i="6" s="1"/>
  <c r="E111" i="4"/>
  <c r="E112" i="6" s="1"/>
  <c r="G111" i="4"/>
  <c r="G112" i="6" s="1"/>
  <c r="F111" i="4"/>
  <c r="F112" i="6" s="1"/>
  <c r="F114" i="9" l="1"/>
  <c r="E114" i="9"/>
  <c r="Q114" i="9" s="1"/>
  <c r="G114" i="9"/>
  <c r="N114" i="9" s="1"/>
  <c r="H114" i="9"/>
  <c r="B114" i="9"/>
  <c r="C114" i="9"/>
  <c r="M114" i="9" s="1"/>
  <c r="U114" i="9"/>
  <c r="D114" i="9"/>
  <c r="I114" i="9"/>
  <c r="R114" i="9" s="1"/>
  <c r="J114" i="9"/>
  <c r="P113" i="9"/>
  <c r="T113" i="9"/>
  <c r="L113" i="9"/>
  <c r="J112" i="6"/>
  <c r="A113" i="6"/>
  <c r="A115" i="9" s="1"/>
  <c r="C112" i="4"/>
  <c r="C113" i="6" s="1"/>
  <c r="A113" i="4"/>
  <c r="I113" i="4" s="1"/>
  <c r="B112" i="4"/>
  <c r="I113" i="6"/>
  <c r="H112" i="4"/>
  <c r="H113" i="6" s="1"/>
  <c r="D112" i="4"/>
  <c r="D113" i="6" s="1"/>
  <c r="F112" i="4"/>
  <c r="F113" i="6" s="1"/>
  <c r="G112" i="4"/>
  <c r="G113" i="6" s="1"/>
  <c r="E112" i="4"/>
  <c r="E113" i="6" s="1"/>
  <c r="D115" i="9" l="1"/>
  <c r="F115" i="9"/>
  <c r="E115" i="9"/>
  <c r="Q115" i="9" s="1"/>
  <c r="J115" i="9"/>
  <c r="B115" i="9"/>
  <c r="C115" i="9"/>
  <c r="M115" i="9" s="1"/>
  <c r="G115" i="9"/>
  <c r="N115" i="9" s="1"/>
  <c r="U115" i="9"/>
  <c r="H115" i="9"/>
  <c r="I115" i="9"/>
  <c r="R115" i="9" s="1"/>
  <c r="P114" i="9"/>
  <c r="T114" i="9"/>
  <c r="L114" i="9"/>
  <c r="B113" i="6"/>
  <c r="J113" i="6" s="1"/>
  <c r="A114" i="4"/>
  <c r="I114" i="4" s="1"/>
  <c r="B113" i="4"/>
  <c r="B114" i="6" s="1"/>
  <c r="I114" i="6"/>
  <c r="H113" i="4"/>
  <c r="H114" i="6" s="1"/>
  <c r="G113" i="4"/>
  <c r="G114" i="6" s="1"/>
  <c r="A114" i="6"/>
  <c r="A116" i="9" s="1"/>
  <c r="C113" i="4"/>
  <c r="C114" i="6" s="1"/>
  <c r="F113" i="4"/>
  <c r="F114" i="6" s="1"/>
  <c r="E113" i="4"/>
  <c r="E114" i="6" s="1"/>
  <c r="D113" i="4"/>
  <c r="D114" i="6" s="1"/>
  <c r="B116" i="9" l="1"/>
  <c r="J116" i="9"/>
  <c r="U116" i="9"/>
  <c r="D116" i="9"/>
  <c r="C116" i="9"/>
  <c r="M116" i="9" s="1"/>
  <c r="F116" i="9"/>
  <c r="G116" i="9"/>
  <c r="N116" i="9" s="1"/>
  <c r="H116" i="9"/>
  <c r="E116" i="9"/>
  <c r="Q116" i="9" s="1"/>
  <c r="I116" i="9"/>
  <c r="R116" i="9" s="1"/>
  <c r="P115" i="9"/>
  <c r="L115" i="9"/>
  <c r="T115" i="9"/>
  <c r="J114" i="6"/>
  <c r="A115" i="6"/>
  <c r="A117" i="9" s="1"/>
  <c r="I115" i="6"/>
  <c r="H114" i="4"/>
  <c r="H115" i="6" s="1"/>
  <c r="G114" i="4"/>
  <c r="G115" i="6" s="1"/>
  <c r="F114" i="4"/>
  <c r="F115" i="6" s="1"/>
  <c r="B114" i="4"/>
  <c r="A115" i="4"/>
  <c r="I115" i="4" s="1"/>
  <c r="D114" i="4"/>
  <c r="D115" i="6" s="1"/>
  <c r="E114" i="4"/>
  <c r="E115" i="6" s="1"/>
  <c r="C114" i="4"/>
  <c r="C115" i="6" s="1"/>
  <c r="H117" i="9" l="1"/>
  <c r="B117" i="9"/>
  <c r="U117" i="9"/>
  <c r="I117" i="9"/>
  <c r="R117" i="9" s="1"/>
  <c r="J117" i="9"/>
  <c r="C117" i="9"/>
  <c r="M117" i="9" s="1"/>
  <c r="D117" i="9"/>
  <c r="F117" i="9"/>
  <c r="G117" i="9"/>
  <c r="N117" i="9" s="1"/>
  <c r="E117" i="9"/>
  <c r="Q117" i="9" s="1"/>
  <c r="L116" i="9"/>
  <c r="T116" i="9"/>
  <c r="P116" i="9"/>
  <c r="B115" i="6"/>
  <c r="J115" i="6" s="1"/>
  <c r="A116" i="6"/>
  <c r="A118" i="9" s="1"/>
  <c r="H115" i="4"/>
  <c r="H116" i="6" s="1"/>
  <c r="G115" i="4"/>
  <c r="G116" i="6" s="1"/>
  <c r="F115" i="4"/>
  <c r="F116" i="6" s="1"/>
  <c r="E115" i="4"/>
  <c r="E116" i="6" s="1"/>
  <c r="I116" i="6"/>
  <c r="D115" i="4"/>
  <c r="D116" i="6" s="1"/>
  <c r="C115" i="4"/>
  <c r="C116" i="6" s="1"/>
  <c r="B115" i="4"/>
  <c r="B116" i="6" s="1"/>
  <c r="A116" i="4"/>
  <c r="I116" i="4" s="1"/>
  <c r="F118" i="9" l="1"/>
  <c r="G118" i="9"/>
  <c r="N118" i="9" s="1"/>
  <c r="H118" i="9"/>
  <c r="I118" i="9"/>
  <c r="R118" i="9" s="1"/>
  <c r="J118" i="9"/>
  <c r="B118" i="9"/>
  <c r="C118" i="9"/>
  <c r="M118" i="9" s="1"/>
  <c r="D118" i="9"/>
  <c r="U118" i="9"/>
  <c r="E118" i="9"/>
  <c r="Q118" i="9" s="1"/>
  <c r="T117" i="9"/>
  <c r="P117" i="9"/>
  <c r="L117" i="9"/>
  <c r="J116" i="6"/>
  <c r="A117" i="6"/>
  <c r="A119" i="9" s="1"/>
  <c r="G116" i="4"/>
  <c r="G117" i="6" s="1"/>
  <c r="F116" i="4"/>
  <c r="F117" i="6" s="1"/>
  <c r="E116" i="4"/>
  <c r="E117" i="6" s="1"/>
  <c r="D116" i="4"/>
  <c r="D117" i="6" s="1"/>
  <c r="H116" i="4"/>
  <c r="H117" i="6" s="1"/>
  <c r="A117" i="4"/>
  <c r="I117" i="4" s="1"/>
  <c r="I117" i="6"/>
  <c r="B116" i="4"/>
  <c r="C116" i="4"/>
  <c r="C117" i="6" s="1"/>
  <c r="D119" i="9" l="1"/>
  <c r="E119" i="9"/>
  <c r="Q119" i="9" s="1"/>
  <c r="F119" i="9"/>
  <c r="B119" i="9"/>
  <c r="C119" i="9"/>
  <c r="M119" i="9" s="1"/>
  <c r="G119" i="9"/>
  <c r="N119" i="9" s="1"/>
  <c r="U119" i="9"/>
  <c r="I119" i="9"/>
  <c r="R119" i="9" s="1"/>
  <c r="J119" i="9"/>
  <c r="H119" i="9"/>
  <c r="P118" i="9"/>
  <c r="L118" i="9"/>
  <c r="T118" i="9"/>
  <c r="B117" i="6"/>
  <c r="J117" i="6" s="1"/>
  <c r="A118" i="6"/>
  <c r="A120" i="9" s="1"/>
  <c r="F117" i="4"/>
  <c r="F118" i="6" s="1"/>
  <c r="E117" i="4"/>
  <c r="E118" i="6" s="1"/>
  <c r="D117" i="4"/>
  <c r="D118" i="6" s="1"/>
  <c r="C117" i="4"/>
  <c r="C118" i="6" s="1"/>
  <c r="G117" i="4"/>
  <c r="G118" i="6" s="1"/>
  <c r="B117" i="4"/>
  <c r="B118" i="6" s="1"/>
  <c r="I118" i="6"/>
  <c r="A118" i="4"/>
  <c r="I118" i="4" s="1"/>
  <c r="H117" i="4"/>
  <c r="H118" i="6" s="1"/>
  <c r="D120" i="9" l="1"/>
  <c r="B120" i="9"/>
  <c r="J120" i="9"/>
  <c r="U120" i="9"/>
  <c r="C120" i="9"/>
  <c r="M120" i="9" s="1"/>
  <c r="I120" i="9"/>
  <c r="R120" i="9" s="1"/>
  <c r="E120" i="9"/>
  <c r="Q120" i="9" s="1"/>
  <c r="F120" i="9"/>
  <c r="G120" i="9"/>
  <c r="N120" i="9" s="1"/>
  <c r="H120" i="9"/>
  <c r="P119" i="9"/>
  <c r="T119" i="9"/>
  <c r="L119" i="9"/>
  <c r="J118" i="6"/>
  <c r="A119" i="6"/>
  <c r="A121" i="9" s="1"/>
  <c r="E118" i="4"/>
  <c r="E119" i="6" s="1"/>
  <c r="D118" i="4"/>
  <c r="D119" i="6" s="1"/>
  <c r="C118" i="4"/>
  <c r="C119" i="6" s="1"/>
  <c r="A119" i="4"/>
  <c r="I119" i="4" s="1"/>
  <c r="B118" i="4"/>
  <c r="I119" i="6"/>
  <c r="H118" i="4"/>
  <c r="H119" i="6" s="1"/>
  <c r="F118" i="4"/>
  <c r="F119" i="6" s="1"/>
  <c r="G118" i="4"/>
  <c r="G119" i="6" s="1"/>
  <c r="L120" i="9" l="1"/>
  <c r="P120" i="9"/>
  <c r="T120" i="9"/>
  <c r="H121" i="9"/>
  <c r="B121" i="9"/>
  <c r="U121" i="9"/>
  <c r="I121" i="9"/>
  <c r="R121" i="9" s="1"/>
  <c r="J121" i="9"/>
  <c r="E121" i="9"/>
  <c r="Q121" i="9" s="1"/>
  <c r="F121" i="9"/>
  <c r="G121" i="9"/>
  <c r="N121" i="9" s="1"/>
  <c r="C121" i="9"/>
  <c r="M121" i="9" s="1"/>
  <c r="D121" i="9"/>
  <c r="B119" i="6"/>
  <c r="J119" i="6" s="1"/>
  <c r="A120" i="6"/>
  <c r="A122" i="9" s="1"/>
  <c r="D119" i="4"/>
  <c r="D120" i="6" s="1"/>
  <c r="C119" i="4"/>
  <c r="C120" i="6" s="1"/>
  <c r="A120" i="4"/>
  <c r="I120" i="4" s="1"/>
  <c r="B119" i="4"/>
  <c r="B120" i="6" s="1"/>
  <c r="I120" i="6"/>
  <c r="E119" i="4"/>
  <c r="E120" i="6" s="1"/>
  <c r="G119" i="4"/>
  <c r="G120" i="6" s="1"/>
  <c r="H119" i="4"/>
  <c r="H120" i="6" s="1"/>
  <c r="F119" i="4"/>
  <c r="F120" i="6" s="1"/>
  <c r="T121" i="9" l="1"/>
  <c r="P121" i="9"/>
  <c r="L121" i="9"/>
  <c r="F122" i="9"/>
  <c r="G122" i="9"/>
  <c r="N122" i="9" s="1"/>
  <c r="H122" i="9"/>
  <c r="B122" i="9"/>
  <c r="C122" i="9"/>
  <c r="M122" i="9" s="1"/>
  <c r="E122" i="9"/>
  <c r="Q122" i="9" s="1"/>
  <c r="I122" i="9"/>
  <c r="R122" i="9" s="1"/>
  <c r="J122" i="9"/>
  <c r="D122" i="9"/>
  <c r="U122" i="9"/>
  <c r="J120" i="6"/>
  <c r="A121" i="6"/>
  <c r="A123" i="9" s="1"/>
  <c r="C120" i="4"/>
  <c r="C121" i="6" s="1"/>
  <c r="A121" i="4"/>
  <c r="I121" i="4" s="1"/>
  <c r="B120" i="4"/>
  <c r="B121" i="6" s="1"/>
  <c r="I121" i="6"/>
  <c r="H120" i="4"/>
  <c r="H121" i="6" s="1"/>
  <c r="G120" i="4"/>
  <c r="G121" i="6" s="1"/>
  <c r="F120" i="4"/>
  <c r="F121" i="6" s="1"/>
  <c r="D120" i="4"/>
  <c r="D121" i="6" s="1"/>
  <c r="E120" i="4"/>
  <c r="E121" i="6" s="1"/>
  <c r="F123" i="9" l="1"/>
  <c r="D123" i="9"/>
  <c r="E123" i="9"/>
  <c r="Q123" i="9" s="1"/>
  <c r="H123" i="9"/>
  <c r="I123" i="9"/>
  <c r="R123" i="9" s="1"/>
  <c r="J123" i="9"/>
  <c r="B123" i="9"/>
  <c r="C123" i="9"/>
  <c r="M123" i="9" s="1"/>
  <c r="G123" i="9"/>
  <c r="N123" i="9" s="1"/>
  <c r="U123" i="9"/>
  <c r="P122" i="9"/>
  <c r="T122" i="9"/>
  <c r="L122" i="9"/>
  <c r="J121" i="6"/>
  <c r="A122" i="6"/>
  <c r="A124" i="9" s="1"/>
  <c r="A122" i="4"/>
  <c r="I122" i="4" s="1"/>
  <c r="B121" i="4"/>
  <c r="B122" i="6" s="1"/>
  <c r="I122" i="6"/>
  <c r="H121" i="4"/>
  <c r="H122" i="6" s="1"/>
  <c r="G121" i="4"/>
  <c r="G122" i="6" s="1"/>
  <c r="C121" i="4"/>
  <c r="C122" i="6" s="1"/>
  <c r="E121" i="4"/>
  <c r="E122" i="6" s="1"/>
  <c r="D121" i="4"/>
  <c r="D122" i="6" s="1"/>
  <c r="F121" i="4"/>
  <c r="F122" i="6" s="1"/>
  <c r="P123" i="9" l="1"/>
  <c r="T123" i="9"/>
  <c r="L123" i="9"/>
  <c r="B124" i="9"/>
  <c r="J124" i="9"/>
  <c r="U124" i="9"/>
  <c r="D124" i="9"/>
  <c r="C124" i="9"/>
  <c r="M124" i="9" s="1"/>
  <c r="E124" i="9"/>
  <c r="Q124" i="9" s="1"/>
  <c r="F124" i="9"/>
  <c r="H124" i="9"/>
  <c r="I124" i="9"/>
  <c r="R124" i="9" s="1"/>
  <c r="G124" i="9"/>
  <c r="N124" i="9" s="1"/>
  <c r="J122" i="6"/>
  <c r="A123" i="6"/>
  <c r="A125" i="9" s="1"/>
  <c r="I123" i="6"/>
  <c r="H122" i="4"/>
  <c r="H123" i="6" s="1"/>
  <c r="G122" i="4"/>
  <c r="G123" i="6" s="1"/>
  <c r="F122" i="4"/>
  <c r="F123" i="6" s="1"/>
  <c r="A123" i="4"/>
  <c r="I123" i="4" s="1"/>
  <c r="B122" i="4"/>
  <c r="B123" i="6" s="1"/>
  <c r="E122" i="4"/>
  <c r="E123" i="6" s="1"/>
  <c r="D122" i="4"/>
  <c r="D123" i="6" s="1"/>
  <c r="C122" i="4"/>
  <c r="C123" i="6" s="1"/>
  <c r="L124" i="9" l="1"/>
  <c r="T124" i="9"/>
  <c r="P124" i="9"/>
  <c r="H125" i="9"/>
  <c r="B125" i="9"/>
  <c r="U125" i="9"/>
  <c r="I125" i="9"/>
  <c r="R125" i="9" s="1"/>
  <c r="J125" i="9"/>
  <c r="D125" i="9"/>
  <c r="E125" i="9"/>
  <c r="Q125" i="9" s="1"/>
  <c r="F125" i="9"/>
  <c r="C125" i="9"/>
  <c r="M125" i="9" s="1"/>
  <c r="G125" i="9"/>
  <c r="N125" i="9" s="1"/>
  <c r="J123" i="6"/>
  <c r="A124" i="6"/>
  <c r="A126" i="9" s="1"/>
  <c r="H123" i="4"/>
  <c r="H124" i="6" s="1"/>
  <c r="G123" i="4"/>
  <c r="G124" i="6" s="1"/>
  <c r="F123" i="4"/>
  <c r="F124" i="6" s="1"/>
  <c r="E123" i="4"/>
  <c r="E124" i="6" s="1"/>
  <c r="I124" i="6"/>
  <c r="A124" i="4"/>
  <c r="I124" i="4" s="1"/>
  <c r="C123" i="4"/>
  <c r="C124" i="6" s="1"/>
  <c r="B123" i="4"/>
  <c r="B124" i="6" s="1"/>
  <c r="D123" i="4"/>
  <c r="D124" i="6" s="1"/>
  <c r="T125" i="9" l="1"/>
  <c r="L125" i="9"/>
  <c r="P125" i="9"/>
  <c r="H126" i="9"/>
  <c r="F126" i="9"/>
  <c r="G126" i="9"/>
  <c r="N126" i="9" s="1"/>
  <c r="B126" i="9"/>
  <c r="D126" i="9"/>
  <c r="U126" i="9"/>
  <c r="E126" i="9"/>
  <c r="Q126" i="9" s="1"/>
  <c r="I126" i="9"/>
  <c r="R126" i="9" s="1"/>
  <c r="C126" i="9"/>
  <c r="M126" i="9" s="1"/>
  <c r="J126" i="9"/>
  <c r="A125" i="6"/>
  <c r="A127" i="9" s="1"/>
  <c r="G124" i="4"/>
  <c r="G125" i="6" s="1"/>
  <c r="F124" i="4"/>
  <c r="F125" i="6" s="1"/>
  <c r="E124" i="4"/>
  <c r="E125" i="6" s="1"/>
  <c r="D124" i="4"/>
  <c r="D125" i="6" s="1"/>
  <c r="H124" i="4"/>
  <c r="H125" i="6" s="1"/>
  <c r="C124" i="4"/>
  <c r="C125" i="6" s="1"/>
  <c r="B124" i="4"/>
  <c r="B125" i="6" s="1"/>
  <c r="A125" i="4"/>
  <c r="I125" i="4" s="1"/>
  <c r="I125" i="6"/>
  <c r="J124" i="6"/>
  <c r="I127" i="9" l="1"/>
  <c r="R127" i="9" s="1"/>
  <c r="B127" i="9"/>
  <c r="J127" i="9"/>
  <c r="U127" i="9"/>
  <c r="C127" i="9"/>
  <c r="M127" i="9" s="1"/>
  <c r="D127" i="9"/>
  <c r="E127" i="9"/>
  <c r="Q127" i="9" s="1"/>
  <c r="F127" i="9"/>
  <c r="G127" i="9"/>
  <c r="N127" i="9" s="1"/>
  <c r="H127" i="9"/>
  <c r="P126" i="9"/>
  <c r="L126" i="9"/>
  <c r="T126" i="9"/>
  <c r="J125" i="6"/>
  <c r="A126" i="6"/>
  <c r="A128" i="9" s="1"/>
  <c r="F125" i="4"/>
  <c r="F126" i="6" s="1"/>
  <c r="E125" i="4"/>
  <c r="E126" i="6" s="1"/>
  <c r="D125" i="4"/>
  <c r="D126" i="6" s="1"/>
  <c r="C125" i="4"/>
  <c r="C126" i="6" s="1"/>
  <c r="A126" i="4"/>
  <c r="I126" i="4" s="1"/>
  <c r="I126" i="6"/>
  <c r="G125" i="4"/>
  <c r="G126" i="6" s="1"/>
  <c r="H125" i="4"/>
  <c r="H126" i="6" s="1"/>
  <c r="B125" i="4"/>
  <c r="B126" i="6" s="1"/>
  <c r="G128" i="9" l="1"/>
  <c r="N128" i="9" s="1"/>
  <c r="H128" i="9"/>
  <c r="I128" i="9"/>
  <c r="R128" i="9" s="1"/>
  <c r="B128" i="9"/>
  <c r="J128" i="9"/>
  <c r="U128" i="9"/>
  <c r="C128" i="9"/>
  <c r="M128" i="9" s="1"/>
  <c r="D128" i="9"/>
  <c r="E128" i="9"/>
  <c r="Q128" i="9" s="1"/>
  <c r="F128" i="9"/>
  <c r="T127" i="9"/>
  <c r="L127" i="9"/>
  <c r="P127" i="9"/>
  <c r="A127" i="6"/>
  <c r="A129" i="9" s="1"/>
  <c r="E126" i="4"/>
  <c r="E127" i="6" s="1"/>
  <c r="D126" i="4"/>
  <c r="D127" i="6" s="1"/>
  <c r="C126" i="4"/>
  <c r="C127" i="6" s="1"/>
  <c r="A127" i="4"/>
  <c r="I127" i="4" s="1"/>
  <c r="B126" i="4"/>
  <c r="B127" i="6" s="1"/>
  <c r="F126" i="4"/>
  <c r="F127" i="6" s="1"/>
  <c r="H126" i="4"/>
  <c r="H127" i="6" s="1"/>
  <c r="I127" i="6"/>
  <c r="G126" i="4"/>
  <c r="G127" i="6" s="1"/>
  <c r="J126" i="6"/>
  <c r="T128" i="9" l="1"/>
  <c r="L128" i="9"/>
  <c r="P128" i="9"/>
  <c r="E129" i="9"/>
  <c r="Q129" i="9" s="1"/>
  <c r="F129" i="9"/>
  <c r="G129" i="9"/>
  <c r="N129" i="9" s="1"/>
  <c r="H129" i="9"/>
  <c r="I129" i="9"/>
  <c r="R129" i="9" s="1"/>
  <c r="B129" i="9"/>
  <c r="J129" i="9"/>
  <c r="U129" i="9"/>
  <c r="C129" i="9"/>
  <c r="M129" i="9" s="1"/>
  <c r="D129" i="9"/>
  <c r="J127" i="6"/>
  <c r="A128" i="6"/>
  <c r="A130" i="9" s="1"/>
  <c r="D127" i="4"/>
  <c r="D128" i="6" s="1"/>
  <c r="C127" i="4"/>
  <c r="C128" i="6" s="1"/>
  <c r="A128" i="4"/>
  <c r="I128" i="4" s="1"/>
  <c r="B127" i="4"/>
  <c r="B128" i="6" s="1"/>
  <c r="I128" i="6"/>
  <c r="E127" i="4"/>
  <c r="E128" i="6" s="1"/>
  <c r="H127" i="4"/>
  <c r="H128" i="6" s="1"/>
  <c r="G127" i="4"/>
  <c r="G128" i="6" s="1"/>
  <c r="F127" i="4"/>
  <c r="F128" i="6" s="1"/>
  <c r="C130" i="9" l="1"/>
  <c r="M130" i="9" s="1"/>
  <c r="D130" i="9"/>
  <c r="E130" i="9"/>
  <c r="Q130" i="9" s="1"/>
  <c r="F130" i="9"/>
  <c r="G130" i="9"/>
  <c r="N130" i="9" s="1"/>
  <c r="H130" i="9"/>
  <c r="I130" i="9"/>
  <c r="R130" i="9" s="1"/>
  <c r="B130" i="9"/>
  <c r="J130" i="9"/>
  <c r="U130" i="9"/>
  <c r="P129" i="9"/>
  <c r="T129" i="9"/>
  <c r="L129" i="9"/>
  <c r="J128" i="6"/>
  <c r="A129" i="6"/>
  <c r="A131" i="9" s="1"/>
  <c r="C128" i="4"/>
  <c r="C129" i="6" s="1"/>
  <c r="A129" i="4"/>
  <c r="I129" i="4" s="1"/>
  <c r="B128" i="4"/>
  <c r="B129" i="6" s="1"/>
  <c r="I129" i="6"/>
  <c r="H128" i="4"/>
  <c r="H129" i="6" s="1"/>
  <c r="D128" i="4"/>
  <c r="D129" i="6" s="1"/>
  <c r="F128" i="4"/>
  <c r="F129" i="6" s="1"/>
  <c r="G128" i="4"/>
  <c r="G129" i="6" s="1"/>
  <c r="E128" i="4"/>
  <c r="E129" i="6" s="1"/>
  <c r="I131" i="9" l="1"/>
  <c r="R131" i="9" s="1"/>
  <c r="B131" i="9"/>
  <c r="J131" i="9"/>
  <c r="U131" i="9"/>
  <c r="C131" i="9"/>
  <c r="M131" i="9" s="1"/>
  <c r="D131" i="9"/>
  <c r="E131" i="9"/>
  <c r="Q131" i="9" s="1"/>
  <c r="F131" i="9"/>
  <c r="G131" i="9"/>
  <c r="N131" i="9" s="1"/>
  <c r="H131" i="9"/>
  <c r="L130" i="9"/>
  <c r="P130" i="9"/>
  <c r="T130" i="9"/>
  <c r="J129" i="6"/>
  <c r="A130" i="6"/>
  <c r="A132" i="9" s="1"/>
  <c r="A130" i="4"/>
  <c r="I130" i="4" s="1"/>
  <c r="B129" i="4"/>
  <c r="B130" i="6" s="1"/>
  <c r="I130" i="6"/>
  <c r="H129" i="4"/>
  <c r="H130" i="6" s="1"/>
  <c r="G129" i="4"/>
  <c r="G130" i="6" s="1"/>
  <c r="F129" i="4"/>
  <c r="F130" i="6" s="1"/>
  <c r="E129" i="4"/>
  <c r="E130" i="6" s="1"/>
  <c r="C129" i="4"/>
  <c r="C130" i="6" s="1"/>
  <c r="D129" i="4"/>
  <c r="D130" i="6" s="1"/>
  <c r="G132" i="9" l="1"/>
  <c r="N132" i="9" s="1"/>
  <c r="H132" i="9"/>
  <c r="I132" i="9"/>
  <c r="R132" i="9" s="1"/>
  <c r="B132" i="9"/>
  <c r="J132" i="9"/>
  <c r="U132" i="9"/>
  <c r="C132" i="9"/>
  <c r="M132" i="9" s="1"/>
  <c r="D132" i="9"/>
  <c r="E132" i="9"/>
  <c r="Q132" i="9" s="1"/>
  <c r="F132" i="9"/>
  <c r="T131" i="9"/>
  <c r="L131" i="9"/>
  <c r="P131" i="9"/>
  <c r="J130" i="6"/>
  <c r="A131" i="6"/>
  <c r="A133" i="9" s="1"/>
  <c r="I131" i="6"/>
  <c r="H130" i="4"/>
  <c r="H131" i="6" s="1"/>
  <c r="G130" i="4"/>
  <c r="G131" i="6" s="1"/>
  <c r="F130" i="4"/>
  <c r="F131" i="6" s="1"/>
  <c r="B130" i="4"/>
  <c r="B131" i="6" s="1"/>
  <c r="A131" i="4"/>
  <c r="I131" i="4" s="1"/>
  <c r="D130" i="4"/>
  <c r="D131" i="6" s="1"/>
  <c r="E130" i="4"/>
  <c r="E131" i="6" s="1"/>
  <c r="C130" i="4"/>
  <c r="C131" i="6" s="1"/>
  <c r="E133" i="9" l="1"/>
  <c r="Q133" i="9" s="1"/>
  <c r="F133" i="9"/>
  <c r="G133" i="9"/>
  <c r="N133" i="9" s="1"/>
  <c r="H133" i="9"/>
  <c r="I133" i="9"/>
  <c r="R133" i="9" s="1"/>
  <c r="B133" i="9"/>
  <c r="J133" i="9"/>
  <c r="U133" i="9"/>
  <c r="C133" i="9"/>
  <c r="M133" i="9" s="1"/>
  <c r="D133" i="9"/>
  <c r="T132" i="9"/>
  <c r="L132" i="9"/>
  <c r="P132" i="9"/>
  <c r="J131" i="6"/>
  <c r="H131" i="4"/>
  <c r="H132" i="6" s="1"/>
  <c r="G131" i="4"/>
  <c r="G132" i="6" s="1"/>
  <c r="F131" i="4"/>
  <c r="F132" i="6" s="1"/>
  <c r="A132" i="6"/>
  <c r="A134" i="9" s="1"/>
  <c r="E131" i="4"/>
  <c r="E132" i="6" s="1"/>
  <c r="I132" i="6"/>
  <c r="D131" i="4"/>
  <c r="D132" i="6" s="1"/>
  <c r="C131" i="4"/>
  <c r="C132" i="6" s="1"/>
  <c r="B131" i="4"/>
  <c r="B132" i="6" s="1"/>
  <c r="A132" i="4"/>
  <c r="I132" i="4" s="1"/>
  <c r="P133" i="9" l="1"/>
  <c r="T133" i="9"/>
  <c r="L133" i="9"/>
  <c r="C134" i="9"/>
  <c r="M134" i="9" s="1"/>
  <c r="D134" i="9"/>
  <c r="E134" i="9"/>
  <c r="Q134" i="9" s="1"/>
  <c r="F134" i="9"/>
  <c r="G134" i="9"/>
  <c r="N134" i="9" s="1"/>
  <c r="H134" i="9"/>
  <c r="I134" i="9"/>
  <c r="R134" i="9" s="1"/>
  <c r="B134" i="9"/>
  <c r="J134" i="9"/>
  <c r="U134" i="9"/>
  <c r="A133" i="6"/>
  <c r="A135" i="9" s="1"/>
  <c r="G132" i="4"/>
  <c r="G133" i="6" s="1"/>
  <c r="F132" i="4"/>
  <c r="F133" i="6" s="1"/>
  <c r="E132" i="4"/>
  <c r="E133" i="6" s="1"/>
  <c r="D132" i="4"/>
  <c r="D133" i="6" s="1"/>
  <c r="A133" i="4"/>
  <c r="H132" i="4"/>
  <c r="H133" i="6" s="1"/>
  <c r="I133" i="6"/>
  <c r="B132" i="4"/>
  <c r="B133" i="6" s="1"/>
  <c r="C132" i="4"/>
  <c r="C133" i="6" s="1"/>
  <c r="J132" i="6"/>
  <c r="L134" i="9" l="1"/>
  <c r="P134" i="9"/>
  <c r="T134" i="9"/>
  <c r="I135" i="9"/>
  <c r="R135" i="9" s="1"/>
  <c r="B135" i="9"/>
  <c r="J135" i="9"/>
  <c r="U135" i="9"/>
  <c r="C135" i="9"/>
  <c r="M135" i="9" s="1"/>
  <c r="D135" i="9"/>
  <c r="E135" i="9"/>
  <c r="Q135" i="9" s="1"/>
  <c r="F135" i="9"/>
  <c r="G135" i="9"/>
  <c r="N135" i="9" s="1"/>
  <c r="H135" i="9"/>
  <c r="A134" i="4"/>
  <c r="A135" i="6" s="1"/>
  <c r="A137" i="9" s="1"/>
  <c r="I133" i="4"/>
  <c r="A134" i="6"/>
  <c r="A136" i="9" s="1"/>
  <c r="F133" i="4"/>
  <c r="F134" i="6" s="1"/>
  <c r="E133" i="4"/>
  <c r="E134" i="6" s="1"/>
  <c r="D133" i="4"/>
  <c r="D134" i="6" s="1"/>
  <c r="C133" i="4"/>
  <c r="C134" i="6" s="1"/>
  <c r="G133" i="4"/>
  <c r="G134" i="6" s="1"/>
  <c r="B133" i="4"/>
  <c r="B134" i="6" s="1"/>
  <c r="H133" i="4"/>
  <c r="H134" i="6" s="1"/>
  <c r="B8" i="2"/>
  <c r="B60" i="1" s="1"/>
  <c r="B7" i="2"/>
  <c r="J133" i="6"/>
  <c r="I134" i="4" l="1"/>
  <c r="F134" i="4"/>
  <c r="B134" i="4"/>
  <c r="B135" i="6" s="1"/>
  <c r="A135" i="4"/>
  <c r="A136" i="6" s="1"/>
  <c r="A138" i="9" s="1"/>
  <c r="F138" i="9" s="1"/>
  <c r="C134" i="4"/>
  <c r="C135" i="6" s="1"/>
  <c r="H134" i="4"/>
  <c r="H135" i="6" s="1"/>
  <c r="G134" i="4"/>
  <c r="G135" i="6" s="1"/>
  <c r="E134" i="4"/>
  <c r="E135" i="6" s="1"/>
  <c r="D134" i="4"/>
  <c r="D135" i="6" s="1"/>
  <c r="E137" i="9"/>
  <c r="Q137" i="9" s="1"/>
  <c r="F137" i="9"/>
  <c r="G137" i="9"/>
  <c r="N137" i="9" s="1"/>
  <c r="H137" i="9"/>
  <c r="I137" i="9"/>
  <c r="R137" i="9" s="1"/>
  <c r="B137" i="9"/>
  <c r="J137" i="9"/>
  <c r="U137" i="9"/>
  <c r="C137" i="9"/>
  <c r="M137" i="9" s="1"/>
  <c r="D137" i="9"/>
  <c r="T135" i="9"/>
  <c r="L135" i="9"/>
  <c r="P135" i="9"/>
  <c r="G136" i="9"/>
  <c r="N136" i="9" s="1"/>
  <c r="H136" i="9"/>
  <c r="I136" i="9"/>
  <c r="R136" i="9" s="1"/>
  <c r="B136" i="9"/>
  <c r="J136" i="9"/>
  <c r="U136" i="9"/>
  <c r="C136" i="9"/>
  <c r="M136" i="9" s="1"/>
  <c r="D136" i="9"/>
  <c r="E136" i="9"/>
  <c r="Q136" i="9" s="1"/>
  <c r="F136" i="9"/>
  <c r="I135" i="6"/>
  <c r="F135" i="6"/>
  <c r="B135" i="4"/>
  <c r="B136" i="6" s="1"/>
  <c r="C135" i="4"/>
  <c r="D135" i="4"/>
  <c r="E135" i="4"/>
  <c r="F135" i="4"/>
  <c r="F136" i="6" s="1"/>
  <c r="J134" i="6"/>
  <c r="I134" i="6"/>
  <c r="B61" i="1"/>
  <c r="I135" i="4" l="1"/>
  <c r="I136" i="6" s="1"/>
  <c r="H135" i="4"/>
  <c r="H136" i="6" s="1"/>
  <c r="E136" i="6"/>
  <c r="E138" i="9"/>
  <c r="Q138" i="9" s="1"/>
  <c r="C138" i="9"/>
  <c r="M138" i="9" s="1"/>
  <c r="C136" i="6"/>
  <c r="A136" i="4"/>
  <c r="A137" i="6" s="1"/>
  <c r="A139" i="9" s="1"/>
  <c r="I139" i="9" s="1"/>
  <c r="R139" i="9" s="1"/>
  <c r="D138" i="9"/>
  <c r="U138" i="9"/>
  <c r="G135" i="4"/>
  <c r="G136" i="6" s="1"/>
  <c r="J138" i="9"/>
  <c r="L138" i="9" s="1"/>
  <c r="B138" i="9"/>
  <c r="I138" i="9"/>
  <c r="R138" i="9" s="1"/>
  <c r="H138" i="9"/>
  <c r="G138" i="9"/>
  <c r="N138" i="9" s="1"/>
  <c r="D136" i="6"/>
  <c r="T136" i="9"/>
  <c r="L136" i="9"/>
  <c r="P136" i="9"/>
  <c r="P137" i="9"/>
  <c r="T137" i="9"/>
  <c r="L137" i="9"/>
  <c r="J135" i="6"/>
  <c r="J136" i="6" l="1"/>
  <c r="J139" i="9"/>
  <c r="P139" i="9" s="1"/>
  <c r="H136" i="4"/>
  <c r="H137" i="6" s="1"/>
  <c r="B139" i="9"/>
  <c r="I136" i="4"/>
  <c r="I137" i="6" s="1"/>
  <c r="U139" i="9"/>
  <c r="D136" i="4"/>
  <c r="D137" i="6" s="1"/>
  <c r="C136" i="4"/>
  <c r="C137" i="6" s="1"/>
  <c r="A137" i="4"/>
  <c r="A138" i="6" s="1"/>
  <c r="A140" i="9" s="1"/>
  <c r="I140" i="9" s="1"/>
  <c r="R140" i="9" s="1"/>
  <c r="B136" i="4"/>
  <c r="B137" i="6" s="1"/>
  <c r="F139" i="9"/>
  <c r="F136" i="4"/>
  <c r="F137" i="6" s="1"/>
  <c r="D139" i="9"/>
  <c r="H139" i="9"/>
  <c r="G136" i="4"/>
  <c r="G137" i="6" s="1"/>
  <c r="E136" i="4"/>
  <c r="E137" i="6" s="1"/>
  <c r="C139" i="9"/>
  <c r="M139" i="9" s="1"/>
  <c r="E139" i="9"/>
  <c r="Q139" i="9" s="1"/>
  <c r="T138" i="9"/>
  <c r="P138" i="9"/>
  <c r="G139" i="9"/>
  <c r="N139" i="9" s="1"/>
  <c r="L139" i="9" l="1"/>
  <c r="T139" i="9"/>
  <c r="E137" i="4"/>
  <c r="F140" i="9"/>
  <c r="D137" i="4"/>
  <c r="D138" i="6" s="1"/>
  <c r="F137" i="4"/>
  <c r="F138" i="6" s="1"/>
  <c r="C137" i="4"/>
  <c r="C138" i="6" s="1"/>
  <c r="H140" i="9"/>
  <c r="G140" i="9"/>
  <c r="N140" i="9" s="1"/>
  <c r="E140" i="9"/>
  <c r="Q140" i="9" s="1"/>
  <c r="D140" i="9"/>
  <c r="A138" i="4"/>
  <c r="A139" i="6" s="1"/>
  <c r="A141" i="9" s="1"/>
  <c r="J141" i="9" s="1"/>
  <c r="U140" i="9"/>
  <c r="J140" i="9"/>
  <c r="L140" i="9" s="1"/>
  <c r="I137" i="4"/>
  <c r="I138" i="6" s="1"/>
  <c r="C140" i="9"/>
  <c r="M140" i="9" s="1"/>
  <c r="B137" i="4"/>
  <c r="B138" i="6" s="1"/>
  <c r="B140" i="9"/>
  <c r="G137" i="4"/>
  <c r="G138" i="6" s="1"/>
  <c r="H137" i="4"/>
  <c r="H138" i="6" s="1"/>
  <c r="J137" i="6"/>
  <c r="E138" i="6"/>
  <c r="G141" i="9" l="1"/>
  <c r="N141" i="9" s="1"/>
  <c r="H141" i="9"/>
  <c r="F138" i="4"/>
  <c r="F139" i="6" s="1"/>
  <c r="E138" i="4"/>
  <c r="E139" i="6" s="1"/>
  <c r="D138" i="4"/>
  <c r="D139" i="6" s="1"/>
  <c r="H138" i="4"/>
  <c r="H139" i="6" s="1"/>
  <c r="C138" i="4"/>
  <c r="C139" i="6" s="1"/>
  <c r="I138" i="4"/>
  <c r="I139" i="6" s="1"/>
  <c r="I141" i="9"/>
  <c r="R141" i="9" s="1"/>
  <c r="T140" i="9"/>
  <c r="G138" i="4"/>
  <c r="G139" i="6" s="1"/>
  <c r="B141" i="9"/>
  <c r="J138" i="6"/>
  <c r="D141" i="9"/>
  <c r="F141" i="9"/>
  <c r="C141" i="9"/>
  <c r="M141" i="9" s="1"/>
  <c r="E141" i="9"/>
  <c r="Q141" i="9" s="1"/>
  <c r="A139" i="4"/>
  <c r="A140" i="6" s="1"/>
  <c r="A142" i="9" s="1"/>
  <c r="H142" i="9" s="1"/>
  <c r="U141" i="9"/>
  <c r="P140" i="9"/>
  <c r="B138" i="4"/>
  <c r="B139" i="6" s="1"/>
  <c r="P141" i="9"/>
  <c r="T141" i="9"/>
  <c r="L141" i="9"/>
  <c r="J139" i="6" l="1"/>
  <c r="E142" i="9"/>
  <c r="Q142" i="9" s="1"/>
  <c r="E139" i="4"/>
  <c r="E140" i="6" s="1"/>
  <c r="G142" i="9"/>
  <c r="N142" i="9" s="1"/>
  <c r="F142" i="9"/>
  <c r="C139" i="4"/>
  <c r="C140" i="6" s="1"/>
  <c r="A140" i="4"/>
  <c r="A141" i="6" s="1"/>
  <c r="A143" i="9" s="1"/>
  <c r="I143" i="9" s="1"/>
  <c r="R143" i="9" s="1"/>
  <c r="D139" i="4"/>
  <c r="D140" i="6" s="1"/>
  <c r="G139" i="4"/>
  <c r="G140" i="6" s="1"/>
  <c r="F139" i="4"/>
  <c r="F140" i="6" s="1"/>
  <c r="C142" i="9"/>
  <c r="M142" i="9" s="1"/>
  <c r="U142" i="9"/>
  <c r="D142" i="9"/>
  <c r="J142" i="9"/>
  <c r="P142" i="9" s="1"/>
  <c r="B139" i="4"/>
  <c r="B140" i="6" s="1"/>
  <c r="I142" i="9"/>
  <c r="R142" i="9" s="1"/>
  <c r="B142" i="9"/>
  <c r="I139" i="4"/>
  <c r="I140" i="6" s="1"/>
  <c r="H139" i="4"/>
  <c r="H140" i="6" s="1"/>
  <c r="B52" i="1"/>
  <c r="D140" i="4" l="1"/>
  <c r="B140" i="4"/>
  <c r="H140" i="4"/>
  <c r="H141" i="6" s="1"/>
  <c r="F140" i="4"/>
  <c r="F141" i="6" s="1"/>
  <c r="E140" i="4"/>
  <c r="E141" i="6" s="1"/>
  <c r="T142" i="9"/>
  <c r="J140" i="6"/>
  <c r="D141" i="6"/>
  <c r="C140" i="4"/>
  <c r="C141" i="6" s="1"/>
  <c r="L142" i="9"/>
  <c r="A141" i="4"/>
  <c r="A142" i="6" s="1"/>
  <c r="A144" i="9" s="1"/>
  <c r="D144" i="9" s="1"/>
  <c r="E143" i="9"/>
  <c r="Q143" i="9" s="1"/>
  <c r="I140" i="4"/>
  <c r="I141" i="6" s="1"/>
  <c r="B141" i="6"/>
  <c r="F143" i="9"/>
  <c r="D143" i="9"/>
  <c r="C143" i="9"/>
  <c r="M143" i="9" s="1"/>
  <c r="U143" i="9"/>
  <c r="J143" i="9"/>
  <c r="T143" i="9" s="1"/>
  <c r="H143" i="9"/>
  <c r="B143" i="9"/>
  <c r="G140" i="4"/>
  <c r="G141" i="6" s="1"/>
  <c r="G143" i="9"/>
  <c r="N143" i="9" s="1"/>
  <c r="D141" i="4"/>
  <c r="D142" i="6" s="1"/>
  <c r="C141" i="4" l="1"/>
  <c r="I141" i="4"/>
  <c r="F141" i="4"/>
  <c r="F142" i="6" s="1"/>
  <c r="E141" i="4"/>
  <c r="E142" i="6" s="1"/>
  <c r="C142" i="6"/>
  <c r="C144" i="9"/>
  <c r="M144" i="9" s="1"/>
  <c r="U144" i="9"/>
  <c r="A142" i="4"/>
  <c r="A143" i="6" s="1"/>
  <c r="A145" i="9" s="1"/>
  <c r="J145" i="9" s="1"/>
  <c r="J141" i="6"/>
  <c r="H141" i="4"/>
  <c r="H142" i="6" s="1"/>
  <c r="J144" i="9"/>
  <c r="T144" i="9" s="1"/>
  <c r="B141" i="4"/>
  <c r="B142" i="6" s="1"/>
  <c r="L143" i="9"/>
  <c r="I144" i="9"/>
  <c r="R144" i="9" s="1"/>
  <c r="I142" i="6"/>
  <c r="H144" i="9"/>
  <c r="E144" i="9"/>
  <c r="Q144" i="9" s="1"/>
  <c r="G144" i="9"/>
  <c r="N144" i="9" s="1"/>
  <c r="P143" i="9"/>
  <c r="B144" i="9"/>
  <c r="F144" i="9"/>
  <c r="G141" i="4"/>
  <c r="G142" i="6" s="1"/>
  <c r="A143" i="4" l="1"/>
  <c r="A144" i="6" s="1"/>
  <c r="A146" i="9" s="1"/>
  <c r="G146" i="9" s="1"/>
  <c r="N146" i="9" s="1"/>
  <c r="G145" i="9"/>
  <c r="N145" i="9" s="1"/>
  <c r="B142" i="4"/>
  <c r="B143" i="6" s="1"/>
  <c r="H142" i="4"/>
  <c r="H143" i="6" s="1"/>
  <c r="F142" i="4"/>
  <c r="F143" i="6" s="1"/>
  <c r="F145" i="9"/>
  <c r="E142" i="4"/>
  <c r="E143" i="6" s="1"/>
  <c r="D142" i="4"/>
  <c r="D143" i="6" s="1"/>
  <c r="C142" i="4"/>
  <c r="C143" i="6" s="1"/>
  <c r="D145" i="9"/>
  <c r="B145" i="9"/>
  <c r="I142" i="4"/>
  <c r="I143" i="6" s="1"/>
  <c r="H145" i="9"/>
  <c r="E145" i="9"/>
  <c r="Q145" i="9" s="1"/>
  <c r="C145" i="9"/>
  <c r="M145" i="9" s="1"/>
  <c r="G142" i="4"/>
  <c r="G143" i="6" s="1"/>
  <c r="I145" i="9"/>
  <c r="R145" i="9" s="1"/>
  <c r="U145" i="9"/>
  <c r="L144" i="9"/>
  <c r="P144" i="9"/>
  <c r="J142" i="6"/>
  <c r="C146" i="9"/>
  <c r="M146" i="9" s="1"/>
  <c r="D146" i="9"/>
  <c r="E146" i="9"/>
  <c r="Q146" i="9" s="1"/>
  <c r="F146" i="9"/>
  <c r="P145" i="9"/>
  <c r="T145" i="9"/>
  <c r="L145" i="9"/>
  <c r="B143" i="4"/>
  <c r="A144" i="4"/>
  <c r="A145" i="6" s="1"/>
  <c r="A147" i="9" s="1"/>
  <c r="C143" i="4"/>
  <c r="C144" i="6" s="1"/>
  <c r="D143" i="4"/>
  <c r="E143" i="4"/>
  <c r="F143" i="4"/>
  <c r="G143" i="4"/>
  <c r="H143" i="4"/>
  <c r="I143" i="4"/>
  <c r="F144" i="6" l="1"/>
  <c r="U146" i="9"/>
  <c r="J146" i="9"/>
  <c r="P146" i="9" s="1"/>
  <c r="B146" i="9"/>
  <c r="I146" i="9"/>
  <c r="R146" i="9" s="1"/>
  <c r="H146" i="9"/>
  <c r="E144" i="6"/>
  <c r="B144" i="6"/>
  <c r="I144" i="6"/>
  <c r="D144" i="6"/>
  <c r="H144" i="6"/>
  <c r="J143" i="6"/>
  <c r="G144" i="6"/>
  <c r="I147" i="9"/>
  <c r="R147" i="9" s="1"/>
  <c r="B147" i="9"/>
  <c r="J147" i="9"/>
  <c r="U147" i="9"/>
  <c r="C147" i="9"/>
  <c r="M147" i="9" s="1"/>
  <c r="D147" i="9"/>
  <c r="E147" i="9"/>
  <c r="Q147" i="9" s="1"/>
  <c r="F147" i="9"/>
  <c r="G147" i="9"/>
  <c r="N147" i="9" s="1"/>
  <c r="H147" i="9"/>
  <c r="L146" i="9"/>
  <c r="I144" i="4"/>
  <c r="I145" i="6" s="1"/>
  <c r="B144" i="4"/>
  <c r="B145" i="6" s="1"/>
  <c r="A145" i="4"/>
  <c r="A146" i="6" s="1"/>
  <c r="A148" i="9" s="1"/>
  <c r="C144" i="4"/>
  <c r="C145" i="6" s="1"/>
  <c r="D144" i="4"/>
  <c r="D145" i="6" s="1"/>
  <c r="E144" i="4"/>
  <c r="E145" i="6" s="1"/>
  <c r="F144" i="4"/>
  <c r="F145" i="6" s="1"/>
  <c r="G144" i="4"/>
  <c r="G145" i="6" s="1"/>
  <c r="H144" i="4"/>
  <c r="H145" i="6" s="1"/>
  <c r="T146" i="9" l="1"/>
  <c r="J144" i="6"/>
  <c r="T147" i="9"/>
  <c r="L147" i="9"/>
  <c r="P147" i="9"/>
  <c r="G148" i="9"/>
  <c r="N148" i="9" s="1"/>
  <c r="H148" i="9"/>
  <c r="I148" i="9"/>
  <c r="R148" i="9" s="1"/>
  <c r="B148" i="9"/>
  <c r="J148" i="9"/>
  <c r="U148" i="9"/>
  <c r="C148" i="9"/>
  <c r="M148" i="9" s="1"/>
  <c r="D148" i="9"/>
  <c r="E148" i="9"/>
  <c r="Q148" i="9" s="1"/>
  <c r="F148" i="9"/>
  <c r="J145" i="6"/>
  <c r="H145" i="4"/>
  <c r="H146" i="6" s="1"/>
  <c r="I145" i="4"/>
  <c r="I146" i="6" s="1"/>
  <c r="B145" i="4"/>
  <c r="B146" i="6" s="1"/>
  <c r="A146" i="4"/>
  <c r="A147" i="6" s="1"/>
  <c r="A149" i="9" s="1"/>
  <c r="C145" i="4"/>
  <c r="C146" i="6" s="1"/>
  <c r="D145" i="4"/>
  <c r="D146" i="6" s="1"/>
  <c r="E145" i="4"/>
  <c r="E146" i="6" s="1"/>
  <c r="F145" i="4"/>
  <c r="F146" i="6" s="1"/>
  <c r="G145" i="4"/>
  <c r="G146" i="6" s="1"/>
  <c r="T148" i="9" l="1"/>
  <c r="L148" i="9"/>
  <c r="P148" i="9"/>
  <c r="E149" i="9"/>
  <c r="Q149" i="9" s="1"/>
  <c r="F149" i="9"/>
  <c r="G149" i="9"/>
  <c r="N149" i="9" s="1"/>
  <c r="H149" i="9"/>
  <c r="I149" i="9"/>
  <c r="R149" i="9" s="1"/>
  <c r="B149" i="9"/>
  <c r="J149" i="9"/>
  <c r="U149" i="9"/>
  <c r="C149" i="9"/>
  <c r="M149" i="9" s="1"/>
  <c r="D149" i="9"/>
  <c r="J146" i="6"/>
  <c r="G146" i="4"/>
  <c r="G147" i="6" s="1"/>
  <c r="H146" i="4"/>
  <c r="H147" i="6" s="1"/>
  <c r="I146" i="4"/>
  <c r="I147" i="6" s="1"/>
  <c r="B146" i="4"/>
  <c r="B147" i="6" s="1"/>
  <c r="A147" i="4"/>
  <c r="A148" i="6" s="1"/>
  <c r="A150" i="9" s="1"/>
  <c r="C146" i="4"/>
  <c r="C147" i="6" s="1"/>
  <c r="D146" i="4"/>
  <c r="D147" i="6" s="1"/>
  <c r="E146" i="4"/>
  <c r="E147" i="6" s="1"/>
  <c r="F146" i="4"/>
  <c r="F147" i="6" s="1"/>
  <c r="C150" i="9" l="1"/>
  <c r="M150" i="9" s="1"/>
  <c r="D150" i="9"/>
  <c r="E150" i="9"/>
  <c r="Q150" i="9" s="1"/>
  <c r="F150" i="9"/>
  <c r="G150" i="9"/>
  <c r="N150" i="9" s="1"/>
  <c r="H150" i="9"/>
  <c r="I150" i="9"/>
  <c r="R150" i="9" s="1"/>
  <c r="B150" i="9"/>
  <c r="J150" i="9"/>
  <c r="U150" i="9"/>
  <c r="P149" i="9"/>
  <c r="T149" i="9"/>
  <c r="L149" i="9"/>
  <c r="J147" i="6"/>
  <c r="F147" i="4"/>
  <c r="F148" i="6" s="1"/>
  <c r="G147" i="4"/>
  <c r="G148" i="6" s="1"/>
  <c r="H147" i="4"/>
  <c r="H148" i="6" s="1"/>
  <c r="I147" i="4"/>
  <c r="I148" i="6" s="1"/>
  <c r="B147" i="4"/>
  <c r="B148" i="6" s="1"/>
  <c r="A148" i="4"/>
  <c r="A149" i="6" s="1"/>
  <c r="A151" i="9" s="1"/>
  <c r="C147" i="4"/>
  <c r="C148" i="6" s="1"/>
  <c r="D147" i="4"/>
  <c r="D148" i="6" s="1"/>
  <c r="E147" i="4"/>
  <c r="E148" i="6" s="1"/>
  <c r="I151" i="9" l="1"/>
  <c r="R151" i="9" s="1"/>
  <c r="B151" i="9"/>
  <c r="J151" i="9"/>
  <c r="U151" i="9"/>
  <c r="C151" i="9"/>
  <c r="M151" i="9" s="1"/>
  <c r="D151" i="9"/>
  <c r="E151" i="9"/>
  <c r="Q151" i="9" s="1"/>
  <c r="F151" i="9"/>
  <c r="G151" i="9"/>
  <c r="N151" i="9" s="1"/>
  <c r="H151" i="9"/>
  <c r="L150" i="9"/>
  <c r="P150" i="9"/>
  <c r="T150" i="9"/>
  <c r="J148" i="6"/>
  <c r="E148" i="4"/>
  <c r="E149" i="6" s="1"/>
  <c r="F148" i="4"/>
  <c r="F149" i="6" s="1"/>
  <c r="G148" i="4"/>
  <c r="G149" i="6" s="1"/>
  <c r="H148" i="4"/>
  <c r="H149" i="6" s="1"/>
  <c r="I148" i="4"/>
  <c r="I149" i="6" s="1"/>
  <c r="B148" i="4"/>
  <c r="B149" i="6" s="1"/>
  <c r="A149" i="4"/>
  <c r="A150" i="6" s="1"/>
  <c r="A152" i="9" s="1"/>
  <c r="C148" i="4"/>
  <c r="C149" i="6" s="1"/>
  <c r="D148" i="4"/>
  <c r="D149" i="6" s="1"/>
  <c r="G152" i="9" l="1"/>
  <c r="N152" i="9" s="1"/>
  <c r="H152" i="9"/>
  <c r="I152" i="9"/>
  <c r="R152" i="9" s="1"/>
  <c r="B152" i="9"/>
  <c r="J152" i="9"/>
  <c r="U152" i="9"/>
  <c r="C152" i="9"/>
  <c r="M152" i="9" s="1"/>
  <c r="D152" i="9"/>
  <c r="E152" i="9"/>
  <c r="Q152" i="9" s="1"/>
  <c r="F152" i="9"/>
  <c r="T151" i="9"/>
  <c r="L151" i="9"/>
  <c r="P151" i="9"/>
  <c r="J149" i="6"/>
  <c r="D149" i="4"/>
  <c r="D150" i="6" s="1"/>
  <c r="E149" i="4"/>
  <c r="E150" i="6" s="1"/>
  <c r="F149" i="4"/>
  <c r="F150" i="6" s="1"/>
  <c r="G149" i="4"/>
  <c r="G150" i="6" s="1"/>
  <c r="H149" i="4"/>
  <c r="H150" i="6" s="1"/>
  <c r="I149" i="4"/>
  <c r="I150" i="6" s="1"/>
  <c r="B149" i="4"/>
  <c r="B150" i="6" s="1"/>
  <c r="A150" i="4"/>
  <c r="A151" i="6" s="1"/>
  <c r="A153" i="9" s="1"/>
  <c r="C149" i="4"/>
  <c r="C150" i="6" s="1"/>
  <c r="T152" i="9" l="1"/>
  <c r="L152" i="9"/>
  <c r="P152" i="9"/>
  <c r="E153" i="9"/>
  <c r="Q153" i="9" s="1"/>
  <c r="F153" i="9"/>
  <c r="G153" i="9"/>
  <c r="N153" i="9" s="1"/>
  <c r="H153" i="9"/>
  <c r="I153" i="9"/>
  <c r="R153" i="9" s="1"/>
  <c r="B153" i="9"/>
  <c r="J153" i="9"/>
  <c r="U153" i="9"/>
  <c r="C153" i="9"/>
  <c r="M153" i="9" s="1"/>
  <c r="D153" i="9"/>
  <c r="J150" i="6"/>
  <c r="C150" i="4"/>
  <c r="C151" i="6" s="1"/>
  <c r="D150" i="4"/>
  <c r="D151" i="6" s="1"/>
  <c r="E150" i="4"/>
  <c r="E151" i="6" s="1"/>
  <c r="F150" i="4"/>
  <c r="F151" i="6" s="1"/>
  <c r="G150" i="4"/>
  <c r="G151" i="6" s="1"/>
  <c r="H150" i="4"/>
  <c r="H151" i="6" s="1"/>
  <c r="I150" i="4"/>
  <c r="I151" i="6" s="1"/>
  <c r="B150" i="4"/>
  <c r="B151" i="6" s="1"/>
  <c r="A151" i="4"/>
  <c r="A152" i="6" s="1"/>
  <c r="A154" i="9" s="1"/>
  <c r="C154" i="9" l="1"/>
  <c r="M154" i="9" s="1"/>
  <c r="D154" i="9"/>
  <c r="E154" i="9"/>
  <c r="Q154" i="9" s="1"/>
  <c r="F154" i="9"/>
  <c r="G154" i="9"/>
  <c r="N154" i="9" s="1"/>
  <c r="H154" i="9"/>
  <c r="I154" i="9"/>
  <c r="R154" i="9" s="1"/>
  <c r="B154" i="9"/>
  <c r="J154" i="9"/>
  <c r="U154" i="9"/>
  <c r="P153" i="9"/>
  <c r="T153" i="9"/>
  <c r="L153" i="9"/>
  <c r="J151" i="6"/>
  <c r="B151" i="4"/>
  <c r="B152" i="6" s="1"/>
  <c r="A152" i="4"/>
  <c r="A153" i="6" s="1"/>
  <c r="A155" i="9" s="1"/>
  <c r="C151" i="4"/>
  <c r="C152" i="6" s="1"/>
  <c r="D151" i="4"/>
  <c r="D152" i="6" s="1"/>
  <c r="E151" i="4"/>
  <c r="E152" i="6" s="1"/>
  <c r="F151" i="4"/>
  <c r="F152" i="6" s="1"/>
  <c r="G151" i="4"/>
  <c r="G152" i="6" s="1"/>
  <c r="H151" i="4"/>
  <c r="H152" i="6" s="1"/>
  <c r="I151" i="4"/>
  <c r="I152" i="6" s="1"/>
  <c r="I155" i="9" l="1"/>
  <c r="R155" i="9" s="1"/>
  <c r="B155" i="9"/>
  <c r="J155" i="9"/>
  <c r="U155" i="9"/>
  <c r="C155" i="9"/>
  <c r="M155" i="9" s="1"/>
  <c r="D155" i="9"/>
  <c r="E155" i="9"/>
  <c r="Q155" i="9" s="1"/>
  <c r="F155" i="9"/>
  <c r="G155" i="9"/>
  <c r="N155" i="9" s="1"/>
  <c r="H155" i="9"/>
  <c r="L154" i="9"/>
  <c r="P154" i="9"/>
  <c r="T154" i="9"/>
  <c r="J152" i="6"/>
  <c r="I152" i="4"/>
  <c r="I153" i="6" s="1"/>
  <c r="B152" i="4"/>
  <c r="B153" i="6" s="1"/>
  <c r="A153" i="4"/>
  <c r="A154" i="6" s="1"/>
  <c r="A156" i="9" s="1"/>
  <c r="C152" i="4"/>
  <c r="C153" i="6" s="1"/>
  <c r="D152" i="4"/>
  <c r="D153" i="6" s="1"/>
  <c r="E152" i="4"/>
  <c r="E153" i="6" s="1"/>
  <c r="F152" i="4"/>
  <c r="F153" i="6" s="1"/>
  <c r="G152" i="4"/>
  <c r="G153" i="6" s="1"/>
  <c r="H152" i="4"/>
  <c r="H153" i="6" s="1"/>
  <c r="T155" i="9" l="1"/>
  <c r="L155" i="9"/>
  <c r="P155" i="9"/>
  <c r="G156" i="9"/>
  <c r="N156" i="9" s="1"/>
  <c r="H156" i="9"/>
  <c r="I156" i="9"/>
  <c r="R156" i="9" s="1"/>
  <c r="B156" i="9"/>
  <c r="J156" i="9"/>
  <c r="U156" i="9"/>
  <c r="C156" i="9"/>
  <c r="M156" i="9" s="1"/>
  <c r="D156" i="9"/>
  <c r="E156" i="9"/>
  <c r="Q156" i="9" s="1"/>
  <c r="F156" i="9"/>
  <c r="J153" i="6"/>
  <c r="H153" i="4"/>
  <c r="H154" i="6" s="1"/>
  <c r="I153" i="4"/>
  <c r="I154" i="6" s="1"/>
  <c r="B153" i="4"/>
  <c r="B154" i="6" s="1"/>
  <c r="A154" i="4"/>
  <c r="A155" i="6" s="1"/>
  <c r="A157" i="9" s="1"/>
  <c r="C153" i="4"/>
  <c r="C154" i="6" s="1"/>
  <c r="D153" i="4"/>
  <c r="D154" i="6" s="1"/>
  <c r="E153" i="4"/>
  <c r="E154" i="6" s="1"/>
  <c r="F153" i="4"/>
  <c r="F154" i="6" s="1"/>
  <c r="G153" i="4"/>
  <c r="G154" i="6" s="1"/>
  <c r="T156" i="9" l="1"/>
  <c r="L156" i="9"/>
  <c r="P156" i="9"/>
  <c r="E157" i="9"/>
  <c r="Q157" i="9" s="1"/>
  <c r="F157" i="9"/>
  <c r="G157" i="9"/>
  <c r="N157" i="9" s="1"/>
  <c r="H157" i="9"/>
  <c r="I157" i="9"/>
  <c r="R157" i="9" s="1"/>
  <c r="B157" i="9"/>
  <c r="J157" i="9"/>
  <c r="U157" i="9"/>
  <c r="C157" i="9"/>
  <c r="M157" i="9" s="1"/>
  <c r="D157" i="9"/>
  <c r="J154" i="6"/>
  <c r="G154" i="4"/>
  <c r="G155" i="6" s="1"/>
  <c r="H154" i="4"/>
  <c r="H155" i="6" s="1"/>
  <c r="I154" i="4"/>
  <c r="I155" i="6" s="1"/>
  <c r="B154" i="4"/>
  <c r="B155" i="6" s="1"/>
  <c r="A155" i="4"/>
  <c r="A156" i="6" s="1"/>
  <c r="A158" i="9" s="1"/>
  <c r="C154" i="4"/>
  <c r="C155" i="6" s="1"/>
  <c r="D154" i="4"/>
  <c r="D155" i="6" s="1"/>
  <c r="E154" i="4"/>
  <c r="E155" i="6" s="1"/>
  <c r="F154" i="4"/>
  <c r="F155" i="6" s="1"/>
  <c r="C158" i="9" l="1"/>
  <c r="M158" i="9" s="1"/>
  <c r="D158" i="9"/>
  <c r="E158" i="9"/>
  <c r="Q158" i="9" s="1"/>
  <c r="F158" i="9"/>
  <c r="G158" i="9"/>
  <c r="N158" i="9" s="1"/>
  <c r="H158" i="9"/>
  <c r="B158" i="9"/>
  <c r="I158" i="9"/>
  <c r="R158" i="9" s="1"/>
  <c r="J158" i="9"/>
  <c r="U158" i="9"/>
  <c r="P157" i="9"/>
  <c r="T157" i="9"/>
  <c r="L157" i="9"/>
  <c r="J155" i="6"/>
  <c r="F155" i="4"/>
  <c r="F156" i="6" s="1"/>
  <c r="G155" i="4"/>
  <c r="G156" i="6" s="1"/>
  <c r="H155" i="4"/>
  <c r="H156" i="6" s="1"/>
  <c r="I155" i="4"/>
  <c r="I156" i="6" s="1"/>
  <c r="B155" i="4"/>
  <c r="B156" i="6" s="1"/>
  <c r="A156" i="4"/>
  <c r="A157" i="6" s="1"/>
  <c r="A159" i="9" s="1"/>
  <c r="C155" i="4"/>
  <c r="C156" i="6" s="1"/>
  <c r="D155" i="4"/>
  <c r="D156" i="6" s="1"/>
  <c r="E155" i="4"/>
  <c r="E156" i="6" s="1"/>
  <c r="I159" i="9" l="1"/>
  <c r="R159" i="9" s="1"/>
  <c r="B159" i="9"/>
  <c r="J159" i="9"/>
  <c r="U159" i="9"/>
  <c r="C159" i="9"/>
  <c r="M159" i="9" s="1"/>
  <c r="D159" i="9"/>
  <c r="E159" i="9"/>
  <c r="Q159" i="9" s="1"/>
  <c r="F159" i="9"/>
  <c r="H159" i="9"/>
  <c r="G159" i="9"/>
  <c r="N159" i="9" s="1"/>
  <c r="L158" i="9"/>
  <c r="P158" i="9"/>
  <c r="T158" i="9"/>
  <c r="J156" i="6"/>
  <c r="E156" i="4"/>
  <c r="E157" i="6" s="1"/>
  <c r="F156" i="4"/>
  <c r="F157" i="6" s="1"/>
  <c r="G156" i="4"/>
  <c r="G157" i="6" s="1"/>
  <c r="H156" i="4"/>
  <c r="H157" i="6" s="1"/>
  <c r="I156" i="4"/>
  <c r="I157" i="6" s="1"/>
  <c r="B156" i="4"/>
  <c r="B157" i="6" s="1"/>
  <c r="A157" i="4"/>
  <c r="A158" i="6" s="1"/>
  <c r="A160" i="9" s="1"/>
  <c r="C156" i="4"/>
  <c r="C157" i="6" s="1"/>
  <c r="D156" i="4"/>
  <c r="D157" i="6" s="1"/>
  <c r="G160" i="9" l="1"/>
  <c r="N160" i="9" s="1"/>
  <c r="H160" i="9"/>
  <c r="I160" i="9"/>
  <c r="R160" i="9" s="1"/>
  <c r="B160" i="9"/>
  <c r="J160" i="9"/>
  <c r="U160" i="9"/>
  <c r="C160" i="9"/>
  <c r="M160" i="9" s="1"/>
  <c r="D160" i="9"/>
  <c r="E160" i="9"/>
  <c r="Q160" i="9" s="1"/>
  <c r="F160" i="9"/>
  <c r="T159" i="9"/>
  <c r="L159" i="9"/>
  <c r="P159" i="9"/>
  <c r="J157" i="6"/>
  <c r="D157" i="4"/>
  <c r="D158" i="6" s="1"/>
  <c r="E157" i="4"/>
  <c r="E158" i="6" s="1"/>
  <c r="F157" i="4"/>
  <c r="F158" i="6" s="1"/>
  <c r="G157" i="4"/>
  <c r="G158" i="6" s="1"/>
  <c r="H157" i="4"/>
  <c r="H158" i="6" s="1"/>
  <c r="I157" i="4"/>
  <c r="I158" i="6" s="1"/>
  <c r="B157" i="4"/>
  <c r="B158" i="6" s="1"/>
  <c r="A158" i="4"/>
  <c r="A159" i="6" s="1"/>
  <c r="A161" i="9" s="1"/>
  <c r="C157" i="4"/>
  <c r="C158" i="6" s="1"/>
  <c r="T160" i="9" l="1"/>
  <c r="L160" i="9"/>
  <c r="P160" i="9"/>
  <c r="E161" i="9"/>
  <c r="Q161" i="9" s="1"/>
  <c r="F161" i="9"/>
  <c r="G161" i="9"/>
  <c r="N161" i="9" s="1"/>
  <c r="H161" i="9"/>
  <c r="I161" i="9"/>
  <c r="R161" i="9" s="1"/>
  <c r="B161" i="9"/>
  <c r="J161" i="9"/>
  <c r="U161" i="9"/>
  <c r="D161" i="9"/>
  <c r="C161" i="9"/>
  <c r="M161" i="9" s="1"/>
  <c r="J158" i="6"/>
  <c r="C158" i="4"/>
  <c r="C159" i="6" s="1"/>
  <c r="D158" i="4"/>
  <c r="D159" i="6" s="1"/>
  <c r="E158" i="4"/>
  <c r="E159" i="6" s="1"/>
  <c r="F158" i="4"/>
  <c r="F159" i="6" s="1"/>
  <c r="G158" i="4"/>
  <c r="G159" i="6" s="1"/>
  <c r="H158" i="4"/>
  <c r="H159" i="6" s="1"/>
  <c r="I158" i="4"/>
  <c r="I159" i="6" s="1"/>
  <c r="A159" i="4"/>
  <c r="A160" i="6" s="1"/>
  <c r="A162" i="9" s="1"/>
  <c r="B158" i="4"/>
  <c r="B159" i="6" s="1"/>
  <c r="C162" i="9" l="1"/>
  <c r="M162" i="9" s="1"/>
  <c r="D162" i="9"/>
  <c r="E162" i="9"/>
  <c r="Q162" i="9" s="1"/>
  <c r="F162" i="9"/>
  <c r="G162" i="9"/>
  <c r="N162" i="9" s="1"/>
  <c r="H162" i="9"/>
  <c r="U162" i="9"/>
  <c r="B162" i="9"/>
  <c r="I162" i="9"/>
  <c r="R162" i="9" s="1"/>
  <c r="J162" i="9"/>
  <c r="P161" i="9"/>
  <c r="T161" i="9"/>
  <c r="L161" i="9"/>
  <c r="J159" i="6"/>
  <c r="B159" i="4"/>
  <c r="B160" i="6" s="1"/>
  <c r="A160" i="4"/>
  <c r="A161" i="6" s="1"/>
  <c r="A163" i="9" s="1"/>
  <c r="C159" i="4"/>
  <c r="C160" i="6" s="1"/>
  <c r="D159" i="4"/>
  <c r="D160" i="6" s="1"/>
  <c r="E159" i="4"/>
  <c r="E160" i="6" s="1"/>
  <c r="F159" i="4"/>
  <c r="F160" i="6" s="1"/>
  <c r="G159" i="4"/>
  <c r="G160" i="6" s="1"/>
  <c r="H159" i="4"/>
  <c r="H160" i="6" s="1"/>
  <c r="I159" i="4"/>
  <c r="I160" i="6" s="1"/>
  <c r="I163" i="9" l="1"/>
  <c r="R163" i="9" s="1"/>
  <c r="B163" i="9"/>
  <c r="J163" i="9"/>
  <c r="U163" i="9"/>
  <c r="C163" i="9"/>
  <c r="M163" i="9" s="1"/>
  <c r="D163" i="9"/>
  <c r="E163" i="9"/>
  <c r="Q163" i="9" s="1"/>
  <c r="F163" i="9"/>
  <c r="G163" i="9"/>
  <c r="N163" i="9" s="1"/>
  <c r="H163" i="9"/>
  <c r="L162" i="9"/>
  <c r="P162" i="9"/>
  <c r="T162" i="9"/>
  <c r="J160" i="6"/>
  <c r="I160" i="4"/>
  <c r="I161" i="6" s="1"/>
  <c r="B160" i="4"/>
  <c r="B161" i="6" s="1"/>
  <c r="A161" i="4"/>
  <c r="A162" i="6" s="1"/>
  <c r="A164" i="9" s="1"/>
  <c r="C160" i="4"/>
  <c r="C161" i="6" s="1"/>
  <c r="D160" i="4"/>
  <c r="D161" i="6" s="1"/>
  <c r="E160" i="4"/>
  <c r="E161" i="6" s="1"/>
  <c r="F160" i="4"/>
  <c r="F161" i="6" s="1"/>
  <c r="G160" i="4"/>
  <c r="G161" i="6" s="1"/>
  <c r="H160" i="4"/>
  <c r="H161" i="6" s="1"/>
  <c r="T163" i="9" l="1"/>
  <c r="L163" i="9"/>
  <c r="P163" i="9"/>
  <c r="G164" i="9"/>
  <c r="N164" i="9" s="1"/>
  <c r="H164" i="9"/>
  <c r="B164" i="9"/>
  <c r="J164" i="9"/>
  <c r="C164" i="9"/>
  <c r="M164" i="9" s="1"/>
  <c r="D164" i="9"/>
  <c r="E164" i="9"/>
  <c r="Q164" i="9" s="1"/>
  <c r="F164" i="9"/>
  <c r="U164" i="9"/>
  <c r="I164" i="9"/>
  <c r="R164" i="9" s="1"/>
  <c r="J161" i="6"/>
  <c r="H161" i="4"/>
  <c r="H162" i="6" s="1"/>
  <c r="I161" i="4"/>
  <c r="I162" i="6" s="1"/>
  <c r="B161" i="4"/>
  <c r="B162" i="6" s="1"/>
  <c r="A162" i="4"/>
  <c r="A163" i="6" s="1"/>
  <c r="A165" i="9" s="1"/>
  <c r="C161" i="4"/>
  <c r="C162" i="6" s="1"/>
  <c r="D161" i="4"/>
  <c r="D162" i="6" s="1"/>
  <c r="E161" i="4"/>
  <c r="E162" i="6" s="1"/>
  <c r="F161" i="4"/>
  <c r="F162" i="6" s="1"/>
  <c r="G161" i="4"/>
  <c r="G162" i="6" s="1"/>
  <c r="L164" i="9" l="1"/>
  <c r="P164" i="9"/>
  <c r="T164" i="9"/>
  <c r="B165" i="9"/>
  <c r="J165" i="9"/>
  <c r="U165" i="9"/>
  <c r="C165" i="9"/>
  <c r="M165" i="9" s="1"/>
  <c r="D165" i="9"/>
  <c r="E165" i="9"/>
  <c r="Q165" i="9" s="1"/>
  <c r="F165" i="9"/>
  <c r="G165" i="9"/>
  <c r="N165" i="9" s="1"/>
  <c r="H165" i="9"/>
  <c r="I165" i="9"/>
  <c r="R165" i="9" s="1"/>
  <c r="J162" i="6"/>
  <c r="G162" i="4"/>
  <c r="G163" i="6" s="1"/>
  <c r="H162" i="4"/>
  <c r="H163" i="6" s="1"/>
  <c r="I162" i="4"/>
  <c r="I163" i="6" s="1"/>
  <c r="B162" i="4"/>
  <c r="B163" i="6" s="1"/>
  <c r="A163" i="4"/>
  <c r="A164" i="6" s="1"/>
  <c r="A166" i="9" s="1"/>
  <c r="C162" i="4"/>
  <c r="C163" i="6" s="1"/>
  <c r="D162" i="4"/>
  <c r="D163" i="6" s="1"/>
  <c r="E162" i="4"/>
  <c r="E163" i="6" s="1"/>
  <c r="F162" i="4"/>
  <c r="F163" i="6" s="1"/>
  <c r="L165" i="9" l="1"/>
  <c r="P165" i="9"/>
  <c r="T165" i="9"/>
  <c r="H166" i="9"/>
  <c r="I166" i="9"/>
  <c r="R166" i="9" s="1"/>
  <c r="B166" i="9"/>
  <c r="J166" i="9"/>
  <c r="U166" i="9"/>
  <c r="C166" i="9"/>
  <c r="M166" i="9" s="1"/>
  <c r="D166" i="9"/>
  <c r="E166" i="9"/>
  <c r="Q166" i="9" s="1"/>
  <c r="F166" i="9"/>
  <c r="G166" i="9"/>
  <c r="N166" i="9" s="1"/>
  <c r="J163" i="6"/>
  <c r="F163" i="4"/>
  <c r="F164" i="6" s="1"/>
  <c r="G163" i="4"/>
  <c r="G164" i="6" s="1"/>
  <c r="H163" i="4"/>
  <c r="H164" i="6" s="1"/>
  <c r="I163" i="4"/>
  <c r="I164" i="6" s="1"/>
  <c r="B163" i="4"/>
  <c r="B164" i="6" s="1"/>
  <c r="A164" i="4"/>
  <c r="A165" i="6" s="1"/>
  <c r="A167" i="9" s="1"/>
  <c r="C163" i="4"/>
  <c r="C164" i="6" s="1"/>
  <c r="D163" i="4"/>
  <c r="D164" i="6" s="1"/>
  <c r="E163" i="4"/>
  <c r="E164" i="6" s="1"/>
  <c r="T166" i="9" l="1"/>
  <c r="L166" i="9"/>
  <c r="P166" i="9"/>
  <c r="F167" i="9"/>
  <c r="G167" i="9"/>
  <c r="N167" i="9" s="1"/>
  <c r="H167" i="9"/>
  <c r="I167" i="9"/>
  <c r="R167" i="9" s="1"/>
  <c r="B167" i="9"/>
  <c r="J167" i="9"/>
  <c r="U167" i="9"/>
  <c r="C167" i="9"/>
  <c r="M167" i="9" s="1"/>
  <c r="D167" i="9"/>
  <c r="E167" i="9"/>
  <c r="Q167" i="9" s="1"/>
  <c r="J164" i="6"/>
  <c r="E164" i="4"/>
  <c r="E165" i="6" s="1"/>
  <c r="F164" i="4"/>
  <c r="F165" i="6" s="1"/>
  <c r="G164" i="4"/>
  <c r="G165" i="6" s="1"/>
  <c r="H164" i="4"/>
  <c r="H165" i="6" s="1"/>
  <c r="I164" i="4"/>
  <c r="I165" i="6" s="1"/>
  <c r="B164" i="4"/>
  <c r="B165" i="6" s="1"/>
  <c r="A165" i="4"/>
  <c r="A166" i="6" s="1"/>
  <c r="A168" i="9" s="1"/>
  <c r="C164" i="4"/>
  <c r="C165" i="6" s="1"/>
  <c r="D164" i="4"/>
  <c r="D165" i="6" s="1"/>
  <c r="D168" i="9" l="1"/>
  <c r="E168" i="9"/>
  <c r="Q168" i="9" s="1"/>
  <c r="F168" i="9"/>
  <c r="G168" i="9"/>
  <c r="N168" i="9" s="1"/>
  <c r="H168" i="9"/>
  <c r="I168" i="9"/>
  <c r="R168" i="9" s="1"/>
  <c r="B168" i="9"/>
  <c r="J168" i="9"/>
  <c r="U168" i="9"/>
  <c r="C168" i="9"/>
  <c r="M168" i="9" s="1"/>
  <c r="P167" i="9"/>
  <c r="T167" i="9"/>
  <c r="L167" i="9"/>
  <c r="J165" i="6"/>
  <c r="D165" i="4"/>
  <c r="D166" i="6" s="1"/>
  <c r="E165" i="4"/>
  <c r="E166" i="6" s="1"/>
  <c r="F165" i="4"/>
  <c r="F166" i="6" s="1"/>
  <c r="G165" i="4"/>
  <c r="G166" i="6" s="1"/>
  <c r="H165" i="4"/>
  <c r="H166" i="6" s="1"/>
  <c r="I165" i="4"/>
  <c r="I166" i="6" s="1"/>
  <c r="B165" i="4"/>
  <c r="B166" i="6" s="1"/>
  <c r="A166" i="4"/>
  <c r="A167" i="6" s="1"/>
  <c r="A169" i="9" s="1"/>
  <c r="C165" i="4"/>
  <c r="C166" i="6" s="1"/>
  <c r="P168" i="9" l="1"/>
  <c r="T168" i="9"/>
  <c r="L168" i="9"/>
  <c r="B169" i="9"/>
  <c r="J169" i="9"/>
  <c r="U169" i="9"/>
  <c r="C169" i="9"/>
  <c r="M169" i="9" s="1"/>
  <c r="D169" i="9"/>
  <c r="E169" i="9"/>
  <c r="Q169" i="9" s="1"/>
  <c r="F169" i="9"/>
  <c r="G169" i="9"/>
  <c r="N169" i="9" s="1"/>
  <c r="H169" i="9"/>
  <c r="I169" i="9"/>
  <c r="R169" i="9" s="1"/>
  <c r="J166" i="6"/>
  <c r="C166" i="4"/>
  <c r="C167" i="6" s="1"/>
  <c r="D166" i="4"/>
  <c r="D167" i="6" s="1"/>
  <c r="E166" i="4"/>
  <c r="E167" i="6" s="1"/>
  <c r="F166" i="4"/>
  <c r="F167" i="6" s="1"/>
  <c r="G166" i="4"/>
  <c r="G167" i="6" s="1"/>
  <c r="H166" i="4"/>
  <c r="H167" i="6" s="1"/>
  <c r="I166" i="4"/>
  <c r="I167" i="6" s="1"/>
  <c r="B166" i="4"/>
  <c r="B167" i="6" s="1"/>
  <c r="A167" i="4"/>
  <c r="A168" i="6" s="1"/>
  <c r="A170" i="9" s="1"/>
  <c r="L169" i="9" l="1"/>
  <c r="P169" i="9"/>
  <c r="T169" i="9"/>
  <c r="H170" i="9"/>
  <c r="I170" i="9"/>
  <c r="R170" i="9" s="1"/>
  <c r="B170" i="9"/>
  <c r="J170" i="9"/>
  <c r="U170" i="9"/>
  <c r="C170" i="9"/>
  <c r="M170" i="9" s="1"/>
  <c r="D170" i="9"/>
  <c r="E170" i="9"/>
  <c r="Q170" i="9" s="1"/>
  <c r="F170" i="9"/>
  <c r="G170" i="9"/>
  <c r="N170" i="9" s="1"/>
  <c r="J167" i="6"/>
  <c r="B167" i="4"/>
  <c r="B168" i="6" s="1"/>
  <c r="A168" i="4"/>
  <c r="A169" i="6" s="1"/>
  <c r="A171" i="9" s="1"/>
  <c r="C167" i="4"/>
  <c r="C168" i="6" s="1"/>
  <c r="D167" i="4"/>
  <c r="D168" i="6" s="1"/>
  <c r="E167" i="4"/>
  <c r="E168" i="6" s="1"/>
  <c r="F167" i="4"/>
  <c r="F168" i="6" s="1"/>
  <c r="G167" i="4"/>
  <c r="G168" i="6" s="1"/>
  <c r="H167" i="4"/>
  <c r="H168" i="6" s="1"/>
  <c r="I167" i="4"/>
  <c r="I168" i="6" s="1"/>
  <c r="F171" i="9" l="1"/>
  <c r="G171" i="9"/>
  <c r="N171" i="9" s="1"/>
  <c r="H171" i="9"/>
  <c r="I171" i="9"/>
  <c r="R171" i="9" s="1"/>
  <c r="B171" i="9"/>
  <c r="J171" i="9"/>
  <c r="U171" i="9"/>
  <c r="C171" i="9"/>
  <c r="M171" i="9" s="1"/>
  <c r="D171" i="9"/>
  <c r="E171" i="9"/>
  <c r="Q171" i="9" s="1"/>
  <c r="T170" i="9"/>
  <c r="L170" i="9"/>
  <c r="P170" i="9"/>
  <c r="J168" i="6"/>
  <c r="I168" i="4"/>
  <c r="I169" i="6" s="1"/>
  <c r="B168" i="4"/>
  <c r="B169" i="6" s="1"/>
  <c r="A169" i="4"/>
  <c r="A170" i="6" s="1"/>
  <c r="A172" i="9" s="1"/>
  <c r="C168" i="4"/>
  <c r="C169" i="6" s="1"/>
  <c r="D168" i="4"/>
  <c r="D169" i="6" s="1"/>
  <c r="E168" i="4"/>
  <c r="E169" i="6" s="1"/>
  <c r="F168" i="4"/>
  <c r="F169" i="6" s="1"/>
  <c r="G168" i="4"/>
  <c r="G169" i="6" s="1"/>
  <c r="H168" i="4"/>
  <c r="H169" i="6" s="1"/>
  <c r="P171" i="9" l="1"/>
  <c r="T171" i="9"/>
  <c r="L171" i="9"/>
  <c r="D172" i="9"/>
  <c r="E172" i="9"/>
  <c r="Q172" i="9" s="1"/>
  <c r="F172" i="9"/>
  <c r="G172" i="9"/>
  <c r="N172" i="9" s="1"/>
  <c r="H172" i="9"/>
  <c r="I172" i="9"/>
  <c r="R172" i="9" s="1"/>
  <c r="B172" i="9"/>
  <c r="J172" i="9"/>
  <c r="U172" i="9"/>
  <c r="C172" i="9"/>
  <c r="M172" i="9" s="1"/>
  <c r="J169" i="6"/>
  <c r="H169" i="4"/>
  <c r="H170" i="6" s="1"/>
  <c r="I169" i="4"/>
  <c r="I170" i="6" s="1"/>
  <c r="B169" i="4"/>
  <c r="B170" i="6" s="1"/>
  <c r="A170" i="4"/>
  <c r="A171" i="6" s="1"/>
  <c r="A173" i="9" s="1"/>
  <c r="C169" i="4"/>
  <c r="C170" i="6" s="1"/>
  <c r="D169" i="4"/>
  <c r="D170" i="6" s="1"/>
  <c r="E169" i="4"/>
  <c r="E170" i="6" s="1"/>
  <c r="F169" i="4"/>
  <c r="F170" i="6" s="1"/>
  <c r="G169" i="4"/>
  <c r="G170" i="6" s="1"/>
  <c r="P172" i="9" l="1"/>
  <c r="T172" i="9"/>
  <c r="L172" i="9"/>
  <c r="B173" i="9"/>
  <c r="J173" i="9"/>
  <c r="U173" i="9"/>
  <c r="C173" i="9"/>
  <c r="M173" i="9" s="1"/>
  <c r="D173" i="9"/>
  <c r="E173" i="9"/>
  <c r="Q173" i="9" s="1"/>
  <c r="F173" i="9"/>
  <c r="G173" i="9"/>
  <c r="N173" i="9" s="1"/>
  <c r="H173" i="9"/>
  <c r="I173" i="9"/>
  <c r="R173" i="9" s="1"/>
  <c r="J170" i="6"/>
  <c r="G170" i="4"/>
  <c r="G171" i="6" s="1"/>
  <c r="H170" i="4"/>
  <c r="H171" i="6" s="1"/>
  <c r="I170" i="4"/>
  <c r="I171" i="6" s="1"/>
  <c r="B170" i="4"/>
  <c r="B171" i="6" s="1"/>
  <c r="A171" i="4"/>
  <c r="A172" i="6" s="1"/>
  <c r="A174" i="9" s="1"/>
  <c r="C170" i="4"/>
  <c r="C171" i="6" s="1"/>
  <c r="D170" i="4"/>
  <c r="D171" i="6" s="1"/>
  <c r="E170" i="4"/>
  <c r="E171" i="6" s="1"/>
  <c r="F170" i="4"/>
  <c r="F171" i="6" s="1"/>
  <c r="L173" i="9" l="1"/>
  <c r="P173" i="9"/>
  <c r="T173" i="9"/>
  <c r="H174" i="9"/>
  <c r="I174" i="9"/>
  <c r="R174" i="9" s="1"/>
  <c r="B174" i="9"/>
  <c r="J174" i="9"/>
  <c r="U174" i="9"/>
  <c r="C174" i="9"/>
  <c r="M174" i="9" s="1"/>
  <c r="D174" i="9"/>
  <c r="E174" i="9"/>
  <c r="Q174" i="9" s="1"/>
  <c r="F174" i="9"/>
  <c r="G174" i="9"/>
  <c r="N174" i="9" s="1"/>
  <c r="J171" i="6"/>
  <c r="F171" i="4"/>
  <c r="F172" i="6" s="1"/>
  <c r="G171" i="4"/>
  <c r="G172" i="6" s="1"/>
  <c r="H171" i="4"/>
  <c r="H172" i="6" s="1"/>
  <c r="I171" i="4"/>
  <c r="I172" i="6" s="1"/>
  <c r="B171" i="4"/>
  <c r="B172" i="6" s="1"/>
  <c r="A172" i="4"/>
  <c r="A173" i="6" s="1"/>
  <c r="A175" i="9" s="1"/>
  <c r="C171" i="4"/>
  <c r="C172" i="6" s="1"/>
  <c r="D171" i="4"/>
  <c r="D172" i="6" s="1"/>
  <c r="E171" i="4"/>
  <c r="E172" i="6" s="1"/>
  <c r="T174" i="9" l="1"/>
  <c r="L174" i="9"/>
  <c r="P174" i="9"/>
  <c r="F175" i="9"/>
  <c r="G175" i="9"/>
  <c r="N175" i="9" s="1"/>
  <c r="H175" i="9"/>
  <c r="I175" i="9"/>
  <c r="R175" i="9" s="1"/>
  <c r="B175" i="9"/>
  <c r="J175" i="9"/>
  <c r="U175" i="9"/>
  <c r="C175" i="9"/>
  <c r="M175" i="9" s="1"/>
  <c r="D175" i="9"/>
  <c r="E175" i="9"/>
  <c r="Q175" i="9" s="1"/>
  <c r="J172" i="6"/>
  <c r="E172" i="4"/>
  <c r="E173" i="6" s="1"/>
  <c r="F172" i="4"/>
  <c r="F173" i="6" s="1"/>
  <c r="G172" i="4"/>
  <c r="G173" i="6" s="1"/>
  <c r="H172" i="4"/>
  <c r="H173" i="6" s="1"/>
  <c r="I172" i="4"/>
  <c r="I173" i="6" s="1"/>
  <c r="B172" i="4"/>
  <c r="B173" i="6" s="1"/>
  <c r="A173" i="4"/>
  <c r="A174" i="6" s="1"/>
  <c r="A176" i="9" s="1"/>
  <c r="C172" i="4"/>
  <c r="C173" i="6" s="1"/>
  <c r="D172" i="4"/>
  <c r="D173" i="6" s="1"/>
  <c r="D176" i="9" l="1"/>
  <c r="E176" i="9"/>
  <c r="Q176" i="9" s="1"/>
  <c r="F176" i="9"/>
  <c r="G176" i="9"/>
  <c r="N176" i="9" s="1"/>
  <c r="H176" i="9"/>
  <c r="I176" i="9"/>
  <c r="R176" i="9" s="1"/>
  <c r="B176" i="9"/>
  <c r="J176" i="9"/>
  <c r="U176" i="9"/>
  <c r="C176" i="9"/>
  <c r="M176" i="9" s="1"/>
  <c r="P175" i="9"/>
  <c r="T175" i="9"/>
  <c r="L175" i="9"/>
  <c r="J173" i="6"/>
  <c r="D173" i="4"/>
  <c r="D174" i="6" s="1"/>
  <c r="E173" i="4"/>
  <c r="E174" i="6" s="1"/>
  <c r="F173" i="4"/>
  <c r="F174" i="6" s="1"/>
  <c r="G173" i="4"/>
  <c r="G174" i="6" s="1"/>
  <c r="H173" i="4"/>
  <c r="H174" i="6" s="1"/>
  <c r="I173" i="4"/>
  <c r="I174" i="6" s="1"/>
  <c r="B173" i="4"/>
  <c r="B174" i="6" s="1"/>
  <c r="A174" i="4"/>
  <c r="A175" i="6" s="1"/>
  <c r="A177" i="9" s="1"/>
  <c r="C173" i="4"/>
  <c r="C174" i="6" s="1"/>
  <c r="P176" i="9" l="1"/>
  <c r="T176" i="9"/>
  <c r="L176" i="9"/>
  <c r="B177" i="9"/>
  <c r="J177" i="9"/>
  <c r="U177" i="9"/>
  <c r="C177" i="9"/>
  <c r="M177" i="9" s="1"/>
  <c r="D177" i="9"/>
  <c r="E177" i="9"/>
  <c r="Q177" i="9" s="1"/>
  <c r="F177" i="9"/>
  <c r="G177" i="9"/>
  <c r="N177" i="9" s="1"/>
  <c r="H177" i="9"/>
  <c r="I177" i="9"/>
  <c r="R177" i="9" s="1"/>
  <c r="J174" i="6"/>
  <c r="C174" i="4"/>
  <c r="C175" i="6" s="1"/>
  <c r="D174" i="4"/>
  <c r="D175" i="6" s="1"/>
  <c r="E174" i="4"/>
  <c r="E175" i="6" s="1"/>
  <c r="F174" i="4"/>
  <c r="F175" i="6" s="1"/>
  <c r="G174" i="4"/>
  <c r="G175" i="6" s="1"/>
  <c r="H174" i="4"/>
  <c r="H175" i="6" s="1"/>
  <c r="I174" i="4"/>
  <c r="I175" i="6" s="1"/>
  <c r="A175" i="4"/>
  <c r="A176" i="6" s="1"/>
  <c r="A178" i="9" s="1"/>
  <c r="B174" i="4"/>
  <c r="B175" i="6" s="1"/>
  <c r="L177" i="9" l="1"/>
  <c r="P177" i="9"/>
  <c r="T177" i="9"/>
  <c r="H178" i="9"/>
  <c r="I178" i="9"/>
  <c r="R178" i="9" s="1"/>
  <c r="B178" i="9"/>
  <c r="J178" i="9"/>
  <c r="U178" i="9"/>
  <c r="C178" i="9"/>
  <c r="M178" i="9" s="1"/>
  <c r="D178" i="9"/>
  <c r="E178" i="9"/>
  <c r="Q178" i="9" s="1"/>
  <c r="F178" i="9"/>
  <c r="G178" i="9"/>
  <c r="N178" i="9" s="1"/>
  <c r="J175" i="6"/>
  <c r="B175" i="4"/>
  <c r="B176" i="6" s="1"/>
  <c r="A176" i="4"/>
  <c r="A177" i="6" s="1"/>
  <c r="A179" i="9" s="1"/>
  <c r="C175" i="4"/>
  <c r="C176" i="6" s="1"/>
  <c r="D175" i="4"/>
  <c r="D176" i="6" s="1"/>
  <c r="E175" i="4"/>
  <c r="E176" i="6" s="1"/>
  <c r="F175" i="4"/>
  <c r="F176" i="6" s="1"/>
  <c r="G175" i="4"/>
  <c r="G176" i="6" s="1"/>
  <c r="H175" i="4"/>
  <c r="H176" i="6" s="1"/>
  <c r="I175" i="4"/>
  <c r="I176" i="6" s="1"/>
  <c r="T178" i="9" l="1"/>
  <c r="L178" i="9"/>
  <c r="P178" i="9"/>
  <c r="F179" i="9"/>
  <c r="G179" i="9"/>
  <c r="N179" i="9" s="1"/>
  <c r="H179" i="9"/>
  <c r="I179" i="9"/>
  <c r="R179" i="9" s="1"/>
  <c r="B179" i="9"/>
  <c r="J179" i="9"/>
  <c r="U179" i="9"/>
  <c r="C179" i="9"/>
  <c r="M179" i="9" s="1"/>
  <c r="D179" i="9"/>
  <c r="E179" i="9"/>
  <c r="Q179" i="9" s="1"/>
  <c r="J176" i="6"/>
  <c r="I176" i="4"/>
  <c r="I177" i="6" s="1"/>
  <c r="B176" i="4"/>
  <c r="B177" i="6" s="1"/>
  <c r="A177" i="4"/>
  <c r="A178" i="6" s="1"/>
  <c r="A180" i="9" s="1"/>
  <c r="C176" i="4"/>
  <c r="C177" i="6" s="1"/>
  <c r="D176" i="4"/>
  <c r="D177" i="6" s="1"/>
  <c r="E176" i="4"/>
  <c r="E177" i="6" s="1"/>
  <c r="F176" i="4"/>
  <c r="F177" i="6" s="1"/>
  <c r="G176" i="4"/>
  <c r="G177" i="6" s="1"/>
  <c r="H176" i="4"/>
  <c r="H177" i="6" s="1"/>
  <c r="D180" i="9" l="1"/>
  <c r="E180" i="9"/>
  <c r="Q180" i="9" s="1"/>
  <c r="F180" i="9"/>
  <c r="G180" i="9"/>
  <c r="N180" i="9" s="1"/>
  <c r="H180" i="9"/>
  <c r="I180" i="9"/>
  <c r="R180" i="9" s="1"/>
  <c r="B180" i="9"/>
  <c r="J180" i="9"/>
  <c r="U180" i="9"/>
  <c r="C180" i="9"/>
  <c r="M180" i="9" s="1"/>
  <c r="P179" i="9"/>
  <c r="T179" i="9"/>
  <c r="L179" i="9"/>
  <c r="J177" i="6"/>
  <c r="H177" i="4"/>
  <c r="H178" i="6" s="1"/>
  <c r="I177" i="4"/>
  <c r="I178" i="6" s="1"/>
  <c r="B177" i="4"/>
  <c r="B178" i="6" s="1"/>
  <c r="A178" i="4"/>
  <c r="A179" i="6" s="1"/>
  <c r="A181" i="9" s="1"/>
  <c r="C177" i="4"/>
  <c r="C178" i="6" s="1"/>
  <c r="D177" i="4"/>
  <c r="D178" i="6" s="1"/>
  <c r="E177" i="4"/>
  <c r="E178" i="6" s="1"/>
  <c r="F177" i="4"/>
  <c r="F178" i="6" s="1"/>
  <c r="G177" i="4"/>
  <c r="G178" i="6" s="1"/>
  <c r="P180" i="9" l="1"/>
  <c r="T180" i="9"/>
  <c r="L180" i="9"/>
  <c r="B181" i="9"/>
  <c r="J181" i="9"/>
  <c r="U181" i="9"/>
  <c r="C181" i="9"/>
  <c r="M181" i="9" s="1"/>
  <c r="D181" i="9"/>
  <c r="E181" i="9"/>
  <c r="Q181" i="9" s="1"/>
  <c r="F181" i="9"/>
  <c r="G181" i="9"/>
  <c r="N181" i="9" s="1"/>
  <c r="H181" i="9"/>
  <c r="I181" i="9"/>
  <c r="R181" i="9" s="1"/>
  <c r="J178" i="6"/>
  <c r="G178" i="4"/>
  <c r="G179" i="6" s="1"/>
  <c r="H178" i="4"/>
  <c r="H179" i="6" s="1"/>
  <c r="I178" i="4"/>
  <c r="I179" i="6" s="1"/>
  <c r="B178" i="4"/>
  <c r="B179" i="6" s="1"/>
  <c r="A179" i="4"/>
  <c r="A180" i="6" s="1"/>
  <c r="A182" i="9" s="1"/>
  <c r="C178" i="4"/>
  <c r="C179" i="6" s="1"/>
  <c r="D178" i="4"/>
  <c r="D179" i="6" s="1"/>
  <c r="E178" i="4"/>
  <c r="E179" i="6" s="1"/>
  <c r="F178" i="4"/>
  <c r="F179" i="6" s="1"/>
  <c r="L181" i="9" l="1"/>
  <c r="P181" i="9"/>
  <c r="T181" i="9"/>
  <c r="H182" i="9"/>
  <c r="I182" i="9"/>
  <c r="R182" i="9" s="1"/>
  <c r="B182" i="9"/>
  <c r="J182" i="9"/>
  <c r="U182" i="9"/>
  <c r="C182" i="9"/>
  <c r="M182" i="9" s="1"/>
  <c r="D182" i="9"/>
  <c r="E182" i="9"/>
  <c r="Q182" i="9" s="1"/>
  <c r="F182" i="9"/>
  <c r="G182" i="9"/>
  <c r="N182" i="9" s="1"/>
  <c r="J179" i="6"/>
  <c r="F179" i="4"/>
  <c r="F180" i="6" s="1"/>
  <c r="G179" i="4"/>
  <c r="G180" i="6" s="1"/>
  <c r="H179" i="4"/>
  <c r="H180" i="6" s="1"/>
  <c r="I179" i="4"/>
  <c r="I180" i="6" s="1"/>
  <c r="B179" i="4"/>
  <c r="B180" i="6" s="1"/>
  <c r="A180" i="4"/>
  <c r="A181" i="6" s="1"/>
  <c r="A183" i="9" s="1"/>
  <c r="C179" i="4"/>
  <c r="C180" i="6" s="1"/>
  <c r="D179" i="4"/>
  <c r="D180" i="6" s="1"/>
  <c r="E179" i="4"/>
  <c r="E180" i="6" s="1"/>
  <c r="T182" i="9" l="1"/>
  <c r="L182" i="9"/>
  <c r="P182" i="9"/>
  <c r="F183" i="9"/>
  <c r="G183" i="9"/>
  <c r="N183" i="9" s="1"/>
  <c r="H183" i="9"/>
  <c r="I183" i="9"/>
  <c r="R183" i="9" s="1"/>
  <c r="B183" i="9"/>
  <c r="J183" i="9"/>
  <c r="U183" i="9"/>
  <c r="C183" i="9"/>
  <c r="M183" i="9" s="1"/>
  <c r="D183" i="9"/>
  <c r="E183" i="9"/>
  <c r="Q183" i="9" s="1"/>
  <c r="J180" i="6"/>
  <c r="E180" i="4"/>
  <c r="E181" i="6" s="1"/>
  <c r="F180" i="4"/>
  <c r="F181" i="6" s="1"/>
  <c r="G180" i="4"/>
  <c r="G181" i="6" s="1"/>
  <c r="H180" i="4"/>
  <c r="H181" i="6" s="1"/>
  <c r="I180" i="4"/>
  <c r="I181" i="6" s="1"/>
  <c r="B180" i="4"/>
  <c r="B181" i="6" s="1"/>
  <c r="A181" i="4"/>
  <c r="A182" i="6" s="1"/>
  <c r="A184" i="9" s="1"/>
  <c r="C180" i="4"/>
  <c r="C181" i="6" s="1"/>
  <c r="D180" i="4"/>
  <c r="D181" i="6" s="1"/>
  <c r="D184" i="9" l="1"/>
  <c r="E184" i="9"/>
  <c r="Q184" i="9" s="1"/>
  <c r="F184" i="9"/>
  <c r="G184" i="9"/>
  <c r="N184" i="9" s="1"/>
  <c r="H184" i="9"/>
  <c r="I184" i="9"/>
  <c r="R184" i="9" s="1"/>
  <c r="B184" i="9"/>
  <c r="J184" i="9"/>
  <c r="U184" i="9"/>
  <c r="C184" i="9"/>
  <c r="M184" i="9" s="1"/>
  <c r="P183" i="9"/>
  <c r="T183" i="9"/>
  <c r="L183" i="9"/>
  <c r="J181" i="6"/>
  <c r="D181" i="4"/>
  <c r="D182" i="6" s="1"/>
  <c r="E181" i="4"/>
  <c r="E182" i="6" s="1"/>
  <c r="F181" i="4"/>
  <c r="F182" i="6" s="1"/>
  <c r="G181" i="4"/>
  <c r="G182" i="6" s="1"/>
  <c r="H181" i="4"/>
  <c r="H182" i="6" s="1"/>
  <c r="I181" i="4"/>
  <c r="I182" i="6" s="1"/>
  <c r="B181" i="4"/>
  <c r="B182" i="6" s="1"/>
  <c r="A182" i="4"/>
  <c r="A183" i="6" s="1"/>
  <c r="A185" i="9" s="1"/>
  <c r="C181" i="4"/>
  <c r="C182" i="6" s="1"/>
  <c r="P184" i="9" l="1"/>
  <c r="T184" i="9"/>
  <c r="L184" i="9"/>
  <c r="B185" i="9"/>
  <c r="J185" i="9"/>
  <c r="U185" i="9"/>
  <c r="C185" i="9"/>
  <c r="M185" i="9" s="1"/>
  <c r="D185" i="9"/>
  <c r="E185" i="9"/>
  <c r="Q185" i="9" s="1"/>
  <c r="F185" i="9"/>
  <c r="G185" i="9"/>
  <c r="N185" i="9" s="1"/>
  <c r="H185" i="9"/>
  <c r="I185" i="9"/>
  <c r="R185" i="9" s="1"/>
  <c r="J182" i="6"/>
  <c r="C182" i="4"/>
  <c r="C183" i="6" s="1"/>
  <c r="D182" i="4"/>
  <c r="D183" i="6" s="1"/>
  <c r="E182" i="4"/>
  <c r="E183" i="6" s="1"/>
  <c r="F182" i="4"/>
  <c r="F183" i="6" s="1"/>
  <c r="G182" i="4"/>
  <c r="G183" i="6" s="1"/>
  <c r="H182" i="4"/>
  <c r="H183" i="6" s="1"/>
  <c r="I182" i="4"/>
  <c r="I183" i="6" s="1"/>
  <c r="B182" i="4"/>
  <c r="B183" i="6" s="1"/>
  <c r="A183" i="4"/>
  <c r="A184" i="6" s="1"/>
  <c r="A186" i="9" s="1"/>
  <c r="H186" i="9" l="1"/>
  <c r="I186" i="9"/>
  <c r="R186" i="9" s="1"/>
  <c r="B186" i="9"/>
  <c r="J186" i="9"/>
  <c r="U186" i="9"/>
  <c r="C186" i="9"/>
  <c r="M186" i="9" s="1"/>
  <c r="D186" i="9"/>
  <c r="E186" i="9"/>
  <c r="Q186" i="9" s="1"/>
  <c r="F186" i="9"/>
  <c r="G186" i="9"/>
  <c r="N186" i="9" s="1"/>
  <c r="L185" i="9"/>
  <c r="P185" i="9"/>
  <c r="T185" i="9"/>
  <c r="J183" i="6"/>
  <c r="B183" i="4"/>
  <c r="B184" i="6" s="1"/>
  <c r="A184" i="4"/>
  <c r="A185" i="6" s="1"/>
  <c r="A187" i="9" s="1"/>
  <c r="C183" i="4"/>
  <c r="C184" i="6" s="1"/>
  <c r="D183" i="4"/>
  <c r="D184" i="6" s="1"/>
  <c r="E183" i="4"/>
  <c r="E184" i="6" s="1"/>
  <c r="F183" i="4"/>
  <c r="F184" i="6" s="1"/>
  <c r="G183" i="4"/>
  <c r="G184" i="6" s="1"/>
  <c r="H183" i="4"/>
  <c r="H184" i="6" s="1"/>
  <c r="I183" i="4"/>
  <c r="I184" i="6" s="1"/>
  <c r="F187" i="9" l="1"/>
  <c r="G187" i="9"/>
  <c r="N187" i="9" s="1"/>
  <c r="H187" i="9"/>
  <c r="I187" i="9"/>
  <c r="R187" i="9" s="1"/>
  <c r="B187" i="9"/>
  <c r="J187" i="9"/>
  <c r="U187" i="9"/>
  <c r="C187" i="9"/>
  <c r="M187" i="9" s="1"/>
  <c r="D187" i="9"/>
  <c r="E187" i="9"/>
  <c r="Q187" i="9" s="1"/>
  <c r="T186" i="9"/>
  <c r="L186" i="9"/>
  <c r="P186" i="9"/>
  <c r="J184" i="6"/>
  <c r="I184" i="4"/>
  <c r="I185" i="6" s="1"/>
  <c r="B184" i="4"/>
  <c r="B185" i="6" s="1"/>
  <c r="A185" i="4"/>
  <c r="A186" i="6" s="1"/>
  <c r="A188" i="9" s="1"/>
  <c r="C184" i="4"/>
  <c r="C185" i="6" s="1"/>
  <c r="D184" i="4"/>
  <c r="D185" i="6" s="1"/>
  <c r="E184" i="4"/>
  <c r="E185" i="6" s="1"/>
  <c r="F184" i="4"/>
  <c r="F185" i="6" s="1"/>
  <c r="G184" i="4"/>
  <c r="G185" i="6" s="1"/>
  <c r="H184" i="4"/>
  <c r="H185" i="6" s="1"/>
  <c r="P187" i="9" l="1"/>
  <c r="T187" i="9"/>
  <c r="L187" i="9"/>
  <c r="D188" i="9"/>
  <c r="E188" i="9"/>
  <c r="Q188" i="9" s="1"/>
  <c r="F188" i="9"/>
  <c r="G188" i="9"/>
  <c r="N188" i="9" s="1"/>
  <c r="H188" i="9"/>
  <c r="I188" i="9"/>
  <c r="R188" i="9" s="1"/>
  <c r="B188" i="9"/>
  <c r="J188" i="9"/>
  <c r="U188" i="9"/>
  <c r="C188" i="9"/>
  <c r="M188" i="9" s="1"/>
  <c r="J185" i="6"/>
  <c r="H185" i="4"/>
  <c r="H186" i="6" s="1"/>
  <c r="I185" i="4"/>
  <c r="I186" i="6" s="1"/>
  <c r="B185" i="4"/>
  <c r="B186" i="6" s="1"/>
  <c r="A186" i="4"/>
  <c r="A187" i="6" s="1"/>
  <c r="A189" i="9" s="1"/>
  <c r="C185" i="4"/>
  <c r="C186" i="6" s="1"/>
  <c r="D185" i="4"/>
  <c r="D186" i="6" s="1"/>
  <c r="E185" i="4"/>
  <c r="E186" i="6" s="1"/>
  <c r="F185" i="4"/>
  <c r="F186" i="6" s="1"/>
  <c r="G185" i="4"/>
  <c r="G186" i="6" s="1"/>
  <c r="P188" i="9" l="1"/>
  <c r="T188" i="9"/>
  <c r="L188" i="9"/>
  <c r="B189" i="9"/>
  <c r="J189" i="9"/>
  <c r="U189" i="9"/>
  <c r="C189" i="9"/>
  <c r="M189" i="9" s="1"/>
  <c r="D189" i="9"/>
  <c r="E189" i="9"/>
  <c r="Q189" i="9" s="1"/>
  <c r="F189" i="9"/>
  <c r="G189" i="9"/>
  <c r="N189" i="9" s="1"/>
  <c r="H189" i="9"/>
  <c r="I189" i="9"/>
  <c r="R189" i="9" s="1"/>
  <c r="J186" i="6"/>
  <c r="G186" i="4"/>
  <c r="G187" i="6" s="1"/>
  <c r="H186" i="4"/>
  <c r="H187" i="6" s="1"/>
  <c r="I186" i="4"/>
  <c r="I187" i="6" s="1"/>
  <c r="B186" i="4"/>
  <c r="B187" i="6" s="1"/>
  <c r="A187" i="4"/>
  <c r="A188" i="6" s="1"/>
  <c r="A190" i="9" s="1"/>
  <c r="C186" i="4"/>
  <c r="C187" i="6" s="1"/>
  <c r="D186" i="4"/>
  <c r="D187" i="6" s="1"/>
  <c r="E186" i="4"/>
  <c r="E187" i="6" s="1"/>
  <c r="F186" i="4"/>
  <c r="F187" i="6" s="1"/>
  <c r="I190" i="9" l="1"/>
  <c r="R190" i="9" s="1"/>
  <c r="B190" i="9"/>
  <c r="J190" i="9"/>
  <c r="U190" i="9"/>
  <c r="C190" i="9"/>
  <c r="M190" i="9" s="1"/>
  <c r="D190" i="9"/>
  <c r="E190" i="9"/>
  <c r="Q190" i="9" s="1"/>
  <c r="F190" i="9"/>
  <c r="G190" i="9"/>
  <c r="N190" i="9" s="1"/>
  <c r="H190" i="9"/>
  <c r="L189" i="9"/>
  <c r="P189" i="9"/>
  <c r="T189" i="9"/>
  <c r="J187" i="6"/>
  <c r="F187" i="4"/>
  <c r="F188" i="6" s="1"/>
  <c r="G187" i="4"/>
  <c r="G188" i="6" s="1"/>
  <c r="H187" i="4"/>
  <c r="H188" i="6" s="1"/>
  <c r="I187" i="4"/>
  <c r="I188" i="6" s="1"/>
  <c r="B187" i="4"/>
  <c r="B188" i="6" s="1"/>
  <c r="A188" i="4"/>
  <c r="A189" i="6" s="1"/>
  <c r="A191" i="9" s="1"/>
  <c r="C187" i="4"/>
  <c r="C188" i="6" s="1"/>
  <c r="D187" i="4"/>
  <c r="D188" i="6" s="1"/>
  <c r="E187" i="4"/>
  <c r="E188" i="6" s="1"/>
  <c r="T190" i="9" l="1"/>
  <c r="L190" i="9"/>
  <c r="P190" i="9"/>
  <c r="G191" i="9"/>
  <c r="N191" i="9" s="1"/>
  <c r="H191" i="9"/>
  <c r="I191" i="9"/>
  <c r="R191" i="9" s="1"/>
  <c r="B191" i="9"/>
  <c r="J191" i="9"/>
  <c r="U191" i="9"/>
  <c r="C191" i="9"/>
  <c r="M191" i="9" s="1"/>
  <c r="D191" i="9"/>
  <c r="E191" i="9"/>
  <c r="Q191" i="9" s="1"/>
  <c r="F191" i="9"/>
  <c r="J188" i="6"/>
  <c r="E188" i="4"/>
  <c r="E189" i="6" s="1"/>
  <c r="F188" i="4"/>
  <c r="F189" i="6" s="1"/>
  <c r="G188" i="4"/>
  <c r="G189" i="6" s="1"/>
  <c r="H188" i="4"/>
  <c r="H189" i="6" s="1"/>
  <c r="I188" i="4"/>
  <c r="I189" i="6" s="1"/>
  <c r="B188" i="4"/>
  <c r="B189" i="6" s="1"/>
  <c r="A189" i="4"/>
  <c r="A190" i="6" s="1"/>
  <c r="A192" i="9" s="1"/>
  <c r="C188" i="4"/>
  <c r="C189" i="6" s="1"/>
  <c r="D188" i="4"/>
  <c r="D189" i="6" s="1"/>
  <c r="T191" i="9" l="1"/>
  <c r="L191" i="9"/>
  <c r="P191" i="9"/>
  <c r="E192" i="9"/>
  <c r="Q192" i="9" s="1"/>
  <c r="F192" i="9"/>
  <c r="G192" i="9"/>
  <c r="N192" i="9" s="1"/>
  <c r="H192" i="9"/>
  <c r="I192" i="9"/>
  <c r="R192" i="9" s="1"/>
  <c r="B192" i="9"/>
  <c r="J192" i="9"/>
  <c r="U192" i="9"/>
  <c r="C192" i="9"/>
  <c r="M192" i="9" s="1"/>
  <c r="D192" i="9"/>
  <c r="J189" i="6"/>
  <c r="D189" i="4"/>
  <c r="D190" i="6" s="1"/>
  <c r="E189" i="4"/>
  <c r="E190" i="6" s="1"/>
  <c r="F189" i="4"/>
  <c r="F190" i="6" s="1"/>
  <c r="G189" i="4"/>
  <c r="G190" i="6" s="1"/>
  <c r="H189" i="4"/>
  <c r="H190" i="6" s="1"/>
  <c r="I189" i="4"/>
  <c r="I190" i="6" s="1"/>
  <c r="B189" i="4"/>
  <c r="B190" i="6" s="1"/>
  <c r="A190" i="4"/>
  <c r="A191" i="6" s="1"/>
  <c r="A193" i="9" s="1"/>
  <c r="C189" i="4"/>
  <c r="C190" i="6" s="1"/>
  <c r="C193" i="9" l="1"/>
  <c r="M193" i="9" s="1"/>
  <c r="D193" i="9"/>
  <c r="E193" i="9"/>
  <c r="Q193" i="9" s="1"/>
  <c r="F193" i="9"/>
  <c r="G193" i="9"/>
  <c r="N193" i="9" s="1"/>
  <c r="H193" i="9"/>
  <c r="U193" i="9"/>
  <c r="B193" i="9"/>
  <c r="J193" i="9"/>
  <c r="I193" i="9"/>
  <c r="R193" i="9" s="1"/>
  <c r="P192" i="9"/>
  <c r="T192" i="9"/>
  <c r="L192" i="9"/>
  <c r="J190" i="6"/>
  <c r="C190" i="4"/>
  <c r="C191" i="6" s="1"/>
  <c r="D190" i="4"/>
  <c r="D191" i="6" s="1"/>
  <c r="E190" i="4"/>
  <c r="E191" i="6" s="1"/>
  <c r="F190" i="4"/>
  <c r="F191" i="6" s="1"/>
  <c r="G190" i="4"/>
  <c r="G191" i="6" s="1"/>
  <c r="H190" i="4"/>
  <c r="H191" i="6" s="1"/>
  <c r="I190" i="4"/>
  <c r="I191" i="6" s="1"/>
  <c r="B190" i="4"/>
  <c r="B191" i="6" s="1"/>
  <c r="A191" i="4"/>
  <c r="A192" i="6" s="1"/>
  <c r="A194" i="9" s="1"/>
  <c r="I194" i="9" l="1"/>
  <c r="R194" i="9" s="1"/>
  <c r="B194" i="9"/>
  <c r="J194" i="9"/>
  <c r="U194" i="9"/>
  <c r="C194" i="9"/>
  <c r="M194" i="9" s="1"/>
  <c r="D194" i="9"/>
  <c r="E194" i="9"/>
  <c r="Q194" i="9" s="1"/>
  <c r="F194" i="9"/>
  <c r="G194" i="9"/>
  <c r="N194" i="9" s="1"/>
  <c r="H194" i="9"/>
  <c r="L193" i="9"/>
  <c r="P193" i="9"/>
  <c r="T193" i="9"/>
  <c r="J191" i="6"/>
  <c r="B191" i="4"/>
  <c r="B192" i="6" s="1"/>
  <c r="A192" i="4"/>
  <c r="A193" i="6" s="1"/>
  <c r="A195" i="9" s="1"/>
  <c r="C191" i="4"/>
  <c r="C192" i="6" s="1"/>
  <c r="D191" i="4"/>
  <c r="D192" i="6" s="1"/>
  <c r="E191" i="4"/>
  <c r="E192" i="6" s="1"/>
  <c r="F191" i="4"/>
  <c r="F192" i="6" s="1"/>
  <c r="G191" i="4"/>
  <c r="G192" i="6" s="1"/>
  <c r="H191" i="4"/>
  <c r="H192" i="6" s="1"/>
  <c r="I191" i="4"/>
  <c r="I192" i="6" s="1"/>
  <c r="G195" i="9" l="1"/>
  <c r="N195" i="9" s="1"/>
  <c r="H195" i="9"/>
  <c r="I195" i="9"/>
  <c r="R195" i="9" s="1"/>
  <c r="B195" i="9"/>
  <c r="J195" i="9"/>
  <c r="U195" i="9"/>
  <c r="C195" i="9"/>
  <c r="M195" i="9" s="1"/>
  <c r="D195" i="9"/>
  <c r="F195" i="9"/>
  <c r="E195" i="9"/>
  <c r="Q195" i="9" s="1"/>
  <c r="T194" i="9"/>
  <c r="L194" i="9"/>
  <c r="P194" i="9"/>
  <c r="J192" i="6"/>
  <c r="I192" i="4"/>
  <c r="I193" i="6" s="1"/>
  <c r="B192" i="4"/>
  <c r="B193" i="6" s="1"/>
  <c r="A193" i="4"/>
  <c r="A194" i="6" s="1"/>
  <c r="A196" i="9" s="1"/>
  <c r="C192" i="4"/>
  <c r="C193" i="6" s="1"/>
  <c r="D192" i="4"/>
  <c r="D193" i="6" s="1"/>
  <c r="E192" i="4"/>
  <c r="E193" i="6" s="1"/>
  <c r="F192" i="4"/>
  <c r="F193" i="6" s="1"/>
  <c r="G192" i="4"/>
  <c r="G193" i="6" s="1"/>
  <c r="H192" i="4"/>
  <c r="H193" i="6" s="1"/>
  <c r="T195" i="9" l="1"/>
  <c r="L195" i="9"/>
  <c r="P195" i="9"/>
  <c r="E196" i="9"/>
  <c r="Q196" i="9" s="1"/>
  <c r="F196" i="9"/>
  <c r="G196" i="9"/>
  <c r="N196" i="9" s="1"/>
  <c r="H196" i="9"/>
  <c r="I196" i="9"/>
  <c r="R196" i="9" s="1"/>
  <c r="B196" i="9"/>
  <c r="J196" i="9"/>
  <c r="U196" i="9"/>
  <c r="C196" i="9"/>
  <c r="M196" i="9" s="1"/>
  <c r="D196" i="9"/>
  <c r="J193" i="6"/>
  <c r="H193" i="4"/>
  <c r="H194" i="6" s="1"/>
  <c r="I193" i="4"/>
  <c r="I194" i="6" s="1"/>
  <c r="B193" i="4"/>
  <c r="B194" i="6" s="1"/>
  <c r="A194" i="4"/>
  <c r="A195" i="6" s="1"/>
  <c r="A197" i="9" s="1"/>
  <c r="C193" i="4"/>
  <c r="C194" i="6" s="1"/>
  <c r="D193" i="4"/>
  <c r="D194" i="6" s="1"/>
  <c r="E193" i="4"/>
  <c r="E194" i="6" s="1"/>
  <c r="F193" i="4"/>
  <c r="F194" i="6" s="1"/>
  <c r="G193" i="4"/>
  <c r="G194" i="6" s="1"/>
  <c r="C197" i="9" l="1"/>
  <c r="M197" i="9" s="1"/>
  <c r="D197" i="9"/>
  <c r="E197" i="9"/>
  <c r="Q197" i="9" s="1"/>
  <c r="F197" i="9"/>
  <c r="G197" i="9"/>
  <c r="N197" i="9" s="1"/>
  <c r="H197" i="9"/>
  <c r="I197" i="9"/>
  <c r="R197" i="9" s="1"/>
  <c r="J197" i="9"/>
  <c r="U197" i="9"/>
  <c r="B197" i="9"/>
  <c r="P196" i="9"/>
  <c r="T196" i="9"/>
  <c r="L196" i="9"/>
  <c r="J194" i="6"/>
  <c r="G194" i="4"/>
  <c r="G195" i="6" s="1"/>
  <c r="H194" i="4"/>
  <c r="H195" i="6" s="1"/>
  <c r="I194" i="4"/>
  <c r="I195" i="6" s="1"/>
  <c r="B194" i="4"/>
  <c r="B195" i="6" s="1"/>
  <c r="A195" i="4"/>
  <c r="A196" i="6" s="1"/>
  <c r="A198" i="9" s="1"/>
  <c r="C194" i="4"/>
  <c r="C195" i="6" s="1"/>
  <c r="D194" i="4"/>
  <c r="D195" i="6" s="1"/>
  <c r="E194" i="4"/>
  <c r="E195" i="6" s="1"/>
  <c r="F194" i="4"/>
  <c r="F195" i="6" s="1"/>
  <c r="L197" i="9" l="1"/>
  <c r="P197" i="9"/>
  <c r="T197" i="9"/>
  <c r="I198" i="9"/>
  <c r="R198" i="9" s="1"/>
  <c r="B198" i="9"/>
  <c r="J198" i="9"/>
  <c r="U198" i="9"/>
  <c r="C198" i="9"/>
  <c r="M198" i="9" s="1"/>
  <c r="D198" i="9"/>
  <c r="E198" i="9"/>
  <c r="Q198" i="9" s="1"/>
  <c r="F198" i="9"/>
  <c r="G198" i="9"/>
  <c r="N198" i="9" s="1"/>
  <c r="H198" i="9"/>
  <c r="J195" i="6"/>
  <c r="F195" i="4"/>
  <c r="F196" i="6" s="1"/>
  <c r="G195" i="4"/>
  <c r="G196" i="6" s="1"/>
  <c r="H195" i="4"/>
  <c r="H196" i="6" s="1"/>
  <c r="I195" i="4"/>
  <c r="I196" i="6" s="1"/>
  <c r="B195" i="4"/>
  <c r="B196" i="6" s="1"/>
  <c r="A196" i="4"/>
  <c r="A197" i="6" s="1"/>
  <c r="A199" i="9" s="1"/>
  <c r="C195" i="4"/>
  <c r="C196" i="6" s="1"/>
  <c r="D195" i="4"/>
  <c r="D196" i="6" s="1"/>
  <c r="E195" i="4"/>
  <c r="E196" i="6" s="1"/>
  <c r="T198" i="9" l="1"/>
  <c r="L198" i="9"/>
  <c r="P198" i="9"/>
  <c r="G199" i="9"/>
  <c r="N199" i="9" s="1"/>
  <c r="H199" i="9"/>
  <c r="I199" i="9"/>
  <c r="R199" i="9" s="1"/>
  <c r="B199" i="9"/>
  <c r="J199" i="9"/>
  <c r="U199" i="9"/>
  <c r="C199" i="9"/>
  <c r="M199" i="9" s="1"/>
  <c r="D199" i="9"/>
  <c r="E199" i="9"/>
  <c r="Q199" i="9" s="1"/>
  <c r="F199" i="9"/>
  <c r="J196" i="6"/>
  <c r="E196" i="4"/>
  <c r="E197" i="6" s="1"/>
  <c r="F196" i="4"/>
  <c r="F197" i="6" s="1"/>
  <c r="G196" i="4"/>
  <c r="G197" i="6" s="1"/>
  <c r="H196" i="4"/>
  <c r="H197" i="6" s="1"/>
  <c r="I196" i="4"/>
  <c r="I197" i="6" s="1"/>
  <c r="B196" i="4"/>
  <c r="B197" i="6" s="1"/>
  <c r="A197" i="4"/>
  <c r="A198" i="6" s="1"/>
  <c r="A200" i="9" s="1"/>
  <c r="C196" i="4"/>
  <c r="C197" i="6" s="1"/>
  <c r="D196" i="4"/>
  <c r="D197" i="6" s="1"/>
  <c r="T199" i="9" l="1"/>
  <c r="L199" i="9"/>
  <c r="P199" i="9"/>
  <c r="E200" i="9"/>
  <c r="Q200" i="9" s="1"/>
  <c r="F200" i="9"/>
  <c r="G200" i="9"/>
  <c r="N200" i="9" s="1"/>
  <c r="H200" i="9"/>
  <c r="I200" i="9"/>
  <c r="R200" i="9" s="1"/>
  <c r="B200" i="9"/>
  <c r="J200" i="9"/>
  <c r="U200" i="9"/>
  <c r="C200" i="9"/>
  <c r="M200" i="9" s="1"/>
  <c r="D200" i="9"/>
  <c r="J197" i="6"/>
  <c r="D197" i="4"/>
  <c r="D198" i="6" s="1"/>
  <c r="E197" i="4"/>
  <c r="E198" i="6" s="1"/>
  <c r="F197" i="4"/>
  <c r="F198" i="6" s="1"/>
  <c r="G197" i="4"/>
  <c r="G198" i="6" s="1"/>
  <c r="H197" i="4"/>
  <c r="H198" i="6" s="1"/>
  <c r="I197" i="4"/>
  <c r="I198" i="6" s="1"/>
  <c r="B197" i="4"/>
  <c r="B198" i="6" s="1"/>
  <c r="A198" i="4"/>
  <c r="A199" i="6" s="1"/>
  <c r="A201" i="9" s="1"/>
  <c r="C197" i="4"/>
  <c r="C198" i="6" s="1"/>
  <c r="C201" i="9" l="1"/>
  <c r="M201" i="9" s="1"/>
  <c r="D201" i="9"/>
  <c r="E201" i="9"/>
  <c r="Q201" i="9" s="1"/>
  <c r="F201" i="9"/>
  <c r="G201" i="9"/>
  <c r="N201" i="9" s="1"/>
  <c r="H201" i="9"/>
  <c r="B201" i="9"/>
  <c r="I201" i="9"/>
  <c r="R201" i="9" s="1"/>
  <c r="J201" i="9"/>
  <c r="U201" i="9"/>
  <c r="P200" i="9"/>
  <c r="T200" i="9"/>
  <c r="L200" i="9"/>
  <c r="J198" i="6"/>
  <c r="C198" i="4"/>
  <c r="C199" i="6" s="1"/>
  <c r="D198" i="4"/>
  <c r="D199" i="6" s="1"/>
  <c r="E198" i="4"/>
  <c r="E199" i="6" s="1"/>
  <c r="F198" i="4"/>
  <c r="F199" i="6" s="1"/>
  <c r="G198" i="4"/>
  <c r="G199" i="6" s="1"/>
  <c r="H198" i="4"/>
  <c r="H199" i="6" s="1"/>
  <c r="I198" i="4"/>
  <c r="I199" i="6" s="1"/>
  <c r="B198" i="4"/>
  <c r="B199" i="6" s="1"/>
  <c r="A199" i="4"/>
  <c r="A200" i="6" s="1"/>
  <c r="A202" i="9" s="1"/>
  <c r="I202" i="9" l="1"/>
  <c r="R202" i="9" s="1"/>
  <c r="B202" i="9"/>
  <c r="J202" i="9"/>
  <c r="U202" i="9"/>
  <c r="C202" i="9"/>
  <c r="M202" i="9" s="1"/>
  <c r="D202" i="9"/>
  <c r="E202" i="9"/>
  <c r="Q202" i="9" s="1"/>
  <c r="F202" i="9"/>
  <c r="H202" i="9"/>
  <c r="G202" i="9"/>
  <c r="N202" i="9" s="1"/>
  <c r="L201" i="9"/>
  <c r="P201" i="9"/>
  <c r="T201" i="9"/>
  <c r="J199" i="6"/>
  <c r="B199" i="4"/>
  <c r="B200" i="6" s="1"/>
  <c r="A200" i="4"/>
  <c r="A201" i="6" s="1"/>
  <c r="A203" i="9" s="1"/>
  <c r="C199" i="4"/>
  <c r="C200" i="6" s="1"/>
  <c r="D199" i="4"/>
  <c r="D200" i="6" s="1"/>
  <c r="E199" i="4"/>
  <c r="E200" i="6" s="1"/>
  <c r="F199" i="4"/>
  <c r="F200" i="6" s="1"/>
  <c r="G199" i="4"/>
  <c r="G200" i="6" s="1"/>
  <c r="H199" i="4"/>
  <c r="H200" i="6" s="1"/>
  <c r="I199" i="4"/>
  <c r="I200" i="6" s="1"/>
  <c r="G203" i="9" l="1"/>
  <c r="N203" i="9" s="1"/>
  <c r="H203" i="9"/>
  <c r="I203" i="9"/>
  <c r="R203" i="9" s="1"/>
  <c r="B203" i="9"/>
  <c r="J203" i="9"/>
  <c r="U203" i="9"/>
  <c r="C203" i="9"/>
  <c r="M203" i="9" s="1"/>
  <c r="D203" i="9"/>
  <c r="E203" i="9"/>
  <c r="Q203" i="9" s="1"/>
  <c r="F203" i="9"/>
  <c r="T202" i="9"/>
  <c r="L202" i="9"/>
  <c r="P202" i="9"/>
  <c r="J200" i="6"/>
  <c r="I200" i="4"/>
  <c r="I201" i="6" s="1"/>
  <c r="B200" i="4"/>
  <c r="B201" i="6" s="1"/>
  <c r="A201" i="4"/>
  <c r="A202" i="6" s="1"/>
  <c r="A204" i="9" s="1"/>
  <c r="C200" i="4"/>
  <c r="C201" i="6" s="1"/>
  <c r="D200" i="4"/>
  <c r="D201" i="6" s="1"/>
  <c r="E200" i="4"/>
  <c r="E201" i="6" s="1"/>
  <c r="F200" i="4"/>
  <c r="F201" i="6" s="1"/>
  <c r="G200" i="4"/>
  <c r="G201" i="6" s="1"/>
  <c r="H200" i="4"/>
  <c r="H201" i="6" s="1"/>
  <c r="T203" i="9" l="1"/>
  <c r="L203" i="9"/>
  <c r="P203" i="9"/>
  <c r="E204" i="9"/>
  <c r="Q204" i="9" s="1"/>
  <c r="F204" i="9"/>
  <c r="G204" i="9"/>
  <c r="N204" i="9" s="1"/>
  <c r="H204" i="9"/>
  <c r="I204" i="9"/>
  <c r="R204" i="9" s="1"/>
  <c r="B204" i="9"/>
  <c r="J204" i="9"/>
  <c r="U204" i="9"/>
  <c r="D204" i="9"/>
  <c r="C204" i="9"/>
  <c r="M204" i="9" s="1"/>
  <c r="J201" i="6"/>
  <c r="H201" i="4"/>
  <c r="H202" i="6" s="1"/>
  <c r="I201" i="4"/>
  <c r="I202" i="6" s="1"/>
  <c r="B201" i="4"/>
  <c r="B202" i="6" s="1"/>
  <c r="A202" i="4"/>
  <c r="A203" i="6" s="1"/>
  <c r="A205" i="9" s="1"/>
  <c r="C201" i="4"/>
  <c r="C202" i="6" s="1"/>
  <c r="D201" i="4"/>
  <c r="D202" i="6" s="1"/>
  <c r="E201" i="4"/>
  <c r="E202" i="6" s="1"/>
  <c r="F201" i="4"/>
  <c r="F202" i="6" s="1"/>
  <c r="G201" i="4"/>
  <c r="G202" i="6" s="1"/>
  <c r="C205" i="9" l="1"/>
  <c r="M205" i="9" s="1"/>
  <c r="D205" i="9"/>
  <c r="E205" i="9"/>
  <c r="Q205" i="9" s="1"/>
  <c r="F205" i="9"/>
  <c r="G205" i="9"/>
  <c r="N205" i="9" s="1"/>
  <c r="H205" i="9"/>
  <c r="B205" i="9"/>
  <c r="I205" i="9"/>
  <c r="R205" i="9" s="1"/>
  <c r="J205" i="9"/>
  <c r="U205" i="9"/>
  <c r="P204" i="9"/>
  <c r="T204" i="9"/>
  <c r="L204" i="9"/>
  <c r="J202" i="6"/>
  <c r="G202" i="4"/>
  <c r="G203" i="6" s="1"/>
  <c r="H202" i="4"/>
  <c r="H203" i="6" s="1"/>
  <c r="I202" i="4"/>
  <c r="I203" i="6" s="1"/>
  <c r="B202" i="4"/>
  <c r="B203" i="6" s="1"/>
  <c r="A203" i="4"/>
  <c r="A204" i="6" s="1"/>
  <c r="A206" i="9" s="1"/>
  <c r="C202" i="4"/>
  <c r="C203" i="6" s="1"/>
  <c r="D202" i="4"/>
  <c r="D203" i="6" s="1"/>
  <c r="E202" i="4"/>
  <c r="E203" i="6" s="1"/>
  <c r="F202" i="4"/>
  <c r="F203" i="6" s="1"/>
  <c r="I206" i="9" l="1"/>
  <c r="R206" i="9" s="1"/>
  <c r="B206" i="9"/>
  <c r="J206" i="9"/>
  <c r="U206" i="9"/>
  <c r="C206" i="9"/>
  <c r="M206" i="9" s="1"/>
  <c r="D206" i="9"/>
  <c r="E206" i="9"/>
  <c r="Q206" i="9" s="1"/>
  <c r="F206" i="9"/>
  <c r="G206" i="9"/>
  <c r="N206" i="9" s="1"/>
  <c r="H206" i="9"/>
  <c r="L205" i="9"/>
  <c r="P205" i="9"/>
  <c r="T205" i="9"/>
  <c r="J203" i="6"/>
  <c r="F203" i="4"/>
  <c r="F204" i="6" s="1"/>
  <c r="G203" i="4"/>
  <c r="G204" i="6" s="1"/>
  <c r="H203" i="4"/>
  <c r="H204" i="6" s="1"/>
  <c r="I203" i="4"/>
  <c r="I204" i="6" s="1"/>
  <c r="B203" i="4"/>
  <c r="B204" i="6" s="1"/>
  <c r="A204" i="4"/>
  <c r="A205" i="6" s="1"/>
  <c r="A207" i="9" s="1"/>
  <c r="C203" i="4"/>
  <c r="C204" i="6" s="1"/>
  <c r="D203" i="4"/>
  <c r="D204" i="6" s="1"/>
  <c r="E203" i="4"/>
  <c r="E204" i="6" s="1"/>
  <c r="T206" i="9" l="1"/>
  <c r="L206" i="9"/>
  <c r="P206" i="9"/>
  <c r="G207" i="9"/>
  <c r="N207" i="9" s="1"/>
  <c r="H207" i="9"/>
  <c r="I207" i="9"/>
  <c r="R207" i="9" s="1"/>
  <c r="B207" i="9"/>
  <c r="J207" i="9"/>
  <c r="U207" i="9"/>
  <c r="C207" i="9"/>
  <c r="M207" i="9" s="1"/>
  <c r="D207" i="9"/>
  <c r="E207" i="9"/>
  <c r="Q207" i="9" s="1"/>
  <c r="F207" i="9"/>
  <c r="J204" i="6"/>
  <c r="E204" i="4"/>
  <c r="E205" i="6" s="1"/>
  <c r="F204" i="4"/>
  <c r="F205" i="6" s="1"/>
  <c r="G204" i="4"/>
  <c r="G205" i="6" s="1"/>
  <c r="H204" i="4"/>
  <c r="H205" i="6" s="1"/>
  <c r="I204" i="4"/>
  <c r="I205" i="6" s="1"/>
  <c r="B204" i="4"/>
  <c r="B205" i="6" s="1"/>
  <c r="A205" i="4"/>
  <c r="A206" i="6" s="1"/>
  <c r="A208" i="9" s="1"/>
  <c r="C204" i="4"/>
  <c r="C205" i="6" s="1"/>
  <c r="D204" i="4"/>
  <c r="D205" i="6" s="1"/>
  <c r="T207" i="9" l="1"/>
  <c r="L207" i="9"/>
  <c r="P207" i="9"/>
  <c r="E208" i="9"/>
  <c r="Q208" i="9" s="1"/>
  <c r="F208" i="9"/>
  <c r="G208" i="9"/>
  <c r="N208" i="9" s="1"/>
  <c r="H208" i="9"/>
  <c r="I208" i="9"/>
  <c r="R208" i="9" s="1"/>
  <c r="B208" i="9"/>
  <c r="J208" i="9"/>
  <c r="U208" i="9"/>
  <c r="C208" i="9"/>
  <c r="M208" i="9" s="1"/>
  <c r="D208" i="9"/>
  <c r="J205" i="6"/>
  <c r="D205" i="4"/>
  <c r="D206" i="6" s="1"/>
  <c r="E205" i="4"/>
  <c r="E206" i="6" s="1"/>
  <c r="F205" i="4"/>
  <c r="F206" i="6" s="1"/>
  <c r="G205" i="4"/>
  <c r="G206" i="6" s="1"/>
  <c r="H205" i="4"/>
  <c r="H206" i="6" s="1"/>
  <c r="I205" i="4"/>
  <c r="I206" i="6" s="1"/>
  <c r="B205" i="4"/>
  <c r="B206" i="6" s="1"/>
  <c r="A206" i="4"/>
  <c r="A207" i="6" s="1"/>
  <c r="A209" i="9" s="1"/>
  <c r="C205" i="4"/>
  <c r="C206" i="6" s="1"/>
  <c r="C209" i="9" l="1"/>
  <c r="M209" i="9" s="1"/>
  <c r="D209" i="9"/>
  <c r="E209" i="9"/>
  <c r="Q209" i="9" s="1"/>
  <c r="F209" i="9"/>
  <c r="G209" i="9"/>
  <c r="N209" i="9" s="1"/>
  <c r="H209" i="9"/>
  <c r="U209" i="9"/>
  <c r="B209" i="9"/>
  <c r="J209" i="9"/>
  <c r="I209" i="9"/>
  <c r="R209" i="9" s="1"/>
  <c r="P208" i="9"/>
  <c r="T208" i="9"/>
  <c r="L208" i="9"/>
  <c r="J206" i="6"/>
  <c r="C206" i="4"/>
  <c r="C207" i="6" s="1"/>
  <c r="D206" i="4"/>
  <c r="D207" i="6" s="1"/>
  <c r="E206" i="4"/>
  <c r="E207" i="6" s="1"/>
  <c r="F206" i="4"/>
  <c r="F207" i="6" s="1"/>
  <c r="G206" i="4"/>
  <c r="G207" i="6" s="1"/>
  <c r="H206" i="4"/>
  <c r="H207" i="6" s="1"/>
  <c r="I206" i="4"/>
  <c r="I207" i="6" s="1"/>
  <c r="B206" i="4"/>
  <c r="B207" i="6" s="1"/>
  <c r="A207" i="4"/>
  <c r="A208" i="6" s="1"/>
  <c r="A210" i="9" s="1"/>
  <c r="I210" i="9" l="1"/>
  <c r="R210" i="9" s="1"/>
  <c r="B210" i="9"/>
  <c r="J210" i="9"/>
  <c r="U210" i="9"/>
  <c r="C210" i="9"/>
  <c r="M210" i="9" s="1"/>
  <c r="D210" i="9"/>
  <c r="E210" i="9"/>
  <c r="Q210" i="9" s="1"/>
  <c r="F210" i="9"/>
  <c r="G210" i="9"/>
  <c r="N210" i="9" s="1"/>
  <c r="H210" i="9"/>
  <c r="L209" i="9"/>
  <c r="P209" i="9"/>
  <c r="T209" i="9"/>
  <c r="J207" i="6"/>
  <c r="B207" i="4"/>
  <c r="B208" i="6" s="1"/>
  <c r="A208" i="4"/>
  <c r="A209" i="6" s="1"/>
  <c r="A211" i="9" s="1"/>
  <c r="C207" i="4"/>
  <c r="C208" i="6" s="1"/>
  <c r="D207" i="4"/>
  <c r="D208" i="6" s="1"/>
  <c r="E207" i="4"/>
  <c r="E208" i="6" s="1"/>
  <c r="F207" i="4"/>
  <c r="F208" i="6" s="1"/>
  <c r="G207" i="4"/>
  <c r="G208" i="6" s="1"/>
  <c r="H207" i="4"/>
  <c r="H208" i="6" s="1"/>
  <c r="I207" i="4"/>
  <c r="I208" i="6" s="1"/>
  <c r="G211" i="9" l="1"/>
  <c r="N211" i="9" s="1"/>
  <c r="H211" i="9"/>
  <c r="I211" i="9"/>
  <c r="R211" i="9" s="1"/>
  <c r="B211" i="9"/>
  <c r="J211" i="9"/>
  <c r="U211" i="9"/>
  <c r="C211" i="9"/>
  <c r="M211" i="9" s="1"/>
  <c r="D211" i="9"/>
  <c r="F211" i="9"/>
  <c r="E211" i="9"/>
  <c r="Q211" i="9" s="1"/>
  <c r="T210" i="9"/>
  <c r="L210" i="9"/>
  <c r="P210" i="9"/>
  <c r="J208" i="6"/>
  <c r="I208" i="4"/>
  <c r="I209" i="6" s="1"/>
  <c r="B208" i="4"/>
  <c r="B209" i="6" s="1"/>
  <c r="A209" i="4"/>
  <c r="A210" i="6" s="1"/>
  <c r="A212" i="9" s="1"/>
  <c r="C208" i="4"/>
  <c r="C209" i="6" s="1"/>
  <c r="D208" i="4"/>
  <c r="D209" i="6" s="1"/>
  <c r="E208" i="4"/>
  <c r="E209" i="6" s="1"/>
  <c r="F208" i="4"/>
  <c r="F209" i="6" s="1"/>
  <c r="G208" i="4"/>
  <c r="G209" i="6" s="1"/>
  <c r="H208" i="4"/>
  <c r="H209" i="6" s="1"/>
  <c r="T211" i="9" l="1"/>
  <c r="L211" i="9"/>
  <c r="P211" i="9"/>
  <c r="E212" i="9"/>
  <c r="Q212" i="9" s="1"/>
  <c r="F212" i="9"/>
  <c r="G212" i="9"/>
  <c r="N212" i="9" s="1"/>
  <c r="H212" i="9"/>
  <c r="I212" i="9"/>
  <c r="R212" i="9" s="1"/>
  <c r="B212" i="9"/>
  <c r="J212" i="9"/>
  <c r="U212" i="9"/>
  <c r="C212" i="9"/>
  <c r="M212" i="9" s="1"/>
  <c r="D212" i="9"/>
  <c r="J209" i="6"/>
  <c r="H209" i="4"/>
  <c r="H210" i="6" s="1"/>
  <c r="I209" i="4"/>
  <c r="I210" i="6" s="1"/>
  <c r="B209" i="4"/>
  <c r="B210" i="6" s="1"/>
  <c r="A210" i="4"/>
  <c r="A211" i="6" s="1"/>
  <c r="A213" i="9" s="1"/>
  <c r="C209" i="4"/>
  <c r="C210" i="6" s="1"/>
  <c r="D209" i="4"/>
  <c r="D210" i="6" s="1"/>
  <c r="E209" i="4"/>
  <c r="E210" i="6" s="1"/>
  <c r="F209" i="4"/>
  <c r="F210" i="6" s="1"/>
  <c r="G209" i="4"/>
  <c r="G210" i="6" s="1"/>
  <c r="C213" i="9" l="1"/>
  <c r="M213" i="9" s="1"/>
  <c r="D213" i="9"/>
  <c r="E213" i="9"/>
  <c r="Q213" i="9" s="1"/>
  <c r="F213" i="9"/>
  <c r="G213" i="9"/>
  <c r="N213" i="9" s="1"/>
  <c r="H213" i="9"/>
  <c r="I213" i="9"/>
  <c r="R213" i="9" s="1"/>
  <c r="J213" i="9"/>
  <c r="U213" i="9"/>
  <c r="B213" i="9"/>
  <c r="P212" i="9"/>
  <c r="T212" i="9"/>
  <c r="L212" i="9"/>
  <c r="J210" i="6"/>
  <c r="G210" i="4"/>
  <c r="G211" i="6" s="1"/>
  <c r="H210" i="4"/>
  <c r="H211" i="6" s="1"/>
  <c r="I210" i="4"/>
  <c r="I211" i="6" s="1"/>
  <c r="B210" i="4"/>
  <c r="B211" i="6" s="1"/>
  <c r="A211" i="4"/>
  <c r="A212" i="6" s="1"/>
  <c r="A214" i="9" s="1"/>
  <c r="C210" i="4"/>
  <c r="C211" i="6" s="1"/>
  <c r="D210" i="4"/>
  <c r="D211" i="6" s="1"/>
  <c r="E210" i="4"/>
  <c r="E211" i="6" s="1"/>
  <c r="F210" i="4"/>
  <c r="F211" i="6" s="1"/>
  <c r="L213" i="9" l="1"/>
  <c r="P213" i="9"/>
  <c r="T213" i="9"/>
  <c r="I214" i="9"/>
  <c r="R214" i="9" s="1"/>
  <c r="B214" i="9"/>
  <c r="J214" i="9"/>
  <c r="U214" i="9"/>
  <c r="C214" i="9"/>
  <c r="M214" i="9" s="1"/>
  <c r="D214" i="9"/>
  <c r="E214" i="9"/>
  <c r="Q214" i="9" s="1"/>
  <c r="F214" i="9"/>
  <c r="G214" i="9"/>
  <c r="N214" i="9" s="1"/>
  <c r="H214" i="9"/>
  <c r="J211" i="6"/>
  <c r="F211" i="4"/>
  <c r="F212" i="6" s="1"/>
  <c r="G211" i="4"/>
  <c r="G212" i="6" s="1"/>
  <c r="H211" i="4"/>
  <c r="H212" i="6" s="1"/>
  <c r="I211" i="4"/>
  <c r="I212" i="6" s="1"/>
  <c r="B211" i="4"/>
  <c r="B212" i="6" s="1"/>
  <c r="A212" i="4"/>
  <c r="A213" i="6" s="1"/>
  <c r="A215" i="9" s="1"/>
  <c r="C211" i="4"/>
  <c r="C212" i="6" s="1"/>
  <c r="D211" i="4"/>
  <c r="D212" i="6" s="1"/>
  <c r="E211" i="4"/>
  <c r="E212" i="6" s="1"/>
  <c r="T214" i="9" l="1"/>
  <c r="L214" i="9"/>
  <c r="P214" i="9"/>
  <c r="G215" i="9"/>
  <c r="N215" i="9" s="1"/>
  <c r="H215" i="9"/>
  <c r="I215" i="9"/>
  <c r="R215" i="9" s="1"/>
  <c r="B215" i="9"/>
  <c r="J215" i="9"/>
  <c r="U215" i="9"/>
  <c r="C215" i="9"/>
  <c r="M215" i="9" s="1"/>
  <c r="D215" i="9"/>
  <c r="E215" i="9"/>
  <c r="Q215" i="9" s="1"/>
  <c r="F215" i="9"/>
  <c r="J212" i="6"/>
  <c r="E212" i="4"/>
  <c r="E213" i="6" s="1"/>
  <c r="F212" i="4"/>
  <c r="F213" i="6" s="1"/>
  <c r="G212" i="4"/>
  <c r="G213" i="6" s="1"/>
  <c r="H212" i="4"/>
  <c r="H213" i="6" s="1"/>
  <c r="I212" i="4"/>
  <c r="I213" i="6" s="1"/>
  <c r="B212" i="4"/>
  <c r="B213" i="6" s="1"/>
  <c r="A213" i="4"/>
  <c r="A214" i="6" s="1"/>
  <c r="A216" i="9" s="1"/>
  <c r="C212" i="4"/>
  <c r="C213" i="6" s="1"/>
  <c r="D212" i="4"/>
  <c r="D213" i="6" s="1"/>
  <c r="T215" i="9" l="1"/>
  <c r="L215" i="9"/>
  <c r="P215" i="9"/>
  <c r="E216" i="9"/>
  <c r="Q216" i="9" s="1"/>
  <c r="F216" i="9"/>
  <c r="G216" i="9"/>
  <c r="N216" i="9" s="1"/>
  <c r="H216" i="9"/>
  <c r="B216" i="9"/>
  <c r="J216" i="9"/>
  <c r="U216" i="9"/>
  <c r="C216" i="9"/>
  <c r="M216" i="9" s="1"/>
  <c r="D216" i="9"/>
  <c r="I216" i="9"/>
  <c r="R216" i="9" s="1"/>
  <c r="J213" i="6"/>
  <c r="D213" i="4"/>
  <c r="D214" i="6" s="1"/>
  <c r="E213" i="4"/>
  <c r="E214" i="6" s="1"/>
  <c r="F213" i="4"/>
  <c r="F214" i="6" s="1"/>
  <c r="G213" i="4"/>
  <c r="G214" i="6" s="1"/>
  <c r="H213" i="4"/>
  <c r="H214" i="6" s="1"/>
  <c r="I213" i="4"/>
  <c r="I214" i="6" s="1"/>
  <c r="B213" i="4"/>
  <c r="B214" i="6" s="1"/>
  <c r="A214" i="4"/>
  <c r="A215" i="6" s="1"/>
  <c r="A217" i="9" s="1"/>
  <c r="C213" i="4"/>
  <c r="C214" i="6" s="1"/>
  <c r="C217" i="9" l="1"/>
  <c r="M217" i="9" s="1"/>
  <c r="D217" i="9"/>
  <c r="E217" i="9"/>
  <c r="Q217" i="9" s="1"/>
  <c r="F217" i="9"/>
  <c r="H217" i="9"/>
  <c r="U217" i="9"/>
  <c r="B217" i="9"/>
  <c r="G217" i="9"/>
  <c r="N217" i="9" s="1"/>
  <c r="I217" i="9"/>
  <c r="R217" i="9" s="1"/>
  <c r="J217" i="9"/>
  <c r="P216" i="9"/>
  <c r="T216" i="9"/>
  <c r="L216" i="9"/>
  <c r="J214" i="6"/>
  <c r="C214" i="4"/>
  <c r="C215" i="6" s="1"/>
  <c r="D214" i="4"/>
  <c r="D215" i="6" s="1"/>
  <c r="E214" i="4"/>
  <c r="E215" i="6" s="1"/>
  <c r="F214" i="4"/>
  <c r="F215" i="6" s="1"/>
  <c r="G214" i="4"/>
  <c r="G215" i="6" s="1"/>
  <c r="H214" i="4"/>
  <c r="H215" i="6" s="1"/>
  <c r="I214" i="4"/>
  <c r="I215" i="6" s="1"/>
  <c r="B214" i="4"/>
  <c r="B215" i="6" s="1"/>
  <c r="A215" i="4"/>
  <c r="A216" i="6" s="1"/>
  <c r="A218" i="9" s="1"/>
  <c r="I218" i="9" l="1"/>
  <c r="R218" i="9" s="1"/>
  <c r="B218" i="9"/>
  <c r="J218" i="9"/>
  <c r="U218" i="9"/>
  <c r="C218" i="9"/>
  <c r="M218" i="9" s="1"/>
  <c r="D218" i="9"/>
  <c r="F218" i="9"/>
  <c r="E218" i="9"/>
  <c r="Q218" i="9" s="1"/>
  <c r="G218" i="9"/>
  <c r="N218" i="9" s="1"/>
  <c r="H218" i="9"/>
  <c r="L217" i="9"/>
  <c r="P217" i="9"/>
  <c r="T217" i="9"/>
  <c r="J215" i="6"/>
  <c r="B215" i="4"/>
  <c r="B216" i="6" s="1"/>
  <c r="A216" i="4"/>
  <c r="A217" i="6" s="1"/>
  <c r="A219" i="9" s="1"/>
  <c r="C215" i="4"/>
  <c r="C216" i="6" s="1"/>
  <c r="D215" i="4"/>
  <c r="D216" i="6" s="1"/>
  <c r="E215" i="4"/>
  <c r="E216" i="6" s="1"/>
  <c r="F215" i="4"/>
  <c r="F216" i="6" s="1"/>
  <c r="G215" i="4"/>
  <c r="G216" i="6" s="1"/>
  <c r="H215" i="4"/>
  <c r="H216" i="6" s="1"/>
  <c r="I215" i="4"/>
  <c r="I216" i="6" s="1"/>
  <c r="G219" i="9" l="1"/>
  <c r="N219" i="9" s="1"/>
  <c r="H219" i="9"/>
  <c r="I219" i="9"/>
  <c r="R219" i="9" s="1"/>
  <c r="B219" i="9"/>
  <c r="J219" i="9"/>
  <c r="U219" i="9"/>
  <c r="D219" i="9"/>
  <c r="C219" i="9"/>
  <c r="M219" i="9" s="1"/>
  <c r="E219" i="9"/>
  <c r="Q219" i="9" s="1"/>
  <c r="F219" i="9"/>
  <c r="T218" i="9"/>
  <c r="L218" i="9"/>
  <c r="P218" i="9"/>
  <c r="J216" i="6"/>
  <c r="I216" i="4"/>
  <c r="I217" i="6" s="1"/>
  <c r="B216" i="4"/>
  <c r="B217" i="6" s="1"/>
  <c r="A217" i="4"/>
  <c r="A218" i="6" s="1"/>
  <c r="A220" i="9" s="1"/>
  <c r="C216" i="4"/>
  <c r="C217" i="6" s="1"/>
  <c r="D216" i="4"/>
  <c r="D217" i="6" s="1"/>
  <c r="E216" i="4"/>
  <c r="E217" i="6" s="1"/>
  <c r="F216" i="4"/>
  <c r="F217" i="6" s="1"/>
  <c r="G216" i="4"/>
  <c r="G217" i="6" s="1"/>
  <c r="H216" i="4"/>
  <c r="H217" i="6" s="1"/>
  <c r="T219" i="9" l="1"/>
  <c r="L219" i="9"/>
  <c r="P219" i="9"/>
  <c r="E220" i="9"/>
  <c r="Q220" i="9" s="1"/>
  <c r="F220" i="9"/>
  <c r="G220" i="9"/>
  <c r="N220" i="9" s="1"/>
  <c r="H220" i="9"/>
  <c r="B220" i="9"/>
  <c r="J220" i="9"/>
  <c r="U220" i="9"/>
  <c r="D220" i="9"/>
  <c r="I220" i="9"/>
  <c r="R220" i="9" s="1"/>
  <c r="C220" i="9"/>
  <c r="M220" i="9" s="1"/>
  <c r="J217" i="6"/>
  <c r="H217" i="4"/>
  <c r="H218" i="6" s="1"/>
  <c r="I217" i="4"/>
  <c r="I218" i="6" s="1"/>
  <c r="B217" i="4"/>
  <c r="B218" i="6" s="1"/>
  <c r="A218" i="4"/>
  <c r="A219" i="6" s="1"/>
  <c r="A221" i="9" s="1"/>
  <c r="C217" i="4"/>
  <c r="C218" i="6" s="1"/>
  <c r="D217" i="4"/>
  <c r="D218" i="6" s="1"/>
  <c r="E217" i="4"/>
  <c r="E218" i="6" s="1"/>
  <c r="F217" i="4"/>
  <c r="F218" i="6" s="1"/>
  <c r="G217" i="4"/>
  <c r="G218" i="6" s="1"/>
  <c r="C221" i="9" l="1"/>
  <c r="M221" i="9" s="1"/>
  <c r="D221" i="9"/>
  <c r="E221" i="9"/>
  <c r="Q221" i="9" s="1"/>
  <c r="F221" i="9"/>
  <c r="H221" i="9"/>
  <c r="I221" i="9"/>
  <c r="R221" i="9" s="1"/>
  <c r="J221" i="9"/>
  <c r="U221" i="9"/>
  <c r="G221" i="9"/>
  <c r="N221" i="9" s="1"/>
  <c r="B221" i="9"/>
  <c r="P220" i="9"/>
  <c r="L220" i="9"/>
  <c r="T220" i="9"/>
  <c r="J218" i="6"/>
  <c r="G218" i="4"/>
  <c r="G219" i="6" s="1"/>
  <c r="H218" i="4"/>
  <c r="H219" i="6" s="1"/>
  <c r="I218" i="4"/>
  <c r="I219" i="6" s="1"/>
  <c r="B218" i="4"/>
  <c r="B219" i="6" s="1"/>
  <c r="A219" i="4"/>
  <c r="A220" i="6" s="1"/>
  <c r="A222" i="9" s="1"/>
  <c r="C218" i="4"/>
  <c r="C219" i="6" s="1"/>
  <c r="D218" i="4"/>
  <c r="D219" i="6" s="1"/>
  <c r="E218" i="4"/>
  <c r="E219" i="6" s="1"/>
  <c r="F218" i="4"/>
  <c r="F219" i="6" s="1"/>
  <c r="L221" i="9" l="1"/>
  <c r="P221" i="9"/>
  <c r="T221" i="9"/>
  <c r="I222" i="9"/>
  <c r="R222" i="9" s="1"/>
  <c r="B222" i="9"/>
  <c r="J222" i="9"/>
  <c r="U222" i="9"/>
  <c r="C222" i="9"/>
  <c r="M222" i="9" s="1"/>
  <c r="D222" i="9"/>
  <c r="F222" i="9"/>
  <c r="E222" i="9"/>
  <c r="Q222" i="9" s="1"/>
  <c r="H222" i="9"/>
  <c r="G222" i="9"/>
  <c r="N222" i="9" s="1"/>
  <c r="J219" i="6"/>
  <c r="F219" i="4"/>
  <c r="F220" i="6" s="1"/>
  <c r="G219" i="4"/>
  <c r="G220" i="6" s="1"/>
  <c r="H219" i="4"/>
  <c r="H220" i="6" s="1"/>
  <c r="I219" i="4"/>
  <c r="I220" i="6" s="1"/>
  <c r="B219" i="4"/>
  <c r="B220" i="6" s="1"/>
  <c r="A220" i="4"/>
  <c r="A221" i="6" s="1"/>
  <c r="A223" i="9" s="1"/>
  <c r="C219" i="4"/>
  <c r="C220" i="6" s="1"/>
  <c r="D219" i="4"/>
  <c r="D220" i="6" s="1"/>
  <c r="E219" i="4"/>
  <c r="E220" i="6" s="1"/>
  <c r="T222" i="9" l="1"/>
  <c r="L222" i="9"/>
  <c r="P222" i="9"/>
  <c r="G223" i="9"/>
  <c r="N223" i="9" s="1"/>
  <c r="H223" i="9"/>
  <c r="I223" i="9"/>
  <c r="R223" i="9" s="1"/>
  <c r="B223" i="9"/>
  <c r="J223" i="9"/>
  <c r="U223" i="9"/>
  <c r="D223" i="9"/>
  <c r="C223" i="9"/>
  <c r="M223" i="9" s="1"/>
  <c r="E223" i="9"/>
  <c r="Q223" i="9" s="1"/>
  <c r="F223" i="9"/>
  <c r="J220" i="6"/>
  <c r="E220" i="4"/>
  <c r="E221" i="6" s="1"/>
  <c r="F220" i="4"/>
  <c r="F221" i="6" s="1"/>
  <c r="G220" i="4"/>
  <c r="G221" i="6" s="1"/>
  <c r="H220" i="4"/>
  <c r="H221" i="6" s="1"/>
  <c r="I220" i="4"/>
  <c r="I221" i="6" s="1"/>
  <c r="B220" i="4"/>
  <c r="B221" i="6" s="1"/>
  <c r="A221" i="4"/>
  <c r="A222" i="6" s="1"/>
  <c r="A224" i="9" s="1"/>
  <c r="C220" i="4"/>
  <c r="C221" i="6" s="1"/>
  <c r="D220" i="4"/>
  <c r="D221" i="6" s="1"/>
  <c r="T223" i="9" l="1"/>
  <c r="P223" i="9"/>
  <c r="L223" i="9"/>
  <c r="E224" i="9"/>
  <c r="Q224" i="9" s="1"/>
  <c r="F224" i="9"/>
  <c r="G224" i="9"/>
  <c r="N224" i="9" s="1"/>
  <c r="H224" i="9"/>
  <c r="B224" i="9"/>
  <c r="J224" i="9"/>
  <c r="U224" i="9"/>
  <c r="C224" i="9"/>
  <c r="M224" i="9" s="1"/>
  <c r="D224" i="9"/>
  <c r="I224" i="9"/>
  <c r="R224" i="9" s="1"/>
  <c r="J221" i="6"/>
  <c r="D221" i="4"/>
  <c r="D222" i="6" s="1"/>
  <c r="E221" i="4"/>
  <c r="E222" i="6" s="1"/>
  <c r="F221" i="4"/>
  <c r="F222" i="6" s="1"/>
  <c r="G221" i="4"/>
  <c r="G222" i="6" s="1"/>
  <c r="H221" i="4"/>
  <c r="H222" i="6" s="1"/>
  <c r="I221" i="4"/>
  <c r="I222" i="6" s="1"/>
  <c r="B221" i="4"/>
  <c r="B222" i="6" s="1"/>
  <c r="A222" i="4"/>
  <c r="A223" i="6" s="1"/>
  <c r="A225" i="9" s="1"/>
  <c r="C221" i="4"/>
  <c r="C222" i="6" s="1"/>
  <c r="C225" i="9" l="1"/>
  <c r="M225" i="9" s="1"/>
  <c r="D225" i="9"/>
  <c r="E225" i="9"/>
  <c r="Q225" i="9" s="1"/>
  <c r="H225" i="9"/>
  <c r="B225" i="9"/>
  <c r="U225" i="9"/>
  <c r="F225" i="9"/>
  <c r="G225" i="9"/>
  <c r="N225" i="9" s="1"/>
  <c r="I225" i="9"/>
  <c r="R225" i="9" s="1"/>
  <c r="J225" i="9"/>
  <c r="P224" i="9"/>
  <c r="T224" i="9"/>
  <c r="L224" i="9"/>
  <c r="J222" i="6"/>
  <c r="C222" i="4"/>
  <c r="C223" i="6" s="1"/>
  <c r="D222" i="4"/>
  <c r="D223" i="6" s="1"/>
  <c r="E222" i="4"/>
  <c r="E223" i="6" s="1"/>
  <c r="F222" i="4"/>
  <c r="F223" i="6" s="1"/>
  <c r="G222" i="4"/>
  <c r="G223" i="6" s="1"/>
  <c r="H222" i="4"/>
  <c r="H223" i="6" s="1"/>
  <c r="I222" i="4"/>
  <c r="I223" i="6" s="1"/>
  <c r="B222" i="4"/>
  <c r="B223" i="6" s="1"/>
  <c r="A223" i="4"/>
  <c r="A224" i="6" s="1"/>
  <c r="A226" i="9" s="1"/>
  <c r="I226" i="9" l="1"/>
  <c r="R226" i="9" s="1"/>
  <c r="B226" i="9"/>
  <c r="J226" i="9"/>
  <c r="U226" i="9"/>
  <c r="C226" i="9"/>
  <c r="M226" i="9" s="1"/>
  <c r="F226" i="9"/>
  <c r="D226" i="9"/>
  <c r="E226" i="9"/>
  <c r="Q226" i="9" s="1"/>
  <c r="G226" i="9"/>
  <c r="N226" i="9" s="1"/>
  <c r="H226" i="9"/>
  <c r="L225" i="9"/>
  <c r="T225" i="9"/>
  <c r="P225" i="9"/>
  <c r="J223" i="6"/>
  <c r="B223" i="4"/>
  <c r="B224" i="6" s="1"/>
  <c r="A224" i="4"/>
  <c r="A225" i="6" s="1"/>
  <c r="A227" i="9" s="1"/>
  <c r="C223" i="4"/>
  <c r="C224" i="6" s="1"/>
  <c r="D223" i="4"/>
  <c r="D224" i="6" s="1"/>
  <c r="E223" i="4"/>
  <c r="E224" i="6" s="1"/>
  <c r="F223" i="4"/>
  <c r="F224" i="6" s="1"/>
  <c r="G223" i="4"/>
  <c r="G224" i="6" s="1"/>
  <c r="H223" i="4"/>
  <c r="H224" i="6" s="1"/>
  <c r="I223" i="4"/>
  <c r="I224" i="6" s="1"/>
  <c r="G227" i="9" l="1"/>
  <c r="N227" i="9" s="1"/>
  <c r="H227" i="9"/>
  <c r="D227" i="9"/>
  <c r="J227" i="9"/>
  <c r="B227" i="9"/>
  <c r="C227" i="9"/>
  <c r="M227" i="9" s="1"/>
  <c r="E227" i="9"/>
  <c r="Q227" i="9" s="1"/>
  <c r="I227" i="9"/>
  <c r="R227" i="9" s="1"/>
  <c r="U227" i="9"/>
  <c r="F227" i="9"/>
  <c r="T226" i="9"/>
  <c r="L226" i="9"/>
  <c r="P226" i="9"/>
  <c r="J224" i="6"/>
  <c r="I224" i="4"/>
  <c r="I225" i="6" s="1"/>
  <c r="B224" i="4"/>
  <c r="B225" i="6" s="1"/>
  <c r="A225" i="4"/>
  <c r="A226" i="6" s="1"/>
  <c r="A228" i="9" s="1"/>
  <c r="C224" i="4"/>
  <c r="C225" i="6" s="1"/>
  <c r="D224" i="4"/>
  <c r="D225" i="6" s="1"/>
  <c r="E224" i="4"/>
  <c r="E225" i="6" s="1"/>
  <c r="F224" i="4"/>
  <c r="F225" i="6" s="1"/>
  <c r="G224" i="4"/>
  <c r="G225" i="6" s="1"/>
  <c r="H224" i="4"/>
  <c r="H225" i="6" s="1"/>
  <c r="L227" i="9" l="1"/>
  <c r="P227" i="9"/>
  <c r="T227" i="9"/>
  <c r="I228" i="9"/>
  <c r="R228" i="9" s="1"/>
  <c r="B228" i="9"/>
  <c r="J228" i="9"/>
  <c r="U228" i="9"/>
  <c r="C228" i="9"/>
  <c r="M228" i="9" s="1"/>
  <c r="D228" i="9"/>
  <c r="E228" i="9"/>
  <c r="Q228" i="9" s="1"/>
  <c r="F228" i="9"/>
  <c r="H228" i="9"/>
  <c r="G228" i="9"/>
  <c r="N228" i="9" s="1"/>
  <c r="J225" i="6"/>
  <c r="H225" i="4"/>
  <c r="H226" i="6" s="1"/>
  <c r="I225" i="4"/>
  <c r="I226" i="6" s="1"/>
  <c r="B225" i="4"/>
  <c r="B226" i="6" s="1"/>
  <c r="A226" i="4"/>
  <c r="A227" i="6" s="1"/>
  <c r="A229" i="9" s="1"/>
  <c r="C225" i="4"/>
  <c r="C226" i="6" s="1"/>
  <c r="D225" i="4"/>
  <c r="D226" i="6" s="1"/>
  <c r="E225" i="4"/>
  <c r="E226" i="6" s="1"/>
  <c r="F225" i="4"/>
  <c r="F226" i="6" s="1"/>
  <c r="G225" i="4"/>
  <c r="G226" i="6" s="1"/>
  <c r="T228" i="9" l="1"/>
  <c r="L228" i="9"/>
  <c r="P228" i="9"/>
  <c r="G229" i="9"/>
  <c r="N229" i="9" s="1"/>
  <c r="H229" i="9"/>
  <c r="I229" i="9"/>
  <c r="R229" i="9" s="1"/>
  <c r="B229" i="9"/>
  <c r="J229" i="9"/>
  <c r="U229" i="9"/>
  <c r="C229" i="9"/>
  <c r="M229" i="9" s="1"/>
  <c r="D229" i="9"/>
  <c r="F229" i="9"/>
  <c r="E229" i="9"/>
  <c r="Q229" i="9" s="1"/>
  <c r="J226" i="6"/>
  <c r="G226" i="4"/>
  <c r="G227" i="6" s="1"/>
  <c r="H226" i="4"/>
  <c r="H227" i="6" s="1"/>
  <c r="I226" i="4"/>
  <c r="I227" i="6" s="1"/>
  <c r="B226" i="4"/>
  <c r="B227" i="6" s="1"/>
  <c r="A227" i="4"/>
  <c r="A228" i="6" s="1"/>
  <c r="A230" i="9" s="1"/>
  <c r="C226" i="4"/>
  <c r="C227" i="6" s="1"/>
  <c r="D226" i="4"/>
  <c r="D227" i="6" s="1"/>
  <c r="E226" i="4"/>
  <c r="E227" i="6" s="1"/>
  <c r="F226" i="4"/>
  <c r="F227" i="6" s="1"/>
  <c r="T229" i="9" l="1"/>
  <c r="L229" i="9"/>
  <c r="P229" i="9"/>
  <c r="E230" i="9"/>
  <c r="Q230" i="9" s="1"/>
  <c r="F230" i="9"/>
  <c r="G230" i="9"/>
  <c r="N230" i="9" s="1"/>
  <c r="H230" i="9"/>
  <c r="I230" i="9"/>
  <c r="R230" i="9" s="1"/>
  <c r="B230" i="9"/>
  <c r="J230" i="9"/>
  <c r="U230" i="9"/>
  <c r="D230" i="9"/>
  <c r="C230" i="9"/>
  <c r="M230" i="9" s="1"/>
  <c r="J227" i="6"/>
  <c r="F227" i="4"/>
  <c r="F228" i="6" s="1"/>
  <c r="G227" i="4"/>
  <c r="G228" i="6" s="1"/>
  <c r="H227" i="4"/>
  <c r="H228" i="6" s="1"/>
  <c r="I227" i="4"/>
  <c r="I228" i="6" s="1"/>
  <c r="B227" i="4"/>
  <c r="B228" i="6" s="1"/>
  <c r="A228" i="4"/>
  <c r="A229" i="6" s="1"/>
  <c r="A231" i="9" s="1"/>
  <c r="C227" i="4"/>
  <c r="C228" i="6" s="1"/>
  <c r="D227" i="4"/>
  <c r="D228" i="6" s="1"/>
  <c r="E227" i="4"/>
  <c r="E228" i="6" s="1"/>
  <c r="C231" i="9" l="1"/>
  <c r="M231" i="9" s="1"/>
  <c r="D231" i="9"/>
  <c r="E231" i="9"/>
  <c r="Q231" i="9" s="1"/>
  <c r="F231" i="9"/>
  <c r="G231" i="9"/>
  <c r="N231" i="9" s="1"/>
  <c r="H231" i="9"/>
  <c r="B231" i="9"/>
  <c r="J231" i="9"/>
  <c r="U231" i="9"/>
  <c r="I231" i="9"/>
  <c r="R231" i="9" s="1"/>
  <c r="P230" i="9"/>
  <c r="T230" i="9"/>
  <c r="L230" i="9"/>
  <c r="J228" i="6"/>
  <c r="E228" i="4"/>
  <c r="E229" i="6" s="1"/>
  <c r="F228" i="4"/>
  <c r="F229" i="6" s="1"/>
  <c r="G228" i="4"/>
  <c r="G229" i="6" s="1"/>
  <c r="H228" i="4"/>
  <c r="H229" i="6" s="1"/>
  <c r="I228" i="4"/>
  <c r="I229" i="6" s="1"/>
  <c r="B228" i="4"/>
  <c r="B229" i="6" s="1"/>
  <c r="A229" i="4"/>
  <c r="A230" i="6" s="1"/>
  <c r="A232" i="9" s="1"/>
  <c r="C228" i="4"/>
  <c r="C229" i="6" s="1"/>
  <c r="D228" i="4"/>
  <c r="D229" i="6" s="1"/>
  <c r="L231" i="9" l="1"/>
  <c r="P231" i="9"/>
  <c r="T231" i="9"/>
  <c r="I232" i="9"/>
  <c r="R232" i="9" s="1"/>
  <c r="B232" i="9"/>
  <c r="J232" i="9"/>
  <c r="U232" i="9"/>
  <c r="C232" i="9"/>
  <c r="M232" i="9" s="1"/>
  <c r="D232" i="9"/>
  <c r="E232" i="9"/>
  <c r="Q232" i="9" s="1"/>
  <c r="F232" i="9"/>
  <c r="H232" i="9"/>
  <c r="G232" i="9"/>
  <c r="N232" i="9" s="1"/>
  <c r="J229" i="6"/>
  <c r="D229" i="4"/>
  <c r="D230" i="6" s="1"/>
  <c r="E229" i="4"/>
  <c r="E230" i="6" s="1"/>
  <c r="F229" i="4"/>
  <c r="F230" i="6" s="1"/>
  <c r="G229" i="4"/>
  <c r="G230" i="6" s="1"/>
  <c r="H229" i="4"/>
  <c r="H230" i="6" s="1"/>
  <c r="I229" i="4"/>
  <c r="I230" i="6" s="1"/>
  <c r="B229" i="4"/>
  <c r="B230" i="6" s="1"/>
  <c r="A230" i="4"/>
  <c r="A231" i="6" s="1"/>
  <c r="A233" i="9" s="1"/>
  <c r="C229" i="4"/>
  <c r="C230" i="6" s="1"/>
  <c r="T232" i="9" l="1"/>
  <c r="L232" i="9"/>
  <c r="P232" i="9"/>
  <c r="G233" i="9"/>
  <c r="N233" i="9" s="1"/>
  <c r="H233" i="9"/>
  <c r="I233" i="9"/>
  <c r="R233" i="9" s="1"/>
  <c r="B233" i="9"/>
  <c r="J233" i="9"/>
  <c r="U233" i="9"/>
  <c r="C233" i="9"/>
  <c r="M233" i="9" s="1"/>
  <c r="D233" i="9"/>
  <c r="F233" i="9"/>
  <c r="E233" i="9"/>
  <c r="Q233" i="9" s="1"/>
  <c r="J230" i="6"/>
  <c r="C230" i="4"/>
  <c r="C231" i="6" s="1"/>
  <c r="D230" i="4"/>
  <c r="D231" i="6" s="1"/>
  <c r="E230" i="4"/>
  <c r="E231" i="6" s="1"/>
  <c r="F230" i="4"/>
  <c r="F231" i="6" s="1"/>
  <c r="G230" i="4"/>
  <c r="G231" i="6" s="1"/>
  <c r="H230" i="4"/>
  <c r="H231" i="6" s="1"/>
  <c r="I230" i="4"/>
  <c r="I231" i="6" s="1"/>
  <c r="B230" i="4"/>
  <c r="B231" i="6" s="1"/>
  <c r="A231" i="4"/>
  <c r="A232" i="6" s="1"/>
  <c r="A234" i="9" s="1"/>
  <c r="T233" i="9" l="1"/>
  <c r="L233" i="9"/>
  <c r="P233" i="9"/>
  <c r="E234" i="9"/>
  <c r="Q234" i="9" s="1"/>
  <c r="F234" i="9"/>
  <c r="G234" i="9"/>
  <c r="N234" i="9" s="1"/>
  <c r="H234" i="9"/>
  <c r="I234" i="9"/>
  <c r="R234" i="9" s="1"/>
  <c r="B234" i="9"/>
  <c r="J234" i="9"/>
  <c r="U234" i="9"/>
  <c r="D234" i="9"/>
  <c r="C234" i="9"/>
  <c r="M234" i="9" s="1"/>
  <c r="J231" i="6"/>
  <c r="B231" i="4"/>
  <c r="B232" i="6" s="1"/>
  <c r="A232" i="4"/>
  <c r="A233" i="6" s="1"/>
  <c r="A235" i="9" s="1"/>
  <c r="C231" i="4"/>
  <c r="C232" i="6" s="1"/>
  <c r="D231" i="4"/>
  <c r="D232" i="6" s="1"/>
  <c r="E231" i="4"/>
  <c r="E232" i="6" s="1"/>
  <c r="F231" i="4"/>
  <c r="F232" i="6" s="1"/>
  <c r="G231" i="4"/>
  <c r="G232" i="6" s="1"/>
  <c r="H231" i="4"/>
  <c r="H232" i="6" s="1"/>
  <c r="I231" i="4"/>
  <c r="I232" i="6" s="1"/>
  <c r="C235" i="9" l="1"/>
  <c r="M235" i="9" s="1"/>
  <c r="D235" i="9"/>
  <c r="E235" i="9"/>
  <c r="Q235" i="9" s="1"/>
  <c r="F235" i="9"/>
  <c r="G235" i="9"/>
  <c r="N235" i="9" s="1"/>
  <c r="H235" i="9"/>
  <c r="B235" i="9"/>
  <c r="J235" i="9"/>
  <c r="U235" i="9"/>
  <c r="I235" i="9"/>
  <c r="R235" i="9" s="1"/>
  <c r="P234" i="9"/>
  <c r="T234" i="9"/>
  <c r="L234" i="9"/>
  <c r="J232" i="6"/>
  <c r="I232" i="4"/>
  <c r="I233" i="6" s="1"/>
  <c r="B232" i="4"/>
  <c r="B233" i="6" s="1"/>
  <c r="A233" i="4"/>
  <c r="A234" i="6" s="1"/>
  <c r="A236" i="9" s="1"/>
  <c r="C232" i="4"/>
  <c r="C233" i="6" s="1"/>
  <c r="D232" i="4"/>
  <c r="D233" i="6" s="1"/>
  <c r="E232" i="4"/>
  <c r="E233" i="6" s="1"/>
  <c r="F232" i="4"/>
  <c r="F233" i="6" s="1"/>
  <c r="G232" i="4"/>
  <c r="G233" i="6" s="1"/>
  <c r="H232" i="4"/>
  <c r="H233" i="6" s="1"/>
  <c r="L235" i="9" l="1"/>
  <c r="P235" i="9"/>
  <c r="T235" i="9"/>
  <c r="I236" i="9"/>
  <c r="R236" i="9" s="1"/>
  <c r="B236" i="9"/>
  <c r="J236" i="9"/>
  <c r="U236" i="9"/>
  <c r="C236" i="9"/>
  <c r="M236" i="9" s="1"/>
  <c r="D236" i="9"/>
  <c r="E236" i="9"/>
  <c r="Q236" i="9" s="1"/>
  <c r="F236" i="9"/>
  <c r="H236" i="9"/>
  <c r="G236" i="9"/>
  <c r="N236" i="9" s="1"/>
  <c r="J233" i="6"/>
  <c r="H233" i="4"/>
  <c r="H234" i="6" s="1"/>
  <c r="I233" i="4"/>
  <c r="I234" i="6" s="1"/>
  <c r="B233" i="4"/>
  <c r="B234" i="6" s="1"/>
  <c r="A234" i="4"/>
  <c r="A235" i="6" s="1"/>
  <c r="A237" i="9" s="1"/>
  <c r="C233" i="4"/>
  <c r="C234" i="6" s="1"/>
  <c r="D233" i="4"/>
  <c r="D234" i="6" s="1"/>
  <c r="E233" i="4"/>
  <c r="E234" i="6" s="1"/>
  <c r="F233" i="4"/>
  <c r="F234" i="6" s="1"/>
  <c r="G233" i="4"/>
  <c r="G234" i="6" s="1"/>
  <c r="T236" i="9" l="1"/>
  <c r="L236" i="9"/>
  <c r="P236" i="9"/>
  <c r="G237" i="9"/>
  <c r="N237" i="9" s="1"/>
  <c r="H237" i="9"/>
  <c r="I237" i="9"/>
  <c r="R237" i="9" s="1"/>
  <c r="B237" i="9"/>
  <c r="J237" i="9"/>
  <c r="U237" i="9"/>
  <c r="C237" i="9"/>
  <c r="M237" i="9" s="1"/>
  <c r="D237" i="9"/>
  <c r="F237" i="9"/>
  <c r="E237" i="9"/>
  <c r="Q237" i="9" s="1"/>
  <c r="J234" i="6"/>
  <c r="G234" i="4"/>
  <c r="G235" i="6" s="1"/>
  <c r="H234" i="4"/>
  <c r="H235" i="6" s="1"/>
  <c r="I234" i="4"/>
  <c r="I235" i="6" s="1"/>
  <c r="B234" i="4"/>
  <c r="B235" i="6" s="1"/>
  <c r="A235" i="4"/>
  <c r="A236" i="6" s="1"/>
  <c r="A238" i="9" s="1"/>
  <c r="C234" i="4"/>
  <c r="C235" i="6" s="1"/>
  <c r="D234" i="4"/>
  <c r="D235" i="6" s="1"/>
  <c r="E234" i="4"/>
  <c r="E235" i="6" s="1"/>
  <c r="F234" i="4"/>
  <c r="F235" i="6" s="1"/>
  <c r="T237" i="9" l="1"/>
  <c r="L237" i="9"/>
  <c r="P237" i="9"/>
  <c r="E238" i="9"/>
  <c r="Q238" i="9" s="1"/>
  <c r="F238" i="9"/>
  <c r="G238" i="9"/>
  <c r="N238" i="9" s="1"/>
  <c r="H238" i="9"/>
  <c r="I238" i="9"/>
  <c r="R238" i="9" s="1"/>
  <c r="B238" i="9"/>
  <c r="J238" i="9"/>
  <c r="U238" i="9"/>
  <c r="D238" i="9"/>
  <c r="C238" i="9"/>
  <c r="M238" i="9" s="1"/>
  <c r="J235" i="6"/>
  <c r="F235" i="4"/>
  <c r="F236" i="6" s="1"/>
  <c r="G235" i="4"/>
  <c r="G236" i="6" s="1"/>
  <c r="H235" i="4"/>
  <c r="H236" i="6" s="1"/>
  <c r="I235" i="4"/>
  <c r="I236" i="6" s="1"/>
  <c r="B235" i="4"/>
  <c r="B236" i="6" s="1"/>
  <c r="A236" i="4"/>
  <c r="A237" i="6" s="1"/>
  <c r="A239" i="9" s="1"/>
  <c r="C235" i="4"/>
  <c r="C236" i="6" s="1"/>
  <c r="D235" i="4"/>
  <c r="D236" i="6" s="1"/>
  <c r="E235" i="4"/>
  <c r="E236" i="6" s="1"/>
  <c r="C239" i="9" l="1"/>
  <c r="M239" i="9" s="1"/>
  <c r="D239" i="9"/>
  <c r="E239" i="9"/>
  <c r="Q239" i="9" s="1"/>
  <c r="F239" i="9"/>
  <c r="G239" i="9"/>
  <c r="N239" i="9" s="1"/>
  <c r="H239" i="9"/>
  <c r="B239" i="9"/>
  <c r="J239" i="9"/>
  <c r="U239" i="9"/>
  <c r="I239" i="9"/>
  <c r="R239" i="9" s="1"/>
  <c r="P238" i="9"/>
  <c r="T238" i="9"/>
  <c r="L238" i="9"/>
  <c r="J236" i="6"/>
  <c r="E236" i="4"/>
  <c r="E237" i="6" s="1"/>
  <c r="F236" i="4"/>
  <c r="F237" i="6" s="1"/>
  <c r="G236" i="4"/>
  <c r="G237" i="6" s="1"/>
  <c r="H236" i="4"/>
  <c r="H237" i="6" s="1"/>
  <c r="I236" i="4"/>
  <c r="I237" i="6" s="1"/>
  <c r="B236" i="4"/>
  <c r="B237" i="6" s="1"/>
  <c r="A237" i="4"/>
  <c r="A238" i="6" s="1"/>
  <c r="A240" i="9" s="1"/>
  <c r="C236" i="4"/>
  <c r="C237" i="6" s="1"/>
  <c r="D236" i="4"/>
  <c r="D237" i="6" s="1"/>
  <c r="L239" i="9" l="1"/>
  <c r="P239" i="9"/>
  <c r="T239" i="9"/>
  <c r="I240" i="9"/>
  <c r="R240" i="9" s="1"/>
  <c r="B240" i="9"/>
  <c r="J240" i="9"/>
  <c r="U240" i="9"/>
  <c r="C240" i="9"/>
  <c r="M240" i="9" s="1"/>
  <c r="D240" i="9"/>
  <c r="E240" i="9"/>
  <c r="Q240" i="9" s="1"/>
  <c r="F240" i="9"/>
  <c r="H240" i="9"/>
  <c r="G240" i="9"/>
  <c r="N240" i="9" s="1"/>
  <c r="J237" i="6"/>
  <c r="D237" i="4"/>
  <c r="D238" i="6" s="1"/>
  <c r="E237" i="4"/>
  <c r="E238" i="6" s="1"/>
  <c r="F237" i="4"/>
  <c r="F238" i="6" s="1"/>
  <c r="G237" i="4"/>
  <c r="G238" i="6" s="1"/>
  <c r="H237" i="4"/>
  <c r="H238" i="6" s="1"/>
  <c r="I237" i="4"/>
  <c r="I238" i="6" s="1"/>
  <c r="B237" i="4"/>
  <c r="B238" i="6" s="1"/>
  <c r="A238" i="4"/>
  <c r="A239" i="6" s="1"/>
  <c r="A241" i="9" s="1"/>
  <c r="C237" i="4"/>
  <c r="C238" i="6" s="1"/>
  <c r="T240" i="9" l="1"/>
  <c r="L240" i="9"/>
  <c r="P240" i="9"/>
  <c r="G241" i="9"/>
  <c r="N241" i="9" s="1"/>
  <c r="H241" i="9"/>
  <c r="I241" i="9"/>
  <c r="R241" i="9" s="1"/>
  <c r="B241" i="9"/>
  <c r="J241" i="9"/>
  <c r="U241" i="9"/>
  <c r="C241" i="9"/>
  <c r="M241" i="9" s="1"/>
  <c r="D241" i="9"/>
  <c r="F241" i="9"/>
  <c r="E241" i="9"/>
  <c r="Q241" i="9" s="1"/>
  <c r="J238" i="6"/>
  <c r="C238" i="4"/>
  <c r="C239" i="6" s="1"/>
  <c r="D238" i="4"/>
  <c r="D239" i="6" s="1"/>
  <c r="E238" i="4"/>
  <c r="E239" i="6" s="1"/>
  <c r="F238" i="4"/>
  <c r="F239" i="6" s="1"/>
  <c r="G238" i="4"/>
  <c r="G239" i="6" s="1"/>
  <c r="H238" i="4"/>
  <c r="H239" i="6" s="1"/>
  <c r="I238" i="4"/>
  <c r="I239" i="6" s="1"/>
  <c r="A239" i="4"/>
  <c r="A240" i="6" s="1"/>
  <c r="A242" i="9" s="1"/>
  <c r="B238" i="4"/>
  <c r="B239" i="6" s="1"/>
  <c r="T241" i="9" l="1"/>
  <c r="L241" i="9"/>
  <c r="P241" i="9"/>
  <c r="E242" i="9"/>
  <c r="Q242" i="9" s="1"/>
  <c r="F242" i="9"/>
  <c r="G242" i="9"/>
  <c r="N242" i="9" s="1"/>
  <c r="H242" i="9"/>
  <c r="I242" i="9"/>
  <c r="R242" i="9" s="1"/>
  <c r="B242" i="9"/>
  <c r="J242" i="9"/>
  <c r="U242" i="9"/>
  <c r="C242" i="9"/>
  <c r="M242" i="9" s="1"/>
  <c r="D242" i="9"/>
  <c r="J239" i="6"/>
  <c r="B239" i="4"/>
  <c r="B240" i="6" s="1"/>
  <c r="A240" i="4"/>
  <c r="A241" i="6" s="1"/>
  <c r="A243" i="9" s="1"/>
  <c r="C239" i="4"/>
  <c r="C240" i="6" s="1"/>
  <c r="D239" i="4"/>
  <c r="D240" i="6" s="1"/>
  <c r="E239" i="4"/>
  <c r="E240" i="6" s="1"/>
  <c r="F239" i="4"/>
  <c r="F240" i="6" s="1"/>
  <c r="G239" i="4"/>
  <c r="G240" i="6" s="1"/>
  <c r="H239" i="4"/>
  <c r="H240" i="6" s="1"/>
  <c r="I239" i="4"/>
  <c r="I240" i="6" s="1"/>
  <c r="C243" i="9" l="1"/>
  <c r="M243" i="9" s="1"/>
  <c r="D243" i="9"/>
  <c r="E243" i="9"/>
  <c r="Q243" i="9" s="1"/>
  <c r="F243" i="9"/>
  <c r="G243" i="9"/>
  <c r="N243" i="9" s="1"/>
  <c r="H243" i="9"/>
  <c r="I243" i="9"/>
  <c r="R243" i="9" s="1"/>
  <c r="U243" i="9"/>
  <c r="J243" i="9"/>
  <c r="B243" i="9"/>
  <c r="P242" i="9"/>
  <c r="T242" i="9"/>
  <c r="L242" i="9"/>
  <c r="J240" i="6"/>
  <c r="I240" i="4"/>
  <c r="I241" i="6" s="1"/>
  <c r="B240" i="4"/>
  <c r="B241" i="6" s="1"/>
  <c r="A241" i="4"/>
  <c r="A242" i="6" s="1"/>
  <c r="A244" i="9" s="1"/>
  <c r="C240" i="4"/>
  <c r="C241" i="6" s="1"/>
  <c r="D240" i="4"/>
  <c r="D241" i="6" s="1"/>
  <c r="E240" i="4"/>
  <c r="E241" i="6" s="1"/>
  <c r="F240" i="4"/>
  <c r="F241" i="6" s="1"/>
  <c r="G240" i="4"/>
  <c r="G241" i="6" s="1"/>
  <c r="H240" i="4"/>
  <c r="H241" i="6" s="1"/>
  <c r="I244" i="9" l="1"/>
  <c r="R244" i="9" s="1"/>
  <c r="B244" i="9"/>
  <c r="J244" i="9"/>
  <c r="U244" i="9"/>
  <c r="C244" i="9"/>
  <c r="M244" i="9" s="1"/>
  <c r="D244" i="9"/>
  <c r="E244" i="9"/>
  <c r="Q244" i="9" s="1"/>
  <c r="F244" i="9"/>
  <c r="G244" i="9"/>
  <c r="N244" i="9" s="1"/>
  <c r="H244" i="9"/>
  <c r="L243" i="9"/>
  <c r="P243" i="9"/>
  <c r="T243" i="9"/>
  <c r="J241" i="6"/>
  <c r="H241" i="4"/>
  <c r="H242" i="6" s="1"/>
  <c r="I241" i="4"/>
  <c r="I242" i="6" s="1"/>
  <c r="B241" i="4"/>
  <c r="B242" i="6" s="1"/>
  <c r="A242" i="4"/>
  <c r="A243" i="6" s="1"/>
  <c r="A245" i="9" s="1"/>
  <c r="C241" i="4"/>
  <c r="C242" i="6" s="1"/>
  <c r="D241" i="4"/>
  <c r="D242" i="6" s="1"/>
  <c r="E241" i="4"/>
  <c r="E242" i="6" s="1"/>
  <c r="F241" i="4"/>
  <c r="F242" i="6" s="1"/>
  <c r="G241" i="4"/>
  <c r="G242" i="6" s="1"/>
  <c r="T244" i="9" l="1"/>
  <c r="L244" i="9"/>
  <c r="P244" i="9"/>
  <c r="G245" i="9"/>
  <c r="N245" i="9" s="1"/>
  <c r="H245" i="9"/>
  <c r="I245" i="9"/>
  <c r="R245" i="9" s="1"/>
  <c r="B245" i="9"/>
  <c r="J245" i="9"/>
  <c r="U245" i="9"/>
  <c r="C245" i="9"/>
  <c r="M245" i="9" s="1"/>
  <c r="D245" i="9"/>
  <c r="E245" i="9"/>
  <c r="Q245" i="9" s="1"/>
  <c r="F245" i="9"/>
  <c r="J242" i="6"/>
  <c r="G242" i="4"/>
  <c r="G243" i="6" s="1"/>
  <c r="H242" i="4"/>
  <c r="H243" i="6" s="1"/>
  <c r="I242" i="4"/>
  <c r="I243" i="6" s="1"/>
  <c r="B242" i="4"/>
  <c r="B243" i="6" s="1"/>
  <c r="A243" i="4"/>
  <c r="A244" i="6" s="1"/>
  <c r="A246" i="9" s="1"/>
  <c r="C242" i="4"/>
  <c r="C243" i="6" s="1"/>
  <c r="D242" i="4"/>
  <c r="D243" i="6" s="1"/>
  <c r="E242" i="4"/>
  <c r="E243" i="6" s="1"/>
  <c r="F242" i="4"/>
  <c r="F243" i="6" s="1"/>
  <c r="T245" i="9" l="1"/>
  <c r="L245" i="9"/>
  <c r="P245" i="9"/>
  <c r="E246" i="9"/>
  <c r="Q246" i="9" s="1"/>
  <c r="F246" i="9"/>
  <c r="G246" i="9"/>
  <c r="N246" i="9" s="1"/>
  <c r="H246" i="9"/>
  <c r="I246" i="9"/>
  <c r="R246" i="9" s="1"/>
  <c r="B246" i="9"/>
  <c r="J246" i="9"/>
  <c r="U246" i="9"/>
  <c r="C246" i="9"/>
  <c r="M246" i="9" s="1"/>
  <c r="D246" i="9"/>
  <c r="J243" i="6"/>
  <c r="F243" i="4"/>
  <c r="F244" i="6" s="1"/>
  <c r="G243" i="4"/>
  <c r="G244" i="6" s="1"/>
  <c r="H243" i="4"/>
  <c r="H244" i="6" s="1"/>
  <c r="I243" i="4"/>
  <c r="I244" i="6" s="1"/>
  <c r="B243" i="4"/>
  <c r="B244" i="6" s="1"/>
  <c r="A244" i="4"/>
  <c r="A245" i="6" s="1"/>
  <c r="A247" i="9" s="1"/>
  <c r="C243" i="4"/>
  <c r="C244" i="6" s="1"/>
  <c r="D243" i="4"/>
  <c r="D244" i="6" s="1"/>
  <c r="E243" i="4"/>
  <c r="E244" i="6" s="1"/>
  <c r="P246" i="9" l="1"/>
  <c r="T246" i="9"/>
  <c r="L246" i="9"/>
  <c r="C247" i="9"/>
  <c r="M247" i="9" s="1"/>
  <c r="D247" i="9"/>
  <c r="G247" i="9"/>
  <c r="N247" i="9" s="1"/>
  <c r="E247" i="9"/>
  <c r="Q247" i="9" s="1"/>
  <c r="F247" i="9"/>
  <c r="H247" i="9"/>
  <c r="I247" i="9"/>
  <c r="R247" i="9" s="1"/>
  <c r="J247" i="9"/>
  <c r="B247" i="9"/>
  <c r="U247" i="9"/>
  <c r="J244" i="6"/>
  <c r="E244" i="4"/>
  <c r="E245" i="6" s="1"/>
  <c r="F244" i="4"/>
  <c r="F245" i="6" s="1"/>
  <c r="G244" i="4"/>
  <c r="G245" i="6" s="1"/>
  <c r="H244" i="4"/>
  <c r="H245" i="6" s="1"/>
  <c r="I244" i="4"/>
  <c r="I245" i="6" s="1"/>
  <c r="B244" i="4"/>
  <c r="B245" i="6" s="1"/>
  <c r="A245" i="4"/>
  <c r="A246" i="6" s="1"/>
  <c r="A248" i="9" s="1"/>
  <c r="C244" i="4"/>
  <c r="C245" i="6" s="1"/>
  <c r="D244" i="4"/>
  <c r="D245" i="6" s="1"/>
  <c r="I248" i="9" l="1"/>
  <c r="R248" i="9" s="1"/>
  <c r="B248" i="9"/>
  <c r="J248" i="9"/>
  <c r="U248" i="9"/>
  <c r="C248" i="9"/>
  <c r="M248" i="9" s="1"/>
  <c r="E248" i="9"/>
  <c r="Q248" i="9" s="1"/>
  <c r="D248" i="9"/>
  <c r="F248" i="9"/>
  <c r="H248" i="9"/>
  <c r="G248" i="9"/>
  <c r="N248" i="9" s="1"/>
  <c r="L247" i="9"/>
  <c r="P247" i="9"/>
  <c r="T247" i="9"/>
  <c r="J245" i="6"/>
  <c r="D245" i="4"/>
  <c r="D246" i="6" s="1"/>
  <c r="E245" i="4"/>
  <c r="E246" i="6" s="1"/>
  <c r="F245" i="4"/>
  <c r="F246" i="6" s="1"/>
  <c r="G245" i="4"/>
  <c r="G246" i="6" s="1"/>
  <c r="H245" i="4"/>
  <c r="H246" i="6" s="1"/>
  <c r="I245" i="4"/>
  <c r="I246" i="6" s="1"/>
  <c r="B245" i="4"/>
  <c r="B246" i="6" s="1"/>
  <c r="A246" i="4"/>
  <c r="A247" i="6" s="1"/>
  <c r="A249" i="9" s="1"/>
  <c r="C245" i="4"/>
  <c r="C246" i="6" s="1"/>
  <c r="G249" i="9" l="1"/>
  <c r="N249" i="9" s="1"/>
  <c r="H249" i="9"/>
  <c r="I249" i="9"/>
  <c r="R249" i="9" s="1"/>
  <c r="B249" i="9"/>
  <c r="J249" i="9"/>
  <c r="U249" i="9"/>
  <c r="C249" i="9"/>
  <c r="M249" i="9" s="1"/>
  <c r="F249" i="9"/>
  <c r="D249" i="9"/>
  <c r="E249" i="9"/>
  <c r="Q249" i="9" s="1"/>
  <c r="T248" i="9"/>
  <c r="L248" i="9"/>
  <c r="P248" i="9"/>
  <c r="J246" i="6"/>
  <c r="C246" i="4"/>
  <c r="C247" i="6" s="1"/>
  <c r="D246" i="4"/>
  <c r="D247" i="6" s="1"/>
  <c r="E246" i="4"/>
  <c r="E247" i="6" s="1"/>
  <c r="F246" i="4"/>
  <c r="F247" i="6" s="1"/>
  <c r="G246" i="4"/>
  <c r="G247" i="6" s="1"/>
  <c r="H246" i="4"/>
  <c r="H247" i="6" s="1"/>
  <c r="I246" i="4"/>
  <c r="I247" i="6" s="1"/>
  <c r="B246" i="4"/>
  <c r="B247" i="6" s="1"/>
  <c r="A247" i="4"/>
  <c r="A248" i="6" s="1"/>
  <c r="A250" i="9" s="1"/>
  <c r="T249" i="9" l="1"/>
  <c r="L249" i="9"/>
  <c r="P249" i="9"/>
  <c r="E250" i="9"/>
  <c r="Q250" i="9" s="1"/>
  <c r="F250" i="9"/>
  <c r="I250" i="9"/>
  <c r="R250" i="9" s="1"/>
  <c r="G250" i="9"/>
  <c r="N250" i="9" s="1"/>
  <c r="H250" i="9"/>
  <c r="U250" i="9"/>
  <c r="C250" i="9"/>
  <c r="M250" i="9" s="1"/>
  <c r="J250" i="9"/>
  <c r="B250" i="9"/>
  <c r="D250" i="9"/>
  <c r="J247" i="6"/>
  <c r="B247" i="4"/>
  <c r="B248" i="6" s="1"/>
  <c r="A248" i="4"/>
  <c r="A249" i="6" s="1"/>
  <c r="A251" i="9" s="1"/>
  <c r="C247" i="4"/>
  <c r="C248" i="6" s="1"/>
  <c r="D247" i="4"/>
  <c r="D248" i="6" s="1"/>
  <c r="E247" i="4"/>
  <c r="E248" i="6" s="1"/>
  <c r="F247" i="4"/>
  <c r="F248" i="6" s="1"/>
  <c r="G247" i="4"/>
  <c r="G248" i="6" s="1"/>
  <c r="H247" i="4"/>
  <c r="H248" i="6" s="1"/>
  <c r="I247" i="4"/>
  <c r="I248" i="6" s="1"/>
  <c r="C251" i="9" l="1"/>
  <c r="M251" i="9" s="1"/>
  <c r="D251" i="9"/>
  <c r="E251" i="9"/>
  <c r="Q251" i="9" s="1"/>
  <c r="F251" i="9"/>
  <c r="U251" i="9"/>
  <c r="B251" i="9"/>
  <c r="G251" i="9"/>
  <c r="N251" i="9" s="1"/>
  <c r="H251" i="9"/>
  <c r="I251" i="9"/>
  <c r="R251" i="9" s="1"/>
  <c r="J251" i="9"/>
  <c r="P250" i="9"/>
  <c r="T250" i="9"/>
  <c r="L250" i="9"/>
  <c r="J248" i="6"/>
  <c r="I248" i="4"/>
  <c r="I249" i="6" s="1"/>
  <c r="B248" i="4"/>
  <c r="B249" i="6" s="1"/>
  <c r="A249" i="4"/>
  <c r="A250" i="6" s="1"/>
  <c r="A252" i="9" s="1"/>
  <c r="C248" i="4"/>
  <c r="C249" i="6" s="1"/>
  <c r="D248" i="4"/>
  <c r="D249" i="6" s="1"/>
  <c r="E248" i="4"/>
  <c r="E249" i="6" s="1"/>
  <c r="F248" i="4"/>
  <c r="F249" i="6" s="1"/>
  <c r="G248" i="4"/>
  <c r="G249" i="6" s="1"/>
  <c r="H248" i="4"/>
  <c r="H249" i="6" s="1"/>
  <c r="L251" i="9" l="1"/>
  <c r="P251" i="9"/>
  <c r="T251" i="9"/>
  <c r="I252" i="9"/>
  <c r="R252" i="9" s="1"/>
  <c r="U252" i="9"/>
  <c r="B252" i="9"/>
  <c r="J252" i="9"/>
  <c r="C252" i="9"/>
  <c r="M252" i="9" s="1"/>
  <c r="D252" i="9"/>
  <c r="H252" i="9"/>
  <c r="F252" i="9"/>
  <c r="E252" i="9"/>
  <c r="Q252" i="9" s="1"/>
  <c r="G252" i="9"/>
  <c r="N252" i="9" s="1"/>
  <c r="J249" i="6"/>
  <c r="H249" i="4"/>
  <c r="H250" i="6" s="1"/>
  <c r="I249" i="4"/>
  <c r="I250" i="6" s="1"/>
  <c r="B249" i="4"/>
  <c r="B250" i="6" s="1"/>
  <c r="A250" i="4"/>
  <c r="A251" i="6" s="1"/>
  <c r="A253" i="9" s="1"/>
  <c r="C249" i="4"/>
  <c r="C250" i="6" s="1"/>
  <c r="D249" i="4"/>
  <c r="D250" i="6" s="1"/>
  <c r="E249" i="4"/>
  <c r="E250" i="6" s="1"/>
  <c r="F249" i="4"/>
  <c r="F250" i="6" s="1"/>
  <c r="G249" i="4"/>
  <c r="G250" i="6" s="1"/>
  <c r="I253" i="9" l="1"/>
  <c r="R253" i="9" s="1"/>
  <c r="B253" i="9"/>
  <c r="J253" i="9"/>
  <c r="U253" i="9"/>
  <c r="C253" i="9"/>
  <c r="M253" i="9" s="1"/>
  <c r="D253" i="9"/>
  <c r="E253" i="9"/>
  <c r="Q253" i="9" s="1"/>
  <c r="F253" i="9"/>
  <c r="G253" i="9"/>
  <c r="N253" i="9" s="1"/>
  <c r="H253" i="9"/>
  <c r="T252" i="9"/>
  <c r="L252" i="9"/>
  <c r="P252" i="9"/>
  <c r="J250" i="6"/>
  <c r="G250" i="4"/>
  <c r="G251" i="6" s="1"/>
  <c r="H250" i="4"/>
  <c r="H251" i="6" s="1"/>
  <c r="I250" i="4"/>
  <c r="I251" i="6" s="1"/>
  <c r="B250" i="4"/>
  <c r="B251" i="6" s="1"/>
  <c r="A251" i="4"/>
  <c r="A252" i="6" s="1"/>
  <c r="A254" i="9" s="1"/>
  <c r="C250" i="4"/>
  <c r="C251" i="6" s="1"/>
  <c r="D250" i="4"/>
  <c r="D251" i="6" s="1"/>
  <c r="E250" i="4"/>
  <c r="E251" i="6" s="1"/>
  <c r="F250" i="4"/>
  <c r="F251" i="6" s="1"/>
  <c r="G254" i="9" l="1"/>
  <c r="N254" i="9" s="1"/>
  <c r="H254" i="9"/>
  <c r="I254" i="9"/>
  <c r="R254" i="9" s="1"/>
  <c r="B254" i="9"/>
  <c r="J254" i="9"/>
  <c r="U254" i="9"/>
  <c r="C254" i="9"/>
  <c r="M254" i="9" s="1"/>
  <c r="D254" i="9"/>
  <c r="E254" i="9"/>
  <c r="Q254" i="9" s="1"/>
  <c r="F254" i="9"/>
  <c r="T253" i="9"/>
  <c r="L253" i="9"/>
  <c r="P253" i="9"/>
  <c r="J251" i="6"/>
  <c r="F251" i="4"/>
  <c r="F252" i="6" s="1"/>
  <c r="G251" i="4"/>
  <c r="G252" i="6" s="1"/>
  <c r="H251" i="4"/>
  <c r="H252" i="6" s="1"/>
  <c r="I251" i="4"/>
  <c r="I252" i="6" s="1"/>
  <c r="B251" i="4"/>
  <c r="B252" i="6" s="1"/>
  <c r="A252" i="4"/>
  <c r="A253" i="6" s="1"/>
  <c r="A255" i="9" s="1"/>
  <c r="C251" i="4"/>
  <c r="C252" i="6" s="1"/>
  <c r="D251" i="4"/>
  <c r="D252" i="6" s="1"/>
  <c r="E251" i="4"/>
  <c r="E252" i="6" s="1"/>
  <c r="T254" i="9" l="1"/>
  <c r="L254" i="9"/>
  <c r="P254" i="9"/>
  <c r="E255" i="9"/>
  <c r="Q255" i="9" s="1"/>
  <c r="F255" i="9"/>
  <c r="G255" i="9"/>
  <c r="N255" i="9" s="1"/>
  <c r="H255" i="9"/>
  <c r="I255" i="9"/>
  <c r="R255" i="9" s="1"/>
  <c r="B255" i="9"/>
  <c r="J255" i="9"/>
  <c r="U255" i="9"/>
  <c r="C255" i="9"/>
  <c r="M255" i="9" s="1"/>
  <c r="D255" i="9"/>
  <c r="J252" i="6"/>
  <c r="E252" i="4"/>
  <c r="E253" i="6" s="1"/>
  <c r="F252" i="4"/>
  <c r="F253" i="6" s="1"/>
  <c r="G252" i="4"/>
  <c r="G253" i="6" s="1"/>
  <c r="H252" i="4"/>
  <c r="H253" i="6" s="1"/>
  <c r="I252" i="4"/>
  <c r="I253" i="6" s="1"/>
  <c r="B252" i="4"/>
  <c r="B253" i="6" s="1"/>
  <c r="A253" i="4"/>
  <c r="A254" i="6" s="1"/>
  <c r="A256" i="9" s="1"/>
  <c r="C252" i="4"/>
  <c r="C253" i="6" s="1"/>
  <c r="D252" i="4"/>
  <c r="D253" i="6" s="1"/>
  <c r="C256" i="9" l="1"/>
  <c r="M256" i="9" s="1"/>
  <c r="D256" i="9"/>
  <c r="E256" i="9"/>
  <c r="Q256" i="9" s="1"/>
  <c r="F256" i="9"/>
  <c r="G256" i="9"/>
  <c r="N256" i="9" s="1"/>
  <c r="H256" i="9"/>
  <c r="I256" i="9"/>
  <c r="R256" i="9" s="1"/>
  <c r="B256" i="9"/>
  <c r="J256" i="9"/>
  <c r="U256" i="9"/>
  <c r="P255" i="9"/>
  <c r="T255" i="9"/>
  <c r="L255" i="9"/>
  <c r="J253" i="6"/>
  <c r="D253" i="4"/>
  <c r="D254" i="6" s="1"/>
  <c r="E253" i="4"/>
  <c r="E254" i="6" s="1"/>
  <c r="F253" i="4"/>
  <c r="F254" i="6" s="1"/>
  <c r="G253" i="4"/>
  <c r="G254" i="6" s="1"/>
  <c r="H253" i="4"/>
  <c r="H254" i="6" s="1"/>
  <c r="I253" i="4"/>
  <c r="I254" i="6" s="1"/>
  <c r="B253" i="4"/>
  <c r="B254" i="6" s="1"/>
  <c r="A254" i="4"/>
  <c r="A255" i="6" s="1"/>
  <c r="A257" i="9" s="1"/>
  <c r="C253" i="4"/>
  <c r="C254" i="6" s="1"/>
  <c r="I257" i="9" l="1"/>
  <c r="R257" i="9" s="1"/>
  <c r="B257" i="9"/>
  <c r="J257" i="9"/>
  <c r="U257" i="9"/>
  <c r="C257" i="9"/>
  <c r="M257" i="9" s="1"/>
  <c r="D257" i="9"/>
  <c r="E257" i="9"/>
  <c r="Q257" i="9" s="1"/>
  <c r="F257" i="9"/>
  <c r="G257" i="9"/>
  <c r="N257" i="9" s="1"/>
  <c r="H257" i="9"/>
  <c r="L256" i="9"/>
  <c r="P256" i="9"/>
  <c r="T256" i="9"/>
  <c r="J254" i="6"/>
  <c r="C254" i="4"/>
  <c r="C255" i="6" s="1"/>
  <c r="D254" i="4"/>
  <c r="D255" i="6" s="1"/>
  <c r="E254" i="4"/>
  <c r="E255" i="6" s="1"/>
  <c r="F254" i="4"/>
  <c r="F255" i="6" s="1"/>
  <c r="G254" i="4"/>
  <c r="G255" i="6" s="1"/>
  <c r="H254" i="4"/>
  <c r="H255" i="6" s="1"/>
  <c r="I254" i="4"/>
  <c r="I255" i="6" s="1"/>
  <c r="B254" i="4"/>
  <c r="B255" i="6" s="1"/>
  <c r="A255" i="4"/>
  <c r="A256" i="6" s="1"/>
  <c r="A258" i="9" s="1"/>
  <c r="G258" i="9" l="1"/>
  <c r="N258" i="9" s="1"/>
  <c r="H258" i="9"/>
  <c r="I258" i="9"/>
  <c r="R258" i="9" s="1"/>
  <c r="B258" i="9"/>
  <c r="J258" i="9"/>
  <c r="U258" i="9"/>
  <c r="C258" i="9"/>
  <c r="M258" i="9" s="1"/>
  <c r="D258" i="9"/>
  <c r="E258" i="9"/>
  <c r="Q258" i="9" s="1"/>
  <c r="F258" i="9"/>
  <c r="T257" i="9"/>
  <c r="L257" i="9"/>
  <c r="P257" i="9"/>
  <c r="J255" i="6"/>
  <c r="B255" i="4"/>
  <c r="B256" i="6" s="1"/>
  <c r="A256" i="4"/>
  <c r="A257" i="6" s="1"/>
  <c r="A259" i="9" s="1"/>
  <c r="C255" i="4"/>
  <c r="C256" i="6" s="1"/>
  <c r="D255" i="4"/>
  <c r="D256" i="6" s="1"/>
  <c r="E255" i="4"/>
  <c r="E256" i="6" s="1"/>
  <c r="F255" i="4"/>
  <c r="F256" i="6" s="1"/>
  <c r="G255" i="4"/>
  <c r="G256" i="6" s="1"/>
  <c r="H255" i="4"/>
  <c r="H256" i="6" s="1"/>
  <c r="I255" i="4"/>
  <c r="I256" i="6" s="1"/>
  <c r="E259" i="9" l="1"/>
  <c r="Q259" i="9" s="1"/>
  <c r="F259" i="9"/>
  <c r="G259" i="9"/>
  <c r="N259" i="9" s="1"/>
  <c r="H259" i="9"/>
  <c r="I259" i="9"/>
  <c r="R259" i="9" s="1"/>
  <c r="B259" i="9"/>
  <c r="J259" i="9"/>
  <c r="U259" i="9"/>
  <c r="C259" i="9"/>
  <c r="M259" i="9" s="1"/>
  <c r="D259" i="9"/>
  <c r="T258" i="9"/>
  <c r="L258" i="9"/>
  <c r="P258" i="9"/>
  <c r="J256" i="6"/>
  <c r="I256" i="4"/>
  <c r="I257" i="6" s="1"/>
  <c r="B256" i="4"/>
  <c r="B257" i="6" s="1"/>
  <c r="A257" i="4"/>
  <c r="A258" i="6" s="1"/>
  <c r="A260" i="9" s="1"/>
  <c r="C256" i="4"/>
  <c r="C257" i="6" s="1"/>
  <c r="D256" i="4"/>
  <c r="D257" i="6" s="1"/>
  <c r="E256" i="4"/>
  <c r="E257" i="6" s="1"/>
  <c r="F256" i="4"/>
  <c r="F257" i="6" s="1"/>
  <c r="G256" i="4"/>
  <c r="G257" i="6" s="1"/>
  <c r="H256" i="4"/>
  <c r="H257" i="6" s="1"/>
  <c r="P259" i="9" l="1"/>
  <c r="T259" i="9"/>
  <c r="L259" i="9"/>
  <c r="C260" i="9"/>
  <c r="M260" i="9" s="1"/>
  <c r="D260" i="9"/>
  <c r="E260" i="9"/>
  <c r="Q260" i="9" s="1"/>
  <c r="F260" i="9"/>
  <c r="G260" i="9"/>
  <c r="N260" i="9" s="1"/>
  <c r="H260" i="9"/>
  <c r="I260" i="9"/>
  <c r="R260" i="9" s="1"/>
  <c r="B260" i="9"/>
  <c r="J260" i="9"/>
  <c r="U260" i="9"/>
  <c r="J257" i="6"/>
  <c r="H257" i="4"/>
  <c r="H258" i="6" s="1"/>
  <c r="I257" i="4"/>
  <c r="I258" i="6" s="1"/>
  <c r="B257" i="4"/>
  <c r="B258" i="6" s="1"/>
  <c r="A258" i="4"/>
  <c r="A259" i="6" s="1"/>
  <c r="A261" i="9" s="1"/>
  <c r="C257" i="4"/>
  <c r="C258" i="6" s="1"/>
  <c r="D257" i="4"/>
  <c r="D258" i="6" s="1"/>
  <c r="E257" i="4"/>
  <c r="E258" i="6" s="1"/>
  <c r="F257" i="4"/>
  <c r="F258" i="6" s="1"/>
  <c r="G257" i="4"/>
  <c r="G258" i="6" s="1"/>
  <c r="L260" i="9" l="1"/>
  <c r="P260" i="9"/>
  <c r="T260" i="9"/>
  <c r="I261" i="9"/>
  <c r="R261" i="9" s="1"/>
  <c r="B261" i="9"/>
  <c r="J261" i="9"/>
  <c r="U261" i="9"/>
  <c r="C261" i="9"/>
  <c r="M261" i="9" s="1"/>
  <c r="D261" i="9"/>
  <c r="E261" i="9"/>
  <c r="Q261" i="9" s="1"/>
  <c r="F261" i="9"/>
  <c r="G261" i="9"/>
  <c r="N261" i="9" s="1"/>
  <c r="H261" i="9"/>
  <c r="J258" i="6"/>
  <c r="G258" i="4"/>
  <c r="G259" i="6" s="1"/>
  <c r="H258" i="4"/>
  <c r="H259" i="6" s="1"/>
  <c r="I258" i="4"/>
  <c r="I259" i="6" s="1"/>
  <c r="B258" i="4"/>
  <c r="B259" i="6" s="1"/>
  <c r="A259" i="4"/>
  <c r="A260" i="6" s="1"/>
  <c r="A262" i="9" s="1"/>
  <c r="C258" i="4"/>
  <c r="C259" i="6" s="1"/>
  <c r="D258" i="4"/>
  <c r="D259" i="6" s="1"/>
  <c r="E258" i="4"/>
  <c r="E259" i="6" s="1"/>
  <c r="F258" i="4"/>
  <c r="F259" i="6" s="1"/>
  <c r="T261" i="9" l="1"/>
  <c r="L261" i="9"/>
  <c r="P261" i="9"/>
  <c r="G262" i="9"/>
  <c r="N262" i="9" s="1"/>
  <c r="H262" i="9"/>
  <c r="I262" i="9"/>
  <c r="R262" i="9" s="1"/>
  <c r="B262" i="9"/>
  <c r="J262" i="9"/>
  <c r="U262" i="9"/>
  <c r="C262" i="9"/>
  <c r="M262" i="9" s="1"/>
  <c r="D262" i="9"/>
  <c r="E262" i="9"/>
  <c r="Q262" i="9" s="1"/>
  <c r="F262" i="9"/>
  <c r="J259" i="6"/>
  <c r="F259" i="4"/>
  <c r="F260" i="6" s="1"/>
  <c r="G259" i="4"/>
  <c r="G260" i="6" s="1"/>
  <c r="H259" i="4"/>
  <c r="H260" i="6" s="1"/>
  <c r="I259" i="4"/>
  <c r="I260" i="6" s="1"/>
  <c r="B259" i="4"/>
  <c r="B260" i="6" s="1"/>
  <c r="A260" i="4"/>
  <c r="A261" i="6" s="1"/>
  <c r="A263" i="9" s="1"/>
  <c r="C259" i="4"/>
  <c r="C260" i="6" s="1"/>
  <c r="D259" i="4"/>
  <c r="D260" i="6" s="1"/>
  <c r="E259" i="4"/>
  <c r="E260" i="6" s="1"/>
  <c r="T262" i="9" l="1"/>
  <c r="L262" i="9"/>
  <c r="P262" i="9"/>
  <c r="E263" i="9"/>
  <c r="Q263" i="9" s="1"/>
  <c r="F263" i="9"/>
  <c r="G263" i="9"/>
  <c r="N263" i="9" s="1"/>
  <c r="H263" i="9"/>
  <c r="I263" i="9"/>
  <c r="R263" i="9" s="1"/>
  <c r="B263" i="9"/>
  <c r="J263" i="9"/>
  <c r="U263" i="9"/>
  <c r="C263" i="9"/>
  <c r="M263" i="9" s="1"/>
  <c r="D263" i="9"/>
  <c r="J260" i="6"/>
  <c r="E260" i="4"/>
  <c r="E261" i="6" s="1"/>
  <c r="F260" i="4"/>
  <c r="F261" i="6" s="1"/>
  <c r="G260" i="4"/>
  <c r="G261" i="6" s="1"/>
  <c r="H260" i="4"/>
  <c r="H261" i="6" s="1"/>
  <c r="I260" i="4"/>
  <c r="I261" i="6" s="1"/>
  <c r="B260" i="4"/>
  <c r="B261" i="6" s="1"/>
  <c r="A261" i="4"/>
  <c r="A262" i="6" s="1"/>
  <c r="A264" i="9" s="1"/>
  <c r="C260" i="4"/>
  <c r="C261" i="6" s="1"/>
  <c r="D260" i="4"/>
  <c r="D261" i="6" s="1"/>
  <c r="C264" i="9" l="1"/>
  <c r="M264" i="9" s="1"/>
  <c r="D264" i="9"/>
  <c r="E264" i="9"/>
  <c r="Q264" i="9" s="1"/>
  <c r="F264" i="9"/>
  <c r="G264" i="9"/>
  <c r="N264" i="9" s="1"/>
  <c r="H264" i="9"/>
  <c r="I264" i="9"/>
  <c r="R264" i="9" s="1"/>
  <c r="B264" i="9"/>
  <c r="J264" i="9"/>
  <c r="U264" i="9"/>
  <c r="P263" i="9"/>
  <c r="T263" i="9"/>
  <c r="L263" i="9"/>
  <c r="J261" i="6"/>
  <c r="D261" i="4"/>
  <c r="D262" i="6" s="1"/>
  <c r="E261" i="4"/>
  <c r="E262" i="6" s="1"/>
  <c r="F261" i="4"/>
  <c r="F262" i="6" s="1"/>
  <c r="G261" i="4"/>
  <c r="G262" i="6" s="1"/>
  <c r="H261" i="4"/>
  <c r="H262" i="6" s="1"/>
  <c r="I261" i="4"/>
  <c r="I262" i="6" s="1"/>
  <c r="B261" i="4"/>
  <c r="B262" i="6" s="1"/>
  <c r="A262" i="4"/>
  <c r="A263" i="6" s="1"/>
  <c r="A265" i="9" s="1"/>
  <c r="C261" i="4"/>
  <c r="C262" i="6" s="1"/>
  <c r="I265" i="9" l="1"/>
  <c r="R265" i="9" s="1"/>
  <c r="B265" i="9"/>
  <c r="J265" i="9"/>
  <c r="U265" i="9"/>
  <c r="C265" i="9"/>
  <c r="M265" i="9" s="1"/>
  <c r="D265" i="9"/>
  <c r="E265" i="9"/>
  <c r="Q265" i="9" s="1"/>
  <c r="F265" i="9"/>
  <c r="G265" i="9"/>
  <c r="N265" i="9" s="1"/>
  <c r="H265" i="9"/>
  <c r="L264" i="9"/>
  <c r="P264" i="9"/>
  <c r="T264" i="9"/>
  <c r="J262" i="6"/>
  <c r="C262" i="4"/>
  <c r="C263" i="6" s="1"/>
  <c r="D262" i="4"/>
  <c r="D263" i="6" s="1"/>
  <c r="E262" i="4"/>
  <c r="E263" i="6" s="1"/>
  <c r="F262" i="4"/>
  <c r="F263" i="6" s="1"/>
  <c r="G262" i="4"/>
  <c r="G263" i="6" s="1"/>
  <c r="H262" i="4"/>
  <c r="H263" i="6" s="1"/>
  <c r="I262" i="4"/>
  <c r="I263" i="6" s="1"/>
  <c r="B262" i="4"/>
  <c r="B263" i="6" s="1"/>
  <c r="A263" i="4"/>
  <c r="A264" i="6" s="1"/>
  <c r="A266" i="9" s="1"/>
  <c r="T265" i="9" l="1"/>
  <c r="L265" i="9"/>
  <c r="P265" i="9"/>
  <c r="G266" i="9"/>
  <c r="N266" i="9" s="1"/>
  <c r="H266" i="9"/>
  <c r="I266" i="9"/>
  <c r="R266" i="9" s="1"/>
  <c r="B266" i="9"/>
  <c r="J266" i="9"/>
  <c r="U266" i="9"/>
  <c r="C266" i="9"/>
  <c r="M266" i="9" s="1"/>
  <c r="D266" i="9"/>
  <c r="E266" i="9"/>
  <c r="Q266" i="9" s="1"/>
  <c r="F266" i="9"/>
  <c r="J263" i="6"/>
  <c r="B263" i="4"/>
  <c r="B264" i="6" s="1"/>
  <c r="A264" i="4"/>
  <c r="A265" i="6" s="1"/>
  <c r="A267" i="9" s="1"/>
  <c r="C263" i="4"/>
  <c r="C264" i="6" s="1"/>
  <c r="D263" i="4"/>
  <c r="D264" i="6" s="1"/>
  <c r="E263" i="4"/>
  <c r="E264" i="6" s="1"/>
  <c r="F263" i="4"/>
  <c r="F264" i="6" s="1"/>
  <c r="G263" i="4"/>
  <c r="G264" i="6" s="1"/>
  <c r="H263" i="4"/>
  <c r="H264" i="6" s="1"/>
  <c r="I263" i="4"/>
  <c r="I264" i="6" s="1"/>
  <c r="E267" i="9" l="1"/>
  <c r="Q267" i="9" s="1"/>
  <c r="F267" i="9"/>
  <c r="G267" i="9"/>
  <c r="N267" i="9" s="1"/>
  <c r="H267" i="9"/>
  <c r="I267" i="9"/>
  <c r="R267" i="9" s="1"/>
  <c r="B267" i="9"/>
  <c r="J267" i="9"/>
  <c r="U267" i="9"/>
  <c r="C267" i="9"/>
  <c r="M267" i="9" s="1"/>
  <c r="D267" i="9"/>
  <c r="T266" i="9"/>
  <c r="L266" i="9"/>
  <c r="P266" i="9"/>
  <c r="J264" i="6"/>
  <c r="I264" i="4"/>
  <c r="I265" i="6" s="1"/>
  <c r="B264" i="4"/>
  <c r="B265" i="6" s="1"/>
  <c r="A265" i="4"/>
  <c r="A266" i="6" s="1"/>
  <c r="A268" i="9" s="1"/>
  <c r="C264" i="4"/>
  <c r="C265" i="6" s="1"/>
  <c r="D264" i="4"/>
  <c r="D265" i="6" s="1"/>
  <c r="E264" i="4"/>
  <c r="E265" i="6" s="1"/>
  <c r="F264" i="4"/>
  <c r="F265" i="6" s="1"/>
  <c r="G264" i="4"/>
  <c r="G265" i="6" s="1"/>
  <c r="H264" i="4"/>
  <c r="H265" i="6" s="1"/>
  <c r="P267" i="9" l="1"/>
  <c r="T267" i="9"/>
  <c r="L267" i="9"/>
  <c r="C268" i="9"/>
  <c r="M268" i="9" s="1"/>
  <c r="D268" i="9"/>
  <c r="E268" i="9"/>
  <c r="Q268" i="9" s="1"/>
  <c r="F268" i="9"/>
  <c r="G268" i="9"/>
  <c r="N268" i="9" s="1"/>
  <c r="H268" i="9"/>
  <c r="I268" i="9"/>
  <c r="R268" i="9" s="1"/>
  <c r="B268" i="9"/>
  <c r="J268" i="9"/>
  <c r="U268" i="9"/>
  <c r="J265" i="6"/>
  <c r="H265" i="4"/>
  <c r="H266" i="6" s="1"/>
  <c r="I265" i="4"/>
  <c r="I266" i="6" s="1"/>
  <c r="B265" i="4"/>
  <c r="B266" i="6" s="1"/>
  <c r="A266" i="4"/>
  <c r="A267" i="6" s="1"/>
  <c r="A269" i="9" s="1"/>
  <c r="C265" i="4"/>
  <c r="C266" i="6" s="1"/>
  <c r="D265" i="4"/>
  <c r="D266" i="6" s="1"/>
  <c r="E265" i="4"/>
  <c r="E266" i="6" s="1"/>
  <c r="F265" i="4"/>
  <c r="F266" i="6" s="1"/>
  <c r="G265" i="4"/>
  <c r="G266" i="6" s="1"/>
  <c r="L268" i="9" l="1"/>
  <c r="P268" i="9"/>
  <c r="T268" i="9"/>
  <c r="I269" i="9"/>
  <c r="R269" i="9" s="1"/>
  <c r="B269" i="9"/>
  <c r="J269" i="9"/>
  <c r="U269" i="9"/>
  <c r="C269" i="9"/>
  <c r="M269" i="9" s="1"/>
  <c r="D269" i="9"/>
  <c r="E269" i="9"/>
  <c r="Q269" i="9" s="1"/>
  <c r="F269" i="9"/>
  <c r="G269" i="9"/>
  <c r="N269" i="9" s="1"/>
  <c r="H269" i="9"/>
  <c r="J266" i="6"/>
  <c r="G266" i="4"/>
  <c r="G267" i="6" s="1"/>
  <c r="H266" i="4"/>
  <c r="H267" i="6" s="1"/>
  <c r="I266" i="4"/>
  <c r="I267" i="6" s="1"/>
  <c r="B266" i="4"/>
  <c r="B267" i="6" s="1"/>
  <c r="A267" i="4"/>
  <c r="A268" i="6" s="1"/>
  <c r="A270" i="9" s="1"/>
  <c r="C266" i="4"/>
  <c r="C267" i="6" s="1"/>
  <c r="D266" i="4"/>
  <c r="D267" i="6" s="1"/>
  <c r="E266" i="4"/>
  <c r="E267" i="6" s="1"/>
  <c r="F266" i="4"/>
  <c r="F267" i="6" s="1"/>
  <c r="T269" i="9" l="1"/>
  <c r="L269" i="9"/>
  <c r="P269" i="9"/>
  <c r="G270" i="9"/>
  <c r="N270" i="9" s="1"/>
  <c r="H270" i="9"/>
  <c r="I270" i="9"/>
  <c r="R270" i="9" s="1"/>
  <c r="B270" i="9"/>
  <c r="J270" i="9"/>
  <c r="U270" i="9"/>
  <c r="C270" i="9"/>
  <c r="M270" i="9" s="1"/>
  <c r="D270" i="9"/>
  <c r="E270" i="9"/>
  <c r="Q270" i="9" s="1"/>
  <c r="F270" i="9"/>
  <c r="J267" i="6"/>
  <c r="F267" i="4"/>
  <c r="F268" i="6" s="1"/>
  <c r="G267" i="4"/>
  <c r="G268" i="6" s="1"/>
  <c r="H267" i="4"/>
  <c r="H268" i="6" s="1"/>
  <c r="I267" i="4"/>
  <c r="I268" i="6" s="1"/>
  <c r="B267" i="4"/>
  <c r="B268" i="6" s="1"/>
  <c r="A268" i="4"/>
  <c r="A269" i="6" s="1"/>
  <c r="A271" i="9" s="1"/>
  <c r="C267" i="4"/>
  <c r="C268" i="6" s="1"/>
  <c r="D267" i="4"/>
  <c r="D268" i="6" s="1"/>
  <c r="E267" i="4"/>
  <c r="E268" i="6" s="1"/>
  <c r="T270" i="9" l="1"/>
  <c r="L270" i="9"/>
  <c r="P270" i="9"/>
  <c r="E271" i="9"/>
  <c r="Q271" i="9" s="1"/>
  <c r="F271" i="9"/>
  <c r="G271" i="9"/>
  <c r="N271" i="9" s="1"/>
  <c r="H271" i="9"/>
  <c r="I271" i="9"/>
  <c r="R271" i="9" s="1"/>
  <c r="B271" i="9"/>
  <c r="J271" i="9"/>
  <c r="U271" i="9"/>
  <c r="C271" i="9"/>
  <c r="M271" i="9" s="1"/>
  <c r="D271" i="9"/>
  <c r="J268" i="6"/>
  <c r="E268" i="4"/>
  <c r="E269" i="6" s="1"/>
  <c r="F268" i="4"/>
  <c r="F269" i="6" s="1"/>
  <c r="G268" i="4"/>
  <c r="G269" i="6" s="1"/>
  <c r="H268" i="4"/>
  <c r="H269" i="6" s="1"/>
  <c r="I268" i="4"/>
  <c r="I269" i="6" s="1"/>
  <c r="B268" i="4"/>
  <c r="B269" i="6" s="1"/>
  <c r="A269" i="4"/>
  <c r="A270" i="6" s="1"/>
  <c r="A272" i="9" s="1"/>
  <c r="C268" i="4"/>
  <c r="C269" i="6" s="1"/>
  <c r="D268" i="4"/>
  <c r="D269" i="6" s="1"/>
  <c r="C272" i="9" l="1"/>
  <c r="M272" i="9" s="1"/>
  <c r="D272" i="9"/>
  <c r="E272" i="9"/>
  <c r="Q272" i="9" s="1"/>
  <c r="F272" i="9"/>
  <c r="G272" i="9"/>
  <c r="N272" i="9" s="1"/>
  <c r="H272" i="9"/>
  <c r="I272" i="9"/>
  <c r="R272" i="9" s="1"/>
  <c r="B272" i="9"/>
  <c r="J272" i="9"/>
  <c r="U272" i="9"/>
  <c r="P271" i="9"/>
  <c r="T271" i="9"/>
  <c r="L271" i="9"/>
  <c r="J269" i="6"/>
  <c r="D269" i="4"/>
  <c r="D270" i="6" s="1"/>
  <c r="E269" i="4"/>
  <c r="E270" i="6" s="1"/>
  <c r="F269" i="4"/>
  <c r="F270" i="6" s="1"/>
  <c r="G269" i="4"/>
  <c r="G270" i="6" s="1"/>
  <c r="H269" i="4"/>
  <c r="H270" i="6" s="1"/>
  <c r="I269" i="4"/>
  <c r="I270" i="6" s="1"/>
  <c r="B269" i="4"/>
  <c r="B270" i="6" s="1"/>
  <c r="A270" i="4"/>
  <c r="A271" i="6" s="1"/>
  <c r="A273" i="9" s="1"/>
  <c r="C269" i="4"/>
  <c r="C270" i="6" s="1"/>
  <c r="I273" i="9" l="1"/>
  <c r="R273" i="9" s="1"/>
  <c r="B273" i="9"/>
  <c r="J273" i="9"/>
  <c r="U273" i="9"/>
  <c r="C273" i="9"/>
  <c r="M273" i="9" s="1"/>
  <c r="D273" i="9"/>
  <c r="E273" i="9"/>
  <c r="Q273" i="9" s="1"/>
  <c r="F273" i="9"/>
  <c r="G273" i="9"/>
  <c r="N273" i="9" s="1"/>
  <c r="H273" i="9"/>
  <c r="L272" i="9"/>
  <c r="P272" i="9"/>
  <c r="T272" i="9"/>
  <c r="J270" i="6"/>
  <c r="C270" i="4"/>
  <c r="C271" i="6" s="1"/>
  <c r="D270" i="4"/>
  <c r="D271" i="6" s="1"/>
  <c r="E270" i="4"/>
  <c r="E271" i="6" s="1"/>
  <c r="F270" i="4"/>
  <c r="F271" i="6" s="1"/>
  <c r="G270" i="4"/>
  <c r="G271" i="6" s="1"/>
  <c r="H270" i="4"/>
  <c r="H271" i="6" s="1"/>
  <c r="I270" i="4"/>
  <c r="I271" i="6" s="1"/>
  <c r="B270" i="4"/>
  <c r="B271" i="6" s="1"/>
  <c r="A271" i="4"/>
  <c r="A272" i="6" s="1"/>
  <c r="A274" i="9" s="1"/>
  <c r="G274" i="9" l="1"/>
  <c r="N274" i="9" s="1"/>
  <c r="H274" i="9"/>
  <c r="I274" i="9"/>
  <c r="R274" i="9" s="1"/>
  <c r="B274" i="9"/>
  <c r="J274" i="9"/>
  <c r="U274" i="9"/>
  <c r="C274" i="9"/>
  <c r="M274" i="9" s="1"/>
  <c r="D274" i="9"/>
  <c r="E274" i="9"/>
  <c r="Q274" i="9" s="1"/>
  <c r="F274" i="9"/>
  <c r="T273" i="9"/>
  <c r="L273" i="9"/>
  <c r="P273" i="9"/>
  <c r="J271" i="6"/>
  <c r="B271" i="4"/>
  <c r="B272" i="6" s="1"/>
  <c r="A272" i="4"/>
  <c r="A273" i="6" s="1"/>
  <c r="A275" i="9" s="1"/>
  <c r="C271" i="4"/>
  <c r="C272" i="6" s="1"/>
  <c r="D271" i="4"/>
  <c r="D272" i="6" s="1"/>
  <c r="E271" i="4"/>
  <c r="E272" i="6" s="1"/>
  <c r="F271" i="4"/>
  <c r="F272" i="6" s="1"/>
  <c r="G271" i="4"/>
  <c r="G272" i="6" s="1"/>
  <c r="H271" i="4"/>
  <c r="H272" i="6" s="1"/>
  <c r="I271" i="4"/>
  <c r="I272" i="6" s="1"/>
  <c r="T274" i="9" l="1"/>
  <c r="L274" i="9"/>
  <c r="P274" i="9"/>
  <c r="E275" i="9"/>
  <c r="Q275" i="9" s="1"/>
  <c r="F275" i="9"/>
  <c r="G275" i="9"/>
  <c r="N275" i="9" s="1"/>
  <c r="H275" i="9"/>
  <c r="I275" i="9"/>
  <c r="R275" i="9" s="1"/>
  <c r="B275" i="9"/>
  <c r="J275" i="9"/>
  <c r="U275" i="9"/>
  <c r="C275" i="9"/>
  <c r="M275" i="9" s="1"/>
  <c r="D275" i="9"/>
  <c r="J272" i="6"/>
  <c r="I272" i="4"/>
  <c r="I273" i="6" s="1"/>
  <c r="B272" i="4"/>
  <c r="B273" i="6" s="1"/>
  <c r="A273" i="4"/>
  <c r="A274" i="6" s="1"/>
  <c r="A276" i="9" s="1"/>
  <c r="C272" i="4"/>
  <c r="C273" i="6" s="1"/>
  <c r="D272" i="4"/>
  <c r="D273" i="6" s="1"/>
  <c r="E272" i="4"/>
  <c r="E273" i="6" s="1"/>
  <c r="F272" i="4"/>
  <c r="F273" i="6" s="1"/>
  <c r="G272" i="4"/>
  <c r="G273" i="6" s="1"/>
  <c r="H272" i="4"/>
  <c r="H273" i="6" s="1"/>
  <c r="P275" i="9" l="1"/>
  <c r="T275" i="9"/>
  <c r="L275" i="9"/>
  <c r="C276" i="9"/>
  <c r="M276" i="9" s="1"/>
  <c r="D276" i="9"/>
  <c r="E276" i="9"/>
  <c r="Q276" i="9" s="1"/>
  <c r="F276" i="9"/>
  <c r="G276" i="9"/>
  <c r="N276" i="9" s="1"/>
  <c r="H276" i="9"/>
  <c r="I276" i="9"/>
  <c r="R276" i="9" s="1"/>
  <c r="B276" i="9"/>
  <c r="J276" i="9"/>
  <c r="U276" i="9"/>
  <c r="J273" i="6"/>
  <c r="H273" i="4"/>
  <c r="H274" i="6" s="1"/>
  <c r="I273" i="4"/>
  <c r="I274" i="6" s="1"/>
  <c r="B273" i="4"/>
  <c r="B274" i="6" s="1"/>
  <c r="A274" i="4"/>
  <c r="A275" i="6" s="1"/>
  <c r="A277" i="9" s="1"/>
  <c r="C273" i="4"/>
  <c r="C274" i="6" s="1"/>
  <c r="D273" i="4"/>
  <c r="D274" i="6" s="1"/>
  <c r="E273" i="4"/>
  <c r="E274" i="6" s="1"/>
  <c r="F273" i="4"/>
  <c r="F274" i="6" s="1"/>
  <c r="G273" i="4"/>
  <c r="G274" i="6" s="1"/>
  <c r="L276" i="9" l="1"/>
  <c r="P276" i="9"/>
  <c r="T276" i="9"/>
  <c r="I277" i="9"/>
  <c r="R277" i="9" s="1"/>
  <c r="B277" i="9"/>
  <c r="J277" i="9"/>
  <c r="U277" i="9"/>
  <c r="C277" i="9"/>
  <c r="M277" i="9" s="1"/>
  <c r="D277" i="9"/>
  <c r="E277" i="9"/>
  <c r="Q277" i="9" s="1"/>
  <c r="F277" i="9"/>
  <c r="G277" i="9"/>
  <c r="N277" i="9" s="1"/>
  <c r="H277" i="9"/>
  <c r="J274" i="6"/>
  <c r="G274" i="4"/>
  <c r="G275" i="6" s="1"/>
  <c r="H274" i="4"/>
  <c r="H275" i="6" s="1"/>
  <c r="I274" i="4"/>
  <c r="I275" i="6" s="1"/>
  <c r="B274" i="4"/>
  <c r="B275" i="6" s="1"/>
  <c r="A275" i="4"/>
  <c r="A276" i="6" s="1"/>
  <c r="A278" i="9" s="1"/>
  <c r="C274" i="4"/>
  <c r="C275" i="6" s="1"/>
  <c r="D274" i="4"/>
  <c r="D275" i="6" s="1"/>
  <c r="E274" i="4"/>
  <c r="E275" i="6" s="1"/>
  <c r="F274" i="4"/>
  <c r="F275" i="6" s="1"/>
  <c r="T277" i="9" l="1"/>
  <c r="L277" i="9"/>
  <c r="P277" i="9"/>
  <c r="G278" i="9"/>
  <c r="N278" i="9" s="1"/>
  <c r="H278" i="9"/>
  <c r="I278" i="9"/>
  <c r="R278" i="9" s="1"/>
  <c r="B278" i="9"/>
  <c r="J278" i="9"/>
  <c r="U278" i="9"/>
  <c r="C278" i="9"/>
  <c r="M278" i="9" s="1"/>
  <c r="D278" i="9"/>
  <c r="E278" i="9"/>
  <c r="Q278" i="9" s="1"/>
  <c r="F278" i="9"/>
  <c r="J275" i="6"/>
  <c r="F275" i="4"/>
  <c r="F276" i="6" s="1"/>
  <c r="G275" i="4"/>
  <c r="G276" i="6" s="1"/>
  <c r="H275" i="4"/>
  <c r="H276" i="6" s="1"/>
  <c r="I275" i="4"/>
  <c r="I276" i="6" s="1"/>
  <c r="B275" i="4"/>
  <c r="B276" i="6" s="1"/>
  <c r="A276" i="4"/>
  <c r="A277" i="6" s="1"/>
  <c r="A279" i="9" s="1"/>
  <c r="C275" i="4"/>
  <c r="C276" i="6" s="1"/>
  <c r="D275" i="4"/>
  <c r="D276" i="6" s="1"/>
  <c r="E275" i="4"/>
  <c r="E276" i="6" s="1"/>
  <c r="T278" i="9" l="1"/>
  <c r="L278" i="9"/>
  <c r="P278" i="9"/>
  <c r="E279" i="9"/>
  <c r="Q279" i="9" s="1"/>
  <c r="F279" i="9"/>
  <c r="G279" i="9"/>
  <c r="N279" i="9" s="1"/>
  <c r="H279" i="9"/>
  <c r="I279" i="9"/>
  <c r="R279" i="9" s="1"/>
  <c r="B279" i="9"/>
  <c r="J279" i="9"/>
  <c r="U279" i="9"/>
  <c r="C279" i="9"/>
  <c r="M279" i="9" s="1"/>
  <c r="D279" i="9"/>
  <c r="J276" i="6"/>
  <c r="E276" i="4"/>
  <c r="E277" i="6" s="1"/>
  <c r="F276" i="4"/>
  <c r="F277" i="6" s="1"/>
  <c r="G276" i="4"/>
  <c r="G277" i="6" s="1"/>
  <c r="H276" i="4"/>
  <c r="H277" i="6" s="1"/>
  <c r="I276" i="4"/>
  <c r="I277" i="6" s="1"/>
  <c r="B276" i="4"/>
  <c r="B277" i="6" s="1"/>
  <c r="A277" i="4"/>
  <c r="A278" i="6" s="1"/>
  <c r="A280" i="9" s="1"/>
  <c r="C276" i="4"/>
  <c r="C277" i="6" s="1"/>
  <c r="D276" i="4"/>
  <c r="D277" i="6" s="1"/>
  <c r="C280" i="9" l="1"/>
  <c r="M280" i="9" s="1"/>
  <c r="D280" i="9"/>
  <c r="E280" i="9"/>
  <c r="Q280" i="9" s="1"/>
  <c r="F280" i="9"/>
  <c r="G280" i="9"/>
  <c r="N280" i="9" s="1"/>
  <c r="H280" i="9"/>
  <c r="I280" i="9"/>
  <c r="R280" i="9" s="1"/>
  <c r="B280" i="9"/>
  <c r="J280" i="9"/>
  <c r="U280" i="9"/>
  <c r="P279" i="9"/>
  <c r="T279" i="9"/>
  <c r="L279" i="9"/>
  <c r="J277" i="6"/>
  <c r="D277" i="4"/>
  <c r="D278" i="6" s="1"/>
  <c r="E277" i="4"/>
  <c r="E278" i="6" s="1"/>
  <c r="F277" i="4"/>
  <c r="F278" i="6" s="1"/>
  <c r="G277" i="4"/>
  <c r="G278" i="6" s="1"/>
  <c r="H277" i="4"/>
  <c r="H278" i="6" s="1"/>
  <c r="I277" i="4"/>
  <c r="I278" i="6" s="1"/>
  <c r="B277" i="4"/>
  <c r="B278" i="6" s="1"/>
  <c r="A278" i="4"/>
  <c r="A279" i="6" s="1"/>
  <c r="A281" i="9" s="1"/>
  <c r="C277" i="4"/>
  <c r="C278" i="6" s="1"/>
  <c r="I281" i="9" l="1"/>
  <c r="R281" i="9" s="1"/>
  <c r="B281" i="9"/>
  <c r="J281" i="9"/>
  <c r="U281" i="9"/>
  <c r="C281" i="9"/>
  <c r="M281" i="9" s="1"/>
  <c r="D281" i="9"/>
  <c r="E281" i="9"/>
  <c r="Q281" i="9" s="1"/>
  <c r="F281" i="9"/>
  <c r="G281" i="9"/>
  <c r="N281" i="9" s="1"/>
  <c r="H281" i="9"/>
  <c r="L280" i="9"/>
  <c r="P280" i="9"/>
  <c r="T280" i="9"/>
  <c r="J278" i="6"/>
  <c r="C278" i="4"/>
  <c r="C279" i="6" s="1"/>
  <c r="D278" i="4"/>
  <c r="D279" i="6" s="1"/>
  <c r="E278" i="4"/>
  <c r="E279" i="6" s="1"/>
  <c r="F278" i="4"/>
  <c r="F279" i="6" s="1"/>
  <c r="G278" i="4"/>
  <c r="G279" i="6" s="1"/>
  <c r="H278" i="4"/>
  <c r="H279" i="6" s="1"/>
  <c r="I278" i="4"/>
  <c r="I279" i="6" s="1"/>
  <c r="B278" i="4"/>
  <c r="B279" i="6" s="1"/>
  <c r="A279" i="4"/>
  <c r="A280" i="6" s="1"/>
  <c r="A282" i="9" s="1"/>
  <c r="G282" i="9" l="1"/>
  <c r="N282" i="9" s="1"/>
  <c r="H282" i="9"/>
  <c r="I282" i="9"/>
  <c r="R282" i="9" s="1"/>
  <c r="B282" i="9"/>
  <c r="J282" i="9"/>
  <c r="U282" i="9"/>
  <c r="C282" i="9"/>
  <c r="M282" i="9" s="1"/>
  <c r="D282" i="9"/>
  <c r="E282" i="9"/>
  <c r="Q282" i="9" s="1"/>
  <c r="F282" i="9"/>
  <c r="T281" i="9"/>
  <c r="L281" i="9"/>
  <c r="P281" i="9"/>
  <c r="J279" i="6"/>
  <c r="B279" i="4"/>
  <c r="B280" i="6" s="1"/>
  <c r="A280" i="4"/>
  <c r="A281" i="6" s="1"/>
  <c r="A283" i="9" s="1"/>
  <c r="C279" i="4"/>
  <c r="C280" i="6" s="1"/>
  <c r="D279" i="4"/>
  <c r="D280" i="6" s="1"/>
  <c r="E279" i="4"/>
  <c r="E280" i="6" s="1"/>
  <c r="F279" i="4"/>
  <c r="F280" i="6" s="1"/>
  <c r="G279" i="4"/>
  <c r="G280" i="6" s="1"/>
  <c r="H279" i="4"/>
  <c r="H280" i="6" s="1"/>
  <c r="I279" i="4"/>
  <c r="I280" i="6" s="1"/>
  <c r="T282" i="9" l="1"/>
  <c r="L282" i="9"/>
  <c r="P282" i="9"/>
  <c r="E283" i="9"/>
  <c r="Q283" i="9" s="1"/>
  <c r="F283" i="9"/>
  <c r="G283" i="9"/>
  <c r="N283" i="9" s="1"/>
  <c r="H283" i="9"/>
  <c r="I283" i="9"/>
  <c r="R283" i="9" s="1"/>
  <c r="B283" i="9"/>
  <c r="J283" i="9"/>
  <c r="U283" i="9"/>
  <c r="C283" i="9"/>
  <c r="M283" i="9" s="1"/>
  <c r="D283" i="9"/>
  <c r="J280" i="6"/>
  <c r="I280" i="4"/>
  <c r="I281" i="6" s="1"/>
  <c r="B280" i="4"/>
  <c r="B281" i="6" s="1"/>
  <c r="A281" i="4"/>
  <c r="A282" i="6" s="1"/>
  <c r="A284" i="9" s="1"/>
  <c r="C280" i="4"/>
  <c r="C281" i="6" s="1"/>
  <c r="D280" i="4"/>
  <c r="D281" i="6" s="1"/>
  <c r="E280" i="4"/>
  <c r="E281" i="6" s="1"/>
  <c r="F280" i="4"/>
  <c r="F281" i="6" s="1"/>
  <c r="G280" i="4"/>
  <c r="G281" i="6" s="1"/>
  <c r="H280" i="4"/>
  <c r="H281" i="6" s="1"/>
  <c r="P283" i="9" l="1"/>
  <c r="T283" i="9"/>
  <c r="L283" i="9"/>
  <c r="C284" i="9"/>
  <c r="M284" i="9" s="1"/>
  <c r="D284" i="9"/>
  <c r="E284" i="9"/>
  <c r="Q284" i="9" s="1"/>
  <c r="F284" i="9"/>
  <c r="G284" i="9"/>
  <c r="N284" i="9" s="1"/>
  <c r="H284" i="9"/>
  <c r="U284" i="9"/>
  <c r="B284" i="9"/>
  <c r="I284" i="9"/>
  <c r="R284" i="9" s="1"/>
  <c r="J284" i="9"/>
  <c r="J281" i="6"/>
  <c r="H281" i="4"/>
  <c r="H282" i="6" s="1"/>
  <c r="I281" i="4"/>
  <c r="I282" i="6" s="1"/>
  <c r="B281" i="4"/>
  <c r="B282" i="6" s="1"/>
  <c r="A282" i="4"/>
  <c r="A283" i="6" s="1"/>
  <c r="A285" i="9" s="1"/>
  <c r="C281" i="4"/>
  <c r="C282" i="6" s="1"/>
  <c r="D281" i="4"/>
  <c r="D282" i="6" s="1"/>
  <c r="E281" i="4"/>
  <c r="E282" i="6" s="1"/>
  <c r="F281" i="4"/>
  <c r="F282" i="6" s="1"/>
  <c r="G281" i="4"/>
  <c r="G282" i="6" s="1"/>
  <c r="L284" i="9" l="1"/>
  <c r="P284" i="9"/>
  <c r="T284" i="9"/>
  <c r="I285" i="9"/>
  <c r="R285" i="9" s="1"/>
  <c r="B285" i="9"/>
  <c r="J285" i="9"/>
  <c r="U285" i="9"/>
  <c r="C285" i="9"/>
  <c r="M285" i="9" s="1"/>
  <c r="D285" i="9"/>
  <c r="E285" i="9"/>
  <c r="Q285" i="9" s="1"/>
  <c r="F285" i="9"/>
  <c r="G285" i="9"/>
  <c r="N285" i="9" s="1"/>
  <c r="H285" i="9"/>
  <c r="J282" i="6"/>
  <c r="G282" i="4"/>
  <c r="G283" i="6" s="1"/>
  <c r="H282" i="4"/>
  <c r="H283" i="6" s="1"/>
  <c r="I282" i="4"/>
  <c r="I283" i="6" s="1"/>
  <c r="B282" i="4"/>
  <c r="B283" i="6" s="1"/>
  <c r="A283" i="4"/>
  <c r="A284" i="6" s="1"/>
  <c r="A286" i="9" s="1"/>
  <c r="C282" i="4"/>
  <c r="C283" i="6" s="1"/>
  <c r="D282" i="4"/>
  <c r="D283" i="6" s="1"/>
  <c r="E282" i="4"/>
  <c r="E283" i="6" s="1"/>
  <c r="F282" i="4"/>
  <c r="F283" i="6" s="1"/>
  <c r="T285" i="9" l="1"/>
  <c r="L285" i="9"/>
  <c r="P285" i="9"/>
  <c r="G286" i="9"/>
  <c r="N286" i="9" s="1"/>
  <c r="H286" i="9"/>
  <c r="I286" i="9"/>
  <c r="R286" i="9" s="1"/>
  <c r="B286" i="9"/>
  <c r="J286" i="9"/>
  <c r="U286" i="9"/>
  <c r="C286" i="9"/>
  <c r="M286" i="9" s="1"/>
  <c r="D286" i="9"/>
  <c r="E286" i="9"/>
  <c r="Q286" i="9" s="1"/>
  <c r="F286" i="9"/>
  <c r="J283" i="6"/>
  <c r="F283" i="4"/>
  <c r="F284" i="6" s="1"/>
  <c r="G283" i="4"/>
  <c r="G284" i="6" s="1"/>
  <c r="H283" i="4"/>
  <c r="H284" i="6" s="1"/>
  <c r="I283" i="4"/>
  <c r="I284" i="6" s="1"/>
  <c r="B283" i="4"/>
  <c r="B284" i="6" s="1"/>
  <c r="A284" i="4"/>
  <c r="A285" i="6" s="1"/>
  <c r="A287" i="9" s="1"/>
  <c r="C283" i="4"/>
  <c r="C284" i="6" s="1"/>
  <c r="D283" i="4"/>
  <c r="D284" i="6" s="1"/>
  <c r="E283" i="4"/>
  <c r="E284" i="6" s="1"/>
  <c r="T286" i="9" l="1"/>
  <c r="L286" i="9"/>
  <c r="P286" i="9"/>
  <c r="E287" i="9"/>
  <c r="Q287" i="9" s="1"/>
  <c r="F287" i="9"/>
  <c r="G287" i="9"/>
  <c r="N287" i="9" s="1"/>
  <c r="H287" i="9"/>
  <c r="I287" i="9"/>
  <c r="R287" i="9" s="1"/>
  <c r="B287" i="9"/>
  <c r="J287" i="9"/>
  <c r="U287" i="9"/>
  <c r="C287" i="9"/>
  <c r="M287" i="9" s="1"/>
  <c r="D287" i="9"/>
  <c r="J284" i="6"/>
  <c r="E284" i="4"/>
  <c r="E285" i="6" s="1"/>
  <c r="F284" i="4"/>
  <c r="F285" i="6" s="1"/>
  <c r="G284" i="4"/>
  <c r="G285" i="6" s="1"/>
  <c r="B284" i="4"/>
  <c r="B285" i="6" s="1"/>
  <c r="C284" i="4"/>
  <c r="C285" i="6" s="1"/>
  <c r="D284" i="4"/>
  <c r="D285" i="6" s="1"/>
  <c r="A285" i="4"/>
  <c r="A286" i="6" s="1"/>
  <c r="A288" i="9" s="1"/>
  <c r="H284" i="4"/>
  <c r="H285" i="6" s="1"/>
  <c r="I284" i="4"/>
  <c r="I285" i="6" s="1"/>
  <c r="C288" i="9" l="1"/>
  <c r="M288" i="9" s="1"/>
  <c r="D288" i="9"/>
  <c r="E288" i="9"/>
  <c r="Q288" i="9" s="1"/>
  <c r="F288" i="9"/>
  <c r="G288" i="9"/>
  <c r="N288" i="9" s="1"/>
  <c r="H288" i="9"/>
  <c r="J288" i="9"/>
  <c r="U288" i="9"/>
  <c r="B288" i="9"/>
  <c r="I288" i="9"/>
  <c r="R288" i="9" s="1"/>
  <c r="P287" i="9"/>
  <c r="T287" i="9"/>
  <c r="L287" i="9"/>
  <c r="J285" i="6"/>
  <c r="C285" i="4"/>
  <c r="C286" i="6" s="1"/>
  <c r="D285" i="4"/>
  <c r="D286" i="6" s="1"/>
  <c r="E285" i="4"/>
  <c r="E286" i="6" s="1"/>
  <c r="I285" i="4"/>
  <c r="I286" i="6" s="1"/>
  <c r="F285" i="4"/>
  <c r="F286" i="6" s="1"/>
  <c r="G285" i="4"/>
  <c r="G286" i="6" s="1"/>
  <c r="H285" i="4"/>
  <c r="H286" i="6" s="1"/>
  <c r="B285" i="4"/>
  <c r="B286" i="6" s="1"/>
  <c r="A286" i="4"/>
  <c r="A287" i="6" s="1"/>
  <c r="A289" i="9" s="1"/>
  <c r="B289" i="9" l="1"/>
  <c r="J289" i="9"/>
  <c r="U289" i="9"/>
  <c r="C289" i="9"/>
  <c r="M289" i="9" s="1"/>
  <c r="D289" i="9"/>
  <c r="F289" i="9"/>
  <c r="E289" i="9"/>
  <c r="Q289" i="9" s="1"/>
  <c r="G289" i="9"/>
  <c r="N289" i="9" s="1"/>
  <c r="H289" i="9"/>
  <c r="I289" i="9"/>
  <c r="R289" i="9" s="1"/>
  <c r="L288" i="9"/>
  <c r="P288" i="9"/>
  <c r="T288" i="9"/>
  <c r="J286" i="6"/>
  <c r="B286" i="4"/>
  <c r="B287" i="6" s="1"/>
  <c r="A287" i="4"/>
  <c r="A288" i="6" s="1"/>
  <c r="A290" i="9" s="1"/>
  <c r="C286" i="4"/>
  <c r="C287" i="6" s="1"/>
  <c r="D286" i="4"/>
  <c r="D287" i="6" s="1"/>
  <c r="E286" i="4"/>
  <c r="E287" i="6" s="1"/>
  <c r="F286" i="4"/>
  <c r="F287" i="6" s="1"/>
  <c r="H286" i="4"/>
  <c r="H287" i="6" s="1"/>
  <c r="G286" i="4"/>
  <c r="G287" i="6" s="1"/>
  <c r="I286" i="4"/>
  <c r="I287" i="6" s="1"/>
  <c r="L289" i="9" l="1"/>
  <c r="P289" i="9"/>
  <c r="T289" i="9"/>
  <c r="H290" i="9"/>
  <c r="B290" i="9"/>
  <c r="J290" i="9"/>
  <c r="G290" i="9"/>
  <c r="N290" i="9" s="1"/>
  <c r="I290" i="9"/>
  <c r="R290" i="9" s="1"/>
  <c r="U290" i="9"/>
  <c r="C290" i="9"/>
  <c r="M290" i="9" s="1"/>
  <c r="D290" i="9"/>
  <c r="E290" i="9"/>
  <c r="Q290" i="9" s="1"/>
  <c r="F290" i="9"/>
  <c r="J287" i="6"/>
  <c r="I287" i="4"/>
  <c r="I288" i="6" s="1"/>
  <c r="G287" i="4"/>
  <c r="G288" i="6" s="1"/>
  <c r="B287" i="4"/>
  <c r="B288" i="6" s="1"/>
  <c r="A288" i="4"/>
  <c r="A289" i="6" s="1"/>
  <c r="A291" i="9" s="1"/>
  <c r="C287" i="4"/>
  <c r="C288" i="6" s="1"/>
  <c r="D287" i="4"/>
  <c r="D288" i="6" s="1"/>
  <c r="E287" i="4"/>
  <c r="E288" i="6" s="1"/>
  <c r="F287" i="4"/>
  <c r="F288" i="6" s="1"/>
  <c r="H287" i="4"/>
  <c r="H288" i="6" s="1"/>
  <c r="T290" i="9" l="1"/>
  <c r="L290" i="9"/>
  <c r="P290" i="9"/>
  <c r="G291" i="9"/>
  <c r="N291" i="9" s="1"/>
  <c r="H291" i="9"/>
  <c r="I291" i="9"/>
  <c r="R291" i="9" s="1"/>
  <c r="B291" i="9"/>
  <c r="J291" i="9"/>
  <c r="U291" i="9"/>
  <c r="C291" i="9"/>
  <c r="M291" i="9" s="1"/>
  <c r="D291" i="9"/>
  <c r="E291" i="9"/>
  <c r="Q291" i="9" s="1"/>
  <c r="F291" i="9"/>
  <c r="J288" i="6"/>
  <c r="H288" i="4"/>
  <c r="H289" i="6" s="1"/>
  <c r="I288" i="4"/>
  <c r="I289" i="6" s="1"/>
  <c r="B288" i="4"/>
  <c r="B289" i="6" s="1"/>
  <c r="A289" i="4"/>
  <c r="A290" i="6" s="1"/>
  <c r="A292" i="9" s="1"/>
  <c r="C288" i="4"/>
  <c r="C289" i="6" s="1"/>
  <c r="D288" i="4"/>
  <c r="D289" i="6" s="1"/>
  <c r="E288" i="4"/>
  <c r="E289" i="6" s="1"/>
  <c r="G288" i="4"/>
  <c r="G289" i="6" s="1"/>
  <c r="F288" i="4"/>
  <c r="F289" i="6" s="1"/>
  <c r="T291" i="9" l="1"/>
  <c r="L291" i="9"/>
  <c r="P291" i="9"/>
  <c r="E292" i="9"/>
  <c r="Q292" i="9" s="1"/>
  <c r="F292" i="9"/>
  <c r="G292" i="9"/>
  <c r="N292" i="9" s="1"/>
  <c r="H292" i="9"/>
  <c r="I292" i="9"/>
  <c r="R292" i="9" s="1"/>
  <c r="B292" i="9"/>
  <c r="J292" i="9"/>
  <c r="U292" i="9"/>
  <c r="C292" i="9"/>
  <c r="M292" i="9" s="1"/>
  <c r="D292" i="9"/>
  <c r="J289" i="6"/>
  <c r="G289" i="4"/>
  <c r="G290" i="6" s="1"/>
  <c r="H289" i="4"/>
  <c r="H290" i="6" s="1"/>
  <c r="E289" i="4"/>
  <c r="E290" i="6" s="1"/>
  <c r="I289" i="4"/>
  <c r="I290" i="6" s="1"/>
  <c r="B289" i="4"/>
  <c r="B290" i="6" s="1"/>
  <c r="A290" i="4"/>
  <c r="A291" i="6" s="1"/>
  <c r="A293" i="9" s="1"/>
  <c r="C289" i="4"/>
  <c r="C290" i="6" s="1"/>
  <c r="D289" i="4"/>
  <c r="D290" i="6" s="1"/>
  <c r="F289" i="4"/>
  <c r="F290" i="6" s="1"/>
  <c r="C293" i="9" l="1"/>
  <c r="M293" i="9" s="1"/>
  <c r="D293" i="9"/>
  <c r="E293" i="9"/>
  <c r="Q293" i="9" s="1"/>
  <c r="F293" i="9"/>
  <c r="G293" i="9"/>
  <c r="N293" i="9" s="1"/>
  <c r="H293" i="9"/>
  <c r="I293" i="9"/>
  <c r="R293" i="9" s="1"/>
  <c r="B293" i="9"/>
  <c r="J293" i="9"/>
  <c r="U293" i="9"/>
  <c r="P292" i="9"/>
  <c r="T292" i="9"/>
  <c r="L292" i="9"/>
  <c r="J290" i="6"/>
  <c r="F290" i="4"/>
  <c r="F291" i="6" s="1"/>
  <c r="G290" i="4"/>
  <c r="G291" i="6" s="1"/>
  <c r="H290" i="4"/>
  <c r="H291" i="6" s="1"/>
  <c r="I290" i="4"/>
  <c r="I291" i="6" s="1"/>
  <c r="B290" i="4"/>
  <c r="B291" i="6" s="1"/>
  <c r="A291" i="4"/>
  <c r="A292" i="6" s="1"/>
  <c r="A294" i="9" s="1"/>
  <c r="C290" i="4"/>
  <c r="C291" i="6" s="1"/>
  <c r="D290" i="4"/>
  <c r="D291" i="6" s="1"/>
  <c r="E290" i="4"/>
  <c r="E291" i="6" s="1"/>
  <c r="I294" i="9" l="1"/>
  <c r="R294" i="9" s="1"/>
  <c r="B294" i="9"/>
  <c r="J294" i="9"/>
  <c r="U294" i="9"/>
  <c r="C294" i="9"/>
  <c r="M294" i="9" s="1"/>
  <c r="D294" i="9"/>
  <c r="E294" i="9"/>
  <c r="Q294" i="9" s="1"/>
  <c r="F294" i="9"/>
  <c r="G294" i="9"/>
  <c r="N294" i="9" s="1"/>
  <c r="H294" i="9"/>
  <c r="L293" i="9"/>
  <c r="P293" i="9"/>
  <c r="T293" i="9"/>
  <c r="J291" i="6"/>
  <c r="E291" i="4"/>
  <c r="E292" i="6" s="1"/>
  <c r="F291" i="4"/>
  <c r="F292" i="6" s="1"/>
  <c r="G291" i="4"/>
  <c r="G292" i="6" s="1"/>
  <c r="C291" i="4"/>
  <c r="C292" i="6" s="1"/>
  <c r="H291" i="4"/>
  <c r="H292" i="6" s="1"/>
  <c r="I291" i="4"/>
  <c r="I292" i="6" s="1"/>
  <c r="B291" i="4"/>
  <c r="B292" i="6" s="1"/>
  <c r="A292" i="4"/>
  <c r="A293" i="6" s="1"/>
  <c r="A295" i="9" s="1"/>
  <c r="D291" i="4"/>
  <c r="D292" i="6" s="1"/>
  <c r="G295" i="9" l="1"/>
  <c r="N295" i="9" s="1"/>
  <c r="H295" i="9"/>
  <c r="I295" i="9"/>
  <c r="R295" i="9" s="1"/>
  <c r="B295" i="9"/>
  <c r="J295" i="9"/>
  <c r="U295" i="9"/>
  <c r="C295" i="9"/>
  <c r="M295" i="9" s="1"/>
  <c r="D295" i="9"/>
  <c r="E295" i="9"/>
  <c r="Q295" i="9" s="1"/>
  <c r="F295" i="9"/>
  <c r="T294" i="9"/>
  <c r="L294" i="9"/>
  <c r="P294" i="9"/>
  <c r="J292" i="6"/>
  <c r="D292" i="4"/>
  <c r="D293" i="6" s="1"/>
  <c r="A293" i="4"/>
  <c r="A294" i="6" s="1"/>
  <c r="A296" i="9" s="1"/>
  <c r="E292" i="4"/>
  <c r="E293" i="6" s="1"/>
  <c r="F292" i="4"/>
  <c r="F293" i="6" s="1"/>
  <c r="G292" i="4"/>
  <c r="G293" i="6" s="1"/>
  <c r="H292" i="4"/>
  <c r="H293" i="6" s="1"/>
  <c r="B292" i="4"/>
  <c r="B293" i="6" s="1"/>
  <c r="I292" i="4"/>
  <c r="I293" i="6" s="1"/>
  <c r="C292" i="4"/>
  <c r="C293" i="6" s="1"/>
  <c r="E296" i="9" l="1"/>
  <c r="Q296" i="9" s="1"/>
  <c r="F296" i="9"/>
  <c r="G296" i="9"/>
  <c r="N296" i="9" s="1"/>
  <c r="H296" i="9"/>
  <c r="I296" i="9"/>
  <c r="R296" i="9" s="1"/>
  <c r="B296" i="9"/>
  <c r="J296" i="9"/>
  <c r="U296" i="9"/>
  <c r="C296" i="9"/>
  <c r="M296" i="9" s="1"/>
  <c r="D296" i="9"/>
  <c r="T295" i="9"/>
  <c r="L295" i="9"/>
  <c r="P295" i="9"/>
  <c r="J293" i="6"/>
  <c r="C293" i="4"/>
  <c r="C294" i="6" s="1"/>
  <c r="D293" i="4"/>
  <c r="D294" i="6" s="1"/>
  <c r="E293" i="4"/>
  <c r="E294" i="6" s="1"/>
  <c r="F293" i="4"/>
  <c r="F294" i="6" s="1"/>
  <c r="I293" i="4"/>
  <c r="I294" i="6" s="1"/>
  <c r="G293" i="4"/>
  <c r="G294" i="6" s="1"/>
  <c r="H293" i="4"/>
  <c r="H294" i="6" s="1"/>
  <c r="B293" i="4"/>
  <c r="B294" i="6" s="1"/>
  <c r="A294" i="4"/>
  <c r="A295" i="6" s="1"/>
  <c r="A297" i="9" s="1"/>
  <c r="C297" i="9" l="1"/>
  <c r="M297" i="9" s="1"/>
  <c r="D297" i="9"/>
  <c r="E297" i="9"/>
  <c r="Q297" i="9" s="1"/>
  <c r="F297" i="9"/>
  <c r="G297" i="9"/>
  <c r="N297" i="9" s="1"/>
  <c r="H297" i="9"/>
  <c r="I297" i="9"/>
  <c r="R297" i="9" s="1"/>
  <c r="B297" i="9"/>
  <c r="J297" i="9"/>
  <c r="U297" i="9"/>
  <c r="P296" i="9"/>
  <c r="T296" i="9"/>
  <c r="L296" i="9"/>
  <c r="J294" i="6"/>
  <c r="B294" i="4"/>
  <c r="B295" i="6" s="1"/>
  <c r="A295" i="4"/>
  <c r="A296" i="6" s="1"/>
  <c r="A298" i="9" s="1"/>
  <c r="C294" i="4"/>
  <c r="C295" i="6" s="1"/>
  <c r="D294" i="4"/>
  <c r="D295" i="6" s="1"/>
  <c r="E294" i="4"/>
  <c r="E295" i="6" s="1"/>
  <c r="F294" i="4"/>
  <c r="F295" i="6" s="1"/>
  <c r="G294" i="4"/>
  <c r="G295" i="6" s="1"/>
  <c r="I294" i="4"/>
  <c r="I295" i="6" s="1"/>
  <c r="H294" i="4"/>
  <c r="H295" i="6" s="1"/>
  <c r="I298" i="9" l="1"/>
  <c r="R298" i="9" s="1"/>
  <c r="B298" i="9"/>
  <c r="J298" i="9"/>
  <c r="U298" i="9"/>
  <c r="C298" i="9"/>
  <c r="M298" i="9" s="1"/>
  <c r="D298" i="9"/>
  <c r="E298" i="9"/>
  <c r="Q298" i="9" s="1"/>
  <c r="F298" i="9"/>
  <c r="G298" i="9"/>
  <c r="N298" i="9" s="1"/>
  <c r="H298" i="9"/>
  <c r="L297" i="9"/>
  <c r="P297" i="9"/>
  <c r="T297" i="9"/>
  <c r="J295" i="6"/>
  <c r="I295" i="4"/>
  <c r="I296" i="6" s="1"/>
  <c r="B295" i="4"/>
  <c r="B296" i="6" s="1"/>
  <c r="A296" i="4"/>
  <c r="A297" i="6" s="1"/>
  <c r="A299" i="9" s="1"/>
  <c r="G295" i="4"/>
  <c r="G296" i="6" s="1"/>
  <c r="C295" i="4"/>
  <c r="C296" i="6" s="1"/>
  <c r="D295" i="4"/>
  <c r="D296" i="6" s="1"/>
  <c r="E295" i="4"/>
  <c r="E296" i="6" s="1"/>
  <c r="F295" i="4"/>
  <c r="F296" i="6" s="1"/>
  <c r="H295" i="4"/>
  <c r="H296" i="6" s="1"/>
  <c r="T298" i="9" l="1"/>
  <c r="L298" i="9"/>
  <c r="P298" i="9"/>
  <c r="G299" i="9"/>
  <c r="N299" i="9" s="1"/>
  <c r="H299" i="9"/>
  <c r="I299" i="9"/>
  <c r="R299" i="9" s="1"/>
  <c r="B299" i="9"/>
  <c r="J299" i="9"/>
  <c r="U299" i="9"/>
  <c r="C299" i="9"/>
  <c r="M299" i="9" s="1"/>
  <c r="D299" i="9"/>
  <c r="E299" i="9"/>
  <c r="Q299" i="9" s="1"/>
  <c r="F299" i="9"/>
  <c r="J296" i="6"/>
  <c r="H296" i="4"/>
  <c r="H297" i="6" s="1"/>
  <c r="I296" i="4"/>
  <c r="I297" i="6" s="1"/>
  <c r="B296" i="4"/>
  <c r="B297" i="6" s="1"/>
  <c r="A297" i="4"/>
  <c r="A298" i="6" s="1"/>
  <c r="A300" i="9" s="1"/>
  <c r="F296" i="4"/>
  <c r="F297" i="6" s="1"/>
  <c r="C296" i="4"/>
  <c r="C297" i="6" s="1"/>
  <c r="D296" i="4"/>
  <c r="D297" i="6" s="1"/>
  <c r="E296" i="4"/>
  <c r="E297" i="6" s="1"/>
  <c r="G296" i="4"/>
  <c r="G297" i="6" s="1"/>
  <c r="T299" i="9" l="1"/>
  <c r="L299" i="9"/>
  <c r="P299" i="9"/>
  <c r="E300" i="9"/>
  <c r="Q300" i="9" s="1"/>
  <c r="F300" i="9"/>
  <c r="G300" i="9"/>
  <c r="N300" i="9" s="1"/>
  <c r="H300" i="9"/>
  <c r="I300" i="9"/>
  <c r="R300" i="9" s="1"/>
  <c r="B300" i="9"/>
  <c r="J300" i="9"/>
  <c r="U300" i="9"/>
  <c r="C300" i="9"/>
  <c r="M300" i="9" s="1"/>
  <c r="D300" i="9"/>
  <c r="J297" i="6"/>
  <c r="G297" i="4"/>
  <c r="G298" i="6" s="1"/>
  <c r="H297" i="4"/>
  <c r="H298" i="6" s="1"/>
  <c r="I297" i="4"/>
  <c r="I298" i="6" s="1"/>
  <c r="B297" i="4"/>
  <c r="B298" i="6" s="1"/>
  <c r="A298" i="4"/>
  <c r="A299" i="6" s="1"/>
  <c r="A301" i="9" s="1"/>
  <c r="C297" i="4"/>
  <c r="C298" i="6" s="1"/>
  <c r="D297" i="4"/>
  <c r="D298" i="6" s="1"/>
  <c r="E297" i="4"/>
  <c r="E298" i="6" s="1"/>
  <c r="F297" i="4"/>
  <c r="F298" i="6" s="1"/>
  <c r="P300" i="9" l="1"/>
  <c r="T300" i="9"/>
  <c r="L300" i="9"/>
  <c r="C301" i="9"/>
  <c r="M301" i="9" s="1"/>
  <c r="D301" i="9"/>
  <c r="E301" i="9"/>
  <c r="Q301" i="9" s="1"/>
  <c r="F301" i="9"/>
  <c r="G301" i="9"/>
  <c r="N301" i="9" s="1"/>
  <c r="H301" i="9"/>
  <c r="I301" i="9"/>
  <c r="R301" i="9" s="1"/>
  <c r="B301" i="9"/>
  <c r="J301" i="9"/>
  <c r="U301" i="9"/>
  <c r="J298" i="6"/>
  <c r="F298" i="4"/>
  <c r="F299" i="6" s="1"/>
  <c r="D298" i="4"/>
  <c r="D299" i="6" s="1"/>
  <c r="G298" i="4"/>
  <c r="G299" i="6" s="1"/>
  <c r="H298" i="4"/>
  <c r="H299" i="6" s="1"/>
  <c r="I298" i="4"/>
  <c r="I299" i="6" s="1"/>
  <c r="B298" i="4"/>
  <c r="B299" i="6" s="1"/>
  <c r="A299" i="4"/>
  <c r="A300" i="6" s="1"/>
  <c r="A302" i="9" s="1"/>
  <c r="C298" i="4"/>
  <c r="C299" i="6" s="1"/>
  <c r="E298" i="4"/>
  <c r="E299" i="6" s="1"/>
  <c r="I302" i="9" l="1"/>
  <c r="R302" i="9" s="1"/>
  <c r="B302" i="9"/>
  <c r="J302" i="9"/>
  <c r="U302" i="9"/>
  <c r="C302" i="9"/>
  <c r="M302" i="9" s="1"/>
  <c r="D302" i="9"/>
  <c r="E302" i="9"/>
  <c r="Q302" i="9" s="1"/>
  <c r="F302" i="9"/>
  <c r="G302" i="9"/>
  <c r="N302" i="9" s="1"/>
  <c r="H302" i="9"/>
  <c r="L301" i="9"/>
  <c r="P301" i="9"/>
  <c r="T301" i="9"/>
  <c r="J299" i="6"/>
  <c r="E299" i="4"/>
  <c r="E300" i="6" s="1"/>
  <c r="F299" i="4"/>
  <c r="F300" i="6" s="1"/>
  <c r="G299" i="4"/>
  <c r="G300" i="6" s="1"/>
  <c r="H299" i="4"/>
  <c r="H300" i="6" s="1"/>
  <c r="I299" i="4"/>
  <c r="I300" i="6" s="1"/>
  <c r="C299" i="4"/>
  <c r="C300" i="6" s="1"/>
  <c r="B299" i="4"/>
  <c r="B300" i="6" s="1"/>
  <c r="A300" i="4"/>
  <c r="A301" i="6" s="1"/>
  <c r="A303" i="9" s="1"/>
  <c r="D299" i="4"/>
  <c r="D300" i="6" s="1"/>
  <c r="G303" i="9" l="1"/>
  <c r="N303" i="9" s="1"/>
  <c r="H303" i="9"/>
  <c r="I303" i="9"/>
  <c r="R303" i="9" s="1"/>
  <c r="B303" i="9"/>
  <c r="J303" i="9"/>
  <c r="U303" i="9"/>
  <c r="C303" i="9"/>
  <c r="M303" i="9" s="1"/>
  <c r="D303" i="9"/>
  <c r="E303" i="9"/>
  <c r="Q303" i="9" s="1"/>
  <c r="F303" i="9"/>
  <c r="T302" i="9"/>
  <c r="L302" i="9"/>
  <c r="P302" i="9"/>
  <c r="J300" i="6"/>
  <c r="A301" i="4"/>
  <c r="A302" i="6" s="1"/>
  <c r="A304" i="9" s="1"/>
  <c r="D300" i="4"/>
  <c r="D301" i="6" s="1"/>
  <c r="E300" i="4"/>
  <c r="E301" i="6" s="1"/>
  <c r="F300" i="4"/>
  <c r="F301" i="6" s="1"/>
  <c r="G300" i="4"/>
  <c r="G301" i="6" s="1"/>
  <c r="H300" i="4"/>
  <c r="H301" i="6" s="1"/>
  <c r="I300" i="4"/>
  <c r="I301" i="6" s="1"/>
  <c r="C300" i="4"/>
  <c r="C301" i="6" s="1"/>
  <c r="B300" i="4"/>
  <c r="B301" i="6" s="1"/>
  <c r="E304" i="9" l="1"/>
  <c r="Q304" i="9" s="1"/>
  <c r="F304" i="9"/>
  <c r="G304" i="9"/>
  <c r="N304" i="9" s="1"/>
  <c r="H304" i="9"/>
  <c r="I304" i="9"/>
  <c r="R304" i="9" s="1"/>
  <c r="B304" i="9"/>
  <c r="J304" i="9"/>
  <c r="U304" i="9"/>
  <c r="C304" i="9"/>
  <c r="M304" i="9" s="1"/>
  <c r="D304" i="9"/>
  <c r="T303" i="9"/>
  <c r="L303" i="9"/>
  <c r="P303" i="9"/>
  <c r="J301" i="6"/>
  <c r="D301" i="4"/>
  <c r="D302" i="6" s="1"/>
  <c r="E301" i="4"/>
  <c r="E302" i="6" s="1"/>
  <c r="F301" i="4"/>
  <c r="F302" i="6" s="1"/>
  <c r="G301" i="4"/>
  <c r="G302" i="6" s="1"/>
  <c r="H301" i="4"/>
  <c r="H302" i="6" s="1"/>
  <c r="I301" i="4"/>
  <c r="I302" i="6" s="1"/>
  <c r="B301" i="4"/>
  <c r="B302" i="6" s="1"/>
  <c r="A302" i="4"/>
  <c r="A303" i="6" s="1"/>
  <c r="A305" i="9" s="1"/>
  <c r="C301" i="4"/>
  <c r="C302" i="6" s="1"/>
  <c r="P304" i="9" l="1"/>
  <c r="T304" i="9"/>
  <c r="L304" i="9"/>
  <c r="C305" i="9"/>
  <c r="M305" i="9" s="1"/>
  <c r="D305" i="9"/>
  <c r="E305" i="9"/>
  <c r="Q305" i="9" s="1"/>
  <c r="F305" i="9"/>
  <c r="G305" i="9"/>
  <c r="N305" i="9" s="1"/>
  <c r="H305" i="9"/>
  <c r="I305" i="9"/>
  <c r="R305" i="9" s="1"/>
  <c r="B305" i="9"/>
  <c r="J305" i="9"/>
  <c r="U305" i="9"/>
  <c r="J302" i="6"/>
  <c r="C302" i="4"/>
  <c r="C303" i="6" s="1"/>
  <c r="D302" i="4"/>
  <c r="D303" i="6" s="1"/>
  <c r="E302" i="4"/>
  <c r="E303" i="6" s="1"/>
  <c r="F302" i="4"/>
  <c r="F303" i="6" s="1"/>
  <c r="G302" i="4"/>
  <c r="G303" i="6" s="1"/>
  <c r="H302" i="4"/>
  <c r="H303" i="6" s="1"/>
  <c r="I302" i="4"/>
  <c r="I303" i="6" s="1"/>
  <c r="A303" i="4"/>
  <c r="A304" i="6" s="1"/>
  <c r="A306" i="9" s="1"/>
  <c r="B302" i="4"/>
  <c r="B303" i="6" s="1"/>
  <c r="I306" i="9" l="1"/>
  <c r="R306" i="9" s="1"/>
  <c r="B306" i="9"/>
  <c r="J306" i="9"/>
  <c r="U306" i="9"/>
  <c r="C306" i="9"/>
  <c r="M306" i="9" s="1"/>
  <c r="D306" i="9"/>
  <c r="E306" i="9"/>
  <c r="Q306" i="9" s="1"/>
  <c r="F306" i="9"/>
  <c r="G306" i="9"/>
  <c r="N306" i="9" s="1"/>
  <c r="H306" i="9"/>
  <c r="L305" i="9"/>
  <c r="P305" i="9"/>
  <c r="T305" i="9"/>
  <c r="J303" i="6"/>
  <c r="B303" i="4"/>
  <c r="B304" i="6" s="1"/>
  <c r="A304" i="4"/>
  <c r="A305" i="6" s="1"/>
  <c r="A307" i="9" s="1"/>
  <c r="C303" i="4"/>
  <c r="C304" i="6" s="1"/>
  <c r="D303" i="4"/>
  <c r="D304" i="6" s="1"/>
  <c r="E303" i="4"/>
  <c r="E304" i="6" s="1"/>
  <c r="F303" i="4"/>
  <c r="F304" i="6" s="1"/>
  <c r="G303" i="4"/>
  <c r="G304" i="6" s="1"/>
  <c r="H303" i="4"/>
  <c r="H304" i="6" s="1"/>
  <c r="I303" i="4"/>
  <c r="I304" i="6" s="1"/>
  <c r="T306" i="9" l="1"/>
  <c r="L306" i="9"/>
  <c r="P306" i="9"/>
  <c r="G307" i="9"/>
  <c r="N307" i="9" s="1"/>
  <c r="H307" i="9"/>
  <c r="I307" i="9"/>
  <c r="R307" i="9" s="1"/>
  <c r="B307" i="9"/>
  <c r="J307" i="9"/>
  <c r="U307" i="9"/>
  <c r="C307" i="9"/>
  <c r="M307" i="9" s="1"/>
  <c r="D307" i="9"/>
  <c r="E307" i="9"/>
  <c r="Q307" i="9" s="1"/>
  <c r="F307" i="9"/>
  <c r="J304" i="6"/>
  <c r="I304" i="4"/>
  <c r="I305" i="6" s="1"/>
  <c r="B304" i="4"/>
  <c r="B305" i="6" s="1"/>
  <c r="A305" i="4"/>
  <c r="A306" i="6" s="1"/>
  <c r="A308" i="9" s="1"/>
  <c r="C304" i="4"/>
  <c r="C305" i="6" s="1"/>
  <c r="D304" i="4"/>
  <c r="D305" i="6" s="1"/>
  <c r="E304" i="4"/>
  <c r="E305" i="6" s="1"/>
  <c r="F304" i="4"/>
  <c r="F305" i="6" s="1"/>
  <c r="G304" i="4"/>
  <c r="G305" i="6" s="1"/>
  <c r="H304" i="4"/>
  <c r="H305" i="6" s="1"/>
  <c r="T307" i="9" l="1"/>
  <c r="L307" i="9"/>
  <c r="P307" i="9"/>
  <c r="E308" i="9"/>
  <c r="Q308" i="9" s="1"/>
  <c r="F308" i="9"/>
  <c r="G308" i="9"/>
  <c r="N308" i="9" s="1"/>
  <c r="I308" i="9"/>
  <c r="R308" i="9" s="1"/>
  <c r="H308" i="9"/>
  <c r="B308" i="9"/>
  <c r="J308" i="9"/>
  <c r="U308" i="9"/>
  <c r="C308" i="9"/>
  <c r="M308" i="9" s="1"/>
  <c r="D308" i="9"/>
  <c r="J305" i="6"/>
  <c r="H305" i="4"/>
  <c r="H306" i="6" s="1"/>
  <c r="I305" i="4"/>
  <c r="I306" i="6" s="1"/>
  <c r="B305" i="4"/>
  <c r="B306" i="6" s="1"/>
  <c r="A306" i="4"/>
  <c r="A307" i="6" s="1"/>
  <c r="A309" i="9" s="1"/>
  <c r="C305" i="4"/>
  <c r="C306" i="6" s="1"/>
  <c r="D305" i="4"/>
  <c r="D306" i="6" s="1"/>
  <c r="E305" i="4"/>
  <c r="E306" i="6" s="1"/>
  <c r="F305" i="4"/>
  <c r="F306" i="6" s="1"/>
  <c r="G305" i="4"/>
  <c r="G306" i="6" s="1"/>
  <c r="C309" i="9" l="1"/>
  <c r="M309" i="9" s="1"/>
  <c r="D309" i="9"/>
  <c r="G309" i="9"/>
  <c r="N309" i="9" s="1"/>
  <c r="E309" i="9"/>
  <c r="Q309" i="9" s="1"/>
  <c r="F309" i="9"/>
  <c r="H309" i="9"/>
  <c r="I309" i="9"/>
  <c r="R309" i="9" s="1"/>
  <c r="B309" i="9"/>
  <c r="J309" i="9"/>
  <c r="U309" i="9"/>
  <c r="P308" i="9"/>
  <c r="T308" i="9"/>
  <c r="L308" i="9"/>
  <c r="J306" i="6"/>
  <c r="G306" i="4"/>
  <c r="G307" i="6" s="1"/>
  <c r="H306" i="4"/>
  <c r="H307" i="6" s="1"/>
  <c r="I306" i="4"/>
  <c r="I307" i="6" s="1"/>
  <c r="B306" i="4"/>
  <c r="B307" i="6" s="1"/>
  <c r="A307" i="4"/>
  <c r="A308" i="6" s="1"/>
  <c r="A310" i="9" s="1"/>
  <c r="C306" i="4"/>
  <c r="C307" i="6" s="1"/>
  <c r="D306" i="4"/>
  <c r="D307" i="6" s="1"/>
  <c r="E306" i="4"/>
  <c r="E307" i="6" s="1"/>
  <c r="F306" i="4"/>
  <c r="F307" i="6" s="1"/>
  <c r="I310" i="9" l="1"/>
  <c r="R310" i="9" s="1"/>
  <c r="B310" i="9"/>
  <c r="J310" i="9"/>
  <c r="U310" i="9"/>
  <c r="E310" i="9"/>
  <c r="Q310" i="9" s="1"/>
  <c r="C310" i="9"/>
  <c r="M310" i="9" s="1"/>
  <c r="D310" i="9"/>
  <c r="F310" i="9"/>
  <c r="G310" i="9"/>
  <c r="N310" i="9" s="1"/>
  <c r="H310" i="9"/>
  <c r="L309" i="9"/>
  <c r="P309" i="9"/>
  <c r="T309" i="9"/>
  <c r="J307" i="6"/>
  <c r="F307" i="4"/>
  <c r="F308" i="6" s="1"/>
  <c r="G307" i="4"/>
  <c r="G308" i="6" s="1"/>
  <c r="H307" i="4"/>
  <c r="H308" i="6" s="1"/>
  <c r="I307" i="4"/>
  <c r="I308" i="6" s="1"/>
  <c r="B307" i="4"/>
  <c r="B308" i="6" s="1"/>
  <c r="A308" i="4"/>
  <c r="A309" i="6" s="1"/>
  <c r="A311" i="9" s="1"/>
  <c r="C307" i="4"/>
  <c r="C308" i="6" s="1"/>
  <c r="D307" i="4"/>
  <c r="D308" i="6" s="1"/>
  <c r="E307" i="4"/>
  <c r="E308" i="6" s="1"/>
  <c r="G311" i="9" l="1"/>
  <c r="N311" i="9" s="1"/>
  <c r="H311" i="9"/>
  <c r="C311" i="9"/>
  <c r="M311" i="9" s="1"/>
  <c r="I311" i="9"/>
  <c r="R311" i="9" s="1"/>
  <c r="B311" i="9"/>
  <c r="J311" i="9"/>
  <c r="U311" i="9"/>
  <c r="D311" i="9"/>
  <c r="E311" i="9"/>
  <c r="Q311" i="9" s="1"/>
  <c r="F311" i="9"/>
  <c r="T310" i="9"/>
  <c r="L310" i="9"/>
  <c r="P310" i="9"/>
  <c r="J308" i="6"/>
  <c r="E308" i="4"/>
  <c r="E309" i="6" s="1"/>
  <c r="F308" i="4"/>
  <c r="F309" i="6" s="1"/>
  <c r="G308" i="4"/>
  <c r="G309" i="6" s="1"/>
  <c r="H308" i="4"/>
  <c r="H309" i="6" s="1"/>
  <c r="I308" i="4"/>
  <c r="I309" i="6" s="1"/>
  <c r="B308" i="4"/>
  <c r="B309" i="6" s="1"/>
  <c r="A309" i="4"/>
  <c r="A310" i="6" s="1"/>
  <c r="A312" i="9" s="1"/>
  <c r="C308" i="4"/>
  <c r="C309" i="6" s="1"/>
  <c r="D308" i="4"/>
  <c r="D309" i="6" s="1"/>
  <c r="T311" i="9" l="1"/>
  <c r="L311" i="9"/>
  <c r="P311" i="9"/>
  <c r="E312" i="9"/>
  <c r="Q312" i="9" s="1"/>
  <c r="F312" i="9"/>
  <c r="G312" i="9"/>
  <c r="N312" i="9" s="1"/>
  <c r="H312" i="9"/>
  <c r="I312" i="9"/>
  <c r="R312" i="9" s="1"/>
  <c r="B312" i="9"/>
  <c r="J312" i="9"/>
  <c r="U312" i="9"/>
  <c r="C312" i="9"/>
  <c r="M312" i="9" s="1"/>
  <c r="D312" i="9"/>
  <c r="J309" i="6"/>
  <c r="D309" i="4"/>
  <c r="D310" i="6" s="1"/>
  <c r="E309" i="4"/>
  <c r="E310" i="6" s="1"/>
  <c r="F309" i="4"/>
  <c r="F310" i="6" s="1"/>
  <c r="G309" i="4"/>
  <c r="G310" i="6" s="1"/>
  <c r="H309" i="4"/>
  <c r="H310" i="6" s="1"/>
  <c r="I309" i="4"/>
  <c r="I310" i="6" s="1"/>
  <c r="B309" i="4"/>
  <c r="B310" i="6" s="1"/>
  <c r="A310" i="4"/>
  <c r="A311" i="6" s="1"/>
  <c r="A313" i="9" s="1"/>
  <c r="C309" i="4"/>
  <c r="C310" i="6" s="1"/>
  <c r="C313" i="9" l="1"/>
  <c r="M313" i="9" s="1"/>
  <c r="D313" i="9"/>
  <c r="E313" i="9"/>
  <c r="Q313" i="9" s="1"/>
  <c r="G313" i="9"/>
  <c r="N313" i="9" s="1"/>
  <c r="F313" i="9"/>
  <c r="U313" i="9"/>
  <c r="H313" i="9"/>
  <c r="I313" i="9"/>
  <c r="R313" i="9" s="1"/>
  <c r="B313" i="9"/>
  <c r="J313" i="9"/>
  <c r="P312" i="9"/>
  <c r="T312" i="9"/>
  <c r="L312" i="9"/>
  <c r="J310" i="6"/>
  <c r="C310" i="4"/>
  <c r="C311" i="6" s="1"/>
  <c r="D310" i="4"/>
  <c r="D311" i="6" s="1"/>
  <c r="E310" i="4"/>
  <c r="E311" i="6" s="1"/>
  <c r="F310" i="4"/>
  <c r="F311" i="6" s="1"/>
  <c r="G310" i="4"/>
  <c r="G311" i="6" s="1"/>
  <c r="H310" i="4"/>
  <c r="H311" i="6" s="1"/>
  <c r="I310" i="4"/>
  <c r="I311" i="6" s="1"/>
  <c r="A311" i="4"/>
  <c r="A312" i="6" s="1"/>
  <c r="A314" i="9" s="1"/>
  <c r="B310" i="4"/>
  <c r="B311" i="6" s="1"/>
  <c r="B314" i="9" l="1"/>
  <c r="J314" i="9"/>
  <c r="U314" i="9"/>
  <c r="C314" i="9"/>
  <c r="M314" i="9" s="1"/>
  <c r="D314" i="9"/>
  <c r="E314" i="9"/>
  <c r="Q314" i="9" s="1"/>
  <c r="I314" i="9"/>
  <c r="R314" i="9" s="1"/>
  <c r="F314" i="9"/>
  <c r="G314" i="9"/>
  <c r="N314" i="9" s="1"/>
  <c r="H314" i="9"/>
  <c r="L313" i="9"/>
  <c r="P313" i="9"/>
  <c r="T313" i="9"/>
  <c r="J311" i="6"/>
  <c r="B311" i="4"/>
  <c r="B312" i="6" s="1"/>
  <c r="A312" i="4"/>
  <c r="A313" i="6" s="1"/>
  <c r="A315" i="9" s="1"/>
  <c r="C311" i="4"/>
  <c r="C312" i="6" s="1"/>
  <c r="D311" i="4"/>
  <c r="D312" i="6" s="1"/>
  <c r="E311" i="4"/>
  <c r="E312" i="6" s="1"/>
  <c r="F311" i="4"/>
  <c r="F312" i="6" s="1"/>
  <c r="G311" i="4"/>
  <c r="G312" i="6" s="1"/>
  <c r="H311" i="4"/>
  <c r="H312" i="6" s="1"/>
  <c r="I311" i="4"/>
  <c r="I312" i="6" s="1"/>
  <c r="H315" i="9" l="1"/>
  <c r="I315" i="9"/>
  <c r="R315" i="9" s="1"/>
  <c r="E315" i="9"/>
  <c r="Q315" i="9" s="1"/>
  <c r="F315" i="9"/>
  <c r="B315" i="9"/>
  <c r="J315" i="9"/>
  <c r="U315" i="9"/>
  <c r="C315" i="9"/>
  <c r="M315" i="9" s="1"/>
  <c r="D315" i="9"/>
  <c r="G315" i="9"/>
  <c r="N315" i="9" s="1"/>
  <c r="T314" i="9"/>
  <c r="L314" i="9"/>
  <c r="P314" i="9"/>
  <c r="J312" i="6"/>
  <c r="I312" i="4"/>
  <c r="I313" i="6" s="1"/>
  <c r="B312" i="4"/>
  <c r="B313" i="6" s="1"/>
  <c r="A313" i="4"/>
  <c r="A314" i="6" s="1"/>
  <c r="A316" i="9" s="1"/>
  <c r="C312" i="4"/>
  <c r="C313" i="6" s="1"/>
  <c r="D312" i="4"/>
  <c r="D313" i="6" s="1"/>
  <c r="E312" i="4"/>
  <c r="E313" i="6" s="1"/>
  <c r="F312" i="4"/>
  <c r="F313" i="6" s="1"/>
  <c r="G312" i="4"/>
  <c r="G313" i="6" s="1"/>
  <c r="H312" i="4"/>
  <c r="H313" i="6" s="1"/>
  <c r="I316" i="9" l="1"/>
  <c r="R316" i="9" s="1"/>
  <c r="B316" i="9"/>
  <c r="J316" i="9"/>
  <c r="U316" i="9"/>
  <c r="C316" i="9"/>
  <c r="M316" i="9" s="1"/>
  <c r="D316" i="9"/>
  <c r="E316" i="9"/>
  <c r="Q316" i="9" s="1"/>
  <c r="F316" i="9"/>
  <c r="G316" i="9"/>
  <c r="N316" i="9" s="1"/>
  <c r="H316" i="9"/>
  <c r="L315" i="9"/>
  <c r="T315" i="9"/>
  <c r="P315" i="9"/>
  <c r="J313" i="6"/>
  <c r="H313" i="4"/>
  <c r="H314" i="6" s="1"/>
  <c r="I313" i="4"/>
  <c r="I314" i="6" s="1"/>
  <c r="B313" i="4"/>
  <c r="B314" i="6" s="1"/>
  <c r="A314" i="4"/>
  <c r="A315" i="6" s="1"/>
  <c r="A317" i="9" s="1"/>
  <c r="C313" i="4"/>
  <c r="C314" i="6" s="1"/>
  <c r="D313" i="4"/>
  <c r="D314" i="6" s="1"/>
  <c r="E313" i="4"/>
  <c r="E314" i="6" s="1"/>
  <c r="F313" i="4"/>
  <c r="F314" i="6" s="1"/>
  <c r="G313" i="4"/>
  <c r="G314" i="6" s="1"/>
  <c r="T316" i="9" l="1"/>
  <c r="L316" i="9"/>
  <c r="P316" i="9"/>
  <c r="G317" i="9"/>
  <c r="N317" i="9" s="1"/>
  <c r="H317" i="9"/>
  <c r="I317" i="9"/>
  <c r="R317" i="9" s="1"/>
  <c r="B317" i="9"/>
  <c r="J317" i="9"/>
  <c r="U317" i="9"/>
  <c r="C317" i="9"/>
  <c r="M317" i="9" s="1"/>
  <c r="D317" i="9"/>
  <c r="E317" i="9"/>
  <c r="Q317" i="9" s="1"/>
  <c r="F317" i="9"/>
  <c r="J314" i="6"/>
  <c r="G314" i="4"/>
  <c r="G315" i="6" s="1"/>
  <c r="H314" i="4"/>
  <c r="H315" i="6" s="1"/>
  <c r="I314" i="4"/>
  <c r="I315" i="6" s="1"/>
  <c r="B314" i="4"/>
  <c r="B315" i="6" s="1"/>
  <c r="A315" i="4"/>
  <c r="A316" i="6" s="1"/>
  <c r="A318" i="9" s="1"/>
  <c r="C314" i="4"/>
  <c r="C315" i="6" s="1"/>
  <c r="D314" i="4"/>
  <c r="D315" i="6" s="1"/>
  <c r="E314" i="4"/>
  <c r="E315" i="6" s="1"/>
  <c r="F314" i="4"/>
  <c r="F315" i="6" s="1"/>
  <c r="T317" i="9" l="1"/>
  <c r="L317" i="9"/>
  <c r="P317" i="9"/>
  <c r="E318" i="9"/>
  <c r="Q318" i="9" s="1"/>
  <c r="F318" i="9"/>
  <c r="G318" i="9"/>
  <c r="N318" i="9" s="1"/>
  <c r="H318" i="9"/>
  <c r="I318" i="9"/>
  <c r="R318" i="9" s="1"/>
  <c r="B318" i="9"/>
  <c r="J318" i="9"/>
  <c r="U318" i="9"/>
  <c r="C318" i="9"/>
  <c r="M318" i="9" s="1"/>
  <c r="D318" i="9"/>
  <c r="J315" i="6"/>
  <c r="F315" i="4"/>
  <c r="F316" i="6" s="1"/>
  <c r="G315" i="4"/>
  <c r="G316" i="6" s="1"/>
  <c r="H315" i="4"/>
  <c r="H316" i="6" s="1"/>
  <c r="I315" i="4"/>
  <c r="I316" i="6" s="1"/>
  <c r="B315" i="4"/>
  <c r="B316" i="6" s="1"/>
  <c r="A316" i="4"/>
  <c r="A317" i="6" s="1"/>
  <c r="A319" i="9" s="1"/>
  <c r="C315" i="4"/>
  <c r="C316" i="6" s="1"/>
  <c r="D315" i="4"/>
  <c r="D316" i="6" s="1"/>
  <c r="E315" i="4"/>
  <c r="E316" i="6" s="1"/>
  <c r="P318" i="9" l="1"/>
  <c r="T318" i="9"/>
  <c r="L318" i="9"/>
  <c r="C319" i="9"/>
  <c r="M319" i="9" s="1"/>
  <c r="D319" i="9"/>
  <c r="E319" i="9"/>
  <c r="Q319" i="9" s="1"/>
  <c r="F319" i="9"/>
  <c r="G319" i="9"/>
  <c r="N319" i="9" s="1"/>
  <c r="H319" i="9"/>
  <c r="I319" i="9"/>
  <c r="R319" i="9" s="1"/>
  <c r="B319" i="9"/>
  <c r="J319" i="9"/>
  <c r="U319" i="9"/>
  <c r="J316" i="6"/>
  <c r="E316" i="4"/>
  <c r="E317" i="6" s="1"/>
  <c r="F316" i="4"/>
  <c r="F317" i="6" s="1"/>
  <c r="G316" i="4"/>
  <c r="G317" i="6" s="1"/>
  <c r="H316" i="4"/>
  <c r="H317" i="6" s="1"/>
  <c r="I316" i="4"/>
  <c r="I317" i="6" s="1"/>
  <c r="B316" i="4"/>
  <c r="B317" i="6" s="1"/>
  <c r="A317" i="4"/>
  <c r="A318" i="6" s="1"/>
  <c r="A320" i="9" s="1"/>
  <c r="C316" i="4"/>
  <c r="C317" i="6" s="1"/>
  <c r="D316" i="4"/>
  <c r="D317" i="6" s="1"/>
  <c r="I320" i="9" l="1"/>
  <c r="R320" i="9" s="1"/>
  <c r="B320" i="9"/>
  <c r="J320" i="9"/>
  <c r="U320" i="9"/>
  <c r="C320" i="9"/>
  <c r="M320" i="9" s="1"/>
  <c r="D320" i="9"/>
  <c r="E320" i="9"/>
  <c r="Q320" i="9" s="1"/>
  <c r="F320" i="9"/>
  <c r="G320" i="9"/>
  <c r="N320" i="9" s="1"/>
  <c r="H320" i="9"/>
  <c r="L319" i="9"/>
  <c r="P319" i="9"/>
  <c r="T319" i="9"/>
  <c r="J317" i="6"/>
  <c r="D317" i="4"/>
  <c r="D318" i="6" s="1"/>
  <c r="E317" i="4"/>
  <c r="E318" i="6" s="1"/>
  <c r="F317" i="4"/>
  <c r="F318" i="6" s="1"/>
  <c r="G317" i="4"/>
  <c r="G318" i="6" s="1"/>
  <c r="H317" i="4"/>
  <c r="H318" i="6" s="1"/>
  <c r="I317" i="4"/>
  <c r="I318" i="6" s="1"/>
  <c r="B317" i="4"/>
  <c r="B318" i="6" s="1"/>
  <c r="A318" i="4"/>
  <c r="A319" i="6" s="1"/>
  <c r="A321" i="9" s="1"/>
  <c r="C317" i="4"/>
  <c r="C318" i="6" s="1"/>
  <c r="G321" i="9" l="1"/>
  <c r="N321" i="9" s="1"/>
  <c r="H321" i="9"/>
  <c r="I321" i="9"/>
  <c r="R321" i="9" s="1"/>
  <c r="B321" i="9"/>
  <c r="J321" i="9"/>
  <c r="U321" i="9"/>
  <c r="C321" i="9"/>
  <c r="M321" i="9" s="1"/>
  <c r="D321" i="9"/>
  <c r="E321" i="9"/>
  <c r="Q321" i="9" s="1"/>
  <c r="F321" i="9"/>
  <c r="T320" i="9"/>
  <c r="L320" i="9"/>
  <c r="P320" i="9"/>
  <c r="J318" i="6"/>
  <c r="C318" i="4"/>
  <c r="C319" i="6" s="1"/>
  <c r="D318" i="4"/>
  <c r="D319" i="6" s="1"/>
  <c r="E318" i="4"/>
  <c r="E319" i="6" s="1"/>
  <c r="F318" i="4"/>
  <c r="F319" i="6" s="1"/>
  <c r="G318" i="4"/>
  <c r="G319" i="6" s="1"/>
  <c r="H318" i="4"/>
  <c r="H319" i="6" s="1"/>
  <c r="I318" i="4"/>
  <c r="I319" i="6" s="1"/>
  <c r="B318" i="4"/>
  <c r="B319" i="6" s="1"/>
  <c r="A319" i="4"/>
  <c r="A320" i="6" s="1"/>
  <c r="A322" i="9" s="1"/>
  <c r="T321" i="9" l="1"/>
  <c r="L321" i="9"/>
  <c r="P321" i="9"/>
  <c r="E322" i="9"/>
  <c r="Q322" i="9" s="1"/>
  <c r="F322" i="9"/>
  <c r="G322" i="9"/>
  <c r="N322" i="9" s="1"/>
  <c r="H322" i="9"/>
  <c r="I322" i="9"/>
  <c r="R322" i="9" s="1"/>
  <c r="B322" i="9"/>
  <c r="J322" i="9"/>
  <c r="U322" i="9"/>
  <c r="C322" i="9"/>
  <c r="M322" i="9" s="1"/>
  <c r="D322" i="9"/>
  <c r="J319" i="6"/>
  <c r="B319" i="4"/>
  <c r="B320" i="6" s="1"/>
  <c r="A320" i="4"/>
  <c r="A321" i="6" s="1"/>
  <c r="A323" i="9" s="1"/>
  <c r="C319" i="4"/>
  <c r="C320" i="6" s="1"/>
  <c r="D319" i="4"/>
  <c r="D320" i="6" s="1"/>
  <c r="E319" i="4"/>
  <c r="E320" i="6" s="1"/>
  <c r="F319" i="4"/>
  <c r="F320" i="6" s="1"/>
  <c r="G319" i="4"/>
  <c r="G320" i="6" s="1"/>
  <c r="H319" i="4"/>
  <c r="H320" i="6" s="1"/>
  <c r="I319" i="4"/>
  <c r="I320" i="6" s="1"/>
  <c r="C323" i="9" l="1"/>
  <c r="M323" i="9" s="1"/>
  <c r="D323" i="9"/>
  <c r="E323" i="9"/>
  <c r="Q323" i="9" s="1"/>
  <c r="F323" i="9"/>
  <c r="G323" i="9"/>
  <c r="N323" i="9" s="1"/>
  <c r="H323" i="9"/>
  <c r="I323" i="9"/>
  <c r="R323" i="9" s="1"/>
  <c r="B323" i="9"/>
  <c r="J323" i="9"/>
  <c r="U323" i="9"/>
  <c r="P322" i="9"/>
  <c r="T322" i="9"/>
  <c r="L322" i="9"/>
  <c r="J320" i="6"/>
  <c r="I320" i="4"/>
  <c r="I321" i="6" s="1"/>
  <c r="B320" i="4"/>
  <c r="B321" i="6" s="1"/>
  <c r="A321" i="4"/>
  <c r="A322" i="6" s="1"/>
  <c r="A324" i="9" s="1"/>
  <c r="C320" i="4"/>
  <c r="C321" i="6" s="1"/>
  <c r="D320" i="4"/>
  <c r="D321" i="6" s="1"/>
  <c r="E320" i="4"/>
  <c r="E321" i="6" s="1"/>
  <c r="F320" i="4"/>
  <c r="F321" i="6" s="1"/>
  <c r="G320" i="4"/>
  <c r="G321" i="6" s="1"/>
  <c r="H320" i="4"/>
  <c r="H321" i="6" s="1"/>
  <c r="I324" i="9" l="1"/>
  <c r="R324" i="9" s="1"/>
  <c r="B324" i="9"/>
  <c r="J324" i="9"/>
  <c r="U324" i="9"/>
  <c r="C324" i="9"/>
  <c r="M324" i="9" s="1"/>
  <c r="D324" i="9"/>
  <c r="E324" i="9"/>
  <c r="Q324" i="9" s="1"/>
  <c r="F324" i="9"/>
  <c r="G324" i="9"/>
  <c r="N324" i="9" s="1"/>
  <c r="H324" i="9"/>
  <c r="L323" i="9"/>
  <c r="P323" i="9"/>
  <c r="T323" i="9"/>
  <c r="J321" i="6"/>
  <c r="H321" i="4"/>
  <c r="H322" i="6" s="1"/>
  <c r="I321" i="4"/>
  <c r="I322" i="6" s="1"/>
  <c r="B321" i="4"/>
  <c r="B322" i="6" s="1"/>
  <c r="A322" i="4"/>
  <c r="A323" i="6" s="1"/>
  <c r="A325" i="9" s="1"/>
  <c r="C321" i="4"/>
  <c r="C322" i="6" s="1"/>
  <c r="D321" i="4"/>
  <c r="D322" i="6" s="1"/>
  <c r="E321" i="4"/>
  <c r="E322" i="6" s="1"/>
  <c r="F321" i="4"/>
  <c r="F322" i="6" s="1"/>
  <c r="G321" i="4"/>
  <c r="G322" i="6" s="1"/>
  <c r="T324" i="9" l="1"/>
  <c r="L324" i="9"/>
  <c r="P324" i="9"/>
  <c r="G325" i="9"/>
  <c r="N325" i="9" s="1"/>
  <c r="H325" i="9"/>
  <c r="I325" i="9"/>
  <c r="R325" i="9" s="1"/>
  <c r="B325" i="9"/>
  <c r="J325" i="9"/>
  <c r="U325" i="9"/>
  <c r="C325" i="9"/>
  <c r="M325" i="9" s="1"/>
  <c r="D325" i="9"/>
  <c r="E325" i="9"/>
  <c r="Q325" i="9" s="1"/>
  <c r="F325" i="9"/>
  <c r="J322" i="6"/>
  <c r="G322" i="4"/>
  <c r="G323" i="6" s="1"/>
  <c r="H322" i="4"/>
  <c r="H323" i="6" s="1"/>
  <c r="I322" i="4"/>
  <c r="I323" i="6" s="1"/>
  <c r="B322" i="4"/>
  <c r="B323" i="6" s="1"/>
  <c r="A323" i="4"/>
  <c r="A324" i="6" s="1"/>
  <c r="A326" i="9" s="1"/>
  <c r="C322" i="4"/>
  <c r="C323" i="6" s="1"/>
  <c r="D322" i="4"/>
  <c r="D323" i="6" s="1"/>
  <c r="E322" i="4"/>
  <c r="E323" i="6" s="1"/>
  <c r="F322" i="4"/>
  <c r="F323" i="6" s="1"/>
  <c r="T325" i="9" l="1"/>
  <c r="L325" i="9"/>
  <c r="P325" i="9"/>
  <c r="E326" i="9"/>
  <c r="Q326" i="9" s="1"/>
  <c r="F326" i="9"/>
  <c r="G326" i="9"/>
  <c r="N326" i="9" s="1"/>
  <c r="H326" i="9"/>
  <c r="I326" i="9"/>
  <c r="R326" i="9" s="1"/>
  <c r="B326" i="9"/>
  <c r="J326" i="9"/>
  <c r="U326" i="9"/>
  <c r="C326" i="9"/>
  <c r="M326" i="9" s="1"/>
  <c r="D326" i="9"/>
  <c r="J323" i="6"/>
  <c r="F323" i="4"/>
  <c r="F324" i="6" s="1"/>
  <c r="G323" i="4"/>
  <c r="G324" i="6" s="1"/>
  <c r="H323" i="4"/>
  <c r="H324" i="6" s="1"/>
  <c r="I323" i="4"/>
  <c r="I324" i="6" s="1"/>
  <c r="B323" i="4"/>
  <c r="B324" i="6" s="1"/>
  <c r="A324" i="4"/>
  <c r="A325" i="6" s="1"/>
  <c r="A327" i="9" s="1"/>
  <c r="C323" i="4"/>
  <c r="C324" i="6" s="1"/>
  <c r="D323" i="4"/>
  <c r="D324" i="6" s="1"/>
  <c r="E323" i="4"/>
  <c r="E324" i="6" s="1"/>
  <c r="P326" i="9" l="1"/>
  <c r="T326" i="9"/>
  <c r="L326" i="9"/>
  <c r="C327" i="9"/>
  <c r="M327" i="9" s="1"/>
  <c r="D327" i="9"/>
  <c r="E327" i="9"/>
  <c r="Q327" i="9" s="1"/>
  <c r="F327" i="9"/>
  <c r="G327" i="9"/>
  <c r="N327" i="9" s="1"/>
  <c r="H327" i="9"/>
  <c r="I327" i="9"/>
  <c r="R327" i="9" s="1"/>
  <c r="B327" i="9"/>
  <c r="J327" i="9"/>
  <c r="U327" i="9"/>
  <c r="J324" i="6"/>
  <c r="E324" i="4"/>
  <c r="E325" i="6" s="1"/>
  <c r="F324" i="4"/>
  <c r="F325" i="6" s="1"/>
  <c r="G324" i="4"/>
  <c r="G325" i="6" s="1"/>
  <c r="H324" i="4"/>
  <c r="H325" i="6" s="1"/>
  <c r="I324" i="4"/>
  <c r="I325" i="6" s="1"/>
  <c r="B324" i="4"/>
  <c r="B325" i="6" s="1"/>
  <c r="A325" i="4"/>
  <c r="A326" i="6" s="1"/>
  <c r="A328" i="9" s="1"/>
  <c r="C324" i="4"/>
  <c r="C325" i="6" s="1"/>
  <c r="D324" i="4"/>
  <c r="D325" i="6" s="1"/>
  <c r="I328" i="9" l="1"/>
  <c r="R328" i="9" s="1"/>
  <c r="B328" i="9"/>
  <c r="J328" i="9"/>
  <c r="U328" i="9"/>
  <c r="C328" i="9"/>
  <c r="M328" i="9" s="1"/>
  <c r="D328" i="9"/>
  <c r="E328" i="9"/>
  <c r="Q328" i="9" s="1"/>
  <c r="F328" i="9"/>
  <c r="G328" i="9"/>
  <c r="N328" i="9" s="1"/>
  <c r="H328" i="9"/>
  <c r="L327" i="9"/>
  <c r="P327" i="9"/>
  <c r="T327" i="9"/>
  <c r="J325" i="6"/>
  <c r="D325" i="4"/>
  <c r="D326" i="6" s="1"/>
  <c r="E325" i="4"/>
  <c r="E326" i="6" s="1"/>
  <c r="F325" i="4"/>
  <c r="F326" i="6" s="1"/>
  <c r="G325" i="4"/>
  <c r="G326" i="6" s="1"/>
  <c r="H325" i="4"/>
  <c r="H326" i="6" s="1"/>
  <c r="I325" i="4"/>
  <c r="I326" i="6" s="1"/>
  <c r="B325" i="4"/>
  <c r="B326" i="6" s="1"/>
  <c r="A326" i="4"/>
  <c r="A327" i="6" s="1"/>
  <c r="A329" i="9" s="1"/>
  <c r="C325" i="4"/>
  <c r="C326" i="6" s="1"/>
  <c r="T328" i="9" l="1"/>
  <c r="L328" i="9"/>
  <c r="P328" i="9"/>
  <c r="G329" i="9"/>
  <c r="N329" i="9" s="1"/>
  <c r="H329" i="9"/>
  <c r="I329" i="9"/>
  <c r="R329" i="9" s="1"/>
  <c r="B329" i="9"/>
  <c r="J329" i="9"/>
  <c r="U329" i="9"/>
  <c r="C329" i="9"/>
  <c r="M329" i="9" s="1"/>
  <c r="D329" i="9"/>
  <c r="E329" i="9"/>
  <c r="Q329" i="9" s="1"/>
  <c r="F329" i="9"/>
  <c r="J326" i="6"/>
  <c r="C326" i="4"/>
  <c r="C327" i="6" s="1"/>
  <c r="D326" i="4"/>
  <c r="D327" i="6" s="1"/>
  <c r="E326" i="4"/>
  <c r="E327" i="6" s="1"/>
  <c r="F326" i="4"/>
  <c r="F327" i="6" s="1"/>
  <c r="G326" i="4"/>
  <c r="G327" i="6" s="1"/>
  <c r="H326" i="4"/>
  <c r="H327" i="6" s="1"/>
  <c r="I326" i="4"/>
  <c r="I327" i="6" s="1"/>
  <c r="B326" i="4"/>
  <c r="B327" i="6" s="1"/>
  <c r="A327" i="4"/>
  <c r="A328" i="6" s="1"/>
  <c r="A330" i="9" s="1"/>
  <c r="T329" i="9" l="1"/>
  <c r="L329" i="9"/>
  <c r="P329" i="9"/>
  <c r="E330" i="9"/>
  <c r="Q330" i="9" s="1"/>
  <c r="F330" i="9"/>
  <c r="G330" i="9"/>
  <c r="N330" i="9" s="1"/>
  <c r="H330" i="9"/>
  <c r="I330" i="9"/>
  <c r="R330" i="9" s="1"/>
  <c r="B330" i="9"/>
  <c r="J330" i="9"/>
  <c r="U330" i="9"/>
  <c r="C330" i="9"/>
  <c r="M330" i="9" s="1"/>
  <c r="D330" i="9"/>
  <c r="J327" i="6"/>
  <c r="B327" i="4"/>
  <c r="B328" i="6" s="1"/>
  <c r="A328" i="4"/>
  <c r="A329" i="6" s="1"/>
  <c r="A331" i="9" s="1"/>
  <c r="C327" i="4"/>
  <c r="C328" i="6" s="1"/>
  <c r="D327" i="4"/>
  <c r="D328" i="6" s="1"/>
  <c r="E327" i="4"/>
  <c r="E328" i="6" s="1"/>
  <c r="F327" i="4"/>
  <c r="F328" i="6" s="1"/>
  <c r="G327" i="4"/>
  <c r="G328" i="6" s="1"/>
  <c r="H327" i="4"/>
  <c r="H328" i="6" s="1"/>
  <c r="I327" i="4"/>
  <c r="I328" i="6" s="1"/>
  <c r="C331" i="9" l="1"/>
  <c r="M331" i="9" s="1"/>
  <c r="D331" i="9"/>
  <c r="E331" i="9"/>
  <c r="Q331" i="9" s="1"/>
  <c r="F331" i="9"/>
  <c r="G331" i="9"/>
  <c r="N331" i="9" s="1"/>
  <c r="H331" i="9"/>
  <c r="I331" i="9"/>
  <c r="R331" i="9" s="1"/>
  <c r="B331" i="9"/>
  <c r="J331" i="9"/>
  <c r="U331" i="9"/>
  <c r="P330" i="9"/>
  <c r="T330" i="9"/>
  <c r="L330" i="9"/>
  <c r="J328" i="6"/>
  <c r="I328" i="4"/>
  <c r="I329" i="6" s="1"/>
  <c r="B328" i="4"/>
  <c r="B329" i="6" s="1"/>
  <c r="A329" i="4"/>
  <c r="A330" i="6" s="1"/>
  <c r="A332" i="9" s="1"/>
  <c r="C328" i="4"/>
  <c r="C329" i="6" s="1"/>
  <c r="D328" i="4"/>
  <c r="D329" i="6" s="1"/>
  <c r="E328" i="4"/>
  <c r="E329" i="6" s="1"/>
  <c r="F328" i="4"/>
  <c r="F329" i="6" s="1"/>
  <c r="G328" i="4"/>
  <c r="G329" i="6" s="1"/>
  <c r="H328" i="4"/>
  <c r="H329" i="6" s="1"/>
  <c r="I332" i="9" l="1"/>
  <c r="R332" i="9" s="1"/>
  <c r="B332" i="9"/>
  <c r="J332" i="9"/>
  <c r="U332" i="9"/>
  <c r="C332" i="9"/>
  <c r="M332" i="9" s="1"/>
  <c r="D332" i="9"/>
  <c r="E332" i="9"/>
  <c r="Q332" i="9" s="1"/>
  <c r="F332" i="9"/>
  <c r="G332" i="9"/>
  <c r="N332" i="9" s="1"/>
  <c r="H332" i="9"/>
  <c r="L331" i="9"/>
  <c r="P331" i="9"/>
  <c r="T331" i="9"/>
  <c r="J329" i="6"/>
  <c r="H329" i="4"/>
  <c r="H330" i="6" s="1"/>
  <c r="I329" i="4"/>
  <c r="I330" i="6" s="1"/>
  <c r="B329" i="4"/>
  <c r="B330" i="6" s="1"/>
  <c r="A330" i="4"/>
  <c r="A331" i="6" s="1"/>
  <c r="A333" i="9" s="1"/>
  <c r="C329" i="4"/>
  <c r="C330" i="6" s="1"/>
  <c r="D329" i="4"/>
  <c r="D330" i="6" s="1"/>
  <c r="E329" i="4"/>
  <c r="E330" i="6" s="1"/>
  <c r="F329" i="4"/>
  <c r="F330" i="6" s="1"/>
  <c r="G329" i="4"/>
  <c r="G330" i="6" s="1"/>
  <c r="T332" i="9" l="1"/>
  <c r="L332" i="9"/>
  <c r="P332" i="9"/>
  <c r="G333" i="9"/>
  <c r="N333" i="9" s="1"/>
  <c r="H333" i="9"/>
  <c r="I333" i="9"/>
  <c r="R333" i="9" s="1"/>
  <c r="B333" i="9"/>
  <c r="J333" i="9"/>
  <c r="U333" i="9"/>
  <c r="C333" i="9"/>
  <c r="M333" i="9" s="1"/>
  <c r="D333" i="9"/>
  <c r="E333" i="9"/>
  <c r="Q333" i="9" s="1"/>
  <c r="F333" i="9"/>
  <c r="J330" i="6"/>
  <c r="G330" i="4"/>
  <c r="G331" i="6" s="1"/>
  <c r="H330" i="4"/>
  <c r="H331" i="6" s="1"/>
  <c r="I330" i="4"/>
  <c r="I331" i="6" s="1"/>
  <c r="B330" i="4"/>
  <c r="B331" i="6" s="1"/>
  <c r="A331" i="4"/>
  <c r="A332" i="6" s="1"/>
  <c r="A334" i="9" s="1"/>
  <c r="C330" i="4"/>
  <c r="C331" i="6" s="1"/>
  <c r="D330" i="4"/>
  <c r="D331" i="6" s="1"/>
  <c r="E330" i="4"/>
  <c r="E331" i="6" s="1"/>
  <c r="F330" i="4"/>
  <c r="F331" i="6" s="1"/>
  <c r="E334" i="9" l="1"/>
  <c r="Q334" i="9" s="1"/>
  <c r="F334" i="9"/>
  <c r="G334" i="9"/>
  <c r="N334" i="9" s="1"/>
  <c r="H334" i="9"/>
  <c r="I334" i="9"/>
  <c r="R334" i="9" s="1"/>
  <c r="B334" i="9"/>
  <c r="J334" i="9"/>
  <c r="U334" i="9"/>
  <c r="C334" i="9"/>
  <c r="M334" i="9" s="1"/>
  <c r="D334" i="9"/>
  <c r="T333" i="9"/>
  <c r="L333" i="9"/>
  <c r="P333" i="9"/>
  <c r="J331" i="6"/>
  <c r="F331" i="4"/>
  <c r="F332" i="6" s="1"/>
  <c r="G331" i="4"/>
  <c r="G332" i="6" s="1"/>
  <c r="H331" i="4"/>
  <c r="H332" i="6" s="1"/>
  <c r="I331" i="4"/>
  <c r="I332" i="6" s="1"/>
  <c r="B331" i="4"/>
  <c r="B332" i="6" s="1"/>
  <c r="A332" i="4"/>
  <c r="A333" i="6" s="1"/>
  <c r="A335" i="9" s="1"/>
  <c r="C331" i="4"/>
  <c r="C332" i="6" s="1"/>
  <c r="D331" i="4"/>
  <c r="D332" i="6" s="1"/>
  <c r="E331" i="4"/>
  <c r="E332" i="6" s="1"/>
  <c r="P334" i="9" l="1"/>
  <c r="T334" i="9"/>
  <c r="L334" i="9"/>
  <c r="C335" i="9"/>
  <c r="M335" i="9" s="1"/>
  <c r="D335" i="9"/>
  <c r="E335" i="9"/>
  <c r="Q335" i="9" s="1"/>
  <c r="F335" i="9"/>
  <c r="G335" i="9"/>
  <c r="N335" i="9" s="1"/>
  <c r="H335" i="9"/>
  <c r="I335" i="9"/>
  <c r="R335" i="9" s="1"/>
  <c r="B335" i="9"/>
  <c r="J335" i="9"/>
  <c r="U335" i="9"/>
  <c r="J332" i="6"/>
  <c r="E332" i="4"/>
  <c r="E333" i="6" s="1"/>
  <c r="F332" i="4"/>
  <c r="F333" i="6" s="1"/>
  <c r="G332" i="4"/>
  <c r="G333" i="6" s="1"/>
  <c r="H332" i="4"/>
  <c r="H333" i="6" s="1"/>
  <c r="I332" i="4"/>
  <c r="I333" i="6" s="1"/>
  <c r="B332" i="4"/>
  <c r="B333" i="6" s="1"/>
  <c r="A333" i="4"/>
  <c r="A334" i="6" s="1"/>
  <c r="A336" i="9" s="1"/>
  <c r="C332" i="4"/>
  <c r="C333" i="6" s="1"/>
  <c r="D332" i="4"/>
  <c r="D333" i="6" s="1"/>
  <c r="I336" i="9" l="1"/>
  <c r="R336" i="9" s="1"/>
  <c r="B336" i="9"/>
  <c r="J336" i="9"/>
  <c r="U336" i="9"/>
  <c r="C336" i="9"/>
  <c r="M336" i="9" s="1"/>
  <c r="D336" i="9"/>
  <c r="E336" i="9"/>
  <c r="Q336" i="9" s="1"/>
  <c r="F336" i="9"/>
  <c r="G336" i="9"/>
  <c r="N336" i="9" s="1"/>
  <c r="H336" i="9"/>
  <c r="L335" i="9"/>
  <c r="P335" i="9"/>
  <c r="T335" i="9"/>
  <c r="J333" i="6"/>
  <c r="A334" i="4"/>
  <c r="A335" i="6" s="1"/>
  <c r="A337" i="9" s="1"/>
  <c r="D333" i="4"/>
  <c r="D334" i="6" s="1"/>
  <c r="E333" i="4"/>
  <c r="E334" i="6" s="1"/>
  <c r="F333" i="4"/>
  <c r="F334" i="6" s="1"/>
  <c r="G333" i="4"/>
  <c r="G334" i="6" s="1"/>
  <c r="H333" i="4"/>
  <c r="H334" i="6" s="1"/>
  <c r="I333" i="4"/>
  <c r="I334" i="6" s="1"/>
  <c r="B333" i="4"/>
  <c r="B334" i="6" s="1"/>
  <c r="C333" i="4"/>
  <c r="C334" i="6" s="1"/>
  <c r="G337" i="9" l="1"/>
  <c r="N337" i="9" s="1"/>
  <c r="H337" i="9"/>
  <c r="I337" i="9"/>
  <c r="R337" i="9" s="1"/>
  <c r="B337" i="9"/>
  <c r="J337" i="9"/>
  <c r="U337" i="9"/>
  <c r="C337" i="9"/>
  <c r="M337" i="9" s="1"/>
  <c r="D337" i="9"/>
  <c r="E337" i="9"/>
  <c r="Q337" i="9" s="1"/>
  <c r="F337" i="9"/>
  <c r="T336" i="9"/>
  <c r="L336" i="9"/>
  <c r="P336" i="9"/>
  <c r="J334" i="6"/>
  <c r="D334" i="4"/>
  <c r="D335" i="6" s="1"/>
  <c r="E334" i="4"/>
  <c r="E335" i="6" s="1"/>
  <c r="F334" i="4"/>
  <c r="F335" i="6" s="1"/>
  <c r="G334" i="4"/>
  <c r="G335" i="6" s="1"/>
  <c r="H334" i="4"/>
  <c r="H335" i="6" s="1"/>
  <c r="I334" i="4"/>
  <c r="I335" i="6" s="1"/>
  <c r="B334" i="4"/>
  <c r="B335" i="6" s="1"/>
  <c r="A335" i="4"/>
  <c r="A336" i="6" s="1"/>
  <c r="A338" i="9" s="1"/>
  <c r="C334" i="4"/>
  <c r="C335" i="6" s="1"/>
  <c r="T337" i="9" l="1"/>
  <c r="L337" i="9"/>
  <c r="P337" i="9"/>
  <c r="E338" i="9"/>
  <c r="Q338" i="9" s="1"/>
  <c r="F338" i="9"/>
  <c r="G338" i="9"/>
  <c r="N338" i="9" s="1"/>
  <c r="H338" i="9"/>
  <c r="I338" i="9"/>
  <c r="R338" i="9" s="1"/>
  <c r="B338" i="9"/>
  <c r="J338" i="9"/>
  <c r="U338" i="9"/>
  <c r="C338" i="9"/>
  <c r="M338" i="9" s="1"/>
  <c r="D338" i="9"/>
  <c r="J335" i="6"/>
  <c r="C335" i="4"/>
  <c r="C336" i="6" s="1"/>
  <c r="D335" i="4"/>
  <c r="D336" i="6" s="1"/>
  <c r="E335" i="4"/>
  <c r="E336" i="6" s="1"/>
  <c r="F335" i="4"/>
  <c r="F336" i="6" s="1"/>
  <c r="G335" i="4"/>
  <c r="G336" i="6" s="1"/>
  <c r="H335" i="4"/>
  <c r="H336" i="6" s="1"/>
  <c r="I335" i="4"/>
  <c r="I336" i="6" s="1"/>
  <c r="A336" i="4"/>
  <c r="A337" i="6" s="1"/>
  <c r="A339" i="9" s="1"/>
  <c r="B335" i="4"/>
  <c r="B336" i="6" s="1"/>
  <c r="P338" i="9" l="1"/>
  <c r="T338" i="9"/>
  <c r="L338" i="9"/>
  <c r="C339" i="9"/>
  <c r="M339" i="9" s="1"/>
  <c r="D339" i="9"/>
  <c r="E339" i="9"/>
  <c r="Q339" i="9" s="1"/>
  <c r="F339" i="9"/>
  <c r="G339" i="9"/>
  <c r="N339" i="9" s="1"/>
  <c r="H339" i="9"/>
  <c r="I339" i="9"/>
  <c r="R339" i="9" s="1"/>
  <c r="B339" i="9"/>
  <c r="J339" i="9"/>
  <c r="U339" i="9"/>
  <c r="J336" i="6"/>
  <c r="B336" i="4"/>
  <c r="B337" i="6" s="1"/>
  <c r="A337" i="4"/>
  <c r="A338" i="6" s="1"/>
  <c r="A340" i="9" s="1"/>
  <c r="C336" i="4"/>
  <c r="C337" i="6" s="1"/>
  <c r="D336" i="4"/>
  <c r="D337" i="6" s="1"/>
  <c r="E336" i="4"/>
  <c r="E337" i="6" s="1"/>
  <c r="F336" i="4"/>
  <c r="F337" i="6" s="1"/>
  <c r="G336" i="4"/>
  <c r="G337" i="6" s="1"/>
  <c r="H336" i="4"/>
  <c r="H337" i="6" s="1"/>
  <c r="I336" i="4"/>
  <c r="I337" i="6" s="1"/>
  <c r="I340" i="9" l="1"/>
  <c r="R340" i="9" s="1"/>
  <c r="B340" i="9"/>
  <c r="J340" i="9"/>
  <c r="U340" i="9"/>
  <c r="C340" i="9"/>
  <c r="M340" i="9" s="1"/>
  <c r="D340" i="9"/>
  <c r="E340" i="9"/>
  <c r="Q340" i="9" s="1"/>
  <c r="F340" i="9"/>
  <c r="G340" i="9"/>
  <c r="N340" i="9" s="1"/>
  <c r="H340" i="9"/>
  <c r="L339" i="9"/>
  <c r="P339" i="9"/>
  <c r="T339" i="9"/>
  <c r="J337" i="6"/>
  <c r="I337" i="4"/>
  <c r="I338" i="6" s="1"/>
  <c r="B337" i="4"/>
  <c r="B338" i="6" s="1"/>
  <c r="A338" i="4"/>
  <c r="A339" i="6" s="1"/>
  <c r="A341" i="9" s="1"/>
  <c r="C337" i="4"/>
  <c r="C338" i="6" s="1"/>
  <c r="D337" i="4"/>
  <c r="D338" i="6" s="1"/>
  <c r="E337" i="4"/>
  <c r="E338" i="6" s="1"/>
  <c r="F337" i="4"/>
  <c r="F338" i="6" s="1"/>
  <c r="G337" i="4"/>
  <c r="G338" i="6" s="1"/>
  <c r="H337" i="4"/>
  <c r="H338" i="6" s="1"/>
  <c r="T340" i="9" l="1"/>
  <c r="L340" i="9"/>
  <c r="P340" i="9"/>
  <c r="G341" i="9"/>
  <c r="N341" i="9" s="1"/>
  <c r="H341" i="9"/>
  <c r="I341" i="9"/>
  <c r="R341" i="9" s="1"/>
  <c r="B341" i="9"/>
  <c r="J341" i="9"/>
  <c r="U341" i="9"/>
  <c r="C341" i="9"/>
  <c r="M341" i="9" s="1"/>
  <c r="D341" i="9"/>
  <c r="E341" i="9"/>
  <c r="Q341" i="9" s="1"/>
  <c r="F341" i="9"/>
  <c r="J338" i="6"/>
  <c r="H338" i="4"/>
  <c r="H339" i="6" s="1"/>
  <c r="I338" i="4"/>
  <c r="I339" i="6" s="1"/>
  <c r="B338" i="4"/>
  <c r="B339" i="6" s="1"/>
  <c r="A339" i="4"/>
  <c r="A340" i="6" s="1"/>
  <c r="A342" i="9" s="1"/>
  <c r="C338" i="4"/>
  <c r="C339" i="6" s="1"/>
  <c r="D338" i="4"/>
  <c r="D339" i="6" s="1"/>
  <c r="E338" i="4"/>
  <c r="E339" i="6" s="1"/>
  <c r="F338" i="4"/>
  <c r="F339" i="6" s="1"/>
  <c r="G338" i="4"/>
  <c r="G339" i="6" s="1"/>
  <c r="T341" i="9" l="1"/>
  <c r="L341" i="9"/>
  <c r="P341" i="9"/>
  <c r="E342" i="9"/>
  <c r="Q342" i="9" s="1"/>
  <c r="F342" i="9"/>
  <c r="G342" i="9"/>
  <c r="N342" i="9" s="1"/>
  <c r="H342" i="9"/>
  <c r="I342" i="9"/>
  <c r="R342" i="9" s="1"/>
  <c r="B342" i="9"/>
  <c r="J342" i="9"/>
  <c r="U342" i="9"/>
  <c r="C342" i="9"/>
  <c r="M342" i="9" s="1"/>
  <c r="D342" i="9"/>
  <c r="J339" i="6"/>
  <c r="G339" i="4"/>
  <c r="G340" i="6" s="1"/>
  <c r="H339" i="4"/>
  <c r="H340" i="6" s="1"/>
  <c r="I339" i="4"/>
  <c r="I340" i="6" s="1"/>
  <c r="B339" i="4"/>
  <c r="B340" i="6" s="1"/>
  <c r="A340" i="4"/>
  <c r="A341" i="6" s="1"/>
  <c r="A343" i="9" s="1"/>
  <c r="C339" i="4"/>
  <c r="C340" i="6" s="1"/>
  <c r="D339" i="4"/>
  <c r="D340" i="6" s="1"/>
  <c r="E339" i="4"/>
  <c r="E340" i="6" s="1"/>
  <c r="F339" i="4"/>
  <c r="F340" i="6" s="1"/>
  <c r="C343" i="9" l="1"/>
  <c r="M343" i="9" s="1"/>
  <c r="D343" i="9"/>
  <c r="E343" i="9"/>
  <c r="Q343" i="9" s="1"/>
  <c r="F343" i="9"/>
  <c r="G343" i="9"/>
  <c r="N343" i="9" s="1"/>
  <c r="H343" i="9"/>
  <c r="I343" i="9"/>
  <c r="R343" i="9" s="1"/>
  <c r="B343" i="9"/>
  <c r="J343" i="9"/>
  <c r="U343" i="9"/>
  <c r="P342" i="9"/>
  <c r="T342" i="9"/>
  <c r="L342" i="9"/>
  <c r="J340" i="6"/>
  <c r="F340" i="4"/>
  <c r="F341" i="6" s="1"/>
  <c r="G340" i="4"/>
  <c r="G341" i="6" s="1"/>
  <c r="H340" i="4"/>
  <c r="H341" i="6" s="1"/>
  <c r="I340" i="4"/>
  <c r="I341" i="6" s="1"/>
  <c r="B340" i="4"/>
  <c r="B341" i="6" s="1"/>
  <c r="A341" i="4"/>
  <c r="A342" i="6" s="1"/>
  <c r="A344" i="9" s="1"/>
  <c r="C340" i="4"/>
  <c r="C341" i="6" s="1"/>
  <c r="D340" i="4"/>
  <c r="D341" i="6" s="1"/>
  <c r="E340" i="4"/>
  <c r="E341" i="6" s="1"/>
  <c r="I344" i="9" l="1"/>
  <c r="R344" i="9" s="1"/>
  <c r="B344" i="9"/>
  <c r="J344" i="9"/>
  <c r="U344" i="9"/>
  <c r="C344" i="9"/>
  <c r="M344" i="9" s="1"/>
  <c r="D344" i="9"/>
  <c r="E344" i="9"/>
  <c r="Q344" i="9" s="1"/>
  <c r="F344" i="9"/>
  <c r="G344" i="9"/>
  <c r="N344" i="9" s="1"/>
  <c r="H344" i="9"/>
  <c r="L343" i="9"/>
  <c r="P343" i="9"/>
  <c r="T343" i="9"/>
  <c r="J341" i="6"/>
  <c r="E341" i="4"/>
  <c r="E342" i="6" s="1"/>
  <c r="F341" i="4"/>
  <c r="F342" i="6" s="1"/>
  <c r="G341" i="4"/>
  <c r="G342" i="6" s="1"/>
  <c r="H341" i="4"/>
  <c r="H342" i="6" s="1"/>
  <c r="I341" i="4"/>
  <c r="I342" i="6" s="1"/>
  <c r="B341" i="4"/>
  <c r="B342" i="6" s="1"/>
  <c r="A342" i="4"/>
  <c r="A343" i="6" s="1"/>
  <c r="A345" i="9" s="1"/>
  <c r="C341" i="4"/>
  <c r="C342" i="6" s="1"/>
  <c r="D341" i="4"/>
  <c r="D342" i="6" s="1"/>
  <c r="G345" i="9" l="1"/>
  <c r="N345" i="9" s="1"/>
  <c r="H345" i="9"/>
  <c r="I345" i="9"/>
  <c r="R345" i="9" s="1"/>
  <c r="B345" i="9"/>
  <c r="J345" i="9"/>
  <c r="U345" i="9"/>
  <c r="C345" i="9"/>
  <c r="M345" i="9" s="1"/>
  <c r="D345" i="9"/>
  <c r="E345" i="9"/>
  <c r="Q345" i="9" s="1"/>
  <c r="F345" i="9"/>
  <c r="T344" i="9"/>
  <c r="L344" i="9"/>
  <c r="P344" i="9"/>
  <c r="J342" i="6"/>
  <c r="D342" i="4"/>
  <c r="D343" i="6" s="1"/>
  <c r="E342" i="4"/>
  <c r="E343" i="6" s="1"/>
  <c r="F342" i="4"/>
  <c r="F343" i="6" s="1"/>
  <c r="G342" i="4"/>
  <c r="G343" i="6" s="1"/>
  <c r="H342" i="4"/>
  <c r="H343" i="6" s="1"/>
  <c r="I342" i="4"/>
  <c r="I343" i="6" s="1"/>
  <c r="B342" i="4"/>
  <c r="B343" i="6" s="1"/>
  <c r="A343" i="4"/>
  <c r="A344" i="6" s="1"/>
  <c r="A346" i="9" s="1"/>
  <c r="C342" i="4"/>
  <c r="C343" i="6" s="1"/>
  <c r="E346" i="9" l="1"/>
  <c r="Q346" i="9" s="1"/>
  <c r="F346" i="9"/>
  <c r="G346" i="9"/>
  <c r="N346" i="9" s="1"/>
  <c r="H346" i="9"/>
  <c r="I346" i="9"/>
  <c r="R346" i="9" s="1"/>
  <c r="B346" i="9"/>
  <c r="J346" i="9"/>
  <c r="U346" i="9"/>
  <c r="C346" i="9"/>
  <c r="M346" i="9" s="1"/>
  <c r="D346" i="9"/>
  <c r="T345" i="9"/>
  <c r="L345" i="9"/>
  <c r="P345" i="9"/>
  <c r="J343" i="6"/>
  <c r="C343" i="4"/>
  <c r="C344" i="6" s="1"/>
  <c r="D343" i="4"/>
  <c r="D344" i="6" s="1"/>
  <c r="E343" i="4"/>
  <c r="E344" i="6" s="1"/>
  <c r="F343" i="4"/>
  <c r="F344" i="6" s="1"/>
  <c r="G343" i="4"/>
  <c r="G344" i="6" s="1"/>
  <c r="H343" i="4"/>
  <c r="H344" i="6" s="1"/>
  <c r="I343" i="4"/>
  <c r="I344" i="6" s="1"/>
  <c r="B343" i="4"/>
  <c r="B344" i="6" s="1"/>
  <c r="A344" i="4"/>
  <c r="A345" i="6" s="1"/>
  <c r="A347" i="9" s="1"/>
  <c r="P346" i="9" l="1"/>
  <c r="T346" i="9"/>
  <c r="L346" i="9"/>
  <c r="C347" i="9"/>
  <c r="M347" i="9" s="1"/>
  <c r="D347" i="9"/>
  <c r="E347" i="9"/>
  <c r="Q347" i="9" s="1"/>
  <c r="F347" i="9"/>
  <c r="G347" i="9"/>
  <c r="N347" i="9" s="1"/>
  <c r="H347" i="9"/>
  <c r="I347" i="9"/>
  <c r="R347" i="9" s="1"/>
  <c r="B347" i="9"/>
  <c r="J347" i="9"/>
  <c r="U347" i="9"/>
  <c r="J344" i="6"/>
  <c r="B344" i="4"/>
  <c r="B345" i="6" s="1"/>
  <c r="A345" i="4"/>
  <c r="A346" i="6" s="1"/>
  <c r="A348" i="9" s="1"/>
  <c r="C344" i="4"/>
  <c r="C345" i="6" s="1"/>
  <c r="D344" i="4"/>
  <c r="D345" i="6" s="1"/>
  <c r="E344" i="4"/>
  <c r="E345" i="6" s="1"/>
  <c r="F344" i="4"/>
  <c r="F345" i="6" s="1"/>
  <c r="G344" i="4"/>
  <c r="G345" i="6" s="1"/>
  <c r="H344" i="4"/>
  <c r="H345" i="6" s="1"/>
  <c r="I344" i="4"/>
  <c r="I345" i="6" s="1"/>
  <c r="L347" i="9" l="1"/>
  <c r="P347" i="9"/>
  <c r="T347" i="9"/>
  <c r="I348" i="9"/>
  <c r="R348" i="9" s="1"/>
  <c r="B348" i="9"/>
  <c r="J348" i="9"/>
  <c r="U348" i="9"/>
  <c r="C348" i="9"/>
  <c r="M348" i="9" s="1"/>
  <c r="D348" i="9"/>
  <c r="E348" i="9"/>
  <c r="Q348" i="9" s="1"/>
  <c r="F348" i="9"/>
  <c r="G348" i="9"/>
  <c r="N348" i="9" s="1"/>
  <c r="H348" i="9"/>
  <c r="J345" i="6"/>
  <c r="I345" i="4"/>
  <c r="I346" i="6" s="1"/>
  <c r="B345" i="4"/>
  <c r="B346" i="6" s="1"/>
  <c r="A346" i="4"/>
  <c r="A347" i="6" s="1"/>
  <c r="A349" i="9" s="1"/>
  <c r="C345" i="4"/>
  <c r="C346" i="6" s="1"/>
  <c r="D345" i="4"/>
  <c r="D346" i="6" s="1"/>
  <c r="E345" i="4"/>
  <c r="E346" i="6" s="1"/>
  <c r="F345" i="4"/>
  <c r="F346" i="6" s="1"/>
  <c r="G345" i="4"/>
  <c r="G346" i="6" s="1"/>
  <c r="H345" i="4"/>
  <c r="H346" i="6" s="1"/>
  <c r="T348" i="9" l="1"/>
  <c r="L348" i="9"/>
  <c r="P348" i="9"/>
  <c r="G349" i="9"/>
  <c r="N349" i="9" s="1"/>
  <c r="H349" i="9"/>
  <c r="I349" i="9"/>
  <c r="R349" i="9" s="1"/>
  <c r="B349" i="9"/>
  <c r="J349" i="9"/>
  <c r="U349" i="9"/>
  <c r="C349" i="9"/>
  <c r="M349" i="9" s="1"/>
  <c r="D349" i="9"/>
  <c r="E349" i="9"/>
  <c r="Q349" i="9" s="1"/>
  <c r="F349" i="9"/>
  <c r="J346" i="6"/>
  <c r="H346" i="4"/>
  <c r="H347" i="6" s="1"/>
  <c r="I346" i="4"/>
  <c r="I347" i="6" s="1"/>
  <c r="B346" i="4"/>
  <c r="B347" i="6" s="1"/>
  <c r="A347" i="4"/>
  <c r="A348" i="6" s="1"/>
  <c r="A350" i="9" s="1"/>
  <c r="C346" i="4"/>
  <c r="C347" i="6" s="1"/>
  <c r="D346" i="4"/>
  <c r="D347" i="6" s="1"/>
  <c r="E346" i="4"/>
  <c r="E347" i="6" s="1"/>
  <c r="F346" i="4"/>
  <c r="F347" i="6" s="1"/>
  <c r="G346" i="4"/>
  <c r="G347" i="6" s="1"/>
  <c r="E350" i="9" l="1"/>
  <c r="Q350" i="9" s="1"/>
  <c r="F350" i="9"/>
  <c r="G350" i="9"/>
  <c r="N350" i="9" s="1"/>
  <c r="H350" i="9"/>
  <c r="I350" i="9"/>
  <c r="R350" i="9" s="1"/>
  <c r="B350" i="9"/>
  <c r="J350" i="9"/>
  <c r="U350" i="9"/>
  <c r="C350" i="9"/>
  <c r="M350" i="9" s="1"/>
  <c r="D350" i="9"/>
  <c r="T349" i="9"/>
  <c r="L349" i="9"/>
  <c r="P349" i="9"/>
  <c r="J347" i="6"/>
  <c r="G347" i="4"/>
  <c r="G348" i="6" s="1"/>
  <c r="H347" i="4"/>
  <c r="H348" i="6" s="1"/>
  <c r="I347" i="4"/>
  <c r="I348" i="6" s="1"/>
  <c r="B347" i="4"/>
  <c r="B348" i="6" s="1"/>
  <c r="A348" i="4"/>
  <c r="A349" i="6" s="1"/>
  <c r="A351" i="9" s="1"/>
  <c r="C347" i="4"/>
  <c r="C348" i="6" s="1"/>
  <c r="D347" i="4"/>
  <c r="D348" i="6" s="1"/>
  <c r="E347" i="4"/>
  <c r="E348" i="6" s="1"/>
  <c r="F347" i="4"/>
  <c r="F348" i="6" s="1"/>
  <c r="P350" i="9" l="1"/>
  <c r="T350" i="9"/>
  <c r="L350" i="9"/>
  <c r="C351" i="9"/>
  <c r="M351" i="9" s="1"/>
  <c r="D351" i="9"/>
  <c r="E351" i="9"/>
  <c r="Q351" i="9" s="1"/>
  <c r="F351" i="9"/>
  <c r="G351" i="9"/>
  <c r="N351" i="9" s="1"/>
  <c r="H351" i="9"/>
  <c r="I351" i="9"/>
  <c r="R351" i="9" s="1"/>
  <c r="B351" i="9"/>
  <c r="J351" i="9"/>
  <c r="U351" i="9"/>
  <c r="J348" i="6"/>
  <c r="F348" i="4"/>
  <c r="F349" i="6" s="1"/>
  <c r="G348" i="4"/>
  <c r="G349" i="6" s="1"/>
  <c r="H348" i="4"/>
  <c r="H349" i="6" s="1"/>
  <c r="I348" i="4"/>
  <c r="I349" i="6" s="1"/>
  <c r="B348" i="4"/>
  <c r="B349" i="6" s="1"/>
  <c r="A349" i="4"/>
  <c r="A350" i="6" s="1"/>
  <c r="A352" i="9" s="1"/>
  <c r="C348" i="4"/>
  <c r="C349" i="6" s="1"/>
  <c r="D348" i="4"/>
  <c r="D349" i="6" s="1"/>
  <c r="E348" i="4"/>
  <c r="E349" i="6" s="1"/>
  <c r="I352" i="9" l="1"/>
  <c r="R352" i="9" s="1"/>
  <c r="B352" i="9"/>
  <c r="J352" i="9"/>
  <c r="U352" i="9"/>
  <c r="C352" i="9"/>
  <c r="M352" i="9" s="1"/>
  <c r="D352" i="9"/>
  <c r="E352" i="9"/>
  <c r="Q352" i="9" s="1"/>
  <c r="F352" i="9"/>
  <c r="G352" i="9"/>
  <c r="N352" i="9" s="1"/>
  <c r="H352" i="9"/>
  <c r="L351" i="9"/>
  <c r="P351" i="9"/>
  <c r="T351" i="9"/>
  <c r="J349" i="6"/>
  <c r="E349" i="4"/>
  <c r="E350" i="6" s="1"/>
  <c r="F349" i="4"/>
  <c r="F350" i="6" s="1"/>
  <c r="G349" i="4"/>
  <c r="G350" i="6" s="1"/>
  <c r="H349" i="4"/>
  <c r="H350" i="6" s="1"/>
  <c r="I349" i="4"/>
  <c r="I350" i="6" s="1"/>
  <c r="B349" i="4"/>
  <c r="B350" i="6" s="1"/>
  <c r="A350" i="4"/>
  <c r="A351" i="6" s="1"/>
  <c r="A353" i="9" s="1"/>
  <c r="C349" i="4"/>
  <c r="C350" i="6" s="1"/>
  <c r="D349" i="4"/>
  <c r="D350" i="6" s="1"/>
  <c r="G353" i="9" l="1"/>
  <c r="N353" i="9" s="1"/>
  <c r="H353" i="9"/>
  <c r="I353" i="9"/>
  <c r="R353" i="9" s="1"/>
  <c r="B353" i="9"/>
  <c r="J353" i="9"/>
  <c r="C353" i="9"/>
  <c r="M353" i="9" s="1"/>
  <c r="D353" i="9"/>
  <c r="U353" i="9"/>
  <c r="E353" i="9"/>
  <c r="Q353" i="9" s="1"/>
  <c r="F353" i="9"/>
  <c r="T352" i="9"/>
  <c r="L352" i="9"/>
  <c r="P352" i="9"/>
  <c r="J350" i="6"/>
  <c r="D350" i="4"/>
  <c r="D351" i="6" s="1"/>
  <c r="E350" i="4"/>
  <c r="E351" i="6" s="1"/>
  <c r="F350" i="4"/>
  <c r="F351" i="6" s="1"/>
  <c r="G350" i="4"/>
  <c r="G351" i="6" s="1"/>
  <c r="H350" i="4"/>
  <c r="H351" i="6" s="1"/>
  <c r="I350" i="4"/>
  <c r="I351" i="6" s="1"/>
  <c r="B350" i="4"/>
  <c r="B351" i="6" s="1"/>
  <c r="A351" i="4"/>
  <c r="A352" i="6" s="1"/>
  <c r="A354" i="9" s="1"/>
  <c r="C350" i="4"/>
  <c r="C351" i="6" s="1"/>
  <c r="L353" i="9" l="1"/>
  <c r="P353" i="9"/>
  <c r="T353" i="9"/>
  <c r="H354" i="9"/>
  <c r="I354" i="9"/>
  <c r="R354" i="9" s="1"/>
  <c r="B354" i="9"/>
  <c r="J354" i="9"/>
  <c r="U354" i="9"/>
  <c r="C354" i="9"/>
  <c r="M354" i="9" s="1"/>
  <c r="D354" i="9"/>
  <c r="E354" i="9"/>
  <c r="Q354" i="9" s="1"/>
  <c r="F354" i="9"/>
  <c r="G354" i="9"/>
  <c r="N354" i="9" s="1"/>
  <c r="J351" i="6"/>
  <c r="C351" i="4"/>
  <c r="C352" i="6" s="1"/>
  <c r="D351" i="4"/>
  <c r="D352" i="6" s="1"/>
  <c r="E351" i="4"/>
  <c r="E352" i="6" s="1"/>
  <c r="F351" i="4"/>
  <c r="F352" i="6" s="1"/>
  <c r="G351" i="4"/>
  <c r="G352" i="6" s="1"/>
  <c r="H351" i="4"/>
  <c r="H352" i="6" s="1"/>
  <c r="I351" i="4"/>
  <c r="I352" i="6" s="1"/>
  <c r="B351" i="4"/>
  <c r="B352" i="6" s="1"/>
  <c r="A352" i="4"/>
  <c r="A353" i="6" s="1"/>
  <c r="A355" i="9" s="1"/>
  <c r="F355" i="9" l="1"/>
  <c r="G355" i="9"/>
  <c r="N355" i="9" s="1"/>
  <c r="H355" i="9"/>
  <c r="I355" i="9"/>
  <c r="R355" i="9" s="1"/>
  <c r="B355" i="9"/>
  <c r="J355" i="9"/>
  <c r="U355" i="9"/>
  <c r="C355" i="9"/>
  <c r="M355" i="9" s="1"/>
  <c r="D355" i="9"/>
  <c r="E355" i="9"/>
  <c r="Q355" i="9" s="1"/>
  <c r="T354" i="9"/>
  <c r="L354" i="9"/>
  <c r="P354" i="9"/>
  <c r="J352" i="6"/>
  <c r="B352" i="4"/>
  <c r="B353" i="6" s="1"/>
  <c r="A353" i="4"/>
  <c r="A354" i="6" s="1"/>
  <c r="A356" i="9" s="1"/>
  <c r="C352" i="4"/>
  <c r="C353" i="6" s="1"/>
  <c r="D352" i="4"/>
  <c r="D353" i="6" s="1"/>
  <c r="E352" i="4"/>
  <c r="E353" i="6" s="1"/>
  <c r="F352" i="4"/>
  <c r="F353" i="6" s="1"/>
  <c r="G352" i="4"/>
  <c r="G353" i="6" s="1"/>
  <c r="H352" i="4"/>
  <c r="H353" i="6" s="1"/>
  <c r="I352" i="4"/>
  <c r="I353" i="6" s="1"/>
  <c r="D356" i="9" l="1"/>
  <c r="E356" i="9"/>
  <c r="Q356" i="9" s="1"/>
  <c r="F356" i="9"/>
  <c r="G356" i="9"/>
  <c r="N356" i="9" s="1"/>
  <c r="H356" i="9"/>
  <c r="I356" i="9"/>
  <c r="R356" i="9" s="1"/>
  <c r="B356" i="9"/>
  <c r="J356" i="9"/>
  <c r="U356" i="9"/>
  <c r="C356" i="9"/>
  <c r="M356" i="9" s="1"/>
  <c r="P355" i="9"/>
  <c r="T355" i="9"/>
  <c r="L355" i="9"/>
  <c r="J353" i="6"/>
  <c r="I353" i="4"/>
  <c r="I354" i="6" s="1"/>
  <c r="B353" i="4"/>
  <c r="B354" i="6" s="1"/>
  <c r="A354" i="4"/>
  <c r="A355" i="6" s="1"/>
  <c r="A357" i="9" s="1"/>
  <c r="C353" i="4"/>
  <c r="C354" i="6" s="1"/>
  <c r="D353" i="4"/>
  <c r="D354" i="6" s="1"/>
  <c r="E353" i="4"/>
  <c r="E354" i="6" s="1"/>
  <c r="F353" i="4"/>
  <c r="F354" i="6" s="1"/>
  <c r="G353" i="4"/>
  <c r="G354" i="6" s="1"/>
  <c r="H353" i="4"/>
  <c r="H354" i="6" s="1"/>
  <c r="P356" i="9" l="1"/>
  <c r="T356" i="9"/>
  <c r="L356" i="9"/>
  <c r="B357" i="9"/>
  <c r="J357" i="9"/>
  <c r="U357" i="9"/>
  <c r="C357" i="9"/>
  <c r="M357" i="9" s="1"/>
  <c r="D357" i="9"/>
  <c r="E357" i="9"/>
  <c r="Q357" i="9" s="1"/>
  <c r="F357" i="9"/>
  <c r="G357" i="9"/>
  <c r="N357" i="9" s="1"/>
  <c r="H357" i="9"/>
  <c r="I357" i="9"/>
  <c r="R357" i="9" s="1"/>
  <c r="J354" i="6"/>
  <c r="H354" i="4"/>
  <c r="H355" i="6" s="1"/>
  <c r="I354" i="4"/>
  <c r="I355" i="6" s="1"/>
  <c r="B354" i="4"/>
  <c r="B355" i="6" s="1"/>
  <c r="A355" i="4"/>
  <c r="A356" i="6" s="1"/>
  <c r="A358" i="9" s="1"/>
  <c r="C354" i="4"/>
  <c r="C355" i="6" s="1"/>
  <c r="D354" i="4"/>
  <c r="D355" i="6" s="1"/>
  <c r="E354" i="4"/>
  <c r="E355" i="6" s="1"/>
  <c r="F354" i="4"/>
  <c r="F355" i="6" s="1"/>
  <c r="G354" i="4"/>
  <c r="G355" i="6" s="1"/>
  <c r="L357" i="9" l="1"/>
  <c r="P357" i="9"/>
  <c r="T357" i="9"/>
  <c r="H358" i="9"/>
  <c r="I358" i="9"/>
  <c r="R358" i="9" s="1"/>
  <c r="B358" i="9"/>
  <c r="J358" i="9"/>
  <c r="U358" i="9"/>
  <c r="C358" i="9"/>
  <c r="M358" i="9" s="1"/>
  <c r="D358" i="9"/>
  <c r="E358" i="9"/>
  <c r="Q358" i="9" s="1"/>
  <c r="F358" i="9"/>
  <c r="G358" i="9"/>
  <c r="N358" i="9" s="1"/>
  <c r="J355" i="6"/>
  <c r="G355" i="4"/>
  <c r="G356" i="6" s="1"/>
  <c r="H355" i="4"/>
  <c r="H356" i="6" s="1"/>
  <c r="I355" i="4"/>
  <c r="I356" i="6" s="1"/>
  <c r="B355" i="4"/>
  <c r="B356" i="6" s="1"/>
  <c r="A356" i="4"/>
  <c r="A357" i="6" s="1"/>
  <c r="A359" i="9" s="1"/>
  <c r="C355" i="4"/>
  <c r="C356" i="6" s="1"/>
  <c r="D355" i="4"/>
  <c r="D356" i="6" s="1"/>
  <c r="E355" i="4"/>
  <c r="E356" i="6" s="1"/>
  <c r="F355" i="4"/>
  <c r="F356" i="6" s="1"/>
  <c r="T358" i="9" l="1"/>
  <c r="L358" i="9"/>
  <c r="P358" i="9"/>
  <c r="F359" i="9"/>
  <c r="G359" i="9"/>
  <c r="N359" i="9" s="1"/>
  <c r="H359" i="9"/>
  <c r="I359" i="9"/>
  <c r="R359" i="9" s="1"/>
  <c r="B359" i="9"/>
  <c r="J359" i="9"/>
  <c r="U359" i="9"/>
  <c r="C359" i="9"/>
  <c r="M359" i="9" s="1"/>
  <c r="D359" i="9"/>
  <c r="E359" i="9"/>
  <c r="Q359" i="9" s="1"/>
  <c r="J356" i="6"/>
  <c r="F356" i="4"/>
  <c r="F357" i="6" s="1"/>
  <c r="G356" i="4"/>
  <c r="G357" i="6" s="1"/>
  <c r="H356" i="4"/>
  <c r="H357" i="6" s="1"/>
  <c r="I356" i="4"/>
  <c r="I357" i="6" s="1"/>
  <c r="B356" i="4"/>
  <c r="B357" i="6" s="1"/>
  <c r="A357" i="4"/>
  <c r="A358" i="6" s="1"/>
  <c r="A360" i="9" s="1"/>
  <c r="C356" i="4"/>
  <c r="C357" i="6" s="1"/>
  <c r="D356" i="4"/>
  <c r="D357" i="6" s="1"/>
  <c r="E356" i="4"/>
  <c r="E357" i="6" s="1"/>
  <c r="D360" i="9" l="1"/>
  <c r="E360" i="9"/>
  <c r="Q360" i="9" s="1"/>
  <c r="F360" i="9"/>
  <c r="G360" i="9"/>
  <c r="N360" i="9" s="1"/>
  <c r="H360" i="9"/>
  <c r="I360" i="9"/>
  <c r="R360" i="9" s="1"/>
  <c r="B360" i="9"/>
  <c r="J360" i="9"/>
  <c r="U360" i="9"/>
  <c r="C360" i="9"/>
  <c r="M360" i="9" s="1"/>
  <c r="P359" i="9"/>
  <c r="T359" i="9"/>
  <c r="L359" i="9"/>
  <c r="J357" i="6"/>
  <c r="E357" i="4"/>
  <c r="E358" i="6" s="1"/>
  <c r="F357" i="4"/>
  <c r="F358" i="6" s="1"/>
  <c r="G357" i="4"/>
  <c r="G358" i="6" s="1"/>
  <c r="H357" i="4"/>
  <c r="H358" i="6" s="1"/>
  <c r="I357" i="4"/>
  <c r="I358" i="6" s="1"/>
  <c r="B357" i="4"/>
  <c r="B358" i="6" s="1"/>
  <c r="A358" i="4"/>
  <c r="A359" i="6" s="1"/>
  <c r="A361" i="9" s="1"/>
  <c r="C357" i="4"/>
  <c r="C358" i="6" s="1"/>
  <c r="D357" i="4"/>
  <c r="D358" i="6" s="1"/>
  <c r="P360" i="9" l="1"/>
  <c r="T360" i="9"/>
  <c r="L360" i="9"/>
  <c r="B361" i="9"/>
  <c r="J361" i="9"/>
  <c r="U361" i="9"/>
  <c r="C361" i="9"/>
  <c r="M361" i="9" s="1"/>
  <c r="D361" i="9"/>
  <c r="E361" i="9"/>
  <c r="Q361" i="9" s="1"/>
  <c r="F361" i="9"/>
  <c r="G361" i="9"/>
  <c r="N361" i="9" s="1"/>
  <c r="H361" i="9"/>
  <c r="I361" i="9"/>
  <c r="R361" i="9" s="1"/>
  <c r="J358" i="6"/>
  <c r="D358" i="4"/>
  <c r="D359" i="6" s="1"/>
  <c r="E358" i="4"/>
  <c r="E359" i="6" s="1"/>
  <c r="F358" i="4"/>
  <c r="F359" i="6" s="1"/>
  <c r="G358" i="4"/>
  <c r="G359" i="6" s="1"/>
  <c r="H358" i="4"/>
  <c r="H359" i="6" s="1"/>
  <c r="I358" i="4"/>
  <c r="I359" i="6" s="1"/>
  <c r="B358" i="4"/>
  <c r="B359" i="6" s="1"/>
  <c r="A359" i="4"/>
  <c r="A360" i="6" s="1"/>
  <c r="A362" i="9" s="1"/>
  <c r="C358" i="4"/>
  <c r="C359" i="6" s="1"/>
  <c r="L361" i="9" l="1"/>
  <c r="P361" i="9"/>
  <c r="T361" i="9"/>
  <c r="H362" i="9"/>
  <c r="I362" i="9"/>
  <c r="R362" i="9" s="1"/>
  <c r="B362" i="9"/>
  <c r="J362" i="9"/>
  <c r="U362" i="9"/>
  <c r="C362" i="9"/>
  <c r="M362" i="9" s="1"/>
  <c r="D362" i="9"/>
  <c r="E362" i="9"/>
  <c r="Q362" i="9" s="1"/>
  <c r="F362" i="9"/>
  <c r="G362" i="9"/>
  <c r="N362" i="9" s="1"/>
  <c r="J359" i="6"/>
  <c r="C359" i="4"/>
  <c r="C360" i="6" s="1"/>
  <c r="D359" i="4"/>
  <c r="D360" i="6" s="1"/>
  <c r="E359" i="4"/>
  <c r="E360" i="6" s="1"/>
  <c r="F359" i="4"/>
  <c r="F360" i="6" s="1"/>
  <c r="G359" i="4"/>
  <c r="G360" i="6" s="1"/>
  <c r="H359" i="4"/>
  <c r="H360" i="6" s="1"/>
  <c r="I359" i="4"/>
  <c r="I360" i="6" s="1"/>
  <c r="B359" i="4"/>
  <c r="B360" i="6" s="1"/>
  <c r="A360" i="4"/>
  <c r="A361" i="6" s="1"/>
  <c r="A363" i="9" s="1"/>
  <c r="T362" i="9" l="1"/>
  <c r="L362" i="9"/>
  <c r="P362" i="9"/>
  <c r="F363" i="9"/>
  <c r="G363" i="9"/>
  <c r="N363" i="9" s="1"/>
  <c r="H363" i="9"/>
  <c r="I363" i="9"/>
  <c r="R363" i="9" s="1"/>
  <c r="B363" i="9"/>
  <c r="J363" i="9"/>
  <c r="U363" i="9"/>
  <c r="C363" i="9"/>
  <c r="M363" i="9" s="1"/>
  <c r="D363" i="9"/>
  <c r="E363" i="9"/>
  <c r="Q363" i="9" s="1"/>
  <c r="J360" i="6"/>
  <c r="B360" i="4"/>
  <c r="B361" i="6" s="1"/>
  <c r="A361" i="4"/>
  <c r="A362" i="6" s="1"/>
  <c r="A364" i="9" s="1"/>
  <c r="C360" i="4"/>
  <c r="C361" i="6" s="1"/>
  <c r="D360" i="4"/>
  <c r="D361" i="6" s="1"/>
  <c r="E360" i="4"/>
  <c r="E361" i="6" s="1"/>
  <c r="F360" i="4"/>
  <c r="F361" i="6" s="1"/>
  <c r="G360" i="4"/>
  <c r="G361" i="6" s="1"/>
  <c r="H360" i="4"/>
  <c r="H361" i="6" s="1"/>
  <c r="I360" i="4"/>
  <c r="I361" i="6" s="1"/>
  <c r="D364" i="9" l="1"/>
  <c r="E364" i="9"/>
  <c r="Q364" i="9" s="1"/>
  <c r="F364" i="9"/>
  <c r="G364" i="9"/>
  <c r="N364" i="9" s="1"/>
  <c r="H364" i="9"/>
  <c r="I364" i="9"/>
  <c r="R364" i="9" s="1"/>
  <c r="B364" i="9"/>
  <c r="J364" i="9"/>
  <c r="U364" i="9"/>
  <c r="C364" i="9"/>
  <c r="M364" i="9" s="1"/>
  <c r="P363" i="9"/>
  <c r="T363" i="9"/>
  <c r="L363" i="9"/>
  <c r="J361" i="6"/>
  <c r="I361" i="4"/>
  <c r="I362" i="6" s="1"/>
  <c r="B361" i="4"/>
  <c r="B362" i="6" s="1"/>
  <c r="A362" i="4"/>
  <c r="A363" i="6" s="1"/>
  <c r="A365" i="9" s="1"/>
  <c r="C361" i="4"/>
  <c r="C362" i="6" s="1"/>
  <c r="D361" i="4"/>
  <c r="D362" i="6" s="1"/>
  <c r="E361" i="4"/>
  <c r="E362" i="6" s="1"/>
  <c r="F361" i="4"/>
  <c r="F362" i="6" s="1"/>
  <c r="G361" i="4"/>
  <c r="G362" i="6" s="1"/>
  <c r="H361" i="4"/>
  <c r="H362" i="6" s="1"/>
  <c r="P364" i="9" l="1"/>
  <c r="T364" i="9"/>
  <c r="L364" i="9"/>
  <c r="B365" i="9"/>
  <c r="J365" i="9"/>
  <c r="U365" i="9"/>
  <c r="C365" i="9"/>
  <c r="M365" i="9" s="1"/>
  <c r="D365" i="9"/>
  <c r="E365" i="9"/>
  <c r="Q365" i="9" s="1"/>
  <c r="F365" i="9"/>
  <c r="G365" i="9"/>
  <c r="N365" i="9" s="1"/>
  <c r="H365" i="9"/>
  <c r="I365" i="9"/>
  <c r="R365" i="9" s="1"/>
  <c r="J362" i="6"/>
  <c r="H362" i="4"/>
  <c r="H363" i="6" s="1"/>
  <c r="I362" i="4"/>
  <c r="I363" i="6" s="1"/>
  <c r="B362" i="4"/>
  <c r="B363" i="6" s="1"/>
  <c r="A363" i="4"/>
  <c r="A364" i="6" s="1"/>
  <c r="A366" i="9" s="1"/>
  <c r="C362" i="4"/>
  <c r="C363" i="6" s="1"/>
  <c r="D362" i="4"/>
  <c r="D363" i="6" s="1"/>
  <c r="E362" i="4"/>
  <c r="E363" i="6" s="1"/>
  <c r="F362" i="4"/>
  <c r="F363" i="6" s="1"/>
  <c r="G362" i="4"/>
  <c r="G363" i="6" s="1"/>
  <c r="L365" i="9" l="1"/>
  <c r="P365" i="9"/>
  <c r="T365" i="9"/>
  <c r="H366" i="9"/>
  <c r="I366" i="9"/>
  <c r="R366" i="9" s="1"/>
  <c r="B366" i="9"/>
  <c r="J366" i="9"/>
  <c r="U366" i="9"/>
  <c r="C366" i="9"/>
  <c r="M366" i="9" s="1"/>
  <c r="D366" i="9"/>
  <c r="E366" i="9"/>
  <c r="Q366" i="9" s="1"/>
  <c r="F366" i="9"/>
  <c r="G366" i="9"/>
  <c r="N366" i="9" s="1"/>
  <c r="J363" i="6"/>
  <c r="G363" i="4"/>
  <c r="G364" i="6" s="1"/>
  <c r="H363" i="4"/>
  <c r="H364" i="6" s="1"/>
  <c r="I363" i="4"/>
  <c r="I364" i="6" s="1"/>
  <c r="B363" i="4"/>
  <c r="B364" i="6" s="1"/>
  <c r="A364" i="4"/>
  <c r="A365" i="6" s="1"/>
  <c r="A367" i="9" s="1"/>
  <c r="C363" i="4"/>
  <c r="C364" i="6" s="1"/>
  <c r="D363" i="4"/>
  <c r="D364" i="6" s="1"/>
  <c r="E363" i="4"/>
  <c r="E364" i="6" s="1"/>
  <c r="F363" i="4"/>
  <c r="F364" i="6" s="1"/>
  <c r="T366" i="9" l="1"/>
  <c r="L366" i="9"/>
  <c r="P366" i="9"/>
  <c r="F367" i="9"/>
  <c r="G367" i="9"/>
  <c r="N367" i="9" s="1"/>
  <c r="H367" i="9"/>
  <c r="I367" i="9"/>
  <c r="R367" i="9" s="1"/>
  <c r="B367" i="9"/>
  <c r="J367" i="9"/>
  <c r="U367" i="9"/>
  <c r="C367" i="9"/>
  <c r="M367" i="9" s="1"/>
  <c r="D367" i="9"/>
  <c r="E367" i="9"/>
  <c r="Q367" i="9" s="1"/>
  <c r="J364" i="6"/>
  <c r="F364" i="4"/>
  <c r="F365" i="6" s="1"/>
  <c r="G364" i="4"/>
  <c r="G365" i="6" s="1"/>
  <c r="H364" i="4"/>
  <c r="H365" i="6" s="1"/>
  <c r="I364" i="4"/>
  <c r="I365" i="6" s="1"/>
  <c r="B364" i="4"/>
  <c r="B365" i="6" s="1"/>
  <c r="A365" i="4"/>
  <c r="A366" i="6" s="1"/>
  <c r="A368" i="9" s="1"/>
  <c r="C364" i="4"/>
  <c r="C365" i="6" s="1"/>
  <c r="D364" i="4"/>
  <c r="D365" i="6" s="1"/>
  <c r="E364" i="4"/>
  <c r="E365" i="6" s="1"/>
  <c r="D368" i="9" l="1"/>
  <c r="E368" i="9"/>
  <c r="Q368" i="9" s="1"/>
  <c r="F368" i="9"/>
  <c r="G368" i="9"/>
  <c r="N368" i="9" s="1"/>
  <c r="H368" i="9"/>
  <c r="I368" i="9"/>
  <c r="R368" i="9" s="1"/>
  <c r="B368" i="9"/>
  <c r="J368" i="9"/>
  <c r="U368" i="9"/>
  <c r="C368" i="9"/>
  <c r="M368" i="9" s="1"/>
  <c r="P367" i="9"/>
  <c r="T367" i="9"/>
  <c r="L367" i="9"/>
  <c r="J365" i="6"/>
  <c r="E365" i="4"/>
  <c r="E366" i="6" s="1"/>
  <c r="F365" i="4"/>
  <c r="F366" i="6" s="1"/>
  <c r="G365" i="4"/>
  <c r="G366" i="6" s="1"/>
  <c r="H365" i="4"/>
  <c r="H366" i="6" s="1"/>
  <c r="I365" i="4"/>
  <c r="I366" i="6" s="1"/>
  <c r="B365" i="4"/>
  <c r="B366" i="6" s="1"/>
  <c r="A366" i="4"/>
  <c r="A367" i="6" s="1"/>
  <c r="A369" i="9" s="1"/>
  <c r="C365" i="4"/>
  <c r="C366" i="6" s="1"/>
  <c r="D365" i="4"/>
  <c r="D366" i="6" s="1"/>
  <c r="P368" i="9" l="1"/>
  <c r="T368" i="9"/>
  <c r="L368" i="9"/>
  <c r="B369" i="9"/>
  <c r="J369" i="9"/>
  <c r="U369" i="9"/>
  <c r="C369" i="9"/>
  <c r="M369" i="9" s="1"/>
  <c r="D369" i="9"/>
  <c r="E369" i="9"/>
  <c r="Q369" i="9" s="1"/>
  <c r="F369" i="9"/>
  <c r="G369" i="9"/>
  <c r="N369" i="9" s="1"/>
  <c r="H369" i="9"/>
  <c r="I369" i="9"/>
  <c r="R369" i="9" s="1"/>
  <c r="J366" i="6"/>
  <c r="D366" i="4"/>
  <c r="D367" i="6" s="1"/>
  <c r="E366" i="4"/>
  <c r="E367" i="6" s="1"/>
  <c r="F366" i="4"/>
  <c r="F367" i="6" s="1"/>
  <c r="G366" i="4"/>
  <c r="G367" i="6" s="1"/>
  <c r="H366" i="4"/>
  <c r="H367" i="6" s="1"/>
  <c r="I366" i="4"/>
  <c r="I367" i="6" s="1"/>
  <c r="B366" i="4"/>
  <c r="B367" i="6" s="1"/>
  <c r="A367" i="4"/>
  <c r="A368" i="6" s="1"/>
  <c r="A370" i="9" s="1"/>
  <c r="C366" i="4"/>
  <c r="C367" i="6" s="1"/>
  <c r="L369" i="9" l="1"/>
  <c r="P369" i="9"/>
  <c r="T369" i="9"/>
  <c r="H370" i="9"/>
  <c r="I370" i="9"/>
  <c r="R370" i="9" s="1"/>
  <c r="B370" i="9"/>
  <c r="J370" i="9"/>
  <c r="U370" i="9"/>
  <c r="C370" i="9"/>
  <c r="M370" i="9" s="1"/>
  <c r="D370" i="9"/>
  <c r="E370" i="9"/>
  <c r="Q370" i="9" s="1"/>
  <c r="F370" i="9"/>
  <c r="G370" i="9"/>
  <c r="N370" i="9" s="1"/>
  <c r="J367" i="6"/>
  <c r="C367" i="4"/>
  <c r="C368" i="6" s="1"/>
  <c r="D367" i="4"/>
  <c r="D368" i="6" s="1"/>
  <c r="E367" i="4"/>
  <c r="E368" i="6" s="1"/>
  <c r="F367" i="4"/>
  <c r="F368" i="6" s="1"/>
  <c r="G367" i="4"/>
  <c r="G368" i="6" s="1"/>
  <c r="H367" i="4"/>
  <c r="H368" i="6" s="1"/>
  <c r="I367" i="4"/>
  <c r="I368" i="6" s="1"/>
  <c r="B367" i="4"/>
  <c r="B368" i="6" s="1"/>
  <c r="A368" i="4"/>
  <c r="A369" i="6" s="1"/>
  <c r="A371" i="9" s="1"/>
  <c r="F371" i="9" l="1"/>
  <c r="G371" i="9"/>
  <c r="N371" i="9" s="1"/>
  <c r="H371" i="9"/>
  <c r="I371" i="9"/>
  <c r="R371" i="9" s="1"/>
  <c r="B371" i="9"/>
  <c r="J371" i="9"/>
  <c r="U371" i="9"/>
  <c r="C371" i="9"/>
  <c r="M371" i="9" s="1"/>
  <c r="D371" i="9"/>
  <c r="E371" i="9"/>
  <c r="Q371" i="9" s="1"/>
  <c r="T370" i="9"/>
  <c r="L370" i="9"/>
  <c r="P370" i="9"/>
  <c r="J368" i="6"/>
  <c r="B368" i="4"/>
  <c r="B369" i="6" s="1"/>
  <c r="A369" i="4"/>
  <c r="A370" i="6" s="1"/>
  <c r="A372" i="9" s="1"/>
  <c r="C368" i="4"/>
  <c r="C369" i="6" s="1"/>
  <c r="D368" i="4"/>
  <c r="D369" i="6" s="1"/>
  <c r="E368" i="4"/>
  <c r="E369" i="6" s="1"/>
  <c r="F368" i="4"/>
  <c r="F369" i="6" s="1"/>
  <c r="G368" i="4"/>
  <c r="G369" i="6" s="1"/>
  <c r="H368" i="4"/>
  <c r="H369" i="6" s="1"/>
  <c r="I368" i="4"/>
  <c r="I369" i="6" s="1"/>
  <c r="D372" i="9" l="1"/>
  <c r="E372" i="9"/>
  <c r="Q372" i="9" s="1"/>
  <c r="F372" i="9"/>
  <c r="G372" i="9"/>
  <c r="N372" i="9" s="1"/>
  <c r="H372" i="9"/>
  <c r="I372" i="9"/>
  <c r="R372" i="9" s="1"/>
  <c r="B372" i="9"/>
  <c r="J372" i="9"/>
  <c r="U372" i="9"/>
  <c r="C372" i="9"/>
  <c r="M372" i="9" s="1"/>
  <c r="P371" i="9"/>
  <c r="T371" i="9"/>
  <c r="L371" i="9"/>
  <c r="J369" i="6"/>
  <c r="I369" i="4"/>
  <c r="I370" i="6" s="1"/>
  <c r="B369" i="4"/>
  <c r="B370" i="6" s="1"/>
  <c r="A370" i="4"/>
  <c r="A371" i="6" s="1"/>
  <c r="A373" i="9" s="1"/>
  <c r="C369" i="4"/>
  <c r="C370" i="6" s="1"/>
  <c r="D369" i="4"/>
  <c r="D370" i="6" s="1"/>
  <c r="E369" i="4"/>
  <c r="E370" i="6" s="1"/>
  <c r="F369" i="4"/>
  <c r="F370" i="6" s="1"/>
  <c r="G369" i="4"/>
  <c r="G370" i="6" s="1"/>
  <c r="H369" i="4"/>
  <c r="H370" i="6" s="1"/>
  <c r="P372" i="9" l="1"/>
  <c r="T372" i="9"/>
  <c r="L372" i="9"/>
  <c r="B373" i="9"/>
  <c r="J373" i="9"/>
  <c r="U373" i="9"/>
  <c r="C373" i="9"/>
  <c r="M373" i="9" s="1"/>
  <c r="D373" i="9"/>
  <c r="E373" i="9"/>
  <c r="Q373" i="9" s="1"/>
  <c r="F373" i="9"/>
  <c r="G373" i="9"/>
  <c r="N373" i="9" s="1"/>
  <c r="H373" i="9"/>
  <c r="I373" i="9"/>
  <c r="R373" i="9" s="1"/>
  <c r="J370" i="6"/>
  <c r="H370" i="4"/>
  <c r="H371" i="6" s="1"/>
  <c r="I370" i="4"/>
  <c r="I371" i="6" s="1"/>
  <c r="B370" i="4"/>
  <c r="B371" i="6" s="1"/>
  <c r="A371" i="4"/>
  <c r="A372" i="6" s="1"/>
  <c r="A374" i="9" s="1"/>
  <c r="C370" i="4"/>
  <c r="C371" i="6" s="1"/>
  <c r="D370" i="4"/>
  <c r="D371" i="6" s="1"/>
  <c r="E370" i="4"/>
  <c r="E371" i="6" s="1"/>
  <c r="F370" i="4"/>
  <c r="F371" i="6" s="1"/>
  <c r="G370" i="4"/>
  <c r="G371" i="6" s="1"/>
  <c r="L373" i="9" l="1"/>
  <c r="P373" i="9"/>
  <c r="T373" i="9"/>
  <c r="H374" i="9"/>
  <c r="I374" i="9"/>
  <c r="R374" i="9" s="1"/>
  <c r="B374" i="9"/>
  <c r="J374" i="9"/>
  <c r="U374" i="9"/>
  <c r="C374" i="9"/>
  <c r="M374" i="9" s="1"/>
  <c r="D374" i="9"/>
  <c r="E374" i="9"/>
  <c r="Q374" i="9" s="1"/>
  <c r="F374" i="9"/>
  <c r="G374" i="9"/>
  <c r="N374" i="9" s="1"/>
  <c r="J371" i="6"/>
  <c r="G371" i="4"/>
  <c r="G372" i="6" s="1"/>
  <c r="H371" i="4"/>
  <c r="H372" i="6" s="1"/>
  <c r="I371" i="4"/>
  <c r="I372" i="6" s="1"/>
  <c r="B371" i="4"/>
  <c r="B372" i="6" s="1"/>
  <c r="A372" i="4"/>
  <c r="A373" i="6" s="1"/>
  <c r="A375" i="9" s="1"/>
  <c r="C371" i="4"/>
  <c r="C372" i="6" s="1"/>
  <c r="D371" i="4"/>
  <c r="D372" i="6" s="1"/>
  <c r="E371" i="4"/>
  <c r="E372" i="6" s="1"/>
  <c r="F371" i="4"/>
  <c r="F372" i="6" s="1"/>
  <c r="T374" i="9" l="1"/>
  <c r="L374" i="9"/>
  <c r="P374" i="9"/>
  <c r="F375" i="9"/>
  <c r="G375" i="9"/>
  <c r="N375" i="9" s="1"/>
  <c r="H375" i="9"/>
  <c r="I375" i="9"/>
  <c r="R375" i="9" s="1"/>
  <c r="B375" i="9"/>
  <c r="J375" i="9"/>
  <c r="U375" i="9"/>
  <c r="E375" i="9"/>
  <c r="Q375" i="9" s="1"/>
  <c r="C375" i="9"/>
  <c r="M375" i="9" s="1"/>
  <c r="D375" i="9"/>
  <c r="J372" i="6"/>
  <c r="F372" i="4"/>
  <c r="F373" i="6" s="1"/>
  <c r="G372" i="4"/>
  <c r="G373" i="6" s="1"/>
  <c r="H372" i="4"/>
  <c r="H373" i="6" s="1"/>
  <c r="I372" i="4"/>
  <c r="I373" i="6" s="1"/>
  <c r="B372" i="4"/>
  <c r="B373" i="6" s="1"/>
  <c r="A373" i="4"/>
  <c r="A374" i="6" s="1"/>
  <c r="A376" i="9" s="1"/>
  <c r="C372" i="4"/>
  <c r="C373" i="6" s="1"/>
  <c r="D372" i="4"/>
  <c r="D373" i="6" s="1"/>
  <c r="E372" i="4"/>
  <c r="E373" i="6" s="1"/>
  <c r="D376" i="9" l="1"/>
  <c r="G376" i="9"/>
  <c r="N376" i="9" s="1"/>
  <c r="C376" i="9"/>
  <c r="M376" i="9" s="1"/>
  <c r="E376" i="9"/>
  <c r="Q376" i="9" s="1"/>
  <c r="F376" i="9"/>
  <c r="H376" i="9"/>
  <c r="I376" i="9"/>
  <c r="R376" i="9" s="1"/>
  <c r="B376" i="9"/>
  <c r="J376" i="9"/>
  <c r="U376" i="9"/>
  <c r="P375" i="9"/>
  <c r="T375" i="9"/>
  <c r="L375" i="9"/>
  <c r="J373" i="6"/>
  <c r="E373" i="4"/>
  <c r="E374" i="6" s="1"/>
  <c r="F373" i="4"/>
  <c r="F374" i="6" s="1"/>
  <c r="G373" i="4"/>
  <c r="G374" i="6" s="1"/>
  <c r="H373" i="4"/>
  <c r="H374" i="6" s="1"/>
  <c r="I373" i="4"/>
  <c r="I374" i="6" s="1"/>
  <c r="B373" i="4"/>
  <c r="B374" i="6" s="1"/>
  <c r="A374" i="4"/>
  <c r="A375" i="6" s="1"/>
  <c r="A377" i="9" s="1"/>
  <c r="C373" i="4"/>
  <c r="C374" i="6" s="1"/>
  <c r="D373" i="4"/>
  <c r="D374" i="6" s="1"/>
  <c r="B377" i="9" l="1"/>
  <c r="J377" i="9"/>
  <c r="U377" i="9"/>
  <c r="E377" i="9"/>
  <c r="Q377" i="9" s="1"/>
  <c r="C377" i="9"/>
  <c r="M377" i="9" s="1"/>
  <c r="I377" i="9"/>
  <c r="R377" i="9" s="1"/>
  <c r="D377" i="9"/>
  <c r="F377" i="9"/>
  <c r="G377" i="9"/>
  <c r="N377" i="9" s="1"/>
  <c r="H377" i="9"/>
  <c r="P376" i="9"/>
  <c r="T376" i="9"/>
  <c r="L376" i="9"/>
  <c r="J374" i="6"/>
  <c r="D374" i="4"/>
  <c r="D375" i="6" s="1"/>
  <c r="E374" i="4"/>
  <c r="E375" i="6" s="1"/>
  <c r="F374" i="4"/>
  <c r="F375" i="6" s="1"/>
  <c r="G374" i="4"/>
  <c r="G375" i="6" s="1"/>
  <c r="H374" i="4"/>
  <c r="H375" i="6" s="1"/>
  <c r="I374" i="4"/>
  <c r="I375" i="6" s="1"/>
  <c r="B374" i="4"/>
  <c r="B375" i="6" s="1"/>
  <c r="A375" i="4"/>
  <c r="A376" i="6" s="1"/>
  <c r="A378" i="9" s="1"/>
  <c r="C374" i="4"/>
  <c r="C375" i="6" s="1"/>
  <c r="H378" i="9" l="1"/>
  <c r="I378" i="9"/>
  <c r="R378" i="9" s="1"/>
  <c r="E378" i="9"/>
  <c r="Q378" i="9" s="1"/>
  <c r="B378" i="9"/>
  <c r="J378" i="9"/>
  <c r="U378" i="9"/>
  <c r="C378" i="9"/>
  <c r="M378" i="9" s="1"/>
  <c r="F378" i="9"/>
  <c r="D378" i="9"/>
  <c r="G378" i="9"/>
  <c r="N378" i="9" s="1"/>
  <c r="L377" i="9"/>
  <c r="T377" i="9"/>
  <c r="P377" i="9"/>
  <c r="J375" i="6"/>
  <c r="C375" i="4"/>
  <c r="C376" i="6" s="1"/>
  <c r="D375" i="4"/>
  <c r="D376" i="6" s="1"/>
  <c r="E375" i="4"/>
  <c r="E376" i="6" s="1"/>
  <c r="F375" i="4"/>
  <c r="F376" i="6" s="1"/>
  <c r="G375" i="4"/>
  <c r="G376" i="6" s="1"/>
  <c r="H375" i="4"/>
  <c r="H376" i="6" s="1"/>
  <c r="I375" i="4"/>
  <c r="I376" i="6" s="1"/>
  <c r="B375" i="4"/>
  <c r="B376" i="6" s="1"/>
  <c r="A376" i="4"/>
  <c r="A377" i="6" s="1"/>
  <c r="A379" i="9" s="1"/>
  <c r="I379" i="9" l="1"/>
  <c r="R379" i="9" s="1"/>
  <c r="B379" i="9"/>
  <c r="J379" i="9"/>
  <c r="U379" i="9"/>
  <c r="C379" i="9"/>
  <c r="M379" i="9" s="1"/>
  <c r="D379" i="9"/>
  <c r="E379" i="9"/>
  <c r="Q379" i="9" s="1"/>
  <c r="F379" i="9"/>
  <c r="G379" i="9"/>
  <c r="N379" i="9" s="1"/>
  <c r="H379" i="9"/>
  <c r="T378" i="9"/>
  <c r="L378" i="9"/>
  <c r="P378" i="9"/>
  <c r="J376" i="6"/>
  <c r="B376" i="4"/>
  <c r="B377" i="6" s="1"/>
  <c r="A377" i="4"/>
  <c r="A378" i="6" s="1"/>
  <c r="A380" i="9" s="1"/>
  <c r="C376" i="4"/>
  <c r="C377" i="6" s="1"/>
  <c r="D376" i="4"/>
  <c r="D377" i="6" s="1"/>
  <c r="E376" i="4"/>
  <c r="E377" i="6" s="1"/>
  <c r="F376" i="4"/>
  <c r="F377" i="6" s="1"/>
  <c r="G376" i="4"/>
  <c r="G377" i="6" s="1"/>
  <c r="H376" i="4"/>
  <c r="H377" i="6" s="1"/>
  <c r="I376" i="4"/>
  <c r="I377" i="6" s="1"/>
  <c r="G380" i="9" l="1"/>
  <c r="N380" i="9" s="1"/>
  <c r="H380" i="9"/>
  <c r="I380" i="9"/>
  <c r="R380" i="9" s="1"/>
  <c r="B380" i="9"/>
  <c r="J380" i="9"/>
  <c r="U380" i="9"/>
  <c r="C380" i="9"/>
  <c r="M380" i="9" s="1"/>
  <c r="D380" i="9"/>
  <c r="E380" i="9"/>
  <c r="Q380" i="9" s="1"/>
  <c r="F380" i="9"/>
  <c r="T379" i="9"/>
  <c r="L379" i="9"/>
  <c r="P379" i="9"/>
  <c r="J377" i="6"/>
  <c r="I377" i="4"/>
  <c r="I378" i="6" s="1"/>
  <c r="B377" i="4"/>
  <c r="B378" i="6" s="1"/>
  <c r="A378" i="4"/>
  <c r="A379" i="6" s="1"/>
  <c r="A381" i="9" s="1"/>
  <c r="C377" i="4"/>
  <c r="C378" i="6" s="1"/>
  <c r="D377" i="4"/>
  <c r="D378" i="6" s="1"/>
  <c r="E377" i="4"/>
  <c r="E378" i="6" s="1"/>
  <c r="F377" i="4"/>
  <c r="F378" i="6" s="1"/>
  <c r="G377" i="4"/>
  <c r="G378" i="6" s="1"/>
  <c r="H377" i="4"/>
  <c r="H378" i="6" s="1"/>
  <c r="L380" i="9" l="1"/>
  <c r="P380" i="9"/>
  <c r="T380" i="9"/>
  <c r="E381" i="9"/>
  <c r="Q381" i="9" s="1"/>
  <c r="F381" i="9"/>
  <c r="H381" i="9"/>
  <c r="I381" i="9"/>
  <c r="R381" i="9" s="1"/>
  <c r="B381" i="9"/>
  <c r="J381" i="9"/>
  <c r="U381" i="9"/>
  <c r="C381" i="9"/>
  <c r="M381" i="9" s="1"/>
  <c r="D381" i="9"/>
  <c r="G381" i="9"/>
  <c r="N381" i="9" s="1"/>
  <c r="J378" i="6"/>
  <c r="H378" i="4"/>
  <c r="H379" i="6" s="1"/>
  <c r="I378" i="4"/>
  <c r="I379" i="6" s="1"/>
  <c r="B378" i="4"/>
  <c r="B379" i="6" s="1"/>
  <c r="A379" i="4"/>
  <c r="A380" i="6" s="1"/>
  <c r="A382" i="9" s="1"/>
  <c r="C378" i="4"/>
  <c r="C379" i="6" s="1"/>
  <c r="D378" i="4"/>
  <c r="D379" i="6" s="1"/>
  <c r="E378" i="4"/>
  <c r="E379" i="6" s="1"/>
  <c r="F378" i="4"/>
  <c r="F379" i="6" s="1"/>
  <c r="G378" i="4"/>
  <c r="G379" i="6" s="1"/>
  <c r="C382" i="9" l="1"/>
  <c r="M382" i="9" s="1"/>
  <c r="D382" i="9"/>
  <c r="F382" i="9"/>
  <c r="G382" i="9"/>
  <c r="N382" i="9" s="1"/>
  <c r="H382" i="9"/>
  <c r="B382" i="9"/>
  <c r="J382" i="9"/>
  <c r="U382" i="9"/>
  <c r="I382" i="9"/>
  <c r="R382" i="9" s="1"/>
  <c r="E382" i="9"/>
  <c r="Q382" i="9" s="1"/>
  <c r="P381" i="9"/>
  <c r="T381" i="9"/>
  <c r="L381" i="9"/>
  <c r="J379" i="6"/>
  <c r="G379" i="4"/>
  <c r="G380" i="6" s="1"/>
  <c r="H379" i="4"/>
  <c r="H380" i="6" s="1"/>
  <c r="I379" i="4"/>
  <c r="I380" i="6" s="1"/>
  <c r="B379" i="4"/>
  <c r="B380" i="6" s="1"/>
  <c r="A380" i="4"/>
  <c r="A381" i="6" s="1"/>
  <c r="A383" i="9" s="1"/>
  <c r="C379" i="4"/>
  <c r="C380" i="6" s="1"/>
  <c r="D379" i="4"/>
  <c r="D380" i="6" s="1"/>
  <c r="E379" i="4"/>
  <c r="E380" i="6" s="1"/>
  <c r="F379" i="4"/>
  <c r="F380" i="6" s="1"/>
  <c r="L382" i="9" l="1"/>
  <c r="P382" i="9"/>
  <c r="T382" i="9"/>
  <c r="I383" i="9"/>
  <c r="R383" i="9" s="1"/>
  <c r="B383" i="9"/>
  <c r="J383" i="9"/>
  <c r="U383" i="9"/>
  <c r="D383" i="9"/>
  <c r="E383" i="9"/>
  <c r="Q383" i="9" s="1"/>
  <c r="F383" i="9"/>
  <c r="H383" i="9"/>
  <c r="G383" i="9"/>
  <c r="N383" i="9" s="1"/>
  <c r="C383" i="9"/>
  <c r="M383" i="9" s="1"/>
  <c r="J380" i="6"/>
  <c r="F380" i="4"/>
  <c r="F381" i="6" s="1"/>
  <c r="G380" i="4"/>
  <c r="G381" i="6" s="1"/>
  <c r="H380" i="4"/>
  <c r="H381" i="6" s="1"/>
  <c r="I380" i="4"/>
  <c r="I381" i="6" s="1"/>
  <c r="B380" i="4"/>
  <c r="B381" i="6" s="1"/>
  <c r="A381" i="4"/>
  <c r="A382" i="6" s="1"/>
  <c r="A384" i="9" s="1"/>
  <c r="C380" i="4"/>
  <c r="C381" i="6" s="1"/>
  <c r="D380" i="4"/>
  <c r="D381" i="6" s="1"/>
  <c r="E380" i="4"/>
  <c r="E381" i="6" s="1"/>
  <c r="T383" i="9" l="1"/>
  <c r="P383" i="9"/>
  <c r="L383" i="9"/>
  <c r="G384" i="9"/>
  <c r="N384" i="9" s="1"/>
  <c r="H384" i="9"/>
  <c r="B384" i="9"/>
  <c r="J384" i="9"/>
  <c r="U384" i="9"/>
  <c r="C384" i="9"/>
  <c r="M384" i="9" s="1"/>
  <c r="D384" i="9"/>
  <c r="F384" i="9"/>
  <c r="E384" i="9"/>
  <c r="Q384" i="9" s="1"/>
  <c r="I384" i="9"/>
  <c r="R384" i="9" s="1"/>
  <c r="J381" i="6"/>
  <c r="E381" i="4"/>
  <c r="E382" i="6" s="1"/>
  <c r="F381" i="4"/>
  <c r="F382" i="6" s="1"/>
  <c r="G381" i="4"/>
  <c r="G382" i="6" s="1"/>
  <c r="H381" i="4"/>
  <c r="H382" i="6" s="1"/>
  <c r="I381" i="4"/>
  <c r="I382" i="6" s="1"/>
  <c r="B381" i="4"/>
  <c r="B382" i="6" s="1"/>
  <c r="A382" i="4"/>
  <c r="A383" i="6" s="1"/>
  <c r="A385" i="9" s="1"/>
  <c r="C381" i="4"/>
  <c r="C382" i="6" s="1"/>
  <c r="D381" i="4"/>
  <c r="D382" i="6" s="1"/>
  <c r="L384" i="9" l="1"/>
  <c r="P384" i="9"/>
  <c r="T384" i="9"/>
  <c r="E385" i="9"/>
  <c r="Q385" i="9" s="1"/>
  <c r="F385" i="9"/>
  <c r="H385" i="9"/>
  <c r="I385" i="9"/>
  <c r="R385" i="9" s="1"/>
  <c r="B385" i="9"/>
  <c r="J385" i="9"/>
  <c r="U385" i="9"/>
  <c r="D385" i="9"/>
  <c r="C385" i="9"/>
  <c r="M385" i="9" s="1"/>
  <c r="G385" i="9"/>
  <c r="N385" i="9" s="1"/>
  <c r="J382" i="6"/>
  <c r="D382" i="4"/>
  <c r="D383" i="6" s="1"/>
  <c r="E382" i="4"/>
  <c r="E383" i="6" s="1"/>
  <c r="F382" i="4"/>
  <c r="F383" i="6" s="1"/>
  <c r="G382" i="4"/>
  <c r="G383" i="6" s="1"/>
  <c r="H382" i="4"/>
  <c r="H383" i="6" s="1"/>
  <c r="I382" i="4"/>
  <c r="I383" i="6" s="1"/>
  <c r="B382" i="4"/>
  <c r="B383" i="6" s="1"/>
  <c r="A383" i="4"/>
  <c r="A384" i="6" s="1"/>
  <c r="A386" i="9" s="1"/>
  <c r="C382" i="4"/>
  <c r="C383" i="6" s="1"/>
  <c r="C386" i="9" l="1"/>
  <c r="M386" i="9" s="1"/>
  <c r="D386" i="9"/>
  <c r="F386" i="9"/>
  <c r="G386" i="9"/>
  <c r="N386" i="9" s="1"/>
  <c r="H386" i="9"/>
  <c r="B386" i="9"/>
  <c r="J386" i="9"/>
  <c r="U386" i="9"/>
  <c r="I386" i="9"/>
  <c r="R386" i="9" s="1"/>
  <c r="E386" i="9"/>
  <c r="Q386" i="9" s="1"/>
  <c r="P385" i="9"/>
  <c r="T385" i="9"/>
  <c r="L385" i="9"/>
  <c r="J383" i="6"/>
  <c r="C383" i="4"/>
  <c r="C384" i="6" s="1"/>
  <c r="D383" i="4"/>
  <c r="D384" i="6" s="1"/>
  <c r="E383" i="4"/>
  <c r="E384" i="6" s="1"/>
  <c r="F383" i="4"/>
  <c r="F384" i="6" s="1"/>
  <c r="G383" i="4"/>
  <c r="G384" i="6" s="1"/>
  <c r="H383" i="4"/>
  <c r="H384" i="6" s="1"/>
  <c r="I383" i="4"/>
  <c r="I384" i="6" s="1"/>
  <c r="B383" i="4"/>
  <c r="B384" i="6" s="1"/>
  <c r="A384" i="4"/>
  <c r="A385" i="6" s="1"/>
  <c r="A387" i="9" s="1"/>
  <c r="L386" i="9" l="1"/>
  <c r="P386" i="9"/>
  <c r="T386" i="9"/>
  <c r="I387" i="9"/>
  <c r="R387" i="9" s="1"/>
  <c r="B387" i="9"/>
  <c r="J387" i="9"/>
  <c r="U387" i="9"/>
  <c r="D387" i="9"/>
  <c r="E387" i="9"/>
  <c r="Q387" i="9" s="1"/>
  <c r="F387" i="9"/>
  <c r="H387" i="9"/>
  <c r="G387" i="9"/>
  <c r="N387" i="9" s="1"/>
  <c r="C387" i="9"/>
  <c r="M387" i="9" s="1"/>
  <c r="J384" i="6"/>
  <c r="B384" i="4"/>
  <c r="B385" i="6" s="1"/>
  <c r="A385" i="4"/>
  <c r="A386" i="6" s="1"/>
  <c r="A388" i="9" s="1"/>
  <c r="C384" i="4"/>
  <c r="C385" i="6" s="1"/>
  <c r="D384" i="4"/>
  <c r="D385" i="6" s="1"/>
  <c r="E384" i="4"/>
  <c r="E385" i="6" s="1"/>
  <c r="F384" i="4"/>
  <c r="F385" i="6" s="1"/>
  <c r="G384" i="4"/>
  <c r="G385" i="6" s="1"/>
  <c r="H384" i="4"/>
  <c r="H385" i="6" s="1"/>
  <c r="I384" i="4"/>
  <c r="I385" i="6" s="1"/>
  <c r="G388" i="9" l="1"/>
  <c r="N388" i="9" s="1"/>
  <c r="H388" i="9"/>
  <c r="B388" i="9"/>
  <c r="J388" i="9"/>
  <c r="U388" i="9"/>
  <c r="C388" i="9"/>
  <c r="M388" i="9" s="1"/>
  <c r="D388" i="9"/>
  <c r="F388" i="9"/>
  <c r="E388" i="9"/>
  <c r="Q388" i="9" s="1"/>
  <c r="I388" i="9"/>
  <c r="R388" i="9" s="1"/>
  <c r="T387" i="9"/>
  <c r="P387" i="9"/>
  <c r="L387" i="9"/>
  <c r="J385" i="6"/>
  <c r="I385" i="4"/>
  <c r="I386" i="6" s="1"/>
  <c r="B385" i="4"/>
  <c r="B386" i="6" s="1"/>
  <c r="A386" i="4"/>
  <c r="A387" i="6" s="1"/>
  <c r="A389" i="9" s="1"/>
  <c r="C385" i="4"/>
  <c r="C386" i="6" s="1"/>
  <c r="D385" i="4"/>
  <c r="D386" i="6" s="1"/>
  <c r="E385" i="4"/>
  <c r="E386" i="6" s="1"/>
  <c r="F385" i="4"/>
  <c r="F386" i="6" s="1"/>
  <c r="G385" i="4"/>
  <c r="G386" i="6" s="1"/>
  <c r="H385" i="4"/>
  <c r="H386" i="6" s="1"/>
  <c r="L388" i="9" l="1"/>
  <c r="P388" i="9"/>
  <c r="T388" i="9"/>
  <c r="E389" i="9"/>
  <c r="Q389" i="9" s="1"/>
  <c r="F389" i="9"/>
  <c r="H389" i="9"/>
  <c r="I389" i="9"/>
  <c r="R389" i="9" s="1"/>
  <c r="B389" i="9"/>
  <c r="J389" i="9"/>
  <c r="U389" i="9"/>
  <c r="D389" i="9"/>
  <c r="C389" i="9"/>
  <c r="M389" i="9" s="1"/>
  <c r="G389" i="9"/>
  <c r="N389" i="9" s="1"/>
  <c r="J386" i="6"/>
  <c r="H386" i="4"/>
  <c r="H387" i="6" s="1"/>
  <c r="I386" i="4"/>
  <c r="I387" i="6" s="1"/>
  <c r="B386" i="4"/>
  <c r="B387" i="6" s="1"/>
  <c r="A387" i="4"/>
  <c r="A388" i="6" s="1"/>
  <c r="A390" i="9" s="1"/>
  <c r="C386" i="4"/>
  <c r="C387" i="6" s="1"/>
  <c r="D386" i="4"/>
  <c r="D387" i="6" s="1"/>
  <c r="E386" i="4"/>
  <c r="E387" i="6" s="1"/>
  <c r="F386" i="4"/>
  <c r="F387" i="6" s="1"/>
  <c r="G386" i="4"/>
  <c r="G387" i="6" s="1"/>
  <c r="C390" i="9" l="1"/>
  <c r="M390" i="9" s="1"/>
  <c r="D390" i="9"/>
  <c r="F390" i="9"/>
  <c r="G390" i="9"/>
  <c r="N390" i="9" s="1"/>
  <c r="H390" i="9"/>
  <c r="B390" i="9"/>
  <c r="J390" i="9"/>
  <c r="U390" i="9"/>
  <c r="I390" i="9"/>
  <c r="R390" i="9" s="1"/>
  <c r="E390" i="9"/>
  <c r="Q390" i="9" s="1"/>
  <c r="P389" i="9"/>
  <c r="T389" i="9"/>
  <c r="L389" i="9"/>
  <c r="J387" i="6"/>
  <c r="G387" i="4"/>
  <c r="G388" i="6" s="1"/>
  <c r="H387" i="4"/>
  <c r="H388" i="6" s="1"/>
  <c r="I387" i="4"/>
  <c r="I388" i="6" s="1"/>
  <c r="B387" i="4"/>
  <c r="B388" i="6" s="1"/>
  <c r="A388" i="4"/>
  <c r="A389" i="6" s="1"/>
  <c r="A391" i="9" s="1"/>
  <c r="C387" i="4"/>
  <c r="C388" i="6" s="1"/>
  <c r="D387" i="4"/>
  <c r="D388" i="6" s="1"/>
  <c r="E387" i="4"/>
  <c r="E388" i="6" s="1"/>
  <c r="F387" i="4"/>
  <c r="F388" i="6" s="1"/>
  <c r="L390" i="9" l="1"/>
  <c r="P390" i="9"/>
  <c r="T390" i="9"/>
  <c r="I391" i="9"/>
  <c r="R391" i="9" s="1"/>
  <c r="B391" i="9"/>
  <c r="J391" i="9"/>
  <c r="U391" i="9"/>
  <c r="D391" i="9"/>
  <c r="E391" i="9"/>
  <c r="Q391" i="9" s="1"/>
  <c r="F391" i="9"/>
  <c r="H391" i="9"/>
  <c r="G391" i="9"/>
  <c r="N391" i="9" s="1"/>
  <c r="C391" i="9"/>
  <c r="M391" i="9" s="1"/>
  <c r="J388" i="6"/>
  <c r="F388" i="4"/>
  <c r="F389" i="6" s="1"/>
  <c r="G388" i="4"/>
  <c r="G389" i="6" s="1"/>
  <c r="H388" i="4"/>
  <c r="H389" i="6" s="1"/>
  <c r="I388" i="4"/>
  <c r="I389" i="6" s="1"/>
  <c r="B388" i="4"/>
  <c r="B389" i="6" s="1"/>
  <c r="A389" i="4"/>
  <c r="A390" i="6" s="1"/>
  <c r="A392" i="9" s="1"/>
  <c r="C388" i="4"/>
  <c r="C389" i="6" s="1"/>
  <c r="D388" i="4"/>
  <c r="D389" i="6" s="1"/>
  <c r="E388" i="4"/>
  <c r="E389" i="6" s="1"/>
  <c r="T391" i="9" l="1"/>
  <c r="P391" i="9"/>
  <c r="L391" i="9"/>
  <c r="G392" i="9"/>
  <c r="N392" i="9" s="1"/>
  <c r="H392" i="9"/>
  <c r="B392" i="9"/>
  <c r="J392" i="9"/>
  <c r="U392" i="9"/>
  <c r="C392" i="9"/>
  <c r="M392" i="9" s="1"/>
  <c r="D392" i="9"/>
  <c r="F392" i="9"/>
  <c r="E392" i="9"/>
  <c r="Q392" i="9" s="1"/>
  <c r="I392" i="9"/>
  <c r="R392" i="9" s="1"/>
  <c r="J389" i="6"/>
  <c r="E389" i="4"/>
  <c r="E390" i="6" s="1"/>
  <c r="F389" i="4"/>
  <c r="F390" i="6" s="1"/>
  <c r="G389" i="4"/>
  <c r="G390" i="6" s="1"/>
  <c r="H389" i="4"/>
  <c r="H390" i="6" s="1"/>
  <c r="I389" i="4"/>
  <c r="I390" i="6" s="1"/>
  <c r="B389" i="4"/>
  <c r="B390" i="6" s="1"/>
  <c r="A390" i="4"/>
  <c r="A391" i="6" s="1"/>
  <c r="A393" i="9" s="1"/>
  <c r="C389" i="4"/>
  <c r="C390" i="6" s="1"/>
  <c r="D389" i="4"/>
  <c r="D390" i="6" s="1"/>
  <c r="L392" i="9" l="1"/>
  <c r="P392" i="9"/>
  <c r="T392" i="9"/>
  <c r="E393" i="9"/>
  <c r="Q393" i="9" s="1"/>
  <c r="F393" i="9"/>
  <c r="H393" i="9"/>
  <c r="I393" i="9"/>
  <c r="R393" i="9" s="1"/>
  <c r="B393" i="9"/>
  <c r="J393" i="9"/>
  <c r="U393" i="9"/>
  <c r="D393" i="9"/>
  <c r="C393" i="9"/>
  <c r="M393" i="9" s="1"/>
  <c r="G393" i="9"/>
  <c r="N393" i="9" s="1"/>
  <c r="J390" i="6"/>
  <c r="D390" i="4"/>
  <c r="D391" i="6" s="1"/>
  <c r="E390" i="4"/>
  <c r="E391" i="6" s="1"/>
  <c r="F390" i="4"/>
  <c r="F391" i="6" s="1"/>
  <c r="G390" i="4"/>
  <c r="G391" i="6" s="1"/>
  <c r="H390" i="4"/>
  <c r="H391" i="6" s="1"/>
  <c r="I390" i="4"/>
  <c r="I391" i="6" s="1"/>
  <c r="B390" i="4"/>
  <c r="B391" i="6" s="1"/>
  <c r="A391" i="4"/>
  <c r="A392" i="6" s="1"/>
  <c r="A394" i="9" s="1"/>
  <c r="C390" i="4"/>
  <c r="C391" i="6" s="1"/>
  <c r="C394" i="9" l="1"/>
  <c r="M394" i="9" s="1"/>
  <c r="D394" i="9"/>
  <c r="F394" i="9"/>
  <c r="G394" i="9"/>
  <c r="N394" i="9" s="1"/>
  <c r="H394" i="9"/>
  <c r="B394" i="9"/>
  <c r="J394" i="9"/>
  <c r="U394" i="9"/>
  <c r="I394" i="9"/>
  <c r="R394" i="9" s="1"/>
  <c r="E394" i="9"/>
  <c r="Q394" i="9" s="1"/>
  <c r="P393" i="9"/>
  <c r="T393" i="9"/>
  <c r="L393" i="9"/>
  <c r="J391" i="6"/>
  <c r="C391" i="4"/>
  <c r="C392" i="6" s="1"/>
  <c r="D391" i="4"/>
  <c r="D392" i="6" s="1"/>
  <c r="E391" i="4"/>
  <c r="E392" i="6" s="1"/>
  <c r="F391" i="4"/>
  <c r="F392" i="6" s="1"/>
  <c r="G391" i="4"/>
  <c r="G392" i="6" s="1"/>
  <c r="H391" i="4"/>
  <c r="H392" i="6" s="1"/>
  <c r="I391" i="4"/>
  <c r="I392" i="6" s="1"/>
  <c r="B391" i="4"/>
  <c r="B392" i="6" s="1"/>
  <c r="A392" i="4"/>
  <c r="A393" i="6" s="1"/>
  <c r="A395" i="9" s="1"/>
  <c r="I395" i="9" l="1"/>
  <c r="R395" i="9" s="1"/>
  <c r="B395" i="9"/>
  <c r="J395" i="9"/>
  <c r="U395" i="9"/>
  <c r="D395" i="9"/>
  <c r="E395" i="9"/>
  <c r="Q395" i="9" s="1"/>
  <c r="F395" i="9"/>
  <c r="H395" i="9"/>
  <c r="C395" i="9"/>
  <c r="M395" i="9" s="1"/>
  <c r="G395" i="9"/>
  <c r="N395" i="9" s="1"/>
  <c r="L394" i="9"/>
  <c r="P394" i="9"/>
  <c r="T394" i="9"/>
  <c r="J392" i="6"/>
  <c r="B392" i="4"/>
  <c r="B393" i="6" s="1"/>
  <c r="A393" i="4"/>
  <c r="A394" i="6" s="1"/>
  <c r="A396" i="9" s="1"/>
  <c r="C392" i="4"/>
  <c r="C393" i="6" s="1"/>
  <c r="D392" i="4"/>
  <c r="D393" i="6" s="1"/>
  <c r="E392" i="4"/>
  <c r="E393" i="6" s="1"/>
  <c r="F392" i="4"/>
  <c r="F393" i="6" s="1"/>
  <c r="G392" i="4"/>
  <c r="G393" i="6" s="1"/>
  <c r="H392" i="4"/>
  <c r="H393" i="6" s="1"/>
  <c r="I392" i="4"/>
  <c r="I393" i="6" s="1"/>
  <c r="G396" i="9" l="1"/>
  <c r="N396" i="9" s="1"/>
  <c r="H396" i="9"/>
  <c r="B396" i="9"/>
  <c r="J396" i="9"/>
  <c r="U396" i="9"/>
  <c r="C396" i="9"/>
  <c r="M396" i="9" s="1"/>
  <c r="D396" i="9"/>
  <c r="F396" i="9"/>
  <c r="E396" i="9"/>
  <c r="Q396" i="9" s="1"/>
  <c r="I396" i="9"/>
  <c r="R396" i="9" s="1"/>
  <c r="T395" i="9"/>
  <c r="P395" i="9"/>
  <c r="L395" i="9"/>
  <c r="J393" i="6"/>
  <c r="I393" i="4"/>
  <c r="I394" i="6" s="1"/>
  <c r="B393" i="4"/>
  <c r="B394" i="6" s="1"/>
  <c r="A394" i="4"/>
  <c r="A395" i="6" s="1"/>
  <c r="A397" i="9" s="1"/>
  <c r="C393" i="4"/>
  <c r="C394" i="6" s="1"/>
  <c r="D393" i="4"/>
  <c r="D394" i="6" s="1"/>
  <c r="E393" i="4"/>
  <c r="E394" i="6" s="1"/>
  <c r="F393" i="4"/>
  <c r="F394" i="6" s="1"/>
  <c r="G393" i="4"/>
  <c r="G394" i="6" s="1"/>
  <c r="H393" i="4"/>
  <c r="H394" i="6" s="1"/>
  <c r="L396" i="9" l="1"/>
  <c r="P396" i="9"/>
  <c r="T396" i="9"/>
  <c r="E397" i="9"/>
  <c r="Q397" i="9" s="1"/>
  <c r="F397" i="9"/>
  <c r="H397" i="9"/>
  <c r="I397" i="9"/>
  <c r="R397" i="9" s="1"/>
  <c r="B397" i="9"/>
  <c r="J397" i="9"/>
  <c r="U397" i="9"/>
  <c r="D397" i="9"/>
  <c r="C397" i="9"/>
  <c r="M397" i="9" s="1"/>
  <c r="G397" i="9"/>
  <c r="N397" i="9" s="1"/>
  <c r="J394" i="6"/>
  <c r="H394" i="4"/>
  <c r="H395" i="6" s="1"/>
  <c r="I394" i="4"/>
  <c r="I395" i="6" s="1"/>
  <c r="B394" i="4"/>
  <c r="B395" i="6" s="1"/>
  <c r="A395" i="4"/>
  <c r="A396" i="6" s="1"/>
  <c r="A398" i="9" s="1"/>
  <c r="C394" i="4"/>
  <c r="C395" i="6" s="1"/>
  <c r="D394" i="4"/>
  <c r="D395" i="6" s="1"/>
  <c r="E394" i="4"/>
  <c r="E395" i="6" s="1"/>
  <c r="F394" i="4"/>
  <c r="F395" i="6" s="1"/>
  <c r="G394" i="4"/>
  <c r="G395" i="6" s="1"/>
  <c r="C398" i="9" l="1"/>
  <c r="M398" i="9" s="1"/>
  <c r="D398" i="9"/>
  <c r="F398" i="9"/>
  <c r="G398" i="9"/>
  <c r="N398" i="9" s="1"/>
  <c r="H398" i="9"/>
  <c r="B398" i="9"/>
  <c r="J398" i="9"/>
  <c r="U398" i="9"/>
  <c r="I398" i="9"/>
  <c r="R398" i="9" s="1"/>
  <c r="E398" i="9"/>
  <c r="Q398" i="9" s="1"/>
  <c r="P397" i="9"/>
  <c r="T397" i="9"/>
  <c r="L397" i="9"/>
  <c r="J395" i="6"/>
  <c r="G395" i="4"/>
  <c r="G396" i="6" s="1"/>
  <c r="H395" i="4"/>
  <c r="H396" i="6" s="1"/>
  <c r="I395" i="4"/>
  <c r="I396" i="6" s="1"/>
  <c r="B395" i="4"/>
  <c r="B396" i="6" s="1"/>
  <c r="A396" i="4"/>
  <c r="A397" i="6" s="1"/>
  <c r="A399" i="9" s="1"/>
  <c r="C395" i="4"/>
  <c r="C396" i="6" s="1"/>
  <c r="D395" i="4"/>
  <c r="D396" i="6" s="1"/>
  <c r="E395" i="4"/>
  <c r="E396" i="6" s="1"/>
  <c r="F395" i="4"/>
  <c r="F396" i="6" s="1"/>
  <c r="L398" i="9" l="1"/>
  <c r="P398" i="9"/>
  <c r="T398" i="9"/>
  <c r="I399" i="9"/>
  <c r="R399" i="9" s="1"/>
  <c r="B399" i="9"/>
  <c r="J399" i="9"/>
  <c r="U399" i="9"/>
  <c r="D399" i="9"/>
  <c r="E399" i="9"/>
  <c r="Q399" i="9" s="1"/>
  <c r="F399" i="9"/>
  <c r="H399" i="9"/>
  <c r="G399" i="9"/>
  <c r="N399" i="9" s="1"/>
  <c r="C399" i="9"/>
  <c r="M399" i="9" s="1"/>
  <c r="J396" i="6"/>
  <c r="F396" i="4"/>
  <c r="F397" i="6" s="1"/>
  <c r="G396" i="4"/>
  <c r="G397" i="6" s="1"/>
  <c r="H396" i="4"/>
  <c r="H397" i="6" s="1"/>
  <c r="I396" i="4"/>
  <c r="I397" i="6" s="1"/>
  <c r="B396" i="4"/>
  <c r="B397" i="6" s="1"/>
  <c r="A397" i="4"/>
  <c r="A398" i="6" s="1"/>
  <c r="A400" i="9" s="1"/>
  <c r="C396" i="4"/>
  <c r="C397" i="6" s="1"/>
  <c r="D396" i="4"/>
  <c r="D397" i="6" s="1"/>
  <c r="E396" i="4"/>
  <c r="E397" i="6" s="1"/>
  <c r="T399" i="9" l="1"/>
  <c r="P399" i="9"/>
  <c r="L399" i="9"/>
  <c r="G400" i="9"/>
  <c r="N400" i="9" s="1"/>
  <c r="H400" i="9"/>
  <c r="B400" i="9"/>
  <c r="J400" i="9"/>
  <c r="U400" i="9"/>
  <c r="C400" i="9"/>
  <c r="M400" i="9" s="1"/>
  <c r="D400" i="9"/>
  <c r="F400" i="9"/>
  <c r="E400" i="9"/>
  <c r="Q400" i="9" s="1"/>
  <c r="I400" i="9"/>
  <c r="R400" i="9" s="1"/>
  <c r="J397" i="6"/>
  <c r="E397" i="4"/>
  <c r="E398" i="6" s="1"/>
  <c r="F397" i="4"/>
  <c r="F398" i="6" s="1"/>
  <c r="G397" i="4"/>
  <c r="G398" i="6" s="1"/>
  <c r="H397" i="4"/>
  <c r="H398" i="6" s="1"/>
  <c r="I397" i="4"/>
  <c r="I398" i="6" s="1"/>
  <c r="B397" i="4"/>
  <c r="B398" i="6" s="1"/>
  <c r="A398" i="4"/>
  <c r="A399" i="6" s="1"/>
  <c r="A401" i="9" s="1"/>
  <c r="C397" i="4"/>
  <c r="C398" i="6" s="1"/>
  <c r="D397" i="4"/>
  <c r="D398" i="6" s="1"/>
  <c r="L400" i="9" l="1"/>
  <c r="P400" i="9"/>
  <c r="T400" i="9"/>
  <c r="E401" i="9"/>
  <c r="Q401" i="9" s="1"/>
  <c r="F401" i="9"/>
  <c r="H401" i="9"/>
  <c r="I401" i="9"/>
  <c r="R401" i="9" s="1"/>
  <c r="B401" i="9"/>
  <c r="J401" i="9"/>
  <c r="U401" i="9"/>
  <c r="D401" i="9"/>
  <c r="C401" i="9"/>
  <c r="M401" i="9" s="1"/>
  <c r="G401" i="9"/>
  <c r="N401" i="9" s="1"/>
  <c r="J398" i="6"/>
  <c r="D398" i="4"/>
  <c r="D399" i="6" s="1"/>
  <c r="E398" i="4"/>
  <c r="E399" i="6" s="1"/>
  <c r="F398" i="4"/>
  <c r="F399" i="6" s="1"/>
  <c r="G398" i="4"/>
  <c r="G399" i="6" s="1"/>
  <c r="H398" i="4"/>
  <c r="H399" i="6" s="1"/>
  <c r="I398" i="4"/>
  <c r="I399" i="6" s="1"/>
  <c r="B398" i="4"/>
  <c r="B399" i="6" s="1"/>
  <c r="A399" i="4"/>
  <c r="A400" i="6" s="1"/>
  <c r="A402" i="9" s="1"/>
  <c r="C398" i="4"/>
  <c r="C399" i="6" s="1"/>
  <c r="C402" i="9" l="1"/>
  <c r="M402" i="9" s="1"/>
  <c r="D402" i="9"/>
  <c r="F402" i="9"/>
  <c r="G402" i="9"/>
  <c r="N402" i="9" s="1"/>
  <c r="H402" i="9"/>
  <c r="B402" i="9"/>
  <c r="J402" i="9"/>
  <c r="U402" i="9"/>
  <c r="E402" i="9"/>
  <c r="Q402" i="9" s="1"/>
  <c r="I402" i="9"/>
  <c r="R402" i="9" s="1"/>
  <c r="P401" i="9"/>
  <c r="T401" i="9"/>
  <c r="L401" i="9"/>
  <c r="J399" i="6"/>
  <c r="C399" i="4"/>
  <c r="C400" i="6" s="1"/>
  <c r="D399" i="4"/>
  <c r="D400" i="6" s="1"/>
  <c r="E399" i="4"/>
  <c r="E400" i="6" s="1"/>
  <c r="F399" i="4"/>
  <c r="F400" i="6" s="1"/>
  <c r="G399" i="4"/>
  <c r="G400" i="6" s="1"/>
  <c r="H399" i="4"/>
  <c r="H400" i="6" s="1"/>
  <c r="I399" i="4"/>
  <c r="I400" i="6" s="1"/>
  <c r="A400" i="4"/>
  <c r="A401" i="6" s="1"/>
  <c r="A403" i="9" s="1"/>
  <c r="B399" i="4"/>
  <c r="B400" i="6" s="1"/>
  <c r="L402" i="9" l="1"/>
  <c r="P402" i="9"/>
  <c r="T402" i="9"/>
  <c r="I403" i="9"/>
  <c r="R403" i="9" s="1"/>
  <c r="B403" i="9"/>
  <c r="J403" i="9"/>
  <c r="U403" i="9"/>
  <c r="D403" i="9"/>
  <c r="E403" i="9"/>
  <c r="Q403" i="9" s="1"/>
  <c r="F403" i="9"/>
  <c r="H403" i="9"/>
  <c r="G403" i="9"/>
  <c r="N403" i="9" s="1"/>
  <c r="C403" i="9"/>
  <c r="M403" i="9" s="1"/>
  <c r="J400" i="6"/>
  <c r="B400" i="4"/>
  <c r="B401" i="6" s="1"/>
  <c r="C400" i="4"/>
  <c r="C401" i="6" s="1"/>
  <c r="D400" i="4"/>
  <c r="D401" i="6" s="1"/>
  <c r="E400" i="4"/>
  <c r="E401" i="6" s="1"/>
  <c r="F400" i="4"/>
  <c r="F401" i="6" s="1"/>
  <c r="G400" i="4"/>
  <c r="G401" i="6" s="1"/>
  <c r="H400" i="4"/>
  <c r="H401" i="6" s="1"/>
  <c r="I400" i="4"/>
  <c r="I401" i="6" s="1"/>
  <c r="A401" i="4"/>
  <c r="A402" i="6" s="1"/>
  <c r="A404" i="9" s="1"/>
  <c r="G404" i="9" l="1"/>
  <c r="N404" i="9" s="1"/>
  <c r="H404" i="9"/>
  <c r="B404" i="9"/>
  <c r="J404" i="9"/>
  <c r="U404" i="9"/>
  <c r="C404" i="9"/>
  <c r="M404" i="9" s="1"/>
  <c r="D404" i="9"/>
  <c r="F404" i="9"/>
  <c r="E404" i="9"/>
  <c r="Q404" i="9" s="1"/>
  <c r="I404" i="9"/>
  <c r="R404" i="9" s="1"/>
  <c r="T403" i="9"/>
  <c r="P403" i="9"/>
  <c r="L403" i="9"/>
  <c r="J401" i="6"/>
  <c r="G401" i="4"/>
  <c r="G402" i="6" s="1"/>
  <c r="H401" i="4"/>
  <c r="H402" i="6" s="1"/>
  <c r="I401" i="4"/>
  <c r="I402" i="6" s="1"/>
  <c r="A402" i="4"/>
  <c r="A403" i="6" s="1"/>
  <c r="A405" i="9" s="1"/>
  <c r="B401" i="4"/>
  <c r="B402" i="6" s="1"/>
  <c r="C401" i="4"/>
  <c r="C402" i="6" s="1"/>
  <c r="D401" i="4"/>
  <c r="D402" i="6" s="1"/>
  <c r="E401" i="4"/>
  <c r="E402" i="6" s="1"/>
  <c r="F401" i="4"/>
  <c r="F402" i="6" s="1"/>
  <c r="L404" i="9" l="1"/>
  <c r="P404" i="9"/>
  <c r="T404" i="9"/>
  <c r="E405" i="9"/>
  <c r="Q405" i="9" s="1"/>
  <c r="F405" i="9"/>
  <c r="H405" i="9"/>
  <c r="I405" i="9"/>
  <c r="R405" i="9" s="1"/>
  <c r="B405" i="9"/>
  <c r="J405" i="9"/>
  <c r="U405" i="9"/>
  <c r="D405" i="9"/>
  <c r="C405" i="9"/>
  <c r="M405" i="9" s="1"/>
  <c r="G405" i="9"/>
  <c r="N405" i="9" s="1"/>
  <c r="J402" i="6"/>
  <c r="G402" i="4"/>
  <c r="G403" i="6" s="1"/>
  <c r="H402" i="4"/>
  <c r="H403" i="6" s="1"/>
  <c r="I402" i="4"/>
  <c r="I403" i="6" s="1"/>
  <c r="B402" i="4"/>
  <c r="B403" i="6" s="1"/>
  <c r="A403" i="4"/>
  <c r="A404" i="6" s="1"/>
  <c r="A406" i="9" s="1"/>
  <c r="C402" i="4"/>
  <c r="C403" i="6" s="1"/>
  <c r="D402" i="4"/>
  <c r="D403" i="6" s="1"/>
  <c r="E402" i="4"/>
  <c r="E403" i="6" s="1"/>
  <c r="F402" i="4"/>
  <c r="F403" i="6" s="1"/>
  <c r="C406" i="9" l="1"/>
  <c r="M406" i="9" s="1"/>
  <c r="D406" i="9"/>
  <c r="F406" i="9"/>
  <c r="G406" i="9"/>
  <c r="N406" i="9" s="1"/>
  <c r="H406" i="9"/>
  <c r="B406" i="9"/>
  <c r="J406" i="9"/>
  <c r="U406" i="9"/>
  <c r="I406" i="9"/>
  <c r="R406" i="9" s="1"/>
  <c r="E406" i="9"/>
  <c r="Q406" i="9" s="1"/>
  <c r="P405" i="9"/>
  <c r="T405" i="9"/>
  <c r="L405" i="9"/>
  <c r="J403" i="6"/>
  <c r="F403" i="4"/>
  <c r="F404" i="6" s="1"/>
  <c r="G403" i="4"/>
  <c r="G404" i="6" s="1"/>
  <c r="H403" i="4"/>
  <c r="H404" i="6" s="1"/>
  <c r="I403" i="4"/>
  <c r="I404" i="6" s="1"/>
  <c r="B403" i="4"/>
  <c r="B404" i="6" s="1"/>
  <c r="A404" i="4"/>
  <c r="A405" i="6" s="1"/>
  <c r="A407" i="9" s="1"/>
  <c r="C403" i="4"/>
  <c r="C404" i="6" s="1"/>
  <c r="D403" i="4"/>
  <c r="D404" i="6" s="1"/>
  <c r="E403" i="4"/>
  <c r="E404" i="6" s="1"/>
  <c r="L406" i="9" l="1"/>
  <c r="P406" i="9"/>
  <c r="T406" i="9"/>
  <c r="I407" i="9"/>
  <c r="R407" i="9" s="1"/>
  <c r="B407" i="9"/>
  <c r="J407" i="9"/>
  <c r="U407" i="9"/>
  <c r="D407" i="9"/>
  <c r="E407" i="9"/>
  <c r="Q407" i="9" s="1"/>
  <c r="F407" i="9"/>
  <c r="H407" i="9"/>
  <c r="G407" i="9"/>
  <c r="N407" i="9" s="1"/>
  <c r="C407" i="9"/>
  <c r="M407" i="9" s="1"/>
  <c r="J404" i="6"/>
  <c r="E404" i="4"/>
  <c r="E405" i="6" s="1"/>
  <c r="F404" i="4"/>
  <c r="F405" i="6" s="1"/>
  <c r="G404" i="4"/>
  <c r="G405" i="6" s="1"/>
  <c r="H404" i="4"/>
  <c r="H405" i="6" s="1"/>
  <c r="I404" i="4"/>
  <c r="I405" i="6" s="1"/>
  <c r="B404" i="4"/>
  <c r="B405" i="6" s="1"/>
  <c r="A405" i="4"/>
  <c r="A406" i="6" s="1"/>
  <c r="A408" i="9" s="1"/>
  <c r="C404" i="4"/>
  <c r="C405" i="6" s="1"/>
  <c r="D404" i="4"/>
  <c r="D405" i="6" s="1"/>
  <c r="T407" i="9" l="1"/>
  <c r="P407" i="9"/>
  <c r="L407" i="9"/>
  <c r="G408" i="9"/>
  <c r="N408" i="9" s="1"/>
  <c r="H408" i="9"/>
  <c r="B408" i="9"/>
  <c r="J408" i="9"/>
  <c r="U408" i="9"/>
  <c r="C408" i="9"/>
  <c r="M408" i="9" s="1"/>
  <c r="D408" i="9"/>
  <c r="F408" i="9"/>
  <c r="E408" i="9"/>
  <c r="Q408" i="9" s="1"/>
  <c r="I408" i="9"/>
  <c r="R408" i="9" s="1"/>
  <c r="J405" i="6"/>
  <c r="D405" i="4"/>
  <c r="D406" i="6" s="1"/>
  <c r="E405" i="4"/>
  <c r="E406" i="6" s="1"/>
  <c r="F405" i="4"/>
  <c r="F406" i="6" s="1"/>
  <c r="G405" i="4"/>
  <c r="G406" i="6" s="1"/>
  <c r="H405" i="4"/>
  <c r="H406" i="6" s="1"/>
  <c r="I405" i="4"/>
  <c r="I406" i="6" s="1"/>
  <c r="B405" i="4"/>
  <c r="B406" i="6" s="1"/>
  <c r="A406" i="4"/>
  <c r="A407" i="6" s="1"/>
  <c r="A409" i="9" s="1"/>
  <c r="C405" i="4"/>
  <c r="C406" i="6" s="1"/>
  <c r="L408" i="9" l="1"/>
  <c r="P408" i="9"/>
  <c r="T408" i="9"/>
  <c r="E409" i="9"/>
  <c r="Q409" i="9" s="1"/>
  <c r="F409" i="9"/>
  <c r="H409" i="9"/>
  <c r="I409" i="9"/>
  <c r="R409" i="9" s="1"/>
  <c r="B409" i="9"/>
  <c r="J409" i="9"/>
  <c r="U409" i="9"/>
  <c r="D409" i="9"/>
  <c r="C409" i="9"/>
  <c r="M409" i="9" s="1"/>
  <c r="G409" i="9"/>
  <c r="N409" i="9" s="1"/>
  <c r="J406" i="6"/>
  <c r="C406" i="4"/>
  <c r="C407" i="6" s="1"/>
  <c r="D406" i="4"/>
  <c r="D407" i="6" s="1"/>
  <c r="E406" i="4"/>
  <c r="E407" i="6" s="1"/>
  <c r="F406" i="4"/>
  <c r="F407" i="6" s="1"/>
  <c r="G406" i="4"/>
  <c r="G407" i="6" s="1"/>
  <c r="H406" i="4"/>
  <c r="H407" i="6" s="1"/>
  <c r="I406" i="4"/>
  <c r="I407" i="6" s="1"/>
  <c r="B406" i="4"/>
  <c r="B407" i="6" s="1"/>
  <c r="A407" i="4"/>
  <c r="A408" i="6" s="1"/>
  <c r="A410" i="9" s="1"/>
  <c r="C410" i="9" l="1"/>
  <c r="M410" i="9" s="1"/>
  <c r="D410" i="9"/>
  <c r="F410" i="9"/>
  <c r="G410" i="9"/>
  <c r="N410" i="9" s="1"/>
  <c r="H410" i="9"/>
  <c r="E410" i="9"/>
  <c r="Q410" i="9" s="1"/>
  <c r="B410" i="9"/>
  <c r="J410" i="9"/>
  <c r="U410" i="9"/>
  <c r="I410" i="9"/>
  <c r="R410" i="9" s="1"/>
  <c r="P409" i="9"/>
  <c r="T409" i="9"/>
  <c r="L409" i="9"/>
  <c r="J407" i="6"/>
  <c r="B407" i="4"/>
  <c r="B408" i="6" s="1"/>
  <c r="A408" i="4"/>
  <c r="A409" i="6" s="1"/>
  <c r="A411" i="9" s="1"/>
  <c r="C407" i="4"/>
  <c r="C408" i="6" s="1"/>
  <c r="D407" i="4"/>
  <c r="D408" i="6" s="1"/>
  <c r="E407" i="4"/>
  <c r="E408" i="6" s="1"/>
  <c r="F407" i="4"/>
  <c r="F408" i="6" s="1"/>
  <c r="G407" i="4"/>
  <c r="G408" i="6" s="1"/>
  <c r="H407" i="4"/>
  <c r="H408" i="6" s="1"/>
  <c r="I407" i="4"/>
  <c r="I408" i="6" s="1"/>
  <c r="L410" i="9" l="1"/>
  <c r="P410" i="9"/>
  <c r="T410" i="9"/>
  <c r="I411" i="9"/>
  <c r="R411" i="9" s="1"/>
  <c r="B411" i="9"/>
  <c r="J411" i="9"/>
  <c r="U411" i="9"/>
  <c r="D411" i="9"/>
  <c r="E411" i="9"/>
  <c r="Q411" i="9" s="1"/>
  <c r="F411" i="9"/>
  <c r="C411" i="9"/>
  <c r="M411" i="9" s="1"/>
  <c r="G411" i="9"/>
  <c r="N411" i="9" s="1"/>
  <c r="H411" i="9"/>
  <c r="J408" i="6"/>
  <c r="I408" i="4"/>
  <c r="I409" i="6" s="1"/>
  <c r="B408" i="4"/>
  <c r="B409" i="6" s="1"/>
  <c r="A409" i="4"/>
  <c r="A410" i="6" s="1"/>
  <c r="A412" i="9" s="1"/>
  <c r="C408" i="4"/>
  <c r="C409" i="6" s="1"/>
  <c r="D408" i="4"/>
  <c r="D409" i="6" s="1"/>
  <c r="E408" i="4"/>
  <c r="E409" i="6" s="1"/>
  <c r="F408" i="4"/>
  <c r="F409" i="6" s="1"/>
  <c r="G408" i="4"/>
  <c r="G409" i="6" s="1"/>
  <c r="H408" i="4"/>
  <c r="H409" i="6" s="1"/>
  <c r="T411" i="9" l="1"/>
  <c r="P411" i="9"/>
  <c r="L411" i="9"/>
  <c r="G412" i="9"/>
  <c r="N412" i="9" s="1"/>
  <c r="H412" i="9"/>
  <c r="B412" i="9"/>
  <c r="J412" i="9"/>
  <c r="U412" i="9"/>
  <c r="C412" i="9"/>
  <c r="M412" i="9" s="1"/>
  <c r="D412" i="9"/>
  <c r="F412" i="9"/>
  <c r="I412" i="9"/>
  <c r="R412" i="9" s="1"/>
  <c r="E412" i="9"/>
  <c r="Q412" i="9" s="1"/>
  <c r="J409" i="6"/>
  <c r="H409" i="4"/>
  <c r="H410" i="6" s="1"/>
  <c r="I409" i="4"/>
  <c r="I410" i="6" s="1"/>
  <c r="B409" i="4"/>
  <c r="B410" i="6" s="1"/>
  <c r="A410" i="4"/>
  <c r="A411" i="6" s="1"/>
  <c r="A413" i="9" s="1"/>
  <c r="C409" i="4"/>
  <c r="C410" i="6" s="1"/>
  <c r="D409" i="4"/>
  <c r="D410" i="6" s="1"/>
  <c r="E409" i="4"/>
  <c r="E410" i="6" s="1"/>
  <c r="F409" i="4"/>
  <c r="F410" i="6" s="1"/>
  <c r="G409" i="4"/>
  <c r="G410" i="6" s="1"/>
  <c r="L412" i="9" l="1"/>
  <c r="T412" i="9"/>
  <c r="P412" i="9"/>
  <c r="E413" i="9"/>
  <c r="Q413" i="9" s="1"/>
  <c r="F413" i="9"/>
  <c r="H413" i="9"/>
  <c r="I413" i="9"/>
  <c r="R413" i="9" s="1"/>
  <c r="B413" i="9"/>
  <c r="J413" i="9"/>
  <c r="U413" i="9"/>
  <c r="C413" i="9"/>
  <c r="M413" i="9" s="1"/>
  <c r="D413" i="9"/>
  <c r="G413" i="9"/>
  <c r="N413" i="9" s="1"/>
  <c r="J410" i="6"/>
  <c r="G410" i="4"/>
  <c r="G411" i="6" s="1"/>
  <c r="H410" i="4"/>
  <c r="H411" i="6" s="1"/>
  <c r="I410" i="4"/>
  <c r="I411" i="6" s="1"/>
  <c r="B410" i="4"/>
  <c r="B411" i="6" s="1"/>
  <c r="A411" i="4"/>
  <c r="A412" i="6" s="1"/>
  <c r="A414" i="9" s="1"/>
  <c r="C410" i="4"/>
  <c r="C411" i="6" s="1"/>
  <c r="D410" i="4"/>
  <c r="D411" i="6" s="1"/>
  <c r="E410" i="4"/>
  <c r="E411" i="6" s="1"/>
  <c r="F410" i="4"/>
  <c r="F411" i="6" s="1"/>
  <c r="C414" i="9" l="1"/>
  <c r="M414" i="9" s="1"/>
  <c r="D414" i="9"/>
  <c r="F414" i="9"/>
  <c r="G414" i="9"/>
  <c r="N414" i="9" s="1"/>
  <c r="H414" i="9"/>
  <c r="U414" i="9"/>
  <c r="B414" i="9"/>
  <c r="I414" i="9"/>
  <c r="R414" i="9" s="1"/>
  <c r="E414" i="9"/>
  <c r="Q414" i="9" s="1"/>
  <c r="J414" i="9"/>
  <c r="P413" i="9"/>
  <c r="T413" i="9"/>
  <c r="L413" i="9"/>
  <c r="J411" i="6"/>
  <c r="F411" i="4"/>
  <c r="F412" i="6" s="1"/>
  <c r="G411" i="4"/>
  <c r="G412" i="6" s="1"/>
  <c r="H411" i="4"/>
  <c r="H412" i="6" s="1"/>
  <c r="I411" i="4"/>
  <c r="I412" i="6" s="1"/>
  <c r="B411" i="4"/>
  <c r="B412" i="6" s="1"/>
  <c r="A412" i="4"/>
  <c r="A413" i="6" s="1"/>
  <c r="A415" i="9" s="1"/>
  <c r="C411" i="4"/>
  <c r="C412" i="6" s="1"/>
  <c r="D411" i="4"/>
  <c r="D412" i="6" s="1"/>
  <c r="E411" i="4"/>
  <c r="E412" i="6" s="1"/>
  <c r="I415" i="9" l="1"/>
  <c r="R415" i="9" s="1"/>
  <c r="B415" i="9"/>
  <c r="J415" i="9"/>
  <c r="U415" i="9"/>
  <c r="D415" i="9"/>
  <c r="E415" i="9"/>
  <c r="Q415" i="9" s="1"/>
  <c r="F415" i="9"/>
  <c r="G415" i="9"/>
  <c r="N415" i="9" s="1"/>
  <c r="H415" i="9"/>
  <c r="C415" i="9"/>
  <c r="M415" i="9" s="1"/>
  <c r="L414" i="9"/>
  <c r="P414" i="9"/>
  <c r="T414" i="9"/>
  <c r="J412" i="6"/>
  <c r="E412" i="4"/>
  <c r="E413" i="6" s="1"/>
  <c r="F412" i="4"/>
  <c r="F413" i="6" s="1"/>
  <c r="G412" i="4"/>
  <c r="G413" i="6" s="1"/>
  <c r="H412" i="4"/>
  <c r="H413" i="6" s="1"/>
  <c r="I412" i="4"/>
  <c r="I413" i="6" s="1"/>
  <c r="B412" i="4"/>
  <c r="B413" i="6" s="1"/>
  <c r="A413" i="4"/>
  <c r="A414" i="6" s="1"/>
  <c r="A416" i="9" s="1"/>
  <c r="C412" i="4"/>
  <c r="C413" i="6" s="1"/>
  <c r="D412" i="4"/>
  <c r="D413" i="6" s="1"/>
  <c r="G416" i="9" l="1"/>
  <c r="N416" i="9" s="1"/>
  <c r="H416" i="9"/>
  <c r="B416" i="9"/>
  <c r="J416" i="9"/>
  <c r="C416" i="9"/>
  <c r="M416" i="9" s="1"/>
  <c r="D416" i="9"/>
  <c r="U416" i="9"/>
  <c r="E416" i="9"/>
  <c r="Q416" i="9" s="1"/>
  <c r="I416" i="9"/>
  <c r="R416" i="9" s="1"/>
  <c r="F416" i="9"/>
  <c r="T415" i="9"/>
  <c r="P415" i="9"/>
  <c r="L415" i="9"/>
  <c r="J413" i="6"/>
  <c r="D413" i="4"/>
  <c r="D414" i="6" s="1"/>
  <c r="E413" i="4"/>
  <c r="E414" i="6" s="1"/>
  <c r="F413" i="4"/>
  <c r="F414" i="6" s="1"/>
  <c r="G413" i="4"/>
  <c r="G414" i="6" s="1"/>
  <c r="H413" i="4"/>
  <c r="H414" i="6" s="1"/>
  <c r="I413" i="4"/>
  <c r="I414" i="6" s="1"/>
  <c r="B413" i="4"/>
  <c r="B414" i="6" s="1"/>
  <c r="A414" i="4"/>
  <c r="A415" i="6" s="1"/>
  <c r="A417" i="9" s="1"/>
  <c r="C413" i="4"/>
  <c r="C414" i="6" s="1"/>
  <c r="L416" i="9" l="1"/>
  <c r="T416" i="9"/>
  <c r="P416" i="9"/>
  <c r="F417" i="9"/>
  <c r="G417" i="9"/>
  <c r="N417" i="9" s="1"/>
  <c r="H417" i="9"/>
  <c r="B417" i="9"/>
  <c r="J417" i="9"/>
  <c r="U417" i="9"/>
  <c r="C417" i="9"/>
  <c r="M417" i="9" s="1"/>
  <c r="D417" i="9"/>
  <c r="E417" i="9"/>
  <c r="Q417" i="9" s="1"/>
  <c r="I417" i="9"/>
  <c r="R417" i="9" s="1"/>
  <c r="J414" i="6"/>
  <c r="C414" i="4"/>
  <c r="C415" i="6" s="1"/>
  <c r="D414" i="4"/>
  <c r="D415" i="6" s="1"/>
  <c r="E414" i="4"/>
  <c r="E415" i="6" s="1"/>
  <c r="F414" i="4"/>
  <c r="F415" i="6" s="1"/>
  <c r="G414" i="4"/>
  <c r="G415" i="6" s="1"/>
  <c r="H414" i="4"/>
  <c r="H415" i="6" s="1"/>
  <c r="I414" i="4"/>
  <c r="I415" i="6" s="1"/>
  <c r="B414" i="4"/>
  <c r="B415" i="6" s="1"/>
  <c r="A415" i="4"/>
  <c r="A416" i="6" s="1"/>
  <c r="A418" i="9" s="1"/>
  <c r="P417" i="9" l="1"/>
  <c r="L417" i="9"/>
  <c r="T417" i="9"/>
  <c r="D418" i="9"/>
  <c r="E418" i="9"/>
  <c r="Q418" i="9" s="1"/>
  <c r="F418" i="9"/>
  <c r="H418" i="9"/>
  <c r="J418" i="9"/>
  <c r="I418" i="9"/>
  <c r="R418" i="9" s="1"/>
  <c r="B418" i="9"/>
  <c r="U418" i="9"/>
  <c r="C418" i="9"/>
  <c r="M418" i="9" s="1"/>
  <c r="G418" i="9"/>
  <c r="N418" i="9" s="1"/>
  <c r="J415" i="6"/>
  <c r="B415" i="4"/>
  <c r="B416" i="6" s="1"/>
  <c r="A416" i="4"/>
  <c r="A417" i="6" s="1"/>
  <c r="A419" i="9" s="1"/>
  <c r="C415" i="4"/>
  <c r="C416" i="6" s="1"/>
  <c r="D415" i="4"/>
  <c r="D416" i="6" s="1"/>
  <c r="E415" i="4"/>
  <c r="E416" i="6" s="1"/>
  <c r="F415" i="4"/>
  <c r="F416" i="6" s="1"/>
  <c r="G415" i="4"/>
  <c r="G416" i="6" s="1"/>
  <c r="H415" i="4"/>
  <c r="H416" i="6" s="1"/>
  <c r="I415" i="4"/>
  <c r="I416" i="6" s="1"/>
  <c r="B419" i="9" l="1"/>
  <c r="J419" i="9"/>
  <c r="U419" i="9"/>
  <c r="C419" i="9"/>
  <c r="M419" i="9" s="1"/>
  <c r="D419" i="9"/>
  <c r="F419" i="9"/>
  <c r="H419" i="9"/>
  <c r="G419" i="9"/>
  <c r="N419" i="9" s="1"/>
  <c r="I419" i="9"/>
  <c r="R419" i="9" s="1"/>
  <c r="E419" i="9"/>
  <c r="Q419" i="9" s="1"/>
  <c r="P418" i="9"/>
  <c r="T418" i="9"/>
  <c r="L418" i="9"/>
  <c r="J416" i="6"/>
  <c r="I416" i="4"/>
  <c r="I417" i="6" s="1"/>
  <c r="B416" i="4"/>
  <c r="B417" i="6" s="1"/>
  <c r="A417" i="4"/>
  <c r="A418" i="6" s="1"/>
  <c r="A420" i="9" s="1"/>
  <c r="C416" i="4"/>
  <c r="C417" i="6" s="1"/>
  <c r="D416" i="4"/>
  <c r="D417" i="6" s="1"/>
  <c r="E416" i="4"/>
  <c r="E417" i="6" s="1"/>
  <c r="F416" i="4"/>
  <c r="F417" i="6" s="1"/>
  <c r="G416" i="4"/>
  <c r="G417" i="6" s="1"/>
  <c r="H416" i="4"/>
  <c r="H417" i="6" s="1"/>
  <c r="L419" i="9" l="1"/>
  <c r="P419" i="9"/>
  <c r="T419" i="9"/>
  <c r="H420" i="9"/>
  <c r="J420" i="9"/>
  <c r="I420" i="9"/>
  <c r="R420" i="9" s="1"/>
  <c r="B420" i="9"/>
  <c r="U420" i="9"/>
  <c r="D420" i="9"/>
  <c r="F420" i="9"/>
  <c r="E420" i="9"/>
  <c r="Q420" i="9" s="1"/>
  <c r="G420" i="9"/>
  <c r="N420" i="9" s="1"/>
  <c r="C420" i="9"/>
  <c r="M420" i="9" s="1"/>
  <c r="J417" i="6"/>
  <c r="H417" i="4"/>
  <c r="H418" i="6" s="1"/>
  <c r="I417" i="4"/>
  <c r="I418" i="6" s="1"/>
  <c r="B417" i="4"/>
  <c r="B418" i="6" s="1"/>
  <c r="A418" i="4"/>
  <c r="A419" i="6" s="1"/>
  <c r="A421" i="9" s="1"/>
  <c r="C417" i="4"/>
  <c r="C418" i="6" s="1"/>
  <c r="D417" i="4"/>
  <c r="D418" i="6" s="1"/>
  <c r="E417" i="4"/>
  <c r="E418" i="6" s="1"/>
  <c r="F417" i="4"/>
  <c r="F418" i="6" s="1"/>
  <c r="G417" i="4"/>
  <c r="G418" i="6" s="1"/>
  <c r="F421" i="9" l="1"/>
  <c r="H421" i="9"/>
  <c r="G421" i="9"/>
  <c r="N421" i="9" s="1"/>
  <c r="B421" i="9"/>
  <c r="J421" i="9"/>
  <c r="U421" i="9"/>
  <c r="C421" i="9"/>
  <c r="M421" i="9" s="1"/>
  <c r="D421" i="9"/>
  <c r="E421" i="9"/>
  <c r="Q421" i="9" s="1"/>
  <c r="I421" i="9"/>
  <c r="R421" i="9" s="1"/>
  <c r="T420" i="9"/>
  <c r="P420" i="9"/>
  <c r="L420" i="9"/>
  <c r="J418" i="6"/>
  <c r="G418" i="4"/>
  <c r="G419" i="6" s="1"/>
  <c r="H418" i="4"/>
  <c r="H419" i="6" s="1"/>
  <c r="I418" i="4"/>
  <c r="I419" i="6" s="1"/>
  <c r="B418" i="4"/>
  <c r="B419" i="6" s="1"/>
  <c r="A419" i="4"/>
  <c r="A420" i="6" s="1"/>
  <c r="A422" i="9" s="1"/>
  <c r="C418" i="4"/>
  <c r="C419" i="6" s="1"/>
  <c r="D418" i="4"/>
  <c r="D419" i="6" s="1"/>
  <c r="E418" i="4"/>
  <c r="E419" i="6" s="1"/>
  <c r="F418" i="4"/>
  <c r="F419" i="6" s="1"/>
  <c r="P421" i="9" l="1"/>
  <c r="L421" i="9"/>
  <c r="T421" i="9"/>
  <c r="D422" i="9"/>
  <c r="F422" i="9"/>
  <c r="E422" i="9"/>
  <c r="Q422" i="9" s="1"/>
  <c r="H422" i="9"/>
  <c r="U422" i="9"/>
  <c r="I422" i="9"/>
  <c r="R422" i="9" s="1"/>
  <c r="B422" i="9"/>
  <c r="C422" i="9"/>
  <c r="M422" i="9" s="1"/>
  <c r="G422" i="9"/>
  <c r="N422" i="9" s="1"/>
  <c r="J422" i="9"/>
  <c r="J419" i="6"/>
  <c r="F419" i="4"/>
  <c r="F420" i="6" s="1"/>
  <c r="G419" i="4"/>
  <c r="G420" i="6" s="1"/>
  <c r="H419" i="4"/>
  <c r="H420" i="6" s="1"/>
  <c r="I419" i="4"/>
  <c r="I420" i="6" s="1"/>
  <c r="B419" i="4"/>
  <c r="B420" i="6" s="1"/>
  <c r="A420" i="4"/>
  <c r="A421" i="6" s="1"/>
  <c r="A423" i="9" s="1"/>
  <c r="C419" i="4"/>
  <c r="C420" i="6" s="1"/>
  <c r="D419" i="4"/>
  <c r="D420" i="6" s="1"/>
  <c r="E419" i="4"/>
  <c r="E420" i="6" s="1"/>
  <c r="B423" i="9" l="1"/>
  <c r="J423" i="9"/>
  <c r="U423" i="9"/>
  <c r="D423" i="9"/>
  <c r="C423" i="9"/>
  <c r="M423" i="9" s="1"/>
  <c r="F423" i="9"/>
  <c r="G423" i="9"/>
  <c r="N423" i="9" s="1"/>
  <c r="H423" i="9"/>
  <c r="I423" i="9"/>
  <c r="R423" i="9" s="1"/>
  <c r="E423" i="9"/>
  <c r="Q423" i="9" s="1"/>
  <c r="P422" i="9"/>
  <c r="T422" i="9"/>
  <c r="L422" i="9"/>
  <c r="J420" i="6"/>
  <c r="E420" i="4"/>
  <c r="E421" i="6" s="1"/>
  <c r="F420" i="4"/>
  <c r="F421" i="6" s="1"/>
  <c r="G420" i="4"/>
  <c r="G421" i="6" s="1"/>
  <c r="H420" i="4"/>
  <c r="H421" i="6" s="1"/>
  <c r="I420" i="4"/>
  <c r="I421" i="6" s="1"/>
  <c r="B420" i="4"/>
  <c r="B421" i="6" s="1"/>
  <c r="A421" i="4"/>
  <c r="A422" i="6" s="1"/>
  <c r="A424" i="9" s="1"/>
  <c r="C420" i="4"/>
  <c r="C421" i="6" s="1"/>
  <c r="D420" i="4"/>
  <c r="D421" i="6" s="1"/>
  <c r="H424" i="9" l="1"/>
  <c r="B424" i="9"/>
  <c r="I424" i="9"/>
  <c r="R424" i="9" s="1"/>
  <c r="J424" i="9"/>
  <c r="D424" i="9"/>
  <c r="E424" i="9"/>
  <c r="Q424" i="9" s="1"/>
  <c r="F424" i="9"/>
  <c r="G424" i="9"/>
  <c r="N424" i="9" s="1"/>
  <c r="U424" i="9"/>
  <c r="C424" i="9"/>
  <c r="M424" i="9" s="1"/>
  <c r="L423" i="9"/>
  <c r="P423" i="9"/>
  <c r="T423" i="9"/>
  <c r="J421" i="6"/>
  <c r="D421" i="4"/>
  <c r="D422" i="6" s="1"/>
  <c r="E421" i="4"/>
  <c r="E422" i="6" s="1"/>
  <c r="F421" i="4"/>
  <c r="F422" i="6" s="1"/>
  <c r="G421" i="4"/>
  <c r="G422" i="6" s="1"/>
  <c r="H421" i="4"/>
  <c r="H422" i="6" s="1"/>
  <c r="I421" i="4"/>
  <c r="I422" i="6" s="1"/>
  <c r="B421" i="4"/>
  <c r="B422" i="6" s="1"/>
  <c r="A422" i="4"/>
  <c r="A423" i="6" s="1"/>
  <c r="A425" i="9" s="1"/>
  <c r="C421" i="4"/>
  <c r="C422" i="6" s="1"/>
  <c r="T424" i="9" l="1"/>
  <c r="P424" i="9"/>
  <c r="L424" i="9"/>
  <c r="F425" i="9"/>
  <c r="H425" i="9"/>
  <c r="G425" i="9"/>
  <c r="N425" i="9" s="1"/>
  <c r="B425" i="9"/>
  <c r="J425" i="9"/>
  <c r="U425" i="9"/>
  <c r="C425" i="9"/>
  <c r="M425" i="9" s="1"/>
  <c r="D425" i="9"/>
  <c r="E425" i="9"/>
  <c r="Q425" i="9" s="1"/>
  <c r="I425" i="9"/>
  <c r="R425" i="9" s="1"/>
  <c r="J422" i="6"/>
  <c r="C422" i="4"/>
  <c r="C423" i="6" s="1"/>
  <c r="D422" i="4"/>
  <c r="D423" i="6" s="1"/>
  <c r="E422" i="4"/>
  <c r="E423" i="6" s="1"/>
  <c r="F422" i="4"/>
  <c r="F423" i="6" s="1"/>
  <c r="G422" i="4"/>
  <c r="G423" i="6" s="1"/>
  <c r="H422" i="4"/>
  <c r="H423" i="6" s="1"/>
  <c r="I422" i="4"/>
  <c r="I423" i="6" s="1"/>
  <c r="B422" i="4"/>
  <c r="B423" i="6" s="1"/>
  <c r="A423" i="4"/>
  <c r="A424" i="6" s="1"/>
  <c r="A426" i="9" s="1"/>
  <c r="P425" i="9" l="1"/>
  <c r="L425" i="9"/>
  <c r="T425" i="9"/>
  <c r="D426" i="9"/>
  <c r="F426" i="9"/>
  <c r="E426" i="9"/>
  <c r="Q426" i="9" s="1"/>
  <c r="H426" i="9"/>
  <c r="J426" i="9"/>
  <c r="I426" i="9"/>
  <c r="R426" i="9" s="1"/>
  <c r="B426" i="9"/>
  <c r="U426" i="9"/>
  <c r="C426" i="9"/>
  <c r="M426" i="9" s="1"/>
  <c r="G426" i="9"/>
  <c r="N426" i="9" s="1"/>
  <c r="J423" i="6"/>
  <c r="B423" i="4"/>
  <c r="B424" i="6" s="1"/>
  <c r="A424" i="4"/>
  <c r="A425" i="6" s="1"/>
  <c r="A427" i="9" s="1"/>
  <c r="C423" i="4"/>
  <c r="C424" i="6" s="1"/>
  <c r="D423" i="4"/>
  <c r="D424" i="6" s="1"/>
  <c r="E423" i="4"/>
  <c r="E424" i="6" s="1"/>
  <c r="F423" i="4"/>
  <c r="F424" i="6" s="1"/>
  <c r="G423" i="4"/>
  <c r="G424" i="6" s="1"/>
  <c r="H423" i="4"/>
  <c r="H424" i="6" s="1"/>
  <c r="I423" i="4"/>
  <c r="I424" i="6" s="1"/>
  <c r="B427" i="9" l="1"/>
  <c r="J427" i="9"/>
  <c r="U427" i="9"/>
  <c r="D427" i="9"/>
  <c r="C427" i="9"/>
  <c r="M427" i="9" s="1"/>
  <c r="F427" i="9"/>
  <c r="G427" i="9"/>
  <c r="N427" i="9" s="1"/>
  <c r="I427" i="9"/>
  <c r="R427" i="9" s="1"/>
  <c r="H427" i="9"/>
  <c r="E427" i="9"/>
  <c r="Q427" i="9" s="1"/>
  <c r="P426" i="9"/>
  <c r="T426" i="9"/>
  <c r="L426" i="9"/>
  <c r="J424" i="6"/>
  <c r="I424" i="4"/>
  <c r="I425" i="6" s="1"/>
  <c r="B424" i="4"/>
  <c r="B425" i="6" s="1"/>
  <c r="A425" i="4"/>
  <c r="A426" i="6" s="1"/>
  <c r="A428" i="9" s="1"/>
  <c r="C424" i="4"/>
  <c r="C425" i="6" s="1"/>
  <c r="D424" i="4"/>
  <c r="D425" i="6" s="1"/>
  <c r="E424" i="4"/>
  <c r="E425" i="6" s="1"/>
  <c r="F424" i="4"/>
  <c r="F425" i="6" s="1"/>
  <c r="G424" i="4"/>
  <c r="G425" i="6" s="1"/>
  <c r="H424" i="4"/>
  <c r="H425" i="6" s="1"/>
  <c r="L427" i="9" l="1"/>
  <c r="P427" i="9"/>
  <c r="T427" i="9"/>
  <c r="H428" i="9"/>
  <c r="B428" i="9"/>
  <c r="U428" i="9"/>
  <c r="I428" i="9"/>
  <c r="R428" i="9" s="1"/>
  <c r="J428" i="9"/>
  <c r="D428" i="9"/>
  <c r="E428" i="9"/>
  <c r="Q428" i="9" s="1"/>
  <c r="G428" i="9"/>
  <c r="N428" i="9" s="1"/>
  <c r="C428" i="9"/>
  <c r="M428" i="9" s="1"/>
  <c r="F428" i="9"/>
  <c r="J425" i="6"/>
  <c r="H425" i="4"/>
  <c r="H426" i="6" s="1"/>
  <c r="I425" i="4"/>
  <c r="I426" i="6" s="1"/>
  <c r="B425" i="4"/>
  <c r="B426" i="6" s="1"/>
  <c r="A426" i="4"/>
  <c r="A427" i="6" s="1"/>
  <c r="A429" i="9" s="1"/>
  <c r="C425" i="4"/>
  <c r="C426" i="6" s="1"/>
  <c r="D425" i="4"/>
  <c r="D426" i="6" s="1"/>
  <c r="E425" i="4"/>
  <c r="E426" i="6" s="1"/>
  <c r="F425" i="4"/>
  <c r="F426" i="6" s="1"/>
  <c r="G425" i="4"/>
  <c r="G426" i="6" s="1"/>
  <c r="T428" i="9" l="1"/>
  <c r="L428" i="9"/>
  <c r="P428" i="9"/>
  <c r="F429" i="9"/>
  <c r="G429" i="9"/>
  <c r="N429" i="9" s="1"/>
  <c r="B429" i="9"/>
  <c r="J429" i="9"/>
  <c r="U429" i="9"/>
  <c r="C429" i="9"/>
  <c r="M429" i="9" s="1"/>
  <c r="E429" i="9"/>
  <c r="Q429" i="9" s="1"/>
  <c r="H429" i="9"/>
  <c r="I429" i="9"/>
  <c r="R429" i="9" s="1"/>
  <c r="D429" i="9"/>
  <c r="J426" i="6"/>
  <c r="G426" i="4"/>
  <c r="G427" i="6" s="1"/>
  <c r="H426" i="4"/>
  <c r="H427" i="6" s="1"/>
  <c r="I426" i="4"/>
  <c r="I427" i="6" s="1"/>
  <c r="B426" i="4"/>
  <c r="B427" i="6" s="1"/>
  <c r="A427" i="4"/>
  <c r="A428" i="6" s="1"/>
  <c r="A430" i="9" s="1"/>
  <c r="C426" i="4"/>
  <c r="C427" i="6" s="1"/>
  <c r="D426" i="4"/>
  <c r="D427" i="6" s="1"/>
  <c r="E426" i="4"/>
  <c r="E427" i="6" s="1"/>
  <c r="F426" i="4"/>
  <c r="F427" i="6" s="1"/>
  <c r="D430" i="9" l="1"/>
  <c r="F430" i="9"/>
  <c r="E430" i="9"/>
  <c r="Q430" i="9" s="1"/>
  <c r="H430" i="9"/>
  <c r="I430" i="9"/>
  <c r="R430" i="9" s="1"/>
  <c r="C430" i="9"/>
  <c r="M430" i="9" s="1"/>
  <c r="U430" i="9"/>
  <c r="B430" i="9"/>
  <c r="G430" i="9"/>
  <c r="N430" i="9" s="1"/>
  <c r="J430" i="9"/>
  <c r="P429" i="9"/>
  <c r="L429" i="9"/>
  <c r="T429" i="9"/>
  <c r="J427" i="6"/>
  <c r="F427" i="4"/>
  <c r="F428" i="6" s="1"/>
  <c r="G427" i="4"/>
  <c r="G428" i="6" s="1"/>
  <c r="H427" i="4"/>
  <c r="H428" i="6" s="1"/>
  <c r="I427" i="4"/>
  <c r="I428" i="6" s="1"/>
  <c r="B427" i="4"/>
  <c r="B428" i="6" s="1"/>
  <c r="A428" i="4"/>
  <c r="A429" i="6" s="1"/>
  <c r="A431" i="9" s="1"/>
  <c r="C427" i="4"/>
  <c r="C428" i="6" s="1"/>
  <c r="D427" i="4"/>
  <c r="D428" i="6" s="1"/>
  <c r="E427" i="4"/>
  <c r="E428" i="6" s="1"/>
  <c r="B431" i="9" l="1"/>
  <c r="J431" i="9"/>
  <c r="U431" i="9"/>
  <c r="C431" i="9"/>
  <c r="M431" i="9" s="1"/>
  <c r="F431" i="9"/>
  <c r="G431" i="9"/>
  <c r="N431" i="9" s="1"/>
  <c r="I431" i="9"/>
  <c r="R431" i="9" s="1"/>
  <c r="D431" i="9"/>
  <c r="E431" i="9"/>
  <c r="Q431" i="9" s="1"/>
  <c r="H431" i="9"/>
  <c r="P430" i="9"/>
  <c r="T430" i="9"/>
  <c r="L430" i="9"/>
  <c r="J428" i="6"/>
  <c r="E428" i="4"/>
  <c r="E429" i="6" s="1"/>
  <c r="F428" i="4"/>
  <c r="F429" i="6" s="1"/>
  <c r="G428" i="4"/>
  <c r="G429" i="6" s="1"/>
  <c r="H428" i="4"/>
  <c r="H429" i="6" s="1"/>
  <c r="I428" i="4"/>
  <c r="I429" i="6" s="1"/>
  <c r="B428" i="4"/>
  <c r="B429" i="6" s="1"/>
  <c r="A429" i="4"/>
  <c r="A430" i="6" s="1"/>
  <c r="A432" i="9" s="1"/>
  <c r="C428" i="4"/>
  <c r="C429" i="6" s="1"/>
  <c r="D428" i="4"/>
  <c r="D429" i="6" s="1"/>
  <c r="H432" i="9" l="1"/>
  <c r="U432" i="9"/>
  <c r="I432" i="9"/>
  <c r="R432" i="9" s="1"/>
  <c r="B432" i="9"/>
  <c r="D432" i="9"/>
  <c r="E432" i="9"/>
  <c r="Q432" i="9" s="1"/>
  <c r="G432" i="9"/>
  <c r="N432" i="9" s="1"/>
  <c r="J432" i="9"/>
  <c r="F432" i="9"/>
  <c r="C432" i="9"/>
  <c r="M432" i="9" s="1"/>
  <c r="L431" i="9"/>
  <c r="P431" i="9"/>
  <c r="T431" i="9"/>
  <c r="J429" i="6"/>
  <c r="D429" i="4"/>
  <c r="D430" i="6" s="1"/>
  <c r="E429" i="4"/>
  <c r="E430" i="6" s="1"/>
  <c r="F429" i="4"/>
  <c r="F430" i="6" s="1"/>
  <c r="G429" i="4"/>
  <c r="G430" i="6" s="1"/>
  <c r="H429" i="4"/>
  <c r="H430" i="6" s="1"/>
  <c r="I429" i="4"/>
  <c r="I430" i="6" s="1"/>
  <c r="B429" i="4"/>
  <c r="B430" i="6" s="1"/>
  <c r="A430" i="4"/>
  <c r="A431" i="6" s="1"/>
  <c r="A433" i="9" s="1"/>
  <c r="C429" i="4"/>
  <c r="C430" i="6" s="1"/>
  <c r="F433" i="9" l="1"/>
  <c r="G433" i="9"/>
  <c r="N433" i="9" s="1"/>
  <c r="H433" i="9"/>
  <c r="B433" i="9"/>
  <c r="J433" i="9"/>
  <c r="U433" i="9"/>
  <c r="C433" i="9"/>
  <c r="M433" i="9" s="1"/>
  <c r="E433" i="9"/>
  <c r="Q433" i="9" s="1"/>
  <c r="D433" i="9"/>
  <c r="I433" i="9"/>
  <c r="R433" i="9" s="1"/>
  <c r="T432" i="9"/>
  <c r="P432" i="9"/>
  <c r="L432" i="9"/>
  <c r="J430" i="6"/>
  <c r="C430" i="4"/>
  <c r="C431" i="6" s="1"/>
  <c r="D430" i="4"/>
  <c r="D431" i="6" s="1"/>
  <c r="E430" i="4"/>
  <c r="E431" i="6" s="1"/>
  <c r="F430" i="4"/>
  <c r="F431" i="6" s="1"/>
  <c r="G430" i="4"/>
  <c r="G431" i="6" s="1"/>
  <c r="H430" i="4"/>
  <c r="H431" i="6" s="1"/>
  <c r="I430" i="4"/>
  <c r="I431" i="6" s="1"/>
  <c r="B430" i="4"/>
  <c r="B431" i="6" s="1"/>
  <c r="A431" i="4"/>
  <c r="A432" i="6" s="1"/>
  <c r="A434" i="9" s="1"/>
  <c r="P433" i="9" l="1"/>
  <c r="L433" i="9"/>
  <c r="T433" i="9"/>
  <c r="D434" i="9"/>
  <c r="F434" i="9"/>
  <c r="E434" i="9"/>
  <c r="Q434" i="9" s="1"/>
  <c r="H434" i="9"/>
  <c r="I434" i="9"/>
  <c r="R434" i="9" s="1"/>
  <c r="C434" i="9"/>
  <c r="M434" i="9" s="1"/>
  <c r="B434" i="9"/>
  <c r="U434" i="9"/>
  <c r="G434" i="9"/>
  <c r="N434" i="9" s="1"/>
  <c r="J434" i="9"/>
  <c r="J431" i="6"/>
  <c r="B431" i="4"/>
  <c r="B432" i="6" s="1"/>
  <c r="A432" i="4"/>
  <c r="A433" i="6" s="1"/>
  <c r="A435" i="9" s="1"/>
  <c r="C431" i="4"/>
  <c r="C432" i="6" s="1"/>
  <c r="D431" i="4"/>
  <c r="D432" i="6" s="1"/>
  <c r="E431" i="4"/>
  <c r="E432" i="6" s="1"/>
  <c r="F431" i="4"/>
  <c r="F432" i="6" s="1"/>
  <c r="G431" i="4"/>
  <c r="G432" i="6" s="1"/>
  <c r="H431" i="4"/>
  <c r="H432" i="6" s="1"/>
  <c r="I431" i="4"/>
  <c r="I432" i="6" s="1"/>
  <c r="P434" i="9" l="1"/>
  <c r="T434" i="9"/>
  <c r="L434" i="9"/>
  <c r="B435" i="9"/>
  <c r="J435" i="9"/>
  <c r="U435" i="9"/>
  <c r="C435" i="9"/>
  <c r="M435" i="9" s="1"/>
  <c r="F435" i="9"/>
  <c r="G435" i="9"/>
  <c r="N435" i="9" s="1"/>
  <c r="I435" i="9"/>
  <c r="R435" i="9" s="1"/>
  <c r="D435" i="9"/>
  <c r="H435" i="9"/>
  <c r="E435" i="9"/>
  <c r="Q435" i="9" s="1"/>
  <c r="J432" i="6"/>
  <c r="I432" i="4"/>
  <c r="I433" i="6" s="1"/>
  <c r="B432" i="4"/>
  <c r="B433" i="6" s="1"/>
  <c r="A433" i="4"/>
  <c r="A434" i="6" s="1"/>
  <c r="A436" i="9" s="1"/>
  <c r="C432" i="4"/>
  <c r="C433" i="6" s="1"/>
  <c r="D432" i="4"/>
  <c r="D433" i="6" s="1"/>
  <c r="E432" i="4"/>
  <c r="E433" i="6" s="1"/>
  <c r="F432" i="4"/>
  <c r="F433" i="6" s="1"/>
  <c r="G432" i="4"/>
  <c r="G433" i="6" s="1"/>
  <c r="H432" i="4"/>
  <c r="H433" i="6" s="1"/>
  <c r="L435" i="9" l="1"/>
  <c r="P435" i="9"/>
  <c r="T435" i="9"/>
  <c r="H436" i="9"/>
  <c r="U436" i="9"/>
  <c r="I436" i="9"/>
  <c r="R436" i="9" s="1"/>
  <c r="B436" i="9"/>
  <c r="D436" i="9"/>
  <c r="E436" i="9"/>
  <c r="Q436" i="9" s="1"/>
  <c r="G436" i="9"/>
  <c r="N436" i="9" s="1"/>
  <c r="J436" i="9"/>
  <c r="C436" i="9"/>
  <c r="M436" i="9" s="1"/>
  <c r="F436" i="9"/>
  <c r="J433" i="6"/>
  <c r="H433" i="4"/>
  <c r="H434" i="6" s="1"/>
  <c r="I433" i="4"/>
  <c r="I434" i="6" s="1"/>
  <c r="B433" i="4"/>
  <c r="B434" i="6" s="1"/>
  <c r="A434" i="4"/>
  <c r="A435" i="6" s="1"/>
  <c r="A437" i="9" s="1"/>
  <c r="C433" i="4"/>
  <c r="C434" i="6" s="1"/>
  <c r="D433" i="4"/>
  <c r="D434" i="6" s="1"/>
  <c r="E433" i="4"/>
  <c r="E434" i="6" s="1"/>
  <c r="F433" i="4"/>
  <c r="F434" i="6" s="1"/>
  <c r="G433" i="4"/>
  <c r="G434" i="6" s="1"/>
  <c r="T436" i="9" l="1"/>
  <c r="L436" i="9"/>
  <c r="P436" i="9"/>
  <c r="F437" i="9"/>
  <c r="G437" i="9"/>
  <c r="N437" i="9" s="1"/>
  <c r="H437" i="9"/>
  <c r="B437" i="9"/>
  <c r="J437" i="9"/>
  <c r="U437" i="9"/>
  <c r="C437" i="9"/>
  <c r="M437" i="9" s="1"/>
  <c r="E437" i="9"/>
  <c r="Q437" i="9" s="1"/>
  <c r="D437" i="9"/>
  <c r="I437" i="9"/>
  <c r="R437" i="9" s="1"/>
  <c r="J434" i="6"/>
  <c r="G434" i="4"/>
  <c r="G435" i="6" s="1"/>
  <c r="H434" i="4"/>
  <c r="H435" i="6" s="1"/>
  <c r="I434" i="4"/>
  <c r="I435" i="6" s="1"/>
  <c r="B434" i="4"/>
  <c r="B435" i="6" s="1"/>
  <c r="A435" i="4"/>
  <c r="A436" i="6" s="1"/>
  <c r="A438" i="9" s="1"/>
  <c r="C434" i="4"/>
  <c r="C435" i="6" s="1"/>
  <c r="D434" i="4"/>
  <c r="D435" i="6" s="1"/>
  <c r="E434" i="4"/>
  <c r="E435" i="6" s="1"/>
  <c r="F434" i="4"/>
  <c r="F435" i="6" s="1"/>
  <c r="P437" i="9" l="1"/>
  <c r="L437" i="9"/>
  <c r="T437" i="9"/>
  <c r="D438" i="9"/>
  <c r="E438" i="9"/>
  <c r="Q438" i="9" s="1"/>
  <c r="H438" i="9"/>
  <c r="I438" i="9"/>
  <c r="R438" i="9" s="1"/>
  <c r="C438" i="9"/>
  <c r="M438" i="9" s="1"/>
  <c r="B438" i="9"/>
  <c r="F438" i="9"/>
  <c r="G438" i="9"/>
  <c r="N438" i="9" s="1"/>
  <c r="J438" i="9"/>
  <c r="U438" i="9"/>
  <c r="J435" i="6"/>
  <c r="F435" i="4"/>
  <c r="F436" i="6" s="1"/>
  <c r="G435" i="4"/>
  <c r="G436" i="6" s="1"/>
  <c r="H435" i="4"/>
  <c r="H436" i="6" s="1"/>
  <c r="I435" i="4"/>
  <c r="I436" i="6" s="1"/>
  <c r="B435" i="4"/>
  <c r="B436" i="6" s="1"/>
  <c r="A436" i="4"/>
  <c r="A437" i="6" s="1"/>
  <c r="A439" i="9" s="1"/>
  <c r="C435" i="4"/>
  <c r="C436" i="6" s="1"/>
  <c r="D435" i="4"/>
  <c r="D436" i="6" s="1"/>
  <c r="E435" i="4"/>
  <c r="E436" i="6" s="1"/>
  <c r="B439" i="9" l="1"/>
  <c r="J439" i="9"/>
  <c r="U439" i="9"/>
  <c r="C439" i="9"/>
  <c r="M439" i="9" s="1"/>
  <c r="F439" i="9"/>
  <c r="G439" i="9"/>
  <c r="N439" i="9" s="1"/>
  <c r="I439" i="9"/>
  <c r="R439" i="9" s="1"/>
  <c r="E439" i="9"/>
  <c r="Q439" i="9" s="1"/>
  <c r="H439" i="9"/>
  <c r="D439" i="9"/>
  <c r="T438" i="9"/>
  <c r="L438" i="9"/>
  <c r="P438" i="9"/>
  <c r="J436" i="6"/>
  <c r="E436" i="4"/>
  <c r="E437" i="6" s="1"/>
  <c r="F436" i="4"/>
  <c r="F437" i="6" s="1"/>
  <c r="G436" i="4"/>
  <c r="G437" i="6" s="1"/>
  <c r="H436" i="4"/>
  <c r="H437" i="6" s="1"/>
  <c r="I436" i="4"/>
  <c r="I437" i="6" s="1"/>
  <c r="B436" i="4"/>
  <c r="B437" i="6" s="1"/>
  <c r="A437" i="4"/>
  <c r="A438" i="6" s="1"/>
  <c r="A440" i="9" s="1"/>
  <c r="C436" i="4"/>
  <c r="C437" i="6" s="1"/>
  <c r="D436" i="4"/>
  <c r="D437" i="6" s="1"/>
  <c r="H440" i="9" l="1"/>
  <c r="I440" i="9"/>
  <c r="R440" i="9" s="1"/>
  <c r="D440" i="9"/>
  <c r="E440" i="9"/>
  <c r="Q440" i="9" s="1"/>
  <c r="G440" i="9"/>
  <c r="N440" i="9" s="1"/>
  <c r="J440" i="9"/>
  <c r="F440" i="9"/>
  <c r="B440" i="9"/>
  <c r="U440" i="9"/>
  <c r="C440" i="9"/>
  <c r="M440" i="9" s="1"/>
  <c r="L439" i="9"/>
  <c r="P439" i="9"/>
  <c r="T439" i="9"/>
  <c r="J437" i="6"/>
  <c r="D437" i="4"/>
  <c r="D438" i="6" s="1"/>
  <c r="E437" i="4"/>
  <c r="E438" i="6" s="1"/>
  <c r="F437" i="4"/>
  <c r="F438" i="6" s="1"/>
  <c r="G437" i="4"/>
  <c r="G438" i="6" s="1"/>
  <c r="H437" i="4"/>
  <c r="H438" i="6" s="1"/>
  <c r="I437" i="4"/>
  <c r="I438" i="6" s="1"/>
  <c r="B437" i="4"/>
  <c r="B438" i="6" s="1"/>
  <c r="A438" i="4"/>
  <c r="A439" i="6" s="1"/>
  <c r="A441" i="9" s="1"/>
  <c r="C437" i="4"/>
  <c r="C438" i="6" s="1"/>
  <c r="F441" i="9" l="1"/>
  <c r="G441" i="9"/>
  <c r="N441" i="9" s="1"/>
  <c r="B441" i="9"/>
  <c r="J441" i="9"/>
  <c r="U441" i="9"/>
  <c r="C441" i="9"/>
  <c r="M441" i="9" s="1"/>
  <c r="E441" i="9"/>
  <c r="Q441" i="9" s="1"/>
  <c r="D441" i="9"/>
  <c r="I441" i="9"/>
  <c r="R441" i="9" s="1"/>
  <c r="H441" i="9"/>
  <c r="T440" i="9"/>
  <c r="L440" i="9"/>
  <c r="P440" i="9"/>
  <c r="J438" i="6"/>
  <c r="C438" i="4"/>
  <c r="C439" i="6" s="1"/>
  <c r="D438" i="4"/>
  <c r="D439" i="6" s="1"/>
  <c r="E438" i="4"/>
  <c r="E439" i="6" s="1"/>
  <c r="F438" i="4"/>
  <c r="F439" i="6" s="1"/>
  <c r="G438" i="4"/>
  <c r="G439" i="6" s="1"/>
  <c r="H438" i="4"/>
  <c r="H439" i="6" s="1"/>
  <c r="I438" i="4"/>
  <c r="I439" i="6" s="1"/>
  <c r="B438" i="4"/>
  <c r="B439" i="6" s="1"/>
  <c r="A439" i="4"/>
  <c r="A440" i="6" s="1"/>
  <c r="A442" i="9" s="1"/>
  <c r="I442" i="9" l="1"/>
  <c r="R442" i="9" s="1"/>
  <c r="B442" i="9"/>
  <c r="J442" i="9"/>
  <c r="U442" i="9"/>
  <c r="C442" i="9"/>
  <c r="M442" i="9" s="1"/>
  <c r="D442" i="9"/>
  <c r="E442" i="9"/>
  <c r="Q442" i="9" s="1"/>
  <c r="F442" i="9"/>
  <c r="G442" i="9"/>
  <c r="N442" i="9" s="1"/>
  <c r="H442" i="9"/>
  <c r="P441" i="9"/>
  <c r="L441" i="9"/>
  <c r="T441" i="9"/>
  <c r="J439" i="6"/>
  <c r="B439" i="4"/>
  <c r="B440" i="6" s="1"/>
  <c r="A440" i="4"/>
  <c r="A441" i="6" s="1"/>
  <c r="A443" i="9" s="1"/>
  <c r="C439" i="4"/>
  <c r="C440" i="6" s="1"/>
  <c r="D439" i="4"/>
  <c r="D440" i="6" s="1"/>
  <c r="E439" i="4"/>
  <c r="E440" i="6" s="1"/>
  <c r="F439" i="4"/>
  <c r="F440" i="6" s="1"/>
  <c r="G439" i="4"/>
  <c r="G440" i="6" s="1"/>
  <c r="H439" i="4"/>
  <c r="H440" i="6" s="1"/>
  <c r="I439" i="4"/>
  <c r="I440" i="6" s="1"/>
  <c r="G443" i="9" l="1"/>
  <c r="N443" i="9" s="1"/>
  <c r="H443" i="9"/>
  <c r="I443" i="9"/>
  <c r="R443" i="9" s="1"/>
  <c r="B443" i="9"/>
  <c r="J443" i="9"/>
  <c r="U443" i="9"/>
  <c r="C443" i="9"/>
  <c r="M443" i="9" s="1"/>
  <c r="D443" i="9"/>
  <c r="E443" i="9"/>
  <c r="Q443" i="9" s="1"/>
  <c r="F443" i="9"/>
  <c r="T442" i="9"/>
  <c r="L442" i="9"/>
  <c r="P442" i="9"/>
  <c r="J440" i="6"/>
  <c r="I440" i="4"/>
  <c r="I441" i="6" s="1"/>
  <c r="B440" i="4"/>
  <c r="B441" i="6" s="1"/>
  <c r="A441" i="4"/>
  <c r="A442" i="6" s="1"/>
  <c r="A444" i="9" s="1"/>
  <c r="C440" i="4"/>
  <c r="C441" i="6" s="1"/>
  <c r="D440" i="4"/>
  <c r="D441" i="6" s="1"/>
  <c r="E440" i="4"/>
  <c r="E441" i="6" s="1"/>
  <c r="F440" i="4"/>
  <c r="F441" i="6" s="1"/>
  <c r="G440" i="4"/>
  <c r="G441" i="6" s="1"/>
  <c r="H440" i="4"/>
  <c r="H441" i="6" s="1"/>
  <c r="T443" i="9" l="1"/>
  <c r="L443" i="9"/>
  <c r="P443" i="9"/>
  <c r="E444" i="9"/>
  <c r="Q444" i="9" s="1"/>
  <c r="F444" i="9"/>
  <c r="G444" i="9"/>
  <c r="N444" i="9" s="1"/>
  <c r="H444" i="9"/>
  <c r="I444" i="9"/>
  <c r="R444" i="9" s="1"/>
  <c r="B444" i="9"/>
  <c r="J444" i="9"/>
  <c r="U444" i="9"/>
  <c r="C444" i="9"/>
  <c r="M444" i="9" s="1"/>
  <c r="D444" i="9"/>
  <c r="J441" i="6"/>
  <c r="H441" i="4"/>
  <c r="H442" i="6" s="1"/>
  <c r="I441" i="4"/>
  <c r="I442" i="6" s="1"/>
  <c r="B441" i="4"/>
  <c r="B442" i="6" s="1"/>
  <c r="A442" i="4"/>
  <c r="A443" i="6" s="1"/>
  <c r="A445" i="9" s="1"/>
  <c r="C441" i="4"/>
  <c r="C442" i="6" s="1"/>
  <c r="D441" i="4"/>
  <c r="D442" i="6" s="1"/>
  <c r="E441" i="4"/>
  <c r="E442" i="6" s="1"/>
  <c r="F441" i="4"/>
  <c r="F442" i="6" s="1"/>
  <c r="G441" i="4"/>
  <c r="G442" i="6" s="1"/>
  <c r="C445" i="9" l="1"/>
  <c r="M445" i="9" s="1"/>
  <c r="D445" i="9"/>
  <c r="E445" i="9"/>
  <c r="Q445" i="9" s="1"/>
  <c r="F445" i="9"/>
  <c r="G445" i="9"/>
  <c r="N445" i="9" s="1"/>
  <c r="H445" i="9"/>
  <c r="U445" i="9"/>
  <c r="B445" i="9"/>
  <c r="I445" i="9"/>
  <c r="R445" i="9" s="1"/>
  <c r="J445" i="9"/>
  <c r="P444" i="9"/>
  <c r="T444" i="9"/>
  <c r="L444" i="9"/>
  <c r="J442" i="6"/>
  <c r="G442" i="4"/>
  <c r="G443" i="6" s="1"/>
  <c r="H442" i="4"/>
  <c r="H443" i="6" s="1"/>
  <c r="I442" i="4"/>
  <c r="I443" i="6" s="1"/>
  <c r="B442" i="4"/>
  <c r="B443" i="6" s="1"/>
  <c r="A443" i="4"/>
  <c r="A444" i="6" s="1"/>
  <c r="A446" i="9" s="1"/>
  <c r="C442" i="4"/>
  <c r="C443" i="6" s="1"/>
  <c r="D442" i="4"/>
  <c r="D443" i="6" s="1"/>
  <c r="E442" i="4"/>
  <c r="E443" i="6" s="1"/>
  <c r="F442" i="4"/>
  <c r="F443" i="6" s="1"/>
  <c r="I446" i="9" l="1"/>
  <c r="R446" i="9" s="1"/>
  <c r="B446" i="9"/>
  <c r="J446" i="9"/>
  <c r="U446" i="9"/>
  <c r="C446" i="9"/>
  <c r="M446" i="9" s="1"/>
  <c r="D446" i="9"/>
  <c r="E446" i="9"/>
  <c r="Q446" i="9" s="1"/>
  <c r="F446" i="9"/>
  <c r="G446" i="9"/>
  <c r="N446" i="9" s="1"/>
  <c r="H446" i="9"/>
  <c r="L445" i="9"/>
  <c r="P445" i="9"/>
  <c r="T445" i="9"/>
  <c r="J443" i="6"/>
  <c r="F443" i="4"/>
  <c r="F444" i="6" s="1"/>
  <c r="G443" i="4"/>
  <c r="G444" i="6" s="1"/>
  <c r="H443" i="4"/>
  <c r="H444" i="6" s="1"/>
  <c r="I443" i="4"/>
  <c r="I444" i="6" s="1"/>
  <c r="B443" i="4"/>
  <c r="B444" i="6" s="1"/>
  <c r="A444" i="4"/>
  <c r="A445" i="6" s="1"/>
  <c r="A447" i="9" s="1"/>
  <c r="C443" i="4"/>
  <c r="C444" i="6" s="1"/>
  <c r="D443" i="4"/>
  <c r="D444" i="6" s="1"/>
  <c r="E443" i="4"/>
  <c r="E444" i="6" s="1"/>
  <c r="G447" i="9" l="1"/>
  <c r="N447" i="9" s="1"/>
  <c r="H447" i="9"/>
  <c r="I447" i="9"/>
  <c r="R447" i="9" s="1"/>
  <c r="B447" i="9"/>
  <c r="J447" i="9"/>
  <c r="U447" i="9"/>
  <c r="C447" i="9"/>
  <c r="M447" i="9" s="1"/>
  <c r="D447" i="9"/>
  <c r="E447" i="9"/>
  <c r="Q447" i="9" s="1"/>
  <c r="F447" i="9"/>
  <c r="T446" i="9"/>
  <c r="L446" i="9"/>
  <c r="P446" i="9"/>
  <c r="J444" i="6"/>
  <c r="E444" i="4"/>
  <c r="E445" i="6" s="1"/>
  <c r="F444" i="4"/>
  <c r="F445" i="6" s="1"/>
  <c r="G444" i="4"/>
  <c r="G445" i="6" s="1"/>
  <c r="H444" i="4"/>
  <c r="H445" i="6" s="1"/>
  <c r="I444" i="4"/>
  <c r="I445" i="6" s="1"/>
  <c r="B444" i="4"/>
  <c r="B445" i="6" s="1"/>
  <c r="A445" i="4"/>
  <c r="A446" i="6" s="1"/>
  <c r="A448" i="9" s="1"/>
  <c r="C444" i="4"/>
  <c r="C445" i="6" s="1"/>
  <c r="D444" i="4"/>
  <c r="D445" i="6" s="1"/>
  <c r="E448" i="9" l="1"/>
  <c r="Q448" i="9" s="1"/>
  <c r="F448" i="9"/>
  <c r="G448" i="9"/>
  <c r="N448" i="9" s="1"/>
  <c r="H448" i="9"/>
  <c r="I448" i="9"/>
  <c r="R448" i="9" s="1"/>
  <c r="B448" i="9"/>
  <c r="J448" i="9"/>
  <c r="U448" i="9"/>
  <c r="C448" i="9"/>
  <c r="M448" i="9" s="1"/>
  <c r="D448" i="9"/>
  <c r="T447" i="9"/>
  <c r="L447" i="9"/>
  <c r="P447" i="9"/>
  <c r="J445" i="6"/>
  <c r="D445" i="4"/>
  <c r="D446" i="6" s="1"/>
  <c r="E445" i="4"/>
  <c r="E446" i="6" s="1"/>
  <c r="F445" i="4"/>
  <c r="F446" i="6" s="1"/>
  <c r="G445" i="4"/>
  <c r="G446" i="6" s="1"/>
  <c r="H445" i="4"/>
  <c r="H446" i="6" s="1"/>
  <c r="I445" i="4"/>
  <c r="I446" i="6" s="1"/>
  <c r="B445" i="4"/>
  <c r="B446" i="6" s="1"/>
  <c r="A446" i="4"/>
  <c r="A447" i="6" s="1"/>
  <c r="A449" i="9" s="1"/>
  <c r="C445" i="4"/>
  <c r="C446" i="6" s="1"/>
  <c r="P448" i="9" l="1"/>
  <c r="T448" i="9"/>
  <c r="L448" i="9"/>
  <c r="C449" i="9"/>
  <c r="M449" i="9" s="1"/>
  <c r="D449" i="9"/>
  <c r="E449" i="9"/>
  <c r="Q449" i="9" s="1"/>
  <c r="F449" i="9"/>
  <c r="G449" i="9"/>
  <c r="N449" i="9" s="1"/>
  <c r="H449" i="9"/>
  <c r="I449" i="9"/>
  <c r="R449" i="9" s="1"/>
  <c r="J449" i="9"/>
  <c r="U449" i="9"/>
  <c r="B449" i="9"/>
  <c r="J446" i="6"/>
  <c r="C446" i="4"/>
  <c r="C447" i="6" s="1"/>
  <c r="D446" i="4"/>
  <c r="D447" i="6" s="1"/>
  <c r="E446" i="4"/>
  <c r="E447" i="6" s="1"/>
  <c r="F446" i="4"/>
  <c r="F447" i="6" s="1"/>
  <c r="G446" i="4"/>
  <c r="G447" i="6" s="1"/>
  <c r="H446" i="4"/>
  <c r="H447" i="6" s="1"/>
  <c r="I446" i="4"/>
  <c r="I447" i="6" s="1"/>
  <c r="A447" i="4"/>
  <c r="A448" i="6" s="1"/>
  <c r="A450" i="9" s="1"/>
  <c r="B446" i="4"/>
  <c r="B447" i="6" s="1"/>
  <c r="L449" i="9" l="1"/>
  <c r="P449" i="9"/>
  <c r="T449" i="9"/>
  <c r="I450" i="9"/>
  <c r="R450" i="9" s="1"/>
  <c r="B450" i="9"/>
  <c r="J450" i="9"/>
  <c r="U450" i="9"/>
  <c r="C450" i="9"/>
  <c r="M450" i="9" s="1"/>
  <c r="D450" i="9"/>
  <c r="E450" i="9"/>
  <c r="Q450" i="9" s="1"/>
  <c r="F450" i="9"/>
  <c r="G450" i="9"/>
  <c r="N450" i="9" s="1"/>
  <c r="H450" i="9"/>
  <c r="J447" i="6"/>
  <c r="B447" i="4"/>
  <c r="B448" i="6" s="1"/>
  <c r="A448" i="4"/>
  <c r="A449" i="6" s="1"/>
  <c r="A451" i="9" s="1"/>
  <c r="C447" i="4"/>
  <c r="C448" i="6" s="1"/>
  <c r="D447" i="4"/>
  <c r="D448" i="6" s="1"/>
  <c r="E447" i="4"/>
  <c r="E448" i="6" s="1"/>
  <c r="F447" i="4"/>
  <c r="F448" i="6" s="1"/>
  <c r="G447" i="4"/>
  <c r="G448" i="6" s="1"/>
  <c r="H447" i="4"/>
  <c r="H448" i="6" s="1"/>
  <c r="I447" i="4"/>
  <c r="I448" i="6" s="1"/>
  <c r="G451" i="9" l="1"/>
  <c r="N451" i="9" s="1"/>
  <c r="H451" i="9"/>
  <c r="I451" i="9"/>
  <c r="R451" i="9" s="1"/>
  <c r="B451" i="9"/>
  <c r="J451" i="9"/>
  <c r="U451" i="9"/>
  <c r="C451" i="9"/>
  <c r="M451" i="9" s="1"/>
  <c r="D451" i="9"/>
  <c r="E451" i="9"/>
  <c r="Q451" i="9" s="1"/>
  <c r="F451" i="9"/>
  <c r="T450" i="9"/>
  <c r="L450" i="9"/>
  <c r="P450" i="9"/>
  <c r="J448" i="6"/>
  <c r="I448" i="4"/>
  <c r="I449" i="6" s="1"/>
  <c r="B448" i="4"/>
  <c r="B449" i="6" s="1"/>
  <c r="A449" i="4"/>
  <c r="A450" i="6" s="1"/>
  <c r="A452" i="9" s="1"/>
  <c r="C448" i="4"/>
  <c r="C449" i="6" s="1"/>
  <c r="D448" i="4"/>
  <c r="D449" i="6" s="1"/>
  <c r="E448" i="4"/>
  <c r="E449" i="6" s="1"/>
  <c r="F448" i="4"/>
  <c r="F449" i="6" s="1"/>
  <c r="G448" i="4"/>
  <c r="G449" i="6" s="1"/>
  <c r="H448" i="4"/>
  <c r="H449" i="6" s="1"/>
  <c r="T451" i="9" l="1"/>
  <c r="L451" i="9"/>
  <c r="P451" i="9"/>
  <c r="E452" i="9"/>
  <c r="Q452" i="9" s="1"/>
  <c r="F452" i="9"/>
  <c r="G452" i="9"/>
  <c r="N452" i="9" s="1"/>
  <c r="H452" i="9"/>
  <c r="I452" i="9"/>
  <c r="R452" i="9" s="1"/>
  <c r="B452" i="9"/>
  <c r="J452" i="9"/>
  <c r="U452" i="9"/>
  <c r="C452" i="9"/>
  <c r="M452" i="9" s="1"/>
  <c r="D452" i="9"/>
  <c r="J449" i="6"/>
  <c r="H449" i="4"/>
  <c r="H450" i="6" s="1"/>
  <c r="I449" i="4"/>
  <c r="I450" i="6" s="1"/>
  <c r="B449" i="4"/>
  <c r="B450" i="6" s="1"/>
  <c r="A450" i="4"/>
  <c r="A451" i="6" s="1"/>
  <c r="A453" i="9" s="1"/>
  <c r="C449" i="4"/>
  <c r="C450" i="6" s="1"/>
  <c r="D449" i="4"/>
  <c r="D450" i="6" s="1"/>
  <c r="E449" i="4"/>
  <c r="E450" i="6" s="1"/>
  <c r="F449" i="4"/>
  <c r="F450" i="6" s="1"/>
  <c r="G449" i="4"/>
  <c r="G450" i="6" s="1"/>
  <c r="C453" i="9" l="1"/>
  <c r="M453" i="9" s="1"/>
  <c r="D453" i="9"/>
  <c r="E453" i="9"/>
  <c r="Q453" i="9" s="1"/>
  <c r="F453" i="9"/>
  <c r="G453" i="9"/>
  <c r="N453" i="9" s="1"/>
  <c r="H453" i="9"/>
  <c r="B453" i="9"/>
  <c r="I453" i="9"/>
  <c r="R453" i="9" s="1"/>
  <c r="J453" i="9"/>
  <c r="U453" i="9"/>
  <c r="P452" i="9"/>
  <c r="T452" i="9"/>
  <c r="L452" i="9"/>
  <c r="J450" i="6"/>
  <c r="G450" i="4"/>
  <c r="G451" i="6" s="1"/>
  <c r="H450" i="4"/>
  <c r="H451" i="6" s="1"/>
  <c r="I450" i="4"/>
  <c r="I451" i="6" s="1"/>
  <c r="B450" i="4"/>
  <c r="B451" i="6" s="1"/>
  <c r="A451" i="4"/>
  <c r="A452" i="6" s="1"/>
  <c r="A454" i="9" s="1"/>
  <c r="C450" i="4"/>
  <c r="C451" i="6" s="1"/>
  <c r="D450" i="4"/>
  <c r="D451" i="6" s="1"/>
  <c r="E450" i="4"/>
  <c r="E451" i="6" s="1"/>
  <c r="F450" i="4"/>
  <c r="F451" i="6" s="1"/>
  <c r="I454" i="9" l="1"/>
  <c r="R454" i="9" s="1"/>
  <c r="B454" i="9"/>
  <c r="J454" i="9"/>
  <c r="U454" i="9"/>
  <c r="C454" i="9"/>
  <c r="M454" i="9" s="1"/>
  <c r="D454" i="9"/>
  <c r="E454" i="9"/>
  <c r="Q454" i="9" s="1"/>
  <c r="F454" i="9"/>
  <c r="G454" i="9"/>
  <c r="N454" i="9" s="1"/>
  <c r="H454" i="9"/>
  <c r="L453" i="9"/>
  <c r="P453" i="9"/>
  <c r="T453" i="9"/>
  <c r="J451" i="6"/>
  <c r="F451" i="4"/>
  <c r="F452" i="6" s="1"/>
  <c r="G451" i="4"/>
  <c r="G452" i="6" s="1"/>
  <c r="H451" i="4"/>
  <c r="H452" i="6" s="1"/>
  <c r="I451" i="4"/>
  <c r="I452" i="6" s="1"/>
  <c r="B451" i="4"/>
  <c r="B452" i="6" s="1"/>
  <c r="A452" i="4"/>
  <c r="A453" i="6" s="1"/>
  <c r="A455" i="9" s="1"/>
  <c r="C451" i="4"/>
  <c r="C452" i="6" s="1"/>
  <c r="D451" i="4"/>
  <c r="D452" i="6" s="1"/>
  <c r="E451" i="4"/>
  <c r="E452" i="6" s="1"/>
  <c r="T454" i="9" l="1"/>
  <c r="L454" i="9"/>
  <c r="P454" i="9"/>
  <c r="G455" i="9"/>
  <c r="N455" i="9" s="1"/>
  <c r="H455" i="9"/>
  <c r="I455" i="9"/>
  <c r="R455" i="9" s="1"/>
  <c r="B455" i="9"/>
  <c r="J455" i="9"/>
  <c r="U455" i="9"/>
  <c r="C455" i="9"/>
  <c r="M455" i="9" s="1"/>
  <c r="D455" i="9"/>
  <c r="E455" i="9"/>
  <c r="Q455" i="9" s="1"/>
  <c r="F455" i="9"/>
  <c r="J452" i="6"/>
  <c r="E452" i="4"/>
  <c r="E453" i="6" s="1"/>
  <c r="F452" i="4"/>
  <c r="F453" i="6" s="1"/>
  <c r="G452" i="4"/>
  <c r="G453" i="6" s="1"/>
  <c r="H452" i="4"/>
  <c r="H453" i="6" s="1"/>
  <c r="I452" i="4"/>
  <c r="I453" i="6" s="1"/>
  <c r="B452" i="4"/>
  <c r="B453" i="6" s="1"/>
  <c r="A453" i="4"/>
  <c r="A454" i="6" s="1"/>
  <c r="A456" i="9" s="1"/>
  <c r="C452" i="4"/>
  <c r="C453" i="6" s="1"/>
  <c r="D452" i="4"/>
  <c r="D453" i="6" s="1"/>
  <c r="E456" i="9" l="1"/>
  <c r="Q456" i="9" s="1"/>
  <c r="F456" i="9"/>
  <c r="G456" i="9"/>
  <c r="N456" i="9" s="1"/>
  <c r="H456" i="9"/>
  <c r="I456" i="9"/>
  <c r="R456" i="9" s="1"/>
  <c r="B456" i="9"/>
  <c r="J456" i="9"/>
  <c r="U456" i="9"/>
  <c r="C456" i="9"/>
  <c r="M456" i="9" s="1"/>
  <c r="D456" i="9"/>
  <c r="T455" i="9"/>
  <c r="L455" i="9"/>
  <c r="P455" i="9"/>
  <c r="J453" i="6"/>
  <c r="D453" i="4"/>
  <c r="D454" i="6" s="1"/>
  <c r="E453" i="4"/>
  <c r="E454" i="6" s="1"/>
  <c r="F453" i="4"/>
  <c r="F454" i="6" s="1"/>
  <c r="G453" i="4"/>
  <c r="G454" i="6" s="1"/>
  <c r="H453" i="4"/>
  <c r="H454" i="6" s="1"/>
  <c r="I453" i="4"/>
  <c r="I454" i="6" s="1"/>
  <c r="B453" i="4"/>
  <c r="B454" i="6" s="1"/>
  <c r="A454" i="4"/>
  <c r="A455" i="6" s="1"/>
  <c r="A457" i="9" s="1"/>
  <c r="C453" i="4"/>
  <c r="C454" i="6" s="1"/>
  <c r="P456" i="9" l="1"/>
  <c r="T456" i="9"/>
  <c r="L456" i="9"/>
  <c r="C457" i="9"/>
  <c r="M457" i="9" s="1"/>
  <c r="D457" i="9"/>
  <c r="E457" i="9"/>
  <c r="Q457" i="9" s="1"/>
  <c r="F457" i="9"/>
  <c r="G457" i="9"/>
  <c r="N457" i="9" s="1"/>
  <c r="H457" i="9"/>
  <c r="B457" i="9"/>
  <c r="I457" i="9"/>
  <c r="R457" i="9" s="1"/>
  <c r="J457" i="9"/>
  <c r="U457" i="9"/>
  <c r="J454" i="6"/>
  <c r="C454" i="4"/>
  <c r="C455" i="6" s="1"/>
  <c r="D454" i="4"/>
  <c r="D455" i="6" s="1"/>
  <c r="E454" i="4"/>
  <c r="E455" i="6" s="1"/>
  <c r="F454" i="4"/>
  <c r="F455" i="6" s="1"/>
  <c r="G454" i="4"/>
  <c r="G455" i="6" s="1"/>
  <c r="H454" i="4"/>
  <c r="H455" i="6" s="1"/>
  <c r="I454" i="4"/>
  <c r="I455" i="6" s="1"/>
  <c r="B454" i="4"/>
  <c r="B455" i="6" s="1"/>
  <c r="A455" i="4"/>
  <c r="A456" i="6" s="1"/>
  <c r="A458" i="9" s="1"/>
  <c r="L457" i="9" l="1"/>
  <c r="P457" i="9"/>
  <c r="T457" i="9"/>
  <c r="I458" i="9"/>
  <c r="R458" i="9" s="1"/>
  <c r="B458" i="9"/>
  <c r="J458" i="9"/>
  <c r="U458" i="9"/>
  <c r="C458" i="9"/>
  <c r="M458" i="9" s="1"/>
  <c r="D458" i="9"/>
  <c r="E458" i="9"/>
  <c r="Q458" i="9" s="1"/>
  <c r="F458" i="9"/>
  <c r="G458" i="9"/>
  <c r="N458" i="9" s="1"/>
  <c r="H458" i="9"/>
  <c r="J455" i="6"/>
  <c r="B455" i="4"/>
  <c r="B456" i="6" s="1"/>
  <c r="A456" i="4"/>
  <c r="A457" i="6" s="1"/>
  <c r="A459" i="9" s="1"/>
  <c r="C455" i="4"/>
  <c r="C456" i="6" s="1"/>
  <c r="D455" i="4"/>
  <c r="D456" i="6" s="1"/>
  <c r="E455" i="4"/>
  <c r="E456" i="6" s="1"/>
  <c r="F455" i="4"/>
  <c r="F456" i="6" s="1"/>
  <c r="G455" i="4"/>
  <c r="G456" i="6" s="1"/>
  <c r="H455" i="4"/>
  <c r="H456" i="6" s="1"/>
  <c r="I455" i="4"/>
  <c r="I456" i="6" s="1"/>
  <c r="G459" i="9" l="1"/>
  <c r="N459" i="9" s="1"/>
  <c r="H459" i="9"/>
  <c r="I459" i="9"/>
  <c r="R459" i="9" s="1"/>
  <c r="B459" i="9"/>
  <c r="J459" i="9"/>
  <c r="U459" i="9"/>
  <c r="C459" i="9"/>
  <c r="M459" i="9" s="1"/>
  <c r="D459" i="9"/>
  <c r="E459" i="9"/>
  <c r="Q459" i="9" s="1"/>
  <c r="F459" i="9"/>
  <c r="T458" i="9"/>
  <c r="L458" i="9"/>
  <c r="P458" i="9"/>
  <c r="J456" i="6"/>
  <c r="I456" i="4"/>
  <c r="I457" i="6" s="1"/>
  <c r="B456" i="4"/>
  <c r="B457" i="6" s="1"/>
  <c r="A457" i="4"/>
  <c r="A458" i="6" s="1"/>
  <c r="A460" i="9" s="1"/>
  <c r="C456" i="4"/>
  <c r="C457" i="6" s="1"/>
  <c r="D456" i="4"/>
  <c r="D457" i="6" s="1"/>
  <c r="E456" i="4"/>
  <c r="E457" i="6" s="1"/>
  <c r="F456" i="4"/>
  <c r="F457" i="6" s="1"/>
  <c r="G456" i="4"/>
  <c r="G457" i="6" s="1"/>
  <c r="H456" i="4"/>
  <c r="H457" i="6" s="1"/>
  <c r="T459" i="9" l="1"/>
  <c r="L459" i="9"/>
  <c r="P459" i="9"/>
  <c r="E460" i="9"/>
  <c r="Q460" i="9" s="1"/>
  <c r="F460" i="9"/>
  <c r="G460" i="9"/>
  <c r="N460" i="9" s="1"/>
  <c r="H460" i="9"/>
  <c r="I460" i="9"/>
  <c r="R460" i="9" s="1"/>
  <c r="B460" i="9"/>
  <c r="J460" i="9"/>
  <c r="U460" i="9"/>
  <c r="C460" i="9"/>
  <c r="M460" i="9" s="1"/>
  <c r="D460" i="9"/>
  <c r="J457" i="6"/>
  <c r="H457" i="4"/>
  <c r="H458" i="6" s="1"/>
  <c r="I457" i="4"/>
  <c r="I458" i="6" s="1"/>
  <c r="B457" i="4"/>
  <c r="B458" i="6" s="1"/>
  <c r="A458" i="4"/>
  <c r="A459" i="6" s="1"/>
  <c r="A461" i="9" s="1"/>
  <c r="C457" i="4"/>
  <c r="C458" i="6" s="1"/>
  <c r="D457" i="4"/>
  <c r="D458" i="6" s="1"/>
  <c r="E457" i="4"/>
  <c r="E458" i="6" s="1"/>
  <c r="F457" i="4"/>
  <c r="F458" i="6" s="1"/>
  <c r="G457" i="4"/>
  <c r="G458" i="6" s="1"/>
  <c r="C461" i="9" l="1"/>
  <c r="M461" i="9" s="1"/>
  <c r="D461" i="9"/>
  <c r="E461" i="9"/>
  <c r="Q461" i="9" s="1"/>
  <c r="F461" i="9"/>
  <c r="G461" i="9"/>
  <c r="N461" i="9" s="1"/>
  <c r="H461" i="9"/>
  <c r="U461" i="9"/>
  <c r="B461" i="9"/>
  <c r="I461" i="9"/>
  <c r="R461" i="9" s="1"/>
  <c r="J461" i="9"/>
  <c r="P460" i="9"/>
  <c r="T460" i="9"/>
  <c r="L460" i="9"/>
  <c r="J458" i="6"/>
  <c r="G458" i="4"/>
  <c r="G459" i="6" s="1"/>
  <c r="H458" i="4"/>
  <c r="H459" i="6" s="1"/>
  <c r="I458" i="4"/>
  <c r="I459" i="6" s="1"/>
  <c r="B458" i="4"/>
  <c r="B459" i="6" s="1"/>
  <c r="A459" i="4"/>
  <c r="A460" i="6" s="1"/>
  <c r="A462" i="9" s="1"/>
  <c r="C458" i="4"/>
  <c r="C459" i="6" s="1"/>
  <c r="D458" i="4"/>
  <c r="D459" i="6" s="1"/>
  <c r="E458" i="4"/>
  <c r="E459" i="6" s="1"/>
  <c r="F458" i="4"/>
  <c r="F459" i="6" s="1"/>
  <c r="I462" i="9" l="1"/>
  <c r="R462" i="9" s="1"/>
  <c r="B462" i="9"/>
  <c r="J462" i="9"/>
  <c r="U462" i="9"/>
  <c r="C462" i="9"/>
  <c r="M462" i="9" s="1"/>
  <c r="D462" i="9"/>
  <c r="E462" i="9"/>
  <c r="Q462" i="9" s="1"/>
  <c r="F462" i="9"/>
  <c r="G462" i="9"/>
  <c r="N462" i="9" s="1"/>
  <c r="H462" i="9"/>
  <c r="L461" i="9"/>
  <c r="P461" i="9"/>
  <c r="T461" i="9"/>
  <c r="J459" i="6"/>
  <c r="F459" i="4"/>
  <c r="F460" i="6" s="1"/>
  <c r="G459" i="4"/>
  <c r="G460" i="6" s="1"/>
  <c r="H459" i="4"/>
  <c r="H460" i="6" s="1"/>
  <c r="I459" i="4"/>
  <c r="I460" i="6" s="1"/>
  <c r="B459" i="4"/>
  <c r="B460" i="6" s="1"/>
  <c r="A460" i="4"/>
  <c r="A461" i="6" s="1"/>
  <c r="A463" i="9" s="1"/>
  <c r="C459" i="4"/>
  <c r="C460" i="6" s="1"/>
  <c r="D459" i="4"/>
  <c r="D460" i="6" s="1"/>
  <c r="E459" i="4"/>
  <c r="E460" i="6" s="1"/>
  <c r="T462" i="9" l="1"/>
  <c r="L462" i="9"/>
  <c r="P462" i="9"/>
  <c r="G463" i="9"/>
  <c r="N463" i="9" s="1"/>
  <c r="H463" i="9"/>
  <c r="I463" i="9"/>
  <c r="R463" i="9" s="1"/>
  <c r="B463" i="9"/>
  <c r="J463" i="9"/>
  <c r="U463" i="9"/>
  <c r="C463" i="9"/>
  <c r="M463" i="9" s="1"/>
  <c r="D463" i="9"/>
  <c r="E463" i="9"/>
  <c r="Q463" i="9" s="1"/>
  <c r="F463" i="9"/>
  <c r="J460" i="6"/>
  <c r="E460" i="4"/>
  <c r="E461" i="6" s="1"/>
  <c r="F460" i="4"/>
  <c r="F461" i="6" s="1"/>
  <c r="G460" i="4"/>
  <c r="G461" i="6" s="1"/>
  <c r="H460" i="4"/>
  <c r="H461" i="6" s="1"/>
  <c r="I460" i="4"/>
  <c r="I461" i="6" s="1"/>
  <c r="B460" i="4"/>
  <c r="B461" i="6" s="1"/>
  <c r="A461" i="4"/>
  <c r="A462" i="6" s="1"/>
  <c r="A464" i="9" s="1"/>
  <c r="C460" i="4"/>
  <c r="C461" i="6" s="1"/>
  <c r="D460" i="4"/>
  <c r="D461" i="6" s="1"/>
  <c r="T463" i="9" l="1"/>
  <c r="L463" i="9"/>
  <c r="P463" i="9"/>
  <c r="E464" i="9"/>
  <c r="Q464" i="9" s="1"/>
  <c r="F464" i="9"/>
  <c r="G464" i="9"/>
  <c r="N464" i="9" s="1"/>
  <c r="H464" i="9"/>
  <c r="I464" i="9"/>
  <c r="R464" i="9" s="1"/>
  <c r="B464" i="9"/>
  <c r="J464" i="9"/>
  <c r="U464" i="9"/>
  <c r="C464" i="9"/>
  <c r="M464" i="9" s="1"/>
  <c r="D464" i="9"/>
  <c r="J461" i="6"/>
  <c r="D461" i="4"/>
  <c r="D462" i="6" s="1"/>
  <c r="E461" i="4"/>
  <c r="E462" i="6" s="1"/>
  <c r="F461" i="4"/>
  <c r="F462" i="6" s="1"/>
  <c r="G461" i="4"/>
  <c r="G462" i="6" s="1"/>
  <c r="H461" i="4"/>
  <c r="H462" i="6" s="1"/>
  <c r="I461" i="4"/>
  <c r="I462" i="6" s="1"/>
  <c r="B461" i="4"/>
  <c r="B462" i="6" s="1"/>
  <c r="A462" i="4"/>
  <c r="A463" i="6" s="1"/>
  <c r="A465" i="9" s="1"/>
  <c r="C461" i="4"/>
  <c r="C462" i="6" s="1"/>
  <c r="C465" i="9" l="1"/>
  <c r="M465" i="9" s="1"/>
  <c r="D465" i="9"/>
  <c r="E465" i="9"/>
  <c r="Q465" i="9" s="1"/>
  <c r="F465" i="9"/>
  <c r="G465" i="9"/>
  <c r="N465" i="9" s="1"/>
  <c r="H465" i="9"/>
  <c r="I465" i="9"/>
  <c r="R465" i="9" s="1"/>
  <c r="J465" i="9"/>
  <c r="U465" i="9"/>
  <c r="B465" i="9"/>
  <c r="P464" i="9"/>
  <c r="T464" i="9"/>
  <c r="L464" i="9"/>
  <c r="J462" i="6"/>
  <c r="C462" i="4"/>
  <c r="C463" i="6" s="1"/>
  <c r="D462" i="4"/>
  <c r="D463" i="6" s="1"/>
  <c r="E462" i="4"/>
  <c r="E463" i="6" s="1"/>
  <c r="F462" i="4"/>
  <c r="F463" i="6" s="1"/>
  <c r="G462" i="4"/>
  <c r="G463" i="6" s="1"/>
  <c r="H462" i="4"/>
  <c r="H463" i="6" s="1"/>
  <c r="I462" i="4"/>
  <c r="I463" i="6" s="1"/>
  <c r="B462" i="4"/>
  <c r="B463" i="6" s="1"/>
  <c r="A463" i="4"/>
  <c r="A464" i="6" s="1"/>
  <c r="A466" i="9" s="1"/>
  <c r="L465" i="9" l="1"/>
  <c r="P465" i="9"/>
  <c r="T465" i="9"/>
  <c r="I466" i="9"/>
  <c r="R466" i="9" s="1"/>
  <c r="B466" i="9"/>
  <c r="J466" i="9"/>
  <c r="U466" i="9"/>
  <c r="C466" i="9"/>
  <c r="M466" i="9" s="1"/>
  <c r="D466" i="9"/>
  <c r="E466" i="9"/>
  <c r="Q466" i="9" s="1"/>
  <c r="F466" i="9"/>
  <c r="G466" i="9"/>
  <c r="N466" i="9" s="1"/>
  <c r="H466" i="9"/>
  <c r="J463" i="6"/>
  <c r="B463" i="4"/>
  <c r="B464" i="6" s="1"/>
  <c r="A464" i="4"/>
  <c r="A465" i="6" s="1"/>
  <c r="A467" i="9" s="1"/>
  <c r="C463" i="4"/>
  <c r="C464" i="6" s="1"/>
  <c r="D463" i="4"/>
  <c r="D464" i="6" s="1"/>
  <c r="E463" i="4"/>
  <c r="E464" i="6" s="1"/>
  <c r="F463" i="4"/>
  <c r="F464" i="6" s="1"/>
  <c r="G463" i="4"/>
  <c r="G464" i="6" s="1"/>
  <c r="H463" i="4"/>
  <c r="H464" i="6" s="1"/>
  <c r="I463" i="4"/>
  <c r="I464" i="6" s="1"/>
  <c r="G467" i="9" l="1"/>
  <c r="N467" i="9" s="1"/>
  <c r="H467" i="9"/>
  <c r="I467" i="9"/>
  <c r="R467" i="9" s="1"/>
  <c r="B467" i="9"/>
  <c r="J467" i="9"/>
  <c r="U467" i="9"/>
  <c r="C467" i="9"/>
  <c r="M467" i="9" s="1"/>
  <c r="D467" i="9"/>
  <c r="E467" i="9"/>
  <c r="Q467" i="9" s="1"/>
  <c r="F467" i="9"/>
  <c r="T466" i="9"/>
  <c r="L466" i="9"/>
  <c r="P466" i="9"/>
  <c r="J464" i="6"/>
  <c r="I464" i="4"/>
  <c r="I465" i="6" s="1"/>
  <c r="B464" i="4"/>
  <c r="B465" i="6" s="1"/>
  <c r="A465" i="4"/>
  <c r="A466" i="6" s="1"/>
  <c r="A468" i="9" s="1"/>
  <c r="C464" i="4"/>
  <c r="C465" i="6" s="1"/>
  <c r="D464" i="4"/>
  <c r="D465" i="6" s="1"/>
  <c r="E464" i="4"/>
  <c r="E465" i="6" s="1"/>
  <c r="F464" i="4"/>
  <c r="F465" i="6" s="1"/>
  <c r="G464" i="4"/>
  <c r="G465" i="6" s="1"/>
  <c r="H464" i="4"/>
  <c r="H465" i="6" s="1"/>
  <c r="T467" i="9" l="1"/>
  <c r="L467" i="9"/>
  <c r="P467" i="9"/>
  <c r="E468" i="9"/>
  <c r="Q468" i="9" s="1"/>
  <c r="F468" i="9"/>
  <c r="G468" i="9"/>
  <c r="N468" i="9" s="1"/>
  <c r="H468" i="9"/>
  <c r="I468" i="9"/>
  <c r="R468" i="9" s="1"/>
  <c r="B468" i="9"/>
  <c r="J468" i="9"/>
  <c r="U468" i="9"/>
  <c r="C468" i="9"/>
  <c r="M468" i="9" s="1"/>
  <c r="D468" i="9"/>
  <c r="J465" i="6"/>
  <c r="H465" i="4"/>
  <c r="H466" i="6" s="1"/>
  <c r="I465" i="4"/>
  <c r="I466" i="6" s="1"/>
  <c r="B465" i="4"/>
  <c r="B466" i="6" s="1"/>
  <c r="A466" i="4"/>
  <c r="A467" i="6" s="1"/>
  <c r="A469" i="9" s="1"/>
  <c r="C465" i="4"/>
  <c r="C466" i="6" s="1"/>
  <c r="D465" i="4"/>
  <c r="D466" i="6" s="1"/>
  <c r="E465" i="4"/>
  <c r="E466" i="6" s="1"/>
  <c r="F465" i="4"/>
  <c r="F466" i="6" s="1"/>
  <c r="G465" i="4"/>
  <c r="G466" i="6" s="1"/>
  <c r="C469" i="9" l="1"/>
  <c r="M469" i="9" s="1"/>
  <c r="D469" i="9"/>
  <c r="E469" i="9"/>
  <c r="Q469" i="9" s="1"/>
  <c r="F469" i="9"/>
  <c r="G469" i="9"/>
  <c r="N469" i="9" s="1"/>
  <c r="H469" i="9"/>
  <c r="B469" i="9"/>
  <c r="I469" i="9"/>
  <c r="R469" i="9" s="1"/>
  <c r="J469" i="9"/>
  <c r="U469" i="9"/>
  <c r="P468" i="9"/>
  <c r="T468" i="9"/>
  <c r="L468" i="9"/>
  <c r="J466" i="6"/>
  <c r="G466" i="4"/>
  <c r="G467" i="6" s="1"/>
  <c r="H466" i="4"/>
  <c r="H467" i="6" s="1"/>
  <c r="I466" i="4"/>
  <c r="I467" i="6" s="1"/>
  <c r="B466" i="4"/>
  <c r="B467" i="6" s="1"/>
  <c r="A467" i="4"/>
  <c r="A468" i="6" s="1"/>
  <c r="A470" i="9" s="1"/>
  <c r="C466" i="4"/>
  <c r="C467" i="6" s="1"/>
  <c r="D466" i="4"/>
  <c r="D467" i="6" s="1"/>
  <c r="E466" i="4"/>
  <c r="E467" i="6" s="1"/>
  <c r="F466" i="4"/>
  <c r="F467" i="6" s="1"/>
  <c r="I470" i="9" l="1"/>
  <c r="R470" i="9" s="1"/>
  <c r="B470" i="9"/>
  <c r="J470" i="9"/>
  <c r="U470" i="9"/>
  <c r="C470" i="9"/>
  <c r="M470" i="9" s="1"/>
  <c r="D470" i="9"/>
  <c r="E470" i="9"/>
  <c r="Q470" i="9" s="1"/>
  <c r="F470" i="9"/>
  <c r="G470" i="9"/>
  <c r="N470" i="9" s="1"/>
  <c r="H470" i="9"/>
  <c r="L469" i="9"/>
  <c r="P469" i="9"/>
  <c r="T469" i="9"/>
  <c r="J467" i="6"/>
  <c r="F467" i="4"/>
  <c r="F468" i="6" s="1"/>
  <c r="G467" i="4"/>
  <c r="G468" i="6" s="1"/>
  <c r="H467" i="4"/>
  <c r="H468" i="6" s="1"/>
  <c r="I467" i="4"/>
  <c r="I468" i="6" s="1"/>
  <c r="B467" i="4"/>
  <c r="B468" i="6" s="1"/>
  <c r="A468" i="4"/>
  <c r="A469" i="6" s="1"/>
  <c r="A471" i="9" s="1"/>
  <c r="C467" i="4"/>
  <c r="C468" i="6" s="1"/>
  <c r="D467" i="4"/>
  <c r="D468" i="6" s="1"/>
  <c r="E467" i="4"/>
  <c r="E468" i="6" s="1"/>
  <c r="G471" i="9" l="1"/>
  <c r="N471" i="9" s="1"/>
  <c r="H471" i="9"/>
  <c r="I471" i="9"/>
  <c r="R471" i="9" s="1"/>
  <c r="B471" i="9"/>
  <c r="J471" i="9"/>
  <c r="U471" i="9"/>
  <c r="C471" i="9"/>
  <c r="M471" i="9" s="1"/>
  <c r="D471" i="9"/>
  <c r="E471" i="9"/>
  <c r="Q471" i="9" s="1"/>
  <c r="F471" i="9"/>
  <c r="T470" i="9"/>
  <c r="L470" i="9"/>
  <c r="P470" i="9"/>
  <c r="J468" i="6"/>
  <c r="E468" i="4"/>
  <c r="E469" i="6" s="1"/>
  <c r="F468" i="4"/>
  <c r="F469" i="6" s="1"/>
  <c r="G468" i="4"/>
  <c r="G469" i="6" s="1"/>
  <c r="H468" i="4"/>
  <c r="H469" i="6" s="1"/>
  <c r="I468" i="4"/>
  <c r="I469" i="6" s="1"/>
  <c r="B468" i="4"/>
  <c r="B469" i="6" s="1"/>
  <c r="A469" i="4"/>
  <c r="A470" i="6" s="1"/>
  <c r="A472" i="9" s="1"/>
  <c r="C468" i="4"/>
  <c r="C469" i="6" s="1"/>
  <c r="D468" i="4"/>
  <c r="D469" i="6" s="1"/>
  <c r="E472" i="9" l="1"/>
  <c r="Q472" i="9" s="1"/>
  <c r="F472" i="9"/>
  <c r="G472" i="9"/>
  <c r="N472" i="9" s="1"/>
  <c r="H472" i="9"/>
  <c r="I472" i="9"/>
  <c r="R472" i="9" s="1"/>
  <c r="B472" i="9"/>
  <c r="J472" i="9"/>
  <c r="U472" i="9"/>
  <c r="C472" i="9"/>
  <c r="M472" i="9" s="1"/>
  <c r="D472" i="9"/>
  <c r="T471" i="9"/>
  <c r="L471" i="9"/>
  <c r="P471" i="9"/>
  <c r="J469" i="6"/>
  <c r="D469" i="4"/>
  <c r="D470" i="6" s="1"/>
  <c r="E469" i="4"/>
  <c r="E470" i="6" s="1"/>
  <c r="F469" i="4"/>
  <c r="F470" i="6" s="1"/>
  <c r="G469" i="4"/>
  <c r="G470" i="6" s="1"/>
  <c r="H469" i="4"/>
  <c r="H470" i="6" s="1"/>
  <c r="I469" i="4"/>
  <c r="I470" i="6" s="1"/>
  <c r="B469" i="4"/>
  <c r="B470" i="6" s="1"/>
  <c r="A470" i="4"/>
  <c r="A471" i="6" s="1"/>
  <c r="A473" i="9" s="1"/>
  <c r="C469" i="4"/>
  <c r="C470" i="6" s="1"/>
  <c r="P472" i="9" l="1"/>
  <c r="T472" i="9"/>
  <c r="L472" i="9"/>
  <c r="C473" i="9"/>
  <c r="M473" i="9" s="1"/>
  <c r="D473" i="9"/>
  <c r="E473" i="9"/>
  <c r="Q473" i="9" s="1"/>
  <c r="F473" i="9"/>
  <c r="G473" i="9"/>
  <c r="N473" i="9" s="1"/>
  <c r="H473" i="9"/>
  <c r="B473" i="9"/>
  <c r="I473" i="9"/>
  <c r="R473" i="9" s="1"/>
  <c r="J473" i="9"/>
  <c r="U473" i="9"/>
  <c r="J470" i="6"/>
  <c r="C470" i="4"/>
  <c r="C471" i="6" s="1"/>
  <c r="D470" i="4"/>
  <c r="D471" i="6" s="1"/>
  <c r="E470" i="4"/>
  <c r="E471" i="6" s="1"/>
  <c r="F470" i="4"/>
  <c r="F471" i="6" s="1"/>
  <c r="G470" i="4"/>
  <c r="G471" i="6" s="1"/>
  <c r="H470" i="4"/>
  <c r="H471" i="6" s="1"/>
  <c r="I470" i="4"/>
  <c r="I471" i="6" s="1"/>
  <c r="B470" i="4"/>
  <c r="B471" i="6" s="1"/>
  <c r="A471" i="4"/>
  <c r="A472" i="6" s="1"/>
  <c r="A474" i="9" s="1"/>
  <c r="L473" i="9" l="1"/>
  <c r="P473" i="9"/>
  <c r="T473" i="9"/>
  <c r="I474" i="9"/>
  <c r="R474" i="9" s="1"/>
  <c r="B474" i="9"/>
  <c r="J474" i="9"/>
  <c r="U474" i="9"/>
  <c r="C474" i="9"/>
  <c r="M474" i="9" s="1"/>
  <c r="D474" i="9"/>
  <c r="E474" i="9"/>
  <c r="Q474" i="9" s="1"/>
  <c r="F474" i="9"/>
  <c r="G474" i="9"/>
  <c r="N474" i="9" s="1"/>
  <c r="H474" i="9"/>
  <c r="J471" i="6"/>
  <c r="B471" i="4"/>
  <c r="B472" i="6" s="1"/>
  <c r="A472" i="4"/>
  <c r="A473" i="6" s="1"/>
  <c r="A475" i="9" s="1"/>
  <c r="C471" i="4"/>
  <c r="C472" i="6" s="1"/>
  <c r="D471" i="4"/>
  <c r="D472" i="6" s="1"/>
  <c r="E471" i="4"/>
  <c r="E472" i="6" s="1"/>
  <c r="F471" i="4"/>
  <c r="F472" i="6" s="1"/>
  <c r="G471" i="4"/>
  <c r="G472" i="6" s="1"/>
  <c r="H471" i="4"/>
  <c r="H472" i="6" s="1"/>
  <c r="I471" i="4"/>
  <c r="I472" i="6" s="1"/>
  <c r="G475" i="9" l="1"/>
  <c r="N475" i="9" s="1"/>
  <c r="H475" i="9"/>
  <c r="I475" i="9"/>
  <c r="R475" i="9" s="1"/>
  <c r="B475" i="9"/>
  <c r="J475" i="9"/>
  <c r="U475" i="9"/>
  <c r="C475" i="9"/>
  <c r="M475" i="9" s="1"/>
  <c r="D475" i="9"/>
  <c r="E475" i="9"/>
  <c r="Q475" i="9" s="1"/>
  <c r="F475" i="9"/>
  <c r="T474" i="9"/>
  <c r="L474" i="9"/>
  <c r="P474" i="9"/>
  <c r="J472" i="6"/>
  <c r="I472" i="4"/>
  <c r="I473" i="6" s="1"/>
  <c r="B472" i="4"/>
  <c r="B473" i="6" s="1"/>
  <c r="A473" i="4"/>
  <c r="A474" i="6" s="1"/>
  <c r="A476" i="9" s="1"/>
  <c r="C472" i="4"/>
  <c r="C473" i="6" s="1"/>
  <c r="D472" i="4"/>
  <c r="D473" i="6" s="1"/>
  <c r="E472" i="4"/>
  <c r="E473" i="6" s="1"/>
  <c r="F472" i="4"/>
  <c r="F473" i="6" s="1"/>
  <c r="G472" i="4"/>
  <c r="G473" i="6" s="1"/>
  <c r="H472" i="4"/>
  <c r="H473" i="6" s="1"/>
  <c r="T475" i="9" l="1"/>
  <c r="L475" i="9"/>
  <c r="P475" i="9"/>
  <c r="E476" i="9"/>
  <c r="Q476" i="9" s="1"/>
  <c r="F476" i="9"/>
  <c r="G476" i="9"/>
  <c r="N476" i="9" s="1"/>
  <c r="H476" i="9"/>
  <c r="I476" i="9"/>
  <c r="R476" i="9" s="1"/>
  <c r="B476" i="9"/>
  <c r="J476" i="9"/>
  <c r="U476" i="9"/>
  <c r="C476" i="9"/>
  <c r="M476" i="9" s="1"/>
  <c r="D476" i="9"/>
  <c r="J473" i="6"/>
  <c r="H473" i="4"/>
  <c r="H474" i="6" s="1"/>
  <c r="I473" i="4"/>
  <c r="I474" i="6" s="1"/>
  <c r="B473" i="4"/>
  <c r="B474" i="6" s="1"/>
  <c r="A474" i="4"/>
  <c r="A475" i="6" s="1"/>
  <c r="A477" i="9" s="1"/>
  <c r="C473" i="4"/>
  <c r="C474" i="6" s="1"/>
  <c r="D473" i="4"/>
  <c r="D474" i="6" s="1"/>
  <c r="E473" i="4"/>
  <c r="E474" i="6" s="1"/>
  <c r="F473" i="4"/>
  <c r="F474" i="6" s="1"/>
  <c r="G473" i="4"/>
  <c r="G474" i="6" s="1"/>
  <c r="C477" i="9" l="1"/>
  <c r="M477" i="9" s="1"/>
  <c r="D477" i="9"/>
  <c r="E477" i="9"/>
  <c r="Q477" i="9" s="1"/>
  <c r="G477" i="9"/>
  <c r="N477" i="9" s="1"/>
  <c r="H477" i="9"/>
  <c r="J477" i="9"/>
  <c r="U477" i="9"/>
  <c r="B477" i="9"/>
  <c r="F477" i="9"/>
  <c r="I477" i="9"/>
  <c r="R477" i="9" s="1"/>
  <c r="P476" i="9"/>
  <c r="T476" i="9"/>
  <c r="L476" i="9"/>
  <c r="J474" i="6"/>
  <c r="G474" i="4"/>
  <c r="G475" i="6" s="1"/>
  <c r="H474" i="4"/>
  <c r="H475" i="6" s="1"/>
  <c r="I474" i="4"/>
  <c r="I475" i="6" s="1"/>
  <c r="B474" i="4"/>
  <c r="B475" i="6" s="1"/>
  <c r="A475" i="4"/>
  <c r="A476" i="6" s="1"/>
  <c r="A478" i="9" s="1"/>
  <c r="C474" i="4"/>
  <c r="C475" i="6" s="1"/>
  <c r="D474" i="4"/>
  <c r="D475" i="6" s="1"/>
  <c r="E474" i="4"/>
  <c r="E475" i="6" s="1"/>
  <c r="F474" i="4"/>
  <c r="F475" i="6" s="1"/>
  <c r="L477" i="9" l="1"/>
  <c r="P477" i="9"/>
  <c r="T477" i="9"/>
  <c r="B478" i="9"/>
  <c r="J478" i="9"/>
  <c r="U478" i="9"/>
  <c r="E478" i="9"/>
  <c r="Q478" i="9" s="1"/>
  <c r="F478" i="9"/>
  <c r="G478" i="9"/>
  <c r="N478" i="9" s="1"/>
  <c r="H478" i="9"/>
  <c r="I478" i="9"/>
  <c r="R478" i="9" s="1"/>
  <c r="C478" i="9"/>
  <c r="M478" i="9" s="1"/>
  <c r="D478" i="9"/>
  <c r="J475" i="6"/>
  <c r="F475" i="4"/>
  <c r="F476" i="6" s="1"/>
  <c r="G475" i="4"/>
  <c r="G476" i="6" s="1"/>
  <c r="H475" i="4"/>
  <c r="H476" i="6" s="1"/>
  <c r="I475" i="4"/>
  <c r="I476" i="6" s="1"/>
  <c r="B475" i="4"/>
  <c r="B476" i="6" s="1"/>
  <c r="A476" i="4"/>
  <c r="A477" i="6" s="1"/>
  <c r="A479" i="9" s="1"/>
  <c r="C475" i="4"/>
  <c r="C476" i="6" s="1"/>
  <c r="D475" i="4"/>
  <c r="D476" i="6" s="1"/>
  <c r="E475" i="4"/>
  <c r="E476" i="6" s="1"/>
  <c r="P478" i="9" l="1"/>
  <c r="T478" i="9"/>
  <c r="L478" i="9"/>
  <c r="H479" i="9"/>
  <c r="I479" i="9"/>
  <c r="R479" i="9" s="1"/>
  <c r="J479" i="9"/>
  <c r="U479" i="9"/>
  <c r="B479" i="9"/>
  <c r="C479" i="9"/>
  <c r="M479" i="9" s="1"/>
  <c r="D479" i="9"/>
  <c r="E479" i="9"/>
  <c r="Q479" i="9" s="1"/>
  <c r="F479" i="9"/>
  <c r="G479" i="9"/>
  <c r="N479" i="9" s="1"/>
  <c r="J476" i="6"/>
  <c r="E476" i="4"/>
  <c r="E477" i="6" s="1"/>
  <c r="F476" i="4"/>
  <c r="F477" i="6" s="1"/>
  <c r="G476" i="4"/>
  <c r="G477" i="6" s="1"/>
  <c r="H476" i="4"/>
  <c r="H477" i="6" s="1"/>
  <c r="I476" i="4"/>
  <c r="I477" i="6" s="1"/>
  <c r="B476" i="4"/>
  <c r="B477" i="6" s="1"/>
  <c r="A477" i="4"/>
  <c r="A478" i="6" s="1"/>
  <c r="A480" i="9" s="1"/>
  <c r="C476" i="4"/>
  <c r="C477" i="6" s="1"/>
  <c r="D476" i="4"/>
  <c r="D477" i="6" s="1"/>
  <c r="T479" i="9" l="1"/>
  <c r="L479" i="9"/>
  <c r="P479" i="9"/>
  <c r="G480" i="9"/>
  <c r="N480" i="9" s="1"/>
  <c r="H480" i="9"/>
  <c r="I480" i="9"/>
  <c r="R480" i="9" s="1"/>
  <c r="B480" i="9"/>
  <c r="J480" i="9"/>
  <c r="U480" i="9"/>
  <c r="C480" i="9"/>
  <c r="M480" i="9" s="1"/>
  <c r="D480" i="9"/>
  <c r="E480" i="9"/>
  <c r="Q480" i="9" s="1"/>
  <c r="F480" i="9"/>
  <c r="J477" i="6"/>
  <c r="D477" i="4"/>
  <c r="D478" i="6" s="1"/>
  <c r="E477" i="4"/>
  <c r="E478" i="6" s="1"/>
  <c r="F477" i="4"/>
  <c r="F478" i="6" s="1"/>
  <c r="G477" i="4"/>
  <c r="G478" i="6" s="1"/>
  <c r="H477" i="4"/>
  <c r="H478" i="6" s="1"/>
  <c r="I477" i="4"/>
  <c r="I478" i="6" s="1"/>
  <c r="B477" i="4"/>
  <c r="B478" i="6" s="1"/>
  <c r="A478" i="4"/>
  <c r="A479" i="6" s="1"/>
  <c r="A481" i="9" s="1"/>
  <c r="C477" i="4"/>
  <c r="C478" i="6" s="1"/>
  <c r="T480" i="9" l="1"/>
  <c r="L480" i="9"/>
  <c r="P480" i="9"/>
  <c r="E481" i="9"/>
  <c r="Q481" i="9" s="1"/>
  <c r="F481" i="9"/>
  <c r="G481" i="9"/>
  <c r="N481" i="9" s="1"/>
  <c r="H481" i="9"/>
  <c r="I481" i="9"/>
  <c r="R481" i="9" s="1"/>
  <c r="B481" i="9"/>
  <c r="J481" i="9"/>
  <c r="U481" i="9"/>
  <c r="C481" i="9"/>
  <c r="M481" i="9" s="1"/>
  <c r="D481" i="9"/>
  <c r="J478" i="6"/>
  <c r="C478" i="4"/>
  <c r="C479" i="6" s="1"/>
  <c r="D478" i="4"/>
  <c r="D479" i="6" s="1"/>
  <c r="E478" i="4"/>
  <c r="E479" i="6" s="1"/>
  <c r="F478" i="4"/>
  <c r="F479" i="6" s="1"/>
  <c r="G478" i="4"/>
  <c r="G479" i="6" s="1"/>
  <c r="H478" i="4"/>
  <c r="H479" i="6" s="1"/>
  <c r="I478" i="4"/>
  <c r="I479" i="6" s="1"/>
  <c r="B478" i="4"/>
  <c r="B479" i="6" s="1"/>
  <c r="A479" i="4"/>
  <c r="A480" i="6" s="1"/>
  <c r="A482" i="9" s="1"/>
  <c r="C482" i="9" l="1"/>
  <c r="M482" i="9" s="1"/>
  <c r="D482" i="9"/>
  <c r="E482" i="9"/>
  <c r="Q482" i="9" s="1"/>
  <c r="F482" i="9"/>
  <c r="G482" i="9"/>
  <c r="N482" i="9" s="1"/>
  <c r="H482" i="9"/>
  <c r="I482" i="9"/>
  <c r="R482" i="9" s="1"/>
  <c r="B482" i="9"/>
  <c r="J482" i="9"/>
  <c r="U482" i="9"/>
  <c r="P481" i="9"/>
  <c r="T481" i="9"/>
  <c r="L481" i="9"/>
  <c r="J479" i="6"/>
  <c r="B479" i="4"/>
  <c r="B480" i="6" s="1"/>
  <c r="A480" i="4"/>
  <c r="A481" i="6" s="1"/>
  <c r="A483" i="9" s="1"/>
  <c r="C479" i="4"/>
  <c r="C480" i="6" s="1"/>
  <c r="D479" i="4"/>
  <c r="D480" i="6" s="1"/>
  <c r="E479" i="4"/>
  <c r="E480" i="6" s="1"/>
  <c r="F479" i="4"/>
  <c r="F480" i="6" s="1"/>
  <c r="G479" i="4"/>
  <c r="G480" i="6" s="1"/>
  <c r="H479" i="4"/>
  <c r="H480" i="6" s="1"/>
  <c r="I479" i="4"/>
  <c r="I480" i="6" s="1"/>
  <c r="I483" i="9" l="1"/>
  <c r="R483" i="9" s="1"/>
  <c r="B483" i="9"/>
  <c r="J483" i="9"/>
  <c r="U483" i="9"/>
  <c r="C483" i="9"/>
  <c r="M483" i="9" s="1"/>
  <c r="D483" i="9"/>
  <c r="E483" i="9"/>
  <c r="Q483" i="9" s="1"/>
  <c r="F483" i="9"/>
  <c r="G483" i="9"/>
  <c r="N483" i="9" s="1"/>
  <c r="H483" i="9"/>
  <c r="L482" i="9"/>
  <c r="P482" i="9"/>
  <c r="T482" i="9"/>
  <c r="J480" i="6"/>
  <c r="I480" i="4"/>
  <c r="I481" i="6" s="1"/>
  <c r="B480" i="4"/>
  <c r="B481" i="6" s="1"/>
  <c r="A481" i="4"/>
  <c r="A482" i="6" s="1"/>
  <c r="A484" i="9" s="1"/>
  <c r="C480" i="4"/>
  <c r="C481" i="6" s="1"/>
  <c r="D480" i="4"/>
  <c r="D481" i="6" s="1"/>
  <c r="E480" i="4"/>
  <c r="E481" i="6" s="1"/>
  <c r="F480" i="4"/>
  <c r="F481" i="6" s="1"/>
  <c r="G480" i="4"/>
  <c r="G481" i="6" s="1"/>
  <c r="H480" i="4"/>
  <c r="H481" i="6" s="1"/>
  <c r="T483" i="9" l="1"/>
  <c r="L483" i="9"/>
  <c r="P483" i="9"/>
  <c r="G484" i="9"/>
  <c r="N484" i="9" s="1"/>
  <c r="H484" i="9"/>
  <c r="I484" i="9"/>
  <c r="R484" i="9" s="1"/>
  <c r="B484" i="9"/>
  <c r="J484" i="9"/>
  <c r="U484" i="9"/>
  <c r="C484" i="9"/>
  <c r="M484" i="9" s="1"/>
  <c r="D484" i="9"/>
  <c r="E484" i="9"/>
  <c r="Q484" i="9" s="1"/>
  <c r="F484" i="9"/>
  <c r="J481" i="6"/>
  <c r="H481" i="4"/>
  <c r="H482" i="6" s="1"/>
  <c r="I481" i="4"/>
  <c r="I482" i="6" s="1"/>
  <c r="B481" i="4"/>
  <c r="B482" i="6" s="1"/>
  <c r="A482" i="4"/>
  <c r="A483" i="6" s="1"/>
  <c r="A485" i="9" s="1"/>
  <c r="C481" i="4"/>
  <c r="C482" i="6" s="1"/>
  <c r="D481" i="4"/>
  <c r="D482" i="6" s="1"/>
  <c r="E481" i="4"/>
  <c r="E482" i="6" s="1"/>
  <c r="F481" i="4"/>
  <c r="F482" i="6" s="1"/>
  <c r="G481" i="4"/>
  <c r="G482" i="6" s="1"/>
  <c r="T484" i="9" l="1"/>
  <c r="L484" i="9"/>
  <c r="P484" i="9"/>
  <c r="E485" i="9"/>
  <c r="Q485" i="9" s="1"/>
  <c r="F485" i="9"/>
  <c r="G485" i="9"/>
  <c r="N485" i="9" s="1"/>
  <c r="H485" i="9"/>
  <c r="I485" i="9"/>
  <c r="R485" i="9" s="1"/>
  <c r="B485" i="9"/>
  <c r="J485" i="9"/>
  <c r="U485" i="9"/>
  <c r="C485" i="9"/>
  <c r="M485" i="9" s="1"/>
  <c r="D485" i="9"/>
  <c r="J482" i="6"/>
  <c r="G482" i="4"/>
  <c r="G483" i="6" s="1"/>
  <c r="H482" i="4"/>
  <c r="H483" i="6" s="1"/>
  <c r="I482" i="4"/>
  <c r="I483" i="6" s="1"/>
  <c r="B482" i="4"/>
  <c r="B483" i="6" s="1"/>
  <c r="A483" i="4"/>
  <c r="A484" i="6" s="1"/>
  <c r="A486" i="9" s="1"/>
  <c r="C482" i="4"/>
  <c r="C483" i="6" s="1"/>
  <c r="D482" i="4"/>
  <c r="D483" i="6" s="1"/>
  <c r="E482" i="4"/>
  <c r="E483" i="6" s="1"/>
  <c r="F482" i="4"/>
  <c r="F483" i="6" s="1"/>
  <c r="C486" i="9" l="1"/>
  <c r="M486" i="9" s="1"/>
  <c r="D486" i="9"/>
  <c r="E486" i="9"/>
  <c r="Q486" i="9" s="1"/>
  <c r="F486" i="9"/>
  <c r="G486" i="9"/>
  <c r="N486" i="9" s="1"/>
  <c r="H486" i="9"/>
  <c r="I486" i="9"/>
  <c r="R486" i="9" s="1"/>
  <c r="B486" i="9"/>
  <c r="J486" i="9"/>
  <c r="U486" i="9"/>
  <c r="P485" i="9"/>
  <c r="T485" i="9"/>
  <c r="L485" i="9"/>
  <c r="J483" i="6"/>
  <c r="F483" i="4"/>
  <c r="F484" i="6" s="1"/>
  <c r="G483" i="4"/>
  <c r="G484" i="6" s="1"/>
  <c r="H483" i="4"/>
  <c r="H484" i="6" s="1"/>
  <c r="I483" i="4"/>
  <c r="I484" i="6" s="1"/>
  <c r="B483" i="4"/>
  <c r="B484" i="6" s="1"/>
  <c r="A484" i="4"/>
  <c r="A485" i="6" s="1"/>
  <c r="A487" i="9" s="1"/>
  <c r="C483" i="4"/>
  <c r="C484" i="6" s="1"/>
  <c r="D483" i="4"/>
  <c r="D484" i="6" s="1"/>
  <c r="E483" i="4"/>
  <c r="E484" i="6" s="1"/>
  <c r="I487" i="9" l="1"/>
  <c r="R487" i="9" s="1"/>
  <c r="B487" i="9"/>
  <c r="J487" i="9"/>
  <c r="U487" i="9"/>
  <c r="C487" i="9"/>
  <c r="M487" i="9" s="1"/>
  <c r="D487" i="9"/>
  <c r="E487" i="9"/>
  <c r="Q487" i="9" s="1"/>
  <c r="F487" i="9"/>
  <c r="G487" i="9"/>
  <c r="N487" i="9" s="1"/>
  <c r="H487" i="9"/>
  <c r="L486" i="9"/>
  <c r="P486" i="9"/>
  <c r="T486" i="9"/>
  <c r="J484" i="6"/>
  <c r="E484" i="4"/>
  <c r="E485" i="6" s="1"/>
  <c r="F484" i="4"/>
  <c r="F485" i="6" s="1"/>
  <c r="G484" i="4"/>
  <c r="G485" i="6" s="1"/>
  <c r="H484" i="4"/>
  <c r="H485" i="6" s="1"/>
  <c r="I484" i="4"/>
  <c r="I485" i="6" s="1"/>
  <c r="B484" i="4"/>
  <c r="B485" i="6" s="1"/>
  <c r="A485" i="4"/>
  <c r="A486" i="6" s="1"/>
  <c r="A488" i="9" s="1"/>
  <c r="C484" i="4"/>
  <c r="C485" i="6" s="1"/>
  <c r="D484" i="4"/>
  <c r="D485" i="6" s="1"/>
  <c r="G488" i="9" l="1"/>
  <c r="N488" i="9" s="1"/>
  <c r="H488" i="9"/>
  <c r="I488" i="9"/>
  <c r="R488" i="9" s="1"/>
  <c r="B488" i="9"/>
  <c r="J488" i="9"/>
  <c r="U488" i="9"/>
  <c r="C488" i="9"/>
  <c r="M488" i="9" s="1"/>
  <c r="D488" i="9"/>
  <c r="E488" i="9"/>
  <c r="Q488" i="9" s="1"/>
  <c r="F488" i="9"/>
  <c r="T487" i="9"/>
  <c r="L487" i="9"/>
  <c r="P487" i="9"/>
  <c r="J485" i="6"/>
  <c r="D485" i="4"/>
  <c r="D486" i="6" s="1"/>
  <c r="E485" i="4"/>
  <c r="E486" i="6" s="1"/>
  <c r="F485" i="4"/>
  <c r="F486" i="6" s="1"/>
  <c r="G485" i="4"/>
  <c r="G486" i="6" s="1"/>
  <c r="H485" i="4"/>
  <c r="H486" i="6" s="1"/>
  <c r="I485" i="4"/>
  <c r="I486" i="6" s="1"/>
  <c r="B485" i="4"/>
  <c r="B486" i="6" s="1"/>
  <c r="A486" i="4"/>
  <c r="A487" i="6" s="1"/>
  <c r="A489" i="9" s="1"/>
  <c r="C485" i="4"/>
  <c r="C486" i="6" s="1"/>
  <c r="T488" i="9" l="1"/>
  <c r="L488" i="9"/>
  <c r="P488" i="9"/>
  <c r="E489" i="9"/>
  <c r="Q489" i="9" s="1"/>
  <c r="F489" i="9"/>
  <c r="G489" i="9"/>
  <c r="N489" i="9" s="1"/>
  <c r="H489" i="9"/>
  <c r="I489" i="9"/>
  <c r="R489" i="9" s="1"/>
  <c r="B489" i="9"/>
  <c r="J489" i="9"/>
  <c r="U489" i="9"/>
  <c r="C489" i="9"/>
  <c r="M489" i="9" s="1"/>
  <c r="D489" i="9"/>
  <c r="J486" i="6"/>
  <c r="C486" i="4"/>
  <c r="C487" i="6" s="1"/>
  <c r="D486" i="4"/>
  <c r="D487" i="6" s="1"/>
  <c r="E486" i="4"/>
  <c r="E487" i="6" s="1"/>
  <c r="F486" i="4"/>
  <c r="F487" i="6" s="1"/>
  <c r="G486" i="4"/>
  <c r="G487" i="6" s="1"/>
  <c r="H486" i="4"/>
  <c r="H487" i="6" s="1"/>
  <c r="I486" i="4"/>
  <c r="I487" i="6" s="1"/>
  <c r="B486" i="4"/>
  <c r="B487" i="6" s="1"/>
  <c r="A487" i="4"/>
  <c r="A488" i="6" s="1"/>
  <c r="A490" i="9" s="1"/>
  <c r="P489" i="9" l="1"/>
  <c r="T489" i="9"/>
  <c r="L489" i="9"/>
  <c r="C490" i="9"/>
  <c r="M490" i="9" s="1"/>
  <c r="D490" i="9"/>
  <c r="E490" i="9"/>
  <c r="Q490" i="9" s="1"/>
  <c r="F490" i="9"/>
  <c r="G490" i="9"/>
  <c r="N490" i="9" s="1"/>
  <c r="H490" i="9"/>
  <c r="I490" i="9"/>
  <c r="R490" i="9" s="1"/>
  <c r="B490" i="9"/>
  <c r="J490" i="9"/>
  <c r="U490" i="9"/>
  <c r="J487" i="6"/>
  <c r="B487" i="4"/>
  <c r="B488" i="6" s="1"/>
  <c r="A488" i="4"/>
  <c r="A489" i="6" s="1"/>
  <c r="A491" i="9" s="1"/>
  <c r="C487" i="4"/>
  <c r="C488" i="6" s="1"/>
  <c r="D487" i="4"/>
  <c r="D488" i="6" s="1"/>
  <c r="E487" i="4"/>
  <c r="E488" i="6" s="1"/>
  <c r="F487" i="4"/>
  <c r="F488" i="6" s="1"/>
  <c r="G487" i="4"/>
  <c r="G488" i="6" s="1"/>
  <c r="H487" i="4"/>
  <c r="H488" i="6" s="1"/>
  <c r="I487" i="4"/>
  <c r="I488" i="6" s="1"/>
  <c r="I491" i="9" l="1"/>
  <c r="R491" i="9" s="1"/>
  <c r="B491" i="9"/>
  <c r="J491" i="9"/>
  <c r="U491" i="9"/>
  <c r="C491" i="9"/>
  <c r="M491" i="9" s="1"/>
  <c r="D491" i="9"/>
  <c r="E491" i="9"/>
  <c r="Q491" i="9" s="1"/>
  <c r="F491" i="9"/>
  <c r="G491" i="9"/>
  <c r="N491" i="9" s="1"/>
  <c r="H491" i="9"/>
  <c r="L490" i="9"/>
  <c r="P490" i="9"/>
  <c r="T490" i="9"/>
  <c r="J488" i="6"/>
  <c r="I488" i="4"/>
  <c r="I489" i="6" s="1"/>
  <c r="B488" i="4"/>
  <c r="B489" i="6" s="1"/>
  <c r="A489" i="4"/>
  <c r="A490" i="6" s="1"/>
  <c r="A492" i="9" s="1"/>
  <c r="C488" i="4"/>
  <c r="C489" i="6" s="1"/>
  <c r="D488" i="4"/>
  <c r="D489" i="6" s="1"/>
  <c r="E488" i="4"/>
  <c r="E489" i="6" s="1"/>
  <c r="F488" i="4"/>
  <c r="F489" i="6" s="1"/>
  <c r="G488" i="4"/>
  <c r="G489" i="6" s="1"/>
  <c r="H488" i="4"/>
  <c r="H489" i="6" s="1"/>
  <c r="T491" i="9" l="1"/>
  <c r="L491" i="9"/>
  <c r="P491" i="9"/>
  <c r="G492" i="9"/>
  <c r="N492" i="9" s="1"/>
  <c r="H492" i="9"/>
  <c r="I492" i="9"/>
  <c r="R492" i="9" s="1"/>
  <c r="B492" i="9"/>
  <c r="J492" i="9"/>
  <c r="U492" i="9"/>
  <c r="C492" i="9"/>
  <c r="M492" i="9" s="1"/>
  <c r="D492" i="9"/>
  <c r="E492" i="9"/>
  <c r="Q492" i="9" s="1"/>
  <c r="F492" i="9"/>
  <c r="J489" i="6"/>
  <c r="H489" i="4"/>
  <c r="H490" i="6" s="1"/>
  <c r="I489" i="4"/>
  <c r="I490" i="6" s="1"/>
  <c r="B489" i="4"/>
  <c r="B490" i="6" s="1"/>
  <c r="A490" i="4"/>
  <c r="A491" i="6" s="1"/>
  <c r="A493" i="9" s="1"/>
  <c r="C489" i="4"/>
  <c r="C490" i="6" s="1"/>
  <c r="D489" i="4"/>
  <c r="D490" i="6" s="1"/>
  <c r="E489" i="4"/>
  <c r="E490" i="6" s="1"/>
  <c r="F489" i="4"/>
  <c r="F490" i="6" s="1"/>
  <c r="G489" i="4"/>
  <c r="G490" i="6" s="1"/>
  <c r="T492" i="9" l="1"/>
  <c r="L492" i="9"/>
  <c r="P492" i="9"/>
  <c r="E493" i="9"/>
  <c r="Q493" i="9" s="1"/>
  <c r="F493" i="9"/>
  <c r="G493" i="9"/>
  <c r="N493" i="9" s="1"/>
  <c r="H493" i="9"/>
  <c r="I493" i="9"/>
  <c r="R493" i="9" s="1"/>
  <c r="B493" i="9"/>
  <c r="J493" i="9"/>
  <c r="U493" i="9"/>
  <c r="C493" i="9"/>
  <c r="M493" i="9" s="1"/>
  <c r="D493" i="9"/>
  <c r="J490" i="6"/>
  <c r="G490" i="4"/>
  <c r="G491" i="6" s="1"/>
  <c r="H490" i="4"/>
  <c r="H491" i="6" s="1"/>
  <c r="I490" i="4"/>
  <c r="I491" i="6" s="1"/>
  <c r="B490" i="4"/>
  <c r="B491" i="6" s="1"/>
  <c r="A491" i="4"/>
  <c r="A492" i="6" s="1"/>
  <c r="A494" i="9" s="1"/>
  <c r="C490" i="4"/>
  <c r="C491" i="6" s="1"/>
  <c r="D490" i="4"/>
  <c r="D491" i="6" s="1"/>
  <c r="E490" i="4"/>
  <c r="E491" i="6" s="1"/>
  <c r="F490" i="4"/>
  <c r="F491" i="6" s="1"/>
  <c r="C494" i="9" l="1"/>
  <c r="M494" i="9" s="1"/>
  <c r="D494" i="9"/>
  <c r="E494" i="9"/>
  <c r="Q494" i="9" s="1"/>
  <c r="F494" i="9"/>
  <c r="G494" i="9"/>
  <c r="N494" i="9" s="1"/>
  <c r="H494" i="9"/>
  <c r="I494" i="9"/>
  <c r="R494" i="9" s="1"/>
  <c r="B494" i="9"/>
  <c r="J494" i="9"/>
  <c r="U494" i="9"/>
  <c r="P493" i="9"/>
  <c r="T493" i="9"/>
  <c r="L493" i="9"/>
  <c r="J491" i="6"/>
  <c r="F491" i="4"/>
  <c r="F492" i="6" s="1"/>
  <c r="G491" i="4"/>
  <c r="G492" i="6" s="1"/>
  <c r="H491" i="4"/>
  <c r="H492" i="6" s="1"/>
  <c r="I491" i="4"/>
  <c r="I492" i="6" s="1"/>
  <c r="B491" i="4"/>
  <c r="B492" i="6" s="1"/>
  <c r="A492" i="4"/>
  <c r="A493" i="6" s="1"/>
  <c r="A495" i="9" s="1"/>
  <c r="C491" i="4"/>
  <c r="C492" i="6" s="1"/>
  <c r="D491" i="4"/>
  <c r="D492" i="6" s="1"/>
  <c r="E491" i="4"/>
  <c r="E492" i="6" s="1"/>
  <c r="I495" i="9" l="1"/>
  <c r="R495" i="9" s="1"/>
  <c r="B495" i="9"/>
  <c r="J495" i="9"/>
  <c r="U495" i="9"/>
  <c r="C495" i="9"/>
  <c r="M495" i="9" s="1"/>
  <c r="D495" i="9"/>
  <c r="E495" i="9"/>
  <c r="Q495" i="9" s="1"/>
  <c r="F495" i="9"/>
  <c r="G495" i="9"/>
  <c r="N495" i="9" s="1"/>
  <c r="H495" i="9"/>
  <c r="L494" i="9"/>
  <c r="P494" i="9"/>
  <c r="T494" i="9"/>
  <c r="J492" i="6"/>
  <c r="E492" i="4"/>
  <c r="E493" i="6" s="1"/>
  <c r="F492" i="4"/>
  <c r="F493" i="6" s="1"/>
  <c r="G492" i="4"/>
  <c r="G493" i="6" s="1"/>
  <c r="H492" i="4"/>
  <c r="H493" i="6" s="1"/>
  <c r="I492" i="4"/>
  <c r="I493" i="6" s="1"/>
  <c r="B492" i="4"/>
  <c r="B493" i="6" s="1"/>
  <c r="A493" i="4"/>
  <c r="A494" i="6" s="1"/>
  <c r="A496" i="9" s="1"/>
  <c r="C492" i="4"/>
  <c r="C493" i="6" s="1"/>
  <c r="D492" i="4"/>
  <c r="D493" i="6" s="1"/>
  <c r="T495" i="9" l="1"/>
  <c r="L495" i="9"/>
  <c r="P495" i="9"/>
  <c r="G496" i="9"/>
  <c r="N496" i="9" s="1"/>
  <c r="H496" i="9"/>
  <c r="I496" i="9"/>
  <c r="R496" i="9" s="1"/>
  <c r="B496" i="9"/>
  <c r="J496" i="9"/>
  <c r="U496" i="9"/>
  <c r="C496" i="9"/>
  <c r="M496" i="9" s="1"/>
  <c r="D496" i="9"/>
  <c r="E496" i="9"/>
  <c r="Q496" i="9" s="1"/>
  <c r="F496" i="9"/>
  <c r="J493" i="6"/>
  <c r="D493" i="4"/>
  <c r="D494" i="6" s="1"/>
  <c r="E493" i="4"/>
  <c r="E494" i="6" s="1"/>
  <c r="F493" i="4"/>
  <c r="F494" i="6" s="1"/>
  <c r="G493" i="4"/>
  <c r="G494" i="6" s="1"/>
  <c r="H493" i="4"/>
  <c r="H494" i="6" s="1"/>
  <c r="I493" i="4"/>
  <c r="I494" i="6" s="1"/>
  <c r="B493" i="4"/>
  <c r="B494" i="6" s="1"/>
  <c r="A494" i="4"/>
  <c r="A495" i="6" s="1"/>
  <c r="A497" i="9" s="1"/>
  <c r="C493" i="4"/>
  <c r="C494" i="6" s="1"/>
  <c r="T496" i="9" l="1"/>
  <c r="L496" i="9"/>
  <c r="P496" i="9"/>
  <c r="E497" i="9"/>
  <c r="Q497" i="9" s="1"/>
  <c r="F497" i="9"/>
  <c r="G497" i="9"/>
  <c r="N497" i="9" s="1"/>
  <c r="H497" i="9"/>
  <c r="I497" i="9"/>
  <c r="R497" i="9" s="1"/>
  <c r="B497" i="9"/>
  <c r="J497" i="9"/>
  <c r="U497" i="9"/>
  <c r="C497" i="9"/>
  <c r="M497" i="9" s="1"/>
  <c r="D497" i="9"/>
  <c r="J494" i="6"/>
  <c r="C494" i="4"/>
  <c r="C495" i="6" s="1"/>
  <c r="D494" i="4"/>
  <c r="D495" i="6" s="1"/>
  <c r="E494" i="4"/>
  <c r="E495" i="6" s="1"/>
  <c r="F494" i="4"/>
  <c r="F495" i="6" s="1"/>
  <c r="G494" i="4"/>
  <c r="G495" i="6" s="1"/>
  <c r="H494" i="4"/>
  <c r="H495" i="6" s="1"/>
  <c r="I494" i="4"/>
  <c r="I495" i="6" s="1"/>
  <c r="A495" i="4"/>
  <c r="A496" i="6" s="1"/>
  <c r="A498" i="9" s="1"/>
  <c r="B494" i="4"/>
  <c r="B495" i="6" s="1"/>
  <c r="P497" i="9" l="1"/>
  <c r="T497" i="9"/>
  <c r="L497" i="9"/>
  <c r="C498" i="9"/>
  <c r="M498" i="9" s="1"/>
  <c r="D498" i="9"/>
  <c r="E498" i="9"/>
  <c r="Q498" i="9" s="1"/>
  <c r="F498" i="9"/>
  <c r="G498" i="9"/>
  <c r="N498" i="9" s="1"/>
  <c r="H498" i="9"/>
  <c r="I498" i="9"/>
  <c r="R498" i="9" s="1"/>
  <c r="B498" i="9"/>
  <c r="J498" i="9"/>
  <c r="U498" i="9"/>
  <c r="J495" i="6"/>
  <c r="B495" i="4"/>
  <c r="B496" i="6" s="1"/>
  <c r="A496" i="4"/>
  <c r="A497" i="6" s="1"/>
  <c r="A499" i="9" s="1"/>
  <c r="C495" i="4"/>
  <c r="C496" i="6" s="1"/>
  <c r="D495" i="4"/>
  <c r="D496" i="6" s="1"/>
  <c r="E495" i="4"/>
  <c r="E496" i="6" s="1"/>
  <c r="F495" i="4"/>
  <c r="F496" i="6" s="1"/>
  <c r="G495" i="4"/>
  <c r="G496" i="6" s="1"/>
  <c r="H495" i="4"/>
  <c r="H496" i="6" s="1"/>
  <c r="I495" i="4"/>
  <c r="I496" i="6" s="1"/>
  <c r="I499" i="9" l="1"/>
  <c r="R499" i="9" s="1"/>
  <c r="B499" i="9"/>
  <c r="J499" i="9"/>
  <c r="U499" i="9"/>
  <c r="C499" i="9"/>
  <c r="M499" i="9" s="1"/>
  <c r="D499" i="9"/>
  <c r="E499" i="9"/>
  <c r="Q499" i="9" s="1"/>
  <c r="G499" i="9"/>
  <c r="N499" i="9" s="1"/>
  <c r="F499" i="9"/>
  <c r="H499" i="9"/>
  <c r="L498" i="9"/>
  <c r="P498" i="9"/>
  <c r="T498" i="9"/>
  <c r="J496" i="6"/>
  <c r="I496" i="4"/>
  <c r="I497" i="6" s="1"/>
  <c r="B496" i="4"/>
  <c r="B497" i="6" s="1"/>
  <c r="A497" i="4"/>
  <c r="A498" i="6" s="1"/>
  <c r="A500" i="9" s="1"/>
  <c r="C496" i="4"/>
  <c r="C497" i="6" s="1"/>
  <c r="D496" i="4"/>
  <c r="D497" i="6" s="1"/>
  <c r="E496" i="4"/>
  <c r="E497" i="6" s="1"/>
  <c r="F496" i="4"/>
  <c r="F497" i="6" s="1"/>
  <c r="G496" i="4"/>
  <c r="G497" i="6" s="1"/>
  <c r="H496" i="4"/>
  <c r="H497" i="6" s="1"/>
  <c r="T499" i="9" l="1"/>
  <c r="L499" i="9"/>
  <c r="P499" i="9"/>
  <c r="G500" i="9"/>
  <c r="N500" i="9" s="1"/>
  <c r="H500" i="9"/>
  <c r="U500" i="9"/>
  <c r="I500" i="9"/>
  <c r="R500" i="9" s="1"/>
  <c r="B500" i="9"/>
  <c r="J500" i="9"/>
  <c r="C500" i="9"/>
  <c r="M500" i="9" s="1"/>
  <c r="D500" i="9"/>
  <c r="E500" i="9"/>
  <c r="Q500" i="9" s="1"/>
  <c r="F500" i="9"/>
  <c r="J497" i="6"/>
  <c r="H497" i="4"/>
  <c r="H498" i="6" s="1"/>
  <c r="I497" i="4"/>
  <c r="I498" i="6" s="1"/>
  <c r="B497" i="4"/>
  <c r="B498" i="6" s="1"/>
  <c r="A498" i="4"/>
  <c r="A499" i="6" s="1"/>
  <c r="A501" i="9" s="1"/>
  <c r="C497" i="4"/>
  <c r="C498" i="6" s="1"/>
  <c r="D497" i="4"/>
  <c r="D498" i="6" s="1"/>
  <c r="E497" i="4"/>
  <c r="E498" i="6" s="1"/>
  <c r="F497" i="4"/>
  <c r="F498" i="6" s="1"/>
  <c r="G497" i="4"/>
  <c r="G498" i="6" s="1"/>
  <c r="E501" i="9" l="1"/>
  <c r="Q501" i="9" s="1"/>
  <c r="F501" i="9"/>
  <c r="G501" i="9"/>
  <c r="N501" i="9" s="1"/>
  <c r="H501" i="9"/>
  <c r="I501" i="9"/>
  <c r="R501" i="9" s="1"/>
  <c r="C501" i="9"/>
  <c r="M501" i="9" s="1"/>
  <c r="B501" i="9"/>
  <c r="J501" i="9"/>
  <c r="U501" i="9"/>
  <c r="D501" i="9"/>
  <c r="T500" i="9"/>
  <c r="L500" i="9"/>
  <c r="P500" i="9"/>
  <c r="J498" i="6"/>
  <c r="G498" i="4"/>
  <c r="G499" i="6" s="1"/>
  <c r="H498" i="4"/>
  <c r="H499" i="6" s="1"/>
  <c r="I498" i="4"/>
  <c r="I499" i="6" s="1"/>
  <c r="B498" i="4"/>
  <c r="B499" i="6" s="1"/>
  <c r="A499" i="4"/>
  <c r="A500" i="6" s="1"/>
  <c r="A502" i="9" s="1"/>
  <c r="C498" i="4"/>
  <c r="C499" i="6" s="1"/>
  <c r="D498" i="4"/>
  <c r="D499" i="6" s="1"/>
  <c r="E498" i="4"/>
  <c r="E499" i="6" s="1"/>
  <c r="F498" i="4"/>
  <c r="F499" i="6" s="1"/>
  <c r="P501" i="9" l="1"/>
  <c r="L501" i="9"/>
  <c r="T501" i="9"/>
  <c r="C502" i="9"/>
  <c r="M502" i="9" s="1"/>
  <c r="F502" i="9"/>
  <c r="D502" i="9"/>
  <c r="E502" i="9"/>
  <c r="Q502" i="9" s="1"/>
  <c r="I502" i="9"/>
  <c r="R502" i="9" s="1"/>
  <c r="G502" i="9"/>
  <c r="N502" i="9" s="1"/>
  <c r="H502" i="9"/>
  <c r="U502" i="9"/>
  <c r="B502" i="9"/>
  <c r="J502" i="9"/>
  <c r="J499" i="6"/>
  <c r="F499" i="4"/>
  <c r="F500" i="6" s="1"/>
  <c r="G499" i="4"/>
  <c r="G500" i="6" s="1"/>
  <c r="H499" i="4"/>
  <c r="H500" i="6" s="1"/>
  <c r="I499" i="4"/>
  <c r="I500" i="6" s="1"/>
  <c r="B499" i="4"/>
  <c r="B500" i="6" s="1"/>
  <c r="A500" i="4"/>
  <c r="A501" i="6" s="1"/>
  <c r="A503" i="9" s="1"/>
  <c r="C499" i="4"/>
  <c r="C500" i="6" s="1"/>
  <c r="D499" i="4"/>
  <c r="D500" i="6" s="1"/>
  <c r="E499" i="4"/>
  <c r="E500" i="6" s="1"/>
  <c r="I503" i="9" l="1"/>
  <c r="R503" i="9" s="1"/>
  <c r="G503" i="9"/>
  <c r="N503" i="9" s="1"/>
  <c r="B503" i="9"/>
  <c r="J503" i="9"/>
  <c r="U503" i="9"/>
  <c r="D503" i="9"/>
  <c r="C503" i="9"/>
  <c r="M503" i="9" s="1"/>
  <c r="E503" i="9"/>
  <c r="Q503" i="9" s="1"/>
  <c r="F503" i="9"/>
  <c r="H503" i="9"/>
  <c r="L502" i="9"/>
  <c r="P502" i="9"/>
  <c r="T502" i="9"/>
  <c r="J500" i="6"/>
  <c r="A501" i="4"/>
  <c r="A502" i="6" s="1"/>
  <c r="A504" i="9" s="1"/>
  <c r="E500" i="4"/>
  <c r="E501" i="6" s="1"/>
  <c r="F500" i="4"/>
  <c r="F501" i="6" s="1"/>
  <c r="G500" i="4"/>
  <c r="G501" i="6" s="1"/>
  <c r="H500" i="4"/>
  <c r="H501" i="6" s="1"/>
  <c r="I500" i="4"/>
  <c r="I501" i="6" s="1"/>
  <c r="B500" i="4"/>
  <c r="B501" i="6" s="1"/>
  <c r="C500" i="4"/>
  <c r="C501" i="6" s="1"/>
  <c r="D500" i="4"/>
  <c r="D501" i="6" s="1"/>
  <c r="G504" i="9" l="1"/>
  <c r="N504" i="9" s="1"/>
  <c r="H504" i="9"/>
  <c r="U504" i="9"/>
  <c r="E504" i="9"/>
  <c r="Q504" i="9" s="1"/>
  <c r="I504" i="9"/>
  <c r="R504" i="9" s="1"/>
  <c r="B504" i="9"/>
  <c r="J504" i="9"/>
  <c r="C504" i="9"/>
  <c r="M504" i="9" s="1"/>
  <c r="D504" i="9"/>
  <c r="F504" i="9"/>
  <c r="T503" i="9"/>
  <c r="L503" i="9"/>
  <c r="P503" i="9"/>
  <c r="J501" i="6"/>
  <c r="E501" i="4"/>
  <c r="E502" i="6" s="1"/>
  <c r="F501" i="4"/>
  <c r="F502" i="6" s="1"/>
  <c r="G501" i="4"/>
  <c r="G502" i="6" s="1"/>
  <c r="H501" i="4"/>
  <c r="H502" i="6" s="1"/>
  <c r="I501" i="4"/>
  <c r="I502" i="6" s="1"/>
  <c r="B501" i="4"/>
  <c r="B502" i="6" s="1"/>
  <c r="A502" i="4"/>
  <c r="A503" i="6" s="1"/>
  <c r="A505" i="9" s="1"/>
  <c r="C501" i="4"/>
  <c r="C502" i="6" s="1"/>
  <c r="D501" i="4"/>
  <c r="D502" i="6" s="1"/>
  <c r="I505" i="9" l="1"/>
  <c r="R505" i="9" s="1"/>
  <c r="B505" i="9"/>
  <c r="J505" i="9"/>
  <c r="U505" i="9"/>
  <c r="C505" i="9"/>
  <c r="M505" i="9" s="1"/>
  <c r="D505" i="9"/>
  <c r="F505" i="9"/>
  <c r="G505" i="9"/>
  <c r="N505" i="9" s="1"/>
  <c r="E505" i="9"/>
  <c r="Q505" i="9" s="1"/>
  <c r="H505" i="9"/>
  <c r="T504" i="9"/>
  <c r="L504" i="9"/>
  <c r="P504" i="9"/>
  <c r="J502" i="6"/>
  <c r="D502" i="4"/>
  <c r="D503" i="6" s="1"/>
  <c r="E502" i="4"/>
  <c r="E503" i="6" s="1"/>
  <c r="F502" i="4"/>
  <c r="F503" i="6" s="1"/>
  <c r="G502" i="4"/>
  <c r="G503" i="6" s="1"/>
  <c r="H502" i="4"/>
  <c r="H503" i="6" s="1"/>
  <c r="I502" i="4"/>
  <c r="I503" i="6" s="1"/>
  <c r="B502" i="4"/>
  <c r="B503" i="6" s="1"/>
  <c r="A503" i="4"/>
  <c r="A504" i="6" s="1"/>
  <c r="A506" i="9" s="1"/>
  <c r="C502" i="4"/>
  <c r="C503" i="6" s="1"/>
  <c r="G506" i="9" l="1"/>
  <c r="N506" i="9" s="1"/>
  <c r="H506" i="9"/>
  <c r="I506" i="9"/>
  <c r="R506" i="9" s="1"/>
  <c r="B506" i="9"/>
  <c r="J506" i="9"/>
  <c r="U506" i="9"/>
  <c r="D506" i="9"/>
  <c r="F506" i="9"/>
  <c r="C506" i="9"/>
  <c r="M506" i="9" s="1"/>
  <c r="E506" i="9"/>
  <c r="Q506" i="9" s="1"/>
  <c r="T505" i="9"/>
  <c r="L505" i="9"/>
  <c r="P505" i="9"/>
  <c r="J503" i="6"/>
  <c r="C503" i="4"/>
  <c r="C504" i="6" s="1"/>
  <c r="D503" i="4"/>
  <c r="D504" i="6" s="1"/>
  <c r="E503" i="4"/>
  <c r="E504" i="6" s="1"/>
  <c r="F503" i="4"/>
  <c r="F504" i="6" s="1"/>
  <c r="G503" i="4"/>
  <c r="G504" i="6" s="1"/>
  <c r="H503" i="4"/>
  <c r="H504" i="6" s="1"/>
  <c r="I503" i="4"/>
  <c r="I504" i="6" s="1"/>
  <c r="B503" i="4"/>
  <c r="B504" i="6" s="1"/>
  <c r="A504" i="4"/>
  <c r="A505" i="6" s="1"/>
  <c r="A507" i="9" s="1"/>
  <c r="E507" i="9" l="1"/>
  <c r="Q507" i="9" s="1"/>
  <c r="F507" i="9"/>
  <c r="G507" i="9"/>
  <c r="N507" i="9" s="1"/>
  <c r="H507" i="9"/>
  <c r="B507" i="9"/>
  <c r="J507" i="9"/>
  <c r="U507" i="9"/>
  <c r="C507" i="9"/>
  <c r="M507" i="9" s="1"/>
  <c r="D507" i="9"/>
  <c r="I507" i="9"/>
  <c r="R507" i="9" s="1"/>
  <c r="T506" i="9"/>
  <c r="L506" i="9"/>
  <c r="P506" i="9"/>
  <c r="J504" i="6"/>
  <c r="B504" i="4"/>
  <c r="B505" i="6" s="1"/>
  <c r="A505" i="4"/>
  <c r="A506" i="6" s="1"/>
  <c r="A508" i="9" s="1"/>
  <c r="C504" i="4"/>
  <c r="C505" i="6" s="1"/>
  <c r="D504" i="4"/>
  <c r="D505" i="6" s="1"/>
  <c r="E504" i="4"/>
  <c r="E505" i="6" s="1"/>
  <c r="F504" i="4"/>
  <c r="F505" i="6" s="1"/>
  <c r="G504" i="4"/>
  <c r="G505" i="6" s="1"/>
  <c r="H504" i="4"/>
  <c r="H505" i="6" s="1"/>
  <c r="I504" i="4"/>
  <c r="I505" i="6" s="1"/>
  <c r="P507" i="9" l="1"/>
  <c r="T507" i="9"/>
  <c r="L507" i="9"/>
  <c r="C508" i="9"/>
  <c r="M508" i="9" s="1"/>
  <c r="D508" i="9"/>
  <c r="E508" i="9"/>
  <c r="Q508" i="9" s="1"/>
  <c r="F508" i="9"/>
  <c r="H508" i="9"/>
  <c r="U508" i="9"/>
  <c r="B508" i="9"/>
  <c r="G508" i="9"/>
  <c r="N508" i="9" s="1"/>
  <c r="I508" i="9"/>
  <c r="R508" i="9" s="1"/>
  <c r="J508" i="9"/>
  <c r="J505" i="6"/>
  <c r="I505" i="4"/>
  <c r="I506" i="6" s="1"/>
  <c r="B505" i="4"/>
  <c r="B506" i="6" s="1"/>
  <c r="A506" i="4"/>
  <c r="A507" i="6" s="1"/>
  <c r="A509" i="9" s="1"/>
  <c r="C505" i="4"/>
  <c r="C506" i="6" s="1"/>
  <c r="D505" i="4"/>
  <c r="D506" i="6" s="1"/>
  <c r="E505" i="4"/>
  <c r="E506" i="6" s="1"/>
  <c r="F505" i="4"/>
  <c r="F506" i="6" s="1"/>
  <c r="G505" i="4"/>
  <c r="G506" i="6" s="1"/>
  <c r="H505" i="4"/>
  <c r="H506" i="6" s="1"/>
  <c r="L508" i="9" l="1"/>
  <c r="P508" i="9"/>
  <c r="T508" i="9"/>
  <c r="I509" i="9"/>
  <c r="R509" i="9" s="1"/>
  <c r="B509" i="9"/>
  <c r="J509" i="9"/>
  <c r="U509" i="9"/>
  <c r="C509" i="9"/>
  <c r="M509" i="9" s="1"/>
  <c r="D509" i="9"/>
  <c r="F509" i="9"/>
  <c r="E509" i="9"/>
  <c r="Q509" i="9" s="1"/>
  <c r="G509" i="9"/>
  <c r="N509" i="9" s="1"/>
  <c r="H509" i="9"/>
  <c r="J506" i="6"/>
  <c r="H506" i="4"/>
  <c r="H507" i="6" s="1"/>
  <c r="I506" i="4"/>
  <c r="I507" i="6" s="1"/>
  <c r="B506" i="4"/>
  <c r="B507" i="6" s="1"/>
  <c r="A507" i="4"/>
  <c r="A508" i="6" s="1"/>
  <c r="A510" i="9" s="1"/>
  <c r="C506" i="4"/>
  <c r="C507" i="6" s="1"/>
  <c r="D506" i="4"/>
  <c r="D507" i="6" s="1"/>
  <c r="E506" i="4"/>
  <c r="E507" i="6" s="1"/>
  <c r="F506" i="4"/>
  <c r="F507" i="6" s="1"/>
  <c r="G506" i="4"/>
  <c r="G507" i="6" s="1"/>
  <c r="T509" i="9" l="1"/>
  <c r="L509" i="9"/>
  <c r="P509" i="9"/>
  <c r="G510" i="9"/>
  <c r="N510" i="9" s="1"/>
  <c r="H510" i="9"/>
  <c r="I510" i="9"/>
  <c r="R510" i="9" s="1"/>
  <c r="B510" i="9"/>
  <c r="J510" i="9"/>
  <c r="U510" i="9"/>
  <c r="D510" i="9"/>
  <c r="C510" i="9"/>
  <c r="M510" i="9" s="1"/>
  <c r="E510" i="9"/>
  <c r="Q510" i="9" s="1"/>
  <c r="F510" i="9"/>
  <c r="J507" i="6"/>
  <c r="G507" i="4"/>
  <c r="G508" i="6" s="1"/>
  <c r="H507" i="4"/>
  <c r="H508" i="6" s="1"/>
  <c r="I507" i="4"/>
  <c r="I508" i="6" s="1"/>
  <c r="B507" i="4"/>
  <c r="B508" i="6" s="1"/>
  <c r="A508" i="4"/>
  <c r="A509" i="6" s="1"/>
  <c r="A511" i="9" s="1"/>
  <c r="C507" i="4"/>
  <c r="C508" i="6" s="1"/>
  <c r="D507" i="4"/>
  <c r="D508" i="6" s="1"/>
  <c r="E507" i="4"/>
  <c r="E508" i="6" s="1"/>
  <c r="F507" i="4"/>
  <c r="F508" i="6" s="1"/>
  <c r="T510" i="9" l="1"/>
  <c r="L510" i="9"/>
  <c r="P510" i="9"/>
  <c r="E511" i="9"/>
  <c r="Q511" i="9" s="1"/>
  <c r="F511" i="9"/>
  <c r="G511" i="9"/>
  <c r="N511" i="9" s="1"/>
  <c r="H511" i="9"/>
  <c r="B511" i="9"/>
  <c r="J511" i="9"/>
  <c r="U511" i="9"/>
  <c r="D511" i="9"/>
  <c r="I511" i="9"/>
  <c r="R511" i="9" s="1"/>
  <c r="C511" i="9"/>
  <c r="M511" i="9" s="1"/>
  <c r="J508" i="6"/>
  <c r="F508" i="4"/>
  <c r="F509" i="6" s="1"/>
  <c r="G508" i="4"/>
  <c r="G509" i="6" s="1"/>
  <c r="H508" i="4"/>
  <c r="H509" i="6" s="1"/>
  <c r="I508" i="4"/>
  <c r="I509" i="6" s="1"/>
  <c r="B508" i="4"/>
  <c r="B509" i="6" s="1"/>
  <c r="A509" i="4"/>
  <c r="A510" i="6" s="1"/>
  <c r="A512" i="9" s="1"/>
  <c r="C508" i="4"/>
  <c r="C509" i="6" s="1"/>
  <c r="D508" i="4"/>
  <c r="D509" i="6" s="1"/>
  <c r="E508" i="4"/>
  <c r="E509" i="6" s="1"/>
  <c r="C512" i="9" l="1"/>
  <c r="M512" i="9" s="1"/>
  <c r="D512" i="9"/>
  <c r="E512" i="9"/>
  <c r="Q512" i="9" s="1"/>
  <c r="F512" i="9"/>
  <c r="H512" i="9"/>
  <c r="I512" i="9"/>
  <c r="R512" i="9" s="1"/>
  <c r="J512" i="9"/>
  <c r="U512" i="9"/>
  <c r="G512" i="9"/>
  <c r="N512" i="9" s="1"/>
  <c r="B512" i="9"/>
  <c r="P511" i="9"/>
  <c r="L511" i="9"/>
  <c r="T511" i="9"/>
  <c r="J509" i="6"/>
  <c r="E509" i="4"/>
  <c r="E510" i="6" s="1"/>
  <c r="F509" i="4"/>
  <c r="F510" i="6" s="1"/>
  <c r="G509" i="4"/>
  <c r="G510" i="6" s="1"/>
  <c r="H509" i="4"/>
  <c r="H510" i="6" s="1"/>
  <c r="I509" i="4"/>
  <c r="I510" i="6" s="1"/>
  <c r="B509" i="4"/>
  <c r="B510" i="6" s="1"/>
  <c r="A510" i="4"/>
  <c r="A511" i="6" s="1"/>
  <c r="A513" i="9" s="1"/>
  <c r="C509" i="4"/>
  <c r="C510" i="6" s="1"/>
  <c r="D509" i="4"/>
  <c r="D510" i="6" s="1"/>
  <c r="L512" i="9" l="1"/>
  <c r="P512" i="9"/>
  <c r="T512" i="9"/>
  <c r="I513" i="9"/>
  <c r="R513" i="9" s="1"/>
  <c r="B513" i="9"/>
  <c r="J513" i="9"/>
  <c r="U513" i="9"/>
  <c r="C513" i="9"/>
  <c r="M513" i="9" s="1"/>
  <c r="D513" i="9"/>
  <c r="F513" i="9"/>
  <c r="H513" i="9"/>
  <c r="E513" i="9"/>
  <c r="Q513" i="9" s="1"/>
  <c r="G513" i="9"/>
  <c r="N513" i="9" s="1"/>
  <c r="J510" i="6"/>
  <c r="D510" i="4"/>
  <c r="D511" i="6" s="1"/>
  <c r="E510" i="4"/>
  <c r="E511" i="6" s="1"/>
  <c r="F510" i="4"/>
  <c r="F511" i="6" s="1"/>
  <c r="G510" i="4"/>
  <c r="G511" i="6" s="1"/>
  <c r="H510" i="4"/>
  <c r="H511" i="6" s="1"/>
  <c r="I510" i="4"/>
  <c r="I511" i="6" s="1"/>
  <c r="B510" i="4"/>
  <c r="B511" i="6" s="1"/>
  <c r="A511" i="4"/>
  <c r="A512" i="6" s="1"/>
  <c r="A514" i="9" s="1"/>
  <c r="C510" i="4"/>
  <c r="C511" i="6" s="1"/>
  <c r="T513" i="9" l="1"/>
  <c r="L513" i="9"/>
  <c r="P513" i="9"/>
  <c r="G514" i="9"/>
  <c r="N514" i="9" s="1"/>
  <c r="H514" i="9"/>
  <c r="I514" i="9"/>
  <c r="R514" i="9" s="1"/>
  <c r="B514" i="9"/>
  <c r="J514" i="9"/>
  <c r="U514" i="9"/>
  <c r="D514" i="9"/>
  <c r="C514" i="9"/>
  <c r="M514" i="9" s="1"/>
  <c r="E514" i="9"/>
  <c r="Q514" i="9" s="1"/>
  <c r="F514" i="9"/>
  <c r="J511" i="6"/>
  <c r="C511" i="4"/>
  <c r="C512" i="6" s="1"/>
  <c r="D511" i="4"/>
  <c r="D512" i="6" s="1"/>
  <c r="E511" i="4"/>
  <c r="E512" i="6" s="1"/>
  <c r="F511" i="4"/>
  <c r="F512" i="6" s="1"/>
  <c r="G511" i="4"/>
  <c r="G512" i="6" s="1"/>
  <c r="H511" i="4"/>
  <c r="H512" i="6" s="1"/>
  <c r="I511" i="4"/>
  <c r="I512" i="6" s="1"/>
  <c r="B511" i="4"/>
  <c r="B512" i="6" s="1"/>
  <c r="A512" i="4"/>
  <c r="A513" i="6" s="1"/>
  <c r="A515" i="9" s="1"/>
  <c r="T514" i="9" l="1"/>
  <c r="P514" i="9"/>
  <c r="L514" i="9"/>
  <c r="E515" i="9"/>
  <c r="Q515" i="9" s="1"/>
  <c r="F515" i="9"/>
  <c r="G515" i="9"/>
  <c r="N515" i="9" s="1"/>
  <c r="H515" i="9"/>
  <c r="B515" i="9"/>
  <c r="J515" i="9"/>
  <c r="U515" i="9"/>
  <c r="C515" i="9"/>
  <c r="M515" i="9" s="1"/>
  <c r="D515" i="9"/>
  <c r="I515" i="9"/>
  <c r="R515" i="9" s="1"/>
  <c r="J512" i="6"/>
  <c r="B512" i="4"/>
  <c r="B513" i="6" s="1"/>
  <c r="A513" i="4"/>
  <c r="A514" i="6" s="1"/>
  <c r="A516" i="9" s="1"/>
  <c r="C512" i="4"/>
  <c r="C513" i="6" s="1"/>
  <c r="D512" i="4"/>
  <c r="D513" i="6" s="1"/>
  <c r="E512" i="4"/>
  <c r="E513" i="6" s="1"/>
  <c r="F512" i="4"/>
  <c r="F513" i="6" s="1"/>
  <c r="G512" i="4"/>
  <c r="G513" i="6" s="1"/>
  <c r="H512" i="4"/>
  <c r="H513" i="6" s="1"/>
  <c r="I512" i="4"/>
  <c r="I513" i="6" s="1"/>
  <c r="C516" i="9" l="1"/>
  <c r="M516" i="9" s="1"/>
  <c r="D516" i="9"/>
  <c r="E516" i="9"/>
  <c r="Q516" i="9" s="1"/>
  <c r="F516" i="9"/>
  <c r="H516" i="9"/>
  <c r="B516" i="9"/>
  <c r="G516" i="9"/>
  <c r="N516" i="9" s="1"/>
  <c r="I516" i="9"/>
  <c r="R516" i="9" s="1"/>
  <c r="J516" i="9"/>
  <c r="U516" i="9"/>
  <c r="P515" i="9"/>
  <c r="T515" i="9"/>
  <c r="L515" i="9"/>
  <c r="J513" i="6"/>
  <c r="I513" i="4"/>
  <c r="I514" i="6" s="1"/>
  <c r="B513" i="4"/>
  <c r="B514" i="6" s="1"/>
  <c r="A514" i="4"/>
  <c r="A515" i="6" s="1"/>
  <c r="A517" i="9" s="1"/>
  <c r="C513" i="4"/>
  <c r="C514" i="6" s="1"/>
  <c r="D513" i="4"/>
  <c r="D514" i="6" s="1"/>
  <c r="E513" i="4"/>
  <c r="E514" i="6" s="1"/>
  <c r="F513" i="4"/>
  <c r="F514" i="6" s="1"/>
  <c r="G513" i="4"/>
  <c r="G514" i="6" s="1"/>
  <c r="H513" i="4"/>
  <c r="H514" i="6" s="1"/>
  <c r="I517" i="9" l="1"/>
  <c r="R517" i="9" s="1"/>
  <c r="B517" i="9"/>
  <c r="J517" i="9"/>
  <c r="U517" i="9"/>
  <c r="C517" i="9"/>
  <c r="M517" i="9" s="1"/>
  <c r="D517" i="9"/>
  <c r="F517" i="9"/>
  <c r="E517" i="9"/>
  <c r="Q517" i="9" s="1"/>
  <c r="G517" i="9"/>
  <c r="N517" i="9" s="1"/>
  <c r="H517" i="9"/>
  <c r="L516" i="9"/>
  <c r="P516" i="9"/>
  <c r="T516" i="9"/>
  <c r="J514" i="6"/>
  <c r="H514" i="4"/>
  <c r="H515" i="6" s="1"/>
  <c r="I514" i="4"/>
  <c r="I515" i="6" s="1"/>
  <c r="B514" i="4"/>
  <c r="B515" i="6" s="1"/>
  <c r="A515" i="4"/>
  <c r="A516" i="6" s="1"/>
  <c r="A518" i="9" s="1"/>
  <c r="C514" i="4"/>
  <c r="C515" i="6" s="1"/>
  <c r="D514" i="4"/>
  <c r="D515" i="6" s="1"/>
  <c r="E514" i="4"/>
  <c r="E515" i="6" s="1"/>
  <c r="F514" i="4"/>
  <c r="F515" i="6" s="1"/>
  <c r="G514" i="4"/>
  <c r="G515" i="6" s="1"/>
  <c r="T517" i="9" l="1"/>
  <c r="L517" i="9"/>
  <c r="P517" i="9"/>
  <c r="G518" i="9"/>
  <c r="N518" i="9" s="1"/>
  <c r="H518" i="9"/>
  <c r="I518" i="9"/>
  <c r="R518" i="9" s="1"/>
  <c r="B518" i="9"/>
  <c r="J518" i="9"/>
  <c r="U518" i="9"/>
  <c r="D518" i="9"/>
  <c r="F518" i="9"/>
  <c r="E518" i="9"/>
  <c r="Q518" i="9" s="1"/>
  <c r="C518" i="9"/>
  <c r="M518" i="9" s="1"/>
  <c r="J515" i="6"/>
  <c r="G515" i="4"/>
  <c r="G516" i="6" s="1"/>
  <c r="H515" i="4"/>
  <c r="H516" i="6" s="1"/>
  <c r="I515" i="4"/>
  <c r="I516" i="6" s="1"/>
  <c r="B515" i="4"/>
  <c r="B516" i="6" s="1"/>
  <c r="A516" i="4"/>
  <c r="A517" i="6" s="1"/>
  <c r="A519" i="9" s="1"/>
  <c r="C515" i="4"/>
  <c r="C516" i="6" s="1"/>
  <c r="D515" i="4"/>
  <c r="D516" i="6" s="1"/>
  <c r="E515" i="4"/>
  <c r="E516" i="6" s="1"/>
  <c r="F515" i="4"/>
  <c r="F516" i="6" s="1"/>
  <c r="T518" i="9" l="1"/>
  <c r="L518" i="9"/>
  <c r="P518" i="9"/>
  <c r="E519" i="9"/>
  <c r="Q519" i="9" s="1"/>
  <c r="F519" i="9"/>
  <c r="G519" i="9"/>
  <c r="N519" i="9" s="1"/>
  <c r="H519" i="9"/>
  <c r="B519" i="9"/>
  <c r="J519" i="9"/>
  <c r="U519" i="9"/>
  <c r="I519" i="9"/>
  <c r="R519" i="9" s="1"/>
  <c r="C519" i="9"/>
  <c r="M519" i="9" s="1"/>
  <c r="D519" i="9"/>
  <c r="J516" i="6"/>
  <c r="F516" i="4"/>
  <c r="F517" i="6" s="1"/>
  <c r="G516" i="4"/>
  <c r="G517" i="6" s="1"/>
  <c r="H516" i="4"/>
  <c r="H517" i="6" s="1"/>
  <c r="I516" i="4"/>
  <c r="I517" i="6" s="1"/>
  <c r="B516" i="4"/>
  <c r="B517" i="6" s="1"/>
  <c r="A517" i="4"/>
  <c r="A518" i="6" s="1"/>
  <c r="A520" i="9" s="1"/>
  <c r="C516" i="4"/>
  <c r="C517" i="6" s="1"/>
  <c r="D516" i="4"/>
  <c r="D517" i="6" s="1"/>
  <c r="E516" i="4"/>
  <c r="E517" i="6" s="1"/>
  <c r="C520" i="9" l="1"/>
  <c r="M520" i="9" s="1"/>
  <c r="D520" i="9"/>
  <c r="E520" i="9"/>
  <c r="Q520" i="9" s="1"/>
  <c r="F520" i="9"/>
  <c r="H520" i="9"/>
  <c r="U520" i="9"/>
  <c r="B520" i="9"/>
  <c r="J520" i="9"/>
  <c r="G520" i="9"/>
  <c r="N520" i="9" s="1"/>
  <c r="I520" i="9"/>
  <c r="R520" i="9" s="1"/>
  <c r="P519" i="9"/>
  <c r="L519" i="9"/>
  <c r="T519" i="9"/>
  <c r="J517" i="6"/>
  <c r="E517" i="4"/>
  <c r="E518" i="6" s="1"/>
  <c r="F517" i="4"/>
  <c r="F518" i="6" s="1"/>
  <c r="G517" i="4"/>
  <c r="G518" i="6" s="1"/>
  <c r="H517" i="4"/>
  <c r="H518" i="6" s="1"/>
  <c r="I517" i="4"/>
  <c r="I518" i="6" s="1"/>
  <c r="B517" i="4"/>
  <c r="B518" i="6" s="1"/>
  <c r="A518" i="4"/>
  <c r="A519" i="6" s="1"/>
  <c r="A521" i="9" s="1"/>
  <c r="C517" i="4"/>
  <c r="C518" i="6" s="1"/>
  <c r="D517" i="4"/>
  <c r="D518" i="6" s="1"/>
  <c r="L520" i="9" l="1"/>
  <c r="P520" i="9"/>
  <c r="T520" i="9"/>
  <c r="I521" i="9"/>
  <c r="R521" i="9" s="1"/>
  <c r="B521" i="9"/>
  <c r="J521" i="9"/>
  <c r="U521" i="9"/>
  <c r="C521" i="9"/>
  <c r="M521" i="9" s="1"/>
  <c r="D521" i="9"/>
  <c r="F521" i="9"/>
  <c r="E521" i="9"/>
  <c r="Q521" i="9" s="1"/>
  <c r="G521" i="9"/>
  <c r="N521" i="9" s="1"/>
  <c r="H521" i="9"/>
  <c r="J518" i="6"/>
  <c r="D518" i="4"/>
  <c r="D519" i="6" s="1"/>
  <c r="E518" i="4"/>
  <c r="E519" i="6" s="1"/>
  <c r="F518" i="4"/>
  <c r="F519" i="6" s="1"/>
  <c r="G518" i="4"/>
  <c r="G519" i="6" s="1"/>
  <c r="H518" i="4"/>
  <c r="H519" i="6" s="1"/>
  <c r="I518" i="4"/>
  <c r="I519" i="6" s="1"/>
  <c r="B518" i="4"/>
  <c r="B519" i="6" s="1"/>
  <c r="A519" i="4"/>
  <c r="A520" i="6" s="1"/>
  <c r="A522" i="9" s="1"/>
  <c r="C518" i="4"/>
  <c r="C519" i="6" s="1"/>
  <c r="T521" i="9" l="1"/>
  <c r="L521" i="9"/>
  <c r="P521" i="9"/>
  <c r="G522" i="9"/>
  <c r="N522" i="9" s="1"/>
  <c r="H522" i="9"/>
  <c r="I522" i="9"/>
  <c r="R522" i="9" s="1"/>
  <c r="B522" i="9"/>
  <c r="J522" i="9"/>
  <c r="U522" i="9"/>
  <c r="D522" i="9"/>
  <c r="C522" i="9"/>
  <c r="M522" i="9" s="1"/>
  <c r="E522" i="9"/>
  <c r="Q522" i="9" s="1"/>
  <c r="F522" i="9"/>
  <c r="J519" i="6"/>
  <c r="C519" i="4"/>
  <c r="C520" i="6" s="1"/>
  <c r="D519" i="4"/>
  <c r="D520" i="6" s="1"/>
  <c r="E519" i="4"/>
  <c r="E520" i="6" s="1"/>
  <c r="F519" i="4"/>
  <c r="F520" i="6" s="1"/>
  <c r="G519" i="4"/>
  <c r="G520" i="6" s="1"/>
  <c r="H519" i="4"/>
  <c r="H520" i="6" s="1"/>
  <c r="I519" i="4"/>
  <c r="I520" i="6" s="1"/>
  <c r="B519" i="4"/>
  <c r="B520" i="6" s="1"/>
  <c r="A520" i="4"/>
  <c r="A521" i="6" s="1"/>
  <c r="A523" i="9" s="1"/>
  <c r="E523" i="9" l="1"/>
  <c r="Q523" i="9" s="1"/>
  <c r="F523" i="9"/>
  <c r="G523" i="9"/>
  <c r="N523" i="9" s="1"/>
  <c r="H523" i="9"/>
  <c r="B523" i="9"/>
  <c r="J523" i="9"/>
  <c r="U523" i="9"/>
  <c r="C523" i="9"/>
  <c r="M523" i="9" s="1"/>
  <c r="D523" i="9"/>
  <c r="I523" i="9"/>
  <c r="R523" i="9" s="1"/>
  <c r="T522" i="9"/>
  <c r="L522" i="9"/>
  <c r="P522" i="9"/>
  <c r="J520" i="6"/>
  <c r="B520" i="4"/>
  <c r="B521" i="6" s="1"/>
  <c r="A521" i="4"/>
  <c r="A522" i="6" s="1"/>
  <c r="A524" i="9" s="1"/>
  <c r="C520" i="4"/>
  <c r="C521" i="6" s="1"/>
  <c r="D520" i="4"/>
  <c r="D521" i="6" s="1"/>
  <c r="E520" i="4"/>
  <c r="E521" i="6" s="1"/>
  <c r="F520" i="4"/>
  <c r="F521" i="6" s="1"/>
  <c r="G520" i="4"/>
  <c r="G521" i="6" s="1"/>
  <c r="H520" i="4"/>
  <c r="H521" i="6" s="1"/>
  <c r="I520" i="4"/>
  <c r="I521" i="6" s="1"/>
  <c r="C524" i="9" l="1"/>
  <c r="M524" i="9" s="1"/>
  <c r="D524" i="9"/>
  <c r="E524" i="9"/>
  <c r="Q524" i="9" s="1"/>
  <c r="F524" i="9"/>
  <c r="H524" i="9"/>
  <c r="G524" i="9"/>
  <c r="N524" i="9" s="1"/>
  <c r="I524" i="9"/>
  <c r="R524" i="9" s="1"/>
  <c r="J524" i="9"/>
  <c r="B524" i="9"/>
  <c r="U524" i="9"/>
  <c r="P523" i="9"/>
  <c r="L523" i="9"/>
  <c r="T523" i="9"/>
  <c r="J521" i="6"/>
  <c r="I521" i="4"/>
  <c r="I522" i="6" s="1"/>
  <c r="B521" i="4"/>
  <c r="B522" i="6" s="1"/>
  <c r="A522" i="4"/>
  <c r="A523" i="6" s="1"/>
  <c r="A525" i="9" s="1"/>
  <c r="C521" i="4"/>
  <c r="C522" i="6" s="1"/>
  <c r="D521" i="4"/>
  <c r="D522" i="6" s="1"/>
  <c r="E521" i="4"/>
  <c r="E522" i="6" s="1"/>
  <c r="F521" i="4"/>
  <c r="F522" i="6" s="1"/>
  <c r="G521" i="4"/>
  <c r="G522" i="6" s="1"/>
  <c r="H521" i="4"/>
  <c r="H522" i="6" s="1"/>
  <c r="L524" i="9" l="1"/>
  <c r="P524" i="9"/>
  <c r="T524" i="9"/>
  <c r="I525" i="9"/>
  <c r="R525" i="9" s="1"/>
  <c r="B525" i="9"/>
  <c r="J525" i="9"/>
  <c r="U525" i="9"/>
  <c r="C525" i="9"/>
  <c r="M525" i="9" s="1"/>
  <c r="D525" i="9"/>
  <c r="F525" i="9"/>
  <c r="H525" i="9"/>
  <c r="G525" i="9"/>
  <c r="N525" i="9" s="1"/>
  <c r="E525" i="9"/>
  <c r="Q525" i="9" s="1"/>
  <c r="J522" i="6"/>
  <c r="H522" i="4"/>
  <c r="H523" i="6" s="1"/>
  <c r="I522" i="4"/>
  <c r="I523" i="6" s="1"/>
  <c r="B522" i="4"/>
  <c r="B523" i="6" s="1"/>
  <c r="A523" i="4"/>
  <c r="A524" i="6" s="1"/>
  <c r="A526" i="9" s="1"/>
  <c r="C522" i="4"/>
  <c r="C523" i="6" s="1"/>
  <c r="D522" i="4"/>
  <c r="D523" i="6" s="1"/>
  <c r="E522" i="4"/>
  <c r="E523" i="6" s="1"/>
  <c r="F522" i="4"/>
  <c r="F523" i="6" s="1"/>
  <c r="G522" i="4"/>
  <c r="G523" i="6" s="1"/>
  <c r="T525" i="9" l="1"/>
  <c r="L525" i="9"/>
  <c r="P525" i="9"/>
  <c r="G526" i="9"/>
  <c r="N526" i="9" s="1"/>
  <c r="H526" i="9"/>
  <c r="I526" i="9"/>
  <c r="R526" i="9" s="1"/>
  <c r="B526" i="9"/>
  <c r="J526" i="9"/>
  <c r="U526" i="9"/>
  <c r="D526" i="9"/>
  <c r="C526" i="9"/>
  <c r="M526" i="9" s="1"/>
  <c r="E526" i="9"/>
  <c r="Q526" i="9" s="1"/>
  <c r="F526" i="9"/>
  <c r="J523" i="6"/>
  <c r="G523" i="4"/>
  <c r="G524" i="6" s="1"/>
  <c r="H523" i="4"/>
  <c r="H524" i="6" s="1"/>
  <c r="I523" i="4"/>
  <c r="I524" i="6" s="1"/>
  <c r="B523" i="4"/>
  <c r="B524" i="6" s="1"/>
  <c r="A524" i="4"/>
  <c r="A525" i="6" s="1"/>
  <c r="A527" i="9" s="1"/>
  <c r="C523" i="4"/>
  <c r="C524" i="6" s="1"/>
  <c r="D523" i="4"/>
  <c r="D524" i="6" s="1"/>
  <c r="E523" i="4"/>
  <c r="E524" i="6" s="1"/>
  <c r="F523" i="4"/>
  <c r="F524" i="6" s="1"/>
  <c r="T526" i="9" l="1"/>
  <c r="P526" i="9"/>
  <c r="L526" i="9"/>
  <c r="E527" i="9"/>
  <c r="Q527" i="9" s="1"/>
  <c r="F527" i="9"/>
  <c r="G527" i="9"/>
  <c r="N527" i="9" s="1"/>
  <c r="H527" i="9"/>
  <c r="B527" i="9"/>
  <c r="J527" i="9"/>
  <c r="U527" i="9"/>
  <c r="C527" i="9"/>
  <c r="M527" i="9" s="1"/>
  <c r="D527" i="9"/>
  <c r="I527" i="9"/>
  <c r="R527" i="9" s="1"/>
  <c r="J524" i="6"/>
  <c r="F524" i="4"/>
  <c r="F525" i="6" s="1"/>
  <c r="G524" i="4"/>
  <c r="G525" i="6" s="1"/>
  <c r="H524" i="4"/>
  <c r="H525" i="6" s="1"/>
  <c r="I524" i="4"/>
  <c r="I525" i="6" s="1"/>
  <c r="B524" i="4"/>
  <c r="B525" i="6" s="1"/>
  <c r="A525" i="4"/>
  <c r="A526" i="6" s="1"/>
  <c r="A528" i="9" s="1"/>
  <c r="C524" i="4"/>
  <c r="C525" i="6" s="1"/>
  <c r="D524" i="4"/>
  <c r="D525" i="6" s="1"/>
  <c r="E524" i="4"/>
  <c r="E525" i="6" s="1"/>
  <c r="C528" i="9" l="1"/>
  <c r="M528" i="9" s="1"/>
  <c r="D528" i="9"/>
  <c r="E528" i="9"/>
  <c r="Q528" i="9" s="1"/>
  <c r="F528" i="9"/>
  <c r="H528" i="9"/>
  <c r="U528" i="9"/>
  <c r="B528" i="9"/>
  <c r="G528" i="9"/>
  <c r="N528" i="9" s="1"/>
  <c r="I528" i="9"/>
  <c r="R528" i="9" s="1"/>
  <c r="J528" i="9"/>
  <c r="P527" i="9"/>
  <c r="T527" i="9"/>
  <c r="L527" i="9"/>
  <c r="J525" i="6"/>
  <c r="E525" i="4"/>
  <c r="E526" i="6" s="1"/>
  <c r="F525" i="4"/>
  <c r="F526" i="6" s="1"/>
  <c r="G525" i="4"/>
  <c r="G526" i="6" s="1"/>
  <c r="H525" i="4"/>
  <c r="H526" i="6" s="1"/>
  <c r="I525" i="4"/>
  <c r="I526" i="6" s="1"/>
  <c r="B525" i="4"/>
  <c r="B526" i="6" s="1"/>
  <c r="A526" i="4"/>
  <c r="A527" i="6" s="1"/>
  <c r="A529" i="9" s="1"/>
  <c r="C525" i="4"/>
  <c r="C526" i="6" s="1"/>
  <c r="D525" i="4"/>
  <c r="D526" i="6" s="1"/>
  <c r="I529" i="9" l="1"/>
  <c r="R529" i="9" s="1"/>
  <c r="B529" i="9"/>
  <c r="J529" i="9"/>
  <c r="U529" i="9"/>
  <c r="C529" i="9"/>
  <c r="M529" i="9" s="1"/>
  <c r="D529" i="9"/>
  <c r="F529" i="9"/>
  <c r="E529" i="9"/>
  <c r="Q529" i="9" s="1"/>
  <c r="G529" i="9"/>
  <c r="N529" i="9" s="1"/>
  <c r="H529" i="9"/>
  <c r="L528" i="9"/>
  <c r="P528" i="9"/>
  <c r="T528" i="9"/>
  <c r="J526" i="6"/>
  <c r="D526" i="4"/>
  <c r="D527" i="6" s="1"/>
  <c r="E526" i="4"/>
  <c r="E527" i="6" s="1"/>
  <c r="F526" i="4"/>
  <c r="F527" i="6" s="1"/>
  <c r="G526" i="4"/>
  <c r="G527" i="6" s="1"/>
  <c r="H526" i="4"/>
  <c r="H527" i="6" s="1"/>
  <c r="I526" i="4"/>
  <c r="I527" i="6" s="1"/>
  <c r="B526" i="4"/>
  <c r="B527" i="6" s="1"/>
  <c r="A527" i="4"/>
  <c r="A528" i="6" s="1"/>
  <c r="A530" i="9" s="1"/>
  <c r="C526" i="4"/>
  <c r="C527" i="6" s="1"/>
  <c r="T529" i="9" l="1"/>
  <c r="L529" i="9"/>
  <c r="P529" i="9"/>
  <c r="G530" i="9"/>
  <c r="N530" i="9" s="1"/>
  <c r="H530" i="9"/>
  <c r="I530" i="9"/>
  <c r="R530" i="9" s="1"/>
  <c r="B530" i="9"/>
  <c r="J530" i="9"/>
  <c r="U530" i="9"/>
  <c r="D530" i="9"/>
  <c r="E530" i="9"/>
  <c r="Q530" i="9" s="1"/>
  <c r="F530" i="9"/>
  <c r="C530" i="9"/>
  <c r="M530" i="9" s="1"/>
  <c r="J527" i="6"/>
  <c r="C527" i="4"/>
  <c r="C528" i="6" s="1"/>
  <c r="D527" i="4"/>
  <c r="D528" i="6" s="1"/>
  <c r="E527" i="4"/>
  <c r="E528" i="6" s="1"/>
  <c r="F527" i="4"/>
  <c r="F528" i="6" s="1"/>
  <c r="G527" i="4"/>
  <c r="G528" i="6" s="1"/>
  <c r="H527" i="4"/>
  <c r="H528" i="6" s="1"/>
  <c r="I527" i="4"/>
  <c r="I528" i="6" s="1"/>
  <c r="B527" i="4"/>
  <c r="B528" i="6" s="1"/>
  <c r="A528" i="4"/>
  <c r="A529" i="6" s="1"/>
  <c r="A531" i="9" s="1"/>
  <c r="T530" i="9" l="1"/>
  <c r="L530" i="9"/>
  <c r="P530" i="9"/>
  <c r="E531" i="9"/>
  <c r="Q531" i="9" s="1"/>
  <c r="F531" i="9"/>
  <c r="G531" i="9"/>
  <c r="N531" i="9" s="1"/>
  <c r="H531" i="9"/>
  <c r="B531" i="9"/>
  <c r="J531" i="9"/>
  <c r="U531" i="9"/>
  <c r="I531" i="9"/>
  <c r="R531" i="9" s="1"/>
  <c r="D531" i="9"/>
  <c r="C531" i="9"/>
  <c r="M531" i="9" s="1"/>
  <c r="J528" i="6"/>
  <c r="B528" i="4"/>
  <c r="B529" i="6" s="1"/>
  <c r="A529" i="4"/>
  <c r="A530" i="6" s="1"/>
  <c r="A532" i="9" s="1"/>
  <c r="C528" i="4"/>
  <c r="C529" i="6" s="1"/>
  <c r="D528" i="4"/>
  <c r="D529" i="6" s="1"/>
  <c r="E528" i="4"/>
  <c r="E529" i="6" s="1"/>
  <c r="F528" i="4"/>
  <c r="F529" i="6" s="1"/>
  <c r="G528" i="4"/>
  <c r="G529" i="6" s="1"/>
  <c r="H528" i="4"/>
  <c r="H529" i="6" s="1"/>
  <c r="I528" i="4"/>
  <c r="I529" i="6" s="1"/>
  <c r="C532" i="9" l="1"/>
  <c r="M532" i="9" s="1"/>
  <c r="D532" i="9"/>
  <c r="E532" i="9"/>
  <c r="Q532" i="9" s="1"/>
  <c r="F532" i="9"/>
  <c r="H532" i="9"/>
  <c r="J532" i="9"/>
  <c r="U532" i="9"/>
  <c r="I532" i="9"/>
  <c r="R532" i="9" s="1"/>
  <c r="B532" i="9"/>
  <c r="G532" i="9"/>
  <c r="N532" i="9" s="1"/>
  <c r="P531" i="9"/>
  <c r="L531" i="9"/>
  <c r="T531" i="9"/>
  <c r="J529" i="6"/>
  <c r="I529" i="4"/>
  <c r="I530" i="6" s="1"/>
  <c r="B529" i="4"/>
  <c r="B530" i="6" s="1"/>
  <c r="A530" i="4"/>
  <c r="A531" i="6" s="1"/>
  <c r="A533" i="9" s="1"/>
  <c r="C529" i="4"/>
  <c r="C530" i="6" s="1"/>
  <c r="D529" i="4"/>
  <c r="D530" i="6" s="1"/>
  <c r="E529" i="4"/>
  <c r="E530" i="6" s="1"/>
  <c r="F529" i="4"/>
  <c r="F530" i="6" s="1"/>
  <c r="G529" i="4"/>
  <c r="G530" i="6" s="1"/>
  <c r="H529" i="4"/>
  <c r="H530" i="6" s="1"/>
  <c r="L532" i="9" l="1"/>
  <c r="P532" i="9"/>
  <c r="T532" i="9"/>
  <c r="I533" i="9"/>
  <c r="R533" i="9" s="1"/>
  <c r="B533" i="9"/>
  <c r="J533" i="9"/>
  <c r="U533" i="9"/>
  <c r="C533" i="9"/>
  <c r="M533" i="9" s="1"/>
  <c r="D533" i="9"/>
  <c r="F533" i="9"/>
  <c r="E533" i="9"/>
  <c r="Q533" i="9" s="1"/>
  <c r="H533" i="9"/>
  <c r="G533" i="9"/>
  <c r="N533" i="9" s="1"/>
  <c r="J530" i="6"/>
  <c r="H530" i="4"/>
  <c r="H531" i="6" s="1"/>
  <c r="I530" i="4"/>
  <c r="I531" i="6" s="1"/>
  <c r="B530" i="4"/>
  <c r="B531" i="6" s="1"/>
  <c r="A531" i="4"/>
  <c r="A532" i="6" s="1"/>
  <c r="A534" i="9" s="1"/>
  <c r="C530" i="4"/>
  <c r="C531" i="6" s="1"/>
  <c r="D530" i="4"/>
  <c r="D531" i="6" s="1"/>
  <c r="E530" i="4"/>
  <c r="E531" i="6" s="1"/>
  <c r="F530" i="4"/>
  <c r="F531" i="6" s="1"/>
  <c r="G530" i="4"/>
  <c r="G531" i="6" s="1"/>
  <c r="T533" i="9" l="1"/>
  <c r="L533" i="9"/>
  <c r="P533" i="9"/>
  <c r="G534" i="9"/>
  <c r="N534" i="9" s="1"/>
  <c r="H534" i="9"/>
  <c r="I534" i="9"/>
  <c r="R534" i="9" s="1"/>
  <c r="B534" i="9"/>
  <c r="J534" i="9"/>
  <c r="U534" i="9"/>
  <c r="D534" i="9"/>
  <c r="C534" i="9"/>
  <c r="M534" i="9" s="1"/>
  <c r="E534" i="9"/>
  <c r="Q534" i="9" s="1"/>
  <c r="F534" i="9"/>
  <c r="J531" i="6"/>
  <c r="G531" i="4"/>
  <c r="G532" i="6" s="1"/>
  <c r="H531" i="4"/>
  <c r="H532" i="6" s="1"/>
  <c r="I531" i="4"/>
  <c r="I532" i="6" s="1"/>
  <c r="B531" i="4"/>
  <c r="B532" i="6" s="1"/>
  <c r="A532" i="4"/>
  <c r="A533" i="6" s="1"/>
  <c r="A535" i="9" s="1"/>
  <c r="C531" i="4"/>
  <c r="C532" i="6" s="1"/>
  <c r="D531" i="4"/>
  <c r="D532" i="6" s="1"/>
  <c r="E531" i="4"/>
  <c r="E532" i="6" s="1"/>
  <c r="F531" i="4"/>
  <c r="F532" i="6" s="1"/>
  <c r="T534" i="9" l="1"/>
  <c r="L534" i="9"/>
  <c r="P534" i="9"/>
  <c r="E535" i="9"/>
  <c r="Q535" i="9" s="1"/>
  <c r="F535" i="9"/>
  <c r="G535" i="9"/>
  <c r="N535" i="9" s="1"/>
  <c r="H535" i="9"/>
  <c r="B535" i="9"/>
  <c r="J535" i="9"/>
  <c r="U535" i="9"/>
  <c r="C535" i="9"/>
  <c r="M535" i="9" s="1"/>
  <c r="D535" i="9"/>
  <c r="I535" i="9"/>
  <c r="R535" i="9" s="1"/>
  <c r="J532" i="6"/>
  <c r="F532" i="4"/>
  <c r="F533" i="6" s="1"/>
  <c r="G532" i="4"/>
  <c r="G533" i="6" s="1"/>
  <c r="H532" i="4"/>
  <c r="H533" i="6" s="1"/>
  <c r="I532" i="4"/>
  <c r="I533" i="6" s="1"/>
  <c r="B532" i="4"/>
  <c r="B533" i="6" s="1"/>
  <c r="A533" i="4"/>
  <c r="A534" i="6" s="1"/>
  <c r="A536" i="9" s="1"/>
  <c r="C532" i="4"/>
  <c r="C533" i="6" s="1"/>
  <c r="D532" i="4"/>
  <c r="D533" i="6" s="1"/>
  <c r="E532" i="4"/>
  <c r="E533" i="6" s="1"/>
  <c r="D536" i="9" l="1"/>
  <c r="E536" i="9"/>
  <c r="Q536" i="9" s="1"/>
  <c r="F536" i="9"/>
  <c r="H536" i="9"/>
  <c r="B536" i="9"/>
  <c r="C536" i="9"/>
  <c r="M536" i="9" s="1"/>
  <c r="U536" i="9"/>
  <c r="G536" i="9"/>
  <c r="N536" i="9" s="1"/>
  <c r="I536" i="9"/>
  <c r="R536" i="9" s="1"/>
  <c r="J536" i="9"/>
  <c r="P535" i="9"/>
  <c r="L535" i="9"/>
  <c r="T535" i="9"/>
  <c r="J533" i="6"/>
  <c r="A534" i="4"/>
  <c r="A535" i="6" s="1"/>
  <c r="A537" i="9" s="1"/>
  <c r="E533" i="4"/>
  <c r="E534" i="6" s="1"/>
  <c r="F533" i="4"/>
  <c r="F534" i="6" s="1"/>
  <c r="G533" i="4"/>
  <c r="G534" i="6" s="1"/>
  <c r="H533" i="4"/>
  <c r="H534" i="6" s="1"/>
  <c r="I533" i="4"/>
  <c r="I534" i="6" s="1"/>
  <c r="B533" i="4"/>
  <c r="B534" i="6" s="1"/>
  <c r="C533" i="4"/>
  <c r="C534" i="6" s="1"/>
  <c r="D533" i="4"/>
  <c r="D534" i="6" s="1"/>
  <c r="T536" i="9" l="1"/>
  <c r="L536" i="9"/>
  <c r="P536" i="9"/>
  <c r="B537" i="9"/>
  <c r="J537" i="9"/>
  <c r="U537" i="9"/>
  <c r="F537" i="9"/>
  <c r="H537" i="9"/>
  <c r="I537" i="9"/>
  <c r="R537" i="9" s="1"/>
  <c r="C537" i="9"/>
  <c r="M537" i="9" s="1"/>
  <c r="D537" i="9"/>
  <c r="E537" i="9"/>
  <c r="Q537" i="9" s="1"/>
  <c r="G537" i="9"/>
  <c r="N537" i="9" s="1"/>
  <c r="J534" i="6"/>
  <c r="G534" i="4"/>
  <c r="G535" i="6" s="1"/>
  <c r="I534" i="4"/>
  <c r="I535" i="6" s="1"/>
  <c r="B534" i="4"/>
  <c r="B535" i="6" s="1"/>
  <c r="A535" i="4"/>
  <c r="A536" i="6" s="1"/>
  <c r="A538" i="9" s="1"/>
  <c r="C534" i="4"/>
  <c r="C535" i="6" s="1"/>
  <c r="F534" i="4"/>
  <c r="F535" i="6" s="1"/>
  <c r="D534" i="4"/>
  <c r="D535" i="6" s="1"/>
  <c r="E534" i="4"/>
  <c r="E535" i="6" s="1"/>
  <c r="H534" i="4"/>
  <c r="H535" i="6" s="1"/>
  <c r="P537" i="9" l="1"/>
  <c r="L537" i="9"/>
  <c r="T537" i="9"/>
  <c r="H538" i="9"/>
  <c r="D538" i="9"/>
  <c r="B538" i="9"/>
  <c r="C538" i="9"/>
  <c r="M538" i="9" s="1"/>
  <c r="E538" i="9"/>
  <c r="Q538" i="9" s="1"/>
  <c r="F538" i="9"/>
  <c r="G538" i="9"/>
  <c r="N538" i="9" s="1"/>
  <c r="I538" i="9"/>
  <c r="R538" i="9" s="1"/>
  <c r="J538" i="9"/>
  <c r="U538" i="9"/>
  <c r="J535" i="6"/>
  <c r="F535" i="4"/>
  <c r="F536" i="6" s="1"/>
  <c r="H535" i="4"/>
  <c r="H536" i="6" s="1"/>
  <c r="I535" i="4"/>
  <c r="I536" i="6" s="1"/>
  <c r="B535" i="4"/>
  <c r="B536" i="6" s="1"/>
  <c r="A536" i="4"/>
  <c r="A537" i="6" s="1"/>
  <c r="A539" i="9" s="1"/>
  <c r="E535" i="4"/>
  <c r="E536" i="6" s="1"/>
  <c r="D535" i="4"/>
  <c r="D536" i="6" s="1"/>
  <c r="G535" i="4"/>
  <c r="G536" i="6" s="1"/>
  <c r="C535" i="4"/>
  <c r="C536" i="6" s="1"/>
  <c r="L538" i="9" l="1"/>
  <c r="P538" i="9"/>
  <c r="T538" i="9"/>
  <c r="F539" i="9"/>
  <c r="B539" i="9"/>
  <c r="J539" i="9"/>
  <c r="U539" i="9"/>
  <c r="D539" i="9"/>
  <c r="E539" i="9"/>
  <c r="Q539" i="9" s="1"/>
  <c r="G539" i="9"/>
  <c r="N539" i="9" s="1"/>
  <c r="H539" i="9"/>
  <c r="I539" i="9"/>
  <c r="R539" i="9" s="1"/>
  <c r="C539" i="9"/>
  <c r="M539" i="9" s="1"/>
  <c r="J536" i="6"/>
  <c r="E536" i="4"/>
  <c r="E537" i="6" s="1"/>
  <c r="G536" i="4"/>
  <c r="G537" i="6" s="1"/>
  <c r="H536" i="4"/>
  <c r="H537" i="6" s="1"/>
  <c r="I536" i="4"/>
  <c r="I537" i="6" s="1"/>
  <c r="D536" i="4"/>
  <c r="D537" i="6" s="1"/>
  <c r="B536" i="4"/>
  <c r="B537" i="6" s="1"/>
  <c r="C536" i="4"/>
  <c r="C537" i="6" s="1"/>
  <c r="F536" i="4"/>
  <c r="F537" i="6" s="1"/>
  <c r="A537" i="4"/>
  <c r="A538" i="6" s="1"/>
  <c r="A540" i="9" s="1"/>
  <c r="P539" i="9" l="1"/>
  <c r="T539" i="9"/>
  <c r="L539" i="9"/>
  <c r="D540" i="9"/>
  <c r="H540" i="9"/>
  <c r="G540" i="9"/>
  <c r="N540" i="9" s="1"/>
  <c r="U540" i="9"/>
  <c r="I540" i="9"/>
  <c r="R540" i="9" s="1"/>
  <c r="J540" i="9"/>
  <c r="B540" i="9"/>
  <c r="C540" i="9"/>
  <c r="M540" i="9" s="1"/>
  <c r="E540" i="9"/>
  <c r="Q540" i="9" s="1"/>
  <c r="F540" i="9"/>
  <c r="J537" i="6"/>
  <c r="D537" i="4"/>
  <c r="D538" i="6" s="1"/>
  <c r="F537" i="4"/>
  <c r="F538" i="6" s="1"/>
  <c r="G537" i="4"/>
  <c r="G538" i="6" s="1"/>
  <c r="H537" i="4"/>
  <c r="H538" i="6" s="1"/>
  <c r="C537" i="4"/>
  <c r="C538" i="6" s="1"/>
  <c r="I537" i="4"/>
  <c r="I538" i="6" s="1"/>
  <c r="A538" i="4"/>
  <c r="A539" i="6" s="1"/>
  <c r="A541" i="9" s="1"/>
  <c r="B537" i="4"/>
  <c r="B538" i="6" s="1"/>
  <c r="E537" i="4"/>
  <c r="E538" i="6" s="1"/>
  <c r="B541" i="9" l="1"/>
  <c r="J541" i="9"/>
  <c r="U541" i="9"/>
  <c r="F541" i="9"/>
  <c r="C541" i="9"/>
  <c r="M541" i="9" s="1"/>
  <c r="D541" i="9"/>
  <c r="E541" i="9"/>
  <c r="Q541" i="9" s="1"/>
  <c r="H541" i="9"/>
  <c r="G541" i="9"/>
  <c r="N541" i="9" s="1"/>
  <c r="I541" i="9"/>
  <c r="R541" i="9" s="1"/>
  <c r="L540" i="9"/>
  <c r="P540" i="9"/>
  <c r="T540" i="9"/>
  <c r="J538" i="6"/>
  <c r="C538" i="4"/>
  <c r="C539" i="6" s="1"/>
  <c r="E538" i="4"/>
  <c r="E539" i="6" s="1"/>
  <c r="F538" i="4"/>
  <c r="F539" i="6" s="1"/>
  <c r="G538" i="4"/>
  <c r="G539" i="6" s="1"/>
  <c r="B538" i="4"/>
  <c r="B539" i="6" s="1"/>
  <c r="D538" i="4"/>
  <c r="D539" i="6" s="1"/>
  <c r="H538" i="4"/>
  <c r="H539" i="6" s="1"/>
  <c r="I538" i="4"/>
  <c r="I539" i="6" s="1"/>
  <c r="A539" i="4"/>
  <c r="A540" i="6" s="1"/>
  <c r="A542" i="9" s="1"/>
  <c r="H542" i="9" l="1"/>
  <c r="D542" i="9"/>
  <c r="C542" i="9"/>
  <c r="M542" i="9" s="1"/>
  <c r="E542" i="9"/>
  <c r="Q542" i="9" s="1"/>
  <c r="F542" i="9"/>
  <c r="G542" i="9"/>
  <c r="N542" i="9" s="1"/>
  <c r="I542" i="9"/>
  <c r="R542" i="9" s="1"/>
  <c r="U542" i="9"/>
  <c r="B542" i="9"/>
  <c r="J542" i="9"/>
  <c r="P541" i="9"/>
  <c r="L541" i="9"/>
  <c r="T541" i="9"/>
  <c r="J539" i="6"/>
  <c r="B539" i="4"/>
  <c r="B540" i="6" s="1"/>
  <c r="A540" i="4"/>
  <c r="A541" i="6" s="1"/>
  <c r="A543" i="9" s="1"/>
  <c r="D539" i="4"/>
  <c r="D540" i="6" s="1"/>
  <c r="E539" i="4"/>
  <c r="E540" i="6" s="1"/>
  <c r="F539" i="4"/>
  <c r="F540" i="6" s="1"/>
  <c r="G539" i="4"/>
  <c r="G540" i="6" s="1"/>
  <c r="H539" i="4"/>
  <c r="H540" i="6" s="1"/>
  <c r="I539" i="4"/>
  <c r="I540" i="6" s="1"/>
  <c r="C539" i="4"/>
  <c r="C540" i="6" s="1"/>
  <c r="D543" i="9" l="1"/>
  <c r="E543" i="9"/>
  <c r="Q543" i="9" s="1"/>
  <c r="F543" i="9"/>
  <c r="G543" i="9"/>
  <c r="N543" i="9" s="1"/>
  <c r="J543" i="9"/>
  <c r="B543" i="9"/>
  <c r="U543" i="9"/>
  <c r="C543" i="9"/>
  <c r="M543" i="9" s="1"/>
  <c r="H543" i="9"/>
  <c r="I543" i="9"/>
  <c r="R543" i="9" s="1"/>
  <c r="P542" i="9"/>
  <c r="T542" i="9"/>
  <c r="L542" i="9"/>
  <c r="J540" i="6"/>
  <c r="I540" i="4"/>
  <c r="I541" i="6" s="1"/>
  <c r="C540" i="4"/>
  <c r="C541" i="6" s="1"/>
  <c r="D540" i="4"/>
  <c r="D541" i="6" s="1"/>
  <c r="E540" i="4"/>
  <c r="E541" i="6" s="1"/>
  <c r="B540" i="4"/>
  <c r="B541" i="6" s="1"/>
  <c r="F540" i="4"/>
  <c r="F541" i="6" s="1"/>
  <c r="G540" i="4"/>
  <c r="G541" i="6" s="1"/>
  <c r="H540" i="4"/>
  <c r="H541" i="6" s="1"/>
  <c r="A541" i="4"/>
  <c r="A542" i="6" s="1"/>
  <c r="A544" i="9" s="1"/>
  <c r="B544" i="9" l="1"/>
  <c r="J544" i="9"/>
  <c r="U544" i="9"/>
  <c r="C544" i="9"/>
  <c r="M544" i="9" s="1"/>
  <c r="D544" i="9"/>
  <c r="E544" i="9"/>
  <c r="Q544" i="9" s="1"/>
  <c r="I544" i="9"/>
  <c r="R544" i="9" s="1"/>
  <c r="H544" i="9"/>
  <c r="F544" i="9"/>
  <c r="G544" i="9"/>
  <c r="N544" i="9" s="1"/>
  <c r="P543" i="9"/>
  <c r="T543" i="9"/>
  <c r="L543" i="9"/>
  <c r="J541" i="6"/>
  <c r="H541" i="4"/>
  <c r="H542" i="6" s="1"/>
  <c r="B541" i="4"/>
  <c r="B542" i="6" s="1"/>
  <c r="A542" i="4"/>
  <c r="A543" i="6" s="1"/>
  <c r="A545" i="9" s="1"/>
  <c r="C541" i="4"/>
  <c r="C542" i="6" s="1"/>
  <c r="D541" i="4"/>
  <c r="D542" i="6" s="1"/>
  <c r="E541" i="4"/>
  <c r="E542" i="6" s="1"/>
  <c r="F541" i="4"/>
  <c r="F542" i="6" s="1"/>
  <c r="G541" i="4"/>
  <c r="G542" i="6" s="1"/>
  <c r="I541" i="4"/>
  <c r="I542" i="6" s="1"/>
  <c r="L544" i="9" l="1"/>
  <c r="P544" i="9"/>
  <c r="T544" i="9"/>
  <c r="H545" i="9"/>
  <c r="I545" i="9"/>
  <c r="R545" i="9" s="1"/>
  <c r="B545" i="9"/>
  <c r="J545" i="9"/>
  <c r="U545" i="9"/>
  <c r="C545" i="9"/>
  <c r="M545" i="9" s="1"/>
  <c r="D545" i="9"/>
  <c r="F545" i="9"/>
  <c r="E545" i="9"/>
  <c r="Q545" i="9" s="1"/>
  <c r="G545" i="9"/>
  <c r="N545" i="9" s="1"/>
  <c r="J542" i="6"/>
  <c r="G542" i="4"/>
  <c r="G543" i="6" s="1"/>
  <c r="I542" i="4"/>
  <c r="I543" i="6" s="1"/>
  <c r="B542" i="4"/>
  <c r="B543" i="6" s="1"/>
  <c r="A543" i="4"/>
  <c r="A544" i="6" s="1"/>
  <c r="A546" i="9" s="1"/>
  <c r="C542" i="4"/>
  <c r="C543" i="6" s="1"/>
  <c r="D542" i="4"/>
  <c r="D543" i="6" s="1"/>
  <c r="E542" i="4"/>
  <c r="E543" i="6" s="1"/>
  <c r="F542" i="4"/>
  <c r="F543" i="6" s="1"/>
  <c r="H542" i="4"/>
  <c r="H543" i="6" s="1"/>
  <c r="T545" i="9" l="1"/>
  <c r="L545" i="9"/>
  <c r="P545" i="9"/>
  <c r="F546" i="9"/>
  <c r="G546" i="9"/>
  <c r="N546" i="9" s="1"/>
  <c r="H546" i="9"/>
  <c r="I546" i="9"/>
  <c r="R546" i="9" s="1"/>
  <c r="J546" i="9"/>
  <c r="E546" i="9"/>
  <c r="Q546" i="9" s="1"/>
  <c r="B546" i="9"/>
  <c r="U546" i="9"/>
  <c r="C546" i="9"/>
  <c r="M546" i="9" s="1"/>
  <c r="D546" i="9"/>
  <c r="J543" i="6"/>
  <c r="F543" i="4"/>
  <c r="F544" i="6" s="1"/>
  <c r="H543" i="4"/>
  <c r="H544" i="6" s="1"/>
  <c r="I543" i="4"/>
  <c r="I544" i="6" s="1"/>
  <c r="B543" i="4"/>
  <c r="B544" i="6" s="1"/>
  <c r="A544" i="4"/>
  <c r="A545" i="6" s="1"/>
  <c r="A547" i="9" s="1"/>
  <c r="C543" i="4"/>
  <c r="C544" i="6" s="1"/>
  <c r="D543" i="4"/>
  <c r="D544" i="6" s="1"/>
  <c r="E543" i="4"/>
  <c r="E544" i="6" s="1"/>
  <c r="G543" i="4"/>
  <c r="G544" i="6" s="1"/>
  <c r="P546" i="9" l="1"/>
  <c r="T546" i="9"/>
  <c r="L546" i="9"/>
  <c r="D547" i="9"/>
  <c r="E547" i="9"/>
  <c r="Q547" i="9" s="1"/>
  <c r="F547" i="9"/>
  <c r="G547" i="9"/>
  <c r="N547" i="9" s="1"/>
  <c r="H547" i="9"/>
  <c r="I547" i="9"/>
  <c r="R547" i="9" s="1"/>
  <c r="C547" i="9"/>
  <c r="M547" i="9" s="1"/>
  <c r="J547" i="9"/>
  <c r="B547" i="9"/>
  <c r="U547" i="9"/>
  <c r="J544" i="6"/>
  <c r="E544" i="4"/>
  <c r="E545" i="6" s="1"/>
  <c r="G544" i="4"/>
  <c r="G545" i="6" s="1"/>
  <c r="H544" i="4"/>
  <c r="H545" i="6" s="1"/>
  <c r="I544" i="4"/>
  <c r="I545" i="6" s="1"/>
  <c r="A545" i="4"/>
  <c r="A546" i="6" s="1"/>
  <c r="A548" i="9" s="1"/>
  <c r="B544" i="4"/>
  <c r="B545" i="6" s="1"/>
  <c r="C544" i="4"/>
  <c r="C545" i="6" s="1"/>
  <c r="D544" i="4"/>
  <c r="D545" i="6" s="1"/>
  <c r="F544" i="4"/>
  <c r="F545" i="6" s="1"/>
  <c r="B548" i="9" l="1"/>
  <c r="J548" i="9"/>
  <c r="U548" i="9"/>
  <c r="C548" i="9"/>
  <c r="M548" i="9" s="1"/>
  <c r="D548" i="9"/>
  <c r="E548" i="9"/>
  <c r="Q548" i="9" s="1"/>
  <c r="F548" i="9"/>
  <c r="G548" i="9"/>
  <c r="N548" i="9" s="1"/>
  <c r="H548" i="9"/>
  <c r="I548" i="9"/>
  <c r="R548" i="9" s="1"/>
  <c r="P547" i="9"/>
  <c r="L547" i="9"/>
  <c r="T547" i="9"/>
  <c r="J545" i="6"/>
  <c r="D545" i="4"/>
  <c r="D546" i="6" s="1"/>
  <c r="F545" i="4"/>
  <c r="F546" i="6" s="1"/>
  <c r="G545" i="4"/>
  <c r="G546" i="6" s="1"/>
  <c r="H545" i="4"/>
  <c r="H546" i="6" s="1"/>
  <c r="B545" i="4"/>
  <c r="B546" i="6" s="1"/>
  <c r="C545" i="4"/>
  <c r="C546" i="6" s="1"/>
  <c r="E545" i="4"/>
  <c r="E546" i="6" s="1"/>
  <c r="I545" i="4"/>
  <c r="I546" i="6" s="1"/>
  <c r="A546" i="4"/>
  <c r="A547" i="6" s="1"/>
  <c r="A549" i="9" s="1"/>
  <c r="L548" i="9" l="1"/>
  <c r="T548" i="9"/>
  <c r="P548" i="9"/>
  <c r="H549" i="9"/>
  <c r="I549" i="9"/>
  <c r="R549" i="9" s="1"/>
  <c r="B549" i="9"/>
  <c r="J549" i="9"/>
  <c r="U549" i="9"/>
  <c r="C549" i="9"/>
  <c r="M549" i="9" s="1"/>
  <c r="D549" i="9"/>
  <c r="E549" i="9"/>
  <c r="Q549" i="9" s="1"/>
  <c r="G549" i="9"/>
  <c r="N549" i="9" s="1"/>
  <c r="F549" i="9"/>
  <c r="J546" i="6"/>
  <c r="C546" i="4"/>
  <c r="C547" i="6" s="1"/>
  <c r="E546" i="4"/>
  <c r="E547" i="6" s="1"/>
  <c r="F546" i="4"/>
  <c r="F547" i="6" s="1"/>
  <c r="G546" i="4"/>
  <c r="G547" i="6" s="1"/>
  <c r="H546" i="4"/>
  <c r="H547" i="6" s="1"/>
  <c r="I546" i="4"/>
  <c r="I547" i="6" s="1"/>
  <c r="A547" i="4"/>
  <c r="A548" i="6" s="1"/>
  <c r="A550" i="9" s="1"/>
  <c r="B546" i="4"/>
  <c r="B547" i="6" s="1"/>
  <c r="D546" i="4"/>
  <c r="D547" i="6" s="1"/>
  <c r="T549" i="9" l="1"/>
  <c r="P549" i="9"/>
  <c r="L549" i="9"/>
  <c r="F550" i="9"/>
  <c r="G550" i="9"/>
  <c r="N550" i="9" s="1"/>
  <c r="H550" i="9"/>
  <c r="E550" i="9"/>
  <c r="Q550" i="9" s="1"/>
  <c r="U550" i="9"/>
  <c r="I550" i="9"/>
  <c r="R550" i="9" s="1"/>
  <c r="J550" i="9"/>
  <c r="C550" i="9"/>
  <c r="M550" i="9" s="1"/>
  <c r="B550" i="9"/>
  <c r="D550" i="9"/>
  <c r="J547" i="6"/>
  <c r="B547" i="4"/>
  <c r="B548" i="6" s="1"/>
  <c r="A548" i="4"/>
  <c r="A549" i="6" s="1"/>
  <c r="A551" i="9" s="1"/>
  <c r="D547" i="4"/>
  <c r="D548" i="6" s="1"/>
  <c r="E547" i="4"/>
  <c r="E548" i="6" s="1"/>
  <c r="F547" i="4"/>
  <c r="F548" i="6" s="1"/>
  <c r="C547" i="4"/>
  <c r="C548" i="6" s="1"/>
  <c r="G547" i="4"/>
  <c r="G548" i="6" s="1"/>
  <c r="H547" i="4"/>
  <c r="H548" i="6" s="1"/>
  <c r="I547" i="4"/>
  <c r="I548" i="6" s="1"/>
  <c r="D551" i="9" l="1"/>
  <c r="F551" i="9"/>
  <c r="J551" i="9"/>
  <c r="I551" i="9"/>
  <c r="R551" i="9" s="1"/>
  <c r="B551" i="9"/>
  <c r="C551" i="9"/>
  <c r="M551" i="9" s="1"/>
  <c r="E551" i="9"/>
  <c r="Q551" i="9" s="1"/>
  <c r="U551" i="9"/>
  <c r="G551" i="9"/>
  <c r="N551" i="9" s="1"/>
  <c r="H551" i="9"/>
  <c r="P550" i="9"/>
  <c r="L550" i="9"/>
  <c r="T550" i="9"/>
  <c r="J548" i="6"/>
  <c r="I548" i="4"/>
  <c r="I549" i="6" s="1"/>
  <c r="C548" i="4"/>
  <c r="C549" i="6" s="1"/>
  <c r="D548" i="4"/>
  <c r="D549" i="6" s="1"/>
  <c r="E548" i="4"/>
  <c r="E549" i="6" s="1"/>
  <c r="F548" i="4"/>
  <c r="F549" i="6" s="1"/>
  <c r="G548" i="4"/>
  <c r="G549" i="6" s="1"/>
  <c r="H548" i="4"/>
  <c r="H549" i="6" s="1"/>
  <c r="A549" i="4"/>
  <c r="A550" i="6" s="1"/>
  <c r="A552" i="9" s="1"/>
  <c r="B548" i="4"/>
  <c r="B549" i="6" s="1"/>
  <c r="L551" i="9" l="1"/>
  <c r="P551" i="9"/>
  <c r="T551" i="9"/>
  <c r="B552" i="9"/>
  <c r="J552" i="9"/>
  <c r="U552" i="9"/>
  <c r="C552" i="9"/>
  <c r="M552" i="9" s="1"/>
  <c r="D552" i="9"/>
  <c r="I552" i="9"/>
  <c r="R552" i="9" s="1"/>
  <c r="E552" i="9"/>
  <c r="Q552" i="9" s="1"/>
  <c r="H552" i="9"/>
  <c r="F552" i="9"/>
  <c r="G552" i="9"/>
  <c r="N552" i="9" s="1"/>
  <c r="J549" i="6"/>
  <c r="H549" i="4"/>
  <c r="H550" i="6" s="1"/>
  <c r="B549" i="4"/>
  <c r="B550" i="6" s="1"/>
  <c r="A550" i="4"/>
  <c r="A551" i="6" s="1"/>
  <c r="A553" i="9" s="1"/>
  <c r="C549" i="4"/>
  <c r="C550" i="6" s="1"/>
  <c r="D549" i="4"/>
  <c r="D550" i="6" s="1"/>
  <c r="E549" i="4"/>
  <c r="E550" i="6" s="1"/>
  <c r="F549" i="4"/>
  <c r="F550" i="6" s="1"/>
  <c r="G549" i="4"/>
  <c r="G550" i="6" s="1"/>
  <c r="I549" i="4"/>
  <c r="I550" i="6" s="1"/>
  <c r="L552" i="9" l="1"/>
  <c r="T552" i="9"/>
  <c r="P552" i="9"/>
  <c r="H553" i="9"/>
  <c r="B553" i="9"/>
  <c r="I553" i="9"/>
  <c r="R553" i="9" s="1"/>
  <c r="J553" i="9"/>
  <c r="C553" i="9"/>
  <c r="M553" i="9" s="1"/>
  <c r="D553" i="9"/>
  <c r="E553" i="9"/>
  <c r="Q553" i="9" s="1"/>
  <c r="F553" i="9"/>
  <c r="G553" i="9"/>
  <c r="N553" i="9" s="1"/>
  <c r="U553" i="9"/>
  <c r="J550" i="6"/>
  <c r="G550" i="4"/>
  <c r="G551" i="6" s="1"/>
  <c r="I550" i="4"/>
  <c r="I551" i="6" s="1"/>
  <c r="B550" i="4"/>
  <c r="B551" i="6" s="1"/>
  <c r="A551" i="4"/>
  <c r="A552" i="6" s="1"/>
  <c r="A554" i="9" s="1"/>
  <c r="C550" i="4"/>
  <c r="C551" i="6" s="1"/>
  <c r="D550" i="4"/>
  <c r="D551" i="6" s="1"/>
  <c r="E550" i="4"/>
  <c r="E551" i="6" s="1"/>
  <c r="F550" i="4"/>
  <c r="F551" i="6" s="1"/>
  <c r="H550" i="4"/>
  <c r="H551" i="6" s="1"/>
  <c r="L553" i="9" l="1"/>
  <c r="P553" i="9"/>
  <c r="T553" i="9"/>
  <c r="F554" i="9"/>
  <c r="B554" i="9"/>
  <c r="C554" i="9"/>
  <c r="M554" i="9" s="1"/>
  <c r="U554" i="9"/>
  <c r="D554" i="9"/>
  <c r="E554" i="9"/>
  <c r="Q554" i="9" s="1"/>
  <c r="J554" i="9"/>
  <c r="G554" i="9"/>
  <c r="N554" i="9" s="1"/>
  <c r="I554" i="9"/>
  <c r="R554" i="9" s="1"/>
  <c r="H554" i="9"/>
  <c r="J551" i="6"/>
  <c r="F551" i="4"/>
  <c r="F552" i="6" s="1"/>
  <c r="H551" i="4"/>
  <c r="H552" i="6" s="1"/>
  <c r="I551" i="4"/>
  <c r="I552" i="6" s="1"/>
  <c r="B551" i="4"/>
  <c r="B552" i="6" s="1"/>
  <c r="A552" i="4"/>
  <c r="A553" i="6" s="1"/>
  <c r="A555" i="9" s="1"/>
  <c r="C551" i="4"/>
  <c r="C552" i="6" s="1"/>
  <c r="D551" i="4"/>
  <c r="D552" i="6" s="1"/>
  <c r="E551" i="4"/>
  <c r="E552" i="6" s="1"/>
  <c r="G551" i="4"/>
  <c r="G552" i="6" s="1"/>
  <c r="D555" i="9" l="1"/>
  <c r="B555" i="9"/>
  <c r="C555" i="9"/>
  <c r="M555" i="9" s="1"/>
  <c r="E555" i="9"/>
  <c r="Q555" i="9" s="1"/>
  <c r="J555" i="9"/>
  <c r="F555" i="9"/>
  <c r="I555" i="9"/>
  <c r="R555" i="9" s="1"/>
  <c r="G555" i="9"/>
  <c r="N555" i="9" s="1"/>
  <c r="H555" i="9"/>
  <c r="U555" i="9"/>
  <c r="P554" i="9"/>
  <c r="L554" i="9"/>
  <c r="T554" i="9"/>
  <c r="J552" i="6"/>
  <c r="E552" i="4"/>
  <c r="E553" i="6" s="1"/>
  <c r="G552" i="4"/>
  <c r="G553" i="6" s="1"/>
  <c r="H552" i="4"/>
  <c r="H553" i="6" s="1"/>
  <c r="I552" i="4"/>
  <c r="I553" i="6" s="1"/>
  <c r="B552" i="4"/>
  <c r="B553" i="6" s="1"/>
  <c r="C552" i="4"/>
  <c r="C553" i="6" s="1"/>
  <c r="D552" i="4"/>
  <c r="D553" i="6" s="1"/>
  <c r="F552" i="4"/>
  <c r="F553" i="6" s="1"/>
  <c r="A553" i="4"/>
  <c r="A554" i="6" s="1"/>
  <c r="A556" i="9" s="1"/>
  <c r="B556" i="9" l="1"/>
  <c r="J556" i="9"/>
  <c r="U556" i="9"/>
  <c r="C556" i="9"/>
  <c r="M556" i="9" s="1"/>
  <c r="I556" i="9"/>
  <c r="R556" i="9" s="1"/>
  <c r="D556" i="9"/>
  <c r="E556" i="9"/>
  <c r="Q556" i="9" s="1"/>
  <c r="F556" i="9"/>
  <c r="G556" i="9"/>
  <c r="N556" i="9" s="1"/>
  <c r="H556" i="9"/>
  <c r="L555" i="9"/>
  <c r="P555" i="9"/>
  <c r="T555" i="9"/>
  <c r="J553" i="6"/>
  <c r="D553" i="4"/>
  <c r="D554" i="6" s="1"/>
  <c r="F553" i="4"/>
  <c r="F554" i="6" s="1"/>
  <c r="G553" i="4"/>
  <c r="G554" i="6" s="1"/>
  <c r="H553" i="4"/>
  <c r="H554" i="6" s="1"/>
  <c r="I553" i="4"/>
  <c r="I554" i="6" s="1"/>
  <c r="A554" i="4"/>
  <c r="A555" i="6" s="1"/>
  <c r="A557" i="9" s="1"/>
  <c r="B553" i="4"/>
  <c r="B554" i="6" s="1"/>
  <c r="C553" i="4"/>
  <c r="C554" i="6" s="1"/>
  <c r="E553" i="4"/>
  <c r="E554" i="6" s="1"/>
  <c r="H557" i="9" l="1"/>
  <c r="C557" i="9"/>
  <c r="M557" i="9" s="1"/>
  <c r="D557" i="9"/>
  <c r="E557" i="9"/>
  <c r="Q557" i="9" s="1"/>
  <c r="F557" i="9"/>
  <c r="G557" i="9"/>
  <c r="N557" i="9" s="1"/>
  <c r="J557" i="9"/>
  <c r="I557" i="9"/>
  <c r="R557" i="9" s="1"/>
  <c r="U557" i="9"/>
  <c r="B557" i="9"/>
  <c r="P556" i="9"/>
  <c r="L556" i="9"/>
  <c r="T556" i="9"/>
  <c r="J554" i="6"/>
  <c r="C554" i="4"/>
  <c r="C555" i="6" s="1"/>
  <c r="E554" i="4"/>
  <c r="E555" i="6" s="1"/>
  <c r="F554" i="4"/>
  <c r="F555" i="6" s="1"/>
  <c r="B554" i="4"/>
  <c r="B555" i="6" s="1"/>
  <c r="D554" i="4"/>
  <c r="D555" i="6" s="1"/>
  <c r="G554" i="4"/>
  <c r="G555" i="6" s="1"/>
  <c r="H554" i="4"/>
  <c r="H555" i="6" s="1"/>
  <c r="I554" i="4"/>
  <c r="I555" i="6" s="1"/>
  <c r="A555" i="4"/>
  <c r="A556" i="6" s="1"/>
  <c r="A558" i="9" s="1"/>
  <c r="F558" i="9" l="1"/>
  <c r="C558" i="9"/>
  <c r="M558" i="9" s="1"/>
  <c r="D558" i="9"/>
  <c r="J558" i="9"/>
  <c r="E558" i="9"/>
  <c r="Q558" i="9" s="1"/>
  <c r="B558" i="9"/>
  <c r="G558" i="9"/>
  <c r="N558" i="9" s="1"/>
  <c r="H558" i="9"/>
  <c r="I558" i="9"/>
  <c r="R558" i="9" s="1"/>
  <c r="U558" i="9"/>
  <c r="L557" i="9"/>
  <c r="P557" i="9"/>
  <c r="T557" i="9"/>
  <c r="J555" i="6"/>
  <c r="B555" i="4"/>
  <c r="B556" i="6" s="1"/>
  <c r="A556" i="4"/>
  <c r="A557" i="6" s="1"/>
  <c r="A559" i="9" s="1"/>
  <c r="C555" i="4"/>
  <c r="C556" i="6" s="1"/>
  <c r="D555" i="4"/>
  <c r="D556" i="6" s="1"/>
  <c r="E555" i="4"/>
  <c r="E556" i="6" s="1"/>
  <c r="F555" i="4"/>
  <c r="F556" i="6" s="1"/>
  <c r="G555" i="4"/>
  <c r="G556" i="6" s="1"/>
  <c r="H555" i="4"/>
  <c r="H556" i="6" s="1"/>
  <c r="I555" i="4"/>
  <c r="I556" i="6" s="1"/>
  <c r="P558" i="9" l="1"/>
  <c r="T558" i="9"/>
  <c r="L558" i="9"/>
  <c r="D559" i="9"/>
  <c r="C559" i="9"/>
  <c r="M559" i="9" s="1"/>
  <c r="J559" i="9"/>
  <c r="E559" i="9"/>
  <c r="Q559" i="9" s="1"/>
  <c r="F559" i="9"/>
  <c r="G559" i="9"/>
  <c r="N559" i="9" s="1"/>
  <c r="B559" i="9"/>
  <c r="H559" i="9"/>
  <c r="I559" i="9"/>
  <c r="R559" i="9" s="1"/>
  <c r="U559" i="9"/>
  <c r="J556" i="6"/>
  <c r="I556" i="4"/>
  <c r="I557" i="6" s="1"/>
  <c r="B556" i="4"/>
  <c r="B557" i="6" s="1"/>
  <c r="A557" i="4"/>
  <c r="A558" i="6" s="1"/>
  <c r="A560" i="9" s="1"/>
  <c r="C556" i="4"/>
  <c r="C557" i="6" s="1"/>
  <c r="D556" i="4"/>
  <c r="D557" i="6" s="1"/>
  <c r="E556" i="4"/>
  <c r="E557" i="6" s="1"/>
  <c r="F556" i="4"/>
  <c r="F557" i="6" s="1"/>
  <c r="G556" i="4"/>
  <c r="G557" i="6" s="1"/>
  <c r="H556" i="4"/>
  <c r="H557" i="6" s="1"/>
  <c r="L559" i="9" l="1"/>
  <c r="P559" i="9"/>
  <c r="T559" i="9"/>
  <c r="B560" i="9"/>
  <c r="J560" i="9"/>
  <c r="U560" i="9"/>
  <c r="D560" i="9"/>
  <c r="E560" i="9"/>
  <c r="Q560" i="9" s="1"/>
  <c r="F560" i="9"/>
  <c r="G560" i="9"/>
  <c r="N560" i="9" s="1"/>
  <c r="H560" i="9"/>
  <c r="I560" i="9"/>
  <c r="R560" i="9" s="1"/>
  <c r="C560" i="9"/>
  <c r="M560" i="9" s="1"/>
  <c r="J557" i="6"/>
  <c r="H557" i="4"/>
  <c r="H558" i="6" s="1"/>
  <c r="I557" i="4"/>
  <c r="I558" i="6" s="1"/>
  <c r="B557" i="4"/>
  <c r="B558" i="6" s="1"/>
  <c r="A558" i="4"/>
  <c r="A559" i="6" s="1"/>
  <c r="A561" i="9" s="1"/>
  <c r="C557" i="4"/>
  <c r="C558" i="6" s="1"/>
  <c r="D557" i="4"/>
  <c r="D558" i="6" s="1"/>
  <c r="E557" i="4"/>
  <c r="E558" i="6" s="1"/>
  <c r="F557" i="4"/>
  <c r="F558" i="6" s="1"/>
  <c r="G557" i="4"/>
  <c r="G558" i="6" s="1"/>
  <c r="P560" i="9" l="1"/>
  <c r="T560" i="9"/>
  <c r="L560" i="9"/>
  <c r="H561" i="9"/>
  <c r="D561" i="9"/>
  <c r="E561" i="9"/>
  <c r="Q561" i="9" s="1"/>
  <c r="B561" i="9"/>
  <c r="F561" i="9"/>
  <c r="C561" i="9"/>
  <c r="M561" i="9" s="1"/>
  <c r="G561" i="9"/>
  <c r="N561" i="9" s="1"/>
  <c r="I561" i="9"/>
  <c r="R561" i="9" s="1"/>
  <c r="U561" i="9"/>
  <c r="J561" i="9"/>
  <c r="J558" i="6"/>
  <c r="G558" i="4"/>
  <c r="G559" i="6" s="1"/>
  <c r="H558" i="4"/>
  <c r="H559" i="6" s="1"/>
  <c r="I558" i="4"/>
  <c r="I559" i="6" s="1"/>
  <c r="B558" i="4"/>
  <c r="B559" i="6" s="1"/>
  <c r="A559" i="4"/>
  <c r="A560" i="6" s="1"/>
  <c r="A562" i="9" s="1"/>
  <c r="C558" i="4"/>
  <c r="C559" i="6" s="1"/>
  <c r="D558" i="4"/>
  <c r="D559" i="6" s="1"/>
  <c r="E558" i="4"/>
  <c r="E559" i="6" s="1"/>
  <c r="F558" i="4"/>
  <c r="F559" i="6" s="1"/>
  <c r="L561" i="9" l="1"/>
  <c r="P561" i="9"/>
  <c r="T561" i="9"/>
  <c r="F562" i="9"/>
  <c r="D562" i="9"/>
  <c r="U562" i="9"/>
  <c r="E562" i="9"/>
  <c r="Q562" i="9" s="1"/>
  <c r="G562" i="9"/>
  <c r="N562" i="9" s="1"/>
  <c r="B562" i="9"/>
  <c r="H562" i="9"/>
  <c r="I562" i="9"/>
  <c r="R562" i="9" s="1"/>
  <c r="C562" i="9"/>
  <c r="M562" i="9" s="1"/>
  <c r="J562" i="9"/>
  <c r="J559" i="6"/>
  <c r="F559" i="4"/>
  <c r="F560" i="6" s="1"/>
  <c r="G559" i="4"/>
  <c r="G560" i="6" s="1"/>
  <c r="H559" i="4"/>
  <c r="H560" i="6" s="1"/>
  <c r="I559" i="4"/>
  <c r="I560" i="6" s="1"/>
  <c r="B559" i="4"/>
  <c r="B560" i="6" s="1"/>
  <c r="A560" i="4"/>
  <c r="A561" i="6" s="1"/>
  <c r="A563" i="9" s="1"/>
  <c r="C559" i="4"/>
  <c r="C560" i="6" s="1"/>
  <c r="D559" i="4"/>
  <c r="D560" i="6" s="1"/>
  <c r="E559" i="4"/>
  <c r="E560" i="6" s="1"/>
  <c r="P562" i="9" l="1"/>
  <c r="T562" i="9"/>
  <c r="L562" i="9"/>
  <c r="D563" i="9"/>
  <c r="E563" i="9"/>
  <c r="Q563" i="9" s="1"/>
  <c r="F563" i="9"/>
  <c r="U563" i="9"/>
  <c r="J563" i="9"/>
  <c r="G563" i="9"/>
  <c r="N563" i="9" s="1"/>
  <c r="H563" i="9"/>
  <c r="B563" i="9"/>
  <c r="I563" i="9"/>
  <c r="R563" i="9" s="1"/>
  <c r="C563" i="9"/>
  <c r="M563" i="9" s="1"/>
  <c r="J560" i="6"/>
  <c r="E560" i="4"/>
  <c r="E561" i="6" s="1"/>
  <c r="F560" i="4"/>
  <c r="F561" i="6" s="1"/>
  <c r="G560" i="4"/>
  <c r="G561" i="6" s="1"/>
  <c r="H560" i="4"/>
  <c r="H561" i="6" s="1"/>
  <c r="I560" i="4"/>
  <c r="I561" i="6" s="1"/>
  <c r="B560" i="4"/>
  <c r="B561" i="6" s="1"/>
  <c r="A561" i="4"/>
  <c r="A562" i="6" s="1"/>
  <c r="A564" i="9" s="1"/>
  <c r="C560" i="4"/>
  <c r="C561" i="6" s="1"/>
  <c r="D560" i="4"/>
  <c r="D561" i="6" s="1"/>
  <c r="P563" i="9" l="1"/>
  <c r="L563" i="9"/>
  <c r="T563" i="9"/>
  <c r="D564" i="9"/>
  <c r="E564" i="9"/>
  <c r="Q564" i="9" s="1"/>
  <c r="J564" i="9"/>
  <c r="F564" i="9"/>
  <c r="I564" i="9"/>
  <c r="R564" i="9" s="1"/>
  <c r="U564" i="9"/>
  <c r="C564" i="9"/>
  <c r="M564" i="9" s="1"/>
  <c r="G564" i="9"/>
  <c r="N564" i="9" s="1"/>
  <c r="H564" i="9"/>
  <c r="B564" i="9"/>
  <c r="J561" i="6"/>
  <c r="D561" i="4"/>
  <c r="D562" i="6" s="1"/>
  <c r="E561" i="4"/>
  <c r="E562" i="6" s="1"/>
  <c r="F561" i="4"/>
  <c r="F562" i="6" s="1"/>
  <c r="G561" i="4"/>
  <c r="G562" i="6" s="1"/>
  <c r="H561" i="4"/>
  <c r="H562" i="6" s="1"/>
  <c r="I561" i="4"/>
  <c r="I562" i="6" s="1"/>
  <c r="B561" i="4"/>
  <c r="B562" i="6" s="1"/>
  <c r="A562" i="4"/>
  <c r="A563" i="6" s="1"/>
  <c r="A565" i="9" s="1"/>
  <c r="C561" i="4"/>
  <c r="C562" i="6" s="1"/>
  <c r="B565" i="9" l="1"/>
  <c r="J565" i="9"/>
  <c r="U565" i="9"/>
  <c r="C565" i="9"/>
  <c r="M565" i="9" s="1"/>
  <c r="D565" i="9"/>
  <c r="F565" i="9"/>
  <c r="E565" i="9"/>
  <c r="Q565" i="9" s="1"/>
  <c r="G565" i="9"/>
  <c r="N565" i="9" s="1"/>
  <c r="H565" i="9"/>
  <c r="I565" i="9"/>
  <c r="R565" i="9" s="1"/>
  <c r="T564" i="9"/>
  <c r="P564" i="9"/>
  <c r="L564" i="9"/>
  <c r="J562" i="6"/>
  <c r="C562" i="4"/>
  <c r="C563" i="6" s="1"/>
  <c r="D562" i="4"/>
  <c r="D563" i="6" s="1"/>
  <c r="E562" i="4"/>
  <c r="E563" i="6" s="1"/>
  <c r="F562" i="4"/>
  <c r="F563" i="6" s="1"/>
  <c r="G562" i="4"/>
  <c r="G563" i="6" s="1"/>
  <c r="H562" i="4"/>
  <c r="H563" i="6" s="1"/>
  <c r="I562" i="4"/>
  <c r="I563" i="6" s="1"/>
  <c r="B562" i="4"/>
  <c r="B563" i="6" s="1"/>
  <c r="A563" i="4"/>
  <c r="A564" i="6" s="1"/>
  <c r="A566" i="9" s="1"/>
  <c r="H566" i="9" l="1"/>
  <c r="J566" i="9"/>
  <c r="I566" i="9"/>
  <c r="R566" i="9" s="1"/>
  <c r="D566" i="9"/>
  <c r="E566" i="9"/>
  <c r="Q566" i="9" s="1"/>
  <c r="G566" i="9"/>
  <c r="N566" i="9" s="1"/>
  <c r="B566" i="9"/>
  <c r="U566" i="9"/>
  <c r="C566" i="9"/>
  <c r="M566" i="9" s="1"/>
  <c r="F566" i="9"/>
  <c r="T565" i="9"/>
  <c r="L565" i="9"/>
  <c r="P565" i="9"/>
  <c r="J563" i="6"/>
  <c r="B563" i="4"/>
  <c r="B564" i="6" s="1"/>
  <c r="A564" i="4"/>
  <c r="A565" i="6" s="1"/>
  <c r="A567" i="9" s="1"/>
  <c r="C563" i="4"/>
  <c r="C564" i="6" s="1"/>
  <c r="D563" i="4"/>
  <c r="D564" i="6" s="1"/>
  <c r="E563" i="4"/>
  <c r="E564" i="6" s="1"/>
  <c r="F563" i="4"/>
  <c r="F564" i="6" s="1"/>
  <c r="G563" i="4"/>
  <c r="G564" i="6" s="1"/>
  <c r="H563" i="4"/>
  <c r="H564" i="6" s="1"/>
  <c r="I563" i="4"/>
  <c r="I564" i="6" s="1"/>
  <c r="F567" i="9" l="1"/>
  <c r="B567" i="9"/>
  <c r="G567" i="9"/>
  <c r="N567" i="9" s="1"/>
  <c r="J567" i="9"/>
  <c r="H567" i="9"/>
  <c r="U567" i="9"/>
  <c r="I567" i="9"/>
  <c r="R567" i="9" s="1"/>
  <c r="D567" i="9"/>
  <c r="E567" i="9"/>
  <c r="Q567" i="9" s="1"/>
  <c r="C567" i="9"/>
  <c r="M567" i="9" s="1"/>
  <c r="T566" i="9"/>
  <c r="P566" i="9"/>
  <c r="L566" i="9"/>
  <c r="J564" i="6"/>
  <c r="I564" i="4"/>
  <c r="I565" i="6" s="1"/>
  <c r="B564" i="4"/>
  <c r="B565" i="6" s="1"/>
  <c r="A565" i="4"/>
  <c r="A566" i="6" s="1"/>
  <c r="A568" i="9" s="1"/>
  <c r="C564" i="4"/>
  <c r="C565" i="6" s="1"/>
  <c r="D564" i="4"/>
  <c r="D565" i="6" s="1"/>
  <c r="E564" i="4"/>
  <c r="E565" i="6" s="1"/>
  <c r="F564" i="4"/>
  <c r="F565" i="6" s="1"/>
  <c r="G564" i="4"/>
  <c r="G565" i="6" s="1"/>
  <c r="H564" i="4"/>
  <c r="H565" i="6" s="1"/>
  <c r="I568" i="9" l="1"/>
  <c r="R568" i="9" s="1"/>
  <c r="B568" i="9"/>
  <c r="J568" i="9"/>
  <c r="U568" i="9"/>
  <c r="C568" i="9"/>
  <c r="M568" i="9" s="1"/>
  <c r="D568" i="9"/>
  <c r="E568" i="9"/>
  <c r="Q568" i="9" s="1"/>
  <c r="H568" i="9"/>
  <c r="F568" i="9"/>
  <c r="G568" i="9"/>
  <c r="N568" i="9" s="1"/>
  <c r="P567" i="9"/>
  <c r="T567" i="9"/>
  <c r="L567" i="9"/>
  <c r="J565" i="6"/>
  <c r="H565" i="4"/>
  <c r="H566" i="6" s="1"/>
  <c r="I565" i="4"/>
  <c r="I566" i="6" s="1"/>
  <c r="B565" i="4"/>
  <c r="B566" i="6" s="1"/>
  <c r="A566" i="4"/>
  <c r="A567" i="6" s="1"/>
  <c r="A569" i="9" s="1"/>
  <c r="C565" i="4"/>
  <c r="C566" i="6" s="1"/>
  <c r="D565" i="4"/>
  <c r="D566" i="6" s="1"/>
  <c r="E565" i="4"/>
  <c r="E566" i="6" s="1"/>
  <c r="F565" i="4"/>
  <c r="F566" i="6" s="1"/>
  <c r="G565" i="4"/>
  <c r="G566" i="6" s="1"/>
  <c r="T568" i="9" l="1"/>
  <c r="L568" i="9"/>
  <c r="P568" i="9"/>
  <c r="G569" i="9"/>
  <c r="N569" i="9" s="1"/>
  <c r="H569" i="9"/>
  <c r="I569" i="9"/>
  <c r="R569" i="9" s="1"/>
  <c r="B569" i="9"/>
  <c r="J569" i="9"/>
  <c r="U569" i="9"/>
  <c r="C569" i="9"/>
  <c r="M569" i="9" s="1"/>
  <c r="F569" i="9"/>
  <c r="D569" i="9"/>
  <c r="E569" i="9"/>
  <c r="Q569" i="9" s="1"/>
  <c r="J566" i="6"/>
  <c r="G566" i="4"/>
  <c r="G567" i="6" s="1"/>
  <c r="H566" i="4"/>
  <c r="H567" i="6" s="1"/>
  <c r="I566" i="4"/>
  <c r="I567" i="6" s="1"/>
  <c r="B566" i="4"/>
  <c r="B567" i="6" s="1"/>
  <c r="A567" i="4"/>
  <c r="A568" i="6" s="1"/>
  <c r="A570" i="9" s="1"/>
  <c r="C566" i="4"/>
  <c r="C567" i="6" s="1"/>
  <c r="D566" i="4"/>
  <c r="D567" i="6" s="1"/>
  <c r="E566" i="4"/>
  <c r="E567" i="6" s="1"/>
  <c r="F566" i="4"/>
  <c r="F567" i="6" s="1"/>
  <c r="E570" i="9" l="1"/>
  <c r="Q570" i="9" s="1"/>
  <c r="F570" i="9"/>
  <c r="G570" i="9"/>
  <c r="N570" i="9" s="1"/>
  <c r="H570" i="9"/>
  <c r="I570" i="9"/>
  <c r="R570" i="9" s="1"/>
  <c r="D570" i="9"/>
  <c r="B570" i="9"/>
  <c r="C570" i="9"/>
  <c r="M570" i="9" s="1"/>
  <c r="J570" i="9"/>
  <c r="U570" i="9"/>
  <c r="T569" i="9"/>
  <c r="L569" i="9"/>
  <c r="P569" i="9"/>
  <c r="J567" i="6"/>
  <c r="F567" i="4"/>
  <c r="F568" i="6" s="1"/>
  <c r="G567" i="4"/>
  <c r="G568" i="6" s="1"/>
  <c r="H567" i="4"/>
  <c r="H568" i="6" s="1"/>
  <c r="I567" i="4"/>
  <c r="I568" i="6" s="1"/>
  <c r="B567" i="4"/>
  <c r="B568" i="6" s="1"/>
  <c r="A568" i="4"/>
  <c r="A569" i="6" s="1"/>
  <c r="A571" i="9" s="1"/>
  <c r="C567" i="4"/>
  <c r="C568" i="6" s="1"/>
  <c r="D567" i="4"/>
  <c r="D568" i="6" s="1"/>
  <c r="E567" i="4"/>
  <c r="E568" i="6" s="1"/>
  <c r="C571" i="9" l="1"/>
  <c r="M571" i="9" s="1"/>
  <c r="D571" i="9"/>
  <c r="E571" i="9"/>
  <c r="Q571" i="9" s="1"/>
  <c r="F571" i="9"/>
  <c r="G571" i="9"/>
  <c r="N571" i="9" s="1"/>
  <c r="B571" i="9"/>
  <c r="J571" i="9"/>
  <c r="U571" i="9"/>
  <c r="I571" i="9"/>
  <c r="R571" i="9" s="1"/>
  <c r="H571" i="9"/>
  <c r="P570" i="9"/>
  <c r="T570" i="9"/>
  <c r="L570" i="9"/>
  <c r="J568" i="6"/>
  <c r="E568" i="4"/>
  <c r="E569" i="6" s="1"/>
  <c r="F568" i="4"/>
  <c r="F569" i="6" s="1"/>
  <c r="G568" i="4"/>
  <c r="G569" i="6" s="1"/>
  <c r="H568" i="4"/>
  <c r="H569" i="6" s="1"/>
  <c r="I568" i="4"/>
  <c r="I569" i="6" s="1"/>
  <c r="B568" i="4"/>
  <c r="B569" i="6" s="1"/>
  <c r="A569" i="4"/>
  <c r="A570" i="6" s="1"/>
  <c r="A572" i="9" s="1"/>
  <c r="C568" i="4"/>
  <c r="C569" i="6" s="1"/>
  <c r="D568" i="4"/>
  <c r="D569" i="6" s="1"/>
  <c r="L571" i="9" l="1"/>
  <c r="P571" i="9"/>
  <c r="T571" i="9"/>
  <c r="I572" i="9"/>
  <c r="R572" i="9" s="1"/>
  <c r="B572" i="9"/>
  <c r="J572" i="9"/>
  <c r="U572" i="9"/>
  <c r="C572" i="9"/>
  <c r="M572" i="9" s="1"/>
  <c r="D572" i="9"/>
  <c r="E572" i="9"/>
  <c r="Q572" i="9" s="1"/>
  <c r="H572" i="9"/>
  <c r="F572" i="9"/>
  <c r="G572" i="9"/>
  <c r="N572" i="9" s="1"/>
  <c r="J569" i="6"/>
  <c r="D569" i="4"/>
  <c r="D570" i="6" s="1"/>
  <c r="E569" i="4"/>
  <c r="E570" i="6" s="1"/>
  <c r="F569" i="4"/>
  <c r="F570" i="6" s="1"/>
  <c r="G569" i="4"/>
  <c r="G570" i="6" s="1"/>
  <c r="H569" i="4"/>
  <c r="H570" i="6" s="1"/>
  <c r="I569" i="4"/>
  <c r="I570" i="6" s="1"/>
  <c r="B569" i="4"/>
  <c r="B570" i="6" s="1"/>
  <c r="A570" i="4"/>
  <c r="A571" i="6" s="1"/>
  <c r="A573" i="9" s="1"/>
  <c r="C569" i="4"/>
  <c r="C570" i="6" s="1"/>
  <c r="T572" i="9" l="1"/>
  <c r="L572" i="9"/>
  <c r="P572" i="9"/>
  <c r="G573" i="9"/>
  <c r="N573" i="9" s="1"/>
  <c r="H573" i="9"/>
  <c r="I573" i="9"/>
  <c r="R573" i="9" s="1"/>
  <c r="B573" i="9"/>
  <c r="J573" i="9"/>
  <c r="U573" i="9"/>
  <c r="C573" i="9"/>
  <c r="M573" i="9" s="1"/>
  <c r="F573" i="9"/>
  <c r="E573" i="9"/>
  <c r="Q573" i="9" s="1"/>
  <c r="D573" i="9"/>
  <c r="J570" i="6"/>
  <c r="C570" i="4"/>
  <c r="C571" i="6" s="1"/>
  <c r="D570" i="4"/>
  <c r="D571" i="6" s="1"/>
  <c r="E570" i="4"/>
  <c r="E571" i="6" s="1"/>
  <c r="F570" i="4"/>
  <c r="F571" i="6" s="1"/>
  <c r="G570" i="4"/>
  <c r="G571" i="6" s="1"/>
  <c r="H570" i="4"/>
  <c r="H571" i="6" s="1"/>
  <c r="I570" i="4"/>
  <c r="I571" i="6" s="1"/>
  <c r="B570" i="4"/>
  <c r="B571" i="6" s="1"/>
  <c r="A571" i="4"/>
  <c r="A572" i="6" s="1"/>
  <c r="A574" i="9" s="1"/>
  <c r="T573" i="9" l="1"/>
  <c r="L573" i="9"/>
  <c r="P573" i="9"/>
  <c r="E574" i="9"/>
  <c r="Q574" i="9" s="1"/>
  <c r="F574" i="9"/>
  <c r="G574" i="9"/>
  <c r="N574" i="9" s="1"/>
  <c r="H574" i="9"/>
  <c r="I574" i="9"/>
  <c r="R574" i="9" s="1"/>
  <c r="D574" i="9"/>
  <c r="B574" i="9"/>
  <c r="C574" i="9"/>
  <c r="M574" i="9" s="1"/>
  <c r="J574" i="9"/>
  <c r="U574" i="9"/>
  <c r="J571" i="6"/>
  <c r="B571" i="4"/>
  <c r="B572" i="6" s="1"/>
  <c r="A572" i="4"/>
  <c r="A573" i="6" s="1"/>
  <c r="A575" i="9" s="1"/>
  <c r="C571" i="4"/>
  <c r="C572" i="6" s="1"/>
  <c r="D571" i="4"/>
  <c r="D572" i="6" s="1"/>
  <c r="E571" i="4"/>
  <c r="E572" i="6" s="1"/>
  <c r="F571" i="4"/>
  <c r="F572" i="6" s="1"/>
  <c r="G571" i="4"/>
  <c r="G572" i="6" s="1"/>
  <c r="H571" i="4"/>
  <c r="H572" i="6" s="1"/>
  <c r="I571" i="4"/>
  <c r="I572" i="6" s="1"/>
  <c r="C575" i="9" l="1"/>
  <c r="M575" i="9" s="1"/>
  <c r="D575" i="9"/>
  <c r="E575" i="9"/>
  <c r="Q575" i="9" s="1"/>
  <c r="F575" i="9"/>
  <c r="G575" i="9"/>
  <c r="N575" i="9" s="1"/>
  <c r="B575" i="9"/>
  <c r="J575" i="9"/>
  <c r="U575" i="9"/>
  <c r="H575" i="9"/>
  <c r="I575" i="9"/>
  <c r="R575" i="9" s="1"/>
  <c r="P574" i="9"/>
  <c r="T574" i="9"/>
  <c r="L574" i="9"/>
  <c r="J572" i="6"/>
  <c r="I572" i="4"/>
  <c r="I573" i="6" s="1"/>
  <c r="B572" i="4"/>
  <c r="B573" i="6" s="1"/>
  <c r="A573" i="4"/>
  <c r="A574" i="6" s="1"/>
  <c r="A576" i="9" s="1"/>
  <c r="C572" i="4"/>
  <c r="C573" i="6" s="1"/>
  <c r="D572" i="4"/>
  <c r="D573" i="6" s="1"/>
  <c r="E572" i="4"/>
  <c r="E573" i="6" s="1"/>
  <c r="F572" i="4"/>
  <c r="F573" i="6" s="1"/>
  <c r="G572" i="4"/>
  <c r="G573" i="6" s="1"/>
  <c r="H572" i="4"/>
  <c r="H573" i="6" s="1"/>
  <c r="L575" i="9" l="1"/>
  <c r="P575" i="9"/>
  <c r="T575" i="9"/>
  <c r="I576" i="9"/>
  <c r="R576" i="9" s="1"/>
  <c r="B576" i="9"/>
  <c r="J576" i="9"/>
  <c r="U576" i="9"/>
  <c r="C576" i="9"/>
  <c r="M576" i="9" s="1"/>
  <c r="D576" i="9"/>
  <c r="E576" i="9"/>
  <c r="Q576" i="9" s="1"/>
  <c r="H576" i="9"/>
  <c r="F576" i="9"/>
  <c r="G576" i="9"/>
  <c r="N576" i="9" s="1"/>
  <c r="J573" i="6"/>
  <c r="H573" i="4"/>
  <c r="H574" i="6" s="1"/>
  <c r="I573" i="4"/>
  <c r="I574" i="6" s="1"/>
  <c r="B573" i="4"/>
  <c r="B574" i="6" s="1"/>
  <c r="A574" i="4"/>
  <c r="A575" i="6" s="1"/>
  <c r="A577" i="9" s="1"/>
  <c r="C573" i="4"/>
  <c r="C574" i="6" s="1"/>
  <c r="D573" i="4"/>
  <c r="D574" i="6" s="1"/>
  <c r="E573" i="4"/>
  <c r="E574" i="6" s="1"/>
  <c r="F573" i="4"/>
  <c r="F574" i="6" s="1"/>
  <c r="G573" i="4"/>
  <c r="G574" i="6" s="1"/>
  <c r="T576" i="9" l="1"/>
  <c r="L576" i="9"/>
  <c r="P576" i="9"/>
  <c r="G577" i="9"/>
  <c r="N577" i="9" s="1"/>
  <c r="H577" i="9"/>
  <c r="I577" i="9"/>
  <c r="R577" i="9" s="1"/>
  <c r="B577" i="9"/>
  <c r="J577" i="9"/>
  <c r="U577" i="9"/>
  <c r="C577" i="9"/>
  <c r="M577" i="9" s="1"/>
  <c r="F577" i="9"/>
  <c r="D577" i="9"/>
  <c r="E577" i="9"/>
  <c r="Q577" i="9" s="1"/>
  <c r="J574" i="6"/>
  <c r="G574" i="4"/>
  <c r="G575" i="6" s="1"/>
  <c r="H574" i="4"/>
  <c r="H575" i="6" s="1"/>
  <c r="I574" i="4"/>
  <c r="I575" i="6" s="1"/>
  <c r="B574" i="4"/>
  <c r="B575" i="6" s="1"/>
  <c r="A575" i="4"/>
  <c r="A576" i="6" s="1"/>
  <c r="A578" i="9" s="1"/>
  <c r="C574" i="4"/>
  <c r="C575" i="6" s="1"/>
  <c r="D574" i="4"/>
  <c r="D575" i="6" s="1"/>
  <c r="E574" i="4"/>
  <c r="E575" i="6" s="1"/>
  <c r="F574" i="4"/>
  <c r="F575" i="6" s="1"/>
  <c r="T577" i="9" l="1"/>
  <c r="L577" i="9"/>
  <c r="P577" i="9"/>
  <c r="E578" i="9"/>
  <c r="Q578" i="9" s="1"/>
  <c r="F578" i="9"/>
  <c r="G578" i="9"/>
  <c r="N578" i="9" s="1"/>
  <c r="H578" i="9"/>
  <c r="I578" i="9"/>
  <c r="R578" i="9" s="1"/>
  <c r="D578" i="9"/>
  <c r="U578" i="9"/>
  <c r="B578" i="9"/>
  <c r="C578" i="9"/>
  <c r="M578" i="9" s="1"/>
  <c r="J578" i="9"/>
  <c r="J575" i="6"/>
  <c r="F575" i="4"/>
  <c r="F576" i="6" s="1"/>
  <c r="G575" i="4"/>
  <c r="G576" i="6" s="1"/>
  <c r="H575" i="4"/>
  <c r="H576" i="6" s="1"/>
  <c r="I575" i="4"/>
  <c r="I576" i="6" s="1"/>
  <c r="B575" i="4"/>
  <c r="B576" i="6" s="1"/>
  <c r="A576" i="4"/>
  <c r="A577" i="6" s="1"/>
  <c r="A579" i="9" s="1"/>
  <c r="C575" i="4"/>
  <c r="C576" i="6" s="1"/>
  <c r="D575" i="4"/>
  <c r="D576" i="6" s="1"/>
  <c r="E575" i="4"/>
  <c r="E576" i="6" s="1"/>
  <c r="C579" i="9" l="1"/>
  <c r="M579" i="9" s="1"/>
  <c r="D579" i="9"/>
  <c r="E579" i="9"/>
  <c r="Q579" i="9" s="1"/>
  <c r="F579" i="9"/>
  <c r="G579" i="9"/>
  <c r="N579" i="9" s="1"/>
  <c r="B579" i="9"/>
  <c r="J579" i="9"/>
  <c r="U579" i="9"/>
  <c r="H579" i="9"/>
  <c r="I579" i="9"/>
  <c r="R579" i="9" s="1"/>
  <c r="P578" i="9"/>
  <c r="T578" i="9"/>
  <c r="L578" i="9"/>
  <c r="J576" i="6"/>
  <c r="E576" i="4"/>
  <c r="E577" i="6" s="1"/>
  <c r="F576" i="4"/>
  <c r="F577" i="6" s="1"/>
  <c r="G576" i="4"/>
  <c r="G577" i="6" s="1"/>
  <c r="H576" i="4"/>
  <c r="H577" i="6" s="1"/>
  <c r="I576" i="4"/>
  <c r="I577" i="6" s="1"/>
  <c r="B576" i="4"/>
  <c r="B577" i="6" s="1"/>
  <c r="A577" i="4"/>
  <c r="A578" i="6" s="1"/>
  <c r="A580" i="9" s="1"/>
  <c r="C576" i="4"/>
  <c r="C577" i="6" s="1"/>
  <c r="D576" i="4"/>
  <c r="D577" i="6" s="1"/>
  <c r="L579" i="9" l="1"/>
  <c r="P579" i="9"/>
  <c r="T579" i="9"/>
  <c r="I580" i="9"/>
  <c r="R580" i="9" s="1"/>
  <c r="B580" i="9"/>
  <c r="J580" i="9"/>
  <c r="U580" i="9"/>
  <c r="C580" i="9"/>
  <c r="M580" i="9" s="1"/>
  <c r="D580" i="9"/>
  <c r="E580" i="9"/>
  <c r="Q580" i="9" s="1"/>
  <c r="H580" i="9"/>
  <c r="G580" i="9"/>
  <c r="N580" i="9" s="1"/>
  <c r="F580" i="9"/>
  <c r="J577" i="6"/>
  <c r="D577" i="4"/>
  <c r="D578" i="6" s="1"/>
  <c r="E577" i="4"/>
  <c r="E578" i="6" s="1"/>
  <c r="F577" i="4"/>
  <c r="F578" i="6" s="1"/>
  <c r="G577" i="4"/>
  <c r="G578" i="6" s="1"/>
  <c r="H577" i="4"/>
  <c r="H578" i="6" s="1"/>
  <c r="I577" i="4"/>
  <c r="I578" i="6" s="1"/>
  <c r="B577" i="4"/>
  <c r="B578" i="6" s="1"/>
  <c r="A578" i="4"/>
  <c r="A579" i="6" s="1"/>
  <c r="A581" i="9" s="1"/>
  <c r="C577" i="4"/>
  <c r="C578" i="6" s="1"/>
  <c r="G581" i="9" l="1"/>
  <c r="N581" i="9" s="1"/>
  <c r="H581" i="9"/>
  <c r="I581" i="9"/>
  <c r="R581" i="9" s="1"/>
  <c r="B581" i="9"/>
  <c r="J581" i="9"/>
  <c r="U581" i="9"/>
  <c r="C581" i="9"/>
  <c r="M581" i="9" s="1"/>
  <c r="F581" i="9"/>
  <c r="D581" i="9"/>
  <c r="E581" i="9"/>
  <c r="Q581" i="9" s="1"/>
  <c r="T580" i="9"/>
  <c r="L580" i="9"/>
  <c r="P580" i="9"/>
  <c r="J578" i="6"/>
  <c r="C578" i="4"/>
  <c r="C579" i="6" s="1"/>
  <c r="D578" i="4"/>
  <c r="D579" i="6" s="1"/>
  <c r="E578" i="4"/>
  <c r="E579" i="6" s="1"/>
  <c r="F578" i="4"/>
  <c r="F579" i="6" s="1"/>
  <c r="G578" i="4"/>
  <c r="G579" i="6" s="1"/>
  <c r="H578" i="4"/>
  <c r="H579" i="6" s="1"/>
  <c r="I578" i="4"/>
  <c r="I579" i="6" s="1"/>
  <c r="B578" i="4"/>
  <c r="B579" i="6" s="1"/>
  <c r="A579" i="4"/>
  <c r="A580" i="6" s="1"/>
  <c r="A582" i="9" s="1"/>
  <c r="E582" i="9" l="1"/>
  <c r="Q582" i="9" s="1"/>
  <c r="F582" i="9"/>
  <c r="G582" i="9"/>
  <c r="N582" i="9" s="1"/>
  <c r="H582" i="9"/>
  <c r="I582" i="9"/>
  <c r="R582" i="9" s="1"/>
  <c r="D582" i="9"/>
  <c r="J582" i="9"/>
  <c r="U582" i="9"/>
  <c r="C582" i="9"/>
  <c r="M582" i="9" s="1"/>
  <c r="B582" i="9"/>
  <c r="T581" i="9"/>
  <c r="L581" i="9"/>
  <c r="P581" i="9"/>
  <c r="J579" i="6"/>
  <c r="B579" i="4"/>
  <c r="B580" i="6" s="1"/>
  <c r="A580" i="4"/>
  <c r="A581" i="6" s="1"/>
  <c r="A583" i="9" s="1"/>
  <c r="C579" i="4"/>
  <c r="C580" i="6" s="1"/>
  <c r="D579" i="4"/>
  <c r="D580" i="6" s="1"/>
  <c r="E579" i="4"/>
  <c r="E580" i="6" s="1"/>
  <c r="F579" i="4"/>
  <c r="F580" i="6" s="1"/>
  <c r="G579" i="4"/>
  <c r="G580" i="6" s="1"/>
  <c r="H579" i="4"/>
  <c r="H580" i="6" s="1"/>
  <c r="I579" i="4"/>
  <c r="I580" i="6" s="1"/>
  <c r="P582" i="9" l="1"/>
  <c r="T582" i="9"/>
  <c r="L582" i="9"/>
  <c r="C583" i="9"/>
  <c r="M583" i="9" s="1"/>
  <c r="D583" i="9"/>
  <c r="E583" i="9"/>
  <c r="Q583" i="9" s="1"/>
  <c r="F583" i="9"/>
  <c r="G583" i="9"/>
  <c r="N583" i="9" s="1"/>
  <c r="B583" i="9"/>
  <c r="J583" i="9"/>
  <c r="U583" i="9"/>
  <c r="H583" i="9"/>
  <c r="I583" i="9"/>
  <c r="R583" i="9" s="1"/>
  <c r="J580" i="6"/>
  <c r="I580" i="4"/>
  <c r="I581" i="6" s="1"/>
  <c r="B580" i="4"/>
  <c r="B581" i="6" s="1"/>
  <c r="A581" i="4"/>
  <c r="A582" i="6" s="1"/>
  <c r="A584" i="9" s="1"/>
  <c r="C580" i="4"/>
  <c r="C581" i="6" s="1"/>
  <c r="D580" i="4"/>
  <c r="D581" i="6" s="1"/>
  <c r="E580" i="4"/>
  <c r="E581" i="6" s="1"/>
  <c r="F580" i="4"/>
  <c r="F581" i="6" s="1"/>
  <c r="G580" i="4"/>
  <c r="G581" i="6" s="1"/>
  <c r="H580" i="4"/>
  <c r="H581" i="6" s="1"/>
  <c r="L583" i="9" l="1"/>
  <c r="P583" i="9"/>
  <c r="T583" i="9"/>
  <c r="I584" i="9"/>
  <c r="R584" i="9" s="1"/>
  <c r="B584" i="9"/>
  <c r="J584" i="9"/>
  <c r="U584" i="9"/>
  <c r="C584" i="9"/>
  <c r="M584" i="9" s="1"/>
  <c r="D584" i="9"/>
  <c r="E584" i="9"/>
  <c r="Q584" i="9" s="1"/>
  <c r="H584" i="9"/>
  <c r="F584" i="9"/>
  <c r="G584" i="9"/>
  <c r="N584" i="9" s="1"/>
  <c r="J581" i="6"/>
  <c r="H581" i="4"/>
  <c r="H582" i="6" s="1"/>
  <c r="I581" i="4"/>
  <c r="I582" i="6" s="1"/>
  <c r="B581" i="4"/>
  <c r="B582" i="6" s="1"/>
  <c r="A582" i="4"/>
  <c r="A583" i="6" s="1"/>
  <c r="A585" i="9" s="1"/>
  <c r="C581" i="4"/>
  <c r="C582" i="6" s="1"/>
  <c r="D581" i="4"/>
  <c r="D582" i="6" s="1"/>
  <c r="E581" i="4"/>
  <c r="E582" i="6" s="1"/>
  <c r="F581" i="4"/>
  <c r="F582" i="6" s="1"/>
  <c r="G581" i="4"/>
  <c r="G582" i="6" s="1"/>
  <c r="T584" i="9" l="1"/>
  <c r="L584" i="9"/>
  <c r="P584" i="9"/>
  <c r="G585" i="9"/>
  <c r="N585" i="9" s="1"/>
  <c r="H585" i="9"/>
  <c r="I585" i="9"/>
  <c r="R585" i="9" s="1"/>
  <c r="B585" i="9"/>
  <c r="J585" i="9"/>
  <c r="U585" i="9"/>
  <c r="C585" i="9"/>
  <c r="M585" i="9" s="1"/>
  <c r="F585" i="9"/>
  <c r="D585" i="9"/>
  <c r="E585" i="9"/>
  <c r="Q585" i="9" s="1"/>
  <c r="J582" i="6"/>
  <c r="G582" i="4"/>
  <c r="G583" i="6" s="1"/>
  <c r="H582" i="4"/>
  <c r="H583" i="6" s="1"/>
  <c r="I582" i="4"/>
  <c r="I583" i="6" s="1"/>
  <c r="B582" i="4"/>
  <c r="B583" i="6" s="1"/>
  <c r="A583" i="4"/>
  <c r="A584" i="6" s="1"/>
  <c r="A586" i="9" s="1"/>
  <c r="C582" i="4"/>
  <c r="C583" i="6" s="1"/>
  <c r="D582" i="4"/>
  <c r="D583" i="6" s="1"/>
  <c r="E582" i="4"/>
  <c r="E583" i="6" s="1"/>
  <c r="F582" i="4"/>
  <c r="F583" i="6" s="1"/>
  <c r="T585" i="9" l="1"/>
  <c r="L585" i="9"/>
  <c r="P585" i="9"/>
  <c r="E586" i="9"/>
  <c r="Q586" i="9" s="1"/>
  <c r="F586" i="9"/>
  <c r="G586" i="9"/>
  <c r="N586" i="9" s="1"/>
  <c r="H586" i="9"/>
  <c r="I586" i="9"/>
  <c r="R586" i="9" s="1"/>
  <c r="D586" i="9"/>
  <c r="B586" i="9"/>
  <c r="C586" i="9"/>
  <c r="M586" i="9" s="1"/>
  <c r="J586" i="9"/>
  <c r="U586" i="9"/>
  <c r="J583" i="6"/>
  <c r="F583" i="4"/>
  <c r="F584" i="6" s="1"/>
  <c r="G583" i="4"/>
  <c r="G584" i="6" s="1"/>
  <c r="H583" i="4"/>
  <c r="H584" i="6" s="1"/>
  <c r="I583" i="4"/>
  <c r="I584" i="6" s="1"/>
  <c r="B583" i="4"/>
  <c r="B584" i="6" s="1"/>
  <c r="A584" i="4"/>
  <c r="A585" i="6" s="1"/>
  <c r="A587" i="9" s="1"/>
  <c r="C583" i="4"/>
  <c r="C584" i="6" s="1"/>
  <c r="D583" i="4"/>
  <c r="D584" i="6" s="1"/>
  <c r="E583" i="4"/>
  <c r="E584" i="6" s="1"/>
  <c r="C587" i="9" l="1"/>
  <c r="M587" i="9" s="1"/>
  <c r="D587" i="9"/>
  <c r="E587" i="9"/>
  <c r="Q587" i="9" s="1"/>
  <c r="F587" i="9"/>
  <c r="G587" i="9"/>
  <c r="N587" i="9" s="1"/>
  <c r="B587" i="9"/>
  <c r="J587" i="9"/>
  <c r="U587" i="9"/>
  <c r="I587" i="9"/>
  <c r="R587" i="9" s="1"/>
  <c r="H587" i="9"/>
  <c r="P586" i="9"/>
  <c r="T586" i="9"/>
  <c r="L586" i="9"/>
  <c r="J584" i="6"/>
  <c r="E584" i="4"/>
  <c r="E585" i="6" s="1"/>
  <c r="F584" i="4"/>
  <c r="F585" i="6" s="1"/>
  <c r="G584" i="4"/>
  <c r="G585" i="6" s="1"/>
  <c r="H584" i="4"/>
  <c r="H585" i="6" s="1"/>
  <c r="I584" i="4"/>
  <c r="I585" i="6" s="1"/>
  <c r="B584" i="4"/>
  <c r="B585" i="6" s="1"/>
  <c r="A585" i="4"/>
  <c r="A586" i="6" s="1"/>
  <c r="A588" i="9" s="1"/>
  <c r="C584" i="4"/>
  <c r="C585" i="6" s="1"/>
  <c r="D584" i="4"/>
  <c r="D585" i="6" s="1"/>
  <c r="L587" i="9" l="1"/>
  <c r="P587" i="9"/>
  <c r="T587" i="9"/>
  <c r="I588" i="9"/>
  <c r="R588" i="9" s="1"/>
  <c r="B588" i="9"/>
  <c r="J588" i="9"/>
  <c r="U588" i="9"/>
  <c r="C588" i="9"/>
  <c r="M588" i="9" s="1"/>
  <c r="D588" i="9"/>
  <c r="E588" i="9"/>
  <c r="Q588" i="9" s="1"/>
  <c r="H588" i="9"/>
  <c r="F588" i="9"/>
  <c r="G588" i="9"/>
  <c r="N588" i="9" s="1"/>
  <c r="J585" i="6"/>
  <c r="D585" i="4"/>
  <c r="D586" i="6" s="1"/>
  <c r="E585" i="4"/>
  <c r="E586" i="6" s="1"/>
  <c r="F585" i="4"/>
  <c r="F586" i="6" s="1"/>
  <c r="G585" i="4"/>
  <c r="G586" i="6" s="1"/>
  <c r="H585" i="4"/>
  <c r="H586" i="6" s="1"/>
  <c r="I585" i="4"/>
  <c r="I586" i="6" s="1"/>
  <c r="B585" i="4"/>
  <c r="B586" i="6" s="1"/>
  <c r="A586" i="4"/>
  <c r="A587" i="6" s="1"/>
  <c r="A589" i="9" s="1"/>
  <c r="C585" i="4"/>
  <c r="C586" i="6" s="1"/>
  <c r="T588" i="9" l="1"/>
  <c r="L588" i="9"/>
  <c r="P588" i="9"/>
  <c r="G589" i="9"/>
  <c r="N589" i="9" s="1"/>
  <c r="H589" i="9"/>
  <c r="I589" i="9"/>
  <c r="R589" i="9" s="1"/>
  <c r="B589" i="9"/>
  <c r="J589" i="9"/>
  <c r="U589" i="9"/>
  <c r="C589" i="9"/>
  <c r="M589" i="9" s="1"/>
  <c r="F589" i="9"/>
  <c r="E589" i="9"/>
  <c r="Q589" i="9" s="1"/>
  <c r="D589" i="9"/>
  <c r="J586" i="6"/>
  <c r="C586" i="4"/>
  <c r="C587" i="6" s="1"/>
  <c r="D586" i="4"/>
  <c r="D587" i="6" s="1"/>
  <c r="E586" i="4"/>
  <c r="E587" i="6" s="1"/>
  <c r="F586" i="4"/>
  <c r="F587" i="6" s="1"/>
  <c r="G586" i="4"/>
  <c r="G587" i="6" s="1"/>
  <c r="H586" i="4"/>
  <c r="H587" i="6" s="1"/>
  <c r="I586" i="4"/>
  <c r="I587" i="6" s="1"/>
  <c r="B586" i="4"/>
  <c r="B587" i="6" s="1"/>
  <c r="A587" i="4"/>
  <c r="A588" i="6" s="1"/>
  <c r="A590" i="9" s="1"/>
  <c r="T589" i="9" l="1"/>
  <c r="L589" i="9"/>
  <c r="P589" i="9"/>
  <c r="E590" i="9"/>
  <c r="Q590" i="9" s="1"/>
  <c r="F590" i="9"/>
  <c r="G590" i="9"/>
  <c r="N590" i="9" s="1"/>
  <c r="H590" i="9"/>
  <c r="I590" i="9"/>
  <c r="R590" i="9" s="1"/>
  <c r="D590" i="9"/>
  <c r="B590" i="9"/>
  <c r="C590" i="9"/>
  <c r="M590" i="9" s="1"/>
  <c r="J590" i="9"/>
  <c r="U590" i="9"/>
  <c r="J587" i="6"/>
  <c r="B587" i="4"/>
  <c r="B588" i="6" s="1"/>
  <c r="A588" i="4"/>
  <c r="A589" i="6" s="1"/>
  <c r="A591" i="9" s="1"/>
  <c r="C587" i="4"/>
  <c r="C588" i="6" s="1"/>
  <c r="D587" i="4"/>
  <c r="D588" i="6" s="1"/>
  <c r="E587" i="4"/>
  <c r="E588" i="6" s="1"/>
  <c r="F587" i="4"/>
  <c r="F588" i="6" s="1"/>
  <c r="G587" i="4"/>
  <c r="G588" i="6" s="1"/>
  <c r="H587" i="4"/>
  <c r="H588" i="6" s="1"/>
  <c r="I587" i="4"/>
  <c r="I588" i="6" s="1"/>
  <c r="C591" i="9" l="1"/>
  <c r="M591" i="9" s="1"/>
  <c r="D591" i="9"/>
  <c r="E591" i="9"/>
  <c r="Q591" i="9" s="1"/>
  <c r="F591" i="9"/>
  <c r="G591" i="9"/>
  <c r="N591" i="9" s="1"/>
  <c r="B591" i="9"/>
  <c r="J591" i="9"/>
  <c r="U591" i="9"/>
  <c r="H591" i="9"/>
  <c r="I591" i="9"/>
  <c r="R591" i="9" s="1"/>
  <c r="P590" i="9"/>
  <c r="T590" i="9"/>
  <c r="L590" i="9"/>
  <c r="J588" i="6"/>
  <c r="I588" i="4"/>
  <c r="I589" i="6" s="1"/>
  <c r="B588" i="4"/>
  <c r="B589" i="6" s="1"/>
  <c r="A589" i="4"/>
  <c r="A590" i="6" s="1"/>
  <c r="A592" i="9" s="1"/>
  <c r="C588" i="4"/>
  <c r="C589" i="6" s="1"/>
  <c r="D588" i="4"/>
  <c r="D589" i="6" s="1"/>
  <c r="E588" i="4"/>
  <c r="E589" i="6" s="1"/>
  <c r="F588" i="4"/>
  <c r="F589" i="6" s="1"/>
  <c r="G588" i="4"/>
  <c r="G589" i="6" s="1"/>
  <c r="H588" i="4"/>
  <c r="H589" i="6" s="1"/>
  <c r="L591" i="9" l="1"/>
  <c r="P591" i="9"/>
  <c r="T591" i="9"/>
  <c r="I592" i="9"/>
  <c r="R592" i="9" s="1"/>
  <c r="B592" i="9"/>
  <c r="J592" i="9"/>
  <c r="U592" i="9"/>
  <c r="C592" i="9"/>
  <c r="M592" i="9" s="1"/>
  <c r="D592" i="9"/>
  <c r="E592" i="9"/>
  <c r="Q592" i="9" s="1"/>
  <c r="H592" i="9"/>
  <c r="F592" i="9"/>
  <c r="G592" i="9"/>
  <c r="N592" i="9" s="1"/>
  <c r="J589" i="6"/>
  <c r="H589" i="4"/>
  <c r="H590" i="6" s="1"/>
  <c r="I589" i="4"/>
  <c r="I590" i="6" s="1"/>
  <c r="B589" i="4"/>
  <c r="B590" i="6" s="1"/>
  <c r="A590" i="4"/>
  <c r="A591" i="6" s="1"/>
  <c r="A593" i="9" s="1"/>
  <c r="C589" i="4"/>
  <c r="C590" i="6" s="1"/>
  <c r="D589" i="4"/>
  <c r="D590" i="6" s="1"/>
  <c r="E589" i="4"/>
  <c r="E590" i="6" s="1"/>
  <c r="F589" i="4"/>
  <c r="F590" i="6" s="1"/>
  <c r="G589" i="4"/>
  <c r="G590" i="6" s="1"/>
  <c r="T592" i="9" l="1"/>
  <c r="L592" i="9"/>
  <c r="P592" i="9"/>
  <c r="G593" i="9"/>
  <c r="N593" i="9" s="1"/>
  <c r="H593" i="9"/>
  <c r="I593" i="9"/>
  <c r="R593" i="9" s="1"/>
  <c r="B593" i="9"/>
  <c r="J593" i="9"/>
  <c r="U593" i="9"/>
  <c r="C593" i="9"/>
  <c r="M593" i="9" s="1"/>
  <c r="F593" i="9"/>
  <c r="D593" i="9"/>
  <c r="E593" i="9"/>
  <c r="Q593" i="9" s="1"/>
  <c r="J590" i="6"/>
  <c r="G590" i="4"/>
  <c r="G591" i="6" s="1"/>
  <c r="H590" i="4"/>
  <c r="H591" i="6" s="1"/>
  <c r="I590" i="4"/>
  <c r="I591" i="6" s="1"/>
  <c r="B590" i="4"/>
  <c r="B591" i="6" s="1"/>
  <c r="A591" i="4"/>
  <c r="A592" i="6" s="1"/>
  <c r="A594" i="9" s="1"/>
  <c r="C590" i="4"/>
  <c r="C591" i="6" s="1"/>
  <c r="D590" i="4"/>
  <c r="D591" i="6" s="1"/>
  <c r="E590" i="4"/>
  <c r="E591" i="6" s="1"/>
  <c r="F590" i="4"/>
  <c r="F591" i="6" s="1"/>
  <c r="T593" i="9" l="1"/>
  <c r="L593" i="9"/>
  <c r="P593" i="9"/>
  <c r="E594" i="9"/>
  <c r="Q594" i="9" s="1"/>
  <c r="F594" i="9"/>
  <c r="G594" i="9"/>
  <c r="N594" i="9" s="1"/>
  <c r="H594" i="9"/>
  <c r="I594" i="9"/>
  <c r="R594" i="9" s="1"/>
  <c r="D594" i="9"/>
  <c r="U594" i="9"/>
  <c r="B594" i="9"/>
  <c r="J594" i="9"/>
  <c r="C594" i="9"/>
  <c r="M594" i="9" s="1"/>
  <c r="J591" i="6"/>
  <c r="F591" i="4"/>
  <c r="F592" i="6" s="1"/>
  <c r="G591" i="4"/>
  <c r="G592" i="6" s="1"/>
  <c r="H591" i="4"/>
  <c r="H592" i="6" s="1"/>
  <c r="I591" i="4"/>
  <c r="I592" i="6" s="1"/>
  <c r="B591" i="4"/>
  <c r="B592" i="6" s="1"/>
  <c r="A592" i="4"/>
  <c r="A593" i="6" s="1"/>
  <c r="A595" i="9" s="1"/>
  <c r="C591" i="4"/>
  <c r="C592" i="6" s="1"/>
  <c r="D591" i="4"/>
  <c r="D592" i="6" s="1"/>
  <c r="E591" i="4"/>
  <c r="E592" i="6" s="1"/>
  <c r="C595" i="9" l="1"/>
  <c r="M595" i="9" s="1"/>
  <c r="D595" i="9"/>
  <c r="E595" i="9"/>
  <c r="Q595" i="9" s="1"/>
  <c r="F595" i="9"/>
  <c r="G595" i="9"/>
  <c r="N595" i="9" s="1"/>
  <c r="B595" i="9"/>
  <c r="J595" i="9"/>
  <c r="U595" i="9"/>
  <c r="H595" i="9"/>
  <c r="I595" i="9"/>
  <c r="R595" i="9" s="1"/>
  <c r="P594" i="9"/>
  <c r="T594" i="9"/>
  <c r="L594" i="9"/>
  <c r="J592" i="6"/>
  <c r="E592" i="4"/>
  <c r="E593" i="6" s="1"/>
  <c r="F592" i="4"/>
  <c r="F593" i="6" s="1"/>
  <c r="G592" i="4"/>
  <c r="G593" i="6" s="1"/>
  <c r="H592" i="4"/>
  <c r="H593" i="6" s="1"/>
  <c r="I592" i="4"/>
  <c r="I593" i="6" s="1"/>
  <c r="B592" i="4"/>
  <c r="B593" i="6" s="1"/>
  <c r="A593" i="4"/>
  <c r="A594" i="6" s="1"/>
  <c r="A596" i="9" s="1"/>
  <c r="C592" i="4"/>
  <c r="C593" i="6" s="1"/>
  <c r="D592" i="4"/>
  <c r="D593" i="6" s="1"/>
  <c r="I596" i="9" l="1"/>
  <c r="R596" i="9" s="1"/>
  <c r="B596" i="9"/>
  <c r="J596" i="9"/>
  <c r="U596" i="9"/>
  <c r="C596" i="9"/>
  <c r="M596" i="9" s="1"/>
  <c r="D596" i="9"/>
  <c r="E596" i="9"/>
  <c r="Q596" i="9" s="1"/>
  <c r="H596" i="9"/>
  <c r="G596" i="9"/>
  <c r="N596" i="9" s="1"/>
  <c r="F596" i="9"/>
  <c r="L595" i="9"/>
  <c r="P595" i="9"/>
  <c r="T595" i="9"/>
  <c r="J593" i="6"/>
  <c r="D593" i="4"/>
  <c r="D594" i="6" s="1"/>
  <c r="E593" i="4"/>
  <c r="E594" i="6" s="1"/>
  <c r="F593" i="4"/>
  <c r="F594" i="6" s="1"/>
  <c r="G593" i="4"/>
  <c r="G594" i="6" s="1"/>
  <c r="H593" i="4"/>
  <c r="H594" i="6" s="1"/>
  <c r="I593" i="4"/>
  <c r="I594" i="6" s="1"/>
  <c r="B593" i="4"/>
  <c r="B594" i="6" s="1"/>
  <c r="A594" i="4"/>
  <c r="A595" i="6" s="1"/>
  <c r="A597" i="9" s="1"/>
  <c r="C593" i="4"/>
  <c r="C594" i="6" s="1"/>
  <c r="G597" i="9" l="1"/>
  <c r="N597" i="9" s="1"/>
  <c r="H597" i="9"/>
  <c r="I597" i="9"/>
  <c r="R597" i="9" s="1"/>
  <c r="B597" i="9"/>
  <c r="J597" i="9"/>
  <c r="U597" i="9"/>
  <c r="C597" i="9"/>
  <c r="M597" i="9" s="1"/>
  <c r="F597" i="9"/>
  <c r="D597" i="9"/>
  <c r="E597" i="9"/>
  <c r="Q597" i="9" s="1"/>
  <c r="T596" i="9"/>
  <c r="L596" i="9"/>
  <c r="P596" i="9"/>
  <c r="J594" i="6"/>
  <c r="C594" i="4"/>
  <c r="C595" i="6" s="1"/>
  <c r="D594" i="4"/>
  <c r="D595" i="6" s="1"/>
  <c r="E594" i="4"/>
  <c r="E595" i="6" s="1"/>
  <c r="F594" i="4"/>
  <c r="F595" i="6" s="1"/>
  <c r="G594" i="4"/>
  <c r="G595" i="6" s="1"/>
  <c r="H594" i="4"/>
  <c r="H595" i="6" s="1"/>
  <c r="I594" i="4"/>
  <c r="I595" i="6" s="1"/>
  <c r="B594" i="4"/>
  <c r="B595" i="6" s="1"/>
  <c r="A595" i="4"/>
  <c r="A596" i="6" s="1"/>
  <c r="A598" i="9" s="1"/>
  <c r="T597" i="9" l="1"/>
  <c r="L597" i="9"/>
  <c r="P597" i="9"/>
  <c r="E598" i="9"/>
  <c r="Q598" i="9" s="1"/>
  <c r="F598" i="9"/>
  <c r="G598" i="9"/>
  <c r="N598" i="9" s="1"/>
  <c r="H598" i="9"/>
  <c r="I598" i="9"/>
  <c r="R598" i="9" s="1"/>
  <c r="D598" i="9"/>
  <c r="J598" i="9"/>
  <c r="U598" i="9"/>
  <c r="C598" i="9"/>
  <c r="M598" i="9" s="1"/>
  <c r="B598" i="9"/>
  <c r="J595" i="6"/>
  <c r="B595" i="4"/>
  <c r="B596" i="6" s="1"/>
  <c r="A596" i="4"/>
  <c r="A597" i="6" s="1"/>
  <c r="A599" i="9" s="1"/>
  <c r="C595" i="4"/>
  <c r="C596" i="6" s="1"/>
  <c r="D595" i="4"/>
  <c r="D596" i="6" s="1"/>
  <c r="E595" i="4"/>
  <c r="E596" i="6" s="1"/>
  <c r="F595" i="4"/>
  <c r="F596" i="6" s="1"/>
  <c r="G595" i="4"/>
  <c r="G596" i="6" s="1"/>
  <c r="H595" i="4"/>
  <c r="H596" i="6" s="1"/>
  <c r="I595" i="4"/>
  <c r="I596" i="6" s="1"/>
  <c r="C599" i="9" l="1"/>
  <c r="M599" i="9" s="1"/>
  <c r="D599" i="9"/>
  <c r="E599" i="9"/>
  <c r="Q599" i="9" s="1"/>
  <c r="F599" i="9"/>
  <c r="G599" i="9"/>
  <c r="N599" i="9" s="1"/>
  <c r="B599" i="9"/>
  <c r="J599" i="9"/>
  <c r="U599" i="9"/>
  <c r="H599" i="9"/>
  <c r="I599" i="9"/>
  <c r="R599" i="9" s="1"/>
  <c r="P598" i="9"/>
  <c r="T598" i="9"/>
  <c r="L598" i="9"/>
  <c r="J596" i="6"/>
  <c r="I596" i="4"/>
  <c r="I597" i="6" s="1"/>
  <c r="B596" i="4"/>
  <c r="B597" i="6" s="1"/>
  <c r="A597" i="4"/>
  <c r="A598" i="6" s="1"/>
  <c r="A600" i="9" s="1"/>
  <c r="C596" i="4"/>
  <c r="C597" i="6" s="1"/>
  <c r="D596" i="4"/>
  <c r="D597" i="6" s="1"/>
  <c r="E596" i="4"/>
  <c r="E597" i="6" s="1"/>
  <c r="F596" i="4"/>
  <c r="F597" i="6" s="1"/>
  <c r="G596" i="4"/>
  <c r="G597" i="6" s="1"/>
  <c r="H596" i="4"/>
  <c r="H597" i="6" s="1"/>
  <c r="L599" i="9" l="1"/>
  <c r="P599" i="9"/>
  <c r="T599" i="9"/>
  <c r="I600" i="9"/>
  <c r="R600" i="9" s="1"/>
  <c r="B600" i="9"/>
  <c r="J600" i="9"/>
  <c r="U600" i="9"/>
  <c r="C600" i="9"/>
  <c r="M600" i="9" s="1"/>
  <c r="D600" i="9"/>
  <c r="E600" i="9"/>
  <c r="Q600" i="9" s="1"/>
  <c r="H600" i="9"/>
  <c r="F600" i="9"/>
  <c r="G600" i="9"/>
  <c r="N600" i="9" s="1"/>
  <c r="J597" i="6"/>
  <c r="H597" i="4"/>
  <c r="H598" i="6" s="1"/>
  <c r="I597" i="4"/>
  <c r="I598" i="6" s="1"/>
  <c r="B597" i="4"/>
  <c r="B598" i="6" s="1"/>
  <c r="A598" i="4"/>
  <c r="A599" i="6" s="1"/>
  <c r="A601" i="9" s="1"/>
  <c r="C597" i="4"/>
  <c r="C598" i="6" s="1"/>
  <c r="D597" i="4"/>
  <c r="D598" i="6" s="1"/>
  <c r="E597" i="4"/>
  <c r="E598" i="6" s="1"/>
  <c r="F597" i="4"/>
  <c r="F598" i="6" s="1"/>
  <c r="G597" i="4"/>
  <c r="G598" i="6" s="1"/>
  <c r="T600" i="9" l="1"/>
  <c r="L600" i="9"/>
  <c r="P600" i="9"/>
  <c r="G601" i="9"/>
  <c r="N601" i="9" s="1"/>
  <c r="H601" i="9"/>
  <c r="I601" i="9"/>
  <c r="R601" i="9" s="1"/>
  <c r="B601" i="9"/>
  <c r="J601" i="9"/>
  <c r="U601" i="9"/>
  <c r="C601" i="9"/>
  <c r="M601" i="9" s="1"/>
  <c r="F601" i="9"/>
  <c r="D601" i="9"/>
  <c r="E601" i="9"/>
  <c r="Q601" i="9" s="1"/>
  <c r="J598" i="6"/>
  <c r="G598" i="4"/>
  <c r="G599" i="6" s="1"/>
  <c r="H598" i="4"/>
  <c r="H599" i="6" s="1"/>
  <c r="I598" i="4"/>
  <c r="I599" i="6" s="1"/>
  <c r="B598" i="4"/>
  <c r="B599" i="6" s="1"/>
  <c r="A599" i="4"/>
  <c r="A600" i="6" s="1"/>
  <c r="A602" i="9" s="1"/>
  <c r="C598" i="4"/>
  <c r="C599" i="6" s="1"/>
  <c r="D598" i="4"/>
  <c r="D599" i="6" s="1"/>
  <c r="E598" i="4"/>
  <c r="E599" i="6" s="1"/>
  <c r="F598" i="4"/>
  <c r="F599" i="6" s="1"/>
  <c r="T601" i="9" l="1"/>
  <c r="L601" i="9"/>
  <c r="P601" i="9"/>
  <c r="E602" i="9"/>
  <c r="Q602" i="9" s="1"/>
  <c r="F602" i="9"/>
  <c r="G602" i="9"/>
  <c r="N602" i="9" s="1"/>
  <c r="H602" i="9"/>
  <c r="I602" i="9"/>
  <c r="R602" i="9" s="1"/>
  <c r="D602" i="9"/>
  <c r="B602" i="9"/>
  <c r="C602" i="9"/>
  <c r="M602" i="9" s="1"/>
  <c r="J602" i="9"/>
  <c r="U602" i="9"/>
  <c r="J599" i="6"/>
  <c r="F599" i="4"/>
  <c r="F600" i="6" s="1"/>
  <c r="G599" i="4"/>
  <c r="G600" i="6" s="1"/>
  <c r="H599" i="4"/>
  <c r="H600" i="6" s="1"/>
  <c r="I599" i="4"/>
  <c r="I600" i="6" s="1"/>
  <c r="B599" i="4"/>
  <c r="B600" i="6" s="1"/>
  <c r="A600" i="4"/>
  <c r="A601" i="6" s="1"/>
  <c r="A603" i="9" s="1"/>
  <c r="C599" i="4"/>
  <c r="C600" i="6" s="1"/>
  <c r="D599" i="4"/>
  <c r="D600" i="6" s="1"/>
  <c r="E599" i="4"/>
  <c r="E600" i="6" s="1"/>
  <c r="P602" i="9" l="1"/>
  <c r="T602" i="9"/>
  <c r="L602" i="9"/>
  <c r="C603" i="9"/>
  <c r="M603" i="9" s="1"/>
  <c r="D603" i="9"/>
  <c r="E603" i="9"/>
  <c r="Q603" i="9" s="1"/>
  <c r="F603" i="9"/>
  <c r="G603" i="9"/>
  <c r="N603" i="9" s="1"/>
  <c r="I603" i="9"/>
  <c r="R603" i="9" s="1"/>
  <c r="J603" i="9"/>
  <c r="U603" i="9"/>
  <c r="H603" i="9"/>
  <c r="B603" i="9"/>
  <c r="J600" i="6"/>
  <c r="E600" i="4"/>
  <c r="E601" i="6" s="1"/>
  <c r="F600" i="4"/>
  <c r="F601" i="6" s="1"/>
  <c r="G600" i="4"/>
  <c r="G601" i="6" s="1"/>
  <c r="H600" i="4"/>
  <c r="H601" i="6" s="1"/>
  <c r="I600" i="4"/>
  <c r="I601" i="6" s="1"/>
  <c r="B600" i="4"/>
  <c r="B601" i="6" s="1"/>
  <c r="A601" i="4"/>
  <c r="A602" i="6" s="1"/>
  <c r="A604" i="9" s="1"/>
  <c r="C600" i="4"/>
  <c r="C601" i="6" s="1"/>
  <c r="D600" i="4"/>
  <c r="D601" i="6" s="1"/>
  <c r="B604" i="9" l="1"/>
  <c r="J604" i="9"/>
  <c r="U604" i="9"/>
  <c r="C604" i="9"/>
  <c r="M604" i="9" s="1"/>
  <c r="D604" i="9"/>
  <c r="E604" i="9"/>
  <c r="Q604" i="9" s="1"/>
  <c r="I604" i="9"/>
  <c r="R604" i="9" s="1"/>
  <c r="H604" i="9"/>
  <c r="F604" i="9"/>
  <c r="G604" i="9"/>
  <c r="N604" i="9" s="1"/>
  <c r="L603" i="9"/>
  <c r="P603" i="9"/>
  <c r="T603" i="9"/>
  <c r="J601" i="6"/>
  <c r="D601" i="4"/>
  <c r="D602" i="6" s="1"/>
  <c r="E601" i="4"/>
  <c r="E602" i="6" s="1"/>
  <c r="F601" i="4"/>
  <c r="F602" i="6" s="1"/>
  <c r="G601" i="4"/>
  <c r="G602" i="6" s="1"/>
  <c r="H601" i="4"/>
  <c r="H602" i="6" s="1"/>
  <c r="I601" i="4"/>
  <c r="I602" i="6" s="1"/>
  <c r="B601" i="4"/>
  <c r="B602" i="6" s="1"/>
  <c r="A602" i="4"/>
  <c r="A603" i="6" s="1"/>
  <c r="A605" i="9" s="1"/>
  <c r="C601" i="4"/>
  <c r="C602" i="6" s="1"/>
  <c r="L604" i="9" l="1"/>
  <c r="P604" i="9"/>
  <c r="T604" i="9"/>
  <c r="H605" i="9"/>
  <c r="E605" i="9"/>
  <c r="Q605" i="9" s="1"/>
  <c r="F605" i="9"/>
  <c r="G605" i="9"/>
  <c r="N605" i="9" s="1"/>
  <c r="I605" i="9"/>
  <c r="R605" i="9" s="1"/>
  <c r="J605" i="9"/>
  <c r="U605" i="9"/>
  <c r="D605" i="9"/>
  <c r="B605" i="9"/>
  <c r="C605" i="9"/>
  <c r="M605" i="9" s="1"/>
  <c r="J602" i="6"/>
  <c r="C602" i="4"/>
  <c r="C603" i="6" s="1"/>
  <c r="D602" i="4"/>
  <c r="D603" i="6" s="1"/>
  <c r="E602" i="4"/>
  <c r="E603" i="6" s="1"/>
  <c r="F602" i="4"/>
  <c r="F603" i="6" s="1"/>
  <c r="G602" i="4"/>
  <c r="G603" i="6" s="1"/>
  <c r="H602" i="4"/>
  <c r="H603" i="6" s="1"/>
  <c r="I602" i="4"/>
  <c r="I603" i="6" s="1"/>
  <c r="B602" i="4"/>
  <c r="B603" i="6" s="1"/>
  <c r="A603" i="4"/>
  <c r="A604" i="6" s="1"/>
  <c r="A606" i="9" s="1"/>
  <c r="D606" i="9" l="1"/>
  <c r="E606" i="9"/>
  <c r="Q606" i="9" s="1"/>
  <c r="F606" i="9"/>
  <c r="G606" i="9"/>
  <c r="N606" i="9" s="1"/>
  <c r="H606" i="9"/>
  <c r="C606" i="9"/>
  <c r="M606" i="9" s="1"/>
  <c r="I606" i="9"/>
  <c r="R606" i="9" s="1"/>
  <c r="J606" i="9"/>
  <c r="U606" i="9"/>
  <c r="B606" i="9"/>
  <c r="P605" i="9"/>
  <c r="T605" i="9"/>
  <c r="L605" i="9"/>
  <c r="J603" i="6"/>
  <c r="B603" i="4"/>
  <c r="B604" i="6" s="1"/>
  <c r="A604" i="4"/>
  <c r="A605" i="6" s="1"/>
  <c r="A607" i="9" s="1"/>
  <c r="C603" i="4"/>
  <c r="C604" i="6" s="1"/>
  <c r="D603" i="4"/>
  <c r="D604" i="6" s="1"/>
  <c r="E603" i="4"/>
  <c r="E604" i="6" s="1"/>
  <c r="F603" i="4"/>
  <c r="F604" i="6" s="1"/>
  <c r="G603" i="4"/>
  <c r="G604" i="6" s="1"/>
  <c r="H603" i="4"/>
  <c r="H604" i="6" s="1"/>
  <c r="I603" i="4"/>
  <c r="I604" i="6" s="1"/>
  <c r="P606" i="9" l="1"/>
  <c r="L606" i="9"/>
  <c r="T606" i="9"/>
  <c r="B607" i="9"/>
  <c r="J607" i="9"/>
  <c r="U607" i="9"/>
  <c r="C607" i="9"/>
  <c r="M607" i="9" s="1"/>
  <c r="D607" i="9"/>
  <c r="E607" i="9"/>
  <c r="Q607" i="9" s="1"/>
  <c r="F607" i="9"/>
  <c r="I607" i="9"/>
  <c r="R607" i="9" s="1"/>
  <c r="H607" i="9"/>
  <c r="G607" i="9"/>
  <c r="N607" i="9" s="1"/>
  <c r="J604" i="6"/>
  <c r="I604" i="4"/>
  <c r="I605" i="6" s="1"/>
  <c r="B604" i="4"/>
  <c r="B605" i="6" s="1"/>
  <c r="A605" i="4"/>
  <c r="A606" i="6" s="1"/>
  <c r="A608" i="9" s="1"/>
  <c r="C604" i="4"/>
  <c r="C605" i="6" s="1"/>
  <c r="D604" i="4"/>
  <c r="D605" i="6" s="1"/>
  <c r="E604" i="4"/>
  <c r="E605" i="6" s="1"/>
  <c r="F604" i="4"/>
  <c r="F605" i="6" s="1"/>
  <c r="G604" i="4"/>
  <c r="G605" i="6" s="1"/>
  <c r="H604" i="4"/>
  <c r="H605" i="6" s="1"/>
  <c r="L607" i="9" l="1"/>
  <c r="P607" i="9"/>
  <c r="T607" i="9"/>
  <c r="H608" i="9"/>
  <c r="I608" i="9"/>
  <c r="R608" i="9" s="1"/>
  <c r="B608" i="9"/>
  <c r="J608" i="9"/>
  <c r="U608" i="9"/>
  <c r="C608" i="9"/>
  <c r="M608" i="9" s="1"/>
  <c r="D608" i="9"/>
  <c r="G608" i="9"/>
  <c r="N608" i="9" s="1"/>
  <c r="E608" i="9"/>
  <c r="Q608" i="9" s="1"/>
  <c r="F608" i="9"/>
  <c r="J605" i="6"/>
  <c r="H605" i="4"/>
  <c r="H606" i="6" s="1"/>
  <c r="I605" i="4"/>
  <c r="I606" i="6" s="1"/>
  <c r="B605" i="4"/>
  <c r="B606" i="6" s="1"/>
  <c r="A606" i="4"/>
  <c r="A607" i="6" s="1"/>
  <c r="A609" i="9" s="1"/>
  <c r="C605" i="4"/>
  <c r="C606" i="6" s="1"/>
  <c r="D605" i="4"/>
  <c r="D606" i="6" s="1"/>
  <c r="E605" i="4"/>
  <c r="E606" i="6" s="1"/>
  <c r="F605" i="4"/>
  <c r="F606" i="6" s="1"/>
  <c r="G605" i="4"/>
  <c r="G606" i="6" s="1"/>
  <c r="T608" i="9" l="1"/>
  <c r="L608" i="9"/>
  <c r="P608" i="9"/>
  <c r="F609" i="9"/>
  <c r="G609" i="9"/>
  <c r="N609" i="9" s="1"/>
  <c r="H609" i="9"/>
  <c r="I609" i="9"/>
  <c r="R609" i="9" s="1"/>
  <c r="B609" i="9"/>
  <c r="J609" i="9"/>
  <c r="U609" i="9"/>
  <c r="E609" i="9"/>
  <c r="Q609" i="9" s="1"/>
  <c r="C609" i="9"/>
  <c r="M609" i="9" s="1"/>
  <c r="D609" i="9"/>
  <c r="J606" i="6"/>
  <c r="G606" i="4"/>
  <c r="G607" i="6" s="1"/>
  <c r="H606" i="4"/>
  <c r="H607" i="6" s="1"/>
  <c r="I606" i="4"/>
  <c r="I607" i="6" s="1"/>
  <c r="B606" i="4"/>
  <c r="B607" i="6" s="1"/>
  <c r="A607" i="4"/>
  <c r="A608" i="6" s="1"/>
  <c r="A610" i="9" s="1"/>
  <c r="C606" i="4"/>
  <c r="C607" i="6" s="1"/>
  <c r="D606" i="4"/>
  <c r="D607" i="6" s="1"/>
  <c r="E606" i="4"/>
  <c r="E607" i="6" s="1"/>
  <c r="F606" i="4"/>
  <c r="F607" i="6" s="1"/>
  <c r="D610" i="9" l="1"/>
  <c r="E610" i="9"/>
  <c r="Q610" i="9" s="1"/>
  <c r="F610" i="9"/>
  <c r="G610" i="9"/>
  <c r="N610" i="9" s="1"/>
  <c r="H610" i="9"/>
  <c r="C610" i="9"/>
  <c r="M610" i="9" s="1"/>
  <c r="B610" i="9"/>
  <c r="U610" i="9"/>
  <c r="I610" i="9"/>
  <c r="R610" i="9" s="1"/>
  <c r="J610" i="9"/>
  <c r="P609" i="9"/>
  <c r="T609" i="9"/>
  <c r="L609" i="9"/>
  <c r="J607" i="6"/>
  <c r="F607" i="4"/>
  <c r="F608" i="6" s="1"/>
  <c r="G607" i="4"/>
  <c r="G608" i="6" s="1"/>
  <c r="H607" i="4"/>
  <c r="H608" i="6" s="1"/>
  <c r="I607" i="4"/>
  <c r="I608" i="6" s="1"/>
  <c r="B607" i="4"/>
  <c r="B608" i="6" s="1"/>
  <c r="A608" i="4"/>
  <c r="A609" i="6" s="1"/>
  <c r="A611" i="9" s="1"/>
  <c r="C607" i="4"/>
  <c r="C608" i="6" s="1"/>
  <c r="D607" i="4"/>
  <c r="D608" i="6" s="1"/>
  <c r="E607" i="4"/>
  <c r="E608" i="6" s="1"/>
  <c r="B611" i="9" l="1"/>
  <c r="J611" i="9"/>
  <c r="U611" i="9"/>
  <c r="C611" i="9"/>
  <c r="M611" i="9" s="1"/>
  <c r="D611" i="9"/>
  <c r="E611" i="9"/>
  <c r="Q611" i="9" s="1"/>
  <c r="F611" i="9"/>
  <c r="I611" i="9"/>
  <c r="R611" i="9" s="1"/>
  <c r="G611" i="9"/>
  <c r="N611" i="9" s="1"/>
  <c r="H611" i="9"/>
  <c r="P610" i="9"/>
  <c r="L610" i="9"/>
  <c r="T610" i="9"/>
  <c r="J608" i="6"/>
  <c r="E608" i="4"/>
  <c r="E609" i="6" s="1"/>
  <c r="F608" i="4"/>
  <c r="F609" i="6" s="1"/>
  <c r="G608" i="4"/>
  <c r="G609" i="6" s="1"/>
  <c r="H608" i="4"/>
  <c r="H609" i="6" s="1"/>
  <c r="I608" i="4"/>
  <c r="I609" i="6" s="1"/>
  <c r="B608" i="4"/>
  <c r="B609" i="6" s="1"/>
  <c r="A609" i="4"/>
  <c r="A610" i="6" s="1"/>
  <c r="A612" i="9" s="1"/>
  <c r="C608" i="4"/>
  <c r="C609" i="6" s="1"/>
  <c r="D608" i="4"/>
  <c r="D609" i="6" s="1"/>
  <c r="H612" i="9" l="1"/>
  <c r="I612" i="9"/>
  <c r="R612" i="9" s="1"/>
  <c r="B612" i="9"/>
  <c r="J612" i="9"/>
  <c r="U612" i="9"/>
  <c r="C612" i="9"/>
  <c r="M612" i="9" s="1"/>
  <c r="D612" i="9"/>
  <c r="G612" i="9"/>
  <c r="N612" i="9" s="1"/>
  <c r="E612" i="9"/>
  <c r="Q612" i="9" s="1"/>
  <c r="F612" i="9"/>
  <c r="L611" i="9"/>
  <c r="P611" i="9"/>
  <c r="T611" i="9"/>
  <c r="J609" i="6"/>
  <c r="D609" i="4"/>
  <c r="D610" i="6" s="1"/>
  <c r="E609" i="4"/>
  <c r="E610" i="6" s="1"/>
  <c r="F609" i="4"/>
  <c r="F610" i="6" s="1"/>
  <c r="G609" i="4"/>
  <c r="G610" i="6" s="1"/>
  <c r="H609" i="4"/>
  <c r="H610" i="6" s="1"/>
  <c r="I609" i="4"/>
  <c r="I610" i="6" s="1"/>
  <c r="B609" i="4"/>
  <c r="B610" i="6" s="1"/>
  <c r="A610" i="4"/>
  <c r="A611" i="6" s="1"/>
  <c r="A613" i="9" s="1"/>
  <c r="C609" i="4"/>
  <c r="C610" i="6" s="1"/>
  <c r="T612" i="9" l="1"/>
  <c r="L612" i="9"/>
  <c r="P612" i="9"/>
  <c r="F613" i="9"/>
  <c r="G613" i="9"/>
  <c r="N613" i="9" s="1"/>
  <c r="H613" i="9"/>
  <c r="I613" i="9"/>
  <c r="R613" i="9" s="1"/>
  <c r="B613" i="9"/>
  <c r="J613" i="9"/>
  <c r="U613" i="9"/>
  <c r="E613" i="9"/>
  <c r="Q613" i="9" s="1"/>
  <c r="C613" i="9"/>
  <c r="M613" i="9" s="1"/>
  <c r="D613" i="9"/>
  <c r="J610" i="6"/>
  <c r="C610" i="4"/>
  <c r="C611" i="6" s="1"/>
  <c r="D610" i="4"/>
  <c r="D611" i="6" s="1"/>
  <c r="E610" i="4"/>
  <c r="E611" i="6" s="1"/>
  <c r="F610" i="4"/>
  <c r="F611" i="6" s="1"/>
  <c r="G610" i="4"/>
  <c r="G611" i="6" s="1"/>
  <c r="H610" i="4"/>
  <c r="H611" i="6" s="1"/>
  <c r="I610" i="4"/>
  <c r="I611" i="6" s="1"/>
  <c r="A611" i="4"/>
  <c r="A612" i="6" s="1"/>
  <c r="A614" i="9" s="1"/>
  <c r="B610" i="4"/>
  <c r="B611" i="6" s="1"/>
  <c r="D614" i="9" l="1"/>
  <c r="E614" i="9"/>
  <c r="Q614" i="9" s="1"/>
  <c r="F614" i="9"/>
  <c r="G614" i="9"/>
  <c r="N614" i="9" s="1"/>
  <c r="H614" i="9"/>
  <c r="C614" i="9"/>
  <c r="M614" i="9" s="1"/>
  <c r="J614" i="9"/>
  <c r="B614" i="9"/>
  <c r="I614" i="9"/>
  <c r="R614" i="9" s="1"/>
  <c r="U614" i="9"/>
  <c r="P613" i="9"/>
  <c r="T613" i="9"/>
  <c r="L613" i="9"/>
  <c r="J611" i="6"/>
  <c r="B611" i="4"/>
  <c r="B612" i="6" s="1"/>
  <c r="A612" i="4"/>
  <c r="A613" i="6" s="1"/>
  <c r="A615" i="9" s="1"/>
  <c r="C611" i="4"/>
  <c r="C612" i="6" s="1"/>
  <c r="D611" i="4"/>
  <c r="D612" i="6" s="1"/>
  <c r="E611" i="4"/>
  <c r="E612" i="6" s="1"/>
  <c r="F611" i="4"/>
  <c r="F612" i="6" s="1"/>
  <c r="G611" i="4"/>
  <c r="G612" i="6" s="1"/>
  <c r="H611" i="4"/>
  <c r="H612" i="6" s="1"/>
  <c r="I611" i="4"/>
  <c r="I612" i="6" s="1"/>
  <c r="B615" i="9" l="1"/>
  <c r="J615" i="9"/>
  <c r="U615" i="9"/>
  <c r="C615" i="9"/>
  <c r="M615" i="9" s="1"/>
  <c r="D615" i="9"/>
  <c r="E615" i="9"/>
  <c r="Q615" i="9" s="1"/>
  <c r="F615" i="9"/>
  <c r="I615" i="9"/>
  <c r="R615" i="9" s="1"/>
  <c r="G615" i="9"/>
  <c r="N615" i="9" s="1"/>
  <c r="H615" i="9"/>
  <c r="P614" i="9"/>
  <c r="L614" i="9"/>
  <c r="T614" i="9"/>
  <c r="J612" i="6"/>
  <c r="I612" i="4"/>
  <c r="I613" i="6" s="1"/>
  <c r="B612" i="4"/>
  <c r="B613" i="6" s="1"/>
  <c r="A613" i="4"/>
  <c r="A614" i="6" s="1"/>
  <c r="A616" i="9" s="1"/>
  <c r="C612" i="4"/>
  <c r="C613" i="6" s="1"/>
  <c r="D612" i="4"/>
  <c r="D613" i="6" s="1"/>
  <c r="E612" i="4"/>
  <c r="E613" i="6" s="1"/>
  <c r="F612" i="4"/>
  <c r="F613" i="6" s="1"/>
  <c r="G612" i="4"/>
  <c r="G613" i="6" s="1"/>
  <c r="H612" i="4"/>
  <c r="H613" i="6" s="1"/>
  <c r="L615" i="9" l="1"/>
  <c r="P615" i="9"/>
  <c r="T615" i="9"/>
  <c r="H616" i="9"/>
  <c r="I616" i="9"/>
  <c r="R616" i="9" s="1"/>
  <c r="B616" i="9"/>
  <c r="J616" i="9"/>
  <c r="U616" i="9"/>
  <c r="C616" i="9"/>
  <c r="M616" i="9" s="1"/>
  <c r="D616" i="9"/>
  <c r="G616" i="9"/>
  <c r="N616" i="9" s="1"/>
  <c r="F616" i="9"/>
  <c r="E616" i="9"/>
  <c r="Q616" i="9" s="1"/>
  <c r="J613" i="6"/>
  <c r="H613" i="4"/>
  <c r="H614" i="6" s="1"/>
  <c r="I613" i="4"/>
  <c r="I614" i="6" s="1"/>
  <c r="B613" i="4"/>
  <c r="B614" i="6" s="1"/>
  <c r="A614" i="4"/>
  <c r="A615" i="6" s="1"/>
  <c r="A617" i="9" s="1"/>
  <c r="C613" i="4"/>
  <c r="C614" i="6" s="1"/>
  <c r="D613" i="4"/>
  <c r="D614" i="6" s="1"/>
  <c r="E613" i="4"/>
  <c r="E614" i="6" s="1"/>
  <c r="F613" i="4"/>
  <c r="F614" i="6" s="1"/>
  <c r="G613" i="4"/>
  <c r="G614" i="6" s="1"/>
  <c r="T616" i="9" l="1"/>
  <c r="L616" i="9"/>
  <c r="P616" i="9"/>
  <c r="F617" i="9"/>
  <c r="G617" i="9"/>
  <c r="N617" i="9" s="1"/>
  <c r="H617" i="9"/>
  <c r="I617" i="9"/>
  <c r="R617" i="9" s="1"/>
  <c r="B617" i="9"/>
  <c r="J617" i="9"/>
  <c r="U617" i="9"/>
  <c r="E617" i="9"/>
  <c r="Q617" i="9" s="1"/>
  <c r="C617" i="9"/>
  <c r="M617" i="9" s="1"/>
  <c r="D617" i="9"/>
  <c r="J614" i="6"/>
  <c r="G614" i="4"/>
  <c r="G615" i="6" s="1"/>
  <c r="H614" i="4"/>
  <c r="H615" i="6" s="1"/>
  <c r="I614" i="4"/>
  <c r="I615" i="6" s="1"/>
  <c r="B614" i="4"/>
  <c r="B615" i="6" s="1"/>
  <c r="A615" i="4"/>
  <c r="A616" i="6" s="1"/>
  <c r="A618" i="9" s="1"/>
  <c r="C614" i="4"/>
  <c r="C615" i="6" s="1"/>
  <c r="D614" i="4"/>
  <c r="D615" i="6" s="1"/>
  <c r="E614" i="4"/>
  <c r="E615" i="6" s="1"/>
  <c r="F614" i="4"/>
  <c r="F615" i="6" s="1"/>
  <c r="D618" i="9" l="1"/>
  <c r="E618" i="9"/>
  <c r="Q618" i="9" s="1"/>
  <c r="F618" i="9"/>
  <c r="G618" i="9"/>
  <c r="N618" i="9" s="1"/>
  <c r="H618" i="9"/>
  <c r="C618" i="9"/>
  <c r="M618" i="9" s="1"/>
  <c r="U618" i="9"/>
  <c r="I618" i="9"/>
  <c r="R618" i="9" s="1"/>
  <c r="B618" i="9"/>
  <c r="J618" i="9"/>
  <c r="P617" i="9"/>
  <c r="T617" i="9"/>
  <c r="L617" i="9"/>
  <c r="J615" i="6"/>
  <c r="F615" i="4"/>
  <c r="F616" i="6" s="1"/>
  <c r="G615" i="4"/>
  <c r="G616" i="6" s="1"/>
  <c r="H615" i="4"/>
  <c r="H616" i="6" s="1"/>
  <c r="I615" i="4"/>
  <c r="I616" i="6" s="1"/>
  <c r="B615" i="4"/>
  <c r="B616" i="6" s="1"/>
  <c r="A616" i="4"/>
  <c r="A617" i="6" s="1"/>
  <c r="A619" i="9" s="1"/>
  <c r="C615" i="4"/>
  <c r="C616" i="6" s="1"/>
  <c r="D615" i="4"/>
  <c r="D616" i="6" s="1"/>
  <c r="E615" i="4"/>
  <c r="E616" i="6" s="1"/>
  <c r="B619" i="9" l="1"/>
  <c r="J619" i="9"/>
  <c r="U619" i="9"/>
  <c r="C619" i="9"/>
  <c r="M619" i="9" s="1"/>
  <c r="D619" i="9"/>
  <c r="E619" i="9"/>
  <c r="Q619" i="9" s="1"/>
  <c r="F619" i="9"/>
  <c r="I619" i="9"/>
  <c r="R619" i="9" s="1"/>
  <c r="G619" i="9"/>
  <c r="N619" i="9" s="1"/>
  <c r="H619" i="9"/>
  <c r="P618" i="9"/>
  <c r="L618" i="9"/>
  <c r="T618" i="9"/>
  <c r="J616" i="6"/>
  <c r="E616" i="4"/>
  <c r="E617" i="6" s="1"/>
  <c r="F616" i="4"/>
  <c r="F617" i="6" s="1"/>
  <c r="G616" i="4"/>
  <c r="G617" i="6" s="1"/>
  <c r="H616" i="4"/>
  <c r="H617" i="6" s="1"/>
  <c r="I616" i="4"/>
  <c r="I617" i="6" s="1"/>
  <c r="B616" i="4"/>
  <c r="B617" i="6" s="1"/>
  <c r="A617" i="4"/>
  <c r="A618" i="6" s="1"/>
  <c r="A620" i="9" s="1"/>
  <c r="C616" i="4"/>
  <c r="C617" i="6" s="1"/>
  <c r="D616" i="4"/>
  <c r="D617" i="6" s="1"/>
  <c r="H620" i="9" l="1"/>
  <c r="I620" i="9"/>
  <c r="R620" i="9" s="1"/>
  <c r="B620" i="9"/>
  <c r="J620" i="9"/>
  <c r="U620" i="9"/>
  <c r="C620" i="9"/>
  <c r="M620" i="9" s="1"/>
  <c r="D620" i="9"/>
  <c r="G620" i="9"/>
  <c r="N620" i="9" s="1"/>
  <c r="E620" i="9"/>
  <c r="Q620" i="9" s="1"/>
  <c r="F620" i="9"/>
  <c r="L619" i="9"/>
  <c r="P619" i="9"/>
  <c r="T619" i="9"/>
  <c r="J617" i="6"/>
  <c r="D617" i="4"/>
  <c r="D618" i="6" s="1"/>
  <c r="E617" i="4"/>
  <c r="E618" i="6" s="1"/>
  <c r="F617" i="4"/>
  <c r="F618" i="6" s="1"/>
  <c r="G617" i="4"/>
  <c r="G618" i="6" s="1"/>
  <c r="H617" i="4"/>
  <c r="H618" i="6" s="1"/>
  <c r="I617" i="4"/>
  <c r="I618" i="6" s="1"/>
  <c r="B617" i="4"/>
  <c r="B618" i="6" s="1"/>
  <c r="A618" i="4"/>
  <c r="A619" i="6" s="1"/>
  <c r="A621" i="9" s="1"/>
  <c r="C617" i="4"/>
  <c r="C618" i="6" s="1"/>
  <c r="T620" i="9" l="1"/>
  <c r="L620" i="9"/>
  <c r="P620" i="9"/>
  <c r="F621" i="9"/>
  <c r="G621" i="9"/>
  <c r="N621" i="9" s="1"/>
  <c r="H621" i="9"/>
  <c r="I621" i="9"/>
  <c r="R621" i="9" s="1"/>
  <c r="B621" i="9"/>
  <c r="J621" i="9"/>
  <c r="U621" i="9"/>
  <c r="E621" i="9"/>
  <c r="Q621" i="9" s="1"/>
  <c r="C621" i="9"/>
  <c r="M621" i="9" s="1"/>
  <c r="D621" i="9"/>
  <c r="J618" i="6"/>
  <c r="C618" i="4"/>
  <c r="C619" i="6" s="1"/>
  <c r="D618" i="4"/>
  <c r="D619" i="6" s="1"/>
  <c r="E618" i="4"/>
  <c r="E619" i="6" s="1"/>
  <c r="F618" i="4"/>
  <c r="F619" i="6" s="1"/>
  <c r="G618" i="4"/>
  <c r="G619" i="6" s="1"/>
  <c r="H618" i="4"/>
  <c r="H619" i="6" s="1"/>
  <c r="I618" i="4"/>
  <c r="I619" i="6" s="1"/>
  <c r="B618" i="4"/>
  <c r="B619" i="6" s="1"/>
  <c r="A619" i="4"/>
  <c r="A620" i="6" s="1"/>
  <c r="A622" i="9" s="1"/>
  <c r="D622" i="9" l="1"/>
  <c r="E622" i="9"/>
  <c r="Q622" i="9" s="1"/>
  <c r="F622" i="9"/>
  <c r="G622" i="9"/>
  <c r="N622" i="9" s="1"/>
  <c r="H622" i="9"/>
  <c r="C622" i="9"/>
  <c r="M622" i="9" s="1"/>
  <c r="I622" i="9"/>
  <c r="R622" i="9" s="1"/>
  <c r="J622" i="9"/>
  <c r="U622" i="9"/>
  <c r="B622" i="9"/>
  <c r="P621" i="9"/>
  <c r="T621" i="9"/>
  <c r="L621" i="9"/>
  <c r="J619" i="6"/>
  <c r="B619" i="4"/>
  <c r="B620" i="6" s="1"/>
  <c r="A620" i="4"/>
  <c r="A621" i="6" s="1"/>
  <c r="A623" i="9" s="1"/>
  <c r="C619" i="4"/>
  <c r="C620" i="6" s="1"/>
  <c r="D619" i="4"/>
  <c r="D620" i="6" s="1"/>
  <c r="E619" i="4"/>
  <c r="E620" i="6" s="1"/>
  <c r="F619" i="4"/>
  <c r="F620" i="6" s="1"/>
  <c r="G619" i="4"/>
  <c r="G620" i="6" s="1"/>
  <c r="H619" i="4"/>
  <c r="H620" i="6" s="1"/>
  <c r="I619" i="4"/>
  <c r="I620" i="6" s="1"/>
  <c r="P622" i="9" l="1"/>
  <c r="L622" i="9"/>
  <c r="T622" i="9"/>
  <c r="B623" i="9"/>
  <c r="J623" i="9"/>
  <c r="U623" i="9"/>
  <c r="C623" i="9"/>
  <c r="M623" i="9" s="1"/>
  <c r="D623" i="9"/>
  <c r="E623" i="9"/>
  <c r="Q623" i="9" s="1"/>
  <c r="F623" i="9"/>
  <c r="I623" i="9"/>
  <c r="R623" i="9" s="1"/>
  <c r="H623" i="9"/>
  <c r="G623" i="9"/>
  <c r="N623" i="9" s="1"/>
  <c r="J620" i="6"/>
  <c r="I620" i="4"/>
  <c r="I621" i="6" s="1"/>
  <c r="B620" i="4"/>
  <c r="B621" i="6" s="1"/>
  <c r="A621" i="4"/>
  <c r="A622" i="6" s="1"/>
  <c r="A624" i="9" s="1"/>
  <c r="C620" i="4"/>
  <c r="C621" i="6" s="1"/>
  <c r="D620" i="4"/>
  <c r="D621" i="6" s="1"/>
  <c r="E620" i="4"/>
  <c r="E621" i="6" s="1"/>
  <c r="F620" i="4"/>
  <c r="F621" i="6" s="1"/>
  <c r="G620" i="4"/>
  <c r="G621" i="6" s="1"/>
  <c r="H620" i="4"/>
  <c r="H621" i="6" s="1"/>
  <c r="L623" i="9" l="1"/>
  <c r="P623" i="9"/>
  <c r="T623" i="9"/>
  <c r="H624" i="9"/>
  <c r="I624" i="9"/>
  <c r="R624" i="9" s="1"/>
  <c r="B624" i="9"/>
  <c r="J624" i="9"/>
  <c r="U624" i="9"/>
  <c r="C624" i="9"/>
  <c r="M624" i="9" s="1"/>
  <c r="D624" i="9"/>
  <c r="E624" i="9"/>
  <c r="Q624" i="9" s="1"/>
  <c r="F624" i="9"/>
  <c r="G624" i="9"/>
  <c r="N624" i="9" s="1"/>
  <c r="J621" i="6"/>
  <c r="H621" i="4"/>
  <c r="H622" i="6" s="1"/>
  <c r="I621" i="4"/>
  <c r="I622" i="6" s="1"/>
  <c r="B621" i="4"/>
  <c r="B622" i="6" s="1"/>
  <c r="A622" i="4"/>
  <c r="A623" i="6" s="1"/>
  <c r="A625" i="9" s="1"/>
  <c r="C621" i="4"/>
  <c r="C622" i="6" s="1"/>
  <c r="D621" i="4"/>
  <c r="D622" i="6" s="1"/>
  <c r="E621" i="4"/>
  <c r="E622" i="6" s="1"/>
  <c r="F621" i="4"/>
  <c r="F622" i="6" s="1"/>
  <c r="G621" i="4"/>
  <c r="G622" i="6" s="1"/>
  <c r="T624" i="9" l="1"/>
  <c r="L624" i="9"/>
  <c r="P624" i="9"/>
  <c r="F625" i="9"/>
  <c r="G625" i="9"/>
  <c r="N625" i="9" s="1"/>
  <c r="H625" i="9"/>
  <c r="I625" i="9"/>
  <c r="R625" i="9" s="1"/>
  <c r="B625" i="9"/>
  <c r="J625" i="9"/>
  <c r="U625" i="9"/>
  <c r="D625" i="9"/>
  <c r="E625" i="9"/>
  <c r="Q625" i="9" s="1"/>
  <c r="C625" i="9"/>
  <c r="M625" i="9" s="1"/>
  <c r="J622" i="6"/>
  <c r="G622" i="4"/>
  <c r="G623" i="6" s="1"/>
  <c r="H622" i="4"/>
  <c r="H623" i="6" s="1"/>
  <c r="I622" i="4"/>
  <c r="I623" i="6" s="1"/>
  <c r="B622" i="4"/>
  <c r="B623" i="6" s="1"/>
  <c r="A623" i="4"/>
  <c r="A624" i="6" s="1"/>
  <c r="A626" i="9" s="1"/>
  <c r="C622" i="4"/>
  <c r="C623" i="6" s="1"/>
  <c r="D622" i="4"/>
  <c r="D623" i="6" s="1"/>
  <c r="E622" i="4"/>
  <c r="E623" i="6" s="1"/>
  <c r="F622" i="4"/>
  <c r="F623" i="6" s="1"/>
  <c r="D626" i="9" l="1"/>
  <c r="E626" i="9"/>
  <c r="Q626" i="9" s="1"/>
  <c r="G626" i="9"/>
  <c r="N626" i="9" s="1"/>
  <c r="H626" i="9"/>
  <c r="F626" i="9"/>
  <c r="I626" i="9"/>
  <c r="R626" i="9" s="1"/>
  <c r="J626" i="9"/>
  <c r="U626" i="9"/>
  <c r="B626" i="9"/>
  <c r="C626" i="9"/>
  <c r="M626" i="9" s="1"/>
  <c r="P625" i="9"/>
  <c r="T625" i="9"/>
  <c r="L625" i="9"/>
  <c r="J623" i="6"/>
  <c r="F623" i="4"/>
  <c r="F624" i="6" s="1"/>
  <c r="G623" i="4"/>
  <c r="G624" i="6" s="1"/>
  <c r="H623" i="4"/>
  <c r="H624" i="6" s="1"/>
  <c r="I623" i="4"/>
  <c r="I624" i="6" s="1"/>
  <c r="B623" i="4"/>
  <c r="B624" i="6" s="1"/>
  <c r="A624" i="4"/>
  <c r="A625" i="6" s="1"/>
  <c r="A627" i="9" s="1"/>
  <c r="C623" i="4"/>
  <c r="C624" i="6" s="1"/>
  <c r="D623" i="4"/>
  <c r="D624" i="6" s="1"/>
  <c r="E623" i="4"/>
  <c r="E624" i="6" s="1"/>
  <c r="L626" i="9" l="1"/>
  <c r="P626" i="9"/>
  <c r="T626" i="9"/>
  <c r="B627" i="9"/>
  <c r="J627" i="9"/>
  <c r="U627" i="9"/>
  <c r="C627" i="9"/>
  <c r="M627" i="9" s="1"/>
  <c r="E627" i="9"/>
  <c r="Q627" i="9" s="1"/>
  <c r="F627" i="9"/>
  <c r="D627" i="9"/>
  <c r="G627" i="9"/>
  <c r="N627" i="9" s="1"/>
  <c r="H627" i="9"/>
  <c r="I627" i="9"/>
  <c r="R627" i="9" s="1"/>
  <c r="J624" i="6"/>
  <c r="E624" i="4"/>
  <c r="E625" i="6" s="1"/>
  <c r="F624" i="4"/>
  <c r="F625" i="6" s="1"/>
  <c r="G624" i="4"/>
  <c r="G625" i="6" s="1"/>
  <c r="H624" i="4"/>
  <c r="H625" i="6" s="1"/>
  <c r="I624" i="4"/>
  <c r="I625" i="6" s="1"/>
  <c r="B624" i="4"/>
  <c r="B625" i="6" s="1"/>
  <c r="A625" i="4"/>
  <c r="A626" i="6" s="1"/>
  <c r="A628" i="9" s="1"/>
  <c r="C624" i="4"/>
  <c r="C625" i="6" s="1"/>
  <c r="D624" i="4"/>
  <c r="D625" i="6" s="1"/>
  <c r="H628" i="9" l="1"/>
  <c r="I628" i="9"/>
  <c r="R628" i="9" s="1"/>
  <c r="C628" i="9"/>
  <c r="M628" i="9" s="1"/>
  <c r="D628" i="9"/>
  <c r="B628" i="9"/>
  <c r="E628" i="9"/>
  <c r="Q628" i="9" s="1"/>
  <c r="U628" i="9"/>
  <c r="F628" i="9"/>
  <c r="G628" i="9"/>
  <c r="N628" i="9" s="1"/>
  <c r="J628" i="9"/>
  <c r="L627" i="9"/>
  <c r="P627" i="9"/>
  <c r="T627" i="9"/>
  <c r="J625" i="6"/>
  <c r="D625" i="4"/>
  <c r="D626" i="6" s="1"/>
  <c r="E625" i="4"/>
  <c r="E626" i="6" s="1"/>
  <c r="F625" i="4"/>
  <c r="F626" i="6" s="1"/>
  <c r="G625" i="4"/>
  <c r="G626" i="6" s="1"/>
  <c r="H625" i="4"/>
  <c r="H626" i="6" s="1"/>
  <c r="I625" i="4"/>
  <c r="I626" i="6" s="1"/>
  <c r="B625" i="4"/>
  <c r="B626" i="6" s="1"/>
  <c r="A626" i="4"/>
  <c r="A627" i="6" s="1"/>
  <c r="A629" i="9" s="1"/>
  <c r="C625" i="4"/>
  <c r="C626" i="6" s="1"/>
  <c r="T628" i="9" l="1"/>
  <c r="L628" i="9"/>
  <c r="P628" i="9"/>
  <c r="F629" i="9"/>
  <c r="G629" i="9"/>
  <c r="N629" i="9" s="1"/>
  <c r="I629" i="9"/>
  <c r="R629" i="9" s="1"/>
  <c r="B629" i="9"/>
  <c r="E629" i="9"/>
  <c r="Q629" i="9" s="1"/>
  <c r="C629" i="9"/>
  <c r="M629" i="9" s="1"/>
  <c r="U629" i="9"/>
  <c r="D629" i="9"/>
  <c r="H629" i="9"/>
  <c r="J629" i="9"/>
  <c r="J626" i="6"/>
  <c r="C626" i="4"/>
  <c r="C627" i="6" s="1"/>
  <c r="D626" i="4"/>
  <c r="D627" i="6" s="1"/>
  <c r="E626" i="4"/>
  <c r="E627" i="6" s="1"/>
  <c r="F626" i="4"/>
  <c r="F627" i="6" s="1"/>
  <c r="G626" i="4"/>
  <c r="G627" i="6" s="1"/>
  <c r="H626" i="4"/>
  <c r="H627" i="6" s="1"/>
  <c r="I626" i="4"/>
  <c r="I627" i="6" s="1"/>
  <c r="B626" i="4"/>
  <c r="B627" i="6" s="1"/>
  <c r="A627" i="4"/>
  <c r="A628" i="6" s="1"/>
  <c r="A630" i="9" s="1"/>
  <c r="P629" i="9" l="1"/>
  <c r="T629" i="9"/>
  <c r="L629" i="9"/>
  <c r="D630" i="9"/>
  <c r="E630" i="9"/>
  <c r="Q630" i="9" s="1"/>
  <c r="G630" i="9"/>
  <c r="N630" i="9" s="1"/>
  <c r="F630" i="9"/>
  <c r="U630" i="9"/>
  <c r="H630" i="9"/>
  <c r="I630" i="9"/>
  <c r="R630" i="9" s="1"/>
  <c r="B630" i="9"/>
  <c r="J630" i="9"/>
  <c r="C630" i="9"/>
  <c r="M630" i="9" s="1"/>
  <c r="J627" i="6"/>
  <c r="B627" i="4"/>
  <c r="B628" i="6" s="1"/>
  <c r="A628" i="4"/>
  <c r="A629" i="6" s="1"/>
  <c r="A631" i="9" s="1"/>
  <c r="C627" i="4"/>
  <c r="C628" i="6" s="1"/>
  <c r="D627" i="4"/>
  <c r="D628" i="6" s="1"/>
  <c r="E627" i="4"/>
  <c r="E628" i="6" s="1"/>
  <c r="F627" i="4"/>
  <c r="F628" i="6" s="1"/>
  <c r="G627" i="4"/>
  <c r="G628" i="6" s="1"/>
  <c r="H627" i="4"/>
  <c r="H628" i="6" s="1"/>
  <c r="I627" i="4"/>
  <c r="I628" i="6" s="1"/>
  <c r="C631" i="9" l="1"/>
  <c r="M631" i="9" s="1"/>
  <c r="D631" i="9"/>
  <c r="G631" i="9"/>
  <c r="N631" i="9" s="1"/>
  <c r="H631" i="9"/>
  <c r="E631" i="9"/>
  <c r="Q631" i="9" s="1"/>
  <c r="F631" i="9"/>
  <c r="I631" i="9"/>
  <c r="R631" i="9" s="1"/>
  <c r="J631" i="9"/>
  <c r="U631" i="9"/>
  <c r="B631" i="9"/>
  <c r="P630" i="9"/>
  <c r="L630" i="9"/>
  <c r="T630" i="9"/>
  <c r="J628" i="6"/>
  <c r="I628" i="4"/>
  <c r="I629" i="6" s="1"/>
  <c r="B628" i="4"/>
  <c r="B629" i="6" s="1"/>
  <c r="A629" i="4"/>
  <c r="A630" i="6" s="1"/>
  <c r="A632" i="9" s="1"/>
  <c r="C628" i="4"/>
  <c r="C629" i="6" s="1"/>
  <c r="D628" i="4"/>
  <c r="D629" i="6" s="1"/>
  <c r="E628" i="4"/>
  <c r="E629" i="6" s="1"/>
  <c r="F628" i="4"/>
  <c r="F629" i="6" s="1"/>
  <c r="G628" i="4"/>
  <c r="G629" i="6" s="1"/>
  <c r="H628" i="4"/>
  <c r="H629" i="6" s="1"/>
  <c r="L631" i="9" l="1"/>
  <c r="P631" i="9"/>
  <c r="T631" i="9"/>
  <c r="I632" i="9"/>
  <c r="R632" i="9" s="1"/>
  <c r="B632" i="9"/>
  <c r="J632" i="9"/>
  <c r="U632" i="9"/>
  <c r="E632" i="9"/>
  <c r="Q632" i="9" s="1"/>
  <c r="F632" i="9"/>
  <c r="C632" i="9"/>
  <c r="M632" i="9" s="1"/>
  <c r="D632" i="9"/>
  <c r="G632" i="9"/>
  <c r="N632" i="9" s="1"/>
  <c r="H632" i="9"/>
  <c r="J629" i="6"/>
  <c r="H629" i="4"/>
  <c r="H630" i="6" s="1"/>
  <c r="I629" i="4"/>
  <c r="I630" i="6" s="1"/>
  <c r="B629" i="4"/>
  <c r="B630" i="6" s="1"/>
  <c r="A630" i="4"/>
  <c r="A631" i="6" s="1"/>
  <c r="A633" i="9" s="1"/>
  <c r="C629" i="4"/>
  <c r="C630" i="6" s="1"/>
  <c r="D629" i="4"/>
  <c r="D630" i="6" s="1"/>
  <c r="E629" i="4"/>
  <c r="E630" i="6" s="1"/>
  <c r="F629" i="4"/>
  <c r="F630" i="6" s="1"/>
  <c r="G629" i="4"/>
  <c r="G630" i="6" s="1"/>
  <c r="T632" i="9" l="1"/>
  <c r="P632" i="9"/>
  <c r="L632" i="9"/>
  <c r="G633" i="9"/>
  <c r="N633" i="9" s="1"/>
  <c r="H633" i="9"/>
  <c r="C633" i="9"/>
  <c r="M633" i="9" s="1"/>
  <c r="D633" i="9"/>
  <c r="B633" i="9"/>
  <c r="U633" i="9"/>
  <c r="I633" i="9"/>
  <c r="R633" i="9" s="1"/>
  <c r="J633" i="9"/>
  <c r="E633" i="9"/>
  <c r="Q633" i="9" s="1"/>
  <c r="F633" i="9"/>
  <c r="J630" i="6"/>
  <c r="G630" i="4"/>
  <c r="G631" i="6" s="1"/>
  <c r="H630" i="4"/>
  <c r="H631" i="6" s="1"/>
  <c r="I630" i="4"/>
  <c r="I631" i="6" s="1"/>
  <c r="B630" i="4"/>
  <c r="B631" i="6" s="1"/>
  <c r="A631" i="4"/>
  <c r="A632" i="6" s="1"/>
  <c r="A634" i="9" s="1"/>
  <c r="C630" i="4"/>
  <c r="C631" i="6" s="1"/>
  <c r="D630" i="4"/>
  <c r="D631" i="6" s="1"/>
  <c r="E630" i="4"/>
  <c r="E631" i="6" s="1"/>
  <c r="F630" i="4"/>
  <c r="F631" i="6" s="1"/>
  <c r="E634" i="9" l="1"/>
  <c r="Q634" i="9" s="1"/>
  <c r="F634" i="9"/>
  <c r="I634" i="9"/>
  <c r="R634" i="9" s="1"/>
  <c r="B634" i="9"/>
  <c r="J634" i="9"/>
  <c r="U634" i="9"/>
  <c r="G634" i="9"/>
  <c r="N634" i="9" s="1"/>
  <c r="H634" i="9"/>
  <c r="C634" i="9"/>
  <c r="M634" i="9" s="1"/>
  <c r="D634" i="9"/>
  <c r="L633" i="9"/>
  <c r="T633" i="9"/>
  <c r="P633" i="9"/>
  <c r="J631" i="6"/>
  <c r="F631" i="4"/>
  <c r="F632" i="6" s="1"/>
  <c r="G631" i="4"/>
  <c r="G632" i="6" s="1"/>
  <c r="H631" i="4"/>
  <c r="H632" i="6" s="1"/>
  <c r="I631" i="4"/>
  <c r="I632" i="6" s="1"/>
  <c r="B631" i="4"/>
  <c r="B632" i="6" s="1"/>
  <c r="A632" i="4"/>
  <c r="A633" i="6" s="1"/>
  <c r="A635" i="9" s="1"/>
  <c r="C631" i="4"/>
  <c r="C632" i="6" s="1"/>
  <c r="D631" i="4"/>
  <c r="D632" i="6" s="1"/>
  <c r="E631" i="4"/>
  <c r="E632" i="6" s="1"/>
  <c r="P634" i="9" l="1"/>
  <c r="T634" i="9"/>
  <c r="L634" i="9"/>
  <c r="C635" i="9"/>
  <c r="M635" i="9" s="1"/>
  <c r="D635" i="9"/>
  <c r="G635" i="9"/>
  <c r="N635" i="9" s="1"/>
  <c r="H635" i="9"/>
  <c r="E635" i="9"/>
  <c r="Q635" i="9" s="1"/>
  <c r="F635" i="9"/>
  <c r="B635" i="9"/>
  <c r="I635" i="9"/>
  <c r="R635" i="9" s="1"/>
  <c r="J635" i="9"/>
  <c r="U635" i="9"/>
  <c r="J632" i="6"/>
  <c r="E632" i="4"/>
  <c r="E633" i="6" s="1"/>
  <c r="F632" i="4"/>
  <c r="F633" i="6" s="1"/>
  <c r="G632" i="4"/>
  <c r="G633" i="6" s="1"/>
  <c r="H632" i="4"/>
  <c r="H633" i="6" s="1"/>
  <c r="I632" i="4"/>
  <c r="I633" i="6" s="1"/>
  <c r="B632" i="4"/>
  <c r="B633" i="6" s="1"/>
  <c r="A633" i="4"/>
  <c r="A634" i="6" s="1"/>
  <c r="A636" i="9" s="1"/>
  <c r="C632" i="4"/>
  <c r="C633" i="6" s="1"/>
  <c r="D632" i="4"/>
  <c r="D633" i="6" s="1"/>
  <c r="I636" i="9" l="1"/>
  <c r="R636" i="9" s="1"/>
  <c r="B636" i="9"/>
  <c r="J636" i="9"/>
  <c r="U636" i="9"/>
  <c r="E636" i="9"/>
  <c r="Q636" i="9" s="1"/>
  <c r="F636" i="9"/>
  <c r="C636" i="9"/>
  <c r="M636" i="9" s="1"/>
  <c r="D636" i="9"/>
  <c r="G636" i="9"/>
  <c r="N636" i="9" s="1"/>
  <c r="H636" i="9"/>
  <c r="L635" i="9"/>
  <c r="P635" i="9"/>
  <c r="T635" i="9"/>
  <c r="J633" i="6"/>
  <c r="D633" i="4"/>
  <c r="D634" i="6" s="1"/>
  <c r="E633" i="4"/>
  <c r="E634" i="6" s="1"/>
  <c r="F633" i="4"/>
  <c r="F634" i="6" s="1"/>
  <c r="G633" i="4"/>
  <c r="G634" i="6" s="1"/>
  <c r="H633" i="4"/>
  <c r="H634" i="6" s="1"/>
  <c r="I633" i="4"/>
  <c r="I634" i="6" s="1"/>
  <c r="B633" i="4"/>
  <c r="B634" i="6" s="1"/>
  <c r="A634" i="4"/>
  <c r="A635" i="6" s="1"/>
  <c r="A637" i="9" s="1"/>
  <c r="C633" i="4"/>
  <c r="C634" i="6" s="1"/>
  <c r="G637" i="9" l="1"/>
  <c r="N637" i="9" s="1"/>
  <c r="H637" i="9"/>
  <c r="C637" i="9"/>
  <c r="M637" i="9" s="1"/>
  <c r="D637" i="9"/>
  <c r="I637" i="9"/>
  <c r="R637" i="9" s="1"/>
  <c r="J637" i="9"/>
  <c r="B637" i="9"/>
  <c r="U637" i="9"/>
  <c r="E637" i="9"/>
  <c r="Q637" i="9" s="1"/>
  <c r="F637" i="9"/>
  <c r="T636" i="9"/>
  <c r="P636" i="9"/>
  <c r="L636" i="9"/>
  <c r="J634" i="6"/>
  <c r="C634" i="4"/>
  <c r="C635" i="6" s="1"/>
  <c r="D634" i="4"/>
  <c r="D635" i="6" s="1"/>
  <c r="E634" i="4"/>
  <c r="E635" i="6" s="1"/>
  <c r="F634" i="4"/>
  <c r="F635" i="6" s="1"/>
  <c r="G634" i="4"/>
  <c r="G635" i="6" s="1"/>
  <c r="H634" i="4"/>
  <c r="H635" i="6" s="1"/>
  <c r="I634" i="4"/>
  <c r="I635" i="6" s="1"/>
  <c r="B634" i="4"/>
  <c r="B635" i="6" s="1"/>
  <c r="A635" i="4"/>
  <c r="A636" i="6" s="1"/>
  <c r="A638" i="9" s="1"/>
  <c r="E638" i="9" l="1"/>
  <c r="Q638" i="9" s="1"/>
  <c r="F638" i="9"/>
  <c r="I638" i="9"/>
  <c r="R638" i="9" s="1"/>
  <c r="B638" i="9"/>
  <c r="J638" i="9"/>
  <c r="U638" i="9"/>
  <c r="G638" i="9"/>
  <c r="N638" i="9" s="1"/>
  <c r="H638" i="9"/>
  <c r="C638" i="9"/>
  <c r="M638" i="9" s="1"/>
  <c r="D638" i="9"/>
  <c r="L637" i="9"/>
  <c r="T637" i="9"/>
  <c r="P637" i="9"/>
  <c r="J635" i="6"/>
  <c r="B635" i="4"/>
  <c r="B636" i="6" s="1"/>
  <c r="A636" i="4"/>
  <c r="A637" i="6" s="1"/>
  <c r="A639" i="9" s="1"/>
  <c r="C635" i="4"/>
  <c r="C636" i="6" s="1"/>
  <c r="D635" i="4"/>
  <c r="D636" i="6" s="1"/>
  <c r="E635" i="4"/>
  <c r="E636" i="6" s="1"/>
  <c r="F635" i="4"/>
  <c r="F636" i="6" s="1"/>
  <c r="G635" i="4"/>
  <c r="G636" i="6" s="1"/>
  <c r="H635" i="4"/>
  <c r="H636" i="6" s="1"/>
  <c r="I635" i="4"/>
  <c r="I636" i="6" s="1"/>
  <c r="P638" i="9" l="1"/>
  <c r="T638" i="9"/>
  <c r="L638" i="9"/>
  <c r="C639" i="9"/>
  <c r="M639" i="9" s="1"/>
  <c r="D639" i="9"/>
  <c r="G639" i="9"/>
  <c r="N639" i="9" s="1"/>
  <c r="H639" i="9"/>
  <c r="E639" i="9"/>
  <c r="Q639" i="9" s="1"/>
  <c r="F639" i="9"/>
  <c r="B639" i="9"/>
  <c r="I639" i="9"/>
  <c r="R639" i="9" s="1"/>
  <c r="J639" i="9"/>
  <c r="U639" i="9"/>
  <c r="J636" i="6"/>
  <c r="I636" i="4"/>
  <c r="I637" i="6" s="1"/>
  <c r="B636" i="4"/>
  <c r="B637" i="6" s="1"/>
  <c r="A637" i="4"/>
  <c r="A638" i="6" s="1"/>
  <c r="A640" i="9" s="1"/>
  <c r="C636" i="4"/>
  <c r="C637" i="6" s="1"/>
  <c r="D636" i="4"/>
  <c r="D637" i="6" s="1"/>
  <c r="E636" i="4"/>
  <c r="E637" i="6" s="1"/>
  <c r="F636" i="4"/>
  <c r="F637" i="6" s="1"/>
  <c r="G636" i="4"/>
  <c r="G637" i="6" s="1"/>
  <c r="H636" i="4"/>
  <c r="H637" i="6" s="1"/>
  <c r="L639" i="9" l="1"/>
  <c r="P639" i="9"/>
  <c r="T639" i="9"/>
  <c r="I640" i="9"/>
  <c r="R640" i="9" s="1"/>
  <c r="B640" i="9"/>
  <c r="J640" i="9"/>
  <c r="U640" i="9"/>
  <c r="E640" i="9"/>
  <c r="Q640" i="9" s="1"/>
  <c r="F640" i="9"/>
  <c r="C640" i="9"/>
  <c r="M640" i="9" s="1"/>
  <c r="D640" i="9"/>
  <c r="G640" i="9"/>
  <c r="N640" i="9" s="1"/>
  <c r="H640" i="9"/>
  <c r="J637" i="6"/>
  <c r="H637" i="4"/>
  <c r="H638" i="6" s="1"/>
  <c r="I637" i="4"/>
  <c r="I638" i="6" s="1"/>
  <c r="B637" i="4"/>
  <c r="B638" i="6" s="1"/>
  <c r="A638" i="4"/>
  <c r="A639" i="6" s="1"/>
  <c r="A641" i="9" s="1"/>
  <c r="C637" i="4"/>
  <c r="C638" i="6" s="1"/>
  <c r="D637" i="4"/>
  <c r="D638" i="6" s="1"/>
  <c r="E637" i="4"/>
  <c r="E638" i="6" s="1"/>
  <c r="F637" i="4"/>
  <c r="F638" i="6" s="1"/>
  <c r="G637" i="4"/>
  <c r="G638" i="6" s="1"/>
  <c r="T640" i="9" l="1"/>
  <c r="P640" i="9"/>
  <c r="L640" i="9"/>
  <c r="G641" i="9"/>
  <c r="N641" i="9" s="1"/>
  <c r="H641" i="9"/>
  <c r="C641" i="9"/>
  <c r="M641" i="9" s="1"/>
  <c r="D641" i="9"/>
  <c r="B641" i="9"/>
  <c r="U641" i="9"/>
  <c r="I641" i="9"/>
  <c r="R641" i="9" s="1"/>
  <c r="J641" i="9"/>
  <c r="E641" i="9"/>
  <c r="Q641" i="9" s="1"/>
  <c r="F641" i="9"/>
  <c r="J638" i="6"/>
  <c r="G638" i="4"/>
  <c r="G639" i="6" s="1"/>
  <c r="H638" i="4"/>
  <c r="H639" i="6" s="1"/>
  <c r="I638" i="4"/>
  <c r="I639" i="6" s="1"/>
  <c r="B638" i="4"/>
  <c r="B639" i="6" s="1"/>
  <c r="A639" i="4"/>
  <c r="A640" i="6" s="1"/>
  <c r="A642" i="9" s="1"/>
  <c r="C638" i="4"/>
  <c r="C639" i="6" s="1"/>
  <c r="D638" i="4"/>
  <c r="D639" i="6" s="1"/>
  <c r="E638" i="4"/>
  <c r="E639" i="6" s="1"/>
  <c r="F638" i="4"/>
  <c r="F639" i="6" s="1"/>
  <c r="E642" i="9" l="1"/>
  <c r="Q642" i="9" s="1"/>
  <c r="F642" i="9"/>
  <c r="I642" i="9"/>
  <c r="R642" i="9" s="1"/>
  <c r="B642" i="9"/>
  <c r="J642" i="9"/>
  <c r="U642" i="9"/>
  <c r="G642" i="9"/>
  <c r="N642" i="9" s="1"/>
  <c r="H642" i="9"/>
  <c r="C642" i="9"/>
  <c r="M642" i="9" s="1"/>
  <c r="D642" i="9"/>
  <c r="L641" i="9"/>
  <c r="T641" i="9"/>
  <c r="P641" i="9"/>
  <c r="J639" i="6"/>
  <c r="F639" i="4"/>
  <c r="F640" i="6" s="1"/>
  <c r="G639" i="4"/>
  <c r="G640" i="6" s="1"/>
  <c r="H639" i="4"/>
  <c r="H640" i="6" s="1"/>
  <c r="I639" i="4"/>
  <c r="I640" i="6" s="1"/>
  <c r="B639" i="4"/>
  <c r="B640" i="6" s="1"/>
  <c r="A640" i="4"/>
  <c r="A641" i="6" s="1"/>
  <c r="A643" i="9" s="1"/>
  <c r="C639" i="4"/>
  <c r="C640" i="6" s="1"/>
  <c r="D639" i="4"/>
  <c r="D640" i="6" s="1"/>
  <c r="E639" i="4"/>
  <c r="E640" i="6" s="1"/>
  <c r="P642" i="9" l="1"/>
  <c r="T642" i="9"/>
  <c r="L642" i="9"/>
  <c r="C643" i="9"/>
  <c r="M643" i="9" s="1"/>
  <c r="D643" i="9"/>
  <c r="G643" i="9"/>
  <c r="N643" i="9" s="1"/>
  <c r="H643" i="9"/>
  <c r="E643" i="9"/>
  <c r="Q643" i="9" s="1"/>
  <c r="F643" i="9"/>
  <c r="U643" i="9"/>
  <c r="B643" i="9"/>
  <c r="I643" i="9"/>
  <c r="R643" i="9" s="1"/>
  <c r="J643" i="9"/>
  <c r="J640" i="6"/>
  <c r="E640" i="4"/>
  <c r="E641" i="6" s="1"/>
  <c r="F640" i="4"/>
  <c r="F641" i="6" s="1"/>
  <c r="G640" i="4"/>
  <c r="G641" i="6" s="1"/>
  <c r="H640" i="4"/>
  <c r="H641" i="6" s="1"/>
  <c r="I640" i="4"/>
  <c r="I641" i="6" s="1"/>
  <c r="B640" i="4"/>
  <c r="B641" i="6" s="1"/>
  <c r="A641" i="4"/>
  <c r="A642" i="6" s="1"/>
  <c r="A644" i="9" s="1"/>
  <c r="C640" i="4"/>
  <c r="C641" i="6" s="1"/>
  <c r="D640" i="4"/>
  <c r="D641" i="6" s="1"/>
  <c r="L643" i="9" l="1"/>
  <c r="P643" i="9"/>
  <c r="T643" i="9"/>
  <c r="I644" i="9"/>
  <c r="R644" i="9" s="1"/>
  <c r="B644" i="9"/>
  <c r="J644" i="9"/>
  <c r="U644" i="9"/>
  <c r="E644" i="9"/>
  <c r="Q644" i="9" s="1"/>
  <c r="F644" i="9"/>
  <c r="C644" i="9"/>
  <c r="M644" i="9" s="1"/>
  <c r="D644" i="9"/>
  <c r="G644" i="9"/>
  <c r="N644" i="9" s="1"/>
  <c r="H644" i="9"/>
  <c r="J641" i="6"/>
  <c r="D641" i="4"/>
  <c r="D642" i="6" s="1"/>
  <c r="E641" i="4"/>
  <c r="E642" i="6" s="1"/>
  <c r="F641" i="4"/>
  <c r="F642" i="6" s="1"/>
  <c r="G641" i="4"/>
  <c r="G642" i="6" s="1"/>
  <c r="H641" i="4"/>
  <c r="H642" i="6" s="1"/>
  <c r="I641" i="4"/>
  <c r="I642" i="6" s="1"/>
  <c r="B641" i="4"/>
  <c r="B642" i="6" s="1"/>
  <c r="A642" i="4"/>
  <c r="A643" i="6" s="1"/>
  <c r="A645" i="9" s="1"/>
  <c r="C641" i="4"/>
  <c r="C642" i="6" s="1"/>
  <c r="T644" i="9" l="1"/>
  <c r="P644" i="9"/>
  <c r="L644" i="9"/>
  <c r="G645" i="9"/>
  <c r="N645" i="9" s="1"/>
  <c r="H645" i="9"/>
  <c r="C645" i="9"/>
  <c r="M645" i="9" s="1"/>
  <c r="D645" i="9"/>
  <c r="I645" i="9"/>
  <c r="R645" i="9" s="1"/>
  <c r="J645" i="9"/>
  <c r="B645" i="9"/>
  <c r="U645" i="9"/>
  <c r="E645" i="9"/>
  <c r="Q645" i="9" s="1"/>
  <c r="F645" i="9"/>
  <c r="J642" i="6"/>
  <c r="C642" i="4"/>
  <c r="C643" i="6" s="1"/>
  <c r="D642" i="4"/>
  <c r="D643" i="6" s="1"/>
  <c r="E642" i="4"/>
  <c r="E643" i="6" s="1"/>
  <c r="F642" i="4"/>
  <c r="F643" i="6" s="1"/>
  <c r="G642" i="4"/>
  <c r="G643" i="6" s="1"/>
  <c r="H642" i="4"/>
  <c r="H643" i="6" s="1"/>
  <c r="I642" i="4"/>
  <c r="I643" i="6" s="1"/>
  <c r="B642" i="4"/>
  <c r="B643" i="6" s="1"/>
  <c r="A643" i="4"/>
  <c r="A644" i="6" s="1"/>
  <c r="A646" i="9" s="1"/>
  <c r="E646" i="9" l="1"/>
  <c r="Q646" i="9" s="1"/>
  <c r="F646" i="9"/>
  <c r="I646" i="9"/>
  <c r="R646" i="9" s="1"/>
  <c r="B646" i="9"/>
  <c r="J646" i="9"/>
  <c r="U646" i="9"/>
  <c r="G646" i="9"/>
  <c r="N646" i="9" s="1"/>
  <c r="H646" i="9"/>
  <c r="C646" i="9"/>
  <c r="M646" i="9" s="1"/>
  <c r="D646" i="9"/>
  <c r="L645" i="9"/>
  <c r="T645" i="9"/>
  <c r="P645" i="9"/>
  <c r="J643" i="6"/>
  <c r="B643" i="4"/>
  <c r="B644" i="6" s="1"/>
  <c r="A644" i="4"/>
  <c r="A645" i="6" s="1"/>
  <c r="A647" i="9" s="1"/>
  <c r="C643" i="4"/>
  <c r="C644" i="6" s="1"/>
  <c r="D643" i="4"/>
  <c r="D644" i="6" s="1"/>
  <c r="E643" i="4"/>
  <c r="E644" i="6" s="1"/>
  <c r="F643" i="4"/>
  <c r="F644" i="6" s="1"/>
  <c r="G643" i="4"/>
  <c r="G644" i="6" s="1"/>
  <c r="H643" i="4"/>
  <c r="H644" i="6" s="1"/>
  <c r="I643" i="4"/>
  <c r="I644" i="6" s="1"/>
  <c r="C647" i="9" l="1"/>
  <c r="M647" i="9" s="1"/>
  <c r="D647" i="9"/>
  <c r="G647" i="9"/>
  <c r="N647" i="9" s="1"/>
  <c r="H647" i="9"/>
  <c r="E647" i="9"/>
  <c r="Q647" i="9" s="1"/>
  <c r="F647" i="9"/>
  <c r="I647" i="9"/>
  <c r="R647" i="9" s="1"/>
  <c r="J647" i="9"/>
  <c r="U647" i="9"/>
  <c r="B647" i="9"/>
  <c r="P646" i="9"/>
  <c r="T646" i="9"/>
  <c r="L646" i="9"/>
  <c r="J644" i="6"/>
  <c r="I644" i="4"/>
  <c r="I645" i="6" s="1"/>
  <c r="B644" i="4"/>
  <c r="B645" i="6" s="1"/>
  <c r="A645" i="4"/>
  <c r="A646" i="6" s="1"/>
  <c r="A648" i="9" s="1"/>
  <c r="C644" i="4"/>
  <c r="C645" i="6" s="1"/>
  <c r="D644" i="4"/>
  <c r="D645" i="6" s="1"/>
  <c r="E644" i="4"/>
  <c r="E645" i="6" s="1"/>
  <c r="F644" i="4"/>
  <c r="F645" i="6" s="1"/>
  <c r="G644" i="4"/>
  <c r="G645" i="6" s="1"/>
  <c r="H644" i="4"/>
  <c r="H645" i="6" s="1"/>
  <c r="L647" i="9" l="1"/>
  <c r="P647" i="9"/>
  <c r="T647" i="9"/>
  <c r="I648" i="9"/>
  <c r="R648" i="9" s="1"/>
  <c r="B648" i="9"/>
  <c r="J648" i="9"/>
  <c r="U648" i="9"/>
  <c r="E648" i="9"/>
  <c r="Q648" i="9" s="1"/>
  <c r="F648" i="9"/>
  <c r="C648" i="9"/>
  <c r="M648" i="9" s="1"/>
  <c r="D648" i="9"/>
  <c r="G648" i="9"/>
  <c r="N648" i="9" s="1"/>
  <c r="H648" i="9"/>
  <c r="J645" i="6"/>
  <c r="H645" i="4"/>
  <c r="H646" i="6" s="1"/>
  <c r="I645" i="4"/>
  <c r="I646" i="6" s="1"/>
  <c r="B645" i="4"/>
  <c r="B646" i="6" s="1"/>
  <c r="A646" i="4"/>
  <c r="A647" i="6" s="1"/>
  <c r="A649" i="9" s="1"/>
  <c r="C645" i="4"/>
  <c r="C646" i="6" s="1"/>
  <c r="D645" i="4"/>
  <c r="D646" i="6" s="1"/>
  <c r="E645" i="4"/>
  <c r="E646" i="6" s="1"/>
  <c r="F645" i="4"/>
  <c r="F646" i="6" s="1"/>
  <c r="G645" i="4"/>
  <c r="G646" i="6" s="1"/>
  <c r="T648" i="9" l="1"/>
  <c r="P648" i="9"/>
  <c r="L648" i="9"/>
  <c r="G649" i="9"/>
  <c r="N649" i="9" s="1"/>
  <c r="H649" i="9"/>
  <c r="C649" i="9"/>
  <c r="M649" i="9" s="1"/>
  <c r="D649" i="9"/>
  <c r="B649" i="9"/>
  <c r="U649" i="9"/>
  <c r="I649" i="9"/>
  <c r="R649" i="9" s="1"/>
  <c r="J649" i="9"/>
  <c r="E649" i="9"/>
  <c r="Q649" i="9" s="1"/>
  <c r="F649" i="9"/>
  <c r="J646" i="6"/>
  <c r="G646" i="4"/>
  <c r="G647" i="6" s="1"/>
  <c r="H646" i="4"/>
  <c r="H647" i="6" s="1"/>
  <c r="I646" i="4"/>
  <c r="I647" i="6" s="1"/>
  <c r="B646" i="4"/>
  <c r="B647" i="6" s="1"/>
  <c r="A647" i="4"/>
  <c r="A648" i="6" s="1"/>
  <c r="A650" i="9" s="1"/>
  <c r="C646" i="4"/>
  <c r="C647" i="6" s="1"/>
  <c r="D646" i="4"/>
  <c r="D647" i="6" s="1"/>
  <c r="E646" i="4"/>
  <c r="E647" i="6" s="1"/>
  <c r="F646" i="4"/>
  <c r="F647" i="6" s="1"/>
  <c r="E650" i="9" l="1"/>
  <c r="Q650" i="9" s="1"/>
  <c r="F650" i="9"/>
  <c r="I650" i="9"/>
  <c r="R650" i="9" s="1"/>
  <c r="B650" i="9"/>
  <c r="J650" i="9"/>
  <c r="U650" i="9"/>
  <c r="G650" i="9"/>
  <c r="N650" i="9" s="1"/>
  <c r="H650" i="9"/>
  <c r="C650" i="9"/>
  <c r="M650" i="9" s="1"/>
  <c r="D650" i="9"/>
  <c r="L649" i="9"/>
  <c r="T649" i="9"/>
  <c r="P649" i="9"/>
  <c r="J647" i="6"/>
  <c r="F647" i="4"/>
  <c r="F648" i="6" s="1"/>
  <c r="G647" i="4"/>
  <c r="G648" i="6" s="1"/>
  <c r="H647" i="4"/>
  <c r="H648" i="6" s="1"/>
  <c r="I647" i="4"/>
  <c r="I648" i="6" s="1"/>
  <c r="B647" i="4"/>
  <c r="B648" i="6" s="1"/>
  <c r="A648" i="4"/>
  <c r="A649" i="6" s="1"/>
  <c r="A651" i="9" s="1"/>
  <c r="C647" i="4"/>
  <c r="C648" i="6" s="1"/>
  <c r="D647" i="4"/>
  <c r="D648" i="6" s="1"/>
  <c r="E647" i="4"/>
  <c r="E648" i="6" s="1"/>
  <c r="P650" i="9" l="1"/>
  <c r="T650" i="9"/>
  <c r="L650" i="9"/>
  <c r="C651" i="9"/>
  <c r="M651" i="9" s="1"/>
  <c r="D651" i="9"/>
  <c r="G651" i="9"/>
  <c r="N651" i="9" s="1"/>
  <c r="H651" i="9"/>
  <c r="E651" i="9"/>
  <c r="Q651" i="9" s="1"/>
  <c r="F651" i="9"/>
  <c r="I651" i="9"/>
  <c r="R651" i="9" s="1"/>
  <c r="B651" i="9"/>
  <c r="J651" i="9"/>
  <c r="U651" i="9"/>
  <c r="J648" i="6"/>
  <c r="E648" i="4"/>
  <c r="E649" i="6" s="1"/>
  <c r="F648" i="4"/>
  <c r="F649" i="6" s="1"/>
  <c r="G648" i="4"/>
  <c r="G649" i="6" s="1"/>
  <c r="H648" i="4"/>
  <c r="H649" i="6" s="1"/>
  <c r="I648" i="4"/>
  <c r="I649" i="6" s="1"/>
  <c r="B648" i="4"/>
  <c r="B649" i="6" s="1"/>
  <c r="A649" i="4"/>
  <c r="A650" i="6" s="1"/>
  <c r="A652" i="9" s="1"/>
  <c r="C648" i="4"/>
  <c r="C649" i="6" s="1"/>
  <c r="D648" i="4"/>
  <c r="D649" i="6" s="1"/>
  <c r="I652" i="9" l="1"/>
  <c r="R652" i="9" s="1"/>
  <c r="B652" i="9"/>
  <c r="J652" i="9"/>
  <c r="U652" i="9"/>
  <c r="E652" i="9"/>
  <c r="Q652" i="9" s="1"/>
  <c r="F652" i="9"/>
  <c r="C652" i="9"/>
  <c r="M652" i="9" s="1"/>
  <c r="D652" i="9"/>
  <c r="G652" i="9"/>
  <c r="N652" i="9" s="1"/>
  <c r="H652" i="9"/>
  <c r="L651" i="9"/>
  <c r="P651" i="9"/>
  <c r="T651" i="9"/>
  <c r="J649" i="6"/>
  <c r="D649" i="4"/>
  <c r="D650" i="6" s="1"/>
  <c r="E649" i="4"/>
  <c r="E650" i="6" s="1"/>
  <c r="F649" i="4"/>
  <c r="F650" i="6" s="1"/>
  <c r="G649" i="4"/>
  <c r="G650" i="6" s="1"/>
  <c r="H649" i="4"/>
  <c r="H650" i="6" s="1"/>
  <c r="I649" i="4"/>
  <c r="I650" i="6" s="1"/>
  <c r="B649" i="4"/>
  <c r="B650" i="6" s="1"/>
  <c r="A650" i="4"/>
  <c r="A651" i="6" s="1"/>
  <c r="A653" i="9" s="1"/>
  <c r="C649" i="4"/>
  <c r="C650" i="6" s="1"/>
  <c r="G653" i="9" l="1"/>
  <c r="N653" i="9" s="1"/>
  <c r="H653" i="9"/>
  <c r="C653" i="9"/>
  <c r="M653" i="9" s="1"/>
  <c r="D653" i="9"/>
  <c r="I653" i="9"/>
  <c r="R653" i="9" s="1"/>
  <c r="J653" i="9"/>
  <c r="B653" i="9"/>
  <c r="U653" i="9"/>
  <c r="E653" i="9"/>
  <c r="Q653" i="9" s="1"/>
  <c r="F653" i="9"/>
  <c r="T652" i="9"/>
  <c r="P652" i="9"/>
  <c r="L652" i="9"/>
  <c r="J650" i="6"/>
  <c r="C650" i="4"/>
  <c r="C651" i="6" s="1"/>
  <c r="D650" i="4"/>
  <c r="D651" i="6" s="1"/>
  <c r="E650" i="4"/>
  <c r="E651" i="6" s="1"/>
  <c r="F650" i="4"/>
  <c r="F651" i="6" s="1"/>
  <c r="G650" i="4"/>
  <c r="G651" i="6" s="1"/>
  <c r="H650" i="4"/>
  <c r="H651" i="6" s="1"/>
  <c r="I650" i="4"/>
  <c r="I651" i="6" s="1"/>
  <c r="B650" i="4"/>
  <c r="B651" i="6" s="1"/>
  <c r="A651" i="4"/>
  <c r="A652" i="6" s="1"/>
  <c r="A654" i="9" s="1"/>
  <c r="L653" i="9" l="1"/>
  <c r="T653" i="9"/>
  <c r="P653" i="9"/>
  <c r="E654" i="9"/>
  <c r="Q654" i="9" s="1"/>
  <c r="F654" i="9"/>
  <c r="I654" i="9"/>
  <c r="R654" i="9" s="1"/>
  <c r="B654" i="9"/>
  <c r="J654" i="9"/>
  <c r="U654" i="9"/>
  <c r="G654" i="9"/>
  <c r="N654" i="9" s="1"/>
  <c r="H654" i="9"/>
  <c r="C654" i="9"/>
  <c r="M654" i="9" s="1"/>
  <c r="D654" i="9"/>
  <c r="J651" i="6"/>
  <c r="B651" i="4"/>
  <c r="B652" i="6" s="1"/>
  <c r="A652" i="4"/>
  <c r="A653" i="6" s="1"/>
  <c r="A655" i="9" s="1"/>
  <c r="C651" i="4"/>
  <c r="C652" i="6" s="1"/>
  <c r="D651" i="4"/>
  <c r="D652" i="6" s="1"/>
  <c r="E651" i="4"/>
  <c r="E652" i="6" s="1"/>
  <c r="F651" i="4"/>
  <c r="F652" i="6" s="1"/>
  <c r="G651" i="4"/>
  <c r="G652" i="6" s="1"/>
  <c r="H651" i="4"/>
  <c r="H652" i="6" s="1"/>
  <c r="I651" i="4"/>
  <c r="I652" i="6" s="1"/>
  <c r="P654" i="9" l="1"/>
  <c r="T654" i="9"/>
  <c r="L654" i="9"/>
  <c r="C655" i="9"/>
  <c r="M655" i="9" s="1"/>
  <c r="D655" i="9"/>
  <c r="G655" i="9"/>
  <c r="N655" i="9" s="1"/>
  <c r="H655" i="9"/>
  <c r="E655" i="9"/>
  <c r="Q655" i="9" s="1"/>
  <c r="F655" i="9"/>
  <c r="B655" i="9"/>
  <c r="I655" i="9"/>
  <c r="R655" i="9" s="1"/>
  <c r="J655" i="9"/>
  <c r="U655" i="9"/>
  <c r="J652" i="6"/>
  <c r="I652" i="4"/>
  <c r="I653" i="6" s="1"/>
  <c r="B652" i="4"/>
  <c r="B653" i="6" s="1"/>
  <c r="A653" i="4"/>
  <c r="A654" i="6" s="1"/>
  <c r="A656" i="9" s="1"/>
  <c r="C652" i="4"/>
  <c r="C653" i="6" s="1"/>
  <c r="D652" i="4"/>
  <c r="D653" i="6" s="1"/>
  <c r="E652" i="4"/>
  <c r="E653" i="6" s="1"/>
  <c r="F652" i="4"/>
  <c r="F653" i="6" s="1"/>
  <c r="G652" i="4"/>
  <c r="G653" i="6" s="1"/>
  <c r="H652" i="4"/>
  <c r="H653" i="6" s="1"/>
  <c r="L655" i="9" l="1"/>
  <c r="P655" i="9"/>
  <c r="T655" i="9"/>
  <c r="I656" i="9"/>
  <c r="R656" i="9" s="1"/>
  <c r="B656" i="9"/>
  <c r="J656" i="9"/>
  <c r="U656" i="9"/>
  <c r="E656" i="9"/>
  <c r="Q656" i="9" s="1"/>
  <c r="F656" i="9"/>
  <c r="C656" i="9"/>
  <c r="M656" i="9" s="1"/>
  <c r="D656" i="9"/>
  <c r="G656" i="9"/>
  <c r="N656" i="9" s="1"/>
  <c r="H656" i="9"/>
  <c r="J653" i="6"/>
  <c r="H653" i="4"/>
  <c r="H654" i="6" s="1"/>
  <c r="I653" i="4"/>
  <c r="I654" i="6" s="1"/>
  <c r="B653" i="4"/>
  <c r="B654" i="6" s="1"/>
  <c r="A654" i="4"/>
  <c r="A655" i="6" s="1"/>
  <c r="A657" i="9" s="1"/>
  <c r="C653" i="4"/>
  <c r="C654" i="6" s="1"/>
  <c r="D653" i="4"/>
  <c r="D654" i="6" s="1"/>
  <c r="E653" i="4"/>
  <c r="E654" i="6" s="1"/>
  <c r="F653" i="4"/>
  <c r="F654" i="6" s="1"/>
  <c r="G653" i="4"/>
  <c r="G654" i="6" s="1"/>
  <c r="G657" i="9" l="1"/>
  <c r="N657" i="9" s="1"/>
  <c r="H657" i="9"/>
  <c r="C657" i="9"/>
  <c r="M657" i="9" s="1"/>
  <c r="D657" i="9"/>
  <c r="B657" i="9"/>
  <c r="U657" i="9"/>
  <c r="I657" i="9"/>
  <c r="R657" i="9" s="1"/>
  <c r="J657" i="9"/>
  <c r="E657" i="9"/>
  <c r="Q657" i="9" s="1"/>
  <c r="F657" i="9"/>
  <c r="T656" i="9"/>
  <c r="P656" i="9"/>
  <c r="L656" i="9"/>
  <c r="J654" i="6"/>
  <c r="G654" i="4"/>
  <c r="G655" i="6" s="1"/>
  <c r="H654" i="4"/>
  <c r="H655" i="6" s="1"/>
  <c r="I654" i="4"/>
  <c r="I655" i="6" s="1"/>
  <c r="B654" i="4"/>
  <c r="B655" i="6" s="1"/>
  <c r="A655" i="4"/>
  <c r="A656" i="6" s="1"/>
  <c r="A658" i="9" s="1"/>
  <c r="C654" i="4"/>
  <c r="C655" i="6" s="1"/>
  <c r="D654" i="4"/>
  <c r="D655" i="6" s="1"/>
  <c r="E654" i="4"/>
  <c r="E655" i="6" s="1"/>
  <c r="F654" i="4"/>
  <c r="F655" i="6" s="1"/>
  <c r="E658" i="9" l="1"/>
  <c r="Q658" i="9" s="1"/>
  <c r="F658" i="9"/>
  <c r="I658" i="9"/>
  <c r="R658" i="9" s="1"/>
  <c r="B658" i="9"/>
  <c r="J658" i="9"/>
  <c r="U658" i="9"/>
  <c r="G658" i="9"/>
  <c r="N658" i="9" s="1"/>
  <c r="H658" i="9"/>
  <c r="C658" i="9"/>
  <c r="M658" i="9" s="1"/>
  <c r="D658" i="9"/>
  <c r="L657" i="9"/>
  <c r="T657" i="9"/>
  <c r="P657" i="9"/>
  <c r="J655" i="6"/>
  <c r="F655" i="4"/>
  <c r="F656" i="6" s="1"/>
  <c r="G655" i="4"/>
  <c r="G656" i="6" s="1"/>
  <c r="H655" i="4"/>
  <c r="H656" i="6" s="1"/>
  <c r="I655" i="4"/>
  <c r="I656" i="6" s="1"/>
  <c r="B655" i="4"/>
  <c r="B656" i="6" s="1"/>
  <c r="A656" i="4"/>
  <c r="A657" i="6" s="1"/>
  <c r="A659" i="9" s="1"/>
  <c r="C655" i="4"/>
  <c r="C656" i="6" s="1"/>
  <c r="D655" i="4"/>
  <c r="D656" i="6" s="1"/>
  <c r="E655" i="4"/>
  <c r="E656" i="6" s="1"/>
  <c r="P658" i="9" l="1"/>
  <c r="T658" i="9"/>
  <c r="L658" i="9"/>
  <c r="C659" i="9"/>
  <c r="M659" i="9" s="1"/>
  <c r="D659" i="9"/>
  <c r="G659" i="9"/>
  <c r="N659" i="9" s="1"/>
  <c r="H659" i="9"/>
  <c r="E659" i="9"/>
  <c r="Q659" i="9" s="1"/>
  <c r="F659" i="9"/>
  <c r="U659" i="9"/>
  <c r="B659" i="9"/>
  <c r="I659" i="9"/>
  <c r="R659" i="9" s="1"/>
  <c r="J659" i="9"/>
  <c r="J656" i="6"/>
  <c r="E656" i="4"/>
  <c r="E657" i="6" s="1"/>
  <c r="F656" i="4"/>
  <c r="F657" i="6" s="1"/>
  <c r="G656" i="4"/>
  <c r="G657" i="6" s="1"/>
  <c r="H656" i="4"/>
  <c r="H657" i="6" s="1"/>
  <c r="I656" i="4"/>
  <c r="I657" i="6" s="1"/>
  <c r="B656" i="4"/>
  <c r="B657" i="6" s="1"/>
  <c r="A657" i="4"/>
  <c r="A658" i="6" s="1"/>
  <c r="A660" i="9" s="1"/>
  <c r="C656" i="4"/>
  <c r="C657" i="6" s="1"/>
  <c r="D656" i="4"/>
  <c r="D657" i="6" s="1"/>
  <c r="I660" i="9" l="1"/>
  <c r="R660" i="9" s="1"/>
  <c r="B660" i="9"/>
  <c r="J660" i="9"/>
  <c r="U660" i="9"/>
  <c r="E660" i="9"/>
  <c r="Q660" i="9" s="1"/>
  <c r="F660" i="9"/>
  <c r="C660" i="9"/>
  <c r="M660" i="9" s="1"/>
  <c r="D660" i="9"/>
  <c r="G660" i="9"/>
  <c r="N660" i="9" s="1"/>
  <c r="H660" i="9"/>
  <c r="L659" i="9"/>
  <c r="P659" i="9"/>
  <c r="T659" i="9"/>
  <c r="J657" i="6"/>
  <c r="D657" i="4"/>
  <c r="D658" i="6" s="1"/>
  <c r="E657" i="4"/>
  <c r="E658" i="6" s="1"/>
  <c r="F657" i="4"/>
  <c r="F658" i="6" s="1"/>
  <c r="G657" i="4"/>
  <c r="G658" i="6" s="1"/>
  <c r="H657" i="4"/>
  <c r="H658" i="6" s="1"/>
  <c r="I657" i="4"/>
  <c r="I658" i="6" s="1"/>
  <c r="B657" i="4"/>
  <c r="B658" i="6" s="1"/>
  <c r="A658" i="4"/>
  <c r="A659" i="6" s="1"/>
  <c r="A661" i="9" s="1"/>
  <c r="C657" i="4"/>
  <c r="C658" i="6" s="1"/>
  <c r="G661" i="9" l="1"/>
  <c r="N661" i="9" s="1"/>
  <c r="H661" i="9"/>
  <c r="C661" i="9"/>
  <c r="M661" i="9" s="1"/>
  <c r="D661" i="9"/>
  <c r="I661" i="9"/>
  <c r="R661" i="9" s="1"/>
  <c r="J661" i="9"/>
  <c r="B661" i="9"/>
  <c r="U661" i="9"/>
  <c r="E661" i="9"/>
  <c r="Q661" i="9" s="1"/>
  <c r="F661" i="9"/>
  <c r="T660" i="9"/>
  <c r="P660" i="9"/>
  <c r="L660" i="9"/>
  <c r="J658" i="6"/>
  <c r="C658" i="4"/>
  <c r="C659" i="6" s="1"/>
  <c r="D658" i="4"/>
  <c r="D659" i="6" s="1"/>
  <c r="E658" i="4"/>
  <c r="E659" i="6" s="1"/>
  <c r="F658" i="4"/>
  <c r="F659" i="6" s="1"/>
  <c r="G658" i="4"/>
  <c r="G659" i="6" s="1"/>
  <c r="H658" i="4"/>
  <c r="H659" i="6" s="1"/>
  <c r="I658" i="4"/>
  <c r="I659" i="6" s="1"/>
  <c r="B658" i="4"/>
  <c r="B659" i="6" s="1"/>
  <c r="A659" i="4"/>
  <c r="A660" i="6" s="1"/>
  <c r="A662" i="9" s="1"/>
  <c r="E662" i="9" l="1"/>
  <c r="Q662" i="9" s="1"/>
  <c r="F662" i="9"/>
  <c r="I662" i="9"/>
  <c r="R662" i="9" s="1"/>
  <c r="B662" i="9"/>
  <c r="J662" i="9"/>
  <c r="U662" i="9"/>
  <c r="G662" i="9"/>
  <c r="N662" i="9" s="1"/>
  <c r="H662" i="9"/>
  <c r="C662" i="9"/>
  <c r="M662" i="9" s="1"/>
  <c r="D662" i="9"/>
  <c r="L661" i="9"/>
  <c r="T661" i="9"/>
  <c r="P661" i="9"/>
  <c r="J659" i="6"/>
  <c r="B659" i="4"/>
  <c r="B660" i="6" s="1"/>
  <c r="A660" i="4"/>
  <c r="A661" i="6" s="1"/>
  <c r="A663" i="9" s="1"/>
  <c r="C659" i="4"/>
  <c r="C660" i="6" s="1"/>
  <c r="D659" i="4"/>
  <c r="D660" i="6" s="1"/>
  <c r="E659" i="4"/>
  <c r="E660" i="6" s="1"/>
  <c r="F659" i="4"/>
  <c r="F660" i="6" s="1"/>
  <c r="G659" i="4"/>
  <c r="G660" i="6" s="1"/>
  <c r="H659" i="4"/>
  <c r="H660" i="6" s="1"/>
  <c r="I659" i="4"/>
  <c r="I660" i="6" s="1"/>
  <c r="P662" i="9" l="1"/>
  <c r="T662" i="9"/>
  <c r="L662" i="9"/>
  <c r="C663" i="9"/>
  <c r="M663" i="9" s="1"/>
  <c r="D663" i="9"/>
  <c r="G663" i="9"/>
  <c r="N663" i="9" s="1"/>
  <c r="H663" i="9"/>
  <c r="E663" i="9"/>
  <c r="Q663" i="9" s="1"/>
  <c r="F663" i="9"/>
  <c r="I663" i="9"/>
  <c r="R663" i="9" s="1"/>
  <c r="J663" i="9"/>
  <c r="U663" i="9"/>
  <c r="B663" i="9"/>
  <c r="J660" i="6"/>
  <c r="I660" i="4"/>
  <c r="I661" i="6" s="1"/>
  <c r="B660" i="4"/>
  <c r="B661" i="6" s="1"/>
  <c r="A661" i="4"/>
  <c r="A662" i="6" s="1"/>
  <c r="A664" i="9" s="1"/>
  <c r="C660" i="4"/>
  <c r="C661" i="6" s="1"/>
  <c r="D660" i="4"/>
  <c r="D661" i="6" s="1"/>
  <c r="E660" i="4"/>
  <c r="E661" i="6" s="1"/>
  <c r="F660" i="4"/>
  <c r="F661" i="6" s="1"/>
  <c r="G660" i="4"/>
  <c r="G661" i="6" s="1"/>
  <c r="H660" i="4"/>
  <c r="H661" i="6" s="1"/>
  <c r="L663" i="9" l="1"/>
  <c r="P663" i="9"/>
  <c r="T663" i="9"/>
  <c r="I664" i="9"/>
  <c r="R664" i="9" s="1"/>
  <c r="B664" i="9"/>
  <c r="J664" i="9"/>
  <c r="U664" i="9"/>
  <c r="F664" i="9"/>
  <c r="C664" i="9"/>
  <c r="M664" i="9" s="1"/>
  <c r="D664" i="9"/>
  <c r="H664" i="9"/>
  <c r="E664" i="9"/>
  <c r="Q664" i="9" s="1"/>
  <c r="G664" i="9"/>
  <c r="N664" i="9" s="1"/>
  <c r="J661" i="6"/>
  <c r="H661" i="4"/>
  <c r="H662" i="6" s="1"/>
  <c r="I661" i="4"/>
  <c r="I662" i="6" s="1"/>
  <c r="B661" i="4"/>
  <c r="B662" i="6" s="1"/>
  <c r="A662" i="4"/>
  <c r="A663" i="6" s="1"/>
  <c r="A665" i="9" s="1"/>
  <c r="C661" i="4"/>
  <c r="C662" i="6" s="1"/>
  <c r="D661" i="4"/>
  <c r="D662" i="6" s="1"/>
  <c r="E661" i="4"/>
  <c r="E662" i="6" s="1"/>
  <c r="F661" i="4"/>
  <c r="F662" i="6" s="1"/>
  <c r="G661" i="4"/>
  <c r="G662" i="6" s="1"/>
  <c r="T664" i="9" l="1"/>
  <c r="P664" i="9"/>
  <c r="L664" i="9"/>
  <c r="G665" i="9"/>
  <c r="N665" i="9" s="1"/>
  <c r="H665" i="9"/>
  <c r="D665" i="9"/>
  <c r="J665" i="9"/>
  <c r="C665" i="9"/>
  <c r="M665" i="9" s="1"/>
  <c r="E665" i="9"/>
  <c r="Q665" i="9" s="1"/>
  <c r="B665" i="9"/>
  <c r="F665" i="9"/>
  <c r="I665" i="9"/>
  <c r="R665" i="9" s="1"/>
  <c r="U665" i="9"/>
  <c r="J662" i="6"/>
  <c r="G662" i="4"/>
  <c r="G663" i="6" s="1"/>
  <c r="H662" i="4"/>
  <c r="H663" i="6" s="1"/>
  <c r="I662" i="4"/>
  <c r="I663" i="6" s="1"/>
  <c r="B662" i="4"/>
  <c r="B663" i="6" s="1"/>
  <c r="A663" i="4"/>
  <c r="A664" i="6" s="1"/>
  <c r="A666" i="9" s="1"/>
  <c r="C662" i="4"/>
  <c r="C663" i="6" s="1"/>
  <c r="D662" i="4"/>
  <c r="D663" i="6" s="1"/>
  <c r="E662" i="4"/>
  <c r="E663" i="6" s="1"/>
  <c r="F662" i="4"/>
  <c r="F663" i="6" s="1"/>
  <c r="L665" i="9" l="1"/>
  <c r="T665" i="9"/>
  <c r="P665" i="9"/>
  <c r="F666" i="9"/>
  <c r="B666" i="9"/>
  <c r="J666" i="9"/>
  <c r="U666" i="9"/>
  <c r="C666" i="9"/>
  <c r="M666" i="9" s="1"/>
  <c r="D666" i="9"/>
  <c r="H666" i="9"/>
  <c r="I666" i="9"/>
  <c r="R666" i="9" s="1"/>
  <c r="E666" i="9"/>
  <c r="Q666" i="9" s="1"/>
  <c r="G666" i="9"/>
  <c r="N666" i="9" s="1"/>
  <c r="J663" i="6"/>
  <c r="F663" i="4"/>
  <c r="F664" i="6" s="1"/>
  <c r="G663" i="4"/>
  <c r="G664" i="6" s="1"/>
  <c r="H663" i="4"/>
  <c r="H664" i="6" s="1"/>
  <c r="I663" i="4"/>
  <c r="I664" i="6" s="1"/>
  <c r="B663" i="4"/>
  <c r="B664" i="6" s="1"/>
  <c r="A664" i="4"/>
  <c r="A665" i="6" s="1"/>
  <c r="A667" i="9" s="1"/>
  <c r="C663" i="4"/>
  <c r="C664" i="6" s="1"/>
  <c r="D663" i="4"/>
  <c r="D664" i="6" s="1"/>
  <c r="E663" i="4"/>
  <c r="E664" i="6" s="1"/>
  <c r="P666" i="9" l="1"/>
  <c r="L666" i="9"/>
  <c r="T666" i="9"/>
  <c r="D667" i="9"/>
  <c r="H667" i="9"/>
  <c r="F667" i="9"/>
  <c r="G667" i="9"/>
  <c r="N667" i="9" s="1"/>
  <c r="U667" i="9"/>
  <c r="B667" i="9"/>
  <c r="I667" i="9"/>
  <c r="R667" i="9" s="1"/>
  <c r="J667" i="9"/>
  <c r="C667" i="9"/>
  <c r="M667" i="9" s="1"/>
  <c r="E667" i="9"/>
  <c r="Q667" i="9" s="1"/>
  <c r="J664" i="6"/>
  <c r="E664" i="4"/>
  <c r="E665" i="6" s="1"/>
  <c r="F664" i="4"/>
  <c r="F665" i="6" s="1"/>
  <c r="G664" i="4"/>
  <c r="G665" i="6" s="1"/>
  <c r="H664" i="4"/>
  <c r="H665" i="6" s="1"/>
  <c r="I664" i="4"/>
  <c r="I665" i="6" s="1"/>
  <c r="B664" i="4"/>
  <c r="B665" i="6" s="1"/>
  <c r="A665" i="4"/>
  <c r="A666" i="6" s="1"/>
  <c r="A668" i="9" s="1"/>
  <c r="C664" i="4"/>
  <c r="C665" i="6" s="1"/>
  <c r="D664" i="4"/>
  <c r="D665" i="6" s="1"/>
  <c r="B668" i="9" l="1"/>
  <c r="J668" i="9"/>
  <c r="H668" i="9"/>
  <c r="I668" i="9"/>
  <c r="R668" i="9" s="1"/>
  <c r="U668" i="9"/>
  <c r="D668" i="9"/>
  <c r="E668" i="9"/>
  <c r="Q668" i="9" s="1"/>
  <c r="F668" i="9"/>
  <c r="C668" i="9"/>
  <c r="M668" i="9" s="1"/>
  <c r="G668" i="9"/>
  <c r="N668" i="9" s="1"/>
  <c r="T667" i="9"/>
  <c r="L667" i="9"/>
  <c r="P667" i="9"/>
  <c r="J665" i="6"/>
  <c r="D665" i="4"/>
  <c r="D666" i="6" s="1"/>
  <c r="E665" i="4"/>
  <c r="E666" i="6" s="1"/>
  <c r="F665" i="4"/>
  <c r="F666" i="6" s="1"/>
  <c r="G665" i="4"/>
  <c r="G666" i="6" s="1"/>
  <c r="H665" i="4"/>
  <c r="H666" i="6" s="1"/>
  <c r="I665" i="4"/>
  <c r="I666" i="6" s="1"/>
  <c r="B665" i="4"/>
  <c r="B666" i="6" s="1"/>
  <c r="A666" i="4"/>
  <c r="A667" i="6" s="1"/>
  <c r="A669" i="9" s="1"/>
  <c r="C665" i="4"/>
  <c r="C666" i="6" s="1"/>
  <c r="G669" i="9" l="1"/>
  <c r="N669" i="9" s="1"/>
  <c r="H669" i="9"/>
  <c r="C669" i="9"/>
  <c r="M669" i="9" s="1"/>
  <c r="D669" i="9"/>
  <c r="I669" i="9"/>
  <c r="R669" i="9" s="1"/>
  <c r="J669" i="9"/>
  <c r="E669" i="9"/>
  <c r="Q669" i="9" s="1"/>
  <c r="B669" i="9"/>
  <c r="U669" i="9"/>
  <c r="F669" i="9"/>
  <c r="T668" i="9"/>
  <c r="P668" i="9"/>
  <c r="L668" i="9"/>
  <c r="J666" i="6"/>
  <c r="C666" i="4"/>
  <c r="C667" i="6" s="1"/>
  <c r="D666" i="4"/>
  <c r="D667" i="6" s="1"/>
  <c r="E666" i="4"/>
  <c r="E667" i="6" s="1"/>
  <c r="F666" i="4"/>
  <c r="F667" i="6" s="1"/>
  <c r="G666" i="4"/>
  <c r="G667" i="6" s="1"/>
  <c r="H666" i="4"/>
  <c r="H667" i="6" s="1"/>
  <c r="I666" i="4"/>
  <c r="I667" i="6" s="1"/>
  <c r="B666" i="4"/>
  <c r="B667" i="6" s="1"/>
  <c r="A667" i="4"/>
  <c r="A668" i="6" s="1"/>
  <c r="A670" i="9" s="1"/>
  <c r="L669" i="9" l="1"/>
  <c r="P669" i="9"/>
  <c r="T669" i="9"/>
  <c r="E670" i="9"/>
  <c r="Q670" i="9" s="1"/>
  <c r="F670" i="9"/>
  <c r="I670" i="9"/>
  <c r="R670" i="9" s="1"/>
  <c r="B670" i="9"/>
  <c r="J670" i="9"/>
  <c r="G670" i="9"/>
  <c r="N670" i="9" s="1"/>
  <c r="H670" i="9"/>
  <c r="C670" i="9"/>
  <c r="M670" i="9" s="1"/>
  <c r="D670" i="9"/>
  <c r="U670" i="9"/>
  <c r="J667" i="6"/>
  <c r="B667" i="4"/>
  <c r="B668" i="6" s="1"/>
  <c r="A668" i="4"/>
  <c r="A669" i="6" s="1"/>
  <c r="A671" i="9" s="1"/>
  <c r="C667" i="4"/>
  <c r="C668" i="6" s="1"/>
  <c r="D667" i="4"/>
  <c r="D668" i="6" s="1"/>
  <c r="E667" i="4"/>
  <c r="E668" i="6" s="1"/>
  <c r="F667" i="4"/>
  <c r="F668" i="6" s="1"/>
  <c r="G667" i="4"/>
  <c r="G668" i="6" s="1"/>
  <c r="H667" i="4"/>
  <c r="H668" i="6" s="1"/>
  <c r="I667" i="4"/>
  <c r="I668" i="6" s="1"/>
  <c r="P670" i="9" l="1"/>
  <c r="L670" i="9"/>
  <c r="T670" i="9"/>
  <c r="C671" i="9"/>
  <c r="M671" i="9" s="1"/>
  <c r="D671" i="9"/>
  <c r="B671" i="9"/>
  <c r="E671" i="9"/>
  <c r="Q671" i="9" s="1"/>
  <c r="F671" i="9"/>
  <c r="I671" i="9"/>
  <c r="R671" i="9" s="1"/>
  <c r="G671" i="9"/>
  <c r="N671" i="9" s="1"/>
  <c r="H671" i="9"/>
  <c r="U671" i="9"/>
  <c r="J671" i="9"/>
  <c r="J668" i="6"/>
  <c r="B668" i="4"/>
  <c r="B669" i="6" s="1"/>
  <c r="C668" i="4"/>
  <c r="C669" i="6" s="1"/>
  <c r="E668" i="4"/>
  <c r="E669" i="6" s="1"/>
  <c r="F668" i="4"/>
  <c r="F669" i="6" s="1"/>
  <c r="G668" i="4"/>
  <c r="G669" i="6" s="1"/>
  <c r="D668" i="4"/>
  <c r="D669" i="6" s="1"/>
  <c r="H668" i="4"/>
  <c r="H669" i="6" s="1"/>
  <c r="I668" i="4"/>
  <c r="I669" i="6" s="1"/>
  <c r="A669" i="4"/>
  <c r="A670" i="6" s="1"/>
  <c r="A672" i="9" s="1"/>
  <c r="L671" i="9" l="1"/>
  <c r="P671" i="9"/>
  <c r="T671" i="9"/>
  <c r="I672" i="9"/>
  <c r="R672" i="9" s="1"/>
  <c r="B672" i="9"/>
  <c r="J672" i="9"/>
  <c r="U672" i="9"/>
  <c r="E672" i="9"/>
  <c r="Q672" i="9" s="1"/>
  <c r="F672" i="9"/>
  <c r="G672" i="9"/>
  <c r="N672" i="9" s="1"/>
  <c r="H672" i="9"/>
  <c r="C672" i="9"/>
  <c r="M672" i="9" s="1"/>
  <c r="D672" i="9"/>
  <c r="J669" i="6"/>
  <c r="E669" i="4"/>
  <c r="E670" i="6" s="1"/>
  <c r="F669" i="4"/>
  <c r="F670" i="6" s="1"/>
  <c r="G669" i="4"/>
  <c r="G670" i="6" s="1"/>
  <c r="H669" i="4"/>
  <c r="H670" i="6" s="1"/>
  <c r="I669" i="4"/>
  <c r="I670" i="6" s="1"/>
  <c r="B669" i="4"/>
  <c r="B670" i="6" s="1"/>
  <c r="A670" i="4"/>
  <c r="A671" i="6" s="1"/>
  <c r="A673" i="9" s="1"/>
  <c r="C669" i="4"/>
  <c r="C670" i="6" s="1"/>
  <c r="D669" i="4"/>
  <c r="D670" i="6" s="1"/>
  <c r="G673" i="9" l="1"/>
  <c r="N673" i="9" s="1"/>
  <c r="H673" i="9"/>
  <c r="I673" i="9"/>
  <c r="R673" i="9" s="1"/>
  <c r="J673" i="9"/>
  <c r="B673" i="9"/>
  <c r="C673" i="9"/>
  <c r="M673" i="9" s="1"/>
  <c r="D673" i="9"/>
  <c r="E673" i="9"/>
  <c r="Q673" i="9" s="1"/>
  <c r="F673" i="9"/>
  <c r="U673" i="9"/>
  <c r="T672" i="9"/>
  <c r="L672" i="9"/>
  <c r="P672" i="9"/>
  <c r="J670" i="6"/>
  <c r="D670" i="4"/>
  <c r="D671" i="6" s="1"/>
  <c r="E670" i="4"/>
  <c r="E671" i="6" s="1"/>
  <c r="F670" i="4"/>
  <c r="F671" i="6" s="1"/>
  <c r="G670" i="4"/>
  <c r="G671" i="6" s="1"/>
  <c r="H670" i="4"/>
  <c r="H671" i="6" s="1"/>
  <c r="I670" i="4"/>
  <c r="I671" i="6" s="1"/>
  <c r="B670" i="4"/>
  <c r="B671" i="6" s="1"/>
  <c r="A671" i="4"/>
  <c r="A672" i="6" s="1"/>
  <c r="A674" i="9" s="1"/>
  <c r="C670" i="4"/>
  <c r="C671" i="6" s="1"/>
  <c r="E674" i="9" l="1"/>
  <c r="Q674" i="9" s="1"/>
  <c r="F674" i="9"/>
  <c r="B674" i="9"/>
  <c r="C674" i="9"/>
  <c r="M674" i="9" s="1"/>
  <c r="D674" i="9"/>
  <c r="G674" i="9"/>
  <c r="N674" i="9" s="1"/>
  <c r="H674" i="9"/>
  <c r="U674" i="9"/>
  <c r="I674" i="9"/>
  <c r="R674" i="9" s="1"/>
  <c r="J674" i="9"/>
  <c r="L673" i="9"/>
  <c r="T673" i="9"/>
  <c r="P673" i="9"/>
  <c r="J671" i="6"/>
  <c r="C671" i="4"/>
  <c r="C672" i="6" s="1"/>
  <c r="D671" i="4"/>
  <c r="D672" i="6" s="1"/>
  <c r="E671" i="4"/>
  <c r="E672" i="6" s="1"/>
  <c r="F671" i="4"/>
  <c r="F672" i="6" s="1"/>
  <c r="G671" i="4"/>
  <c r="G672" i="6" s="1"/>
  <c r="H671" i="4"/>
  <c r="H672" i="6" s="1"/>
  <c r="I671" i="4"/>
  <c r="I672" i="6" s="1"/>
  <c r="A672" i="4"/>
  <c r="A673" i="6" s="1"/>
  <c r="A675" i="9" s="1"/>
  <c r="B671" i="4"/>
  <c r="B672" i="6" s="1"/>
  <c r="C675" i="9" l="1"/>
  <c r="M675" i="9" s="1"/>
  <c r="D675" i="9"/>
  <c r="E675" i="9"/>
  <c r="Q675" i="9" s="1"/>
  <c r="F675" i="9"/>
  <c r="G675" i="9"/>
  <c r="N675" i="9" s="1"/>
  <c r="H675" i="9"/>
  <c r="U675" i="9"/>
  <c r="I675" i="9"/>
  <c r="R675" i="9" s="1"/>
  <c r="J675" i="9"/>
  <c r="B675" i="9"/>
  <c r="P674" i="9"/>
  <c r="L674" i="9"/>
  <c r="T674" i="9"/>
  <c r="J672" i="6"/>
  <c r="B672" i="4"/>
  <c r="B673" i="6" s="1"/>
  <c r="A673" i="4"/>
  <c r="A674" i="6" s="1"/>
  <c r="A676" i="9" s="1"/>
  <c r="C672" i="4"/>
  <c r="C673" i="6" s="1"/>
  <c r="D672" i="4"/>
  <c r="D673" i="6" s="1"/>
  <c r="E672" i="4"/>
  <c r="E673" i="6" s="1"/>
  <c r="F672" i="4"/>
  <c r="F673" i="6" s="1"/>
  <c r="G672" i="4"/>
  <c r="G673" i="6" s="1"/>
  <c r="H672" i="4"/>
  <c r="H673" i="6" s="1"/>
  <c r="I672" i="4"/>
  <c r="I673" i="6" s="1"/>
  <c r="I676" i="9" l="1"/>
  <c r="R676" i="9" s="1"/>
  <c r="B676" i="9"/>
  <c r="J676" i="9"/>
  <c r="U676" i="9"/>
  <c r="G676" i="9"/>
  <c r="N676" i="9" s="1"/>
  <c r="H676" i="9"/>
  <c r="C676" i="9"/>
  <c r="M676" i="9" s="1"/>
  <c r="D676" i="9"/>
  <c r="E676" i="9"/>
  <c r="Q676" i="9" s="1"/>
  <c r="F676" i="9"/>
  <c r="L675" i="9"/>
  <c r="T675" i="9"/>
  <c r="P675" i="9"/>
  <c r="J673" i="6"/>
  <c r="I673" i="4"/>
  <c r="I674" i="6" s="1"/>
  <c r="B673" i="4"/>
  <c r="B674" i="6" s="1"/>
  <c r="A674" i="4"/>
  <c r="A675" i="6" s="1"/>
  <c r="A677" i="9" s="1"/>
  <c r="C673" i="4"/>
  <c r="C674" i="6" s="1"/>
  <c r="D673" i="4"/>
  <c r="D674" i="6" s="1"/>
  <c r="E673" i="4"/>
  <c r="E674" i="6" s="1"/>
  <c r="F673" i="4"/>
  <c r="F674" i="6" s="1"/>
  <c r="G673" i="4"/>
  <c r="G674" i="6" s="1"/>
  <c r="H673" i="4"/>
  <c r="H674" i="6" s="1"/>
  <c r="T676" i="9" l="1"/>
  <c r="L676" i="9"/>
  <c r="P676" i="9"/>
  <c r="G677" i="9"/>
  <c r="N677" i="9" s="1"/>
  <c r="H677" i="9"/>
  <c r="B677" i="9"/>
  <c r="C677" i="9"/>
  <c r="M677" i="9" s="1"/>
  <c r="D677" i="9"/>
  <c r="E677" i="9"/>
  <c r="Q677" i="9" s="1"/>
  <c r="F677" i="9"/>
  <c r="U677" i="9"/>
  <c r="I677" i="9"/>
  <c r="R677" i="9" s="1"/>
  <c r="J677" i="9"/>
  <c r="J674" i="6"/>
  <c r="H674" i="4"/>
  <c r="H675" i="6" s="1"/>
  <c r="I674" i="4"/>
  <c r="I675" i="6" s="1"/>
  <c r="B674" i="4"/>
  <c r="B675" i="6" s="1"/>
  <c r="A675" i="4"/>
  <c r="A676" i="6" s="1"/>
  <c r="A678" i="9" s="1"/>
  <c r="C674" i="4"/>
  <c r="C675" i="6" s="1"/>
  <c r="D674" i="4"/>
  <c r="D675" i="6" s="1"/>
  <c r="E674" i="4"/>
  <c r="E675" i="6" s="1"/>
  <c r="F674" i="4"/>
  <c r="F675" i="6" s="1"/>
  <c r="G674" i="4"/>
  <c r="G675" i="6" s="1"/>
  <c r="L677" i="9" l="1"/>
  <c r="P677" i="9"/>
  <c r="T677" i="9"/>
  <c r="E678" i="9"/>
  <c r="Q678" i="9" s="1"/>
  <c r="F678" i="9"/>
  <c r="C678" i="9"/>
  <c r="M678" i="9" s="1"/>
  <c r="D678" i="9"/>
  <c r="G678" i="9"/>
  <c r="N678" i="9" s="1"/>
  <c r="H678" i="9"/>
  <c r="U678" i="9"/>
  <c r="I678" i="9"/>
  <c r="R678" i="9" s="1"/>
  <c r="J678" i="9"/>
  <c r="B678" i="9"/>
  <c r="J675" i="6"/>
  <c r="G675" i="4"/>
  <c r="G676" i="6" s="1"/>
  <c r="H675" i="4"/>
  <c r="H676" i="6" s="1"/>
  <c r="I675" i="4"/>
  <c r="I676" i="6" s="1"/>
  <c r="B675" i="4"/>
  <c r="B676" i="6" s="1"/>
  <c r="A676" i="4"/>
  <c r="A677" i="6" s="1"/>
  <c r="A679" i="9" s="1"/>
  <c r="C675" i="4"/>
  <c r="C676" i="6" s="1"/>
  <c r="D675" i="4"/>
  <c r="D676" i="6" s="1"/>
  <c r="E675" i="4"/>
  <c r="E676" i="6" s="1"/>
  <c r="F675" i="4"/>
  <c r="F676" i="6" s="1"/>
  <c r="P678" i="9" l="1"/>
  <c r="T678" i="9"/>
  <c r="L678" i="9"/>
  <c r="C679" i="9"/>
  <c r="M679" i="9" s="1"/>
  <c r="D679" i="9"/>
  <c r="G679" i="9"/>
  <c r="N679" i="9" s="1"/>
  <c r="H679" i="9"/>
  <c r="U679" i="9"/>
  <c r="I679" i="9"/>
  <c r="R679" i="9" s="1"/>
  <c r="J679" i="9"/>
  <c r="B679" i="9"/>
  <c r="F679" i="9"/>
  <c r="E679" i="9"/>
  <c r="Q679" i="9" s="1"/>
  <c r="J676" i="6"/>
  <c r="F676" i="4"/>
  <c r="F677" i="6" s="1"/>
  <c r="G676" i="4"/>
  <c r="G677" i="6" s="1"/>
  <c r="H676" i="4"/>
  <c r="H677" i="6" s="1"/>
  <c r="I676" i="4"/>
  <c r="I677" i="6" s="1"/>
  <c r="B676" i="4"/>
  <c r="B677" i="6" s="1"/>
  <c r="A677" i="4"/>
  <c r="A678" i="6" s="1"/>
  <c r="A680" i="9" s="1"/>
  <c r="C676" i="4"/>
  <c r="C677" i="6" s="1"/>
  <c r="D676" i="4"/>
  <c r="D677" i="6" s="1"/>
  <c r="E676" i="4"/>
  <c r="E677" i="6" s="1"/>
  <c r="I680" i="9" l="1"/>
  <c r="R680" i="9" s="1"/>
  <c r="B680" i="9"/>
  <c r="J680" i="9"/>
  <c r="U680" i="9"/>
  <c r="C680" i="9"/>
  <c r="M680" i="9" s="1"/>
  <c r="D680" i="9"/>
  <c r="E680" i="9"/>
  <c r="Q680" i="9" s="1"/>
  <c r="F680" i="9"/>
  <c r="H680" i="9"/>
  <c r="G680" i="9"/>
  <c r="N680" i="9" s="1"/>
  <c r="L679" i="9"/>
  <c r="T679" i="9"/>
  <c r="P679" i="9"/>
  <c r="J677" i="6"/>
  <c r="E677" i="4"/>
  <c r="E678" i="6" s="1"/>
  <c r="F677" i="4"/>
  <c r="F678" i="6" s="1"/>
  <c r="G677" i="4"/>
  <c r="G678" i="6" s="1"/>
  <c r="H677" i="4"/>
  <c r="H678" i="6" s="1"/>
  <c r="I677" i="4"/>
  <c r="I678" i="6" s="1"/>
  <c r="B677" i="4"/>
  <c r="B678" i="6" s="1"/>
  <c r="A678" i="4"/>
  <c r="A679" i="6" s="1"/>
  <c r="A681" i="9" s="1"/>
  <c r="C677" i="4"/>
  <c r="C678" i="6" s="1"/>
  <c r="D677" i="4"/>
  <c r="D678" i="6" s="1"/>
  <c r="T680" i="9" l="1"/>
  <c r="L680" i="9"/>
  <c r="P680" i="9"/>
  <c r="G681" i="9"/>
  <c r="N681" i="9" s="1"/>
  <c r="H681" i="9"/>
  <c r="C681" i="9"/>
  <c r="M681" i="9" s="1"/>
  <c r="D681" i="9"/>
  <c r="E681" i="9"/>
  <c r="Q681" i="9" s="1"/>
  <c r="F681" i="9"/>
  <c r="U681" i="9"/>
  <c r="I681" i="9"/>
  <c r="R681" i="9" s="1"/>
  <c r="J681" i="9"/>
  <c r="B681" i="9"/>
  <c r="J678" i="6"/>
  <c r="D678" i="4"/>
  <c r="D679" i="6" s="1"/>
  <c r="E678" i="4"/>
  <c r="E679" i="6" s="1"/>
  <c r="F678" i="4"/>
  <c r="F679" i="6" s="1"/>
  <c r="G678" i="4"/>
  <c r="G679" i="6" s="1"/>
  <c r="H678" i="4"/>
  <c r="H679" i="6" s="1"/>
  <c r="I678" i="4"/>
  <c r="I679" i="6" s="1"/>
  <c r="B678" i="4"/>
  <c r="B679" i="6" s="1"/>
  <c r="A679" i="4"/>
  <c r="A680" i="6" s="1"/>
  <c r="A682" i="9" s="1"/>
  <c r="C678" i="4"/>
  <c r="C679" i="6" s="1"/>
  <c r="P681" i="9" l="1"/>
  <c r="T681" i="9"/>
  <c r="L681" i="9"/>
  <c r="E682" i="9"/>
  <c r="Q682" i="9" s="1"/>
  <c r="F682" i="9"/>
  <c r="G682" i="9"/>
  <c r="N682" i="9" s="1"/>
  <c r="H682" i="9"/>
  <c r="U682" i="9"/>
  <c r="I682" i="9"/>
  <c r="R682" i="9" s="1"/>
  <c r="J682" i="9"/>
  <c r="B682" i="9"/>
  <c r="C682" i="9"/>
  <c r="M682" i="9" s="1"/>
  <c r="D682" i="9"/>
  <c r="J679" i="6"/>
  <c r="C679" i="4"/>
  <c r="C680" i="6" s="1"/>
  <c r="D679" i="4"/>
  <c r="D680" i="6" s="1"/>
  <c r="E679" i="4"/>
  <c r="E680" i="6" s="1"/>
  <c r="F679" i="4"/>
  <c r="F680" i="6" s="1"/>
  <c r="G679" i="4"/>
  <c r="G680" i="6" s="1"/>
  <c r="H679" i="4"/>
  <c r="H680" i="6" s="1"/>
  <c r="I679" i="4"/>
  <c r="I680" i="6" s="1"/>
  <c r="B679" i="4"/>
  <c r="B680" i="6" s="1"/>
  <c r="A680" i="4"/>
  <c r="A681" i="6" s="1"/>
  <c r="A683" i="9" s="1"/>
  <c r="C683" i="9" l="1"/>
  <c r="M683" i="9" s="1"/>
  <c r="D683" i="9"/>
  <c r="I683" i="9"/>
  <c r="R683" i="9" s="1"/>
  <c r="J683" i="9"/>
  <c r="B683" i="9"/>
  <c r="E683" i="9"/>
  <c r="Q683" i="9" s="1"/>
  <c r="F683" i="9"/>
  <c r="H683" i="9"/>
  <c r="U683" i="9"/>
  <c r="G683" i="9"/>
  <c r="N683" i="9" s="1"/>
  <c r="P682" i="9"/>
  <c r="T682" i="9"/>
  <c r="L682" i="9"/>
  <c r="J680" i="6"/>
  <c r="B680" i="4"/>
  <c r="B681" i="6" s="1"/>
  <c r="A681" i="4"/>
  <c r="A682" i="6" s="1"/>
  <c r="A684" i="9" s="1"/>
  <c r="C680" i="4"/>
  <c r="C681" i="6" s="1"/>
  <c r="D680" i="4"/>
  <c r="D681" i="6" s="1"/>
  <c r="E680" i="4"/>
  <c r="E681" i="6" s="1"/>
  <c r="F680" i="4"/>
  <c r="F681" i="6" s="1"/>
  <c r="G680" i="4"/>
  <c r="G681" i="6" s="1"/>
  <c r="H680" i="4"/>
  <c r="H681" i="6" s="1"/>
  <c r="I680" i="4"/>
  <c r="I681" i="6" s="1"/>
  <c r="L683" i="9" l="1"/>
  <c r="P683" i="9"/>
  <c r="T683" i="9"/>
  <c r="I684" i="9"/>
  <c r="R684" i="9" s="1"/>
  <c r="B684" i="9"/>
  <c r="J684" i="9"/>
  <c r="U684" i="9"/>
  <c r="C684" i="9"/>
  <c r="M684" i="9" s="1"/>
  <c r="D684" i="9"/>
  <c r="E684" i="9"/>
  <c r="Q684" i="9" s="1"/>
  <c r="F684" i="9"/>
  <c r="G684" i="9"/>
  <c r="N684" i="9" s="1"/>
  <c r="H684" i="9"/>
  <c r="J681" i="6"/>
  <c r="I681" i="4"/>
  <c r="I682" i="6" s="1"/>
  <c r="B681" i="4"/>
  <c r="B682" i="6" s="1"/>
  <c r="A682" i="4"/>
  <c r="A683" i="6" s="1"/>
  <c r="A685" i="9" s="1"/>
  <c r="C681" i="4"/>
  <c r="C682" i="6" s="1"/>
  <c r="D681" i="4"/>
  <c r="D682" i="6" s="1"/>
  <c r="E681" i="4"/>
  <c r="E682" i="6" s="1"/>
  <c r="F681" i="4"/>
  <c r="F682" i="6" s="1"/>
  <c r="G681" i="4"/>
  <c r="G682" i="6" s="1"/>
  <c r="H681" i="4"/>
  <c r="H682" i="6" s="1"/>
  <c r="T684" i="9" l="1"/>
  <c r="P684" i="9"/>
  <c r="L684" i="9"/>
  <c r="G685" i="9"/>
  <c r="N685" i="9" s="1"/>
  <c r="H685" i="9"/>
  <c r="E685" i="9"/>
  <c r="Q685" i="9" s="1"/>
  <c r="F685" i="9"/>
  <c r="U685" i="9"/>
  <c r="I685" i="9"/>
  <c r="R685" i="9" s="1"/>
  <c r="J685" i="9"/>
  <c r="B685" i="9"/>
  <c r="D685" i="9"/>
  <c r="C685" i="9"/>
  <c r="M685" i="9" s="1"/>
  <c r="J682" i="6"/>
  <c r="H682" i="4"/>
  <c r="H683" i="6" s="1"/>
  <c r="I682" i="4"/>
  <c r="I683" i="6" s="1"/>
  <c r="B682" i="4"/>
  <c r="B683" i="6" s="1"/>
  <c r="A683" i="4"/>
  <c r="A684" i="6" s="1"/>
  <c r="A686" i="9" s="1"/>
  <c r="C682" i="4"/>
  <c r="C683" i="6" s="1"/>
  <c r="D682" i="4"/>
  <c r="D683" i="6" s="1"/>
  <c r="E682" i="4"/>
  <c r="E683" i="6" s="1"/>
  <c r="F682" i="4"/>
  <c r="F683" i="6" s="1"/>
  <c r="G682" i="4"/>
  <c r="G683" i="6" s="1"/>
  <c r="E686" i="9" l="1"/>
  <c r="Q686" i="9" s="1"/>
  <c r="F686" i="9"/>
  <c r="I686" i="9"/>
  <c r="R686" i="9" s="1"/>
  <c r="U686" i="9"/>
  <c r="J686" i="9"/>
  <c r="B686" i="9"/>
  <c r="C686" i="9"/>
  <c r="M686" i="9" s="1"/>
  <c r="D686" i="9"/>
  <c r="H686" i="9"/>
  <c r="G686" i="9"/>
  <c r="N686" i="9" s="1"/>
  <c r="T685" i="9"/>
  <c r="L685" i="9"/>
  <c r="P685" i="9"/>
  <c r="J683" i="6"/>
  <c r="G683" i="4"/>
  <c r="G684" i="6" s="1"/>
  <c r="H683" i="4"/>
  <c r="H684" i="6" s="1"/>
  <c r="I683" i="4"/>
  <c r="I684" i="6" s="1"/>
  <c r="B683" i="4"/>
  <c r="B684" i="6" s="1"/>
  <c r="A684" i="4"/>
  <c r="A685" i="6" s="1"/>
  <c r="A687" i="9" s="1"/>
  <c r="C683" i="4"/>
  <c r="C684" i="6" s="1"/>
  <c r="D683" i="4"/>
  <c r="D684" i="6" s="1"/>
  <c r="E683" i="4"/>
  <c r="E684" i="6" s="1"/>
  <c r="F683" i="4"/>
  <c r="F684" i="6" s="1"/>
  <c r="P686" i="9" l="1"/>
  <c r="L686" i="9"/>
  <c r="T686" i="9"/>
  <c r="H687" i="9"/>
  <c r="I687" i="9"/>
  <c r="R687" i="9" s="1"/>
  <c r="B687" i="9"/>
  <c r="J687" i="9"/>
  <c r="U687" i="9"/>
  <c r="C687" i="9"/>
  <c r="M687" i="9" s="1"/>
  <c r="D687" i="9"/>
  <c r="E687" i="9"/>
  <c r="Q687" i="9" s="1"/>
  <c r="G687" i="9"/>
  <c r="N687" i="9" s="1"/>
  <c r="F687" i="9"/>
  <c r="J684" i="6"/>
  <c r="F684" i="4"/>
  <c r="F685" i="6" s="1"/>
  <c r="G684" i="4"/>
  <c r="G685" i="6" s="1"/>
  <c r="H684" i="4"/>
  <c r="H685" i="6" s="1"/>
  <c r="I684" i="4"/>
  <c r="I685" i="6" s="1"/>
  <c r="B684" i="4"/>
  <c r="B685" i="6" s="1"/>
  <c r="A685" i="4"/>
  <c r="A686" i="6" s="1"/>
  <c r="A688" i="9" s="1"/>
  <c r="C684" i="4"/>
  <c r="C685" i="6" s="1"/>
  <c r="D684" i="4"/>
  <c r="D685" i="6" s="1"/>
  <c r="E684" i="4"/>
  <c r="E685" i="6" s="1"/>
  <c r="T687" i="9" l="1"/>
  <c r="L687" i="9"/>
  <c r="P687" i="9"/>
  <c r="F688" i="9"/>
  <c r="G688" i="9"/>
  <c r="N688" i="9" s="1"/>
  <c r="I688" i="9"/>
  <c r="R688" i="9" s="1"/>
  <c r="B688" i="9"/>
  <c r="J688" i="9"/>
  <c r="U688" i="9"/>
  <c r="C688" i="9"/>
  <c r="M688" i="9" s="1"/>
  <c r="D688" i="9"/>
  <c r="E688" i="9"/>
  <c r="Q688" i="9" s="1"/>
  <c r="H688" i="9"/>
  <c r="J685" i="6"/>
  <c r="E685" i="4"/>
  <c r="E686" i="6" s="1"/>
  <c r="F685" i="4"/>
  <c r="F686" i="6" s="1"/>
  <c r="G685" i="4"/>
  <c r="G686" i="6" s="1"/>
  <c r="H685" i="4"/>
  <c r="H686" i="6" s="1"/>
  <c r="I685" i="4"/>
  <c r="I686" i="6" s="1"/>
  <c r="B685" i="4"/>
  <c r="B686" i="6" s="1"/>
  <c r="A686" i="4"/>
  <c r="A687" i="6" s="1"/>
  <c r="A689" i="9" s="1"/>
  <c r="C685" i="4"/>
  <c r="C686" i="6" s="1"/>
  <c r="D685" i="4"/>
  <c r="D686" i="6" s="1"/>
  <c r="P688" i="9" l="1"/>
  <c r="T688" i="9"/>
  <c r="L688" i="9"/>
  <c r="D689" i="9"/>
  <c r="E689" i="9"/>
  <c r="Q689" i="9" s="1"/>
  <c r="G689" i="9"/>
  <c r="N689" i="9" s="1"/>
  <c r="H689" i="9"/>
  <c r="I689" i="9"/>
  <c r="R689" i="9" s="1"/>
  <c r="C689" i="9"/>
  <c r="M689" i="9" s="1"/>
  <c r="J689" i="9"/>
  <c r="F689" i="9"/>
  <c r="B689" i="9"/>
  <c r="U689" i="9"/>
  <c r="J686" i="6"/>
  <c r="D686" i="4"/>
  <c r="D687" i="6" s="1"/>
  <c r="E686" i="4"/>
  <c r="E687" i="6" s="1"/>
  <c r="F686" i="4"/>
  <c r="F687" i="6" s="1"/>
  <c r="G686" i="4"/>
  <c r="G687" i="6" s="1"/>
  <c r="H686" i="4"/>
  <c r="H687" i="6" s="1"/>
  <c r="I686" i="4"/>
  <c r="I687" i="6" s="1"/>
  <c r="B686" i="4"/>
  <c r="B687" i="6" s="1"/>
  <c r="A687" i="4"/>
  <c r="A688" i="6" s="1"/>
  <c r="A690" i="9" s="1"/>
  <c r="C686" i="4"/>
  <c r="C687" i="6" s="1"/>
  <c r="B690" i="9" l="1"/>
  <c r="J690" i="9"/>
  <c r="U690" i="9"/>
  <c r="C690" i="9"/>
  <c r="M690" i="9" s="1"/>
  <c r="E690" i="9"/>
  <c r="Q690" i="9" s="1"/>
  <c r="F690" i="9"/>
  <c r="G690" i="9"/>
  <c r="N690" i="9" s="1"/>
  <c r="H690" i="9"/>
  <c r="D690" i="9"/>
  <c r="I690" i="9"/>
  <c r="R690" i="9" s="1"/>
  <c r="T689" i="9"/>
  <c r="L689" i="9"/>
  <c r="P689" i="9"/>
  <c r="J687" i="6"/>
  <c r="C687" i="4"/>
  <c r="C688" i="6" s="1"/>
  <c r="D687" i="4"/>
  <c r="D688" i="6" s="1"/>
  <c r="E687" i="4"/>
  <c r="E688" i="6" s="1"/>
  <c r="F687" i="4"/>
  <c r="F688" i="6" s="1"/>
  <c r="G687" i="4"/>
  <c r="G688" i="6" s="1"/>
  <c r="H687" i="4"/>
  <c r="H688" i="6" s="1"/>
  <c r="I687" i="4"/>
  <c r="I688" i="6" s="1"/>
  <c r="B687" i="4"/>
  <c r="B688" i="6" s="1"/>
  <c r="A688" i="4"/>
  <c r="A689" i="6" s="1"/>
  <c r="A691" i="9" s="1"/>
  <c r="H691" i="9" l="1"/>
  <c r="I691" i="9"/>
  <c r="R691" i="9" s="1"/>
  <c r="C691" i="9"/>
  <c r="M691" i="9" s="1"/>
  <c r="D691" i="9"/>
  <c r="E691" i="9"/>
  <c r="Q691" i="9" s="1"/>
  <c r="J691" i="9"/>
  <c r="U691" i="9"/>
  <c r="F691" i="9"/>
  <c r="G691" i="9"/>
  <c r="N691" i="9" s="1"/>
  <c r="B691" i="9"/>
  <c r="L690" i="9"/>
  <c r="P690" i="9"/>
  <c r="T690" i="9"/>
  <c r="J688" i="6"/>
  <c r="B688" i="4"/>
  <c r="B689" i="6" s="1"/>
  <c r="A689" i="4"/>
  <c r="A690" i="6" s="1"/>
  <c r="A692" i="9" s="1"/>
  <c r="C688" i="4"/>
  <c r="C689" i="6" s="1"/>
  <c r="D688" i="4"/>
  <c r="D689" i="6" s="1"/>
  <c r="E688" i="4"/>
  <c r="E689" i="6" s="1"/>
  <c r="F688" i="4"/>
  <c r="F689" i="6" s="1"/>
  <c r="G688" i="4"/>
  <c r="G689" i="6" s="1"/>
  <c r="H688" i="4"/>
  <c r="H689" i="6" s="1"/>
  <c r="I688" i="4"/>
  <c r="I689" i="6" s="1"/>
  <c r="F692" i="9" l="1"/>
  <c r="G692" i="9"/>
  <c r="N692" i="9" s="1"/>
  <c r="I692" i="9"/>
  <c r="R692" i="9" s="1"/>
  <c r="B692" i="9"/>
  <c r="J692" i="9"/>
  <c r="U692" i="9"/>
  <c r="C692" i="9"/>
  <c r="M692" i="9" s="1"/>
  <c r="D692" i="9"/>
  <c r="H692" i="9"/>
  <c r="E692" i="9"/>
  <c r="Q692" i="9" s="1"/>
  <c r="T691" i="9"/>
  <c r="L691" i="9"/>
  <c r="P691" i="9"/>
  <c r="J689" i="6"/>
  <c r="I689" i="4"/>
  <c r="I690" i="6" s="1"/>
  <c r="B689" i="4"/>
  <c r="B690" i="6" s="1"/>
  <c r="A690" i="4"/>
  <c r="A691" i="6" s="1"/>
  <c r="A693" i="9" s="1"/>
  <c r="C689" i="4"/>
  <c r="C690" i="6" s="1"/>
  <c r="D689" i="4"/>
  <c r="D690" i="6" s="1"/>
  <c r="E689" i="4"/>
  <c r="E690" i="6" s="1"/>
  <c r="F689" i="4"/>
  <c r="F690" i="6" s="1"/>
  <c r="G689" i="4"/>
  <c r="G690" i="6" s="1"/>
  <c r="H689" i="4"/>
  <c r="H690" i="6" s="1"/>
  <c r="P692" i="9" l="1"/>
  <c r="T692" i="9"/>
  <c r="L692" i="9"/>
  <c r="D693" i="9"/>
  <c r="E693" i="9"/>
  <c r="Q693" i="9" s="1"/>
  <c r="G693" i="9"/>
  <c r="N693" i="9" s="1"/>
  <c r="H693" i="9"/>
  <c r="I693" i="9"/>
  <c r="R693" i="9" s="1"/>
  <c r="U693" i="9"/>
  <c r="B693" i="9"/>
  <c r="C693" i="9"/>
  <c r="M693" i="9" s="1"/>
  <c r="F693" i="9"/>
  <c r="J693" i="9"/>
  <c r="J690" i="6"/>
  <c r="H690" i="4"/>
  <c r="H691" i="6" s="1"/>
  <c r="I690" i="4"/>
  <c r="I691" i="6" s="1"/>
  <c r="B690" i="4"/>
  <c r="B691" i="6" s="1"/>
  <c r="A691" i="4"/>
  <c r="A692" i="6" s="1"/>
  <c r="A694" i="9" s="1"/>
  <c r="C690" i="4"/>
  <c r="C691" i="6" s="1"/>
  <c r="D690" i="4"/>
  <c r="D691" i="6" s="1"/>
  <c r="E690" i="4"/>
  <c r="E691" i="6" s="1"/>
  <c r="F690" i="4"/>
  <c r="F691" i="6" s="1"/>
  <c r="G690" i="4"/>
  <c r="G691" i="6" s="1"/>
  <c r="I694" i="9" l="1"/>
  <c r="R694" i="9" s="1"/>
  <c r="B694" i="9"/>
  <c r="J694" i="9"/>
  <c r="U694" i="9"/>
  <c r="C694" i="9"/>
  <c r="M694" i="9" s="1"/>
  <c r="D694" i="9"/>
  <c r="E694" i="9"/>
  <c r="Q694" i="9" s="1"/>
  <c r="F694" i="9"/>
  <c r="G694" i="9"/>
  <c r="N694" i="9" s="1"/>
  <c r="H694" i="9"/>
  <c r="T693" i="9"/>
  <c r="P693" i="9"/>
  <c r="L693" i="9"/>
  <c r="J691" i="6"/>
  <c r="G691" i="4"/>
  <c r="G692" i="6" s="1"/>
  <c r="H691" i="4"/>
  <c r="H692" i="6" s="1"/>
  <c r="I691" i="4"/>
  <c r="I692" i="6" s="1"/>
  <c r="B691" i="4"/>
  <c r="B692" i="6" s="1"/>
  <c r="A692" i="4"/>
  <c r="A693" i="6" s="1"/>
  <c r="A695" i="9" s="1"/>
  <c r="C691" i="4"/>
  <c r="C692" i="6" s="1"/>
  <c r="D691" i="4"/>
  <c r="D692" i="6" s="1"/>
  <c r="E691" i="4"/>
  <c r="E692" i="6" s="1"/>
  <c r="F691" i="4"/>
  <c r="F692" i="6" s="1"/>
  <c r="G695" i="9" l="1"/>
  <c r="N695" i="9" s="1"/>
  <c r="H695" i="9"/>
  <c r="I695" i="9"/>
  <c r="R695" i="9" s="1"/>
  <c r="B695" i="9"/>
  <c r="J695" i="9"/>
  <c r="U695" i="9"/>
  <c r="C695" i="9"/>
  <c r="M695" i="9" s="1"/>
  <c r="D695" i="9"/>
  <c r="E695" i="9"/>
  <c r="Q695" i="9" s="1"/>
  <c r="F695" i="9"/>
  <c r="T694" i="9"/>
  <c r="L694" i="9"/>
  <c r="P694" i="9"/>
  <c r="J692" i="6"/>
  <c r="F692" i="4"/>
  <c r="F693" i="6" s="1"/>
  <c r="G692" i="4"/>
  <c r="G693" i="6" s="1"/>
  <c r="H692" i="4"/>
  <c r="H693" i="6" s="1"/>
  <c r="I692" i="4"/>
  <c r="I693" i="6" s="1"/>
  <c r="B692" i="4"/>
  <c r="B693" i="6" s="1"/>
  <c r="A693" i="4"/>
  <c r="A694" i="6" s="1"/>
  <c r="A696" i="9" s="1"/>
  <c r="C692" i="4"/>
  <c r="C693" i="6" s="1"/>
  <c r="D692" i="4"/>
  <c r="D693" i="6" s="1"/>
  <c r="E692" i="4"/>
  <c r="E693" i="6" s="1"/>
  <c r="T695" i="9" l="1"/>
  <c r="L695" i="9"/>
  <c r="P695" i="9"/>
  <c r="E696" i="9"/>
  <c r="Q696" i="9" s="1"/>
  <c r="F696" i="9"/>
  <c r="G696" i="9"/>
  <c r="N696" i="9" s="1"/>
  <c r="H696" i="9"/>
  <c r="I696" i="9"/>
  <c r="R696" i="9" s="1"/>
  <c r="B696" i="9"/>
  <c r="J696" i="9"/>
  <c r="U696" i="9"/>
  <c r="C696" i="9"/>
  <c r="M696" i="9" s="1"/>
  <c r="D696" i="9"/>
  <c r="J693" i="6"/>
  <c r="E693" i="4"/>
  <c r="E694" i="6" s="1"/>
  <c r="F693" i="4"/>
  <c r="F694" i="6" s="1"/>
  <c r="G693" i="4"/>
  <c r="G694" i="6" s="1"/>
  <c r="H693" i="4"/>
  <c r="H694" i="6" s="1"/>
  <c r="I693" i="4"/>
  <c r="I694" i="6" s="1"/>
  <c r="B693" i="4"/>
  <c r="B694" i="6" s="1"/>
  <c r="A694" i="4"/>
  <c r="A695" i="6" s="1"/>
  <c r="A697" i="9" s="1"/>
  <c r="C693" i="4"/>
  <c r="C694" i="6" s="1"/>
  <c r="D693" i="4"/>
  <c r="D694" i="6" s="1"/>
  <c r="C697" i="9" l="1"/>
  <c r="M697" i="9" s="1"/>
  <c r="D697" i="9"/>
  <c r="E697" i="9"/>
  <c r="Q697" i="9" s="1"/>
  <c r="F697" i="9"/>
  <c r="G697" i="9"/>
  <c r="N697" i="9" s="1"/>
  <c r="H697" i="9"/>
  <c r="U697" i="9"/>
  <c r="B697" i="9"/>
  <c r="I697" i="9"/>
  <c r="R697" i="9" s="1"/>
  <c r="J697" i="9"/>
  <c r="P696" i="9"/>
  <c r="T696" i="9"/>
  <c r="L696" i="9"/>
  <c r="J694" i="6"/>
  <c r="D694" i="4"/>
  <c r="D695" i="6" s="1"/>
  <c r="E694" i="4"/>
  <c r="E695" i="6" s="1"/>
  <c r="F694" i="4"/>
  <c r="F695" i="6" s="1"/>
  <c r="G694" i="4"/>
  <c r="G695" i="6" s="1"/>
  <c r="H694" i="4"/>
  <c r="H695" i="6" s="1"/>
  <c r="I694" i="4"/>
  <c r="I695" i="6" s="1"/>
  <c r="B694" i="4"/>
  <c r="B695" i="6" s="1"/>
  <c r="A695" i="4"/>
  <c r="A696" i="6" s="1"/>
  <c r="A698" i="9" s="1"/>
  <c r="C694" i="4"/>
  <c r="C695" i="6" s="1"/>
  <c r="I698" i="9" l="1"/>
  <c r="R698" i="9" s="1"/>
  <c r="B698" i="9"/>
  <c r="J698" i="9"/>
  <c r="U698" i="9"/>
  <c r="C698" i="9"/>
  <c r="M698" i="9" s="1"/>
  <c r="D698" i="9"/>
  <c r="E698" i="9"/>
  <c r="Q698" i="9" s="1"/>
  <c r="F698" i="9"/>
  <c r="G698" i="9"/>
  <c r="N698" i="9" s="1"/>
  <c r="H698" i="9"/>
  <c r="L697" i="9"/>
  <c r="P697" i="9"/>
  <c r="T697" i="9"/>
  <c r="J695" i="6"/>
  <c r="C695" i="4"/>
  <c r="C696" i="6" s="1"/>
  <c r="D695" i="4"/>
  <c r="D696" i="6" s="1"/>
  <c r="E695" i="4"/>
  <c r="E696" i="6" s="1"/>
  <c r="F695" i="4"/>
  <c r="F696" i="6" s="1"/>
  <c r="G695" i="4"/>
  <c r="G696" i="6" s="1"/>
  <c r="H695" i="4"/>
  <c r="H696" i="6" s="1"/>
  <c r="I695" i="4"/>
  <c r="I696" i="6" s="1"/>
  <c r="B695" i="4"/>
  <c r="B696" i="6" s="1"/>
  <c r="A696" i="4"/>
  <c r="A697" i="6" s="1"/>
  <c r="A699" i="9" s="1"/>
  <c r="G699" i="9" l="1"/>
  <c r="N699" i="9" s="1"/>
  <c r="H699" i="9"/>
  <c r="I699" i="9"/>
  <c r="R699" i="9" s="1"/>
  <c r="B699" i="9"/>
  <c r="J699" i="9"/>
  <c r="U699" i="9"/>
  <c r="C699" i="9"/>
  <c r="M699" i="9" s="1"/>
  <c r="D699" i="9"/>
  <c r="F699" i="9"/>
  <c r="E699" i="9"/>
  <c r="Q699" i="9" s="1"/>
  <c r="T698" i="9"/>
  <c r="L698" i="9"/>
  <c r="P698" i="9"/>
  <c r="J696" i="6"/>
  <c r="B696" i="4"/>
  <c r="B697" i="6" s="1"/>
  <c r="A697" i="4"/>
  <c r="A698" i="6" s="1"/>
  <c r="A700" i="9" s="1"/>
  <c r="C696" i="4"/>
  <c r="C697" i="6" s="1"/>
  <c r="D696" i="4"/>
  <c r="D697" i="6" s="1"/>
  <c r="E696" i="4"/>
  <c r="E697" i="6" s="1"/>
  <c r="F696" i="4"/>
  <c r="F697" i="6" s="1"/>
  <c r="G696" i="4"/>
  <c r="G697" i="6" s="1"/>
  <c r="H696" i="4"/>
  <c r="H697" i="6" s="1"/>
  <c r="I696" i="4"/>
  <c r="I697" i="6" s="1"/>
  <c r="T699" i="9" l="1"/>
  <c r="L699" i="9"/>
  <c r="P699" i="9"/>
  <c r="E700" i="9"/>
  <c r="Q700" i="9" s="1"/>
  <c r="F700" i="9"/>
  <c r="G700" i="9"/>
  <c r="N700" i="9" s="1"/>
  <c r="H700" i="9"/>
  <c r="I700" i="9"/>
  <c r="R700" i="9" s="1"/>
  <c r="B700" i="9"/>
  <c r="J700" i="9"/>
  <c r="U700" i="9"/>
  <c r="C700" i="9"/>
  <c r="M700" i="9" s="1"/>
  <c r="D700" i="9"/>
  <c r="J697" i="6"/>
  <c r="I697" i="4"/>
  <c r="I698" i="6" s="1"/>
  <c r="B697" i="4"/>
  <c r="B698" i="6" s="1"/>
  <c r="A698" i="4"/>
  <c r="A699" i="6" s="1"/>
  <c r="A701" i="9" s="1"/>
  <c r="C697" i="4"/>
  <c r="C698" i="6" s="1"/>
  <c r="D697" i="4"/>
  <c r="D698" i="6" s="1"/>
  <c r="E697" i="4"/>
  <c r="E698" i="6" s="1"/>
  <c r="F697" i="4"/>
  <c r="F698" i="6" s="1"/>
  <c r="G697" i="4"/>
  <c r="G698" i="6" s="1"/>
  <c r="H697" i="4"/>
  <c r="H698" i="6" s="1"/>
  <c r="P700" i="9" l="1"/>
  <c r="T700" i="9"/>
  <c r="L700" i="9"/>
  <c r="C701" i="9"/>
  <c r="M701" i="9" s="1"/>
  <c r="D701" i="9"/>
  <c r="E701" i="9"/>
  <c r="Q701" i="9" s="1"/>
  <c r="F701" i="9"/>
  <c r="G701" i="9"/>
  <c r="N701" i="9" s="1"/>
  <c r="H701" i="9"/>
  <c r="I701" i="9"/>
  <c r="R701" i="9" s="1"/>
  <c r="J701" i="9"/>
  <c r="U701" i="9"/>
  <c r="B701" i="9"/>
  <c r="J698" i="6"/>
  <c r="H698" i="4"/>
  <c r="H699" i="6" s="1"/>
  <c r="I698" i="4"/>
  <c r="I699" i="6" s="1"/>
  <c r="B698" i="4"/>
  <c r="B699" i="6" s="1"/>
  <c r="A699" i="4"/>
  <c r="A700" i="6" s="1"/>
  <c r="A702" i="9" s="1"/>
  <c r="C698" i="4"/>
  <c r="C699" i="6" s="1"/>
  <c r="D698" i="4"/>
  <c r="D699" i="6" s="1"/>
  <c r="E698" i="4"/>
  <c r="E699" i="6" s="1"/>
  <c r="F698" i="4"/>
  <c r="F699" i="6" s="1"/>
  <c r="G698" i="4"/>
  <c r="G699" i="6" s="1"/>
  <c r="L701" i="9" l="1"/>
  <c r="P701" i="9"/>
  <c r="T701" i="9"/>
  <c r="I702" i="9"/>
  <c r="R702" i="9" s="1"/>
  <c r="B702" i="9"/>
  <c r="J702" i="9"/>
  <c r="U702" i="9"/>
  <c r="C702" i="9"/>
  <c r="M702" i="9" s="1"/>
  <c r="D702" i="9"/>
  <c r="E702" i="9"/>
  <c r="Q702" i="9" s="1"/>
  <c r="F702" i="9"/>
  <c r="G702" i="9"/>
  <c r="N702" i="9" s="1"/>
  <c r="H702" i="9"/>
  <c r="J699" i="6"/>
  <c r="G699" i="4"/>
  <c r="G700" i="6" s="1"/>
  <c r="H699" i="4"/>
  <c r="H700" i="6" s="1"/>
  <c r="I699" i="4"/>
  <c r="I700" i="6" s="1"/>
  <c r="B699" i="4"/>
  <c r="B700" i="6" s="1"/>
  <c r="A700" i="4"/>
  <c r="A701" i="6" s="1"/>
  <c r="A703" i="9" s="1"/>
  <c r="C699" i="4"/>
  <c r="C700" i="6" s="1"/>
  <c r="D699" i="4"/>
  <c r="D700" i="6" s="1"/>
  <c r="E699" i="4"/>
  <c r="E700" i="6" s="1"/>
  <c r="F699" i="4"/>
  <c r="F700" i="6" s="1"/>
  <c r="T702" i="9" l="1"/>
  <c r="L702" i="9"/>
  <c r="P702" i="9"/>
  <c r="G703" i="9"/>
  <c r="N703" i="9" s="1"/>
  <c r="H703" i="9"/>
  <c r="I703" i="9"/>
  <c r="R703" i="9" s="1"/>
  <c r="B703" i="9"/>
  <c r="J703" i="9"/>
  <c r="U703" i="9"/>
  <c r="C703" i="9"/>
  <c r="M703" i="9" s="1"/>
  <c r="D703" i="9"/>
  <c r="E703" i="9"/>
  <c r="Q703" i="9" s="1"/>
  <c r="F703" i="9"/>
  <c r="J700" i="6"/>
  <c r="A701" i="4"/>
  <c r="A702" i="6" s="1"/>
  <c r="A704" i="9" s="1"/>
  <c r="F700" i="4"/>
  <c r="F701" i="6" s="1"/>
  <c r="G700" i="4"/>
  <c r="G701" i="6" s="1"/>
  <c r="H700" i="4"/>
  <c r="H701" i="6" s="1"/>
  <c r="I700" i="4"/>
  <c r="I701" i="6" s="1"/>
  <c r="B700" i="4"/>
  <c r="B701" i="6" s="1"/>
  <c r="C700" i="4"/>
  <c r="C701" i="6" s="1"/>
  <c r="D700" i="4"/>
  <c r="D701" i="6" s="1"/>
  <c r="E700" i="4"/>
  <c r="E701" i="6" s="1"/>
  <c r="T703" i="9" l="1"/>
  <c r="L703" i="9"/>
  <c r="P703" i="9"/>
  <c r="E704" i="9"/>
  <c r="Q704" i="9" s="1"/>
  <c r="F704" i="9"/>
  <c r="G704" i="9"/>
  <c r="N704" i="9" s="1"/>
  <c r="H704" i="9"/>
  <c r="I704" i="9"/>
  <c r="R704" i="9" s="1"/>
  <c r="B704" i="9"/>
  <c r="J704" i="9"/>
  <c r="U704" i="9"/>
  <c r="C704" i="9"/>
  <c r="M704" i="9" s="1"/>
  <c r="D704" i="9"/>
  <c r="J701" i="6"/>
  <c r="F701" i="4"/>
  <c r="F702" i="6" s="1"/>
  <c r="H701" i="4"/>
  <c r="H702" i="6" s="1"/>
  <c r="C701" i="4"/>
  <c r="C702" i="6" s="1"/>
  <c r="D701" i="4"/>
  <c r="D702" i="6" s="1"/>
  <c r="E701" i="4"/>
  <c r="E702" i="6" s="1"/>
  <c r="A702" i="4"/>
  <c r="A703" i="6" s="1"/>
  <c r="A705" i="9" s="1"/>
  <c r="B701" i="4"/>
  <c r="B702" i="6" s="1"/>
  <c r="G701" i="4"/>
  <c r="G702" i="6" s="1"/>
  <c r="I701" i="4"/>
  <c r="I702" i="6" s="1"/>
  <c r="P704" i="9" l="1"/>
  <c r="T704" i="9"/>
  <c r="L704" i="9"/>
  <c r="C705" i="9"/>
  <c r="M705" i="9" s="1"/>
  <c r="D705" i="9"/>
  <c r="E705" i="9"/>
  <c r="Q705" i="9" s="1"/>
  <c r="F705" i="9"/>
  <c r="G705" i="9"/>
  <c r="N705" i="9" s="1"/>
  <c r="H705" i="9"/>
  <c r="B705" i="9"/>
  <c r="I705" i="9"/>
  <c r="R705" i="9" s="1"/>
  <c r="J705" i="9"/>
  <c r="U705" i="9"/>
  <c r="J702" i="6"/>
  <c r="E702" i="4"/>
  <c r="E703" i="6" s="1"/>
  <c r="G702" i="4"/>
  <c r="G703" i="6" s="1"/>
  <c r="B702" i="4"/>
  <c r="B703" i="6" s="1"/>
  <c r="D702" i="4"/>
  <c r="D703" i="6" s="1"/>
  <c r="F702" i="4"/>
  <c r="F703" i="6" s="1"/>
  <c r="H702" i="4"/>
  <c r="H703" i="6" s="1"/>
  <c r="C702" i="4"/>
  <c r="C703" i="6" s="1"/>
  <c r="I702" i="4"/>
  <c r="I703" i="6" s="1"/>
  <c r="A703" i="4"/>
  <c r="A704" i="6" s="1"/>
  <c r="A706" i="9" s="1"/>
  <c r="I706" i="9" l="1"/>
  <c r="R706" i="9" s="1"/>
  <c r="B706" i="9"/>
  <c r="J706" i="9"/>
  <c r="U706" i="9"/>
  <c r="C706" i="9"/>
  <c r="M706" i="9" s="1"/>
  <c r="D706" i="9"/>
  <c r="E706" i="9"/>
  <c r="Q706" i="9" s="1"/>
  <c r="F706" i="9"/>
  <c r="G706" i="9"/>
  <c r="N706" i="9" s="1"/>
  <c r="H706" i="9"/>
  <c r="L705" i="9"/>
  <c r="P705" i="9"/>
  <c r="T705" i="9"/>
  <c r="J703" i="6"/>
  <c r="D703" i="4"/>
  <c r="D704" i="6" s="1"/>
  <c r="F703" i="4"/>
  <c r="F704" i="6" s="1"/>
  <c r="C703" i="4"/>
  <c r="C704" i="6" s="1"/>
  <c r="G703" i="4"/>
  <c r="G704" i="6" s="1"/>
  <c r="H703" i="4"/>
  <c r="H704" i="6" s="1"/>
  <c r="I703" i="4"/>
  <c r="I704" i="6" s="1"/>
  <c r="B703" i="4"/>
  <c r="B704" i="6" s="1"/>
  <c r="E703" i="4"/>
  <c r="E704" i="6" s="1"/>
  <c r="A704" i="4"/>
  <c r="A705" i="6" s="1"/>
  <c r="A707" i="9" s="1"/>
  <c r="G707" i="9" l="1"/>
  <c r="N707" i="9" s="1"/>
  <c r="H707" i="9"/>
  <c r="I707" i="9"/>
  <c r="R707" i="9" s="1"/>
  <c r="B707" i="9"/>
  <c r="J707" i="9"/>
  <c r="U707" i="9"/>
  <c r="C707" i="9"/>
  <c r="M707" i="9" s="1"/>
  <c r="D707" i="9"/>
  <c r="E707" i="9"/>
  <c r="Q707" i="9" s="1"/>
  <c r="F707" i="9"/>
  <c r="T706" i="9"/>
  <c r="L706" i="9"/>
  <c r="P706" i="9"/>
  <c r="J704" i="6"/>
  <c r="C704" i="4"/>
  <c r="C705" i="6" s="1"/>
  <c r="E704" i="4"/>
  <c r="E705" i="6" s="1"/>
  <c r="F704" i="4"/>
  <c r="F705" i="6" s="1"/>
  <c r="H704" i="4"/>
  <c r="H705" i="6" s="1"/>
  <c r="I704" i="4"/>
  <c r="I705" i="6" s="1"/>
  <c r="A705" i="4"/>
  <c r="A706" i="6" s="1"/>
  <c r="A708" i="9" s="1"/>
  <c r="D704" i="4"/>
  <c r="D705" i="6" s="1"/>
  <c r="B704" i="4"/>
  <c r="B705" i="6" s="1"/>
  <c r="G704" i="4"/>
  <c r="G705" i="6" s="1"/>
  <c r="T707" i="9" l="1"/>
  <c r="L707" i="9"/>
  <c r="P707" i="9"/>
  <c r="E708" i="9"/>
  <c r="Q708" i="9" s="1"/>
  <c r="F708" i="9"/>
  <c r="G708" i="9"/>
  <c r="N708" i="9" s="1"/>
  <c r="H708" i="9"/>
  <c r="I708" i="9"/>
  <c r="R708" i="9" s="1"/>
  <c r="B708" i="9"/>
  <c r="J708" i="9"/>
  <c r="U708" i="9"/>
  <c r="C708" i="9"/>
  <c r="M708" i="9" s="1"/>
  <c r="D708" i="9"/>
  <c r="J705" i="6"/>
  <c r="B705" i="4"/>
  <c r="B706" i="6" s="1"/>
  <c r="A706" i="4"/>
  <c r="A707" i="6" s="1"/>
  <c r="A709" i="9" s="1"/>
  <c r="D705" i="4"/>
  <c r="D706" i="6" s="1"/>
  <c r="G705" i="4"/>
  <c r="G706" i="6" s="1"/>
  <c r="I705" i="4"/>
  <c r="I706" i="6" s="1"/>
  <c r="F705" i="4"/>
  <c r="F706" i="6" s="1"/>
  <c r="E705" i="4"/>
  <c r="E706" i="6" s="1"/>
  <c r="H705" i="4"/>
  <c r="H706" i="6" s="1"/>
  <c r="C705" i="4"/>
  <c r="C706" i="6" s="1"/>
  <c r="C709" i="9" l="1"/>
  <c r="M709" i="9" s="1"/>
  <c r="D709" i="9"/>
  <c r="E709" i="9"/>
  <c r="Q709" i="9" s="1"/>
  <c r="F709" i="9"/>
  <c r="G709" i="9"/>
  <c r="N709" i="9" s="1"/>
  <c r="H709" i="9"/>
  <c r="B709" i="9"/>
  <c r="I709" i="9"/>
  <c r="R709" i="9" s="1"/>
  <c r="J709" i="9"/>
  <c r="U709" i="9"/>
  <c r="P708" i="9"/>
  <c r="T708" i="9"/>
  <c r="L708" i="9"/>
  <c r="J706" i="6"/>
  <c r="I706" i="4"/>
  <c r="I707" i="6" s="1"/>
  <c r="C706" i="4"/>
  <c r="C707" i="6" s="1"/>
  <c r="H706" i="4"/>
  <c r="H707" i="6" s="1"/>
  <c r="B706" i="4"/>
  <c r="B707" i="6" s="1"/>
  <c r="D706" i="4"/>
  <c r="D707" i="6" s="1"/>
  <c r="G706" i="4"/>
  <c r="G707" i="6" s="1"/>
  <c r="E706" i="4"/>
  <c r="E707" i="6" s="1"/>
  <c r="F706" i="4"/>
  <c r="F707" i="6" s="1"/>
  <c r="A707" i="4"/>
  <c r="A708" i="6" s="1"/>
  <c r="A710" i="9" s="1"/>
  <c r="I710" i="9" l="1"/>
  <c r="R710" i="9" s="1"/>
  <c r="B710" i="9"/>
  <c r="J710" i="9"/>
  <c r="U710" i="9"/>
  <c r="C710" i="9"/>
  <c r="M710" i="9" s="1"/>
  <c r="D710" i="9"/>
  <c r="E710" i="9"/>
  <c r="Q710" i="9" s="1"/>
  <c r="F710" i="9"/>
  <c r="G710" i="9"/>
  <c r="N710" i="9" s="1"/>
  <c r="H710" i="9"/>
  <c r="L709" i="9"/>
  <c r="P709" i="9"/>
  <c r="T709" i="9"/>
  <c r="J707" i="6"/>
  <c r="H707" i="4"/>
  <c r="H708" i="6" s="1"/>
  <c r="B707" i="4"/>
  <c r="B708" i="6" s="1"/>
  <c r="A708" i="4"/>
  <c r="A709" i="6" s="1"/>
  <c r="A711" i="9" s="1"/>
  <c r="C707" i="4"/>
  <c r="C708" i="6" s="1"/>
  <c r="D707" i="4"/>
  <c r="D708" i="6" s="1"/>
  <c r="E707" i="4"/>
  <c r="E708" i="6" s="1"/>
  <c r="I707" i="4"/>
  <c r="I708" i="6" s="1"/>
  <c r="F707" i="4"/>
  <c r="F708" i="6" s="1"/>
  <c r="G707" i="4"/>
  <c r="G708" i="6" s="1"/>
  <c r="T710" i="9" l="1"/>
  <c r="L710" i="9"/>
  <c r="P710" i="9"/>
  <c r="G711" i="9"/>
  <c r="N711" i="9" s="1"/>
  <c r="H711" i="9"/>
  <c r="I711" i="9"/>
  <c r="R711" i="9" s="1"/>
  <c r="B711" i="9"/>
  <c r="J711" i="9"/>
  <c r="U711" i="9"/>
  <c r="C711" i="9"/>
  <c r="M711" i="9" s="1"/>
  <c r="D711" i="9"/>
  <c r="E711" i="9"/>
  <c r="Q711" i="9" s="1"/>
  <c r="F711" i="9"/>
  <c r="J708" i="6"/>
  <c r="G708" i="4"/>
  <c r="G709" i="6" s="1"/>
  <c r="I708" i="4"/>
  <c r="I709" i="6" s="1"/>
  <c r="B708" i="4"/>
  <c r="B709" i="6" s="1"/>
  <c r="D708" i="4"/>
  <c r="D709" i="6" s="1"/>
  <c r="E708" i="4"/>
  <c r="E709" i="6" s="1"/>
  <c r="F708" i="4"/>
  <c r="F709" i="6" s="1"/>
  <c r="H708" i="4"/>
  <c r="H709" i="6" s="1"/>
  <c r="A709" i="4"/>
  <c r="A710" i="6" s="1"/>
  <c r="A712" i="9" s="1"/>
  <c r="C708" i="4"/>
  <c r="C709" i="6" s="1"/>
  <c r="T711" i="9" l="1"/>
  <c r="L711" i="9"/>
  <c r="P711" i="9"/>
  <c r="E712" i="9"/>
  <c r="Q712" i="9" s="1"/>
  <c r="F712" i="9"/>
  <c r="G712" i="9"/>
  <c r="N712" i="9" s="1"/>
  <c r="H712" i="9"/>
  <c r="I712" i="9"/>
  <c r="R712" i="9" s="1"/>
  <c r="B712" i="9"/>
  <c r="J712" i="9"/>
  <c r="U712" i="9"/>
  <c r="C712" i="9"/>
  <c r="M712" i="9" s="1"/>
  <c r="D712" i="9"/>
  <c r="J709" i="6"/>
  <c r="F709" i="4"/>
  <c r="F710" i="6" s="1"/>
  <c r="H709" i="4"/>
  <c r="H710" i="6" s="1"/>
  <c r="C709" i="4"/>
  <c r="C710" i="6" s="1"/>
  <c r="E709" i="4"/>
  <c r="E710" i="6" s="1"/>
  <c r="G709" i="4"/>
  <c r="G710" i="6" s="1"/>
  <c r="I709" i="4"/>
  <c r="I710" i="6" s="1"/>
  <c r="B709" i="4"/>
  <c r="B710" i="6" s="1"/>
  <c r="D709" i="4"/>
  <c r="D710" i="6" s="1"/>
  <c r="A710" i="4"/>
  <c r="A711" i="6" s="1"/>
  <c r="A713" i="9" s="1"/>
  <c r="C713" i="9" l="1"/>
  <c r="M713" i="9" s="1"/>
  <c r="D713" i="9"/>
  <c r="E713" i="9"/>
  <c r="Q713" i="9" s="1"/>
  <c r="F713" i="9"/>
  <c r="G713" i="9"/>
  <c r="N713" i="9" s="1"/>
  <c r="H713" i="9"/>
  <c r="U713" i="9"/>
  <c r="B713" i="9"/>
  <c r="I713" i="9"/>
  <c r="R713" i="9" s="1"/>
  <c r="J713" i="9"/>
  <c r="P712" i="9"/>
  <c r="T712" i="9"/>
  <c r="L712" i="9"/>
  <c r="J710" i="6"/>
  <c r="E710" i="4"/>
  <c r="E711" i="6" s="1"/>
  <c r="G710" i="4"/>
  <c r="G711" i="6" s="1"/>
  <c r="D710" i="4"/>
  <c r="D711" i="6" s="1"/>
  <c r="H710" i="4"/>
  <c r="H711" i="6" s="1"/>
  <c r="I710" i="4"/>
  <c r="I711" i="6" s="1"/>
  <c r="A711" i="4"/>
  <c r="A712" i="6" s="1"/>
  <c r="A714" i="9" s="1"/>
  <c r="C710" i="4"/>
  <c r="C711" i="6" s="1"/>
  <c r="B710" i="4"/>
  <c r="B711" i="6" s="1"/>
  <c r="F710" i="4"/>
  <c r="F711" i="6" s="1"/>
  <c r="I714" i="9" l="1"/>
  <c r="R714" i="9" s="1"/>
  <c r="B714" i="9"/>
  <c r="J714" i="9"/>
  <c r="U714" i="9"/>
  <c r="C714" i="9"/>
  <c r="M714" i="9" s="1"/>
  <c r="D714" i="9"/>
  <c r="E714" i="9"/>
  <c r="Q714" i="9" s="1"/>
  <c r="F714" i="9"/>
  <c r="G714" i="9"/>
  <c r="N714" i="9" s="1"/>
  <c r="H714" i="9"/>
  <c r="L713" i="9"/>
  <c r="P713" i="9"/>
  <c r="T713" i="9"/>
  <c r="J711" i="6"/>
  <c r="D711" i="4"/>
  <c r="D712" i="6" s="1"/>
  <c r="F711" i="4"/>
  <c r="F712" i="6" s="1"/>
  <c r="H711" i="4"/>
  <c r="H712" i="6" s="1"/>
  <c r="I711" i="4"/>
  <c r="I712" i="6" s="1"/>
  <c r="A712" i="4"/>
  <c r="A713" i="6" s="1"/>
  <c r="A715" i="9" s="1"/>
  <c r="E711" i="4"/>
  <c r="E712" i="6" s="1"/>
  <c r="G711" i="4"/>
  <c r="G712" i="6" s="1"/>
  <c r="B711" i="4"/>
  <c r="B712" i="6" s="1"/>
  <c r="C711" i="4"/>
  <c r="C712" i="6" s="1"/>
  <c r="G715" i="9" l="1"/>
  <c r="N715" i="9" s="1"/>
  <c r="H715" i="9"/>
  <c r="I715" i="9"/>
  <c r="R715" i="9" s="1"/>
  <c r="B715" i="9"/>
  <c r="J715" i="9"/>
  <c r="U715" i="9"/>
  <c r="C715" i="9"/>
  <c r="M715" i="9" s="1"/>
  <c r="D715" i="9"/>
  <c r="E715" i="9"/>
  <c r="Q715" i="9" s="1"/>
  <c r="F715" i="9"/>
  <c r="T714" i="9"/>
  <c r="L714" i="9"/>
  <c r="P714" i="9"/>
  <c r="J712" i="6"/>
  <c r="E712" i="4"/>
  <c r="E713" i="6" s="1"/>
  <c r="G712" i="4"/>
  <c r="G713" i="6" s="1"/>
  <c r="H712" i="4"/>
  <c r="H713" i="6" s="1"/>
  <c r="I712" i="4"/>
  <c r="I713" i="6" s="1"/>
  <c r="D712" i="4"/>
  <c r="D713" i="6" s="1"/>
  <c r="B712" i="4"/>
  <c r="B713" i="6" s="1"/>
  <c r="C712" i="4"/>
  <c r="C713" i="6" s="1"/>
  <c r="F712" i="4"/>
  <c r="F713" i="6" s="1"/>
  <c r="A713" i="4"/>
  <c r="A714" i="6" s="1"/>
  <c r="A716" i="9" s="1"/>
  <c r="T715" i="9" l="1"/>
  <c r="L715" i="9"/>
  <c r="P715" i="9"/>
  <c r="E716" i="9"/>
  <c r="Q716" i="9" s="1"/>
  <c r="F716" i="9"/>
  <c r="G716" i="9"/>
  <c r="N716" i="9" s="1"/>
  <c r="H716" i="9"/>
  <c r="I716" i="9"/>
  <c r="R716" i="9" s="1"/>
  <c r="B716" i="9"/>
  <c r="J716" i="9"/>
  <c r="U716" i="9"/>
  <c r="C716" i="9"/>
  <c r="M716" i="9" s="1"/>
  <c r="D716" i="9"/>
  <c r="J713" i="6"/>
  <c r="D713" i="4"/>
  <c r="D714" i="6" s="1"/>
  <c r="F713" i="4"/>
  <c r="F714" i="6" s="1"/>
  <c r="G713" i="4"/>
  <c r="G714" i="6" s="1"/>
  <c r="H713" i="4"/>
  <c r="H714" i="6" s="1"/>
  <c r="C713" i="4"/>
  <c r="C714" i="6" s="1"/>
  <c r="A714" i="4"/>
  <c r="A715" i="6" s="1"/>
  <c r="A717" i="9" s="1"/>
  <c r="B713" i="4"/>
  <c r="B714" i="6" s="1"/>
  <c r="E713" i="4"/>
  <c r="E714" i="6" s="1"/>
  <c r="I713" i="4"/>
  <c r="I714" i="6" s="1"/>
  <c r="C717" i="9" l="1"/>
  <c r="M717" i="9" s="1"/>
  <c r="D717" i="9"/>
  <c r="E717" i="9"/>
  <c r="Q717" i="9" s="1"/>
  <c r="F717" i="9"/>
  <c r="G717" i="9"/>
  <c r="N717" i="9" s="1"/>
  <c r="H717" i="9"/>
  <c r="I717" i="9"/>
  <c r="R717" i="9" s="1"/>
  <c r="J717" i="9"/>
  <c r="U717" i="9"/>
  <c r="B717" i="9"/>
  <c r="P716" i="9"/>
  <c r="T716" i="9"/>
  <c r="L716" i="9"/>
  <c r="J714" i="6"/>
  <c r="C714" i="4"/>
  <c r="C715" i="6" s="1"/>
  <c r="E714" i="4"/>
  <c r="E715" i="6" s="1"/>
  <c r="F714" i="4"/>
  <c r="F715" i="6" s="1"/>
  <c r="G714" i="4"/>
  <c r="G715" i="6" s="1"/>
  <c r="B714" i="4"/>
  <c r="B715" i="6" s="1"/>
  <c r="A715" i="4"/>
  <c r="A716" i="6" s="1"/>
  <c r="A718" i="9" s="1"/>
  <c r="D714" i="4"/>
  <c r="D715" i="6" s="1"/>
  <c r="H714" i="4"/>
  <c r="H715" i="6" s="1"/>
  <c r="I714" i="4"/>
  <c r="I715" i="6" s="1"/>
  <c r="L717" i="9" l="1"/>
  <c r="P717" i="9"/>
  <c r="T717" i="9"/>
  <c r="I718" i="9"/>
  <c r="R718" i="9" s="1"/>
  <c r="B718" i="9"/>
  <c r="J718" i="9"/>
  <c r="U718" i="9"/>
  <c r="C718" i="9"/>
  <c r="M718" i="9" s="1"/>
  <c r="D718" i="9"/>
  <c r="E718" i="9"/>
  <c r="Q718" i="9" s="1"/>
  <c r="F718" i="9"/>
  <c r="G718" i="9"/>
  <c r="N718" i="9" s="1"/>
  <c r="H718" i="9"/>
  <c r="J715" i="6"/>
  <c r="B715" i="4"/>
  <c r="B716" i="6" s="1"/>
  <c r="A716" i="4"/>
  <c r="A717" i="6" s="1"/>
  <c r="A719" i="9" s="1"/>
  <c r="D715" i="4"/>
  <c r="D716" i="6" s="1"/>
  <c r="E715" i="4"/>
  <c r="E716" i="6" s="1"/>
  <c r="F715" i="4"/>
  <c r="F716" i="6" s="1"/>
  <c r="I715" i="4"/>
  <c r="I716" i="6" s="1"/>
  <c r="C715" i="4"/>
  <c r="C716" i="6" s="1"/>
  <c r="G715" i="4"/>
  <c r="G716" i="6" s="1"/>
  <c r="H715" i="4"/>
  <c r="H716" i="6" s="1"/>
  <c r="T718" i="9" l="1"/>
  <c r="L718" i="9"/>
  <c r="P718" i="9"/>
  <c r="G719" i="9"/>
  <c r="N719" i="9" s="1"/>
  <c r="H719" i="9"/>
  <c r="I719" i="9"/>
  <c r="R719" i="9" s="1"/>
  <c r="B719" i="9"/>
  <c r="J719" i="9"/>
  <c r="U719" i="9"/>
  <c r="C719" i="9"/>
  <c r="M719" i="9" s="1"/>
  <c r="D719" i="9"/>
  <c r="E719" i="9"/>
  <c r="Q719" i="9" s="1"/>
  <c r="F719" i="9"/>
  <c r="J716" i="6"/>
  <c r="I716" i="4"/>
  <c r="I717" i="6" s="1"/>
  <c r="C716" i="4"/>
  <c r="C717" i="6" s="1"/>
  <c r="D716" i="4"/>
  <c r="D717" i="6" s="1"/>
  <c r="E716" i="4"/>
  <c r="E717" i="6" s="1"/>
  <c r="H716" i="4"/>
  <c r="H717" i="6" s="1"/>
  <c r="F716" i="4"/>
  <c r="F717" i="6" s="1"/>
  <c r="G716" i="4"/>
  <c r="G717" i="6" s="1"/>
  <c r="A717" i="4"/>
  <c r="A718" i="6" s="1"/>
  <c r="A720" i="9" s="1"/>
  <c r="B716" i="4"/>
  <c r="B717" i="6" s="1"/>
  <c r="T719" i="9" l="1"/>
  <c r="L719" i="9"/>
  <c r="P719" i="9"/>
  <c r="E720" i="9"/>
  <c r="Q720" i="9" s="1"/>
  <c r="F720" i="9"/>
  <c r="G720" i="9"/>
  <c r="N720" i="9" s="1"/>
  <c r="H720" i="9"/>
  <c r="I720" i="9"/>
  <c r="R720" i="9" s="1"/>
  <c r="B720" i="9"/>
  <c r="J720" i="9"/>
  <c r="U720" i="9"/>
  <c r="C720" i="9"/>
  <c r="M720" i="9" s="1"/>
  <c r="D720" i="9"/>
  <c r="J717" i="6"/>
  <c r="H717" i="4"/>
  <c r="H718" i="6" s="1"/>
  <c r="B717" i="4"/>
  <c r="B718" i="6" s="1"/>
  <c r="A718" i="4"/>
  <c r="A719" i="6" s="1"/>
  <c r="A721" i="9" s="1"/>
  <c r="C717" i="4"/>
  <c r="C718" i="6" s="1"/>
  <c r="D717" i="4"/>
  <c r="D718" i="6" s="1"/>
  <c r="G717" i="4"/>
  <c r="G718" i="6" s="1"/>
  <c r="E717" i="4"/>
  <c r="E718" i="6" s="1"/>
  <c r="F717" i="4"/>
  <c r="F718" i="6" s="1"/>
  <c r="I717" i="4"/>
  <c r="I718" i="6" s="1"/>
  <c r="P720" i="9" l="1"/>
  <c r="T720" i="9"/>
  <c r="L720" i="9"/>
  <c r="C721" i="9"/>
  <c r="M721" i="9" s="1"/>
  <c r="D721" i="9"/>
  <c r="E721" i="9"/>
  <c r="Q721" i="9" s="1"/>
  <c r="F721" i="9"/>
  <c r="G721" i="9"/>
  <c r="N721" i="9" s="1"/>
  <c r="H721" i="9"/>
  <c r="B721" i="9"/>
  <c r="I721" i="9"/>
  <c r="R721" i="9" s="1"/>
  <c r="J721" i="9"/>
  <c r="U721" i="9"/>
  <c r="J718" i="6"/>
  <c r="G718" i="4"/>
  <c r="G719" i="6" s="1"/>
  <c r="I718" i="4"/>
  <c r="I719" i="6" s="1"/>
  <c r="B718" i="4"/>
  <c r="B719" i="6" s="1"/>
  <c r="A719" i="4"/>
  <c r="A720" i="6" s="1"/>
  <c r="A722" i="9" s="1"/>
  <c r="C718" i="4"/>
  <c r="C719" i="6" s="1"/>
  <c r="F718" i="4"/>
  <c r="F719" i="6" s="1"/>
  <c r="H718" i="4"/>
  <c r="H719" i="6" s="1"/>
  <c r="D718" i="4"/>
  <c r="D719" i="6" s="1"/>
  <c r="E718" i="4"/>
  <c r="E719" i="6" s="1"/>
  <c r="L721" i="9" l="1"/>
  <c r="P721" i="9"/>
  <c r="T721" i="9"/>
  <c r="I722" i="9"/>
  <c r="R722" i="9" s="1"/>
  <c r="B722" i="9"/>
  <c r="J722" i="9"/>
  <c r="U722" i="9"/>
  <c r="C722" i="9"/>
  <c r="M722" i="9" s="1"/>
  <c r="D722" i="9"/>
  <c r="E722" i="9"/>
  <c r="Q722" i="9" s="1"/>
  <c r="F722" i="9"/>
  <c r="G722" i="9"/>
  <c r="N722" i="9" s="1"/>
  <c r="H722" i="9"/>
  <c r="J719" i="6"/>
  <c r="F719" i="4"/>
  <c r="F720" i="6" s="1"/>
  <c r="H719" i="4"/>
  <c r="H720" i="6" s="1"/>
  <c r="I719" i="4"/>
  <c r="I720" i="6" s="1"/>
  <c r="B719" i="4"/>
  <c r="B720" i="6" s="1"/>
  <c r="A720" i="4"/>
  <c r="A721" i="6" s="1"/>
  <c r="A723" i="9" s="1"/>
  <c r="E719" i="4"/>
  <c r="E720" i="6" s="1"/>
  <c r="C719" i="4"/>
  <c r="C720" i="6" s="1"/>
  <c r="D719" i="4"/>
  <c r="D720" i="6" s="1"/>
  <c r="G719" i="4"/>
  <c r="G720" i="6" s="1"/>
  <c r="T722" i="9" l="1"/>
  <c r="L722" i="9"/>
  <c r="P722" i="9"/>
  <c r="G723" i="9"/>
  <c r="N723" i="9" s="1"/>
  <c r="H723" i="9"/>
  <c r="I723" i="9"/>
  <c r="R723" i="9" s="1"/>
  <c r="B723" i="9"/>
  <c r="J723" i="9"/>
  <c r="U723" i="9"/>
  <c r="C723" i="9"/>
  <c r="M723" i="9" s="1"/>
  <c r="D723" i="9"/>
  <c r="E723" i="9"/>
  <c r="Q723" i="9" s="1"/>
  <c r="F723" i="9"/>
  <c r="J720" i="6"/>
  <c r="E720" i="4"/>
  <c r="E721" i="6" s="1"/>
  <c r="G720" i="4"/>
  <c r="G721" i="6" s="1"/>
  <c r="H720" i="4"/>
  <c r="H721" i="6" s="1"/>
  <c r="I720" i="4"/>
  <c r="I721" i="6" s="1"/>
  <c r="D720" i="4"/>
  <c r="D721" i="6" s="1"/>
  <c r="B720" i="4"/>
  <c r="B721" i="6" s="1"/>
  <c r="C720" i="4"/>
  <c r="C721" i="6" s="1"/>
  <c r="F720" i="4"/>
  <c r="F721" i="6" s="1"/>
  <c r="A721" i="4"/>
  <c r="A722" i="6" s="1"/>
  <c r="A724" i="9" s="1"/>
  <c r="T723" i="9" l="1"/>
  <c r="L723" i="9"/>
  <c r="P723" i="9"/>
  <c r="E724" i="9"/>
  <c r="Q724" i="9" s="1"/>
  <c r="F724" i="9"/>
  <c r="G724" i="9"/>
  <c r="N724" i="9" s="1"/>
  <c r="H724" i="9"/>
  <c r="I724" i="9"/>
  <c r="R724" i="9" s="1"/>
  <c r="B724" i="9"/>
  <c r="J724" i="9"/>
  <c r="U724" i="9"/>
  <c r="D724" i="9"/>
  <c r="C724" i="9"/>
  <c r="M724" i="9" s="1"/>
  <c r="J721" i="6"/>
  <c r="D721" i="4"/>
  <c r="D722" i="6" s="1"/>
  <c r="F721" i="4"/>
  <c r="F722" i="6" s="1"/>
  <c r="G721" i="4"/>
  <c r="G722" i="6" s="1"/>
  <c r="H721" i="4"/>
  <c r="H722" i="6" s="1"/>
  <c r="C721" i="4"/>
  <c r="C722" i="6" s="1"/>
  <c r="B721" i="4"/>
  <c r="B722" i="6" s="1"/>
  <c r="E721" i="4"/>
  <c r="E722" i="6" s="1"/>
  <c r="I721" i="4"/>
  <c r="I722" i="6" s="1"/>
  <c r="A722" i="4"/>
  <c r="A723" i="6" s="1"/>
  <c r="A725" i="9" s="1"/>
  <c r="C725" i="9" l="1"/>
  <c r="M725" i="9" s="1"/>
  <c r="D725" i="9"/>
  <c r="E725" i="9"/>
  <c r="Q725" i="9" s="1"/>
  <c r="F725" i="9"/>
  <c r="G725" i="9"/>
  <c r="N725" i="9" s="1"/>
  <c r="H725" i="9"/>
  <c r="B725" i="9"/>
  <c r="I725" i="9"/>
  <c r="R725" i="9" s="1"/>
  <c r="J725" i="9"/>
  <c r="U725" i="9"/>
  <c r="P724" i="9"/>
  <c r="T724" i="9"/>
  <c r="L724" i="9"/>
  <c r="J722" i="6"/>
  <c r="C722" i="4"/>
  <c r="C723" i="6" s="1"/>
  <c r="E722" i="4"/>
  <c r="E723" i="6" s="1"/>
  <c r="F722" i="4"/>
  <c r="F723" i="6" s="1"/>
  <c r="G722" i="4"/>
  <c r="G723" i="6" s="1"/>
  <c r="B722" i="4"/>
  <c r="B723" i="6" s="1"/>
  <c r="A723" i="4"/>
  <c r="A724" i="6" s="1"/>
  <c r="A726" i="9" s="1"/>
  <c r="D722" i="4"/>
  <c r="D723" i="6" s="1"/>
  <c r="H722" i="4"/>
  <c r="H723" i="6" s="1"/>
  <c r="I722" i="4"/>
  <c r="I723" i="6" s="1"/>
  <c r="I726" i="9" l="1"/>
  <c r="R726" i="9" s="1"/>
  <c r="B726" i="9"/>
  <c r="J726" i="9"/>
  <c r="U726" i="9"/>
  <c r="C726" i="9"/>
  <c r="M726" i="9" s="1"/>
  <c r="D726" i="9"/>
  <c r="E726" i="9"/>
  <c r="Q726" i="9" s="1"/>
  <c r="F726" i="9"/>
  <c r="G726" i="9"/>
  <c r="N726" i="9" s="1"/>
  <c r="H726" i="9"/>
  <c r="L725" i="9"/>
  <c r="P725" i="9"/>
  <c r="T725" i="9"/>
  <c r="J723" i="6"/>
  <c r="B723" i="4"/>
  <c r="B724" i="6" s="1"/>
  <c r="A724" i="4"/>
  <c r="A725" i="6" s="1"/>
  <c r="A727" i="9" s="1"/>
  <c r="D723" i="4"/>
  <c r="D724" i="6" s="1"/>
  <c r="E723" i="4"/>
  <c r="E724" i="6" s="1"/>
  <c r="F723" i="4"/>
  <c r="F724" i="6" s="1"/>
  <c r="I723" i="4"/>
  <c r="I724" i="6" s="1"/>
  <c r="G723" i="4"/>
  <c r="G724" i="6" s="1"/>
  <c r="H723" i="4"/>
  <c r="H724" i="6" s="1"/>
  <c r="C723" i="4"/>
  <c r="C724" i="6" s="1"/>
  <c r="G727" i="9" l="1"/>
  <c r="N727" i="9" s="1"/>
  <c r="H727" i="9"/>
  <c r="I727" i="9"/>
  <c r="R727" i="9" s="1"/>
  <c r="B727" i="9"/>
  <c r="J727" i="9"/>
  <c r="U727" i="9"/>
  <c r="C727" i="9"/>
  <c r="M727" i="9" s="1"/>
  <c r="D727" i="9"/>
  <c r="E727" i="9"/>
  <c r="Q727" i="9" s="1"/>
  <c r="F727" i="9"/>
  <c r="T726" i="9"/>
  <c r="L726" i="9"/>
  <c r="P726" i="9"/>
  <c r="J724" i="6"/>
  <c r="I724" i="4"/>
  <c r="I725" i="6" s="1"/>
  <c r="C724" i="4"/>
  <c r="C725" i="6" s="1"/>
  <c r="D724" i="4"/>
  <c r="D725" i="6" s="1"/>
  <c r="E724" i="4"/>
  <c r="E725" i="6" s="1"/>
  <c r="H724" i="4"/>
  <c r="H725" i="6" s="1"/>
  <c r="B724" i="4"/>
  <c r="B725" i="6" s="1"/>
  <c r="F724" i="4"/>
  <c r="F725" i="6" s="1"/>
  <c r="G724" i="4"/>
  <c r="G725" i="6" s="1"/>
  <c r="A725" i="4"/>
  <c r="A726" i="6" s="1"/>
  <c r="A728" i="9" s="1"/>
  <c r="T727" i="9" l="1"/>
  <c r="L727" i="9"/>
  <c r="P727" i="9"/>
  <c r="E728" i="9"/>
  <c r="Q728" i="9" s="1"/>
  <c r="F728" i="9"/>
  <c r="G728" i="9"/>
  <c r="N728" i="9" s="1"/>
  <c r="H728" i="9"/>
  <c r="I728" i="9"/>
  <c r="R728" i="9" s="1"/>
  <c r="B728" i="9"/>
  <c r="J728" i="9"/>
  <c r="U728" i="9"/>
  <c r="C728" i="9"/>
  <c r="M728" i="9" s="1"/>
  <c r="D728" i="9"/>
  <c r="J725" i="6"/>
  <c r="H725" i="4"/>
  <c r="H726" i="6" s="1"/>
  <c r="B725" i="4"/>
  <c r="B726" i="6" s="1"/>
  <c r="A726" i="4"/>
  <c r="A727" i="6" s="1"/>
  <c r="A729" i="9" s="1"/>
  <c r="C725" i="4"/>
  <c r="C726" i="6" s="1"/>
  <c r="D725" i="4"/>
  <c r="D726" i="6" s="1"/>
  <c r="G725" i="4"/>
  <c r="G726" i="6" s="1"/>
  <c r="I725" i="4"/>
  <c r="I726" i="6" s="1"/>
  <c r="E725" i="4"/>
  <c r="E726" i="6" s="1"/>
  <c r="F725" i="4"/>
  <c r="F726" i="6" s="1"/>
  <c r="P728" i="9" l="1"/>
  <c r="T728" i="9"/>
  <c r="L728" i="9"/>
  <c r="C729" i="9"/>
  <c r="M729" i="9" s="1"/>
  <c r="D729" i="9"/>
  <c r="E729" i="9"/>
  <c r="Q729" i="9" s="1"/>
  <c r="F729" i="9"/>
  <c r="G729" i="9"/>
  <c r="N729" i="9" s="1"/>
  <c r="H729" i="9"/>
  <c r="U729" i="9"/>
  <c r="B729" i="9"/>
  <c r="J729" i="9"/>
  <c r="I729" i="9"/>
  <c r="R729" i="9" s="1"/>
  <c r="J726" i="6"/>
  <c r="G726" i="4"/>
  <c r="G727" i="6" s="1"/>
  <c r="I726" i="4"/>
  <c r="I727" i="6" s="1"/>
  <c r="B726" i="4"/>
  <c r="B727" i="6" s="1"/>
  <c r="A727" i="4"/>
  <c r="A728" i="6" s="1"/>
  <c r="A730" i="9" s="1"/>
  <c r="C726" i="4"/>
  <c r="C727" i="6" s="1"/>
  <c r="F726" i="4"/>
  <c r="F727" i="6" s="1"/>
  <c r="D726" i="4"/>
  <c r="D727" i="6" s="1"/>
  <c r="E726" i="4"/>
  <c r="E727" i="6" s="1"/>
  <c r="H726" i="4"/>
  <c r="H727" i="6" s="1"/>
  <c r="I730" i="9" l="1"/>
  <c r="R730" i="9" s="1"/>
  <c r="B730" i="9"/>
  <c r="J730" i="9"/>
  <c r="U730" i="9"/>
  <c r="C730" i="9"/>
  <c r="M730" i="9" s="1"/>
  <c r="D730" i="9"/>
  <c r="E730" i="9"/>
  <c r="Q730" i="9" s="1"/>
  <c r="F730" i="9"/>
  <c r="G730" i="9"/>
  <c r="N730" i="9" s="1"/>
  <c r="H730" i="9"/>
  <c r="L729" i="9"/>
  <c r="P729" i="9"/>
  <c r="T729" i="9"/>
  <c r="J727" i="6"/>
  <c r="F727" i="4"/>
  <c r="F728" i="6" s="1"/>
  <c r="H727" i="4"/>
  <c r="H728" i="6" s="1"/>
  <c r="I727" i="4"/>
  <c r="I728" i="6" s="1"/>
  <c r="B727" i="4"/>
  <c r="B728" i="6" s="1"/>
  <c r="A728" i="4"/>
  <c r="A729" i="6" s="1"/>
  <c r="A731" i="9" s="1"/>
  <c r="E727" i="4"/>
  <c r="E728" i="6" s="1"/>
  <c r="C727" i="4"/>
  <c r="C728" i="6" s="1"/>
  <c r="D727" i="4"/>
  <c r="D728" i="6" s="1"/>
  <c r="G727" i="4"/>
  <c r="G728" i="6" s="1"/>
  <c r="G731" i="9" l="1"/>
  <c r="N731" i="9" s="1"/>
  <c r="H731" i="9"/>
  <c r="I731" i="9"/>
  <c r="R731" i="9" s="1"/>
  <c r="B731" i="9"/>
  <c r="J731" i="9"/>
  <c r="C731" i="9"/>
  <c r="M731" i="9" s="1"/>
  <c r="D731" i="9"/>
  <c r="U731" i="9"/>
  <c r="F731" i="9"/>
  <c r="E731" i="9"/>
  <c r="Q731" i="9" s="1"/>
  <c r="T730" i="9"/>
  <c r="L730" i="9"/>
  <c r="P730" i="9"/>
  <c r="J728" i="6"/>
  <c r="E728" i="4"/>
  <c r="E729" i="6" s="1"/>
  <c r="G728" i="4"/>
  <c r="G729" i="6" s="1"/>
  <c r="H728" i="4"/>
  <c r="H729" i="6" s="1"/>
  <c r="I728" i="4"/>
  <c r="I729" i="6" s="1"/>
  <c r="D728" i="4"/>
  <c r="D729" i="6" s="1"/>
  <c r="C728" i="4"/>
  <c r="C729" i="6" s="1"/>
  <c r="F728" i="4"/>
  <c r="F729" i="6" s="1"/>
  <c r="A729" i="4"/>
  <c r="A730" i="6" s="1"/>
  <c r="A732" i="9" s="1"/>
  <c r="B728" i="4"/>
  <c r="B729" i="6" s="1"/>
  <c r="C732" i="9" l="1"/>
  <c r="M732" i="9" s="1"/>
  <c r="D732" i="9"/>
  <c r="E732" i="9"/>
  <c r="Q732" i="9" s="1"/>
  <c r="F732" i="9"/>
  <c r="G732" i="9"/>
  <c r="N732" i="9" s="1"/>
  <c r="H732" i="9"/>
  <c r="B732" i="9"/>
  <c r="I732" i="9"/>
  <c r="R732" i="9" s="1"/>
  <c r="U732" i="9"/>
  <c r="J732" i="9"/>
  <c r="L731" i="9"/>
  <c r="P731" i="9"/>
  <c r="T731" i="9"/>
  <c r="J729" i="6"/>
  <c r="D729" i="4"/>
  <c r="D730" i="6" s="1"/>
  <c r="F729" i="4"/>
  <c r="F730" i="6" s="1"/>
  <c r="G729" i="4"/>
  <c r="G730" i="6" s="1"/>
  <c r="H729" i="4"/>
  <c r="H730" i="6" s="1"/>
  <c r="C729" i="4"/>
  <c r="C730" i="6" s="1"/>
  <c r="B729" i="4"/>
  <c r="B730" i="6" s="1"/>
  <c r="E729" i="4"/>
  <c r="E730" i="6" s="1"/>
  <c r="I729" i="4"/>
  <c r="I730" i="6" s="1"/>
  <c r="A730" i="4"/>
  <c r="A731" i="6" s="1"/>
  <c r="A733" i="9" s="1"/>
  <c r="I733" i="9" l="1"/>
  <c r="R733" i="9" s="1"/>
  <c r="B733" i="9"/>
  <c r="J733" i="9"/>
  <c r="U733" i="9"/>
  <c r="C733" i="9"/>
  <c r="M733" i="9" s="1"/>
  <c r="D733" i="9"/>
  <c r="E733" i="9"/>
  <c r="Q733" i="9" s="1"/>
  <c r="F733" i="9"/>
  <c r="H733" i="9"/>
  <c r="G733" i="9"/>
  <c r="N733" i="9" s="1"/>
  <c r="L732" i="9"/>
  <c r="P732" i="9"/>
  <c r="T732" i="9"/>
  <c r="J730" i="6"/>
  <c r="C730" i="4"/>
  <c r="C731" i="6" s="1"/>
  <c r="E730" i="4"/>
  <c r="E731" i="6" s="1"/>
  <c r="F730" i="4"/>
  <c r="F731" i="6" s="1"/>
  <c r="G730" i="4"/>
  <c r="G731" i="6" s="1"/>
  <c r="B730" i="4"/>
  <c r="B731" i="6" s="1"/>
  <c r="A731" i="4"/>
  <c r="A732" i="6" s="1"/>
  <c r="A734" i="9" s="1"/>
  <c r="H730" i="4"/>
  <c r="H731" i="6" s="1"/>
  <c r="I730" i="4"/>
  <c r="I731" i="6" s="1"/>
  <c r="D730" i="4"/>
  <c r="D731" i="6" s="1"/>
  <c r="T733" i="9" l="1"/>
  <c r="L733" i="9"/>
  <c r="P733" i="9"/>
  <c r="G734" i="9"/>
  <c r="N734" i="9" s="1"/>
  <c r="H734" i="9"/>
  <c r="I734" i="9"/>
  <c r="R734" i="9" s="1"/>
  <c r="B734" i="9"/>
  <c r="J734" i="9"/>
  <c r="U734" i="9"/>
  <c r="C734" i="9"/>
  <c r="M734" i="9" s="1"/>
  <c r="D734" i="9"/>
  <c r="E734" i="9"/>
  <c r="Q734" i="9" s="1"/>
  <c r="F734" i="9"/>
  <c r="J731" i="6"/>
  <c r="B731" i="4"/>
  <c r="B732" i="6" s="1"/>
  <c r="A732" i="4"/>
  <c r="A733" i="6" s="1"/>
  <c r="A735" i="9" s="1"/>
  <c r="D731" i="4"/>
  <c r="D732" i="6" s="1"/>
  <c r="E731" i="4"/>
  <c r="E732" i="6" s="1"/>
  <c r="F731" i="4"/>
  <c r="F732" i="6" s="1"/>
  <c r="I731" i="4"/>
  <c r="I732" i="6" s="1"/>
  <c r="C731" i="4"/>
  <c r="C732" i="6" s="1"/>
  <c r="G731" i="4"/>
  <c r="G732" i="6" s="1"/>
  <c r="H731" i="4"/>
  <c r="H732" i="6" s="1"/>
  <c r="T734" i="9" l="1"/>
  <c r="L734" i="9"/>
  <c r="P734" i="9"/>
  <c r="E735" i="9"/>
  <c r="Q735" i="9" s="1"/>
  <c r="F735" i="9"/>
  <c r="G735" i="9"/>
  <c r="N735" i="9" s="1"/>
  <c r="H735" i="9"/>
  <c r="I735" i="9"/>
  <c r="R735" i="9" s="1"/>
  <c r="B735" i="9"/>
  <c r="J735" i="9"/>
  <c r="U735" i="9"/>
  <c r="D735" i="9"/>
  <c r="C735" i="9"/>
  <c r="M735" i="9" s="1"/>
  <c r="J732" i="6"/>
  <c r="I732" i="4"/>
  <c r="I733" i="6" s="1"/>
  <c r="C732" i="4"/>
  <c r="C733" i="6" s="1"/>
  <c r="D732" i="4"/>
  <c r="D733" i="6" s="1"/>
  <c r="E732" i="4"/>
  <c r="E733" i="6" s="1"/>
  <c r="H732" i="4"/>
  <c r="H733" i="6" s="1"/>
  <c r="A733" i="4"/>
  <c r="A734" i="6" s="1"/>
  <c r="A736" i="9" s="1"/>
  <c r="B732" i="4"/>
  <c r="B733" i="6" s="1"/>
  <c r="F732" i="4"/>
  <c r="F733" i="6" s="1"/>
  <c r="G732" i="4"/>
  <c r="G733" i="6" s="1"/>
  <c r="C736" i="9" l="1"/>
  <c r="M736" i="9" s="1"/>
  <c r="D736" i="9"/>
  <c r="E736" i="9"/>
  <c r="Q736" i="9" s="1"/>
  <c r="F736" i="9"/>
  <c r="G736" i="9"/>
  <c r="N736" i="9" s="1"/>
  <c r="H736" i="9"/>
  <c r="U736" i="9"/>
  <c r="I736" i="9"/>
  <c r="R736" i="9" s="1"/>
  <c r="B736" i="9"/>
  <c r="J736" i="9"/>
  <c r="P735" i="9"/>
  <c r="T735" i="9"/>
  <c r="L735" i="9"/>
  <c r="J733" i="6"/>
  <c r="A734" i="4"/>
  <c r="A735" i="6" s="1"/>
  <c r="A737" i="9" s="1"/>
  <c r="H733" i="4"/>
  <c r="H734" i="6" s="1"/>
  <c r="B733" i="4"/>
  <c r="B734" i="6" s="1"/>
  <c r="C733" i="4"/>
  <c r="C734" i="6" s="1"/>
  <c r="D733" i="4"/>
  <c r="D734" i="6" s="1"/>
  <c r="G733" i="4"/>
  <c r="G734" i="6" s="1"/>
  <c r="E733" i="4"/>
  <c r="E734" i="6" s="1"/>
  <c r="F733" i="4"/>
  <c r="F734" i="6" s="1"/>
  <c r="I733" i="4"/>
  <c r="I734" i="6" s="1"/>
  <c r="I737" i="9" l="1"/>
  <c r="R737" i="9" s="1"/>
  <c r="B737" i="9"/>
  <c r="J737" i="9"/>
  <c r="U737" i="9"/>
  <c r="C737" i="9"/>
  <c r="M737" i="9" s="1"/>
  <c r="D737" i="9"/>
  <c r="E737" i="9"/>
  <c r="Q737" i="9" s="1"/>
  <c r="F737" i="9"/>
  <c r="G737" i="9"/>
  <c r="N737" i="9" s="1"/>
  <c r="H737" i="9"/>
  <c r="L736" i="9"/>
  <c r="P736" i="9"/>
  <c r="T736" i="9"/>
  <c r="J734" i="6"/>
  <c r="C734" i="4"/>
  <c r="C735" i="6" s="1"/>
  <c r="D734" i="4"/>
  <c r="D735" i="6" s="1"/>
  <c r="E734" i="4"/>
  <c r="E735" i="6" s="1"/>
  <c r="F734" i="4"/>
  <c r="F735" i="6" s="1"/>
  <c r="B734" i="4"/>
  <c r="B735" i="6" s="1"/>
  <c r="I734" i="4"/>
  <c r="I735" i="6" s="1"/>
  <c r="H734" i="4"/>
  <c r="H735" i="6" s="1"/>
  <c r="A735" i="4"/>
  <c r="A736" i="6" s="1"/>
  <c r="A738" i="9" s="1"/>
  <c r="G734" i="4"/>
  <c r="G735" i="6" s="1"/>
  <c r="G738" i="9" l="1"/>
  <c r="N738" i="9" s="1"/>
  <c r="H738" i="9"/>
  <c r="I738" i="9"/>
  <c r="R738" i="9" s="1"/>
  <c r="B738" i="9"/>
  <c r="J738" i="9"/>
  <c r="U738" i="9"/>
  <c r="C738" i="9"/>
  <c r="M738" i="9" s="1"/>
  <c r="D738" i="9"/>
  <c r="E738" i="9"/>
  <c r="Q738" i="9" s="1"/>
  <c r="F738" i="9"/>
  <c r="T737" i="9"/>
  <c r="L737" i="9"/>
  <c r="P737" i="9"/>
  <c r="J735" i="6"/>
  <c r="B735" i="4"/>
  <c r="B736" i="6" s="1"/>
  <c r="A736" i="4"/>
  <c r="A737" i="6" s="1"/>
  <c r="A739" i="9" s="1"/>
  <c r="C735" i="4"/>
  <c r="C736" i="6" s="1"/>
  <c r="D735" i="4"/>
  <c r="D736" i="6" s="1"/>
  <c r="E735" i="4"/>
  <c r="E736" i="6" s="1"/>
  <c r="H735" i="4"/>
  <c r="H736" i="6" s="1"/>
  <c r="I735" i="4"/>
  <c r="I736" i="6" s="1"/>
  <c r="G735" i="4"/>
  <c r="G736" i="6" s="1"/>
  <c r="F735" i="4"/>
  <c r="F736" i="6" s="1"/>
  <c r="T738" i="9" l="1"/>
  <c r="L738" i="9"/>
  <c r="P738" i="9"/>
  <c r="E739" i="9"/>
  <c r="Q739" i="9" s="1"/>
  <c r="F739" i="9"/>
  <c r="G739" i="9"/>
  <c r="N739" i="9" s="1"/>
  <c r="H739" i="9"/>
  <c r="I739" i="9"/>
  <c r="R739" i="9" s="1"/>
  <c r="B739" i="9"/>
  <c r="J739" i="9"/>
  <c r="U739" i="9"/>
  <c r="C739" i="9"/>
  <c r="M739" i="9" s="1"/>
  <c r="D739" i="9"/>
  <c r="J736" i="6"/>
  <c r="I736" i="4"/>
  <c r="I737" i="6" s="1"/>
  <c r="B736" i="4"/>
  <c r="B737" i="6" s="1"/>
  <c r="A737" i="4"/>
  <c r="A738" i="6" s="1"/>
  <c r="A740" i="9" s="1"/>
  <c r="C736" i="4"/>
  <c r="C737" i="6" s="1"/>
  <c r="F736" i="4"/>
  <c r="F737" i="6" s="1"/>
  <c r="G736" i="4"/>
  <c r="G737" i="6" s="1"/>
  <c r="H736" i="4"/>
  <c r="H737" i="6" s="1"/>
  <c r="E736" i="4"/>
  <c r="E737" i="6" s="1"/>
  <c r="D736" i="4"/>
  <c r="D737" i="6" s="1"/>
  <c r="P739" i="9" l="1"/>
  <c r="T739" i="9"/>
  <c r="L739" i="9"/>
  <c r="C740" i="9"/>
  <c r="M740" i="9" s="1"/>
  <c r="D740" i="9"/>
  <c r="E740" i="9"/>
  <c r="Q740" i="9" s="1"/>
  <c r="F740" i="9"/>
  <c r="G740" i="9"/>
  <c r="N740" i="9" s="1"/>
  <c r="H740" i="9"/>
  <c r="J740" i="9"/>
  <c r="U740" i="9"/>
  <c r="B740" i="9"/>
  <c r="I740" i="9"/>
  <c r="R740" i="9" s="1"/>
  <c r="J737" i="6"/>
  <c r="H737" i="4"/>
  <c r="H738" i="6" s="1"/>
  <c r="I737" i="4"/>
  <c r="I738" i="6" s="1"/>
  <c r="C737" i="4"/>
  <c r="C738" i="6" s="1"/>
  <c r="D737" i="4"/>
  <c r="D738" i="6" s="1"/>
  <c r="G737" i="4"/>
  <c r="G738" i="6" s="1"/>
  <c r="A738" i="4"/>
  <c r="A739" i="6" s="1"/>
  <c r="A741" i="9" s="1"/>
  <c r="B737" i="4"/>
  <c r="B738" i="6" s="1"/>
  <c r="E737" i="4"/>
  <c r="E738" i="6" s="1"/>
  <c r="F737" i="4"/>
  <c r="F738" i="6" s="1"/>
  <c r="I741" i="9" l="1"/>
  <c r="R741" i="9" s="1"/>
  <c r="B741" i="9"/>
  <c r="J741" i="9"/>
  <c r="U741" i="9"/>
  <c r="C741" i="9"/>
  <c r="M741" i="9" s="1"/>
  <c r="D741" i="9"/>
  <c r="E741" i="9"/>
  <c r="Q741" i="9" s="1"/>
  <c r="F741" i="9"/>
  <c r="G741" i="9"/>
  <c r="N741" i="9" s="1"/>
  <c r="H741" i="9"/>
  <c r="L740" i="9"/>
  <c r="P740" i="9"/>
  <c r="T740" i="9"/>
  <c r="J738" i="6"/>
  <c r="G738" i="4"/>
  <c r="G739" i="6" s="1"/>
  <c r="H738" i="4"/>
  <c r="H739" i="6" s="1"/>
  <c r="D738" i="4"/>
  <c r="D739" i="6" s="1"/>
  <c r="E738" i="4"/>
  <c r="E739" i="6" s="1"/>
  <c r="A739" i="4"/>
  <c r="A740" i="6" s="1"/>
  <c r="A742" i="9" s="1"/>
  <c r="F738" i="4"/>
  <c r="F739" i="6" s="1"/>
  <c r="C738" i="4"/>
  <c r="C739" i="6" s="1"/>
  <c r="I738" i="4"/>
  <c r="I739" i="6" s="1"/>
  <c r="B738" i="4"/>
  <c r="B739" i="6" s="1"/>
  <c r="T741" i="9" l="1"/>
  <c r="L741" i="9"/>
  <c r="P741" i="9"/>
  <c r="G742" i="9"/>
  <c r="N742" i="9" s="1"/>
  <c r="H742" i="9"/>
  <c r="I742" i="9"/>
  <c r="R742" i="9" s="1"/>
  <c r="B742" i="9"/>
  <c r="J742" i="9"/>
  <c r="U742" i="9"/>
  <c r="C742" i="9"/>
  <c r="M742" i="9" s="1"/>
  <c r="D742" i="9"/>
  <c r="F742" i="9"/>
  <c r="E742" i="9"/>
  <c r="Q742" i="9" s="1"/>
  <c r="J739" i="6"/>
  <c r="F739" i="4"/>
  <c r="F740" i="6" s="1"/>
  <c r="G739" i="4"/>
  <c r="G740" i="6" s="1"/>
  <c r="E739" i="4"/>
  <c r="E740" i="6" s="1"/>
  <c r="H739" i="4"/>
  <c r="H740" i="6" s="1"/>
  <c r="I739" i="4"/>
  <c r="I740" i="6" s="1"/>
  <c r="B739" i="4"/>
  <c r="B740" i="6" s="1"/>
  <c r="A740" i="4"/>
  <c r="A741" i="6" s="1"/>
  <c r="A743" i="9" s="1"/>
  <c r="D739" i="4"/>
  <c r="D740" i="6" s="1"/>
  <c r="C739" i="4"/>
  <c r="C740" i="6" s="1"/>
  <c r="T742" i="9" l="1"/>
  <c r="L742" i="9"/>
  <c r="P742" i="9"/>
  <c r="E743" i="9"/>
  <c r="Q743" i="9" s="1"/>
  <c r="F743" i="9"/>
  <c r="G743" i="9"/>
  <c r="N743" i="9" s="1"/>
  <c r="H743" i="9"/>
  <c r="I743" i="9"/>
  <c r="R743" i="9" s="1"/>
  <c r="B743" i="9"/>
  <c r="J743" i="9"/>
  <c r="U743" i="9"/>
  <c r="D743" i="9"/>
  <c r="C743" i="9"/>
  <c r="M743" i="9" s="1"/>
  <c r="J740" i="6"/>
  <c r="E740" i="4"/>
  <c r="E741" i="6" s="1"/>
  <c r="F740" i="4"/>
  <c r="F741" i="6" s="1"/>
  <c r="H740" i="4"/>
  <c r="H741" i="6" s="1"/>
  <c r="I740" i="4"/>
  <c r="I741" i="6" s="1"/>
  <c r="B740" i="4"/>
  <c r="B741" i="6" s="1"/>
  <c r="D740" i="4"/>
  <c r="D741" i="6" s="1"/>
  <c r="A741" i="4"/>
  <c r="A742" i="6" s="1"/>
  <c r="A744" i="9" s="1"/>
  <c r="C740" i="4"/>
  <c r="C741" i="6" s="1"/>
  <c r="G740" i="4"/>
  <c r="G741" i="6" s="1"/>
  <c r="C744" i="9" l="1"/>
  <c r="M744" i="9" s="1"/>
  <c r="D744" i="9"/>
  <c r="E744" i="9"/>
  <c r="Q744" i="9" s="1"/>
  <c r="F744" i="9"/>
  <c r="G744" i="9"/>
  <c r="N744" i="9" s="1"/>
  <c r="H744" i="9"/>
  <c r="B744" i="9"/>
  <c r="I744" i="9"/>
  <c r="R744" i="9" s="1"/>
  <c r="J744" i="9"/>
  <c r="U744" i="9"/>
  <c r="P743" i="9"/>
  <c r="T743" i="9"/>
  <c r="L743" i="9"/>
  <c r="J741" i="6"/>
  <c r="D741" i="4"/>
  <c r="D742" i="6" s="1"/>
  <c r="E741" i="4"/>
  <c r="E742" i="6" s="1"/>
  <c r="I741" i="4"/>
  <c r="I742" i="6" s="1"/>
  <c r="A742" i="4"/>
  <c r="A743" i="6" s="1"/>
  <c r="A745" i="9" s="1"/>
  <c r="C741" i="4"/>
  <c r="C742" i="6" s="1"/>
  <c r="G741" i="4"/>
  <c r="G742" i="6" s="1"/>
  <c r="F741" i="4"/>
  <c r="F742" i="6" s="1"/>
  <c r="H741" i="4"/>
  <c r="H742" i="6" s="1"/>
  <c r="B741" i="4"/>
  <c r="B742" i="6" s="1"/>
  <c r="I745" i="9" l="1"/>
  <c r="R745" i="9" s="1"/>
  <c r="B745" i="9"/>
  <c r="J745" i="9"/>
  <c r="U745" i="9"/>
  <c r="C745" i="9"/>
  <c r="M745" i="9" s="1"/>
  <c r="D745" i="9"/>
  <c r="E745" i="9"/>
  <c r="Q745" i="9" s="1"/>
  <c r="F745" i="9"/>
  <c r="H745" i="9"/>
  <c r="G745" i="9"/>
  <c r="N745" i="9" s="1"/>
  <c r="L744" i="9"/>
  <c r="P744" i="9"/>
  <c r="T744" i="9"/>
  <c r="J742" i="6"/>
  <c r="C742" i="4"/>
  <c r="C743" i="6" s="1"/>
  <c r="D742" i="4"/>
  <c r="D743" i="6" s="1"/>
  <c r="A743" i="4"/>
  <c r="A744" i="6" s="1"/>
  <c r="A746" i="9" s="1"/>
  <c r="F742" i="4"/>
  <c r="F743" i="6" s="1"/>
  <c r="E742" i="4"/>
  <c r="E743" i="6" s="1"/>
  <c r="H742" i="4"/>
  <c r="H743" i="6" s="1"/>
  <c r="I742" i="4"/>
  <c r="I743" i="6" s="1"/>
  <c r="B742" i="4"/>
  <c r="B743" i="6" s="1"/>
  <c r="G742" i="4"/>
  <c r="G743" i="6" s="1"/>
  <c r="T745" i="9" l="1"/>
  <c r="L745" i="9"/>
  <c r="P745" i="9"/>
  <c r="G746" i="9"/>
  <c r="N746" i="9" s="1"/>
  <c r="H746" i="9"/>
  <c r="I746" i="9"/>
  <c r="R746" i="9" s="1"/>
  <c r="B746" i="9"/>
  <c r="J746" i="9"/>
  <c r="U746" i="9"/>
  <c r="C746" i="9"/>
  <c r="M746" i="9" s="1"/>
  <c r="D746" i="9"/>
  <c r="E746" i="9"/>
  <c r="Q746" i="9" s="1"/>
  <c r="F746" i="9"/>
  <c r="J743" i="6"/>
  <c r="B743" i="4"/>
  <c r="B744" i="6" s="1"/>
  <c r="A744" i="4"/>
  <c r="A745" i="6" s="1"/>
  <c r="A747" i="9" s="1"/>
  <c r="C743" i="4"/>
  <c r="C744" i="6" s="1"/>
  <c r="D743" i="4"/>
  <c r="D744" i="6" s="1"/>
  <c r="G743" i="4"/>
  <c r="G744" i="6" s="1"/>
  <c r="F743" i="4"/>
  <c r="F744" i="6" s="1"/>
  <c r="I743" i="4"/>
  <c r="I744" i="6" s="1"/>
  <c r="H743" i="4"/>
  <c r="H744" i="6" s="1"/>
  <c r="E743" i="4"/>
  <c r="E744" i="6" s="1"/>
  <c r="T746" i="9" l="1"/>
  <c r="L746" i="9"/>
  <c r="P746" i="9"/>
  <c r="E747" i="9"/>
  <c r="Q747" i="9" s="1"/>
  <c r="F747" i="9"/>
  <c r="G747" i="9"/>
  <c r="N747" i="9" s="1"/>
  <c r="H747" i="9"/>
  <c r="I747" i="9"/>
  <c r="R747" i="9" s="1"/>
  <c r="B747" i="9"/>
  <c r="J747" i="9"/>
  <c r="U747" i="9"/>
  <c r="C747" i="9"/>
  <c r="M747" i="9" s="1"/>
  <c r="D747" i="9"/>
  <c r="J744" i="6"/>
  <c r="B744" i="4"/>
  <c r="B745" i="6" s="1"/>
  <c r="A745" i="4"/>
  <c r="A746" i="6" s="1"/>
  <c r="A748" i="9" s="1"/>
  <c r="D744" i="4"/>
  <c r="D745" i="6" s="1"/>
  <c r="E744" i="4"/>
  <c r="E745" i="6" s="1"/>
  <c r="H744" i="4"/>
  <c r="H745" i="6" s="1"/>
  <c r="C744" i="4"/>
  <c r="C745" i="6" s="1"/>
  <c r="G744" i="4"/>
  <c r="G745" i="6" s="1"/>
  <c r="F744" i="4"/>
  <c r="F745" i="6" s="1"/>
  <c r="I744" i="4"/>
  <c r="I745" i="6" s="1"/>
  <c r="C748" i="9" l="1"/>
  <c r="M748" i="9" s="1"/>
  <c r="D748" i="9"/>
  <c r="E748" i="9"/>
  <c r="Q748" i="9" s="1"/>
  <c r="F748" i="9"/>
  <c r="G748" i="9"/>
  <c r="N748" i="9" s="1"/>
  <c r="H748" i="9"/>
  <c r="I748" i="9"/>
  <c r="R748" i="9" s="1"/>
  <c r="U748" i="9"/>
  <c r="B748" i="9"/>
  <c r="J748" i="9"/>
  <c r="P747" i="9"/>
  <c r="T747" i="9"/>
  <c r="L747" i="9"/>
  <c r="J745" i="6"/>
  <c r="D745" i="4"/>
  <c r="D746" i="6" s="1"/>
  <c r="E745" i="4"/>
  <c r="E746" i="6" s="1"/>
  <c r="H745" i="4"/>
  <c r="H746" i="6" s="1"/>
  <c r="C745" i="4"/>
  <c r="C746" i="6" s="1"/>
  <c r="I745" i="4"/>
  <c r="I746" i="6" s="1"/>
  <c r="G745" i="4"/>
  <c r="G746" i="6" s="1"/>
  <c r="B745" i="4"/>
  <c r="B746" i="6" s="1"/>
  <c r="A746" i="4"/>
  <c r="A747" i="6" s="1"/>
  <c r="A749" i="9" s="1"/>
  <c r="F745" i="4"/>
  <c r="F746" i="6" s="1"/>
  <c r="I749" i="9" l="1"/>
  <c r="R749" i="9" s="1"/>
  <c r="B749" i="9"/>
  <c r="J749" i="9"/>
  <c r="U749" i="9"/>
  <c r="C749" i="9"/>
  <c r="M749" i="9" s="1"/>
  <c r="D749" i="9"/>
  <c r="E749" i="9"/>
  <c r="Q749" i="9" s="1"/>
  <c r="F749" i="9"/>
  <c r="H749" i="9"/>
  <c r="G749" i="9"/>
  <c r="N749" i="9" s="1"/>
  <c r="L748" i="9"/>
  <c r="P748" i="9"/>
  <c r="T748" i="9"/>
  <c r="J746" i="6"/>
  <c r="C746" i="4"/>
  <c r="C747" i="6" s="1"/>
  <c r="D746" i="4"/>
  <c r="D747" i="6" s="1"/>
  <c r="G746" i="4"/>
  <c r="G747" i="6" s="1"/>
  <c r="H746" i="4"/>
  <c r="H747" i="6" s="1"/>
  <c r="B746" i="4"/>
  <c r="B747" i="6" s="1"/>
  <c r="I746" i="4"/>
  <c r="I747" i="6" s="1"/>
  <c r="A747" i="4"/>
  <c r="A748" i="6" s="1"/>
  <c r="A750" i="9" s="1"/>
  <c r="E746" i="4"/>
  <c r="E747" i="6" s="1"/>
  <c r="F746" i="4"/>
  <c r="F747" i="6" s="1"/>
  <c r="G750" i="9" l="1"/>
  <c r="N750" i="9" s="1"/>
  <c r="H750" i="9"/>
  <c r="I750" i="9"/>
  <c r="R750" i="9" s="1"/>
  <c r="B750" i="9"/>
  <c r="J750" i="9"/>
  <c r="U750" i="9"/>
  <c r="C750" i="9"/>
  <c r="M750" i="9" s="1"/>
  <c r="D750" i="9"/>
  <c r="E750" i="9"/>
  <c r="Q750" i="9" s="1"/>
  <c r="F750" i="9"/>
  <c r="T749" i="9"/>
  <c r="L749" i="9"/>
  <c r="P749" i="9"/>
  <c r="J747" i="6"/>
  <c r="B747" i="4"/>
  <c r="B748" i="6" s="1"/>
  <c r="A748" i="4"/>
  <c r="A749" i="6" s="1"/>
  <c r="A751" i="9" s="1"/>
  <c r="C747" i="4"/>
  <c r="C748" i="6" s="1"/>
  <c r="F747" i="4"/>
  <c r="F748" i="6" s="1"/>
  <c r="D747" i="4"/>
  <c r="D748" i="6" s="1"/>
  <c r="G747" i="4"/>
  <c r="G748" i="6" s="1"/>
  <c r="I747" i="4"/>
  <c r="I748" i="6" s="1"/>
  <c r="E747" i="4"/>
  <c r="E748" i="6" s="1"/>
  <c r="H747" i="4"/>
  <c r="H748" i="6" s="1"/>
  <c r="T750" i="9" l="1"/>
  <c r="L750" i="9"/>
  <c r="P750" i="9"/>
  <c r="E751" i="9"/>
  <c r="Q751" i="9" s="1"/>
  <c r="F751" i="9"/>
  <c r="I751" i="9"/>
  <c r="R751" i="9" s="1"/>
  <c r="G751" i="9"/>
  <c r="N751" i="9" s="1"/>
  <c r="H751" i="9"/>
  <c r="B751" i="9"/>
  <c r="J751" i="9"/>
  <c r="U751" i="9"/>
  <c r="D751" i="9"/>
  <c r="C751" i="9"/>
  <c r="M751" i="9" s="1"/>
  <c r="J748" i="6"/>
  <c r="I748" i="4"/>
  <c r="I749" i="6" s="1"/>
  <c r="B748" i="4"/>
  <c r="B749" i="6" s="1"/>
  <c r="A749" i="4"/>
  <c r="A750" i="6" s="1"/>
  <c r="A752" i="9" s="1"/>
  <c r="E748" i="4"/>
  <c r="E749" i="6" s="1"/>
  <c r="C748" i="4"/>
  <c r="C749" i="6" s="1"/>
  <c r="G748" i="4"/>
  <c r="G749" i="6" s="1"/>
  <c r="F748" i="4"/>
  <c r="F749" i="6" s="1"/>
  <c r="D748" i="4"/>
  <c r="D749" i="6" s="1"/>
  <c r="H748" i="4"/>
  <c r="H749" i="6" s="1"/>
  <c r="T751" i="9" l="1"/>
  <c r="P751" i="9"/>
  <c r="L751" i="9"/>
  <c r="C752" i="9"/>
  <c r="M752" i="9" s="1"/>
  <c r="D752" i="9"/>
  <c r="E752" i="9"/>
  <c r="Q752" i="9" s="1"/>
  <c r="F752" i="9"/>
  <c r="G752" i="9"/>
  <c r="N752" i="9" s="1"/>
  <c r="H752" i="9"/>
  <c r="U752" i="9"/>
  <c r="B752" i="9"/>
  <c r="I752" i="9"/>
  <c r="R752" i="9" s="1"/>
  <c r="J752" i="9"/>
  <c r="J749" i="6"/>
  <c r="H749" i="4"/>
  <c r="H750" i="6" s="1"/>
  <c r="I749" i="4"/>
  <c r="I750" i="6" s="1"/>
  <c r="D749" i="4"/>
  <c r="D750" i="6" s="1"/>
  <c r="F749" i="4"/>
  <c r="F750" i="6" s="1"/>
  <c r="B749" i="4"/>
  <c r="B750" i="6" s="1"/>
  <c r="C749" i="4"/>
  <c r="C750" i="6" s="1"/>
  <c r="E749" i="4"/>
  <c r="E750" i="6" s="1"/>
  <c r="G749" i="4"/>
  <c r="G750" i="6" s="1"/>
  <c r="A750" i="4"/>
  <c r="A751" i="6" s="1"/>
  <c r="A753" i="9" s="1"/>
  <c r="I753" i="9" l="1"/>
  <c r="R753" i="9" s="1"/>
  <c r="B753" i="9"/>
  <c r="J753" i="9"/>
  <c r="U753" i="9"/>
  <c r="C753" i="9"/>
  <c r="M753" i="9" s="1"/>
  <c r="D753" i="9"/>
  <c r="E753" i="9"/>
  <c r="Q753" i="9" s="1"/>
  <c r="F753" i="9"/>
  <c r="G753" i="9"/>
  <c r="N753" i="9" s="1"/>
  <c r="H753" i="9"/>
  <c r="L752" i="9"/>
  <c r="P752" i="9"/>
  <c r="T752" i="9"/>
  <c r="J750" i="6"/>
  <c r="G750" i="4"/>
  <c r="G751" i="6" s="1"/>
  <c r="H750" i="4"/>
  <c r="H751" i="6" s="1"/>
  <c r="C750" i="4"/>
  <c r="C751" i="6" s="1"/>
  <c r="A751" i="4"/>
  <c r="A752" i="6" s="1"/>
  <c r="A754" i="9" s="1"/>
  <c r="B750" i="4"/>
  <c r="B751" i="6" s="1"/>
  <c r="E750" i="4"/>
  <c r="E751" i="6" s="1"/>
  <c r="D750" i="4"/>
  <c r="D751" i="6" s="1"/>
  <c r="F750" i="4"/>
  <c r="F751" i="6" s="1"/>
  <c r="I750" i="4"/>
  <c r="I751" i="6" s="1"/>
  <c r="T753" i="9" l="1"/>
  <c r="L753" i="9"/>
  <c r="P753" i="9"/>
  <c r="G754" i="9"/>
  <c r="N754" i="9" s="1"/>
  <c r="C754" i="9"/>
  <c r="M754" i="9" s="1"/>
  <c r="H754" i="9"/>
  <c r="I754" i="9"/>
  <c r="R754" i="9" s="1"/>
  <c r="B754" i="9"/>
  <c r="J754" i="9"/>
  <c r="U754" i="9"/>
  <c r="D754" i="9"/>
  <c r="F754" i="9"/>
  <c r="E754" i="9"/>
  <c r="Q754" i="9" s="1"/>
  <c r="J751" i="6"/>
  <c r="F751" i="4"/>
  <c r="F752" i="6" s="1"/>
  <c r="G751" i="4"/>
  <c r="G752" i="6" s="1"/>
  <c r="B751" i="4"/>
  <c r="B752" i="6" s="1"/>
  <c r="A752" i="4"/>
  <c r="A753" i="6" s="1"/>
  <c r="A755" i="9" s="1"/>
  <c r="E751" i="4"/>
  <c r="E752" i="6" s="1"/>
  <c r="I751" i="4"/>
  <c r="I752" i="6" s="1"/>
  <c r="D751" i="4"/>
  <c r="D752" i="6" s="1"/>
  <c r="H751" i="4"/>
  <c r="H752" i="6" s="1"/>
  <c r="C751" i="4"/>
  <c r="C752" i="6" s="1"/>
  <c r="E755" i="9" l="1"/>
  <c r="Q755" i="9" s="1"/>
  <c r="I755" i="9"/>
  <c r="R755" i="9" s="1"/>
  <c r="F755" i="9"/>
  <c r="U755" i="9"/>
  <c r="G755" i="9"/>
  <c r="N755" i="9" s="1"/>
  <c r="B755" i="9"/>
  <c r="H755" i="9"/>
  <c r="J755" i="9"/>
  <c r="C755" i="9"/>
  <c r="M755" i="9" s="1"/>
  <c r="D755" i="9"/>
  <c r="T754" i="9"/>
  <c r="L754" i="9"/>
  <c r="P754" i="9"/>
  <c r="J752" i="6"/>
  <c r="E752" i="4"/>
  <c r="E753" i="6" s="1"/>
  <c r="F752" i="4"/>
  <c r="F753" i="6" s="1"/>
  <c r="I752" i="4"/>
  <c r="I753" i="6" s="1"/>
  <c r="D752" i="4"/>
  <c r="D753" i="6" s="1"/>
  <c r="A753" i="4"/>
  <c r="A754" i="6" s="1"/>
  <c r="A756" i="9" s="1"/>
  <c r="G752" i="4"/>
  <c r="G753" i="6" s="1"/>
  <c r="C752" i="4"/>
  <c r="C753" i="6" s="1"/>
  <c r="B752" i="4"/>
  <c r="B753" i="6" s="1"/>
  <c r="H752" i="4"/>
  <c r="H753" i="6" s="1"/>
  <c r="P755" i="9" l="1"/>
  <c r="T755" i="9"/>
  <c r="L755" i="9"/>
  <c r="C756" i="9"/>
  <c r="M756" i="9" s="1"/>
  <c r="D756" i="9"/>
  <c r="E756" i="9"/>
  <c r="Q756" i="9" s="1"/>
  <c r="F756" i="9"/>
  <c r="H756" i="9"/>
  <c r="G756" i="9"/>
  <c r="N756" i="9" s="1"/>
  <c r="J756" i="9"/>
  <c r="B756" i="9"/>
  <c r="I756" i="9"/>
  <c r="R756" i="9" s="1"/>
  <c r="U756" i="9"/>
  <c r="J753" i="6"/>
  <c r="D753" i="4"/>
  <c r="D754" i="6" s="1"/>
  <c r="E753" i="4"/>
  <c r="E754" i="6" s="1"/>
  <c r="H753" i="4"/>
  <c r="H754" i="6" s="1"/>
  <c r="I753" i="4"/>
  <c r="I754" i="6" s="1"/>
  <c r="C753" i="4"/>
  <c r="C754" i="6" s="1"/>
  <c r="G753" i="4"/>
  <c r="G754" i="6" s="1"/>
  <c r="A754" i="4"/>
  <c r="A755" i="6" s="1"/>
  <c r="A757" i="9" s="1"/>
  <c r="B753" i="4"/>
  <c r="B754" i="6" s="1"/>
  <c r="F753" i="4"/>
  <c r="F754" i="6" s="1"/>
  <c r="I757" i="9" l="1"/>
  <c r="R757" i="9" s="1"/>
  <c r="B757" i="9"/>
  <c r="J757" i="9"/>
  <c r="U757" i="9"/>
  <c r="C757" i="9"/>
  <c r="M757" i="9" s="1"/>
  <c r="D757" i="9"/>
  <c r="E757" i="9"/>
  <c r="Q757" i="9" s="1"/>
  <c r="F757" i="9"/>
  <c r="G757" i="9"/>
  <c r="N757" i="9" s="1"/>
  <c r="H757" i="9"/>
  <c r="L756" i="9"/>
  <c r="P756" i="9"/>
  <c r="T756" i="9"/>
  <c r="J754" i="6"/>
  <c r="C754" i="4"/>
  <c r="C755" i="6" s="1"/>
  <c r="D754" i="4"/>
  <c r="D755" i="6" s="1"/>
  <c r="G754" i="4"/>
  <c r="G755" i="6" s="1"/>
  <c r="E754" i="4"/>
  <c r="E755" i="6" s="1"/>
  <c r="H754" i="4"/>
  <c r="H755" i="6" s="1"/>
  <c r="I754" i="4"/>
  <c r="I755" i="6" s="1"/>
  <c r="B754" i="4"/>
  <c r="B755" i="6" s="1"/>
  <c r="F754" i="4"/>
  <c r="F755" i="6" s="1"/>
  <c r="A755" i="4"/>
  <c r="A756" i="6" s="1"/>
  <c r="A758" i="9" s="1"/>
  <c r="T757" i="9" l="1"/>
  <c r="L757" i="9"/>
  <c r="P757" i="9"/>
  <c r="G758" i="9"/>
  <c r="N758" i="9" s="1"/>
  <c r="H758" i="9"/>
  <c r="I758" i="9"/>
  <c r="R758" i="9" s="1"/>
  <c r="B758" i="9"/>
  <c r="J758" i="9"/>
  <c r="U758" i="9"/>
  <c r="C758" i="9"/>
  <c r="M758" i="9" s="1"/>
  <c r="D758" i="9"/>
  <c r="F758" i="9"/>
  <c r="E758" i="9"/>
  <c r="Q758" i="9" s="1"/>
  <c r="J755" i="6"/>
  <c r="B755" i="4"/>
  <c r="B756" i="6" s="1"/>
  <c r="A756" i="4"/>
  <c r="A757" i="6" s="1"/>
  <c r="A759" i="9" s="1"/>
  <c r="C755" i="4"/>
  <c r="C756" i="6" s="1"/>
  <c r="F755" i="4"/>
  <c r="F756" i="6" s="1"/>
  <c r="D755" i="4"/>
  <c r="D756" i="6" s="1"/>
  <c r="H755" i="4"/>
  <c r="H756" i="6" s="1"/>
  <c r="I755" i="4"/>
  <c r="I756" i="6" s="1"/>
  <c r="G755" i="4"/>
  <c r="G756" i="6" s="1"/>
  <c r="E755" i="4"/>
  <c r="E756" i="6" s="1"/>
  <c r="T758" i="9" l="1"/>
  <c r="L758" i="9"/>
  <c r="P758" i="9"/>
  <c r="E759" i="9"/>
  <c r="Q759" i="9" s="1"/>
  <c r="F759" i="9"/>
  <c r="G759" i="9"/>
  <c r="N759" i="9" s="1"/>
  <c r="H759" i="9"/>
  <c r="I759" i="9"/>
  <c r="R759" i="9" s="1"/>
  <c r="B759" i="9"/>
  <c r="J759" i="9"/>
  <c r="U759" i="9"/>
  <c r="C759" i="9"/>
  <c r="M759" i="9" s="1"/>
  <c r="D759" i="9"/>
  <c r="J756" i="6"/>
  <c r="I756" i="4"/>
  <c r="I757" i="6" s="1"/>
  <c r="B756" i="4"/>
  <c r="B757" i="6" s="1"/>
  <c r="A757" i="4"/>
  <c r="A758" i="6" s="1"/>
  <c r="A760" i="9" s="1"/>
  <c r="E756" i="4"/>
  <c r="E757" i="6" s="1"/>
  <c r="G756" i="4"/>
  <c r="G757" i="6" s="1"/>
  <c r="C756" i="4"/>
  <c r="C757" i="6" s="1"/>
  <c r="D756" i="4"/>
  <c r="D757" i="6" s="1"/>
  <c r="H756" i="4"/>
  <c r="H757" i="6" s="1"/>
  <c r="F756" i="4"/>
  <c r="F757" i="6" s="1"/>
  <c r="P759" i="9" l="1"/>
  <c r="T759" i="9"/>
  <c r="L759" i="9"/>
  <c r="C760" i="9"/>
  <c r="M760" i="9" s="1"/>
  <c r="D760" i="9"/>
  <c r="E760" i="9"/>
  <c r="Q760" i="9" s="1"/>
  <c r="F760" i="9"/>
  <c r="G760" i="9"/>
  <c r="N760" i="9" s="1"/>
  <c r="H760" i="9"/>
  <c r="U760" i="9"/>
  <c r="B760" i="9"/>
  <c r="I760" i="9"/>
  <c r="R760" i="9" s="1"/>
  <c r="J760" i="9"/>
  <c r="J757" i="6"/>
  <c r="H757" i="4"/>
  <c r="H758" i="6" s="1"/>
  <c r="I757" i="4"/>
  <c r="I758" i="6" s="1"/>
  <c r="D757" i="4"/>
  <c r="D758" i="6" s="1"/>
  <c r="C757" i="4"/>
  <c r="C758" i="6" s="1"/>
  <c r="F757" i="4"/>
  <c r="F758" i="6" s="1"/>
  <c r="B757" i="4"/>
  <c r="B758" i="6" s="1"/>
  <c r="E757" i="4"/>
  <c r="E758" i="6" s="1"/>
  <c r="G757" i="4"/>
  <c r="G758" i="6" s="1"/>
  <c r="A758" i="4"/>
  <c r="A759" i="6" s="1"/>
  <c r="A761" i="9" s="1"/>
  <c r="L760" i="9" l="1"/>
  <c r="P760" i="9"/>
  <c r="T760" i="9"/>
  <c r="I761" i="9"/>
  <c r="R761" i="9" s="1"/>
  <c r="B761" i="9"/>
  <c r="J761" i="9"/>
  <c r="U761" i="9"/>
  <c r="C761" i="9"/>
  <c r="M761" i="9" s="1"/>
  <c r="D761" i="9"/>
  <c r="E761" i="9"/>
  <c r="Q761" i="9" s="1"/>
  <c r="F761" i="9"/>
  <c r="G761" i="9"/>
  <c r="N761" i="9" s="1"/>
  <c r="H761" i="9"/>
  <c r="J758" i="6"/>
  <c r="G758" i="4"/>
  <c r="G759" i="6" s="1"/>
  <c r="H758" i="4"/>
  <c r="H759" i="6" s="1"/>
  <c r="C758" i="4"/>
  <c r="C759" i="6" s="1"/>
  <c r="B758" i="4"/>
  <c r="B759" i="6" s="1"/>
  <c r="F758" i="4"/>
  <c r="F759" i="6" s="1"/>
  <c r="A759" i="4"/>
  <c r="A760" i="6" s="1"/>
  <c r="A762" i="9" s="1"/>
  <c r="D758" i="4"/>
  <c r="D759" i="6" s="1"/>
  <c r="E758" i="4"/>
  <c r="E759" i="6" s="1"/>
  <c r="I758" i="4"/>
  <c r="I759" i="6" s="1"/>
  <c r="T761" i="9" l="1"/>
  <c r="L761" i="9"/>
  <c r="P761" i="9"/>
  <c r="G762" i="9"/>
  <c r="N762" i="9" s="1"/>
  <c r="H762" i="9"/>
  <c r="I762" i="9"/>
  <c r="R762" i="9" s="1"/>
  <c r="B762" i="9"/>
  <c r="J762" i="9"/>
  <c r="U762" i="9"/>
  <c r="C762" i="9"/>
  <c r="M762" i="9" s="1"/>
  <c r="D762" i="9"/>
  <c r="E762" i="9"/>
  <c r="Q762" i="9" s="1"/>
  <c r="F762" i="9"/>
  <c r="J759" i="6"/>
  <c r="F759" i="4"/>
  <c r="F760" i="6" s="1"/>
  <c r="G759" i="4"/>
  <c r="G760" i="6" s="1"/>
  <c r="B759" i="4"/>
  <c r="B760" i="6" s="1"/>
  <c r="A760" i="4"/>
  <c r="A761" i="6" s="1"/>
  <c r="A763" i="9" s="1"/>
  <c r="E759" i="4"/>
  <c r="E760" i="6" s="1"/>
  <c r="D759" i="4"/>
  <c r="D760" i="6" s="1"/>
  <c r="H759" i="4"/>
  <c r="H760" i="6" s="1"/>
  <c r="C759" i="4"/>
  <c r="C760" i="6" s="1"/>
  <c r="I759" i="4"/>
  <c r="I760" i="6" s="1"/>
  <c r="T762" i="9" l="1"/>
  <c r="L762" i="9"/>
  <c r="P762" i="9"/>
  <c r="E763" i="9"/>
  <c r="Q763" i="9" s="1"/>
  <c r="F763" i="9"/>
  <c r="G763" i="9"/>
  <c r="N763" i="9" s="1"/>
  <c r="H763" i="9"/>
  <c r="I763" i="9"/>
  <c r="R763" i="9" s="1"/>
  <c r="B763" i="9"/>
  <c r="J763" i="9"/>
  <c r="U763" i="9"/>
  <c r="C763" i="9"/>
  <c r="M763" i="9" s="1"/>
  <c r="D763" i="9"/>
  <c r="J760" i="6"/>
  <c r="E760" i="4"/>
  <c r="E761" i="6" s="1"/>
  <c r="F760" i="4"/>
  <c r="F761" i="6" s="1"/>
  <c r="I760" i="4"/>
  <c r="I761" i="6" s="1"/>
  <c r="A761" i="4"/>
  <c r="A762" i="6" s="1"/>
  <c r="A764" i="9" s="1"/>
  <c r="B760" i="4"/>
  <c r="B761" i="6" s="1"/>
  <c r="D760" i="4"/>
  <c r="D761" i="6" s="1"/>
  <c r="G760" i="4"/>
  <c r="G761" i="6" s="1"/>
  <c r="H760" i="4"/>
  <c r="H761" i="6" s="1"/>
  <c r="C760" i="4"/>
  <c r="C761" i="6" s="1"/>
  <c r="C764" i="9" l="1"/>
  <c r="M764" i="9" s="1"/>
  <c r="D764" i="9"/>
  <c r="E764" i="9"/>
  <c r="Q764" i="9" s="1"/>
  <c r="F764" i="9"/>
  <c r="G764" i="9"/>
  <c r="N764" i="9" s="1"/>
  <c r="H764" i="9"/>
  <c r="I764" i="9"/>
  <c r="R764" i="9" s="1"/>
  <c r="J764" i="9"/>
  <c r="U764" i="9"/>
  <c r="B764" i="9"/>
  <c r="P763" i="9"/>
  <c r="T763" i="9"/>
  <c r="L763" i="9"/>
  <c r="J761" i="6"/>
  <c r="D761" i="4"/>
  <c r="D762" i="6" s="1"/>
  <c r="E761" i="4"/>
  <c r="E762" i="6" s="1"/>
  <c r="H761" i="4"/>
  <c r="H762" i="6" s="1"/>
  <c r="F761" i="4"/>
  <c r="F762" i="6" s="1"/>
  <c r="I761" i="4"/>
  <c r="I762" i="6" s="1"/>
  <c r="G761" i="4"/>
  <c r="G762" i="6" s="1"/>
  <c r="B761" i="4"/>
  <c r="B762" i="6" s="1"/>
  <c r="C761" i="4"/>
  <c r="C762" i="6" s="1"/>
  <c r="A762" i="4"/>
  <c r="A763" i="6" s="1"/>
  <c r="A765" i="9" s="1"/>
  <c r="L764" i="9" l="1"/>
  <c r="P764" i="9"/>
  <c r="T764" i="9"/>
  <c r="I765" i="9"/>
  <c r="R765" i="9" s="1"/>
  <c r="B765" i="9"/>
  <c r="J765" i="9"/>
  <c r="U765" i="9"/>
  <c r="C765" i="9"/>
  <c r="M765" i="9" s="1"/>
  <c r="D765" i="9"/>
  <c r="E765" i="9"/>
  <c r="Q765" i="9" s="1"/>
  <c r="F765" i="9"/>
  <c r="G765" i="9"/>
  <c r="N765" i="9" s="1"/>
  <c r="H765" i="9"/>
  <c r="J762" i="6"/>
  <c r="C762" i="4"/>
  <c r="C763" i="6" s="1"/>
  <c r="D762" i="4"/>
  <c r="D763" i="6" s="1"/>
  <c r="G762" i="4"/>
  <c r="G763" i="6" s="1"/>
  <c r="E762" i="4"/>
  <c r="E763" i="6" s="1"/>
  <c r="I762" i="4"/>
  <c r="I763" i="6" s="1"/>
  <c r="H762" i="4"/>
  <c r="H763" i="6" s="1"/>
  <c r="A763" i="4"/>
  <c r="A764" i="6" s="1"/>
  <c r="A766" i="9" s="1"/>
  <c r="F762" i="4"/>
  <c r="F763" i="6" s="1"/>
  <c r="B762" i="4"/>
  <c r="B763" i="6" s="1"/>
  <c r="T765" i="9" l="1"/>
  <c r="L765" i="9"/>
  <c r="P765" i="9"/>
  <c r="G766" i="9"/>
  <c r="N766" i="9" s="1"/>
  <c r="H766" i="9"/>
  <c r="I766" i="9"/>
  <c r="R766" i="9" s="1"/>
  <c r="B766" i="9"/>
  <c r="J766" i="9"/>
  <c r="U766" i="9"/>
  <c r="C766" i="9"/>
  <c r="M766" i="9" s="1"/>
  <c r="D766" i="9"/>
  <c r="E766" i="9"/>
  <c r="Q766" i="9" s="1"/>
  <c r="F766" i="9"/>
  <c r="J763" i="6"/>
  <c r="B763" i="4"/>
  <c r="B764" i="6" s="1"/>
  <c r="A764" i="4"/>
  <c r="A765" i="6" s="1"/>
  <c r="A767" i="9" s="1"/>
  <c r="C763" i="4"/>
  <c r="C764" i="6" s="1"/>
  <c r="F763" i="4"/>
  <c r="F764" i="6" s="1"/>
  <c r="H763" i="4"/>
  <c r="H764" i="6" s="1"/>
  <c r="D763" i="4"/>
  <c r="D764" i="6" s="1"/>
  <c r="I763" i="4"/>
  <c r="I764" i="6" s="1"/>
  <c r="E763" i="4"/>
  <c r="E764" i="6" s="1"/>
  <c r="G763" i="4"/>
  <c r="G764" i="6" s="1"/>
  <c r="T766" i="9" l="1"/>
  <c r="L766" i="9"/>
  <c r="P766" i="9"/>
  <c r="E767" i="9"/>
  <c r="Q767" i="9" s="1"/>
  <c r="F767" i="9"/>
  <c r="G767" i="9"/>
  <c r="N767" i="9" s="1"/>
  <c r="H767" i="9"/>
  <c r="I767" i="9"/>
  <c r="R767" i="9" s="1"/>
  <c r="B767" i="9"/>
  <c r="J767" i="9"/>
  <c r="U767" i="9"/>
  <c r="D767" i="9"/>
  <c r="C767" i="9"/>
  <c r="M767" i="9" s="1"/>
  <c r="J764" i="6"/>
  <c r="I764" i="4"/>
  <c r="I765" i="6" s="1"/>
  <c r="B764" i="4"/>
  <c r="B765" i="6" s="1"/>
  <c r="A765" i="4"/>
  <c r="A766" i="6" s="1"/>
  <c r="A768" i="9" s="1"/>
  <c r="E764" i="4"/>
  <c r="E765" i="6" s="1"/>
  <c r="D764" i="4"/>
  <c r="D765" i="6" s="1"/>
  <c r="G764" i="4"/>
  <c r="G765" i="6" s="1"/>
  <c r="C764" i="4"/>
  <c r="C765" i="6" s="1"/>
  <c r="F764" i="4"/>
  <c r="F765" i="6" s="1"/>
  <c r="H764" i="4"/>
  <c r="H765" i="6" s="1"/>
  <c r="P767" i="9" l="1"/>
  <c r="T767" i="9"/>
  <c r="L767" i="9"/>
  <c r="C768" i="9"/>
  <c r="M768" i="9" s="1"/>
  <c r="D768" i="9"/>
  <c r="E768" i="9"/>
  <c r="Q768" i="9" s="1"/>
  <c r="F768" i="9"/>
  <c r="G768" i="9"/>
  <c r="N768" i="9" s="1"/>
  <c r="H768" i="9"/>
  <c r="B768" i="9"/>
  <c r="I768" i="9"/>
  <c r="R768" i="9" s="1"/>
  <c r="J768" i="9"/>
  <c r="U768" i="9"/>
  <c r="J765" i="6"/>
  <c r="H765" i="4"/>
  <c r="H766" i="6" s="1"/>
  <c r="I765" i="4"/>
  <c r="I766" i="6" s="1"/>
  <c r="D765" i="4"/>
  <c r="D766" i="6" s="1"/>
  <c r="C765" i="4"/>
  <c r="C766" i="6" s="1"/>
  <c r="G765" i="4"/>
  <c r="G766" i="6" s="1"/>
  <c r="B765" i="4"/>
  <c r="B766" i="6" s="1"/>
  <c r="E765" i="4"/>
  <c r="E766" i="6" s="1"/>
  <c r="A766" i="4"/>
  <c r="A767" i="6" s="1"/>
  <c r="A769" i="9" s="1"/>
  <c r="F765" i="4"/>
  <c r="F766" i="6" s="1"/>
  <c r="I769" i="9" l="1"/>
  <c r="R769" i="9" s="1"/>
  <c r="B769" i="9"/>
  <c r="J769" i="9"/>
  <c r="U769" i="9"/>
  <c r="C769" i="9"/>
  <c r="M769" i="9" s="1"/>
  <c r="D769" i="9"/>
  <c r="E769" i="9"/>
  <c r="Q769" i="9" s="1"/>
  <c r="F769" i="9"/>
  <c r="G769" i="9"/>
  <c r="N769" i="9" s="1"/>
  <c r="H769" i="9"/>
  <c r="L768" i="9"/>
  <c r="P768" i="9"/>
  <c r="T768" i="9"/>
  <c r="J766" i="6"/>
  <c r="G766" i="4"/>
  <c r="G767" i="6" s="1"/>
  <c r="H766" i="4"/>
  <c r="H767" i="6" s="1"/>
  <c r="C766" i="4"/>
  <c r="C767" i="6" s="1"/>
  <c r="F766" i="4"/>
  <c r="F767" i="6" s="1"/>
  <c r="B766" i="4"/>
  <c r="B767" i="6" s="1"/>
  <c r="D766" i="4"/>
  <c r="D767" i="6" s="1"/>
  <c r="I766" i="4"/>
  <c r="I767" i="6" s="1"/>
  <c r="E766" i="4"/>
  <c r="E767" i="6" s="1"/>
  <c r="A767" i="4"/>
  <c r="A768" i="6" s="1"/>
  <c r="A770" i="9" s="1"/>
  <c r="G770" i="9" l="1"/>
  <c r="N770" i="9" s="1"/>
  <c r="H770" i="9"/>
  <c r="I770" i="9"/>
  <c r="R770" i="9" s="1"/>
  <c r="B770" i="9"/>
  <c r="J770" i="9"/>
  <c r="U770" i="9"/>
  <c r="C770" i="9"/>
  <c r="M770" i="9" s="1"/>
  <c r="D770" i="9"/>
  <c r="E770" i="9"/>
  <c r="Q770" i="9" s="1"/>
  <c r="F770" i="9"/>
  <c r="T769" i="9"/>
  <c r="L769" i="9"/>
  <c r="P769" i="9"/>
  <c r="J767" i="6"/>
  <c r="F767" i="4"/>
  <c r="F768" i="6" s="1"/>
  <c r="G767" i="4"/>
  <c r="G768" i="6" s="1"/>
  <c r="B767" i="4"/>
  <c r="B768" i="6" s="1"/>
  <c r="A768" i="4"/>
  <c r="A769" i="6" s="1"/>
  <c r="A771" i="9" s="1"/>
  <c r="C767" i="4"/>
  <c r="C768" i="6" s="1"/>
  <c r="E767" i="4"/>
  <c r="E768" i="6" s="1"/>
  <c r="D767" i="4"/>
  <c r="D768" i="6" s="1"/>
  <c r="H767" i="4"/>
  <c r="H768" i="6" s="1"/>
  <c r="I767" i="4"/>
  <c r="I768" i="6" s="1"/>
  <c r="T770" i="9" l="1"/>
  <c r="L770" i="9"/>
  <c r="P770" i="9"/>
  <c r="E771" i="9"/>
  <c r="Q771" i="9" s="1"/>
  <c r="F771" i="9"/>
  <c r="G771" i="9"/>
  <c r="N771" i="9" s="1"/>
  <c r="H771" i="9"/>
  <c r="I771" i="9"/>
  <c r="R771" i="9" s="1"/>
  <c r="B771" i="9"/>
  <c r="J771" i="9"/>
  <c r="U771" i="9"/>
  <c r="C771" i="9"/>
  <c r="M771" i="9" s="1"/>
  <c r="D771" i="9"/>
  <c r="J768" i="6"/>
  <c r="E768" i="4"/>
  <c r="E769" i="6" s="1"/>
  <c r="F768" i="4"/>
  <c r="F769" i="6" s="1"/>
  <c r="I768" i="4"/>
  <c r="I769" i="6" s="1"/>
  <c r="B768" i="4"/>
  <c r="B769" i="6" s="1"/>
  <c r="G768" i="4"/>
  <c r="G769" i="6" s="1"/>
  <c r="A769" i="4"/>
  <c r="A770" i="6" s="1"/>
  <c r="A772" i="9" s="1"/>
  <c r="D768" i="4"/>
  <c r="D769" i="6" s="1"/>
  <c r="C768" i="4"/>
  <c r="C769" i="6" s="1"/>
  <c r="H768" i="4"/>
  <c r="H769" i="6" s="1"/>
  <c r="P771" i="9" l="1"/>
  <c r="T771" i="9"/>
  <c r="L771" i="9"/>
  <c r="C772" i="9"/>
  <c r="M772" i="9" s="1"/>
  <c r="D772" i="9"/>
  <c r="E772" i="9"/>
  <c r="Q772" i="9" s="1"/>
  <c r="F772" i="9"/>
  <c r="G772" i="9"/>
  <c r="N772" i="9" s="1"/>
  <c r="H772" i="9"/>
  <c r="B772" i="9"/>
  <c r="J772" i="9"/>
  <c r="U772" i="9"/>
  <c r="I772" i="9"/>
  <c r="R772" i="9" s="1"/>
  <c r="J769" i="6"/>
  <c r="D769" i="4"/>
  <c r="D770" i="6" s="1"/>
  <c r="E769" i="4"/>
  <c r="E770" i="6" s="1"/>
  <c r="H769" i="4"/>
  <c r="H770" i="6" s="1"/>
  <c r="F769" i="4"/>
  <c r="F770" i="6" s="1"/>
  <c r="A770" i="4"/>
  <c r="A771" i="6" s="1"/>
  <c r="A773" i="9" s="1"/>
  <c r="G769" i="4"/>
  <c r="G770" i="6" s="1"/>
  <c r="I769" i="4"/>
  <c r="I770" i="6" s="1"/>
  <c r="C769" i="4"/>
  <c r="C770" i="6" s="1"/>
  <c r="B769" i="4"/>
  <c r="B770" i="6" s="1"/>
  <c r="I773" i="9" l="1"/>
  <c r="R773" i="9" s="1"/>
  <c r="B773" i="9"/>
  <c r="J773" i="9"/>
  <c r="U773" i="9"/>
  <c r="C773" i="9"/>
  <c r="M773" i="9" s="1"/>
  <c r="D773" i="9"/>
  <c r="E773" i="9"/>
  <c r="Q773" i="9" s="1"/>
  <c r="F773" i="9"/>
  <c r="G773" i="9"/>
  <c r="N773" i="9" s="1"/>
  <c r="H773" i="9"/>
  <c r="L772" i="9"/>
  <c r="P772" i="9"/>
  <c r="T772" i="9"/>
  <c r="J770" i="6"/>
  <c r="C770" i="4"/>
  <c r="C771" i="6" s="1"/>
  <c r="D770" i="4"/>
  <c r="D771" i="6" s="1"/>
  <c r="G770" i="4"/>
  <c r="G771" i="6" s="1"/>
  <c r="I770" i="4"/>
  <c r="I771" i="6" s="1"/>
  <c r="E770" i="4"/>
  <c r="E771" i="6" s="1"/>
  <c r="H770" i="4"/>
  <c r="H771" i="6" s="1"/>
  <c r="F770" i="4"/>
  <c r="F771" i="6" s="1"/>
  <c r="B770" i="4"/>
  <c r="B771" i="6" s="1"/>
  <c r="A771" i="4"/>
  <c r="A772" i="6" s="1"/>
  <c r="A774" i="9" s="1"/>
  <c r="G774" i="9" l="1"/>
  <c r="N774" i="9" s="1"/>
  <c r="H774" i="9"/>
  <c r="I774" i="9"/>
  <c r="R774" i="9" s="1"/>
  <c r="B774" i="9"/>
  <c r="J774" i="9"/>
  <c r="U774" i="9"/>
  <c r="C774" i="9"/>
  <c r="M774" i="9" s="1"/>
  <c r="D774" i="9"/>
  <c r="F774" i="9"/>
  <c r="E774" i="9"/>
  <c r="Q774" i="9" s="1"/>
  <c r="T773" i="9"/>
  <c r="L773" i="9"/>
  <c r="P773" i="9"/>
  <c r="J771" i="6"/>
  <c r="B771" i="4"/>
  <c r="B772" i="6" s="1"/>
  <c r="A772" i="4"/>
  <c r="A773" i="6" s="1"/>
  <c r="A775" i="9" s="1"/>
  <c r="C771" i="4"/>
  <c r="C772" i="6" s="1"/>
  <c r="F771" i="4"/>
  <c r="F772" i="6" s="1"/>
  <c r="E771" i="4"/>
  <c r="E772" i="6" s="1"/>
  <c r="H771" i="4"/>
  <c r="H772" i="6" s="1"/>
  <c r="I771" i="4"/>
  <c r="I772" i="6" s="1"/>
  <c r="D771" i="4"/>
  <c r="D772" i="6" s="1"/>
  <c r="G771" i="4"/>
  <c r="G772" i="6" s="1"/>
  <c r="E775" i="9" l="1"/>
  <c r="Q775" i="9" s="1"/>
  <c r="F775" i="9"/>
  <c r="G775" i="9"/>
  <c r="N775" i="9" s="1"/>
  <c r="H775" i="9"/>
  <c r="I775" i="9"/>
  <c r="R775" i="9" s="1"/>
  <c r="B775" i="9"/>
  <c r="J775" i="9"/>
  <c r="U775" i="9"/>
  <c r="C775" i="9"/>
  <c r="M775" i="9" s="1"/>
  <c r="D775" i="9"/>
  <c r="T774" i="9"/>
  <c r="L774" i="9"/>
  <c r="P774" i="9"/>
  <c r="J772" i="6"/>
  <c r="I772" i="4"/>
  <c r="I773" i="6" s="1"/>
  <c r="B772" i="4"/>
  <c r="B773" i="6" s="1"/>
  <c r="A773" i="4"/>
  <c r="A774" i="6" s="1"/>
  <c r="A776" i="9" s="1"/>
  <c r="E772" i="4"/>
  <c r="E773" i="6" s="1"/>
  <c r="D772" i="4"/>
  <c r="D773" i="6" s="1"/>
  <c r="H772" i="4"/>
  <c r="H773" i="6" s="1"/>
  <c r="C772" i="4"/>
  <c r="C773" i="6" s="1"/>
  <c r="F772" i="4"/>
  <c r="F773" i="6" s="1"/>
  <c r="G772" i="4"/>
  <c r="G773" i="6" s="1"/>
  <c r="P775" i="9" l="1"/>
  <c r="T775" i="9"/>
  <c r="L775" i="9"/>
  <c r="C776" i="9"/>
  <c r="M776" i="9" s="1"/>
  <c r="D776" i="9"/>
  <c r="E776" i="9"/>
  <c r="Q776" i="9" s="1"/>
  <c r="F776" i="9"/>
  <c r="G776" i="9"/>
  <c r="N776" i="9" s="1"/>
  <c r="H776" i="9"/>
  <c r="U776" i="9"/>
  <c r="B776" i="9"/>
  <c r="I776" i="9"/>
  <c r="R776" i="9" s="1"/>
  <c r="J776" i="9"/>
  <c r="J773" i="6"/>
  <c r="H773" i="4"/>
  <c r="H774" i="6" s="1"/>
  <c r="I773" i="4"/>
  <c r="I774" i="6" s="1"/>
  <c r="D773" i="4"/>
  <c r="D774" i="6" s="1"/>
  <c r="G773" i="4"/>
  <c r="G774" i="6" s="1"/>
  <c r="C773" i="4"/>
  <c r="C774" i="6" s="1"/>
  <c r="B773" i="4"/>
  <c r="B774" i="6" s="1"/>
  <c r="A774" i="4"/>
  <c r="A775" i="6" s="1"/>
  <c r="A777" i="9" s="1"/>
  <c r="F773" i="4"/>
  <c r="F774" i="6" s="1"/>
  <c r="E773" i="4"/>
  <c r="E774" i="6" s="1"/>
  <c r="I777" i="9" l="1"/>
  <c r="R777" i="9" s="1"/>
  <c r="B777" i="9"/>
  <c r="J777" i="9"/>
  <c r="U777" i="9"/>
  <c r="C777" i="9"/>
  <c r="M777" i="9" s="1"/>
  <c r="D777" i="9"/>
  <c r="E777" i="9"/>
  <c r="Q777" i="9" s="1"/>
  <c r="F777" i="9"/>
  <c r="G777" i="9"/>
  <c r="N777" i="9" s="1"/>
  <c r="H777" i="9"/>
  <c r="L776" i="9"/>
  <c r="P776" i="9"/>
  <c r="T776" i="9"/>
  <c r="J774" i="6"/>
  <c r="G774" i="4"/>
  <c r="G775" i="6" s="1"/>
  <c r="H774" i="4"/>
  <c r="H775" i="6" s="1"/>
  <c r="C774" i="4"/>
  <c r="C775" i="6" s="1"/>
  <c r="D774" i="4"/>
  <c r="D775" i="6" s="1"/>
  <c r="F774" i="4"/>
  <c r="F775" i="6" s="1"/>
  <c r="B774" i="4"/>
  <c r="B775" i="6" s="1"/>
  <c r="E774" i="4"/>
  <c r="E775" i="6" s="1"/>
  <c r="A775" i="4"/>
  <c r="A776" i="6" s="1"/>
  <c r="A778" i="9" s="1"/>
  <c r="I774" i="4"/>
  <c r="I775" i="6" s="1"/>
  <c r="G778" i="9" l="1"/>
  <c r="N778" i="9" s="1"/>
  <c r="H778" i="9"/>
  <c r="I778" i="9"/>
  <c r="R778" i="9" s="1"/>
  <c r="B778" i="9"/>
  <c r="J778" i="9"/>
  <c r="U778" i="9"/>
  <c r="C778" i="9"/>
  <c r="M778" i="9" s="1"/>
  <c r="D778" i="9"/>
  <c r="E778" i="9"/>
  <c r="Q778" i="9" s="1"/>
  <c r="F778" i="9"/>
  <c r="T777" i="9"/>
  <c r="L777" i="9"/>
  <c r="P777" i="9"/>
  <c r="J775" i="6"/>
  <c r="F775" i="4"/>
  <c r="F776" i="6" s="1"/>
  <c r="G775" i="4"/>
  <c r="G776" i="6" s="1"/>
  <c r="B775" i="4"/>
  <c r="B776" i="6" s="1"/>
  <c r="A776" i="4"/>
  <c r="A777" i="6" s="1"/>
  <c r="A779" i="9" s="1"/>
  <c r="C775" i="4"/>
  <c r="C776" i="6" s="1"/>
  <c r="H775" i="4"/>
  <c r="H776" i="6" s="1"/>
  <c r="D775" i="4"/>
  <c r="D776" i="6" s="1"/>
  <c r="E775" i="4"/>
  <c r="E776" i="6" s="1"/>
  <c r="I775" i="4"/>
  <c r="I776" i="6" s="1"/>
  <c r="T778" i="9" l="1"/>
  <c r="L778" i="9"/>
  <c r="P778" i="9"/>
  <c r="E779" i="9"/>
  <c r="Q779" i="9" s="1"/>
  <c r="F779" i="9"/>
  <c r="G779" i="9"/>
  <c r="N779" i="9" s="1"/>
  <c r="H779" i="9"/>
  <c r="I779" i="9"/>
  <c r="R779" i="9" s="1"/>
  <c r="B779" i="9"/>
  <c r="J779" i="9"/>
  <c r="U779" i="9"/>
  <c r="C779" i="9"/>
  <c r="M779" i="9" s="1"/>
  <c r="D779" i="9"/>
  <c r="J776" i="6"/>
  <c r="E776" i="4"/>
  <c r="E777" i="6" s="1"/>
  <c r="F776" i="4"/>
  <c r="F777" i="6" s="1"/>
  <c r="I776" i="4"/>
  <c r="I777" i="6" s="1"/>
  <c r="G776" i="4"/>
  <c r="G777" i="6" s="1"/>
  <c r="B776" i="4"/>
  <c r="B777" i="6" s="1"/>
  <c r="D776" i="4"/>
  <c r="D777" i="6" s="1"/>
  <c r="H776" i="4"/>
  <c r="H777" i="6" s="1"/>
  <c r="C776" i="4"/>
  <c r="C777" i="6" s="1"/>
  <c r="A777" i="4"/>
  <c r="A778" i="6" s="1"/>
  <c r="A780" i="9" s="1"/>
  <c r="C780" i="9" l="1"/>
  <c r="M780" i="9" s="1"/>
  <c r="D780" i="9"/>
  <c r="E780" i="9"/>
  <c r="Q780" i="9" s="1"/>
  <c r="F780" i="9"/>
  <c r="G780" i="9"/>
  <c r="N780" i="9" s="1"/>
  <c r="H780" i="9"/>
  <c r="I780" i="9"/>
  <c r="R780" i="9" s="1"/>
  <c r="J780" i="9"/>
  <c r="U780" i="9"/>
  <c r="B780" i="9"/>
  <c r="P779" i="9"/>
  <c r="T779" i="9"/>
  <c r="L779" i="9"/>
  <c r="J777" i="6"/>
  <c r="D777" i="4"/>
  <c r="D778" i="6" s="1"/>
  <c r="E777" i="4"/>
  <c r="E778" i="6" s="1"/>
  <c r="H777" i="4"/>
  <c r="H778" i="6" s="1"/>
  <c r="A778" i="4"/>
  <c r="A779" i="6" s="1"/>
  <c r="A781" i="9" s="1"/>
  <c r="B777" i="4"/>
  <c r="B778" i="6" s="1"/>
  <c r="F777" i="4"/>
  <c r="F778" i="6" s="1"/>
  <c r="G777" i="4"/>
  <c r="G778" i="6" s="1"/>
  <c r="I777" i="4"/>
  <c r="I778" i="6" s="1"/>
  <c r="C777" i="4"/>
  <c r="C778" i="6" s="1"/>
  <c r="L780" i="9" l="1"/>
  <c r="P780" i="9"/>
  <c r="T780" i="9"/>
  <c r="I781" i="9"/>
  <c r="R781" i="9" s="1"/>
  <c r="B781" i="9"/>
  <c r="J781" i="9"/>
  <c r="U781" i="9"/>
  <c r="C781" i="9"/>
  <c r="M781" i="9" s="1"/>
  <c r="D781" i="9"/>
  <c r="E781" i="9"/>
  <c r="Q781" i="9" s="1"/>
  <c r="F781" i="9"/>
  <c r="H781" i="9"/>
  <c r="G781" i="9"/>
  <c r="N781" i="9" s="1"/>
  <c r="J778" i="6"/>
  <c r="C778" i="4"/>
  <c r="C779" i="6" s="1"/>
  <c r="D778" i="4"/>
  <c r="D779" i="6" s="1"/>
  <c r="G778" i="4"/>
  <c r="G779" i="6" s="1"/>
  <c r="F778" i="4"/>
  <c r="F779" i="6" s="1"/>
  <c r="I778" i="4"/>
  <c r="I779" i="6" s="1"/>
  <c r="H778" i="4"/>
  <c r="H779" i="6" s="1"/>
  <c r="A779" i="4"/>
  <c r="A780" i="6" s="1"/>
  <c r="A782" i="9" s="1"/>
  <c r="E778" i="4"/>
  <c r="E779" i="6" s="1"/>
  <c r="B778" i="4"/>
  <c r="B779" i="6" s="1"/>
  <c r="T781" i="9" l="1"/>
  <c r="L781" i="9"/>
  <c r="P781" i="9"/>
  <c r="G782" i="9"/>
  <c r="N782" i="9" s="1"/>
  <c r="H782" i="9"/>
  <c r="I782" i="9"/>
  <c r="R782" i="9" s="1"/>
  <c r="B782" i="9"/>
  <c r="J782" i="9"/>
  <c r="U782" i="9"/>
  <c r="C782" i="9"/>
  <c r="M782" i="9" s="1"/>
  <c r="D782" i="9"/>
  <c r="E782" i="9"/>
  <c r="Q782" i="9" s="1"/>
  <c r="F782" i="9"/>
  <c r="J779" i="6"/>
  <c r="B779" i="4"/>
  <c r="B780" i="6" s="1"/>
  <c r="A780" i="4"/>
  <c r="A781" i="6" s="1"/>
  <c r="A783" i="9" s="1"/>
  <c r="C779" i="4"/>
  <c r="C780" i="6" s="1"/>
  <c r="F779" i="4"/>
  <c r="F780" i="6" s="1"/>
  <c r="E779" i="4"/>
  <c r="E780" i="6" s="1"/>
  <c r="I779" i="4"/>
  <c r="I780" i="6" s="1"/>
  <c r="H779" i="4"/>
  <c r="H780" i="6" s="1"/>
  <c r="D779" i="4"/>
  <c r="D780" i="6" s="1"/>
  <c r="G779" i="4"/>
  <c r="G780" i="6" s="1"/>
  <c r="T782" i="9" l="1"/>
  <c r="L782" i="9"/>
  <c r="P782" i="9"/>
  <c r="E783" i="9"/>
  <c r="Q783" i="9" s="1"/>
  <c r="F783" i="9"/>
  <c r="G783" i="9"/>
  <c r="N783" i="9" s="1"/>
  <c r="H783" i="9"/>
  <c r="I783" i="9"/>
  <c r="R783" i="9" s="1"/>
  <c r="B783" i="9"/>
  <c r="J783" i="9"/>
  <c r="U783" i="9"/>
  <c r="D783" i="9"/>
  <c r="C783" i="9"/>
  <c r="M783" i="9" s="1"/>
  <c r="J780" i="6"/>
  <c r="I780" i="4"/>
  <c r="I781" i="6" s="1"/>
  <c r="B780" i="4"/>
  <c r="B781" i="6" s="1"/>
  <c r="A781" i="4"/>
  <c r="A782" i="6" s="1"/>
  <c r="A784" i="9" s="1"/>
  <c r="E780" i="4"/>
  <c r="E781" i="6" s="1"/>
  <c r="H780" i="4"/>
  <c r="H781" i="6" s="1"/>
  <c r="D780" i="4"/>
  <c r="D781" i="6" s="1"/>
  <c r="G780" i="4"/>
  <c r="G781" i="6" s="1"/>
  <c r="C780" i="4"/>
  <c r="C781" i="6" s="1"/>
  <c r="F780" i="4"/>
  <c r="F781" i="6" s="1"/>
  <c r="P783" i="9" l="1"/>
  <c r="T783" i="9"/>
  <c r="L783" i="9"/>
  <c r="C784" i="9"/>
  <c r="M784" i="9" s="1"/>
  <c r="D784" i="9"/>
  <c r="E784" i="9"/>
  <c r="Q784" i="9" s="1"/>
  <c r="F784" i="9"/>
  <c r="G784" i="9"/>
  <c r="N784" i="9" s="1"/>
  <c r="H784" i="9"/>
  <c r="B784" i="9"/>
  <c r="I784" i="9"/>
  <c r="R784" i="9" s="1"/>
  <c r="J784" i="9"/>
  <c r="U784" i="9"/>
  <c r="J781" i="6"/>
  <c r="H781" i="4"/>
  <c r="H782" i="6" s="1"/>
  <c r="I781" i="4"/>
  <c r="I782" i="6" s="1"/>
  <c r="D781" i="4"/>
  <c r="D782" i="6" s="1"/>
  <c r="E781" i="4"/>
  <c r="E782" i="6" s="1"/>
  <c r="G781" i="4"/>
  <c r="G782" i="6" s="1"/>
  <c r="B781" i="4"/>
  <c r="B782" i="6" s="1"/>
  <c r="C781" i="4"/>
  <c r="C782" i="6" s="1"/>
  <c r="F781" i="4"/>
  <c r="F782" i="6" s="1"/>
  <c r="A782" i="4"/>
  <c r="A783" i="6" s="1"/>
  <c r="A785" i="9" s="1"/>
  <c r="L784" i="9" l="1"/>
  <c r="P784" i="9"/>
  <c r="T784" i="9"/>
  <c r="I785" i="9"/>
  <c r="R785" i="9" s="1"/>
  <c r="B785" i="9"/>
  <c r="J785" i="9"/>
  <c r="U785" i="9"/>
  <c r="C785" i="9"/>
  <c r="M785" i="9" s="1"/>
  <c r="D785" i="9"/>
  <c r="E785" i="9"/>
  <c r="Q785" i="9" s="1"/>
  <c r="F785" i="9"/>
  <c r="G785" i="9"/>
  <c r="N785" i="9" s="1"/>
  <c r="H785" i="9"/>
  <c r="J782" i="6"/>
  <c r="G782" i="4"/>
  <c r="G783" i="6" s="1"/>
  <c r="H782" i="4"/>
  <c r="H783" i="6" s="1"/>
  <c r="C782" i="4"/>
  <c r="C783" i="6" s="1"/>
  <c r="D782" i="4"/>
  <c r="D783" i="6" s="1"/>
  <c r="I782" i="4"/>
  <c r="I783" i="6" s="1"/>
  <c r="B782" i="4"/>
  <c r="B783" i="6" s="1"/>
  <c r="E782" i="4"/>
  <c r="E783" i="6" s="1"/>
  <c r="F782" i="4"/>
  <c r="F783" i="6" s="1"/>
  <c r="A783" i="4"/>
  <c r="A784" i="6" s="1"/>
  <c r="A786" i="9" s="1"/>
  <c r="G786" i="9" l="1"/>
  <c r="N786" i="9" s="1"/>
  <c r="H786" i="9"/>
  <c r="I786" i="9"/>
  <c r="R786" i="9" s="1"/>
  <c r="B786" i="9"/>
  <c r="J786" i="9"/>
  <c r="U786" i="9"/>
  <c r="C786" i="9"/>
  <c r="M786" i="9" s="1"/>
  <c r="D786" i="9"/>
  <c r="E786" i="9"/>
  <c r="Q786" i="9" s="1"/>
  <c r="F786" i="9"/>
  <c r="T785" i="9"/>
  <c r="L785" i="9"/>
  <c r="P785" i="9"/>
  <c r="J783" i="6"/>
  <c r="F783" i="4"/>
  <c r="F784" i="6" s="1"/>
  <c r="G783" i="4"/>
  <c r="G784" i="6" s="1"/>
  <c r="B783" i="4"/>
  <c r="B784" i="6" s="1"/>
  <c r="A784" i="4"/>
  <c r="A785" i="6" s="1"/>
  <c r="A787" i="9" s="1"/>
  <c r="H783" i="4"/>
  <c r="H784" i="6" s="1"/>
  <c r="C783" i="4"/>
  <c r="C784" i="6" s="1"/>
  <c r="D783" i="4"/>
  <c r="D784" i="6" s="1"/>
  <c r="E783" i="4"/>
  <c r="E784" i="6" s="1"/>
  <c r="I783" i="4"/>
  <c r="I784" i="6" s="1"/>
  <c r="T786" i="9" l="1"/>
  <c r="L786" i="9"/>
  <c r="P786" i="9"/>
  <c r="E787" i="9"/>
  <c r="Q787" i="9" s="1"/>
  <c r="F787" i="9"/>
  <c r="G787" i="9"/>
  <c r="N787" i="9" s="1"/>
  <c r="H787" i="9"/>
  <c r="I787" i="9"/>
  <c r="R787" i="9" s="1"/>
  <c r="B787" i="9"/>
  <c r="J787" i="9"/>
  <c r="U787" i="9"/>
  <c r="C787" i="9"/>
  <c r="M787" i="9" s="1"/>
  <c r="D787" i="9"/>
  <c r="J784" i="6"/>
  <c r="E784" i="4"/>
  <c r="E785" i="6" s="1"/>
  <c r="F784" i="4"/>
  <c r="F785" i="6" s="1"/>
  <c r="I784" i="4"/>
  <c r="I785" i="6" s="1"/>
  <c r="C784" i="4"/>
  <c r="C785" i="6" s="1"/>
  <c r="G784" i="4"/>
  <c r="G785" i="6" s="1"/>
  <c r="D784" i="4"/>
  <c r="D785" i="6" s="1"/>
  <c r="A785" i="4"/>
  <c r="A786" i="6" s="1"/>
  <c r="A788" i="9" s="1"/>
  <c r="H784" i="4"/>
  <c r="H785" i="6" s="1"/>
  <c r="B784" i="4"/>
  <c r="B785" i="6" s="1"/>
  <c r="C788" i="9" l="1"/>
  <c r="M788" i="9" s="1"/>
  <c r="D788" i="9"/>
  <c r="E788" i="9"/>
  <c r="Q788" i="9" s="1"/>
  <c r="F788" i="9"/>
  <c r="G788" i="9"/>
  <c r="N788" i="9" s="1"/>
  <c r="H788" i="9"/>
  <c r="B788" i="9"/>
  <c r="J788" i="9"/>
  <c r="I788" i="9"/>
  <c r="R788" i="9" s="1"/>
  <c r="U788" i="9"/>
  <c r="P787" i="9"/>
  <c r="T787" i="9"/>
  <c r="L787" i="9"/>
  <c r="J785" i="6"/>
  <c r="D785" i="4"/>
  <c r="D786" i="6" s="1"/>
  <c r="E785" i="4"/>
  <c r="E786" i="6" s="1"/>
  <c r="H785" i="4"/>
  <c r="H786" i="6" s="1"/>
  <c r="B785" i="4"/>
  <c r="B786" i="6" s="1"/>
  <c r="G785" i="4"/>
  <c r="G786" i="6" s="1"/>
  <c r="A786" i="4"/>
  <c r="A787" i="6" s="1"/>
  <c r="A789" i="9" s="1"/>
  <c r="F785" i="4"/>
  <c r="F786" i="6" s="1"/>
  <c r="I785" i="4"/>
  <c r="I786" i="6" s="1"/>
  <c r="C785" i="4"/>
  <c r="C786" i="6" s="1"/>
  <c r="L788" i="9" l="1"/>
  <c r="P788" i="9"/>
  <c r="T788" i="9"/>
  <c r="I789" i="9"/>
  <c r="R789" i="9" s="1"/>
  <c r="B789" i="9"/>
  <c r="J789" i="9"/>
  <c r="U789" i="9"/>
  <c r="C789" i="9"/>
  <c r="M789" i="9" s="1"/>
  <c r="D789" i="9"/>
  <c r="E789" i="9"/>
  <c r="Q789" i="9" s="1"/>
  <c r="F789" i="9"/>
  <c r="G789" i="9"/>
  <c r="N789" i="9" s="1"/>
  <c r="H789" i="9"/>
  <c r="J786" i="6"/>
  <c r="C786" i="4"/>
  <c r="C787" i="6" s="1"/>
  <c r="D786" i="4"/>
  <c r="D787" i="6" s="1"/>
  <c r="G786" i="4"/>
  <c r="G787" i="6" s="1"/>
  <c r="F786" i="4"/>
  <c r="F787" i="6" s="1"/>
  <c r="A787" i="4"/>
  <c r="A788" i="6" s="1"/>
  <c r="A790" i="9" s="1"/>
  <c r="H786" i="4"/>
  <c r="H787" i="6" s="1"/>
  <c r="B786" i="4"/>
  <c r="B787" i="6" s="1"/>
  <c r="E786" i="4"/>
  <c r="E787" i="6" s="1"/>
  <c r="I786" i="4"/>
  <c r="I787" i="6" s="1"/>
  <c r="T789" i="9" l="1"/>
  <c r="L789" i="9"/>
  <c r="P789" i="9"/>
  <c r="G790" i="9"/>
  <c r="N790" i="9" s="1"/>
  <c r="H790" i="9"/>
  <c r="I790" i="9"/>
  <c r="R790" i="9" s="1"/>
  <c r="B790" i="9"/>
  <c r="J790" i="9"/>
  <c r="U790" i="9"/>
  <c r="C790" i="9"/>
  <c r="M790" i="9" s="1"/>
  <c r="D790" i="9"/>
  <c r="F790" i="9"/>
  <c r="E790" i="9"/>
  <c r="Q790" i="9" s="1"/>
  <c r="J787" i="6"/>
  <c r="B787" i="4"/>
  <c r="B788" i="6" s="1"/>
  <c r="A788" i="4"/>
  <c r="A789" i="6" s="1"/>
  <c r="A791" i="9" s="1"/>
  <c r="C787" i="4"/>
  <c r="C788" i="6" s="1"/>
  <c r="F787" i="4"/>
  <c r="F788" i="6" s="1"/>
  <c r="I787" i="4"/>
  <c r="I788" i="6" s="1"/>
  <c r="E787" i="4"/>
  <c r="E788" i="6" s="1"/>
  <c r="H787" i="4"/>
  <c r="H788" i="6" s="1"/>
  <c r="G787" i="4"/>
  <c r="G788" i="6" s="1"/>
  <c r="D787" i="4"/>
  <c r="D788" i="6" s="1"/>
  <c r="E791" i="9" l="1"/>
  <c r="Q791" i="9" s="1"/>
  <c r="F791" i="9"/>
  <c r="G791" i="9"/>
  <c r="N791" i="9" s="1"/>
  <c r="H791" i="9"/>
  <c r="I791" i="9"/>
  <c r="R791" i="9" s="1"/>
  <c r="B791" i="9"/>
  <c r="J791" i="9"/>
  <c r="U791" i="9"/>
  <c r="C791" i="9"/>
  <c r="M791" i="9" s="1"/>
  <c r="D791" i="9"/>
  <c r="T790" i="9"/>
  <c r="L790" i="9"/>
  <c r="P790" i="9"/>
  <c r="J788" i="6"/>
  <c r="I788" i="4"/>
  <c r="I789" i="6" s="1"/>
  <c r="D788" i="4"/>
  <c r="D789" i="6" s="1"/>
  <c r="F788" i="4"/>
  <c r="F789" i="6" s="1"/>
  <c r="B788" i="4"/>
  <c r="B789" i="6" s="1"/>
  <c r="G788" i="4"/>
  <c r="G789" i="6" s="1"/>
  <c r="E788" i="4"/>
  <c r="E789" i="6" s="1"/>
  <c r="A789" i="4"/>
  <c r="A790" i="6" s="1"/>
  <c r="A792" i="9" s="1"/>
  <c r="C788" i="4"/>
  <c r="C789" i="6" s="1"/>
  <c r="H788" i="4"/>
  <c r="H789" i="6" s="1"/>
  <c r="C792" i="9" l="1"/>
  <c r="M792" i="9" s="1"/>
  <c r="D792" i="9"/>
  <c r="E792" i="9"/>
  <c r="Q792" i="9" s="1"/>
  <c r="F792" i="9"/>
  <c r="G792" i="9"/>
  <c r="N792" i="9" s="1"/>
  <c r="H792" i="9"/>
  <c r="U792" i="9"/>
  <c r="B792" i="9"/>
  <c r="I792" i="9"/>
  <c r="R792" i="9" s="1"/>
  <c r="J792" i="9"/>
  <c r="P791" i="9"/>
  <c r="T791" i="9"/>
  <c r="L791" i="9"/>
  <c r="J789" i="6"/>
  <c r="H789" i="4"/>
  <c r="H790" i="6" s="1"/>
  <c r="C789" i="4"/>
  <c r="C790" i="6" s="1"/>
  <c r="E789" i="4"/>
  <c r="E790" i="6" s="1"/>
  <c r="D789" i="4"/>
  <c r="D790" i="6" s="1"/>
  <c r="F789" i="4"/>
  <c r="F790" i="6" s="1"/>
  <c r="A790" i="4"/>
  <c r="A791" i="6" s="1"/>
  <c r="A793" i="9" s="1"/>
  <c r="B789" i="4"/>
  <c r="B790" i="6" s="1"/>
  <c r="G789" i="4"/>
  <c r="G790" i="6" s="1"/>
  <c r="I789" i="4"/>
  <c r="I790" i="6" s="1"/>
  <c r="I793" i="9" l="1"/>
  <c r="R793" i="9" s="1"/>
  <c r="B793" i="9"/>
  <c r="J793" i="9"/>
  <c r="U793" i="9"/>
  <c r="C793" i="9"/>
  <c r="M793" i="9" s="1"/>
  <c r="D793" i="9"/>
  <c r="E793" i="9"/>
  <c r="Q793" i="9" s="1"/>
  <c r="F793" i="9"/>
  <c r="G793" i="9"/>
  <c r="N793" i="9" s="1"/>
  <c r="H793" i="9"/>
  <c r="L792" i="9"/>
  <c r="P792" i="9"/>
  <c r="T792" i="9"/>
  <c r="J790" i="6"/>
  <c r="G790" i="4"/>
  <c r="G791" i="6" s="1"/>
  <c r="B790" i="4"/>
  <c r="B791" i="6" s="1"/>
  <c r="A791" i="4"/>
  <c r="A792" i="6" s="1"/>
  <c r="A794" i="9" s="1"/>
  <c r="D790" i="4"/>
  <c r="D791" i="6" s="1"/>
  <c r="H790" i="4"/>
  <c r="H791" i="6" s="1"/>
  <c r="I790" i="4"/>
  <c r="I791" i="6" s="1"/>
  <c r="F790" i="4"/>
  <c r="F791" i="6" s="1"/>
  <c r="E790" i="4"/>
  <c r="E791" i="6" s="1"/>
  <c r="C790" i="4"/>
  <c r="C791" i="6" s="1"/>
  <c r="T793" i="9" l="1"/>
  <c r="L793" i="9"/>
  <c r="P793" i="9"/>
  <c r="G794" i="9"/>
  <c r="N794" i="9" s="1"/>
  <c r="H794" i="9"/>
  <c r="I794" i="9"/>
  <c r="R794" i="9" s="1"/>
  <c r="B794" i="9"/>
  <c r="J794" i="9"/>
  <c r="C794" i="9"/>
  <c r="M794" i="9" s="1"/>
  <c r="D794" i="9"/>
  <c r="E794" i="9"/>
  <c r="Q794" i="9" s="1"/>
  <c r="U794" i="9"/>
  <c r="F794" i="9"/>
  <c r="J791" i="6"/>
  <c r="F791" i="4"/>
  <c r="F792" i="6" s="1"/>
  <c r="I791" i="4"/>
  <c r="I792" i="6" s="1"/>
  <c r="C791" i="4"/>
  <c r="C792" i="6" s="1"/>
  <c r="E791" i="4"/>
  <c r="E792" i="6" s="1"/>
  <c r="D791" i="4"/>
  <c r="D792" i="6" s="1"/>
  <c r="G791" i="4"/>
  <c r="G792" i="6" s="1"/>
  <c r="H791" i="4"/>
  <c r="H792" i="6" s="1"/>
  <c r="B791" i="4"/>
  <c r="B792" i="6" s="1"/>
  <c r="A792" i="4"/>
  <c r="A793" i="6" s="1"/>
  <c r="A795" i="9" s="1"/>
  <c r="L794" i="9" l="1"/>
  <c r="T794" i="9"/>
  <c r="P794" i="9"/>
  <c r="G795" i="9"/>
  <c r="N795" i="9" s="1"/>
  <c r="H795" i="9"/>
  <c r="I795" i="9"/>
  <c r="R795" i="9" s="1"/>
  <c r="B795" i="9"/>
  <c r="J795" i="9"/>
  <c r="U795" i="9"/>
  <c r="D795" i="9"/>
  <c r="E795" i="9"/>
  <c r="Q795" i="9" s="1"/>
  <c r="C795" i="9"/>
  <c r="M795" i="9" s="1"/>
  <c r="F795" i="9"/>
  <c r="J792" i="6"/>
  <c r="E792" i="4"/>
  <c r="E793" i="6" s="1"/>
  <c r="H792" i="4"/>
  <c r="H793" i="6" s="1"/>
  <c r="B792" i="4"/>
  <c r="B793" i="6" s="1"/>
  <c r="A793" i="4"/>
  <c r="A794" i="6" s="1"/>
  <c r="A796" i="9" s="1"/>
  <c r="C792" i="4"/>
  <c r="C793" i="6" s="1"/>
  <c r="D792" i="4"/>
  <c r="D793" i="6" s="1"/>
  <c r="I792" i="4"/>
  <c r="I793" i="6" s="1"/>
  <c r="G792" i="4"/>
  <c r="G793" i="6" s="1"/>
  <c r="F792" i="4"/>
  <c r="F793" i="6" s="1"/>
  <c r="T795" i="9" l="1"/>
  <c r="L795" i="9"/>
  <c r="P795" i="9"/>
  <c r="E796" i="9"/>
  <c r="Q796" i="9" s="1"/>
  <c r="F796" i="9"/>
  <c r="G796" i="9"/>
  <c r="N796" i="9" s="1"/>
  <c r="H796" i="9"/>
  <c r="B796" i="9"/>
  <c r="J796" i="9"/>
  <c r="U796" i="9"/>
  <c r="C796" i="9"/>
  <c r="M796" i="9" s="1"/>
  <c r="I796" i="9"/>
  <c r="R796" i="9" s="1"/>
  <c r="D796" i="9"/>
  <c r="J793" i="6"/>
  <c r="D793" i="4"/>
  <c r="D794" i="6" s="1"/>
  <c r="G793" i="4"/>
  <c r="G794" i="6" s="1"/>
  <c r="I793" i="4"/>
  <c r="I794" i="6" s="1"/>
  <c r="F793" i="4"/>
  <c r="F794" i="6" s="1"/>
  <c r="H793" i="4"/>
  <c r="H794" i="6" s="1"/>
  <c r="B793" i="4"/>
  <c r="B794" i="6" s="1"/>
  <c r="E793" i="4"/>
  <c r="E794" i="6" s="1"/>
  <c r="A794" i="4"/>
  <c r="A795" i="6" s="1"/>
  <c r="A797" i="9" s="1"/>
  <c r="C793" i="4"/>
  <c r="C794" i="6" s="1"/>
  <c r="C797" i="9" l="1"/>
  <c r="M797" i="9" s="1"/>
  <c r="D797" i="9"/>
  <c r="E797" i="9"/>
  <c r="Q797" i="9" s="1"/>
  <c r="F797" i="9"/>
  <c r="H797" i="9"/>
  <c r="I797" i="9"/>
  <c r="R797" i="9" s="1"/>
  <c r="G797" i="9"/>
  <c r="N797" i="9" s="1"/>
  <c r="B797" i="9"/>
  <c r="U797" i="9"/>
  <c r="J797" i="9"/>
  <c r="P796" i="9"/>
  <c r="L796" i="9"/>
  <c r="T796" i="9"/>
  <c r="J794" i="6"/>
  <c r="C794" i="4"/>
  <c r="C795" i="6" s="1"/>
  <c r="F794" i="4"/>
  <c r="F795" i="6" s="1"/>
  <c r="H794" i="4"/>
  <c r="H795" i="6" s="1"/>
  <c r="A795" i="4"/>
  <c r="A796" i="6" s="1"/>
  <c r="A798" i="9" s="1"/>
  <c r="D794" i="4"/>
  <c r="D795" i="6" s="1"/>
  <c r="B794" i="4"/>
  <c r="B795" i="6" s="1"/>
  <c r="I794" i="4"/>
  <c r="I795" i="6" s="1"/>
  <c r="G794" i="4"/>
  <c r="G795" i="6" s="1"/>
  <c r="E794" i="4"/>
  <c r="E795" i="6" s="1"/>
  <c r="I798" i="9" l="1"/>
  <c r="R798" i="9" s="1"/>
  <c r="B798" i="9"/>
  <c r="J798" i="9"/>
  <c r="U798" i="9"/>
  <c r="C798" i="9"/>
  <c r="M798" i="9" s="1"/>
  <c r="D798" i="9"/>
  <c r="F798" i="9"/>
  <c r="G798" i="9"/>
  <c r="N798" i="9" s="1"/>
  <c r="E798" i="9"/>
  <c r="Q798" i="9" s="1"/>
  <c r="H798" i="9"/>
  <c r="L797" i="9"/>
  <c r="P797" i="9"/>
  <c r="T797" i="9"/>
  <c r="J795" i="6"/>
  <c r="B795" i="4"/>
  <c r="B796" i="6" s="1"/>
  <c r="A796" i="4"/>
  <c r="A797" i="6" s="1"/>
  <c r="A799" i="9" s="1"/>
  <c r="E795" i="4"/>
  <c r="E796" i="6" s="1"/>
  <c r="G795" i="4"/>
  <c r="G796" i="6" s="1"/>
  <c r="C795" i="4"/>
  <c r="C796" i="6" s="1"/>
  <c r="H795" i="4"/>
  <c r="H796" i="6" s="1"/>
  <c r="D795" i="4"/>
  <c r="D796" i="6" s="1"/>
  <c r="I795" i="4"/>
  <c r="I796" i="6" s="1"/>
  <c r="F795" i="4"/>
  <c r="F796" i="6" s="1"/>
  <c r="G799" i="9" l="1"/>
  <c r="N799" i="9" s="1"/>
  <c r="H799" i="9"/>
  <c r="I799" i="9"/>
  <c r="R799" i="9" s="1"/>
  <c r="B799" i="9"/>
  <c r="J799" i="9"/>
  <c r="U799" i="9"/>
  <c r="D799" i="9"/>
  <c r="E799" i="9"/>
  <c r="Q799" i="9" s="1"/>
  <c r="C799" i="9"/>
  <c r="M799" i="9" s="1"/>
  <c r="F799" i="9"/>
  <c r="T798" i="9"/>
  <c r="L798" i="9"/>
  <c r="P798" i="9"/>
  <c r="J796" i="6"/>
  <c r="I796" i="4"/>
  <c r="I797" i="6" s="1"/>
  <c r="D796" i="4"/>
  <c r="D797" i="6" s="1"/>
  <c r="F796" i="4"/>
  <c r="F797" i="6" s="1"/>
  <c r="E796" i="4"/>
  <c r="E797" i="6" s="1"/>
  <c r="G796" i="4"/>
  <c r="G797" i="6" s="1"/>
  <c r="B796" i="4"/>
  <c r="B797" i="6" s="1"/>
  <c r="C796" i="4"/>
  <c r="C797" i="6" s="1"/>
  <c r="A797" i="4"/>
  <c r="A798" i="6" s="1"/>
  <c r="A800" i="9" s="1"/>
  <c r="H796" i="4"/>
  <c r="H797" i="6" s="1"/>
  <c r="T799" i="9" l="1"/>
  <c r="L799" i="9"/>
  <c r="P799" i="9"/>
  <c r="E800" i="9"/>
  <c r="Q800" i="9" s="1"/>
  <c r="F800" i="9"/>
  <c r="G800" i="9"/>
  <c r="N800" i="9" s="1"/>
  <c r="H800" i="9"/>
  <c r="B800" i="9"/>
  <c r="J800" i="9"/>
  <c r="U800" i="9"/>
  <c r="C800" i="9"/>
  <c r="M800" i="9" s="1"/>
  <c r="D800" i="9"/>
  <c r="I800" i="9"/>
  <c r="R800" i="9" s="1"/>
  <c r="J797" i="6"/>
  <c r="H797" i="4"/>
  <c r="H798" i="6" s="1"/>
  <c r="C797" i="4"/>
  <c r="C798" i="6" s="1"/>
  <c r="E797" i="4"/>
  <c r="E798" i="6" s="1"/>
  <c r="I797" i="4"/>
  <c r="I798" i="6" s="1"/>
  <c r="A798" i="4"/>
  <c r="A799" i="6" s="1"/>
  <c r="A801" i="9" s="1"/>
  <c r="B797" i="4"/>
  <c r="B798" i="6" s="1"/>
  <c r="F797" i="4"/>
  <c r="F798" i="6" s="1"/>
  <c r="D797" i="4"/>
  <c r="D798" i="6" s="1"/>
  <c r="G797" i="4"/>
  <c r="G798" i="6" s="1"/>
  <c r="C801" i="9" l="1"/>
  <c r="M801" i="9" s="1"/>
  <c r="D801" i="9"/>
  <c r="E801" i="9"/>
  <c r="Q801" i="9" s="1"/>
  <c r="F801" i="9"/>
  <c r="H801" i="9"/>
  <c r="I801" i="9"/>
  <c r="R801" i="9" s="1"/>
  <c r="U801" i="9"/>
  <c r="J801" i="9"/>
  <c r="B801" i="9"/>
  <c r="G801" i="9"/>
  <c r="N801" i="9" s="1"/>
  <c r="P800" i="9"/>
  <c r="L800" i="9"/>
  <c r="T800" i="9"/>
  <c r="J798" i="6"/>
  <c r="G798" i="4"/>
  <c r="G799" i="6" s="1"/>
  <c r="B798" i="4"/>
  <c r="B799" i="6" s="1"/>
  <c r="A799" i="4"/>
  <c r="A800" i="6" s="1"/>
  <c r="A802" i="9" s="1"/>
  <c r="D798" i="4"/>
  <c r="D799" i="6" s="1"/>
  <c r="F798" i="4"/>
  <c r="F799" i="6" s="1"/>
  <c r="C798" i="4"/>
  <c r="C799" i="6" s="1"/>
  <c r="E798" i="4"/>
  <c r="E799" i="6" s="1"/>
  <c r="H798" i="4"/>
  <c r="H799" i="6" s="1"/>
  <c r="I798" i="4"/>
  <c r="I799" i="6" s="1"/>
  <c r="L801" i="9" l="1"/>
  <c r="P801" i="9"/>
  <c r="T801" i="9"/>
  <c r="I802" i="9"/>
  <c r="R802" i="9" s="1"/>
  <c r="B802" i="9"/>
  <c r="J802" i="9"/>
  <c r="U802" i="9"/>
  <c r="C802" i="9"/>
  <c r="M802" i="9" s="1"/>
  <c r="D802" i="9"/>
  <c r="F802" i="9"/>
  <c r="G802" i="9"/>
  <c r="N802" i="9" s="1"/>
  <c r="E802" i="9"/>
  <c r="Q802" i="9" s="1"/>
  <c r="H802" i="9"/>
  <c r="J799" i="6"/>
  <c r="F799" i="4"/>
  <c r="F800" i="6" s="1"/>
  <c r="I799" i="4"/>
  <c r="I800" i="6" s="1"/>
  <c r="C799" i="4"/>
  <c r="C800" i="6" s="1"/>
  <c r="D799" i="4"/>
  <c r="D800" i="6" s="1"/>
  <c r="H799" i="4"/>
  <c r="H800" i="6" s="1"/>
  <c r="G799" i="4"/>
  <c r="G800" i="6" s="1"/>
  <c r="E799" i="4"/>
  <c r="E800" i="6" s="1"/>
  <c r="B799" i="4"/>
  <c r="B800" i="6" s="1"/>
  <c r="A800" i="4"/>
  <c r="A801" i="6" s="1"/>
  <c r="A803" i="9" s="1"/>
  <c r="T802" i="9" l="1"/>
  <c r="L802" i="9"/>
  <c r="P802" i="9"/>
  <c r="G803" i="9"/>
  <c r="N803" i="9" s="1"/>
  <c r="H803" i="9"/>
  <c r="I803" i="9"/>
  <c r="R803" i="9" s="1"/>
  <c r="B803" i="9"/>
  <c r="J803" i="9"/>
  <c r="U803" i="9"/>
  <c r="D803" i="9"/>
  <c r="E803" i="9"/>
  <c r="Q803" i="9" s="1"/>
  <c r="F803" i="9"/>
  <c r="C803" i="9"/>
  <c r="M803" i="9" s="1"/>
  <c r="J800" i="6"/>
  <c r="E800" i="4"/>
  <c r="E801" i="6" s="1"/>
  <c r="H800" i="4"/>
  <c r="H801" i="6" s="1"/>
  <c r="D800" i="4"/>
  <c r="D801" i="6" s="1"/>
  <c r="F800" i="4"/>
  <c r="F801" i="6" s="1"/>
  <c r="A801" i="4"/>
  <c r="A802" i="6" s="1"/>
  <c r="A804" i="9" s="1"/>
  <c r="B800" i="4"/>
  <c r="B801" i="6" s="1"/>
  <c r="C800" i="4"/>
  <c r="C801" i="6" s="1"/>
  <c r="G800" i="4"/>
  <c r="G801" i="6" s="1"/>
  <c r="I800" i="4"/>
  <c r="I801" i="6" s="1"/>
  <c r="T803" i="9" l="1"/>
  <c r="L803" i="9"/>
  <c r="P803" i="9"/>
  <c r="E804" i="9"/>
  <c r="Q804" i="9" s="1"/>
  <c r="F804" i="9"/>
  <c r="G804" i="9"/>
  <c r="N804" i="9" s="1"/>
  <c r="H804" i="9"/>
  <c r="B804" i="9"/>
  <c r="J804" i="9"/>
  <c r="U804" i="9"/>
  <c r="C804" i="9"/>
  <c r="M804" i="9" s="1"/>
  <c r="I804" i="9"/>
  <c r="R804" i="9" s="1"/>
  <c r="D804" i="9"/>
  <c r="J801" i="6"/>
  <c r="D801" i="4"/>
  <c r="D802" i="6" s="1"/>
  <c r="G801" i="4"/>
  <c r="G802" i="6" s="1"/>
  <c r="F801" i="4"/>
  <c r="F802" i="6" s="1"/>
  <c r="H801" i="4"/>
  <c r="H802" i="6" s="1"/>
  <c r="E801" i="4"/>
  <c r="E802" i="6" s="1"/>
  <c r="A802" i="4"/>
  <c r="A803" i="6" s="1"/>
  <c r="A805" i="9" s="1"/>
  <c r="C801" i="4"/>
  <c r="C802" i="6" s="1"/>
  <c r="B801" i="4"/>
  <c r="B802" i="6" s="1"/>
  <c r="I801" i="4"/>
  <c r="I802" i="6" s="1"/>
  <c r="C805" i="9" l="1"/>
  <c r="M805" i="9" s="1"/>
  <c r="D805" i="9"/>
  <c r="E805" i="9"/>
  <c r="Q805" i="9" s="1"/>
  <c r="F805" i="9"/>
  <c r="H805" i="9"/>
  <c r="I805" i="9"/>
  <c r="R805" i="9" s="1"/>
  <c r="G805" i="9"/>
  <c r="N805" i="9" s="1"/>
  <c r="J805" i="9"/>
  <c r="U805" i="9"/>
  <c r="B805" i="9"/>
  <c r="P804" i="9"/>
  <c r="L804" i="9"/>
  <c r="T804" i="9"/>
  <c r="J802" i="6"/>
  <c r="C802" i="4"/>
  <c r="C803" i="6" s="1"/>
  <c r="F802" i="4"/>
  <c r="F803" i="6" s="1"/>
  <c r="H802" i="4"/>
  <c r="H803" i="6" s="1"/>
  <c r="I802" i="4"/>
  <c r="I803" i="6" s="1"/>
  <c r="B802" i="4"/>
  <c r="B803" i="6" s="1"/>
  <c r="D802" i="4"/>
  <c r="D803" i="6" s="1"/>
  <c r="E802" i="4"/>
  <c r="E803" i="6" s="1"/>
  <c r="G802" i="4"/>
  <c r="G803" i="6" s="1"/>
  <c r="A803" i="4"/>
  <c r="A804" i="6" s="1"/>
  <c r="A806" i="9" s="1"/>
  <c r="L805" i="9" l="1"/>
  <c r="P805" i="9"/>
  <c r="T805" i="9"/>
  <c r="I806" i="9"/>
  <c r="R806" i="9" s="1"/>
  <c r="B806" i="9"/>
  <c r="J806" i="9"/>
  <c r="U806" i="9"/>
  <c r="C806" i="9"/>
  <c r="M806" i="9" s="1"/>
  <c r="D806" i="9"/>
  <c r="F806" i="9"/>
  <c r="G806" i="9"/>
  <c r="N806" i="9" s="1"/>
  <c r="E806" i="9"/>
  <c r="Q806" i="9" s="1"/>
  <c r="H806" i="9"/>
  <c r="J803" i="6"/>
  <c r="B803" i="4"/>
  <c r="B804" i="6" s="1"/>
  <c r="A804" i="4"/>
  <c r="A805" i="6" s="1"/>
  <c r="A807" i="9" s="1"/>
  <c r="E803" i="4"/>
  <c r="E804" i="6" s="1"/>
  <c r="I803" i="4"/>
  <c r="I804" i="6" s="1"/>
  <c r="D803" i="4"/>
  <c r="D804" i="6" s="1"/>
  <c r="F803" i="4"/>
  <c r="F804" i="6" s="1"/>
  <c r="H803" i="4"/>
  <c r="H804" i="6" s="1"/>
  <c r="C803" i="4"/>
  <c r="C804" i="6" s="1"/>
  <c r="G803" i="4"/>
  <c r="G804" i="6" s="1"/>
  <c r="G807" i="9" l="1"/>
  <c r="N807" i="9" s="1"/>
  <c r="H807" i="9"/>
  <c r="I807" i="9"/>
  <c r="R807" i="9" s="1"/>
  <c r="B807" i="9"/>
  <c r="J807" i="9"/>
  <c r="U807" i="9"/>
  <c r="D807" i="9"/>
  <c r="E807" i="9"/>
  <c r="Q807" i="9" s="1"/>
  <c r="C807" i="9"/>
  <c r="M807" i="9" s="1"/>
  <c r="F807" i="9"/>
  <c r="T806" i="9"/>
  <c r="L806" i="9"/>
  <c r="P806" i="9"/>
  <c r="J804" i="6"/>
  <c r="I804" i="4"/>
  <c r="I805" i="6" s="1"/>
  <c r="D804" i="4"/>
  <c r="D805" i="6" s="1"/>
  <c r="B804" i="4"/>
  <c r="B805" i="6" s="1"/>
  <c r="F804" i="4"/>
  <c r="F805" i="6" s="1"/>
  <c r="C804" i="4"/>
  <c r="C805" i="6" s="1"/>
  <c r="E804" i="4"/>
  <c r="E805" i="6" s="1"/>
  <c r="A805" i="4"/>
  <c r="A806" i="6" s="1"/>
  <c r="A808" i="9" s="1"/>
  <c r="G804" i="4"/>
  <c r="G805" i="6" s="1"/>
  <c r="H804" i="4"/>
  <c r="H805" i="6" s="1"/>
  <c r="E808" i="9" l="1"/>
  <c r="Q808" i="9" s="1"/>
  <c r="F808" i="9"/>
  <c r="G808" i="9"/>
  <c r="N808" i="9" s="1"/>
  <c r="H808" i="9"/>
  <c r="B808" i="9"/>
  <c r="J808" i="9"/>
  <c r="U808" i="9"/>
  <c r="C808" i="9"/>
  <c r="M808" i="9" s="1"/>
  <c r="D808" i="9"/>
  <c r="I808" i="9"/>
  <c r="R808" i="9" s="1"/>
  <c r="T807" i="9"/>
  <c r="L807" i="9"/>
  <c r="P807" i="9"/>
  <c r="J805" i="6"/>
  <c r="H805" i="4"/>
  <c r="H806" i="6" s="1"/>
  <c r="C805" i="4"/>
  <c r="C806" i="6" s="1"/>
  <c r="B805" i="4"/>
  <c r="B806" i="6" s="1"/>
  <c r="D805" i="4"/>
  <c r="D806" i="6" s="1"/>
  <c r="G805" i="4"/>
  <c r="G806" i="6" s="1"/>
  <c r="E805" i="4"/>
  <c r="E806" i="6" s="1"/>
  <c r="I805" i="4"/>
  <c r="I806" i="6" s="1"/>
  <c r="A806" i="4"/>
  <c r="A807" i="6" s="1"/>
  <c r="A809" i="9" s="1"/>
  <c r="F805" i="4"/>
  <c r="F806" i="6" s="1"/>
  <c r="P808" i="9" l="1"/>
  <c r="L808" i="9"/>
  <c r="T808" i="9"/>
  <c r="C809" i="9"/>
  <c r="M809" i="9" s="1"/>
  <c r="D809" i="9"/>
  <c r="E809" i="9"/>
  <c r="Q809" i="9" s="1"/>
  <c r="F809" i="9"/>
  <c r="H809" i="9"/>
  <c r="I809" i="9"/>
  <c r="R809" i="9" s="1"/>
  <c r="B809" i="9"/>
  <c r="G809" i="9"/>
  <c r="N809" i="9" s="1"/>
  <c r="J809" i="9"/>
  <c r="U809" i="9"/>
  <c r="J806" i="6"/>
  <c r="G806" i="4"/>
  <c r="G807" i="6" s="1"/>
  <c r="B806" i="4"/>
  <c r="B807" i="6" s="1"/>
  <c r="A807" i="4"/>
  <c r="A808" i="6" s="1"/>
  <c r="A810" i="9" s="1"/>
  <c r="D806" i="4"/>
  <c r="D807" i="6" s="1"/>
  <c r="E806" i="4"/>
  <c r="E807" i="6" s="1"/>
  <c r="I806" i="4"/>
  <c r="I807" i="6" s="1"/>
  <c r="C806" i="4"/>
  <c r="C807" i="6" s="1"/>
  <c r="H806" i="4"/>
  <c r="H807" i="6" s="1"/>
  <c r="F806" i="4"/>
  <c r="F807" i="6" s="1"/>
  <c r="L809" i="9" l="1"/>
  <c r="P809" i="9"/>
  <c r="T809" i="9"/>
  <c r="I810" i="9"/>
  <c r="R810" i="9" s="1"/>
  <c r="B810" i="9"/>
  <c r="J810" i="9"/>
  <c r="U810" i="9"/>
  <c r="C810" i="9"/>
  <c r="M810" i="9" s="1"/>
  <c r="D810" i="9"/>
  <c r="F810" i="9"/>
  <c r="G810" i="9"/>
  <c r="N810" i="9" s="1"/>
  <c r="E810" i="9"/>
  <c r="Q810" i="9" s="1"/>
  <c r="H810" i="9"/>
  <c r="J807" i="6"/>
  <c r="F807" i="4"/>
  <c r="F808" i="6" s="1"/>
  <c r="I807" i="4"/>
  <c r="I808" i="6" s="1"/>
  <c r="E807" i="4"/>
  <c r="E808" i="6" s="1"/>
  <c r="G807" i="4"/>
  <c r="G808" i="6" s="1"/>
  <c r="C807" i="4"/>
  <c r="C808" i="6" s="1"/>
  <c r="H807" i="4"/>
  <c r="H808" i="6" s="1"/>
  <c r="A808" i="4"/>
  <c r="A809" i="6" s="1"/>
  <c r="A811" i="9" s="1"/>
  <c r="B807" i="4"/>
  <c r="B808" i="6" s="1"/>
  <c r="D807" i="4"/>
  <c r="D808" i="6" s="1"/>
  <c r="T810" i="9" l="1"/>
  <c r="L810" i="9"/>
  <c r="P810" i="9"/>
  <c r="G811" i="9"/>
  <c r="N811" i="9" s="1"/>
  <c r="H811" i="9"/>
  <c r="I811" i="9"/>
  <c r="R811" i="9" s="1"/>
  <c r="B811" i="9"/>
  <c r="J811" i="9"/>
  <c r="U811" i="9"/>
  <c r="D811" i="9"/>
  <c r="E811" i="9"/>
  <c r="Q811" i="9" s="1"/>
  <c r="C811" i="9"/>
  <c r="M811" i="9" s="1"/>
  <c r="F811" i="9"/>
  <c r="J808" i="6"/>
  <c r="E808" i="4"/>
  <c r="E809" i="6" s="1"/>
  <c r="H808" i="4"/>
  <c r="H809" i="6" s="1"/>
  <c r="G808" i="4"/>
  <c r="G809" i="6" s="1"/>
  <c r="I808" i="4"/>
  <c r="I809" i="6" s="1"/>
  <c r="B808" i="4"/>
  <c r="B809" i="6" s="1"/>
  <c r="C808" i="4"/>
  <c r="C809" i="6" s="1"/>
  <c r="A809" i="4"/>
  <c r="A810" i="6" s="1"/>
  <c r="A812" i="9" s="1"/>
  <c r="F808" i="4"/>
  <c r="F809" i="6" s="1"/>
  <c r="D808" i="4"/>
  <c r="D809" i="6" s="1"/>
  <c r="T811" i="9" l="1"/>
  <c r="L811" i="9"/>
  <c r="P811" i="9"/>
  <c r="E812" i="9"/>
  <c r="Q812" i="9" s="1"/>
  <c r="F812" i="9"/>
  <c r="G812" i="9"/>
  <c r="N812" i="9" s="1"/>
  <c r="H812" i="9"/>
  <c r="B812" i="9"/>
  <c r="J812" i="9"/>
  <c r="U812" i="9"/>
  <c r="C812" i="9"/>
  <c r="M812" i="9" s="1"/>
  <c r="I812" i="9"/>
  <c r="R812" i="9" s="1"/>
  <c r="D812" i="9"/>
  <c r="J809" i="6"/>
  <c r="D809" i="4"/>
  <c r="D810" i="6" s="1"/>
  <c r="G809" i="4"/>
  <c r="G810" i="6" s="1"/>
  <c r="I809" i="4"/>
  <c r="I810" i="6" s="1"/>
  <c r="A810" i="4"/>
  <c r="A811" i="6" s="1"/>
  <c r="A813" i="9" s="1"/>
  <c r="C809" i="4"/>
  <c r="C810" i="6" s="1"/>
  <c r="B809" i="4"/>
  <c r="B810" i="6" s="1"/>
  <c r="F809" i="4"/>
  <c r="F810" i="6" s="1"/>
  <c r="H809" i="4"/>
  <c r="H810" i="6" s="1"/>
  <c r="E809" i="4"/>
  <c r="E810" i="6" s="1"/>
  <c r="C813" i="9" l="1"/>
  <c r="M813" i="9" s="1"/>
  <c r="D813" i="9"/>
  <c r="E813" i="9"/>
  <c r="Q813" i="9" s="1"/>
  <c r="F813" i="9"/>
  <c r="H813" i="9"/>
  <c r="I813" i="9"/>
  <c r="R813" i="9" s="1"/>
  <c r="G813" i="9"/>
  <c r="N813" i="9" s="1"/>
  <c r="B813" i="9"/>
  <c r="U813" i="9"/>
  <c r="J813" i="9"/>
  <c r="P812" i="9"/>
  <c r="L812" i="9"/>
  <c r="T812" i="9"/>
  <c r="J810" i="6"/>
  <c r="C810" i="4"/>
  <c r="C811" i="6" s="1"/>
  <c r="F810" i="4"/>
  <c r="F811" i="6" s="1"/>
  <c r="A811" i="4"/>
  <c r="A812" i="6" s="1"/>
  <c r="A814" i="9" s="1"/>
  <c r="E810" i="4"/>
  <c r="E811" i="6" s="1"/>
  <c r="I810" i="4"/>
  <c r="I811" i="6" s="1"/>
  <c r="B810" i="4"/>
  <c r="B811" i="6" s="1"/>
  <c r="H810" i="4"/>
  <c r="H811" i="6" s="1"/>
  <c r="G810" i="4"/>
  <c r="G811" i="6" s="1"/>
  <c r="D810" i="4"/>
  <c r="D811" i="6" s="1"/>
  <c r="L813" i="9" l="1"/>
  <c r="P813" i="9"/>
  <c r="T813" i="9"/>
  <c r="I814" i="9"/>
  <c r="R814" i="9" s="1"/>
  <c r="B814" i="9"/>
  <c r="J814" i="9"/>
  <c r="U814" i="9"/>
  <c r="C814" i="9"/>
  <c r="M814" i="9" s="1"/>
  <c r="D814" i="9"/>
  <c r="F814" i="9"/>
  <c r="G814" i="9"/>
  <c r="N814" i="9" s="1"/>
  <c r="E814" i="9"/>
  <c r="Q814" i="9" s="1"/>
  <c r="H814" i="9"/>
  <c r="J811" i="6"/>
  <c r="B811" i="4"/>
  <c r="B812" i="6" s="1"/>
  <c r="A812" i="4"/>
  <c r="A813" i="6" s="1"/>
  <c r="A815" i="9" s="1"/>
  <c r="E811" i="4"/>
  <c r="E812" i="6" s="1"/>
  <c r="C811" i="4"/>
  <c r="C812" i="6" s="1"/>
  <c r="G811" i="4"/>
  <c r="G812" i="6" s="1"/>
  <c r="F811" i="4"/>
  <c r="F812" i="6" s="1"/>
  <c r="H811" i="4"/>
  <c r="H812" i="6" s="1"/>
  <c r="I811" i="4"/>
  <c r="I812" i="6" s="1"/>
  <c r="D811" i="4"/>
  <c r="D812" i="6" s="1"/>
  <c r="T814" i="9" l="1"/>
  <c r="L814" i="9"/>
  <c r="P814" i="9"/>
  <c r="G815" i="9"/>
  <c r="N815" i="9" s="1"/>
  <c r="H815" i="9"/>
  <c r="I815" i="9"/>
  <c r="R815" i="9" s="1"/>
  <c r="B815" i="9"/>
  <c r="J815" i="9"/>
  <c r="U815" i="9"/>
  <c r="D815" i="9"/>
  <c r="E815" i="9"/>
  <c r="Q815" i="9" s="1"/>
  <c r="C815" i="9"/>
  <c r="M815" i="9" s="1"/>
  <c r="F815" i="9"/>
  <c r="J812" i="6"/>
  <c r="I812" i="4"/>
  <c r="I813" i="6" s="1"/>
  <c r="D812" i="4"/>
  <c r="D813" i="6" s="1"/>
  <c r="C812" i="4"/>
  <c r="C813" i="6" s="1"/>
  <c r="E812" i="4"/>
  <c r="E813" i="6" s="1"/>
  <c r="H812" i="4"/>
  <c r="H813" i="6" s="1"/>
  <c r="A813" i="4"/>
  <c r="A814" i="6" s="1"/>
  <c r="A816" i="9" s="1"/>
  <c r="G812" i="4"/>
  <c r="G813" i="6" s="1"/>
  <c r="F812" i="4"/>
  <c r="F813" i="6" s="1"/>
  <c r="B812" i="4"/>
  <c r="B813" i="6" s="1"/>
  <c r="T815" i="9" l="1"/>
  <c r="P815" i="9"/>
  <c r="L815" i="9"/>
  <c r="E816" i="9"/>
  <c r="Q816" i="9" s="1"/>
  <c r="F816" i="9"/>
  <c r="G816" i="9"/>
  <c r="N816" i="9" s="1"/>
  <c r="H816" i="9"/>
  <c r="B816" i="9"/>
  <c r="J816" i="9"/>
  <c r="U816" i="9"/>
  <c r="C816" i="9"/>
  <c r="M816" i="9" s="1"/>
  <c r="I816" i="9"/>
  <c r="R816" i="9" s="1"/>
  <c r="D816" i="9"/>
  <c r="J813" i="6"/>
  <c r="H813" i="4"/>
  <c r="H814" i="6" s="1"/>
  <c r="C813" i="4"/>
  <c r="C814" i="6" s="1"/>
  <c r="E813" i="4"/>
  <c r="E814" i="6" s="1"/>
  <c r="F813" i="4"/>
  <c r="F814" i="6" s="1"/>
  <c r="A814" i="4"/>
  <c r="A815" i="6" s="1"/>
  <c r="A817" i="9" s="1"/>
  <c r="D813" i="4"/>
  <c r="D814" i="6" s="1"/>
  <c r="G813" i="4"/>
  <c r="G814" i="6" s="1"/>
  <c r="I813" i="4"/>
  <c r="I814" i="6" s="1"/>
  <c r="B813" i="4"/>
  <c r="B814" i="6" s="1"/>
  <c r="C817" i="9" l="1"/>
  <c r="M817" i="9" s="1"/>
  <c r="D817" i="9"/>
  <c r="E817" i="9"/>
  <c r="Q817" i="9" s="1"/>
  <c r="F817" i="9"/>
  <c r="H817" i="9"/>
  <c r="J817" i="9"/>
  <c r="U817" i="9"/>
  <c r="B817" i="9"/>
  <c r="I817" i="9"/>
  <c r="R817" i="9" s="1"/>
  <c r="G817" i="9"/>
  <c r="N817" i="9" s="1"/>
  <c r="P816" i="9"/>
  <c r="L816" i="9"/>
  <c r="T816" i="9"/>
  <c r="J814" i="6"/>
  <c r="G814" i="4"/>
  <c r="G815" i="6" s="1"/>
  <c r="B814" i="4"/>
  <c r="B815" i="6" s="1"/>
  <c r="A815" i="4"/>
  <c r="A816" i="6" s="1"/>
  <c r="A818" i="9" s="1"/>
  <c r="F814" i="4"/>
  <c r="F815" i="6" s="1"/>
  <c r="H814" i="4"/>
  <c r="H815" i="6" s="1"/>
  <c r="I814" i="4"/>
  <c r="I815" i="6" s="1"/>
  <c r="E814" i="4"/>
  <c r="E815" i="6" s="1"/>
  <c r="C814" i="4"/>
  <c r="C815" i="6" s="1"/>
  <c r="D814" i="4"/>
  <c r="D815" i="6" s="1"/>
  <c r="L817" i="9" l="1"/>
  <c r="P817" i="9"/>
  <c r="T817" i="9"/>
  <c r="I818" i="9"/>
  <c r="R818" i="9" s="1"/>
  <c r="B818" i="9"/>
  <c r="J818" i="9"/>
  <c r="U818" i="9"/>
  <c r="C818" i="9"/>
  <c r="M818" i="9" s="1"/>
  <c r="D818" i="9"/>
  <c r="F818" i="9"/>
  <c r="E818" i="9"/>
  <c r="Q818" i="9" s="1"/>
  <c r="G818" i="9"/>
  <c r="N818" i="9" s="1"/>
  <c r="H818" i="9"/>
  <c r="J815" i="6"/>
  <c r="F815" i="4"/>
  <c r="F816" i="6" s="1"/>
  <c r="I815" i="4"/>
  <c r="I816" i="6" s="1"/>
  <c r="H815" i="4"/>
  <c r="H816" i="6" s="1"/>
  <c r="A816" i="4"/>
  <c r="A817" i="6" s="1"/>
  <c r="A819" i="9" s="1"/>
  <c r="C815" i="4"/>
  <c r="C816" i="6" s="1"/>
  <c r="D815" i="4"/>
  <c r="D816" i="6" s="1"/>
  <c r="E815" i="4"/>
  <c r="E816" i="6" s="1"/>
  <c r="G815" i="4"/>
  <c r="G816" i="6" s="1"/>
  <c r="B815" i="4"/>
  <c r="B816" i="6" s="1"/>
  <c r="T818" i="9" l="1"/>
  <c r="L818" i="9"/>
  <c r="P818" i="9"/>
  <c r="G819" i="9"/>
  <c r="N819" i="9" s="1"/>
  <c r="H819" i="9"/>
  <c r="I819" i="9"/>
  <c r="R819" i="9" s="1"/>
  <c r="B819" i="9"/>
  <c r="J819" i="9"/>
  <c r="U819" i="9"/>
  <c r="D819" i="9"/>
  <c r="C819" i="9"/>
  <c r="M819" i="9" s="1"/>
  <c r="E819" i="9"/>
  <c r="Q819" i="9" s="1"/>
  <c r="F819" i="9"/>
  <c r="J816" i="6"/>
  <c r="E816" i="4"/>
  <c r="E817" i="6" s="1"/>
  <c r="I816" i="4"/>
  <c r="I817" i="6" s="1"/>
  <c r="A817" i="4"/>
  <c r="A818" i="6" s="1"/>
  <c r="A820" i="9" s="1"/>
  <c r="D816" i="4"/>
  <c r="D817" i="6" s="1"/>
  <c r="G816" i="4"/>
  <c r="G817" i="6" s="1"/>
  <c r="F816" i="4"/>
  <c r="F817" i="6" s="1"/>
  <c r="B816" i="4"/>
  <c r="B817" i="6" s="1"/>
  <c r="H816" i="4"/>
  <c r="H817" i="6" s="1"/>
  <c r="C816" i="4"/>
  <c r="C817" i="6" s="1"/>
  <c r="I820" i="9" l="1"/>
  <c r="R820" i="9" s="1"/>
  <c r="B820" i="9"/>
  <c r="J820" i="9"/>
  <c r="U820" i="9"/>
  <c r="C820" i="9"/>
  <c r="M820" i="9" s="1"/>
  <c r="D820" i="9"/>
  <c r="E820" i="9"/>
  <c r="Q820" i="9" s="1"/>
  <c r="F820" i="9"/>
  <c r="G820" i="9"/>
  <c r="N820" i="9" s="1"/>
  <c r="H820" i="9"/>
  <c r="T819" i="9"/>
  <c r="P819" i="9"/>
  <c r="L819" i="9"/>
  <c r="J817" i="6"/>
  <c r="D817" i="4"/>
  <c r="D818" i="6" s="1"/>
  <c r="I817" i="4"/>
  <c r="I818" i="6" s="1"/>
  <c r="A818" i="4"/>
  <c r="A819" i="6" s="1"/>
  <c r="A821" i="9" s="1"/>
  <c r="E817" i="4"/>
  <c r="E818" i="6" s="1"/>
  <c r="B817" i="4"/>
  <c r="B818" i="6" s="1"/>
  <c r="C817" i="4"/>
  <c r="C818" i="6" s="1"/>
  <c r="F817" i="4"/>
  <c r="F818" i="6" s="1"/>
  <c r="G817" i="4"/>
  <c r="G818" i="6" s="1"/>
  <c r="H817" i="4"/>
  <c r="H818" i="6" s="1"/>
  <c r="T820" i="9" l="1"/>
  <c r="L820" i="9"/>
  <c r="P820" i="9"/>
  <c r="G821" i="9"/>
  <c r="N821" i="9" s="1"/>
  <c r="H821" i="9"/>
  <c r="I821" i="9"/>
  <c r="R821" i="9" s="1"/>
  <c r="B821" i="9"/>
  <c r="J821" i="9"/>
  <c r="U821" i="9"/>
  <c r="C821" i="9"/>
  <c r="M821" i="9" s="1"/>
  <c r="D821" i="9"/>
  <c r="E821" i="9"/>
  <c r="Q821" i="9" s="1"/>
  <c r="F821" i="9"/>
  <c r="J818" i="6"/>
  <c r="C818" i="4"/>
  <c r="C819" i="6" s="1"/>
  <c r="I818" i="4"/>
  <c r="I819" i="6" s="1"/>
  <c r="A819" i="4"/>
  <c r="A820" i="6" s="1"/>
  <c r="A822" i="9" s="1"/>
  <c r="E818" i="4"/>
  <c r="E819" i="6" s="1"/>
  <c r="D818" i="4"/>
  <c r="D819" i="6" s="1"/>
  <c r="G818" i="4"/>
  <c r="G819" i="6" s="1"/>
  <c r="H818" i="4"/>
  <c r="H819" i="6" s="1"/>
  <c r="B818" i="4"/>
  <c r="B819" i="6" s="1"/>
  <c r="F818" i="4"/>
  <c r="F819" i="6" s="1"/>
  <c r="T821" i="9" l="1"/>
  <c r="L821" i="9"/>
  <c r="P821" i="9"/>
  <c r="E822" i="9"/>
  <c r="Q822" i="9" s="1"/>
  <c r="F822" i="9"/>
  <c r="G822" i="9"/>
  <c r="N822" i="9" s="1"/>
  <c r="H822" i="9"/>
  <c r="B822" i="9"/>
  <c r="U822" i="9"/>
  <c r="C822" i="9"/>
  <c r="M822" i="9" s="1"/>
  <c r="D822" i="9"/>
  <c r="I822" i="9"/>
  <c r="R822" i="9" s="1"/>
  <c r="J822" i="9"/>
  <c r="J819" i="6"/>
  <c r="B819" i="4"/>
  <c r="B820" i="6" s="1"/>
  <c r="A820" i="4"/>
  <c r="A821" i="6" s="1"/>
  <c r="A823" i="9" s="1"/>
  <c r="I819" i="4"/>
  <c r="I820" i="6" s="1"/>
  <c r="E819" i="4"/>
  <c r="E820" i="6" s="1"/>
  <c r="H819" i="4"/>
  <c r="H820" i="6" s="1"/>
  <c r="C819" i="4"/>
  <c r="C820" i="6" s="1"/>
  <c r="G819" i="4"/>
  <c r="G820" i="6" s="1"/>
  <c r="D819" i="4"/>
  <c r="D820" i="6" s="1"/>
  <c r="F819" i="4"/>
  <c r="F820" i="6" s="1"/>
  <c r="C823" i="9" l="1"/>
  <c r="M823" i="9" s="1"/>
  <c r="D823" i="9"/>
  <c r="E823" i="9"/>
  <c r="Q823" i="9" s="1"/>
  <c r="F823" i="9"/>
  <c r="B823" i="9"/>
  <c r="U823" i="9"/>
  <c r="G823" i="9"/>
  <c r="N823" i="9" s="1"/>
  <c r="J823" i="9"/>
  <c r="I823" i="9"/>
  <c r="R823" i="9" s="1"/>
  <c r="H823" i="9"/>
  <c r="P822" i="9"/>
  <c r="T822" i="9"/>
  <c r="L822" i="9"/>
  <c r="J820" i="6"/>
  <c r="I820" i="4"/>
  <c r="I821" i="6" s="1"/>
  <c r="B820" i="4"/>
  <c r="B821" i="6" s="1"/>
  <c r="A821" i="4"/>
  <c r="A822" i="6" s="1"/>
  <c r="A824" i="9" s="1"/>
  <c r="E820" i="4"/>
  <c r="E821" i="6" s="1"/>
  <c r="D820" i="4"/>
  <c r="D821" i="6" s="1"/>
  <c r="F820" i="4"/>
  <c r="F821" i="6" s="1"/>
  <c r="G820" i="4"/>
  <c r="G821" i="6" s="1"/>
  <c r="C820" i="4"/>
  <c r="C821" i="6" s="1"/>
  <c r="H820" i="4"/>
  <c r="H821" i="6" s="1"/>
  <c r="L823" i="9" l="1"/>
  <c r="P823" i="9"/>
  <c r="T823" i="9"/>
  <c r="I824" i="9"/>
  <c r="R824" i="9" s="1"/>
  <c r="B824" i="9"/>
  <c r="J824" i="9"/>
  <c r="U824" i="9"/>
  <c r="C824" i="9"/>
  <c r="M824" i="9" s="1"/>
  <c r="D824" i="9"/>
  <c r="E824" i="9"/>
  <c r="Q824" i="9" s="1"/>
  <c r="H824" i="9"/>
  <c r="G824" i="9"/>
  <c r="N824" i="9" s="1"/>
  <c r="F824" i="9"/>
  <c r="J821" i="6"/>
  <c r="H821" i="4"/>
  <c r="H822" i="6" s="1"/>
  <c r="I821" i="4"/>
  <c r="I822" i="6" s="1"/>
  <c r="D821" i="4"/>
  <c r="D822" i="6" s="1"/>
  <c r="E821" i="4"/>
  <c r="E822" i="6" s="1"/>
  <c r="G821" i="4"/>
  <c r="G822" i="6" s="1"/>
  <c r="A822" i="4"/>
  <c r="A823" i="6" s="1"/>
  <c r="A825" i="9" s="1"/>
  <c r="C821" i="4"/>
  <c r="C822" i="6" s="1"/>
  <c r="F821" i="4"/>
  <c r="F822" i="6" s="1"/>
  <c r="B821" i="4"/>
  <c r="B822" i="6" s="1"/>
  <c r="T824" i="9" l="1"/>
  <c r="L824" i="9"/>
  <c r="P824" i="9"/>
  <c r="G825" i="9"/>
  <c r="N825" i="9" s="1"/>
  <c r="H825" i="9"/>
  <c r="I825" i="9"/>
  <c r="R825" i="9" s="1"/>
  <c r="B825" i="9"/>
  <c r="J825" i="9"/>
  <c r="U825" i="9"/>
  <c r="C825" i="9"/>
  <c r="M825" i="9" s="1"/>
  <c r="F825" i="9"/>
  <c r="D825" i="9"/>
  <c r="E825" i="9"/>
  <c r="Q825" i="9" s="1"/>
  <c r="J822" i="6"/>
  <c r="G822" i="4"/>
  <c r="G823" i="6" s="1"/>
  <c r="H822" i="4"/>
  <c r="H823" i="6" s="1"/>
  <c r="C822" i="4"/>
  <c r="C823" i="6" s="1"/>
  <c r="I822" i="4"/>
  <c r="I823" i="6" s="1"/>
  <c r="B822" i="4"/>
  <c r="B823" i="6" s="1"/>
  <c r="F822" i="4"/>
  <c r="F823" i="6" s="1"/>
  <c r="E822" i="4"/>
  <c r="E823" i="6" s="1"/>
  <c r="D822" i="4"/>
  <c r="D823" i="6" s="1"/>
  <c r="A823" i="4"/>
  <c r="A824" i="6" s="1"/>
  <c r="A826" i="9" s="1"/>
  <c r="E826" i="9" l="1"/>
  <c r="Q826" i="9" s="1"/>
  <c r="F826" i="9"/>
  <c r="G826" i="9"/>
  <c r="N826" i="9" s="1"/>
  <c r="H826" i="9"/>
  <c r="I826" i="9"/>
  <c r="R826" i="9" s="1"/>
  <c r="J826" i="9"/>
  <c r="D826" i="9"/>
  <c r="B826" i="9"/>
  <c r="C826" i="9"/>
  <c r="M826" i="9" s="1"/>
  <c r="U826" i="9"/>
  <c r="T825" i="9"/>
  <c r="L825" i="9"/>
  <c r="P825" i="9"/>
  <c r="J823" i="6"/>
  <c r="F823" i="4"/>
  <c r="F824" i="6" s="1"/>
  <c r="G823" i="4"/>
  <c r="G824" i="6" s="1"/>
  <c r="B823" i="4"/>
  <c r="B824" i="6" s="1"/>
  <c r="A824" i="4"/>
  <c r="A825" i="6" s="1"/>
  <c r="A827" i="9" s="1"/>
  <c r="C823" i="4"/>
  <c r="C824" i="6" s="1"/>
  <c r="D823" i="4"/>
  <c r="D824" i="6" s="1"/>
  <c r="E823" i="4"/>
  <c r="E824" i="6" s="1"/>
  <c r="I823" i="4"/>
  <c r="I824" i="6" s="1"/>
  <c r="H823" i="4"/>
  <c r="H824" i="6" s="1"/>
  <c r="P826" i="9" l="1"/>
  <c r="L826" i="9"/>
  <c r="T826" i="9"/>
  <c r="C827" i="9"/>
  <c r="M827" i="9" s="1"/>
  <c r="D827" i="9"/>
  <c r="E827" i="9"/>
  <c r="Q827" i="9" s="1"/>
  <c r="F827" i="9"/>
  <c r="G827" i="9"/>
  <c r="N827" i="9" s="1"/>
  <c r="H827" i="9"/>
  <c r="I827" i="9"/>
  <c r="R827" i="9" s="1"/>
  <c r="J827" i="9"/>
  <c r="B827" i="9"/>
  <c r="U827" i="9"/>
  <c r="J824" i="6"/>
  <c r="E824" i="4"/>
  <c r="E825" i="6" s="1"/>
  <c r="F824" i="4"/>
  <c r="F825" i="6" s="1"/>
  <c r="I824" i="4"/>
  <c r="I825" i="6" s="1"/>
  <c r="C824" i="4"/>
  <c r="C825" i="6" s="1"/>
  <c r="G824" i="4"/>
  <c r="G825" i="6" s="1"/>
  <c r="H824" i="4"/>
  <c r="H825" i="6" s="1"/>
  <c r="A825" i="4"/>
  <c r="A826" i="6" s="1"/>
  <c r="A828" i="9" s="1"/>
  <c r="B824" i="4"/>
  <c r="B825" i="6" s="1"/>
  <c r="D824" i="4"/>
  <c r="D825" i="6" s="1"/>
  <c r="I828" i="9" l="1"/>
  <c r="R828" i="9" s="1"/>
  <c r="B828" i="9"/>
  <c r="J828" i="9"/>
  <c r="U828" i="9"/>
  <c r="C828" i="9"/>
  <c r="M828" i="9" s="1"/>
  <c r="D828" i="9"/>
  <c r="E828" i="9"/>
  <c r="Q828" i="9" s="1"/>
  <c r="F828" i="9"/>
  <c r="G828" i="9"/>
  <c r="N828" i="9" s="1"/>
  <c r="H828" i="9"/>
  <c r="L827" i="9"/>
  <c r="P827" i="9"/>
  <c r="T827" i="9"/>
  <c r="J825" i="6"/>
  <c r="D825" i="4"/>
  <c r="D826" i="6" s="1"/>
  <c r="E825" i="4"/>
  <c r="E826" i="6" s="1"/>
  <c r="H825" i="4"/>
  <c r="H826" i="6" s="1"/>
  <c r="G825" i="4"/>
  <c r="G826" i="6" s="1"/>
  <c r="A826" i="4"/>
  <c r="A827" i="6" s="1"/>
  <c r="A829" i="9" s="1"/>
  <c r="F825" i="4"/>
  <c r="F826" i="6" s="1"/>
  <c r="C825" i="4"/>
  <c r="C826" i="6" s="1"/>
  <c r="B825" i="4"/>
  <c r="B826" i="6" s="1"/>
  <c r="I825" i="4"/>
  <c r="I826" i="6" s="1"/>
  <c r="G829" i="9" l="1"/>
  <c r="N829" i="9" s="1"/>
  <c r="H829" i="9"/>
  <c r="I829" i="9"/>
  <c r="R829" i="9" s="1"/>
  <c r="B829" i="9"/>
  <c r="J829" i="9"/>
  <c r="U829" i="9"/>
  <c r="C829" i="9"/>
  <c r="M829" i="9" s="1"/>
  <c r="D829" i="9"/>
  <c r="E829" i="9"/>
  <c r="Q829" i="9" s="1"/>
  <c r="F829" i="9"/>
  <c r="T828" i="9"/>
  <c r="L828" i="9"/>
  <c r="P828" i="9"/>
  <c r="J826" i="6"/>
  <c r="C826" i="4"/>
  <c r="C827" i="6" s="1"/>
  <c r="D826" i="4"/>
  <c r="D827" i="6" s="1"/>
  <c r="G826" i="4"/>
  <c r="G827" i="6" s="1"/>
  <c r="A827" i="4"/>
  <c r="A828" i="6" s="1"/>
  <c r="A830" i="9" s="1"/>
  <c r="B826" i="4"/>
  <c r="B827" i="6" s="1"/>
  <c r="E826" i="4"/>
  <c r="E827" i="6" s="1"/>
  <c r="I826" i="4"/>
  <c r="I827" i="6" s="1"/>
  <c r="F826" i="4"/>
  <c r="F827" i="6" s="1"/>
  <c r="H826" i="4"/>
  <c r="H827" i="6" s="1"/>
  <c r="T829" i="9" l="1"/>
  <c r="L829" i="9"/>
  <c r="P829" i="9"/>
  <c r="E830" i="9"/>
  <c r="Q830" i="9" s="1"/>
  <c r="F830" i="9"/>
  <c r="G830" i="9"/>
  <c r="N830" i="9" s="1"/>
  <c r="H830" i="9"/>
  <c r="B830" i="9"/>
  <c r="U830" i="9"/>
  <c r="C830" i="9"/>
  <c r="M830" i="9" s="1"/>
  <c r="D830" i="9"/>
  <c r="I830" i="9"/>
  <c r="R830" i="9" s="1"/>
  <c r="J830" i="9"/>
  <c r="J827" i="6"/>
  <c r="B827" i="4"/>
  <c r="B828" i="6" s="1"/>
  <c r="A828" i="4"/>
  <c r="A829" i="6" s="1"/>
  <c r="A831" i="9" s="1"/>
  <c r="C827" i="4"/>
  <c r="C828" i="6" s="1"/>
  <c r="F827" i="4"/>
  <c r="F828" i="6" s="1"/>
  <c r="E827" i="4"/>
  <c r="E828" i="6" s="1"/>
  <c r="G827" i="4"/>
  <c r="G828" i="6" s="1"/>
  <c r="H827" i="4"/>
  <c r="H828" i="6" s="1"/>
  <c r="I827" i="4"/>
  <c r="I828" i="6" s="1"/>
  <c r="D827" i="4"/>
  <c r="D828" i="6" s="1"/>
  <c r="C831" i="9" l="1"/>
  <c r="M831" i="9" s="1"/>
  <c r="D831" i="9"/>
  <c r="E831" i="9"/>
  <c r="Q831" i="9" s="1"/>
  <c r="F831" i="9"/>
  <c r="B831" i="9"/>
  <c r="U831" i="9"/>
  <c r="G831" i="9"/>
  <c r="N831" i="9" s="1"/>
  <c r="J831" i="9"/>
  <c r="I831" i="9"/>
  <c r="R831" i="9" s="1"/>
  <c r="H831" i="9"/>
  <c r="P830" i="9"/>
  <c r="T830" i="9"/>
  <c r="L830" i="9"/>
  <c r="J828" i="6"/>
  <c r="I828" i="4"/>
  <c r="I829" i="6" s="1"/>
  <c r="B828" i="4"/>
  <c r="B829" i="6" s="1"/>
  <c r="A829" i="4"/>
  <c r="A830" i="6" s="1"/>
  <c r="A832" i="9" s="1"/>
  <c r="E828" i="4"/>
  <c r="E829" i="6" s="1"/>
  <c r="F828" i="4"/>
  <c r="F829" i="6" s="1"/>
  <c r="H828" i="4"/>
  <c r="H829" i="6" s="1"/>
  <c r="D828" i="4"/>
  <c r="D829" i="6" s="1"/>
  <c r="C828" i="4"/>
  <c r="C829" i="6" s="1"/>
  <c r="G828" i="4"/>
  <c r="G829" i="6" s="1"/>
  <c r="L831" i="9" l="1"/>
  <c r="P831" i="9"/>
  <c r="T831" i="9"/>
  <c r="I832" i="9"/>
  <c r="R832" i="9" s="1"/>
  <c r="B832" i="9"/>
  <c r="J832" i="9"/>
  <c r="U832" i="9"/>
  <c r="C832" i="9"/>
  <c r="M832" i="9" s="1"/>
  <c r="D832" i="9"/>
  <c r="E832" i="9"/>
  <c r="Q832" i="9" s="1"/>
  <c r="H832" i="9"/>
  <c r="F832" i="9"/>
  <c r="G832" i="9"/>
  <c r="N832" i="9" s="1"/>
  <c r="J829" i="6"/>
  <c r="H829" i="4"/>
  <c r="H830" i="6" s="1"/>
  <c r="I829" i="4"/>
  <c r="I830" i="6" s="1"/>
  <c r="D829" i="4"/>
  <c r="D830" i="6" s="1"/>
  <c r="A830" i="4"/>
  <c r="A831" i="6" s="1"/>
  <c r="A833" i="9" s="1"/>
  <c r="B829" i="4"/>
  <c r="B830" i="6" s="1"/>
  <c r="C829" i="4"/>
  <c r="C830" i="6" s="1"/>
  <c r="G829" i="4"/>
  <c r="G830" i="6" s="1"/>
  <c r="E829" i="4"/>
  <c r="E830" i="6" s="1"/>
  <c r="F829" i="4"/>
  <c r="F830" i="6" s="1"/>
  <c r="T832" i="9" l="1"/>
  <c r="L832" i="9"/>
  <c r="P832" i="9"/>
  <c r="G833" i="9"/>
  <c r="N833" i="9" s="1"/>
  <c r="H833" i="9"/>
  <c r="I833" i="9"/>
  <c r="R833" i="9" s="1"/>
  <c r="B833" i="9"/>
  <c r="J833" i="9"/>
  <c r="U833" i="9"/>
  <c r="C833" i="9"/>
  <c r="M833" i="9" s="1"/>
  <c r="F833" i="9"/>
  <c r="D833" i="9"/>
  <c r="E833" i="9"/>
  <c r="Q833" i="9" s="1"/>
  <c r="J830" i="6"/>
  <c r="G830" i="4"/>
  <c r="G831" i="6" s="1"/>
  <c r="H830" i="4"/>
  <c r="H831" i="6" s="1"/>
  <c r="C830" i="4"/>
  <c r="C831" i="6" s="1"/>
  <c r="D830" i="4"/>
  <c r="D831" i="6" s="1"/>
  <c r="E830" i="4"/>
  <c r="E831" i="6" s="1"/>
  <c r="F830" i="4"/>
  <c r="F831" i="6" s="1"/>
  <c r="B830" i="4"/>
  <c r="B831" i="6" s="1"/>
  <c r="I830" i="4"/>
  <c r="I831" i="6" s="1"/>
  <c r="A831" i="4"/>
  <c r="A832" i="6" s="1"/>
  <c r="A834" i="9" s="1"/>
  <c r="T833" i="9" l="1"/>
  <c r="L833" i="9"/>
  <c r="P833" i="9"/>
  <c r="E834" i="9"/>
  <c r="Q834" i="9" s="1"/>
  <c r="F834" i="9"/>
  <c r="G834" i="9"/>
  <c r="N834" i="9" s="1"/>
  <c r="H834" i="9"/>
  <c r="I834" i="9"/>
  <c r="R834" i="9" s="1"/>
  <c r="J834" i="9"/>
  <c r="D834" i="9"/>
  <c r="C834" i="9"/>
  <c r="M834" i="9" s="1"/>
  <c r="B834" i="9"/>
  <c r="U834" i="9"/>
  <c r="J831" i="6"/>
  <c r="F831" i="4"/>
  <c r="F832" i="6" s="1"/>
  <c r="G831" i="4"/>
  <c r="G832" i="6" s="1"/>
  <c r="B831" i="4"/>
  <c r="B832" i="6" s="1"/>
  <c r="A832" i="4"/>
  <c r="A833" i="6" s="1"/>
  <c r="A835" i="9" s="1"/>
  <c r="D831" i="4"/>
  <c r="D832" i="6" s="1"/>
  <c r="H831" i="4"/>
  <c r="H832" i="6" s="1"/>
  <c r="I831" i="4"/>
  <c r="I832" i="6" s="1"/>
  <c r="C831" i="4"/>
  <c r="C832" i="6" s="1"/>
  <c r="E831" i="4"/>
  <c r="E832" i="6" s="1"/>
  <c r="C835" i="9" l="1"/>
  <c r="M835" i="9" s="1"/>
  <c r="D835" i="9"/>
  <c r="E835" i="9"/>
  <c r="Q835" i="9" s="1"/>
  <c r="F835" i="9"/>
  <c r="G835" i="9"/>
  <c r="N835" i="9" s="1"/>
  <c r="H835" i="9"/>
  <c r="I835" i="9"/>
  <c r="R835" i="9" s="1"/>
  <c r="J835" i="9"/>
  <c r="B835" i="9"/>
  <c r="U835" i="9"/>
  <c r="P834" i="9"/>
  <c r="L834" i="9"/>
  <c r="T834" i="9"/>
  <c r="J832" i="6"/>
  <c r="E832" i="4"/>
  <c r="E833" i="6" s="1"/>
  <c r="F832" i="4"/>
  <c r="F833" i="6" s="1"/>
  <c r="I832" i="4"/>
  <c r="I833" i="6" s="1"/>
  <c r="H832" i="4"/>
  <c r="H833" i="6" s="1"/>
  <c r="B832" i="4"/>
  <c r="B833" i="6" s="1"/>
  <c r="G832" i="4"/>
  <c r="G833" i="6" s="1"/>
  <c r="A833" i="4"/>
  <c r="A834" i="6" s="1"/>
  <c r="A836" i="9" s="1"/>
  <c r="D832" i="4"/>
  <c r="D833" i="6" s="1"/>
  <c r="C832" i="4"/>
  <c r="C833" i="6" s="1"/>
  <c r="L835" i="9" l="1"/>
  <c r="P835" i="9"/>
  <c r="T835" i="9"/>
  <c r="I836" i="9"/>
  <c r="R836" i="9" s="1"/>
  <c r="B836" i="9"/>
  <c r="J836" i="9"/>
  <c r="U836" i="9"/>
  <c r="C836" i="9"/>
  <c r="M836" i="9" s="1"/>
  <c r="D836" i="9"/>
  <c r="E836" i="9"/>
  <c r="Q836" i="9" s="1"/>
  <c r="F836" i="9"/>
  <c r="G836" i="9"/>
  <c r="N836" i="9" s="1"/>
  <c r="H836" i="9"/>
  <c r="J833" i="6"/>
  <c r="D833" i="4"/>
  <c r="D834" i="6" s="1"/>
  <c r="E833" i="4"/>
  <c r="E834" i="6" s="1"/>
  <c r="H833" i="4"/>
  <c r="H834" i="6" s="1"/>
  <c r="B833" i="4"/>
  <c r="B834" i="6" s="1"/>
  <c r="C833" i="4"/>
  <c r="C834" i="6" s="1"/>
  <c r="F833" i="4"/>
  <c r="F834" i="6" s="1"/>
  <c r="A834" i="4"/>
  <c r="A835" i="6" s="1"/>
  <c r="A837" i="9" s="1"/>
  <c r="I833" i="4"/>
  <c r="I834" i="6" s="1"/>
  <c r="G833" i="4"/>
  <c r="G834" i="6" s="1"/>
  <c r="T836" i="9" l="1"/>
  <c r="L836" i="9"/>
  <c r="P836" i="9"/>
  <c r="G837" i="9"/>
  <c r="N837" i="9" s="1"/>
  <c r="H837" i="9"/>
  <c r="I837" i="9"/>
  <c r="R837" i="9" s="1"/>
  <c r="B837" i="9"/>
  <c r="J837" i="9"/>
  <c r="U837" i="9"/>
  <c r="C837" i="9"/>
  <c r="M837" i="9" s="1"/>
  <c r="D837" i="9"/>
  <c r="E837" i="9"/>
  <c r="Q837" i="9" s="1"/>
  <c r="F837" i="9"/>
  <c r="J834" i="6"/>
  <c r="C834" i="4"/>
  <c r="C835" i="6" s="1"/>
  <c r="D834" i="4"/>
  <c r="D835" i="6" s="1"/>
  <c r="G834" i="4"/>
  <c r="G835" i="6" s="1"/>
  <c r="B834" i="4"/>
  <c r="B835" i="6" s="1"/>
  <c r="F834" i="4"/>
  <c r="F835" i="6" s="1"/>
  <c r="H834" i="4"/>
  <c r="H835" i="6" s="1"/>
  <c r="I834" i="4"/>
  <c r="I835" i="6" s="1"/>
  <c r="E834" i="4"/>
  <c r="E835" i="6" s="1"/>
  <c r="A835" i="4"/>
  <c r="A836" i="6" s="1"/>
  <c r="A838" i="9" s="1"/>
  <c r="T837" i="9" l="1"/>
  <c r="L837" i="9"/>
  <c r="P837" i="9"/>
  <c r="E838" i="9"/>
  <c r="Q838" i="9" s="1"/>
  <c r="F838" i="9"/>
  <c r="G838" i="9"/>
  <c r="N838" i="9" s="1"/>
  <c r="H838" i="9"/>
  <c r="B838" i="9"/>
  <c r="U838" i="9"/>
  <c r="C838" i="9"/>
  <c r="M838" i="9" s="1"/>
  <c r="D838" i="9"/>
  <c r="I838" i="9"/>
  <c r="R838" i="9" s="1"/>
  <c r="J838" i="9"/>
  <c r="J835" i="6"/>
  <c r="B835" i="4"/>
  <c r="B836" i="6" s="1"/>
  <c r="A836" i="4"/>
  <c r="A837" i="6" s="1"/>
  <c r="A839" i="9" s="1"/>
  <c r="C835" i="4"/>
  <c r="C836" i="6" s="1"/>
  <c r="F835" i="4"/>
  <c r="F836" i="6" s="1"/>
  <c r="G835" i="4"/>
  <c r="G836" i="6" s="1"/>
  <c r="I835" i="4"/>
  <c r="I836" i="6" s="1"/>
  <c r="E835" i="4"/>
  <c r="E836" i="6" s="1"/>
  <c r="D835" i="4"/>
  <c r="D836" i="6" s="1"/>
  <c r="H835" i="4"/>
  <c r="H836" i="6" s="1"/>
  <c r="C839" i="9" l="1"/>
  <c r="M839" i="9" s="1"/>
  <c r="D839" i="9"/>
  <c r="E839" i="9"/>
  <c r="Q839" i="9" s="1"/>
  <c r="F839" i="9"/>
  <c r="B839" i="9"/>
  <c r="U839" i="9"/>
  <c r="G839" i="9"/>
  <c r="N839" i="9" s="1"/>
  <c r="J839" i="9"/>
  <c r="H839" i="9"/>
  <c r="I839" i="9"/>
  <c r="R839" i="9" s="1"/>
  <c r="P838" i="9"/>
  <c r="T838" i="9"/>
  <c r="L838" i="9"/>
  <c r="J836" i="6"/>
  <c r="I836" i="4"/>
  <c r="I837" i="6" s="1"/>
  <c r="B836" i="4"/>
  <c r="B837" i="6" s="1"/>
  <c r="A837" i="4"/>
  <c r="A838" i="6" s="1"/>
  <c r="A840" i="9" s="1"/>
  <c r="E836" i="4"/>
  <c r="E837" i="6" s="1"/>
  <c r="C836" i="4"/>
  <c r="C837" i="6" s="1"/>
  <c r="D836" i="4"/>
  <c r="D837" i="6" s="1"/>
  <c r="H836" i="4"/>
  <c r="H837" i="6" s="1"/>
  <c r="G836" i="4"/>
  <c r="G837" i="6" s="1"/>
  <c r="F836" i="4"/>
  <c r="F837" i="6" s="1"/>
  <c r="L839" i="9" l="1"/>
  <c r="P839" i="9"/>
  <c r="T839" i="9"/>
  <c r="I840" i="9"/>
  <c r="R840" i="9" s="1"/>
  <c r="B840" i="9"/>
  <c r="J840" i="9"/>
  <c r="U840" i="9"/>
  <c r="C840" i="9"/>
  <c r="M840" i="9" s="1"/>
  <c r="D840" i="9"/>
  <c r="E840" i="9"/>
  <c r="Q840" i="9" s="1"/>
  <c r="H840" i="9"/>
  <c r="F840" i="9"/>
  <c r="G840" i="9"/>
  <c r="N840" i="9" s="1"/>
  <c r="J837" i="6"/>
  <c r="H837" i="4"/>
  <c r="H838" i="6" s="1"/>
  <c r="I837" i="4"/>
  <c r="I838" i="6" s="1"/>
  <c r="D837" i="4"/>
  <c r="D838" i="6" s="1"/>
  <c r="B837" i="4"/>
  <c r="B838" i="6" s="1"/>
  <c r="E837" i="4"/>
  <c r="E838" i="6" s="1"/>
  <c r="F837" i="4"/>
  <c r="F838" i="6" s="1"/>
  <c r="G837" i="4"/>
  <c r="G838" i="6" s="1"/>
  <c r="A838" i="4"/>
  <c r="A839" i="6" s="1"/>
  <c r="A841" i="9" s="1"/>
  <c r="C837" i="4"/>
  <c r="C838" i="6" s="1"/>
  <c r="T840" i="9" l="1"/>
  <c r="L840" i="9"/>
  <c r="P840" i="9"/>
  <c r="G841" i="9"/>
  <c r="N841" i="9" s="1"/>
  <c r="H841" i="9"/>
  <c r="I841" i="9"/>
  <c r="R841" i="9" s="1"/>
  <c r="B841" i="9"/>
  <c r="J841" i="9"/>
  <c r="U841" i="9"/>
  <c r="C841" i="9"/>
  <c r="M841" i="9" s="1"/>
  <c r="F841" i="9"/>
  <c r="D841" i="9"/>
  <c r="E841" i="9"/>
  <c r="Q841" i="9" s="1"/>
  <c r="J838" i="6"/>
  <c r="G838" i="4"/>
  <c r="G839" i="6" s="1"/>
  <c r="H838" i="4"/>
  <c r="H839" i="6" s="1"/>
  <c r="C838" i="4"/>
  <c r="C839" i="6" s="1"/>
  <c r="E838" i="4"/>
  <c r="E839" i="6" s="1"/>
  <c r="I838" i="4"/>
  <c r="I839" i="6" s="1"/>
  <c r="A839" i="4"/>
  <c r="A840" i="6" s="1"/>
  <c r="A842" i="9" s="1"/>
  <c r="D838" i="4"/>
  <c r="D839" i="6" s="1"/>
  <c r="B838" i="4"/>
  <c r="B839" i="6" s="1"/>
  <c r="F838" i="4"/>
  <c r="F839" i="6" s="1"/>
  <c r="T841" i="9" l="1"/>
  <c r="L841" i="9"/>
  <c r="P841" i="9"/>
  <c r="E842" i="9"/>
  <c r="Q842" i="9" s="1"/>
  <c r="F842" i="9"/>
  <c r="G842" i="9"/>
  <c r="N842" i="9" s="1"/>
  <c r="H842" i="9"/>
  <c r="I842" i="9"/>
  <c r="R842" i="9" s="1"/>
  <c r="J842" i="9"/>
  <c r="D842" i="9"/>
  <c r="C842" i="9"/>
  <c r="M842" i="9" s="1"/>
  <c r="U842" i="9"/>
  <c r="B842" i="9"/>
  <c r="J839" i="6"/>
  <c r="F839" i="4"/>
  <c r="F840" i="6" s="1"/>
  <c r="G839" i="4"/>
  <c r="G840" i="6" s="1"/>
  <c r="B839" i="4"/>
  <c r="B840" i="6" s="1"/>
  <c r="A840" i="4"/>
  <c r="A841" i="6" s="1"/>
  <c r="A843" i="9" s="1"/>
  <c r="I839" i="4"/>
  <c r="I840" i="6" s="1"/>
  <c r="C839" i="4"/>
  <c r="C840" i="6" s="1"/>
  <c r="H839" i="4"/>
  <c r="H840" i="6" s="1"/>
  <c r="D839" i="4"/>
  <c r="D840" i="6" s="1"/>
  <c r="E839" i="4"/>
  <c r="E840" i="6" s="1"/>
  <c r="C843" i="9" l="1"/>
  <c r="M843" i="9" s="1"/>
  <c r="D843" i="9"/>
  <c r="E843" i="9"/>
  <c r="Q843" i="9" s="1"/>
  <c r="F843" i="9"/>
  <c r="G843" i="9"/>
  <c r="N843" i="9" s="1"/>
  <c r="H843" i="9"/>
  <c r="I843" i="9"/>
  <c r="R843" i="9" s="1"/>
  <c r="J843" i="9"/>
  <c r="B843" i="9"/>
  <c r="U843" i="9"/>
  <c r="P842" i="9"/>
  <c r="L842" i="9"/>
  <c r="T842" i="9"/>
  <c r="J840" i="6"/>
  <c r="E840" i="4"/>
  <c r="E841" i="6" s="1"/>
  <c r="F840" i="4"/>
  <c r="F841" i="6" s="1"/>
  <c r="I840" i="4"/>
  <c r="I841" i="6" s="1"/>
  <c r="C840" i="4"/>
  <c r="C841" i="6" s="1"/>
  <c r="D840" i="4"/>
  <c r="D841" i="6" s="1"/>
  <c r="G840" i="4"/>
  <c r="G841" i="6" s="1"/>
  <c r="H840" i="4"/>
  <c r="H841" i="6" s="1"/>
  <c r="B840" i="4"/>
  <c r="B841" i="6" s="1"/>
  <c r="A841" i="4"/>
  <c r="A842" i="6" s="1"/>
  <c r="A844" i="9" s="1"/>
  <c r="L843" i="9" l="1"/>
  <c r="P843" i="9"/>
  <c r="T843" i="9"/>
  <c r="I844" i="9"/>
  <c r="R844" i="9" s="1"/>
  <c r="B844" i="9"/>
  <c r="J844" i="9"/>
  <c r="U844" i="9"/>
  <c r="C844" i="9"/>
  <c r="M844" i="9" s="1"/>
  <c r="D844" i="9"/>
  <c r="E844" i="9"/>
  <c r="Q844" i="9" s="1"/>
  <c r="F844" i="9"/>
  <c r="G844" i="9"/>
  <c r="N844" i="9" s="1"/>
  <c r="H844" i="9"/>
  <c r="J841" i="6"/>
  <c r="D841" i="4"/>
  <c r="D842" i="6" s="1"/>
  <c r="E841" i="4"/>
  <c r="E842" i="6" s="1"/>
  <c r="H841" i="4"/>
  <c r="H842" i="6" s="1"/>
  <c r="C841" i="4"/>
  <c r="C842" i="6" s="1"/>
  <c r="G841" i="4"/>
  <c r="G842" i="6" s="1"/>
  <c r="I841" i="4"/>
  <c r="I842" i="6" s="1"/>
  <c r="A842" i="4"/>
  <c r="A843" i="6" s="1"/>
  <c r="A845" i="9" s="1"/>
  <c r="B841" i="4"/>
  <c r="B842" i="6" s="1"/>
  <c r="F841" i="4"/>
  <c r="F842" i="6" s="1"/>
  <c r="T844" i="9" l="1"/>
  <c r="L844" i="9"/>
  <c r="P844" i="9"/>
  <c r="G845" i="9"/>
  <c r="N845" i="9" s="1"/>
  <c r="H845" i="9"/>
  <c r="I845" i="9"/>
  <c r="R845" i="9" s="1"/>
  <c r="B845" i="9"/>
  <c r="J845" i="9"/>
  <c r="U845" i="9"/>
  <c r="C845" i="9"/>
  <c r="M845" i="9" s="1"/>
  <c r="D845" i="9"/>
  <c r="E845" i="9"/>
  <c r="Q845" i="9" s="1"/>
  <c r="F845" i="9"/>
  <c r="J842" i="6"/>
  <c r="C842" i="4"/>
  <c r="C843" i="6" s="1"/>
  <c r="D842" i="4"/>
  <c r="D843" i="6" s="1"/>
  <c r="G842" i="4"/>
  <c r="G843" i="6" s="1"/>
  <c r="H842" i="4"/>
  <c r="H843" i="6" s="1"/>
  <c r="A843" i="4"/>
  <c r="A844" i="6" s="1"/>
  <c r="A846" i="9" s="1"/>
  <c r="F842" i="4"/>
  <c r="F843" i="6" s="1"/>
  <c r="B842" i="4"/>
  <c r="B843" i="6" s="1"/>
  <c r="E842" i="4"/>
  <c r="E843" i="6" s="1"/>
  <c r="I842" i="4"/>
  <c r="I843" i="6" s="1"/>
  <c r="T845" i="9" l="1"/>
  <c r="L845" i="9"/>
  <c r="P845" i="9"/>
  <c r="E846" i="9"/>
  <c r="Q846" i="9" s="1"/>
  <c r="F846" i="9"/>
  <c r="G846" i="9"/>
  <c r="N846" i="9" s="1"/>
  <c r="H846" i="9"/>
  <c r="B846" i="9"/>
  <c r="U846" i="9"/>
  <c r="C846" i="9"/>
  <c r="M846" i="9" s="1"/>
  <c r="D846" i="9"/>
  <c r="I846" i="9"/>
  <c r="R846" i="9" s="1"/>
  <c r="J846" i="9"/>
  <c r="J843" i="6"/>
  <c r="B843" i="4"/>
  <c r="B844" i="6" s="1"/>
  <c r="A844" i="4"/>
  <c r="A845" i="6" s="1"/>
  <c r="A847" i="9" s="1"/>
  <c r="F843" i="4"/>
  <c r="F844" i="6" s="1"/>
  <c r="I843" i="4"/>
  <c r="I844" i="6" s="1"/>
  <c r="C843" i="4"/>
  <c r="C844" i="6" s="1"/>
  <c r="D843" i="4"/>
  <c r="D844" i="6" s="1"/>
  <c r="G843" i="4"/>
  <c r="G844" i="6" s="1"/>
  <c r="E843" i="4"/>
  <c r="E844" i="6" s="1"/>
  <c r="H843" i="4"/>
  <c r="H844" i="6" s="1"/>
  <c r="C847" i="9" l="1"/>
  <c r="M847" i="9" s="1"/>
  <c r="D847" i="9"/>
  <c r="E847" i="9"/>
  <c r="Q847" i="9" s="1"/>
  <c r="F847" i="9"/>
  <c r="B847" i="9"/>
  <c r="U847" i="9"/>
  <c r="G847" i="9"/>
  <c r="N847" i="9" s="1"/>
  <c r="J847" i="9"/>
  <c r="H847" i="9"/>
  <c r="I847" i="9"/>
  <c r="R847" i="9" s="1"/>
  <c r="P846" i="9"/>
  <c r="T846" i="9"/>
  <c r="L846" i="9"/>
  <c r="J844" i="6"/>
  <c r="I844" i="4"/>
  <c r="I845" i="6" s="1"/>
  <c r="E844" i="4"/>
  <c r="E845" i="6" s="1"/>
  <c r="C844" i="4"/>
  <c r="C845" i="6" s="1"/>
  <c r="D844" i="4"/>
  <c r="D845" i="6" s="1"/>
  <c r="F844" i="4"/>
  <c r="F845" i="6" s="1"/>
  <c r="B844" i="4"/>
  <c r="B845" i="6" s="1"/>
  <c r="A845" i="4"/>
  <c r="A846" i="6" s="1"/>
  <c r="A848" i="9" s="1"/>
  <c r="H844" i="4"/>
  <c r="H845" i="6" s="1"/>
  <c r="G844" i="4"/>
  <c r="G845" i="6" s="1"/>
  <c r="L847" i="9" l="1"/>
  <c r="P847" i="9"/>
  <c r="T847" i="9"/>
  <c r="I848" i="9"/>
  <c r="R848" i="9" s="1"/>
  <c r="B848" i="9"/>
  <c r="J848" i="9"/>
  <c r="U848" i="9"/>
  <c r="C848" i="9"/>
  <c r="M848" i="9" s="1"/>
  <c r="D848" i="9"/>
  <c r="E848" i="9"/>
  <c r="Q848" i="9" s="1"/>
  <c r="H848" i="9"/>
  <c r="F848" i="9"/>
  <c r="G848" i="9"/>
  <c r="N848" i="9" s="1"/>
  <c r="J845" i="6"/>
  <c r="H845" i="4"/>
  <c r="H846" i="6" s="1"/>
  <c r="D845" i="4"/>
  <c r="D846" i="6" s="1"/>
  <c r="B845" i="4"/>
  <c r="B846" i="6" s="1"/>
  <c r="E845" i="4"/>
  <c r="E846" i="6" s="1"/>
  <c r="F845" i="4"/>
  <c r="F846" i="6" s="1"/>
  <c r="G845" i="4"/>
  <c r="G846" i="6" s="1"/>
  <c r="A846" i="4"/>
  <c r="A847" i="6" s="1"/>
  <c r="A849" i="9" s="1"/>
  <c r="I845" i="4"/>
  <c r="I846" i="6" s="1"/>
  <c r="C845" i="4"/>
  <c r="C846" i="6" s="1"/>
  <c r="T848" i="9" l="1"/>
  <c r="L848" i="9"/>
  <c r="P848" i="9"/>
  <c r="G849" i="9"/>
  <c r="N849" i="9" s="1"/>
  <c r="H849" i="9"/>
  <c r="I849" i="9"/>
  <c r="R849" i="9" s="1"/>
  <c r="B849" i="9"/>
  <c r="J849" i="9"/>
  <c r="U849" i="9"/>
  <c r="C849" i="9"/>
  <c r="M849" i="9" s="1"/>
  <c r="F849" i="9"/>
  <c r="E849" i="9"/>
  <c r="Q849" i="9" s="1"/>
  <c r="D849" i="9"/>
  <c r="J846" i="6"/>
  <c r="G846" i="4"/>
  <c r="G847" i="6" s="1"/>
  <c r="C846" i="4"/>
  <c r="C847" i="6" s="1"/>
  <c r="D846" i="4"/>
  <c r="D847" i="6" s="1"/>
  <c r="F846" i="4"/>
  <c r="F847" i="6" s="1"/>
  <c r="H846" i="4"/>
  <c r="H847" i="6" s="1"/>
  <c r="I846" i="4"/>
  <c r="I847" i="6" s="1"/>
  <c r="E846" i="4"/>
  <c r="E847" i="6" s="1"/>
  <c r="B846" i="4"/>
  <c r="B847" i="6" s="1"/>
  <c r="A847" i="4"/>
  <c r="A848" i="6" s="1"/>
  <c r="A850" i="9" s="1"/>
  <c r="T849" i="9" l="1"/>
  <c r="L849" i="9"/>
  <c r="P849" i="9"/>
  <c r="E850" i="9"/>
  <c r="Q850" i="9" s="1"/>
  <c r="F850" i="9"/>
  <c r="G850" i="9"/>
  <c r="N850" i="9" s="1"/>
  <c r="H850" i="9"/>
  <c r="I850" i="9"/>
  <c r="R850" i="9" s="1"/>
  <c r="J850" i="9"/>
  <c r="D850" i="9"/>
  <c r="U850" i="9"/>
  <c r="B850" i="9"/>
  <c r="C850" i="9"/>
  <c r="M850" i="9" s="1"/>
  <c r="J847" i="6"/>
  <c r="F847" i="4"/>
  <c r="F848" i="6" s="1"/>
  <c r="B847" i="4"/>
  <c r="B848" i="6" s="1"/>
  <c r="A848" i="4"/>
  <c r="A849" i="6" s="1"/>
  <c r="A851" i="9" s="1"/>
  <c r="E847" i="4"/>
  <c r="E848" i="6" s="1"/>
  <c r="H847" i="4"/>
  <c r="H848" i="6" s="1"/>
  <c r="I847" i="4"/>
  <c r="I848" i="6" s="1"/>
  <c r="D847" i="4"/>
  <c r="D848" i="6" s="1"/>
  <c r="C847" i="4"/>
  <c r="C848" i="6" s="1"/>
  <c r="G847" i="4"/>
  <c r="G848" i="6" s="1"/>
  <c r="C851" i="9" l="1"/>
  <c r="M851" i="9" s="1"/>
  <c r="D851" i="9"/>
  <c r="E851" i="9"/>
  <c r="Q851" i="9" s="1"/>
  <c r="F851" i="9"/>
  <c r="G851" i="9"/>
  <c r="N851" i="9" s="1"/>
  <c r="H851" i="9"/>
  <c r="I851" i="9"/>
  <c r="R851" i="9" s="1"/>
  <c r="J851" i="9"/>
  <c r="B851" i="9"/>
  <c r="U851" i="9"/>
  <c r="P850" i="9"/>
  <c r="L850" i="9"/>
  <c r="T850" i="9"/>
  <c r="J848" i="6"/>
  <c r="E848" i="4"/>
  <c r="E849" i="6" s="1"/>
  <c r="I848" i="4"/>
  <c r="I849" i="6" s="1"/>
  <c r="G848" i="4"/>
  <c r="G849" i="6" s="1"/>
  <c r="A849" i="4"/>
  <c r="A850" i="6" s="1"/>
  <c r="A852" i="9" s="1"/>
  <c r="B848" i="4"/>
  <c r="B849" i="6" s="1"/>
  <c r="D848" i="4"/>
  <c r="D849" i="6" s="1"/>
  <c r="H848" i="4"/>
  <c r="H849" i="6" s="1"/>
  <c r="F848" i="4"/>
  <c r="F849" i="6" s="1"/>
  <c r="C848" i="4"/>
  <c r="C849" i="6" s="1"/>
  <c r="L851" i="9" l="1"/>
  <c r="P851" i="9"/>
  <c r="T851" i="9"/>
  <c r="I852" i="9"/>
  <c r="R852" i="9" s="1"/>
  <c r="B852" i="9"/>
  <c r="J852" i="9"/>
  <c r="U852" i="9"/>
  <c r="C852" i="9"/>
  <c r="M852" i="9" s="1"/>
  <c r="D852" i="9"/>
  <c r="E852" i="9"/>
  <c r="Q852" i="9" s="1"/>
  <c r="F852" i="9"/>
  <c r="G852" i="9"/>
  <c r="N852" i="9" s="1"/>
  <c r="H852" i="9"/>
  <c r="J849" i="6"/>
  <c r="D849" i="4"/>
  <c r="D850" i="6" s="1"/>
  <c r="H849" i="4"/>
  <c r="H850" i="6" s="1"/>
  <c r="I849" i="4"/>
  <c r="I850" i="6" s="1"/>
  <c r="B849" i="4"/>
  <c r="B850" i="6" s="1"/>
  <c r="C849" i="4"/>
  <c r="C850" i="6" s="1"/>
  <c r="G849" i="4"/>
  <c r="G850" i="6" s="1"/>
  <c r="F849" i="4"/>
  <c r="F850" i="6" s="1"/>
  <c r="A850" i="4"/>
  <c r="A851" i="6" s="1"/>
  <c r="A853" i="9" s="1"/>
  <c r="E849" i="4"/>
  <c r="E850" i="6" s="1"/>
  <c r="T852" i="9" l="1"/>
  <c r="L852" i="9"/>
  <c r="P852" i="9"/>
  <c r="G853" i="9"/>
  <c r="N853" i="9" s="1"/>
  <c r="B853" i="9"/>
  <c r="J853" i="9"/>
  <c r="U853" i="9"/>
  <c r="C853" i="9"/>
  <c r="M853" i="9" s="1"/>
  <c r="D853" i="9"/>
  <c r="E853" i="9"/>
  <c r="Q853" i="9" s="1"/>
  <c r="I853" i="9"/>
  <c r="R853" i="9" s="1"/>
  <c r="F853" i="9"/>
  <c r="H853" i="9"/>
  <c r="J850" i="6"/>
  <c r="C850" i="4"/>
  <c r="C851" i="6" s="1"/>
  <c r="I850" i="4"/>
  <c r="I851" i="6" s="1"/>
  <c r="B850" i="4"/>
  <c r="B851" i="6" s="1"/>
  <c r="D850" i="4"/>
  <c r="D851" i="6" s="1"/>
  <c r="E850" i="4"/>
  <c r="E851" i="6" s="1"/>
  <c r="G850" i="4"/>
  <c r="G851" i="6" s="1"/>
  <c r="A851" i="4"/>
  <c r="A852" i="6" s="1"/>
  <c r="A854" i="9" s="1"/>
  <c r="F850" i="4"/>
  <c r="F851" i="6" s="1"/>
  <c r="H850" i="4"/>
  <c r="H851" i="6" s="1"/>
  <c r="L853" i="9" l="1"/>
  <c r="P853" i="9"/>
  <c r="T853" i="9"/>
  <c r="E854" i="9"/>
  <c r="Q854" i="9" s="1"/>
  <c r="H854" i="9"/>
  <c r="C854" i="9"/>
  <c r="M854" i="9" s="1"/>
  <c r="D854" i="9"/>
  <c r="F854" i="9"/>
  <c r="G854" i="9"/>
  <c r="N854" i="9" s="1"/>
  <c r="U854" i="9"/>
  <c r="I854" i="9"/>
  <c r="R854" i="9" s="1"/>
  <c r="B854" i="9"/>
  <c r="J854" i="9"/>
  <c r="J851" i="6"/>
  <c r="H851" i="4"/>
  <c r="H852" i="6" s="1"/>
  <c r="B851" i="4"/>
  <c r="B852" i="6" s="1"/>
  <c r="A852" i="4"/>
  <c r="A853" i="6" s="1"/>
  <c r="A855" i="9" s="1"/>
  <c r="C851" i="4"/>
  <c r="C852" i="6" s="1"/>
  <c r="D851" i="4"/>
  <c r="D852" i="6" s="1"/>
  <c r="G851" i="4"/>
  <c r="G852" i="6" s="1"/>
  <c r="I851" i="4"/>
  <c r="I852" i="6" s="1"/>
  <c r="F851" i="4"/>
  <c r="F852" i="6" s="1"/>
  <c r="E851" i="4"/>
  <c r="E852" i="6" s="1"/>
  <c r="P854" i="9" l="1"/>
  <c r="T854" i="9"/>
  <c r="L854" i="9"/>
  <c r="C855" i="9"/>
  <c r="M855" i="9" s="1"/>
  <c r="F855" i="9"/>
  <c r="G855" i="9"/>
  <c r="N855" i="9" s="1"/>
  <c r="H855" i="9"/>
  <c r="U855" i="9"/>
  <c r="I855" i="9"/>
  <c r="R855" i="9" s="1"/>
  <c r="J855" i="9"/>
  <c r="E855" i="9"/>
  <c r="Q855" i="9" s="1"/>
  <c r="D855" i="9"/>
  <c r="B855" i="9"/>
  <c r="J852" i="6"/>
  <c r="G852" i="4"/>
  <c r="G853" i="6" s="1"/>
  <c r="I852" i="4"/>
  <c r="I853" i="6" s="1"/>
  <c r="B852" i="4"/>
  <c r="B853" i="6" s="1"/>
  <c r="A853" i="4"/>
  <c r="A854" i="6" s="1"/>
  <c r="A856" i="9" s="1"/>
  <c r="C852" i="4"/>
  <c r="C853" i="6" s="1"/>
  <c r="E852" i="4"/>
  <c r="E853" i="6" s="1"/>
  <c r="H852" i="4"/>
  <c r="H853" i="6" s="1"/>
  <c r="F852" i="4"/>
  <c r="F853" i="6" s="1"/>
  <c r="D852" i="4"/>
  <c r="D853" i="6" s="1"/>
  <c r="D856" i="9" l="1"/>
  <c r="H856" i="9"/>
  <c r="I856" i="9"/>
  <c r="R856" i="9" s="1"/>
  <c r="U856" i="9"/>
  <c r="J856" i="9"/>
  <c r="B856" i="9"/>
  <c r="C856" i="9"/>
  <c r="M856" i="9" s="1"/>
  <c r="G856" i="9"/>
  <c r="N856" i="9" s="1"/>
  <c r="E856" i="9"/>
  <c r="Q856" i="9" s="1"/>
  <c r="F856" i="9"/>
  <c r="L855" i="9"/>
  <c r="P855" i="9"/>
  <c r="T855" i="9"/>
  <c r="J853" i="6"/>
  <c r="F853" i="4"/>
  <c r="F854" i="6" s="1"/>
  <c r="H853" i="4"/>
  <c r="H854" i="6" s="1"/>
  <c r="B853" i="4"/>
  <c r="B854" i="6" s="1"/>
  <c r="A854" i="4"/>
  <c r="A855" i="6" s="1"/>
  <c r="A857" i="9" s="1"/>
  <c r="E853" i="4"/>
  <c r="E854" i="6" s="1"/>
  <c r="C853" i="4"/>
  <c r="C854" i="6" s="1"/>
  <c r="D853" i="4"/>
  <c r="D854" i="6" s="1"/>
  <c r="G853" i="4"/>
  <c r="G854" i="6" s="1"/>
  <c r="I853" i="4"/>
  <c r="I854" i="6" s="1"/>
  <c r="T856" i="9" l="1"/>
  <c r="L856" i="9"/>
  <c r="P856" i="9"/>
  <c r="B857" i="9"/>
  <c r="J857" i="9"/>
  <c r="H857" i="9"/>
  <c r="I857" i="9"/>
  <c r="R857" i="9" s="1"/>
  <c r="U857" i="9"/>
  <c r="C857" i="9"/>
  <c r="M857" i="9" s="1"/>
  <c r="D857" i="9"/>
  <c r="F857" i="9"/>
  <c r="G857" i="9"/>
  <c r="N857" i="9" s="1"/>
  <c r="E857" i="9"/>
  <c r="Q857" i="9" s="1"/>
  <c r="J854" i="6"/>
  <c r="E854" i="4"/>
  <c r="E855" i="6" s="1"/>
  <c r="I854" i="4"/>
  <c r="I855" i="6" s="1"/>
  <c r="B854" i="4"/>
  <c r="B855" i="6" s="1"/>
  <c r="D854" i="4"/>
  <c r="D855" i="6" s="1"/>
  <c r="H854" i="4"/>
  <c r="H855" i="6" s="1"/>
  <c r="F854" i="4"/>
  <c r="F855" i="6" s="1"/>
  <c r="A855" i="4"/>
  <c r="A856" i="6" s="1"/>
  <c r="A858" i="9" s="1"/>
  <c r="C854" i="4"/>
  <c r="C855" i="6" s="1"/>
  <c r="G854" i="4"/>
  <c r="G855" i="6" s="1"/>
  <c r="G858" i="9" l="1"/>
  <c r="N858" i="9" s="1"/>
  <c r="H858" i="9"/>
  <c r="I858" i="9"/>
  <c r="R858" i="9" s="1"/>
  <c r="B858" i="9"/>
  <c r="J858" i="9"/>
  <c r="U858" i="9"/>
  <c r="F858" i="9"/>
  <c r="C858" i="9"/>
  <c r="M858" i="9" s="1"/>
  <c r="D858" i="9"/>
  <c r="E858" i="9"/>
  <c r="Q858" i="9" s="1"/>
  <c r="T857" i="9"/>
  <c r="L857" i="9"/>
  <c r="P857" i="9"/>
  <c r="J855" i="6"/>
  <c r="D855" i="4"/>
  <c r="D856" i="6" s="1"/>
  <c r="H855" i="4"/>
  <c r="H856" i="6" s="1"/>
  <c r="C855" i="4"/>
  <c r="C856" i="6" s="1"/>
  <c r="F855" i="4"/>
  <c r="F856" i="6" s="1"/>
  <c r="A856" i="4"/>
  <c r="A857" i="6" s="1"/>
  <c r="A859" i="9" s="1"/>
  <c r="B855" i="4"/>
  <c r="B856" i="6" s="1"/>
  <c r="E855" i="4"/>
  <c r="E856" i="6" s="1"/>
  <c r="G855" i="4"/>
  <c r="G856" i="6" s="1"/>
  <c r="I855" i="4"/>
  <c r="I856" i="6" s="1"/>
  <c r="T858" i="9" l="1"/>
  <c r="L858" i="9"/>
  <c r="P858" i="9"/>
  <c r="E859" i="9"/>
  <c r="Q859" i="9" s="1"/>
  <c r="F859" i="9"/>
  <c r="G859" i="9"/>
  <c r="N859" i="9" s="1"/>
  <c r="H859" i="9"/>
  <c r="D859" i="9"/>
  <c r="U859" i="9"/>
  <c r="I859" i="9"/>
  <c r="R859" i="9" s="1"/>
  <c r="J859" i="9"/>
  <c r="B859" i="9"/>
  <c r="C859" i="9"/>
  <c r="M859" i="9" s="1"/>
  <c r="J856" i="6"/>
  <c r="C856" i="4"/>
  <c r="C857" i="6" s="1"/>
  <c r="G856" i="4"/>
  <c r="G857" i="6" s="1"/>
  <c r="E856" i="4"/>
  <c r="E857" i="6" s="1"/>
  <c r="H856" i="4"/>
  <c r="H857" i="6" s="1"/>
  <c r="D856" i="4"/>
  <c r="D857" i="6" s="1"/>
  <c r="I856" i="4"/>
  <c r="I857" i="6" s="1"/>
  <c r="A857" i="4"/>
  <c r="A858" i="6" s="1"/>
  <c r="A860" i="9" s="1"/>
  <c r="B856" i="4"/>
  <c r="B857" i="6" s="1"/>
  <c r="F856" i="4"/>
  <c r="F857" i="6" s="1"/>
  <c r="P859" i="9" l="1"/>
  <c r="L859" i="9"/>
  <c r="T859" i="9"/>
  <c r="C860" i="9"/>
  <c r="M860" i="9" s="1"/>
  <c r="D860" i="9"/>
  <c r="E860" i="9"/>
  <c r="Q860" i="9" s="1"/>
  <c r="F860" i="9"/>
  <c r="B860" i="9"/>
  <c r="U860" i="9"/>
  <c r="G860" i="9"/>
  <c r="N860" i="9" s="1"/>
  <c r="H860" i="9"/>
  <c r="I860" i="9"/>
  <c r="R860" i="9" s="1"/>
  <c r="J860" i="9"/>
  <c r="J857" i="6"/>
  <c r="B857" i="4"/>
  <c r="B858" i="6" s="1"/>
  <c r="A858" i="4"/>
  <c r="A859" i="6" s="1"/>
  <c r="A861" i="9" s="1"/>
  <c r="F857" i="4"/>
  <c r="F858" i="6" s="1"/>
  <c r="G857" i="4"/>
  <c r="G858" i="6" s="1"/>
  <c r="I857" i="4"/>
  <c r="I858" i="6" s="1"/>
  <c r="C857" i="4"/>
  <c r="C858" i="6" s="1"/>
  <c r="D857" i="4"/>
  <c r="D858" i="6" s="1"/>
  <c r="E857" i="4"/>
  <c r="E858" i="6" s="1"/>
  <c r="H857" i="4"/>
  <c r="H858" i="6" s="1"/>
  <c r="I861" i="9" l="1"/>
  <c r="R861" i="9" s="1"/>
  <c r="B861" i="9"/>
  <c r="J861" i="9"/>
  <c r="U861" i="9"/>
  <c r="C861" i="9"/>
  <c r="M861" i="9" s="1"/>
  <c r="D861" i="9"/>
  <c r="G861" i="9"/>
  <c r="N861" i="9" s="1"/>
  <c r="E861" i="9"/>
  <c r="Q861" i="9" s="1"/>
  <c r="F861" i="9"/>
  <c r="H861" i="9"/>
  <c r="L860" i="9"/>
  <c r="P860" i="9"/>
  <c r="T860" i="9"/>
  <c r="J858" i="6"/>
  <c r="I858" i="4"/>
  <c r="I859" i="6" s="1"/>
  <c r="E858" i="4"/>
  <c r="E859" i="6" s="1"/>
  <c r="H858" i="4"/>
  <c r="H859" i="6" s="1"/>
  <c r="D858" i="4"/>
  <c r="D859" i="6" s="1"/>
  <c r="C858" i="4"/>
  <c r="C859" i="6" s="1"/>
  <c r="G858" i="4"/>
  <c r="G859" i="6" s="1"/>
  <c r="A859" i="4"/>
  <c r="A860" i="6" s="1"/>
  <c r="A862" i="9" s="1"/>
  <c r="B858" i="4"/>
  <c r="B859" i="6" s="1"/>
  <c r="F858" i="4"/>
  <c r="F859" i="6" s="1"/>
  <c r="G862" i="9" l="1"/>
  <c r="N862" i="9" s="1"/>
  <c r="H862" i="9"/>
  <c r="I862" i="9"/>
  <c r="R862" i="9" s="1"/>
  <c r="B862" i="9"/>
  <c r="J862" i="9"/>
  <c r="U862" i="9"/>
  <c r="C862" i="9"/>
  <c r="M862" i="9" s="1"/>
  <c r="E862" i="9"/>
  <c r="Q862" i="9" s="1"/>
  <c r="D862" i="9"/>
  <c r="F862" i="9"/>
  <c r="T861" i="9"/>
  <c r="L861" i="9"/>
  <c r="P861" i="9"/>
  <c r="J859" i="6"/>
  <c r="H859" i="4"/>
  <c r="H860" i="6" s="1"/>
  <c r="D859" i="4"/>
  <c r="D860" i="6" s="1"/>
  <c r="A860" i="4"/>
  <c r="A861" i="6" s="1"/>
  <c r="A863" i="9" s="1"/>
  <c r="B859" i="4"/>
  <c r="B860" i="6" s="1"/>
  <c r="F859" i="4"/>
  <c r="F860" i="6" s="1"/>
  <c r="C859" i="4"/>
  <c r="C860" i="6" s="1"/>
  <c r="I859" i="4"/>
  <c r="I860" i="6" s="1"/>
  <c r="G859" i="4"/>
  <c r="G860" i="6" s="1"/>
  <c r="E859" i="4"/>
  <c r="E860" i="6" s="1"/>
  <c r="T862" i="9" l="1"/>
  <c r="P862" i="9"/>
  <c r="L862" i="9"/>
  <c r="E863" i="9"/>
  <c r="Q863" i="9" s="1"/>
  <c r="F863" i="9"/>
  <c r="G863" i="9"/>
  <c r="N863" i="9" s="1"/>
  <c r="H863" i="9"/>
  <c r="J863" i="9"/>
  <c r="B863" i="9"/>
  <c r="U863" i="9"/>
  <c r="C863" i="9"/>
  <c r="M863" i="9" s="1"/>
  <c r="D863" i="9"/>
  <c r="I863" i="9"/>
  <c r="R863" i="9" s="1"/>
  <c r="J860" i="6"/>
  <c r="G860" i="4"/>
  <c r="G861" i="6" s="1"/>
  <c r="C860" i="4"/>
  <c r="C861" i="6" s="1"/>
  <c r="D860" i="4"/>
  <c r="D861" i="6" s="1"/>
  <c r="H860" i="4"/>
  <c r="H861" i="6" s="1"/>
  <c r="B860" i="4"/>
  <c r="B861" i="6" s="1"/>
  <c r="F860" i="4"/>
  <c r="F861" i="6" s="1"/>
  <c r="I860" i="4"/>
  <c r="I861" i="6" s="1"/>
  <c r="A861" i="4"/>
  <c r="A862" i="6" s="1"/>
  <c r="A864" i="9" s="1"/>
  <c r="E860" i="4"/>
  <c r="E861" i="6" s="1"/>
  <c r="P863" i="9" l="1"/>
  <c r="T863" i="9"/>
  <c r="L863" i="9"/>
  <c r="C864" i="9"/>
  <c r="M864" i="9" s="1"/>
  <c r="D864" i="9"/>
  <c r="E864" i="9"/>
  <c r="Q864" i="9" s="1"/>
  <c r="F864" i="9"/>
  <c r="J864" i="9"/>
  <c r="H864" i="9"/>
  <c r="G864" i="9"/>
  <c r="N864" i="9" s="1"/>
  <c r="B864" i="9"/>
  <c r="U864" i="9"/>
  <c r="I864" i="9"/>
  <c r="R864" i="9" s="1"/>
  <c r="J861" i="6"/>
  <c r="F861" i="4"/>
  <c r="F862" i="6" s="1"/>
  <c r="B861" i="4"/>
  <c r="B862" i="6" s="1"/>
  <c r="A862" i="4"/>
  <c r="A863" i="6" s="1"/>
  <c r="A865" i="9" s="1"/>
  <c r="C861" i="4"/>
  <c r="C862" i="6" s="1"/>
  <c r="E861" i="4"/>
  <c r="E862" i="6" s="1"/>
  <c r="I861" i="4"/>
  <c r="I862" i="6" s="1"/>
  <c r="H861" i="4"/>
  <c r="H862" i="6" s="1"/>
  <c r="D861" i="4"/>
  <c r="D862" i="6" s="1"/>
  <c r="G861" i="4"/>
  <c r="G862" i="6" s="1"/>
  <c r="L864" i="9" l="1"/>
  <c r="P864" i="9"/>
  <c r="T864" i="9"/>
  <c r="I865" i="9"/>
  <c r="R865" i="9" s="1"/>
  <c r="B865" i="9"/>
  <c r="J865" i="9"/>
  <c r="U865" i="9"/>
  <c r="C865" i="9"/>
  <c r="M865" i="9" s="1"/>
  <c r="D865" i="9"/>
  <c r="H865" i="9"/>
  <c r="E865" i="9"/>
  <c r="Q865" i="9" s="1"/>
  <c r="F865" i="9"/>
  <c r="G865" i="9"/>
  <c r="N865" i="9" s="1"/>
  <c r="J862" i="6"/>
  <c r="E862" i="4"/>
  <c r="E863" i="6" s="1"/>
  <c r="I862" i="4"/>
  <c r="I863" i="6" s="1"/>
  <c r="D862" i="4"/>
  <c r="D863" i="6" s="1"/>
  <c r="G862" i="4"/>
  <c r="G863" i="6" s="1"/>
  <c r="B862" i="4"/>
  <c r="B863" i="6" s="1"/>
  <c r="F862" i="4"/>
  <c r="F863" i="6" s="1"/>
  <c r="H862" i="4"/>
  <c r="H863" i="6" s="1"/>
  <c r="A863" i="4"/>
  <c r="A864" i="6" s="1"/>
  <c r="A866" i="9" s="1"/>
  <c r="C862" i="4"/>
  <c r="C863" i="6" s="1"/>
  <c r="T865" i="9" l="1"/>
  <c r="L865" i="9"/>
  <c r="P865" i="9"/>
  <c r="G866" i="9"/>
  <c r="N866" i="9" s="1"/>
  <c r="H866" i="9"/>
  <c r="I866" i="9"/>
  <c r="R866" i="9" s="1"/>
  <c r="B866" i="9"/>
  <c r="J866" i="9"/>
  <c r="U866" i="9"/>
  <c r="F866" i="9"/>
  <c r="C866" i="9"/>
  <c r="M866" i="9" s="1"/>
  <c r="D866" i="9"/>
  <c r="E866" i="9"/>
  <c r="Q866" i="9" s="1"/>
  <c r="J863" i="6"/>
  <c r="D863" i="4"/>
  <c r="D864" i="6" s="1"/>
  <c r="H863" i="4"/>
  <c r="H864" i="6" s="1"/>
  <c r="F863" i="4"/>
  <c r="F864" i="6" s="1"/>
  <c r="I863" i="4"/>
  <c r="I864" i="6" s="1"/>
  <c r="B863" i="4"/>
  <c r="B864" i="6" s="1"/>
  <c r="A864" i="4"/>
  <c r="A865" i="6" s="1"/>
  <c r="A867" i="9" s="1"/>
  <c r="G863" i="4"/>
  <c r="G864" i="6" s="1"/>
  <c r="C863" i="4"/>
  <c r="C864" i="6" s="1"/>
  <c r="E863" i="4"/>
  <c r="E864" i="6" s="1"/>
  <c r="T866" i="9" l="1"/>
  <c r="L866" i="9"/>
  <c r="P866" i="9"/>
  <c r="E867" i="9"/>
  <c r="Q867" i="9" s="1"/>
  <c r="F867" i="9"/>
  <c r="G867" i="9"/>
  <c r="N867" i="9" s="1"/>
  <c r="H867" i="9"/>
  <c r="D867" i="9"/>
  <c r="B867" i="9"/>
  <c r="I867" i="9"/>
  <c r="R867" i="9" s="1"/>
  <c r="U867" i="9"/>
  <c r="J867" i="9"/>
  <c r="C867" i="9"/>
  <c r="M867" i="9" s="1"/>
  <c r="J864" i="6"/>
  <c r="C864" i="4"/>
  <c r="C865" i="6" s="1"/>
  <c r="G864" i="4"/>
  <c r="G865" i="6" s="1"/>
  <c r="H864" i="4"/>
  <c r="H865" i="6" s="1"/>
  <c r="A865" i="4"/>
  <c r="A866" i="6" s="1"/>
  <c r="A868" i="9" s="1"/>
  <c r="D864" i="4"/>
  <c r="D865" i="6" s="1"/>
  <c r="E864" i="4"/>
  <c r="E865" i="6" s="1"/>
  <c r="F864" i="4"/>
  <c r="F865" i="6" s="1"/>
  <c r="I864" i="4"/>
  <c r="I865" i="6" s="1"/>
  <c r="B864" i="4"/>
  <c r="B865" i="6" s="1"/>
  <c r="C868" i="9" l="1"/>
  <c r="M868" i="9" s="1"/>
  <c r="D868" i="9"/>
  <c r="E868" i="9"/>
  <c r="Q868" i="9" s="1"/>
  <c r="F868" i="9"/>
  <c r="B868" i="9"/>
  <c r="I868" i="9"/>
  <c r="R868" i="9" s="1"/>
  <c r="G868" i="9"/>
  <c r="N868" i="9" s="1"/>
  <c r="U868" i="9"/>
  <c r="H868" i="9"/>
  <c r="J868" i="9"/>
  <c r="P867" i="9"/>
  <c r="L867" i="9"/>
  <c r="T867" i="9"/>
  <c r="J865" i="6"/>
  <c r="B865" i="4"/>
  <c r="B866" i="6" s="1"/>
  <c r="A866" i="4"/>
  <c r="A867" i="6" s="1"/>
  <c r="A869" i="9" s="1"/>
  <c r="F865" i="4"/>
  <c r="F866" i="6" s="1"/>
  <c r="I865" i="4"/>
  <c r="I866" i="6" s="1"/>
  <c r="E865" i="4"/>
  <c r="E866" i="6" s="1"/>
  <c r="H865" i="4"/>
  <c r="H866" i="6" s="1"/>
  <c r="G865" i="4"/>
  <c r="G866" i="6" s="1"/>
  <c r="C865" i="4"/>
  <c r="C866" i="6" s="1"/>
  <c r="D865" i="4"/>
  <c r="D866" i="6" s="1"/>
  <c r="I869" i="9" l="1"/>
  <c r="R869" i="9" s="1"/>
  <c r="B869" i="9"/>
  <c r="J869" i="9"/>
  <c r="U869" i="9"/>
  <c r="D869" i="9"/>
  <c r="G869" i="9"/>
  <c r="N869" i="9" s="1"/>
  <c r="E869" i="9"/>
  <c r="Q869" i="9" s="1"/>
  <c r="C869" i="9"/>
  <c r="M869" i="9" s="1"/>
  <c r="F869" i="9"/>
  <c r="H869" i="9"/>
  <c r="L868" i="9"/>
  <c r="P868" i="9"/>
  <c r="T868" i="9"/>
  <c r="J866" i="6"/>
  <c r="I866" i="4"/>
  <c r="I867" i="6" s="1"/>
  <c r="E866" i="4"/>
  <c r="E867" i="6" s="1"/>
  <c r="C866" i="4"/>
  <c r="C867" i="6" s="1"/>
  <c r="G866" i="4"/>
  <c r="G867" i="6" s="1"/>
  <c r="D866" i="4"/>
  <c r="D867" i="6" s="1"/>
  <c r="F866" i="4"/>
  <c r="F867" i="6" s="1"/>
  <c r="H866" i="4"/>
  <c r="H867" i="6" s="1"/>
  <c r="B866" i="4"/>
  <c r="B867" i="6" s="1"/>
  <c r="A867" i="4"/>
  <c r="A868" i="6" s="1"/>
  <c r="A870" i="9" s="1"/>
  <c r="T869" i="9" l="1"/>
  <c r="P869" i="9"/>
  <c r="L869" i="9"/>
  <c r="G870" i="9"/>
  <c r="N870" i="9" s="1"/>
  <c r="H870" i="9"/>
  <c r="B870" i="9"/>
  <c r="J870" i="9"/>
  <c r="U870" i="9"/>
  <c r="F870" i="9"/>
  <c r="D870" i="9"/>
  <c r="I870" i="9"/>
  <c r="R870" i="9" s="1"/>
  <c r="C870" i="9"/>
  <c r="M870" i="9" s="1"/>
  <c r="E870" i="9"/>
  <c r="Q870" i="9" s="1"/>
  <c r="J867" i="6"/>
  <c r="H867" i="4"/>
  <c r="H868" i="6" s="1"/>
  <c r="B867" i="4"/>
  <c r="B868" i="6" s="1"/>
  <c r="D867" i="4"/>
  <c r="D868" i="6" s="1"/>
  <c r="G867" i="4"/>
  <c r="G868" i="6" s="1"/>
  <c r="F867" i="4"/>
  <c r="F868" i="6" s="1"/>
  <c r="A868" i="4"/>
  <c r="A869" i="6" s="1"/>
  <c r="A871" i="9" s="1"/>
  <c r="E867" i="4"/>
  <c r="E868" i="6" s="1"/>
  <c r="C867" i="4"/>
  <c r="C868" i="6" s="1"/>
  <c r="I867" i="4"/>
  <c r="I868" i="6" s="1"/>
  <c r="L870" i="9" l="1"/>
  <c r="P870" i="9"/>
  <c r="T870" i="9"/>
  <c r="E871" i="9"/>
  <c r="Q871" i="9" s="1"/>
  <c r="F871" i="9"/>
  <c r="H871" i="9"/>
  <c r="B871" i="9"/>
  <c r="G871" i="9"/>
  <c r="N871" i="9" s="1"/>
  <c r="C871" i="9"/>
  <c r="M871" i="9" s="1"/>
  <c r="D871" i="9"/>
  <c r="U871" i="9"/>
  <c r="I871" i="9"/>
  <c r="R871" i="9" s="1"/>
  <c r="J871" i="9"/>
  <c r="J868" i="6"/>
  <c r="G868" i="4"/>
  <c r="G869" i="6" s="1"/>
  <c r="B868" i="4"/>
  <c r="B869" i="6" s="1"/>
  <c r="D868" i="4"/>
  <c r="D869" i="6" s="1"/>
  <c r="H868" i="4"/>
  <c r="H869" i="6" s="1"/>
  <c r="C868" i="4"/>
  <c r="C869" i="6" s="1"/>
  <c r="E868" i="4"/>
  <c r="E869" i="6" s="1"/>
  <c r="A869" i="4"/>
  <c r="A870" i="6" s="1"/>
  <c r="A872" i="9" s="1"/>
  <c r="F868" i="4"/>
  <c r="F869" i="6" s="1"/>
  <c r="I868" i="4"/>
  <c r="I869" i="6" s="1"/>
  <c r="C872" i="9" l="1"/>
  <c r="M872" i="9" s="1"/>
  <c r="D872" i="9"/>
  <c r="G872" i="9"/>
  <c r="N872" i="9" s="1"/>
  <c r="B872" i="9"/>
  <c r="E872" i="9"/>
  <c r="Q872" i="9" s="1"/>
  <c r="H872" i="9"/>
  <c r="U872" i="9"/>
  <c r="J872" i="9"/>
  <c r="I872" i="9"/>
  <c r="R872" i="9" s="1"/>
  <c r="F872" i="9"/>
  <c r="P871" i="9"/>
  <c r="T871" i="9"/>
  <c r="L871" i="9"/>
  <c r="J869" i="6"/>
  <c r="F869" i="4"/>
  <c r="F870" i="6" s="1"/>
  <c r="B869" i="4"/>
  <c r="B870" i="6" s="1"/>
  <c r="D869" i="4"/>
  <c r="D870" i="6" s="1"/>
  <c r="H869" i="4"/>
  <c r="H870" i="6" s="1"/>
  <c r="C869" i="4"/>
  <c r="C870" i="6" s="1"/>
  <c r="G869" i="4"/>
  <c r="G870" i="6" s="1"/>
  <c r="I869" i="4"/>
  <c r="I870" i="6" s="1"/>
  <c r="A870" i="4"/>
  <c r="A871" i="6" s="1"/>
  <c r="A873" i="9" s="1"/>
  <c r="E869" i="4"/>
  <c r="E870" i="6" s="1"/>
  <c r="L872" i="9" l="1"/>
  <c r="T872" i="9"/>
  <c r="P872" i="9"/>
  <c r="I873" i="9"/>
  <c r="R873" i="9" s="1"/>
  <c r="B873" i="9"/>
  <c r="J873" i="9"/>
  <c r="U873" i="9"/>
  <c r="D873" i="9"/>
  <c r="C873" i="9"/>
  <c r="M873" i="9" s="1"/>
  <c r="F873" i="9"/>
  <c r="E873" i="9"/>
  <c r="Q873" i="9" s="1"/>
  <c r="G873" i="9"/>
  <c r="N873" i="9" s="1"/>
  <c r="H873" i="9"/>
  <c r="J870" i="6"/>
  <c r="E870" i="4"/>
  <c r="E871" i="6" s="1"/>
  <c r="B870" i="4"/>
  <c r="B871" i="6" s="1"/>
  <c r="D870" i="4"/>
  <c r="D871" i="6" s="1"/>
  <c r="H870" i="4"/>
  <c r="H871" i="6" s="1"/>
  <c r="I870" i="4"/>
  <c r="I871" i="6" s="1"/>
  <c r="G870" i="4"/>
  <c r="G871" i="6" s="1"/>
  <c r="C870" i="4"/>
  <c r="C871" i="6" s="1"/>
  <c r="F870" i="4"/>
  <c r="F871" i="6" s="1"/>
  <c r="A871" i="4"/>
  <c r="A872" i="6" s="1"/>
  <c r="A874" i="9" s="1"/>
  <c r="T873" i="9" l="1"/>
  <c r="L873" i="9"/>
  <c r="P873" i="9"/>
  <c r="G874" i="9"/>
  <c r="N874" i="9" s="1"/>
  <c r="H874" i="9"/>
  <c r="C874" i="9"/>
  <c r="M874" i="9" s="1"/>
  <c r="D874" i="9"/>
  <c r="F874" i="9"/>
  <c r="E874" i="9"/>
  <c r="Q874" i="9" s="1"/>
  <c r="U874" i="9"/>
  <c r="I874" i="9"/>
  <c r="R874" i="9" s="1"/>
  <c r="J874" i="9"/>
  <c r="B874" i="9"/>
  <c r="J871" i="6"/>
  <c r="D871" i="4"/>
  <c r="D872" i="6" s="1"/>
  <c r="B871" i="4"/>
  <c r="B872" i="6" s="1"/>
  <c r="E871" i="4"/>
  <c r="E872" i="6" s="1"/>
  <c r="H871" i="4"/>
  <c r="H872" i="6" s="1"/>
  <c r="C871" i="4"/>
  <c r="C872" i="6" s="1"/>
  <c r="F871" i="4"/>
  <c r="F872" i="6" s="1"/>
  <c r="G871" i="4"/>
  <c r="G872" i="6" s="1"/>
  <c r="I871" i="4"/>
  <c r="I872" i="6" s="1"/>
  <c r="A872" i="4"/>
  <c r="A873" i="6" s="1"/>
  <c r="A875" i="9" s="1"/>
  <c r="E875" i="9" l="1"/>
  <c r="Q875" i="9" s="1"/>
  <c r="H875" i="9"/>
  <c r="F875" i="9"/>
  <c r="B875" i="9"/>
  <c r="G875" i="9"/>
  <c r="N875" i="9" s="1"/>
  <c r="J875" i="9"/>
  <c r="I875" i="9"/>
  <c r="R875" i="9" s="1"/>
  <c r="U875" i="9"/>
  <c r="D875" i="9"/>
  <c r="C875" i="9"/>
  <c r="M875" i="9" s="1"/>
  <c r="P874" i="9"/>
  <c r="T874" i="9"/>
  <c r="L874" i="9"/>
  <c r="J872" i="6"/>
  <c r="C872" i="4"/>
  <c r="C873" i="6" s="1"/>
  <c r="B872" i="4"/>
  <c r="B873" i="6" s="1"/>
  <c r="E872" i="4"/>
  <c r="E873" i="6" s="1"/>
  <c r="H872" i="4"/>
  <c r="H873" i="6" s="1"/>
  <c r="F872" i="4"/>
  <c r="F873" i="6" s="1"/>
  <c r="I872" i="4"/>
  <c r="I873" i="6" s="1"/>
  <c r="A873" i="4"/>
  <c r="A874" i="6" s="1"/>
  <c r="A876" i="9" s="1"/>
  <c r="D872" i="4"/>
  <c r="D873" i="6" s="1"/>
  <c r="G872" i="4"/>
  <c r="G873" i="6" s="1"/>
  <c r="P875" i="9" l="1"/>
  <c r="T875" i="9"/>
  <c r="L875" i="9"/>
  <c r="C876" i="9"/>
  <c r="M876" i="9" s="1"/>
  <c r="H876" i="9"/>
  <c r="D876" i="9"/>
  <c r="E876" i="9"/>
  <c r="Q876" i="9" s="1"/>
  <c r="F876" i="9"/>
  <c r="G876" i="9"/>
  <c r="N876" i="9" s="1"/>
  <c r="B876" i="9"/>
  <c r="J876" i="9"/>
  <c r="I876" i="9"/>
  <c r="R876" i="9" s="1"/>
  <c r="U876" i="9"/>
  <c r="J873" i="6"/>
  <c r="B873" i="4"/>
  <c r="B874" i="6" s="1"/>
  <c r="A874" i="4"/>
  <c r="A875" i="6" s="1"/>
  <c r="A877" i="9" s="1"/>
  <c r="D873" i="4"/>
  <c r="D874" i="6" s="1"/>
  <c r="G873" i="4"/>
  <c r="G874" i="6" s="1"/>
  <c r="I873" i="4"/>
  <c r="I874" i="6" s="1"/>
  <c r="C873" i="4"/>
  <c r="C874" i="6" s="1"/>
  <c r="H873" i="4"/>
  <c r="H874" i="6" s="1"/>
  <c r="F873" i="4"/>
  <c r="F874" i="6" s="1"/>
  <c r="E873" i="4"/>
  <c r="E874" i="6" s="1"/>
  <c r="I877" i="9" l="1"/>
  <c r="R877" i="9" s="1"/>
  <c r="B877" i="9"/>
  <c r="J877" i="9"/>
  <c r="U877" i="9"/>
  <c r="D877" i="9"/>
  <c r="C877" i="9"/>
  <c r="M877" i="9" s="1"/>
  <c r="F877" i="9"/>
  <c r="E877" i="9"/>
  <c r="Q877" i="9" s="1"/>
  <c r="G877" i="9"/>
  <c r="N877" i="9" s="1"/>
  <c r="H877" i="9"/>
  <c r="L876" i="9"/>
  <c r="P876" i="9"/>
  <c r="T876" i="9"/>
  <c r="J874" i="6"/>
  <c r="I874" i="4"/>
  <c r="I875" i="6" s="1"/>
  <c r="C874" i="4"/>
  <c r="C875" i="6" s="1"/>
  <c r="F874" i="4"/>
  <c r="F875" i="6" s="1"/>
  <c r="D874" i="4"/>
  <c r="D875" i="6" s="1"/>
  <c r="E874" i="4"/>
  <c r="E875" i="6" s="1"/>
  <c r="G874" i="4"/>
  <c r="G875" i="6" s="1"/>
  <c r="B874" i="4"/>
  <c r="B875" i="6" s="1"/>
  <c r="H874" i="4"/>
  <c r="H875" i="6" s="1"/>
  <c r="A875" i="4"/>
  <c r="A876" i="6" s="1"/>
  <c r="A878" i="9" s="1"/>
  <c r="G878" i="9" l="1"/>
  <c r="N878" i="9" s="1"/>
  <c r="B878" i="9"/>
  <c r="H878" i="9"/>
  <c r="J878" i="9"/>
  <c r="I878" i="9"/>
  <c r="R878" i="9" s="1"/>
  <c r="U878" i="9"/>
  <c r="C878" i="9"/>
  <c r="M878" i="9" s="1"/>
  <c r="D878" i="9"/>
  <c r="E878" i="9"/>
  <c r="Q878" i="9" s="1"/>
  <c r="F878" i="9"/>
  <c r="T877" i="9"/>
  <c r="P877" i="9"/>
  <c r="L877" i="9"/>
  <c r="J875" i="6"/>
  <c r="H875" i="4"/>
  <c r="H876" i="6" s="1"/>
  <c r="B875" i="4"/>
  <c r="B876" i="6" s="1"/>
  <c r="A876" i="4"/>
  <c r="A877" i="6" s="1"/>
  <c r="A879" i="9" s="1"/>
  <c r="E875" i="4"/>
  <c r="E876" i="6" s="1"/>
  <c r="D875" i="4"/>
  <c r="D876" i="6" s="1"/>
  <c r="G875" i="4"/>
  <c r="G876" i="6" s="1"/>
  <c r="I875" i="4"/>
  <c r="I876" i="6" s="1"/>
  <c r="C875" i="4"/>
  <c r="C876" i="6" s="1"/>
  <c r="F875" i="4"/>
  <c r="F876" i="6" s="1"/>
  <c r="T878" i="9" l="1"/>
  <c r="L878" i="9"/>
  <c r="P878" i="9"/>
  <c r="E879" i="9"/>
  <c r="Q879" i="9" s="1"/>
  <c r="H879" i="9"/>
  <c r="U879" i="9"/>
  <c r="F879" i="9"/>
  <c r="G879" i="9"/>
  <c r="N879" i="9" s="1"/>
  <c r="B879" i="9"/>
  <c r="I879" i="9"/>
  <c r="R879" i="9" s="1"/>
  <c r="J879" i="9"/>
  <c r="C879" i="9"/>
  <c r="M879" i="9" s="1"/>
  <c r="D879" i="9"/>
  <c r="J876" i="6"/>
  <c r="G876" i="4"/>
  <c r="G877" i="6" s="1"/>
  <c r="I876" i="4"/>
  <c r="I877" i="6" s="1"/>
  <c r="D876" i="4"/>
  <c r="D877" i="6" s="1"/>
  <c r="H876" i="4"/>
  <c r="H877" i="6" s="1"/>
  <c r="B876" i="4"/>
  <c r="B877" i="6" s="1"/>
  <c r="F876" i="4"/>
  <c r="F877" i="6" s="1"/>
  <c r="C876" i="4"/>
  <c r="C877" i="6" s="1"/>
  <c r="E876" i="4"/>
  <c r="E877" i="6" s="1"/>
  <c r="A877" i="4"/>
  <c r="A878" i="6" s="1"/>
  <c r="A880" i="9" s="1"/>
  <c r="C880" i="9" l="1"/>
  <c r="M880" i="9" s="1"/>
  <c r="D880" i="9"/>
  <c r="H880" i="9"/>
  <c r="E880" i="9"/>
  <c r="Q880" i="9" s="1"/>
  <c r="F880" i="9"/>
  <c r="G880" i="9"/>
  <c r="N880" i="9" s="1"/>
  <c r="I880" i="9"/>
  <c r="R880" i="9" s="1"/>
  <c r="U880" i="9"/>
  <c r="B880" i="9"/>
  <c r="J880" i="9"/>
  <c r="P879" i="9"/>
  <c r="T879" i="9"/>
  <c r="L879" i="9"/>
  <c r="J877" i="6"/>
  <c r="F877" i="4"/>
  <c r="F878" i="6" s="1"/>
  <c r="H877" i="4"/>
  <c r="H878" i="6" s="1"/>
  <c r="C877" i="4"/>
  <c r="C878" i="6" s="1"/>
  <c r="B877" i="4"/>
  <c r="B878" i="6" s="1"/>
  <c r="D877" i="4"/>
  <c r="D878" i="6" s="1"/>
  <c r="E877" i="4"/>
  <c r="E878" i="6" s="1"/>
  <c r="A878" i="4"/>
  <c r="A879" i="6" s="1"/>
  <c r="A881" i="9" s="1"/>
  <c r="G877" i="4"/>
  <c r="G878" i="6" s="1"/>
  <c r="I877" i="4"/>
  <c r="I878" i="6" s="1"/>
  <c r="I881" i="9" l="1"/>
  <c r="R881" i="9" s="1"/>
  <c r="F881" i="9"/>
  <c r="B881" i="9"/>
  <c r="J881" i="9"/>
  <c r="U881" i="9"/>
  <c r="D881" i="9"/>
  <c r="C881" i="9"/>
  <c r="M881" i="9" s="1"/>
  <c r="E881" i="9"/>
  <c r="Q881" i="9" s="1"/>
  <c r="G881" i="9"/>
  <c r="N881" i="9" s="1"/>
  <c r="H881" i="9"/>
  <c r="L880" i="9"/>
  <c r="P880" i="9"/>
  <c r="T880" i="9"/>
  <c r="J878" i="6"/>
  <c r="E878" i="4"/>
  <c r="E879" i="6" s="1"/>
  <c r="G878" i="4"/>
  <c r="G879" i="6" s="1"/>
  <c r="B878" i="4"/>
  <c r="B879" i="6" s="1"/>
  <c r="A879" i="4"/>
  <c r="A880" i="6" s="1"/>
  <c r="A882" i="9" s="1"/>
  <c r="C878" i="4"/>
  <c r="C879" i="6" s="1"/>
  <c r="F878" i="4"/>
  <c r="F879" i="6" s="1"/>
  <c r="H878" i="4"/>
  <c r="H879" i="6" s="1"/>
  <c r="I878" i="4"/>
  <c r="I879" i="6" s="1"/>
  <c r="D878" i="4"/>
  <c r="D879" i="6" s="1"/>
  <c r="T881" i="9" l="1"/>
  <c r="L881" i="9"/>
  <c r="P881" i="9"/>
  <c r="G882" i="9"/>
  <c r="N882" i="9" s="1"/>
  <c r="B882" i="9"/>
  <c r="H882" i="9"/>
  <c r="J882" i="9"/>
  <c r="I882" i="9"/>
  <c r="R882" i="9" s="1"/>
  <c r="U882" i="9"/>
  <c r="C882" i="9"/>
  <c r="M882" i="9" s="1"/>
  <c r="D882" i="9"/>
  <c r="F882" i="9"/>
  <c r="E882" i="9"/>
  <c r="Q882" i="9" s="1"/>
  <c r="J879" i="6"/>
  <c r="D879" i="4"/>
  <c r="D880" i="6" s="1"/>
  <c r="F879" i="4"/>
  <c r="F880" i="6" s="1"/>
  <c r="I879" i="4"/>
  <c r="I880" i="6" s="1"/>
  <c r="G879" i="4"/>
  <c r="G880" i="6" s="1"/>
  <c r="A880" i="4"/>
  <c r="A881" i="6" s="1"/>
  <c r="A883" i="9" s="1"/>
  <c r="E879" i="4"/>
  <c r="E880" i="6" s="1"/>
  <c r="B879" i="4"/>
  <c r="B880" i="6" s="1"/>
  <c r="C879" i="4"/>
  <c r="C880" i="6" s="1"/>
  <c r="H879" i="4"/>
  <c r="H880" i="6" s="1"/>
  <c r="I883" i="9" l="1"/>
  <c r="R883" i="9" s="1"/>
  <c r="B883" i="9"/>
  <c r="J883" i="9"/>
  <c r="U883" i="9"/>
  <c r="C883" i="9"/>
  <c r="M883" i="9" s="1"/>
  <c r="D883" i="9"/>
  <c r="E883" i="9"/>
  <c r="Q883" i="9" s="1"/>
  <c r="F883" i="9"/>
  <c r="G883" i="9"/>
  <c r="N883" i="9" s="1"/>
  <c r="H883" i="9"/>
  <c r="T882" i="9"/>
  <c r="L882" i="9"/>
  <c r="P882" i="9"/>
  <c r="J880" i="6"/>
  <c r="C880" i="4"/>
  <c r="C881" i="6" s="1"/>
  <c r="E880" i="4"/>
  <c r="E881" i="6" s="1"/>
  <c r="H880" i="4"/>
  <c r="H881" i="6" s="1"/>
  <c r="A881" i="4"/>
  <c r="A882" i="6" s="1"/>
  <c r="A884" i="9" s="1"/>
  <c r="B880" i="4"/>
  <c r="B881" i="6" s="1"/>
  <c r="D880" i="4"/>
  <c r="D881" i="6" s="1"/>
  <c r="I880" i="4"/>
  <c r="I881" i="6" s="1"/>
  <c r="F880" i="4"/>
  <c r="F881" i="6" s="1"/>
  <c r="G880" i="4"/>
  <c r="G881" i="6" s="1"/>
  <c r="T883" i="9" l="1"/>
  <c r="L883" i="9"/>
  <c r="P883" i="9"/>
  <c r="G884" i="9"/>
  <c r="N884" i="9" s="1"/>
  <c r="H884" i="9"/>
  <c r="I884" i="9"/>
  <c r="R884" i="9" s="1"/>
  <c r="B884" i="9"/>
  <c r="J884" i="9"/>
  <c r="U884" i="9"/>
  <c r="C884" i="9"/>
  <c r="M884" i="9" s="1"/>
  <c r="D884" i="9"/>
  <c r="E884" i="9"/>
  <c r="Q884" i="9" s="1"/>
  <c r="F884" i="9"/>
  <c r="J881" i="6"/>
  <c r="B881" i="4"/>
  <c r="B882" i="6" s="1"/>
  <c r="A882" i="4"/>
  <c r="A883" i="6" s="1"/>
  <c r="A885" i="9" s="1"/>
  <c r="D881" i="4"/>
  <c r="D882" i="6" s="1"/>
  <c r="G881" i="4"/>
  <c r="G882" i="6" s="1"/>
  <c r="E881" i="4"/>
  <c r="E882" i="6" s="1"/>
  <c r="F881" i="4"/>
  <c r="F882" i="6" s="1"/>
  <c r="H881" i="4"/>
  <c r="H882" i="6" s="1"/>
  <c r="C881" i="4"/>
  <c r="C882" i="6" s="1"/>
  <c r="I881" i="4"/>
  <c r="I882" i="6" s="1"/>
  <c r="E885" i="9" l="1"/>
  <c r="Q885" i="9" s="1"/>
  <c r="F885" i="9"/>
  <c r="G885" i="9"/>
  <c r="N885" i="9" s="1"/>
  <c r="H885" i="9"/>
  <c r="I885" i="9"/>
  <c r="R885" i="9" s="1"/>
  <c r="B885" i="9"/>
  <c r="J885" i="9"/>
  <c r="U885" i="9"/>
  <c r="C885" i="9"/>
  <c r="M885" i="9" s="1"/>
  <c r="D885" i="9"/>
  <c r="T884" i="9"/>
  <c r="L884" i="9"/>
  <c r="P884" i="9"/>
  <c r="J882" i="6"/>
  <c r="I882" i="4"/>
  <c r="I883" i="6" s="1"/>
  <c r="C882" i="4"/>
  <c r="C883" i="6" s="1"/>
  <c r="F882" i="4"/>
  <c r="F883" i="6" s="1"/>
  <c r="E882" i="4"/>
  <c r="E883" i="6" s="1"/>
  <c r="H882" i="4"/>
  <c r="H883" i="6" s="1"/>
  <c r="A883" i="4"/>
  <c r="A884" i="6" s="1"/>
  <c r="A886" i="9" s="1"/>
  <c r="D882" i="4"/>
  <c r="D883" i="6" s="1"/>
  <c r="B882" i="4"/>
  <c r="B883" i="6" s="1"/>
  <c r="G882" i="4"/>
  <c r="G883" i="6" s="1"/>
  <c r="P885" i="9" l="1"/>
  <c r="T885" i="9"/>
  <c r="L885" i="9"/>
  <c r="C886" i="9"/>
  <c r="M886" i="9" s="1"/>
  <c r="D886" i="9"/>
  <c r="E886" i="9"/>
  <c r="Q886" i="9" s="1"/>
  <c r="F886" i="9"/>
  <c r="G886" i="9"/>
  <c r="N886" i="9" s="1"/>
  <c r="H886" i="9"/>
  <c r="I886" i="9"/>
  <c r="R886" i="9" s="1"/>
  <c r="B886" i="9"/>
  <c r="J886" i="9"/>
  <c r="U886" i="9"/>
  <c r="J883" i="6"/>
  <c r="H883" i="4"/>
  <c r="H884" i="6" s="1"/>
  <c r="B883" i="4"/>
  <c r="B884" i="6" s="1"/>
  <c r="A884" i="4"/>
  <c r="A885" i="6" s="1"/>
  <c r="A887" i="9" s="1"/>
  <c r="E883" i="4"/>
  <c r="E884" i="6" s="1"/>
  <c r="I883" i="4"/>
  <c r="I884" i="6" s="1"/>
  <c r="C883" i="4"/>
  <c r="C884" i="6" s="1"/>
  <c r="G883" i="4"/>
  <c r="G884" i="6" s="1"/>
  <c r="D883" i="4"/>
  <c r="D884" i="6" s="1"/>
  <c r="F883" i="4"/>
  <c r="F884" i="6" s="1"/>
  <c r="L886" i="9" l="1"/>
  <c r="P886" i="9"/>
  <c r="T886" i="9"/>
  <c r="I887" i="9"/>
  <c r="R887" i="9" s="1"/>
  <c r="B887" i="9"/>
  <c r="J887" i="9"/>
  <c r="U887" i="9"/>
  <c r="C887" i="9"/>
  <c r="M887" i="9" s="1"/>
  <c r="D887" i="9"/>
  <c r="E887" i="9"/>
  <c r="Q887" i="9" s="1"/>
  <c r="F887" i="9"/>
  <c r="G887" i="9"/>
  <c r="N887" i="9" s="1"/>
  <c r="H887" i="9"/>
  <c r="J884" i="6"/>
  <c r="G884" i="4"/>
  <c r="G885" i="6" s="1"/>
  <c r="I884" i="4"/>
  <c r="I885" i="6" s="1"/>
  <c r="D884" i="4"/>
  <c r="D885" i="6" s="1"/>
  <c r="C884" i="4"/>
  <c r="C885" i="6" s="1"/>
  <c r="E884" i="4"/>
  <c r="E885" i="6" s="1"/>
  <c r="F884" i="4"/>
  <c r="F885" i="6" s="1"/>
  <c r="A885" i="4"/>
  <c r="A886" i="6" s="1"/>
  <c r="A888" i="9" s="1"/>
  <c r="B884" i="4"/>
  <c r="B885" i="6" s="1"/>
  <c r="H884" i="4"/>
  <c r="H885" i="6" s="1"/>
  <c r="T887" i="9" l="1"/>
  <c r="L887" i="9"/>
  <c r="P887" i="9"/>
  <c r="G888" i="9"/>
  <c r="N888" i="9" s="1"/>
  <c r="H888" i="9"/>
  <c r="I888" i="9"/>
  <c r="R888" i="9" s="1"/>
  <c r="B888" i="9"/>
  <c r="J888" i="9"/>
  <c r="U888" i="9"/>
  <c r="C888" i="9"/>
  <c r="M888" i="9" s="1"/>
  <c r="D888" i="9"/>
  <c r="E888" i="9"/>
  <c r="Q888" i="9" s="1"/>
  <c r="F888" i="9"/>
  <c r="J885" i="6"/>
  <c r="F885" i="4"/>
  <c r="F886" i="6" s="1"/>
  <c r="H885" i="4"/>
  <c r="H886" i="6" s="1"/>
  <c r="C885" i="4"/>
  <c r="C886" i="6" s="1"/>
  <c r="D885" i="4"/>
  <c r="D886" i="6" s="1"/>
  <c r="G885" i="4"/>
  <c r="G886" i="6" s="1"/>
  <c r="I885" i="4"/>
  <c r="I886" i="6" s="1"/>
  <c r="A886" i="4"/>
  <c r="A887" i="6" s="1"/>
  <c r="A889" i="9" s="1"/>
  <c r="B885" i="4"/>
  <c r="B886" i="6" s="1"/>
  <c r="E885" i="4"/>
  <c r="E886" i="6" s="1"/>
  <c r="T888" i="9" l="1"/>
  <c r="L888" i="9"/>
  <c r="P888" i="9"/>
  <c r="E889" i="9"/>
  <c r="Q889" i="9" s="1"/>
  <c r="F889" i="9"/>
  <c r="G889" i="9"/>
  <c r="N889" i="9" s="1"/>
  <c r="H889" i="9"/>
  <c r="I889" i="9"/>
  <c r="R889" i="9" s="1"/>
  <c r="B889" i="9"/>
  <c r="J889" i="9"/>
  <c r="U889" i="9"/>
  <c r="C889" i="9"/>
  <c r="M889" i="9" s="1"/>
  <c r="D889" i="9"/>
  <c r="J886" i="6"/>
  <c r="E886" i="4"/>
  <c r="E887" i="6" s="1"/>
  <c r="G886" i="4"/>
  <c r="G887" i="6" s="1"/>
  <c r="B886" i="4"/>
  <c r="B887" i="6" s="1"/>
  <c r="A887" i="4"/>
  <c r="A888" i="6" s="1"/>
  <c r="A890" i="9" s="1"/>
  <c r="H886" i="4"/>
  <c r="H887" i="6" s="1"/>
  <c r="F886" i="4"/>
  <c r="F887" i="6" s="1"/>
  <c r="C886" i="4"/>
  <c r="C887" i="6" s="1"/>
  <c r="D886" i="4"/>
  <c r="D887" i="6" s="1"/>
  <c r="I886" i="4"/>
  <c r="I887" i="6" s="1"/>
  <c r="C890" i="9" l="1"/>
  <c r="M890" i="9" s="1"/>
  <c r="D890" i="9"/>
  <c r="E890" i="9"/>
  <c r="Q890" i="9" s="1"/>
  <c r="F890" i="9"/>
  <c r="G890" i="9"/>
  <c r="N890" i="9" s="1"/>
  <c r="H890" i="9"/>
  <c r="I890" i="9"/>
  <c r="R890" i="9" s="1"/>
  <c r="B890" i="9"/>
  <c r="J890" i="9"/>
  <c r="U890" i="9"/>
  <c r="P889" i="9"/>
  <c r="T889" i="9"/>
  <c r="L889" i="9"/>
  <c r="J887" i="6"/>
  <c r="D887" i="4"/>
  <c r="D888" i="6" s="1"/>
  <c r="F887" i="4"/>
  <c r="F888" i="6" s="1"/>
  <c r="I887" i="4"/>
  <c r="I888" i="6" s="1"/>
  <c r="B887" i="4"/>
  <c r="B888" i="6" s="1"/>
  <c r="C887" i="4"/>
  <c r="C888" i="6" s="1"/>
  <c r="E887" i="4"/>
  <c r="E888" i="6" s="1"/>
  <c r="A888" i="4"/>
  <c r="A889" i="6" s="1"/>
  <c r="A891" i="9" s="1"/>
  <c r="G887" i="4"/>
  <c r="G888" i="6" s="1"/>
  <c r="H887" i="4"/>
  <c r="H888" i="6" s="1"/>
  <c r="I891" i="9" l="1"/>
  <c r="R891" i="9" s="1"/>
  <c r="B891" i="9"/>
  <c r="J891" i="9"/>
  <c r="U891" i="9"/>
  <c r="C891" i="9"/>
  <c r="M891" i="9" s="1"/>
  <c r="D891" i="9"/>
  <c r="E891" i="9"/>
  <c r="Q891" i="9" s="1"/>
  <c r="F891" i="9"/>
  <c r="G891" i="9"/>
  <c r="N891" i="9" s="1"/>
  <c r="H891" i="9"/>
  <c r="L890" i="9"/>
  <c r="P890" i="9"/>
  <c r="T890" i="9"/>
  <c r="J888" i="6"/>
  <c r="C888" i="4"/>
  <c r="C889" i="6" s="1"/>
  <c r="E888" i="4"/>
  <c r="E889" i="6" s="1"/>
  <c r="H888" i="4"/>
  <c r="H889" i="6" s="1"/>
  <c r="B888" i="4"/>
  <c r="B889" i="6" s="1"/>
  <c r="F888" i="4"/>
  <c r="F889" i="6" s="1"/>
  <c r="G888" i="4"/>
  <c r="G889" i="6" s="1"/>
  <c r="I888" i="4"/>
  <c r="I889" i="6" s="1"/>
  <c r="A889" i="4"/>
  <c r="A890" i="6" s="1"/>
  <c r="A892" i="9" s="1"/>
  <c r="D888" i="4"/>
  <c r="D889" i="6" s="1"/>
  <c r="G892" i="9" l="1"/>
  <c r="N892" i="9" s="1"/>
  <c r="H892" i="9"/>
  <c r="I892" i="9"/>
  <c r="R892" i="9" s="1"/>
  <c r="B892" i="9"/>
  <c r="J892" i="9"/>
  <c r="U892" i="9"/>
  <c r="C892" i="9"/>
  <c r="M892" i="9" s="1"/>
  <c r="D892" i="9"/>
  <c r="E892" i="9"/>
  <c r="Q892" i="9" s="1"/>
  <c r="F892" i="9"/>
  <c r="T891" i="9"/>
  <c r="L891" i="9"/>
  <c r="P891" i="9"/>
  <c r="J889" i="6"/>
  <c r="B889" i="4"/>
  <c r="B890" i="6" s="1"/>
  <c r="A890" i="4"/>
  <c r="A891" i="6" s="1"/>
  <c r="A893" i="9" s="1"/>
  <c r="D889" i="4"/>
  <c r="D890" i="6" s="1"/>
  <c r="G889" i="4"/>
  <c r="G890" i="6" s="1"/>
  <c r="F889" i="4"/>
  <c r="F890" i="6" s="1"/>
  <c r="I889" i="4"/>
  <c r="I890" i="6" s="1"/>
  <c r="E889" i="4"/>
  <c r="E890" i="6" s="1"/>
  <c r="C889" i="4"/>
  <c r="C890" i="6" s="1"/>
  <c r="H889" i="4"/>
  <c r="H890" i="6" s="1"/>
  <c r="T892" i="9" l="1"/>
  <c r="L892" i="9"/>
  <c r="P892" i="9"/>
  <c r="E893" i="9"/>
  <c r="Q893" i="9" s="1"/>
  <c r="F893" i="9"/>
  <c r="G893" i="9"/>
  <c r="N893" i="9" s="1"/>
  <c r="H893" i="9"/>
  <c r="I893" i="9"/>
  <c r="R893" i="9" s="1"/>
  <c r="B893" i="9"/>
  <c r="J893" i="9"/>
  <c r="U893" i="9"/>
  <c r="C893" i="9"/>
  <c r="M893" i="9" s="1"/>
  <c r="D893" i="9"/>
  <c r="J890" i="6"/>
  <c r="I890" i="4"/>
  <c r="I891" i="6" s="1"/>
  <c r="C890" i="4"/>
  <c r="C891" i="6" s="1"/>
  <c r="F890" i="4"/>
  <c r="F891" i="6" s="1"/>
  <c r="A891" i="4"/>
  <c r="A892" i="6" s="1"/>
  <c r="A894" i="9" s="1"/>
  <c r="B890" i="4"/>
  <c r="B891" i="6" s="1"/>
  <c r="D890" i="4"/>
  <c r="D891" i="6" s="1"/>
  <c r="H890" i="4"/>
  <c r="H891" i="6" s="1"/>
  <c r="E890" i="4"/>
  <c r="E891" i="6" s="1"/>
  <c r="G890" i="4"/>
  <c r="G891" i="6" s="1"/>
  <c r="C894" i="9" l="1"/>
  <c r="M894" i="9" s="1"/>
  <c r="D894" i="9"/>
  <c r="E894" i="9"/>
  <c r="Q894" i="9" s="1"/>
  <c r="F894" i="9"/>
  <c r="G894" i="9"/>
  <c r="N894" i="9" s="1"/>
  <c r="H894" i="9"/>
  <c r="I894" i="9"/>
  <c r="R894" i="9" s="1"/>
  <c r="B894" i="9"/>
  <c r="J894" i="9"/>
  <c r="U894" i="9"/>
  <c r="P893" i="9"/>
  <c r="T893" i="9"/>
  <c r="L893" i="9"/>
  <c r="J891" i="6"/>
  <c r="H891" i="4"/>
  <c r="H892" i="6" s="1"/>
  <c r="B891" i="4"/>
  <c r="B892" i="6" s="1"/>
  <c r="A892" i="4"/>
  <c r="A893" i="6" s="1"/>
  <c r="A895" i="9" s="1"/>
  <c r="E891" i="4"/>
  <c r="E892" i="6" s="1"/>
  <c r="D891" i="4"/>
  <c r="D892" i="6" s="1"/>
  <c r="F891" i="4"/>
  <c r="F892" i="6" s="1"/>
  <c r="G891" i="4"/>
  <c r="G892" i="6" s="1"/>
  <c r="C891" i="4"/>
  <c r="C892" i="6" s="1"/>
  <c r="I891" i="4"/>
  <c r="I892" i="6" s="1"/>
  <c r="I895" i="9" l="1"/>
  <c r="R895" i="9" s="1"/>
  <c r="B895" i="9"/>
  <c r="J895" i="9"/>
  <c r="U895" i="9"/>
  <c r="C895" i="9"/>
  <c r="M895" i="9" s="1"/>
  <c r="D895" i="9"/>
  <c r="E895" i="9"/>
  <c r="Q895" i="9" s="1"/>
  <c r="F895" i="9"/>
  <c r="G895" i="9"/>
  <c r="N895" i="9" s="1"/>
  <c r="H895" i="9"/>
  <c r="L894" i="9"/>
  <c r="P894" i="9"/>
  <c r="T894" i="9"/>
  <c r="J892" i="6"/>
  <c r="G892" i="4"/>
  <c r="G893" i="6" s="1"/>
  <c r="I892" i="4"/>
  <c r="I893" i="6" s="1"/>
  <c r="D892" i="4"/>
  <c r="D893" i="6" s="1"/>
  <c r="E892" i="4"/>
  <c r="E893" i="6" s="1"/>
  <c r="H892" i="4"/>
  <c r="H893" i="6" s="1"/>
  <c r="A893" i="4"/>
  <c r="A894" i="6" s="1"/>
  <c r="A896" i="9" s="1"/>
  <c r="C892" i="4"/>
  <c r="C893" i="6" s="1"/>
  <c r="F892" i="4"/>
  <c r="F893" i="6" s="1"/>
  <c r="B892" i="4"/>
  <c r="B893" i="6" s="1"/>
  <c r="G896" i="9" l="1"/>
  <c r="N896" i="9" s="1"/>
  <c r="H896" i="9"/>
  <c r="I896" i="9"/>
  <c r="R896" i="9" s="1"/>
  <c r="B896" i="9"/>
  <c r="J896" i="9"/>
  <c r="U896" i="9"/>
  <c r="C896" i="9"/>
  <c r="M896" i="9" s="1"/>
  <c r="D896" i="9"/>
  <c r="E896" i="9"/>
  <c r="Q896" i="9" s="1"/>
  <c r="F896" i="9"/>
  <c r="T895" i="9"/>
  <c r="L895" i="9"/>
  <c r="P895" i="9"/>
  <c r="J893" i="6"/>
  <c r="F893" i="4"/>
  <c r="F894" i="6" s="1"/>
  <c r="H893" i="4"/>
  <c r="H894" i="6" s="1"/>
  <c r="C893" i="4"/>
  <c r="C894" i="6" s="1"/>
  <c r="I893" i="4"/>
  <c r="I894" i="6" s="1"/>
  <c r="B893" i="4"/>
  <c r="B894" i="6" s="1"/>
  <c r="G893" i="4"/>
  <c r="G894" i="6" s="1"/>
  <c r="D893" i="4"/>
  <c r="D894" i="6" s="1"/>
  <c r="E893" i="4"/>
  <c r="E894" i="6" s="1"/>
  <c r="A894" i="4"/>
  <c r="A895" i="6" s="1"/>
  <c r="A897" i="9" s="1"/>
  <c r="T896" i="9" l="1"/>
  <c r="L896" i="9"/>
  <c r="P896" i="9"/>
  <c r="E897" i="9"/>
  <c r="Q897" i="9" s="1"/>
  <c r="F897" i="9"/>
  <c r="G897" i="9"/>
  <c r="N897" i="9" s="1"/>
  <c r="H897" i="9"/>
  <c r="I897" i="9"/>
  <c r="R897" i="9" s="1"/>
  <c r="B897" i="9"/>
  <c r="J897" i="9"/>
  <c r="U897" i="9"/>
  <c r="C897" i="9"/>
  <c r="M897" i="9" s="1"/>
  <c r="D897" i="9"/>
  <c r="J894" i="6"/>
  <c r="E894" i="4"/>
  <c r="E895" i="6" s="1"/>
  <c r="G894" i="4"/>
  <c r="G895" i="6" s="1"/>
  <c r="A895" i="4"/>
  <c r="A896" i="6" s="1"/>
  <c r="A898" i="9" s="1"/>
  <c r="B894" i="4"/>
  <c r="B895" i="6" s="1"/>
  <c r="C894" i="4"/>
  <c r="C895" i="6" s="1"/>
  <c r="D894" i="4"/>
  <c r="D895" i="6" s="1"/>
  <c r="I894" i="4"/>
  <c r="I895" i="6" s="1"/>
  <c r="F894" i="4"/>
  <c r="F895" i="6" s="1"/>
  <c r="H894" i="4"/>
  <c r="H895" i="6" s="1"/>
  <c r="P897" i="9" l="1"/>
  <c r="T897" i="9"/>
  <c r="L897" i="9"/>
  <c r="C898" i="9"/>
  <c r="M898" i="9" s="1"/>
  <c r="D898" i="9"/>
  <c r="E898" i="9"/>
  <c r="Q898" i="9" s="1"/>
  <c r="F898" i="9"/>
  <c r="G898" i="9"/>
  <c r="N898" i="9" s="1"/>
  <c r="H898" i="9"/>
  <c r="I898" i="9"/>
  <c r="R898" i="9" s="1"/>
  <c r="B898" i="9"/>
  <c r="J898" i="9"/>
  <c r="U898" i="9"/>
  <c r="J895" i="6"/>
  <c r="D895" i="4"/>
  <c r="D896" i="6" s="1"/>
  <c r="F895" i="4"/>
  <c r="F896" i="6" s="1"/>
  <c r="C895" i="4"/>
  <c r="C896" i="6" s="1"/>
  <c r="E895" i="4"/>
  <c r="E896" i="6" s="1"/>
  <c r="G895" i="4"/>
  <c r="G896" i="6" s="1"/>
  <c r="A896" i="4"/>
  <c r="A897" i="6" s="1"/>
  <c r="A899" i="9" s="1"/>
  <c r="I895" i="4"/>
  <c r="I896" i="6" s="1"/>
  <c r="B895" i="4"/>
  <c r="B896" i="6" s="1"/>
  <c r="H895" i="4"/>
  <c r="H896" i="6" s="1"/>
  <c r="I899" i="9" l="1"/>
  <c r="R899" i="9" s="1"/>
  <c r="B899" i="9"/>
  <c r="J899" i="9"/>
  <c r="U899" i="9"/>
  <c r="C899" i="9"/>
  <c r="M899" i="9" s="1"/>
  <c r="D899" i="9"/>
  <c r="E899" i="9"/>
  <c r="Q899" i="9" s="1"/>
  <c r="F899" i="9"/>
  <c r="G899" i="9"/>
  <c r="N899" i="9" s="1"/>
  <c r="H899" i="9"/>
  <c r="L898" i="9"/>
  <c r="P898" i="9"/>
  <c r="T898" i="9"/>
  <c r="J896" i="6"/>
  <c r="C896" i="4"/>
  <c r="C897" i="6" s="1"/>
  <c r="E896" i="4"/>
  <c r="E897" i="6" s="1"/>
  <c r="B896" i="4"/>
  <c r="B897" i="6" s="1"/>
  <c r="F896" i="4"/>
  <c r="F897" i="6" s="1"/>
  <c r="G896" i="4"/>
  <c r="G897" i="6" s="1"/>
  <c r="H896" i="4"/>
  <c r="H897" i="6" s="1"/>
  <c r="D896" i="4"/>
  <c r="D897" i="6" s="1"/>
  <c r="I896" i="4"/>
  <c r="I897" i="6" s="1"/>
  <c r="A897" i="4"/>
  <c r="A898" i="6" s="1"/>
  <c r="A900" i="9" s="1"/>
  <c r="T899" i="9" l="1"/>
  <c r="L899" i="9"/>
  <c r="P899" i="9"/>
  <c r="G900" i="9"/>
  <c r="N900" i="9" s="1"/>
  <c r="H900" i="9"/>
  <c r="I900" i="9"/>
  <c r="R900" i="9" s="1"/>
  <c r="B900" i="9"/>
  <c r="J900" i="9"/>
  <c r="U900" i="9"/>
  <c r="C900" i="9"/>
  <c r="M900" i="9" s="1"/>
  <c r="D900" i="9"/>
  <c r="E900" i="9"/>
  <c r="Q900" i="9" s="1"/>
  <c r="F900" i="9"/>
  <c r="J897" i="6"/>
  <c r="B897" i="4"/>
  <c r="B898" i="6" s="1"/>
  <c r="A898" i="4"/>
  <c r="A899" i="6" s="1"/>
  <c r="A901" i="9" s="1"/>
  <c r="D897" i="4"/>
  <c r="D898" i="6" s="1"/>
  <c r="E897" i="4"/>
  <c r="E898" i="6" s="1"/>
  <c r="G897" i="4"/>
  <c r="G898" i="6" s="1"/>
  <c r="H897" i="4"/>
  <c r="H898" i="6" s="1"/>
  <c r="I897" i="4"/>
  <c r="I898" i="6" s="1"/>
  <c r="C897" i="4"/>
  <c r="C898" i="6" s="1"/>
  <c r="F897" i="4"/>
  <c r="F898" i="6" s="1"/>
  <c r="E901" i="9" l="1"/>
  <c r="Q901" i="9" s="1"/>
  <c r="F901" i="9"/>
  <c r="G901" i="9"/>
  <c r="N901" i="9" s="1"/>
  <c r="H901" i="9"/>
  <c r="I901" i="9"/>
  <c r="R901" i="9" s="1"/>
  <c r="B901" i="9"/>
  <c r="J901" i="9"/>
  <c r="U901" i="9"/>
  <c r="C901" i="9"/>
  <c r="M901" i="9" s="1"/>
  <c r="D901" i="9"/>
  <c r="T900" i="9"/>
  <c r="L900" i="9"/>
  <c r="P900" i="9"/>
  <c r="J898" i="6"/>
  <c r="I898" i="4"/>
  <c r="I899" i="6" s="1"/>
  <c r="C898" i="4"/>
  <c r="C899" i="6" s="1"/>
  <c r="F898" i="4"/>
  <c r="F899" i="6" s="1"/>
  <c r="H898" i="4"/>
  <c r="H899" i="6" s="1"/>
  <c r="A899" i="4"/>
  <c r="A900" i="6" s="1"/>
  <c r="A902" i="9" s="1"/>
  <c r="E898" i="4"/>
  <c r="E899" i="6" s="1"/>
  <c r="B898" i="4"/>
  <c r="B899" i="6" s="1"/>
  <c r="D898" i="4"/>
  <c r="D899" i="6" s="1"/>
  <c r="G898" i="4"/>
  <c r="G899" i="6" s="1"/>
  <c r="C902" i="9" l="1"/>
  <c r="M902" i="9" s="1"/>
  <c r="D902" i="9"/>
  <c r="E902" i="9"/>
  <c r="Q902" i="9" s="1"/>
  <c r="F902" i="9"/>
  <c r="G902" i="9"/>
  <c r="N902" i="9" s="1"/>
  <c r="H902" i="9"/>
  <c r="I902" i="9"/>
  <c r="R902" i="9" s="1"/>
  <c r="B902" i="9"/>
  <c r="J902" i="9"/>
  <c r="U902" i="9"/>
  <c r="P901" i="9"/>
  <c r="T901" i="9"/>
  <c r="L901" i="9"/>
  <c r="J899" i="6"/>
  <c r="H899" i="4"/>
  <c r="H900" i="6" s="1"/>
  <c r="B899" i="4"/>
  <c r="B900" i="6" s="1"/>
  <c r="A900" i="4"/>
  <c r="A901" i="6" s="1"/>
  <c r="A903" i="9" s="1"/>
  <c r="G899" i="4"/>
  <c r="G900" i="6" s="1"/>
  <c r="C899" i="4"/>
  <c r="C900" i="6" s="1"/>
  <c r="F899" i="4"/>
  <c r="F900" i="6" s="1"/>
  <c r="D899" i="4"/>
  <c r="D900" i="6" s="1"/>
  <c r="E899" i="4"/>
  <c r="E900" i="6" s="1"/>
  <c r="I899" i="4"/>
  <c r="I900" i="6" s="1"/>
  <c r="I903" i="9" l="1"/>
  <c r="R903" i="9" s="1"/>
  <c r="B903" i="9"/>
  <c r="J903" i="9"/>
  <c r="U903" i="9"/>
  <c r="C903" i="9"/>
  <c r="M903" i="9" s="1"/>
  <c r="D903" i="9"/>
  <c r="E903" i="9"/>
  <c r="Q903" i="9" s="1"/>
  <c r="F903" i="9"/>
  <c r="G903" i="9"/>
  <c r="N903" i="9" s="1"/>
  <c r="H903" i="9"/>
  <c r="L902" i="9"/>
  <c r="P902" i="9"/>
  <c r="T902" i="9"/>
  <c r="J900" i="6"/>
  <c r="A901" i="4"/>
  <c r="A902" i="6" s="1"/>
  <c r="A904" i="9" s="1"/>
  <c r="G900" i="4"/>
  <c r="G901" i="6" s="1"/>
  <c r="I900" i="4"/>
  <c r="I901" i="6" s="1"/>
  <c r="B900" i="4"/>
  <c r="B901" i="6" s="1"/>
  <c r="C900" i="4"/>
  <c r="C901" i="6" s="1"/>
  <c r="D900" i="4"/>
  <c r="D901" i="6" s="1"/>
  <c r="H900" i="4"/>
  <c r="H901" i="6" s="1"/>
  <c r="E900" i="4"/>
  <c r="E901" i="6" s="1"/>
  <c r="F900" i="4"/>
  <c r="F901" i="6" s="1"/>
  <c r="T903" i="9" l="1"/>
  <c r="L903" i="9"/>
  <c r="P903" i="9"/>
  <c r="G904" i="9"/>
  <c r="N904" i="9" s="1"/>
  <c r="H904" i="9"/>
  <c r="I904" i="9"/>
  <c r="R904" i="9" s="1"/>
  <c r="B904" i="9"/>
  <c r="J904" i="9"/>
  <c r="U904" i="9"/>
  <c r="C904" i="9"/>
  <c r="M904" i="9" s="1"/>
  <c r="D904" i="9"/>
  <c r="E904" i="9"/>
  <c r="Q904" i="9" s="1"/>
  <c r="F904" i="9"/>
  <c r="J901" i="6"/>
  <c r="H901" i="4"/>
  <c r="H902" i="6" s="1"/>
  <c r="I901" i="4"/>
  <c r="I902" i="6" s="1"/>
  <c r="D901" i="4"/>
  <c r="D902" i="6" s="1"/>
  <c r="B901" i="4"/>
  <c r="B902" i="6" s="1"/>
  <c r="C901" i="4"/>
  <c r="C902" i="6" s="1"/>
  <c r="G901" i="4"/>
  <c r="G902" i="6" s="1"/>
  <c r="E901" i="4"/>
  <c r="E902" i="6" s="1"/>
  <c r="F901" i="4"/>
  <c r="F902" i="6" s="1"/>
  <c r="A902" i="4"/>
  <c r="A903" i="6" s="1"/>
  <c r="A905" i="9" s="1"/>
  <c r="T904" i="9" l="1"/>
  <c r="L904" i="9"/>
  <c r="P904" i="9"/>
  <c r="E905" i="9"/>
  <c r="Q905" i="9" s="1"/>
  <c r="F905" i="9"/>
  <c r="G905" i="9"/>
  <c r="N905" i="9" s="1"/>
  <c r="H905" i="9"/>
  <c r="I905" i="9"/>
  <c r="R905" i="9" s="1"/>
  <c r="B905" i="9"/>
  <c r="J905" i="9"/>
  <c r="U905" i="9"/>
  <c r="C905" i="9"/>
  <c r="M905" i="9" s="1"/>
  <c r="D905" i="9"/>
  <c r="J902" i="6"/>
  <c r="G902" i="4"/>
  <c r="G903" i="6" s="1"/>
  <c r="H902" i="4"/>
  <c r="H903" i="6" s="1"/>
  <c r="C902" i="4"/>
  <c r="C903" i="6" s="1"/>
  <c r="B902" i="4"/>
  <c r="B903" i="6" s="1"/>
  <c r="D902" i="4"/>
  <c r="D903" i="6" s="1"/>
  <c r="E902" i="4"/>
  <c r="E903" i="6" s="1"/>
  <c r="F902" i="4"/>
  <c r="F903" i="6" s="1"/>
  <c r="A903" i="4"/>
  <c r="A904" i="6" s="1"/>
  <c r="A906" i="9" s="1"/>
  <c r="I902" i="4"/>
  <c r="I903" i="6" s="1"/>
  <c r="P905" i="9" l="1"/>
  <c r="T905" i="9"/>
  <c r="L905" i="9"/>
  <c r="C906" i="9"/>
  <c r="M906" i="9" s="1"/>
  <c r="D906" i="9"/>
  <c r="E906" i="9"/>
  <c r="Q906" i="9" s="1"/>
  <c r="F906" i="9"/>
  <c r="G906" i="9"/>
  <c r="N906" i="9" s="1"/>
  <c r="H906" i="9"/>
  <c r="I906" i="9"/>
  <c r="R906" i="9" s="1"/>
  <c r="B906" i="9"/>
  <c r="J906" i="9"/>
  <c r="U906" i="9"/>
  <c r="J903" i="6"/>
  <c r="F903" i="4"/>
  <c r="F904" i="6" s="1"/>
  <c r="G903" i="4"/>
  <c r="G904" i="6" s="1"/>
  <c r="B903" i="4"/>
  <c r="B904" i="6" s="1"/>
  <c r="A904" i="4"/>
  <c r="A905" i="6" s="1"/>
  <c r="A907" i="9" s="1"/>
  <c r="E903" i="4"/>
  <c r="E904" i="6" s="1"/>
  <c r="H903" i="4"/>
  <c r="H904" i="6" s="1"/>
  <c r="I903" i="4"/>
  <c r="I904" i="6" s="1"/>
  <c r="C903" i="4"/>
  <c r="C904" i="6" s="1"/>
  <c r="D903" i="4"/>
  <c r="D904" i="6" s="1"/>
  <c r="I907" i="9" l="1"/>
  <c r="R907" i="9" s="1"/>
  <c r="B907" i="9"/>
  <c r="J907" i="9"/>
  <c r="U907" i="9"/>
  <c r="C907" i="9"/>
  <c r="M907" i="9" s="1"/>
  <c r="D907" i="9"/>
  <c r="E907" i="9"/>
  <c r="Q907" i="9" s="1"/>
  <c r="F907" i="9"/>
  <c r="G907" i="9"/>
  <c r="N907" i="9" s="1"/>
  <c r="H907" i="9"/>
  <c r="L906" i="9"/>
  <c r="P906" i="9"/>
  <c r="T906" i="9"/>
  <c r="J904" i="6"/>
  <c r="E904" i="4"/>
  <c r="E905" i="6" s="1"/>
  <c r="F904" i="4"/>
  <c r="F905" i="6" s="1"/>
  <c r="I904" i="4"/>
  <c r="I905" i="6" s="1"/>
  <c r="A905" i="4"/>
  <c r="A906" i="6" s="1"/>
  <c r="A908" i="9" s="1"/>
  <c r="B904" i="4"/>
  <c r="B905" i="6" s="1"/>
  <c r="G904" i="4"/>
  <c r="G905" i="6" s="1"/>
  <c r="H904" i="4"/>
  <c r="H905" i="6" s="1"/>
  <c r="C904" i="4"/>
  <c r="C905" i="6" s="1"/>
  <c r="D904" i="4"/>
  <c r="D905" i="6" s="1"/>
  <c r="T907" i="9" l="1"/>
  <c r="L907" i="9"/>
  <c r="P907" i="9"/>
  <c r="G908" i="9"/>
  <c r="N908" i="9" s="1"/>
  <c r="H908" i="9"/>
  <c r="I908" i="9"/>
  <c r="R908" i="9" s="1"/>
  <c r="B908" i="9"/>
  <c r="J908" i="9"/>
  <c r="U908" i="9"/>
  <c r="C908" i="9"/>
  <c r="M908" i="9" s="1"/>
  <c r="D908" i="9"/>
  <c r="E908" i="9"/>
  <c r="Q908" i="9" s="1"/>
  <c r="F908" i="9"/>
  <c r="J905" i="6"/>
  <c r="D905" i="4"/>
  <c r="D906" i="6" s="1"/>
  <c r="E905" i="4"/>
  <c r="E906" i="6" s="1"/>
  <c r="H905" i="4"/>
  <c r="H906" i="6" s="1"/>
  <c r="B905" i="4"/>
  <c r="B906" i="6" s="1"/>
  <c r="C905" i="4"/>
  <c r="C906" i="6" s="1"/>
  <c r="F905" i="4"/>
  <c r="F906" i="6" s="1"/>
  <c r="A906" i="4"/>
  <c r="A907" i="6" s="1"/>
  <c r="A909" i="9" s="1"/>
  <c r="G905" i="4"/>
  <c r="G906" i="6" s="1"/>
  <c r="I905" i="4"/>
  <c r="I906" i="6" s="1"/>
  <c r="T908" i="9" l="1"/>
  <c r="L908" i="9"/>
  <c r="P908" i="9"/>
  <c r="E909" i="9"/>
  <c r="Q909" i="9" s="1"/>
  <c r="F909" i="9"/>
  <c r="G909" i="9"/>
  <c r="N909" i="9" s="1"/>
  <c r="H909" i="9"/>
  <c r="I909" i="9"/>
  <c r="R909" i="9" s="1"/>
  <c r="B909" i="9"/>
  <c r="J909" i="9"/>
  <c r="U909" i="9"/>
  <c r="C909" i="9"/>
  <c r="M909" i="9" s="1"/>
  <c r="D909" i="9"/>
  <c r="J906" i="6"/>
  <c r="C906" i="4"/>
  <c r="C907" i="6" s="1"/>
  <c r="D906" i="4"/>
  <c r="D907" i="6" s="1"/>
  <c r="G906" i="4"/>
  <c r="G907" i="6" s="1"/>
  <c r="E906" i="4"/>
  <c r="E907" i="6" s="1"/>
  <c r="F906" i="4"/>
  <c r="F907" i="6" s="1"/>
  <c r="H906" i="4"/>
  <c r="H907" i="6" s="1"/>
  <c r="I906" i="4"/>
  <c r="I907" i="6" s="1"/>
  <c r="A907" i="4"/>
  <c r="A908" i="6" s="1"/>
  <c r="A910" i="9" s="1"/>
  <c r="B906" i="4"/>
  <c r="B907" i="6" s="1"/>
  <c r="P909" i="9" l="1"/>
  <c r="T909" i="9"/>
  <c r="L909" i="9"/>
  <c r="C910" i="9"/>
  <c r="M910" i="9" s="1"/>
  <c r="D910" i="9"/>
  <c r="E910" i="9"/>
  <c r="Q910" i="9" s="1"/>
  <c r="F910" i="9"/>
  <c r="G910" i="9"/>
  <c r="N910" i="9" s="1"/>
  <c r="H910" i="9"/>
  <c r="B910" i="9"/>
  <c r="I910" i="9"/>
  <c r="R910" i="9" s="1"/>
  <c r="J910" i="9"/>
  <c r="U910" i="9"/>
  <c r="J907" i="6"/>
  <c r="B907" i="4"/>
  <c r="B908" i="6" s="1"/>
  <c r="A908" i="4"/>
  <c r="A909" i="6" s="1"/>
  <c r="A911" i="9" s="1"/>
  <c r="C907" i="4"/>
  <c r="C908" i="6" s="1"/>
  <c r="F907" i="4"/>
  <c r="F908" i="6" s="1"/>
  <c r="H907" i="4"/>
  <c r="H908" i="6" s="1"/>
  <c r="I907" i="4"/>
  <c r="I908" i="6" s="1"/>
  <c r="E907" i="4"/>
  <c r="E908" i="6" s="1"/>
  <c r="D907" i="4"/>
  <c r="D908" i="6" s="1"/>
  <c r="G907" i="4"/>
  <c r="G908" i="6" s="1"/>
  <c r="L910" i="9" l="1"/>
  <c r="P910" i="9"/>
  <c r="T910" i="9"/>
  <c r="I911" i="9"/>
  <c r="R911" i="9" s="1"/>
  <c r="B911" i="9"/>
  <c r="J911" i="9"/>
  <c r="U911" i="9"/>
  <c r="C911" i="9"/>
  <c r="M911" i="9" s="1"/>
  <c r="D911" i="9"/>
  <c r="E911" i="9"/>
  <c r="Q911" i="9" s="1"/>
  <c r="F911" i="9"/>
  <c r="G911" i="9"/>
  <c r="N911" i="9" s="1"/>
  <c r="H911" i="9"/>
  <c r="J908" i="6"/>
  <c r="I908" i="4"/>
  <c r="I909" i="6" s="1"/>
  <c r="B908" i="4"/>
  <c r="B909" i="6" s="1"/>
  <c r="A909" i="4"/>
  <c r="A910" i="6" s="1"/>
  <c r="A912" i="9" s="1"/>
  <c r="E908" i="4"/>
  <c r="E909" i="6" s="1"/>
  <c r="C908" i="4"/>
  <c r="C909" i="6" s="1"/>
  <c r="D908" i="4"/>
  <c r="D909" i="6" s="1"/>
  <c r="H908" i="4"/>
  <c r="H909" i="6" s="1"/>
  <c r="G908" i="4"/>
  <c r="G909" i="6" s="1"/>
  <c r="F908" i="4"/>
  <c r="F909" i="6" s="1"/>
  <c r="T911" i="9" l="1"/>
  <c r="L911" i="9"/>
  <c r="P911" i="9"/>
  <c r="G912" i="9"/>
  <c r="N912" i="9" s="1"/>
  <c r="H912" i="9"/>
  <c r="I912" i="9"/>
  <c r="R912" i="9" s="1"/>
  <c r="B912" i="9"/>
  <c r="J912" i="9"/>
  <c r="U912" i="9"/>
  <c r="C912" i="9"/>
  <c r="M912" i="9" s="1"/>
  <c r="D912" i="9"/>
  <c r="E912" i="9"/>
  <c r="Q912" i="9" s="1"/>
  <c r="F912" i="9"/>
  <c r="J909" i="6"/>
  <c r="D909" i="4"/>
  <c r="D910" i="6" s="1"/>
  <c r="C909" i="4"/>
  <c r="C910" i="6" s="1"/>
  <c r="E909" i="4"/>
  <c r="E910" i="6" s="1"/>
  <c r="F909" i="4"/>
  <c r="F910" i="6" s="1"/>
  <c r="G909" i="4"/>
  <c r="G910" i="6" s="1"/>
  <c r="A910" i="4"/>
  <c r="A911" i="6" s="1"/>
  <c r="A913" i="9" s="1"/>
  <c r="H909" i="4"/>
  <c r="H910" i="6" s="1"/>
  <c r="I909" i="4"/>
  <c r="I910" i="6" s="1"/>
  <c r="B909" i="4"/>
  <c r="B910" i="6" s="1"/>
  <c r="T912" i="9" l="1"/>
  <c r="L912" i="9"/>
  <c r="P912" i="9"/>
  <c r="E913" i="9"/>
  <c r="Q913" i="9" s="1"/>
  <c r="F913" i="9"/>
  <c r="G913" i="9"/>
  <c r="N913" i="9" s="1"/>
  <c r="H913" i="9"/>
  <c r="I913" i="9"/>
  <c r="R913" i="9" s="1"/>
  <c r="B913" i="9"/>
  <c r="J913" i="9"/>
  <c r="U913" i="9"/>
  <c r="C913" i="9"/>
  <c r="M913" i="9" s="1"/>
  <c r="D913" i="9"/>
  <c r="J910" i="6"/>
  <c r="C910" i="4"/>
  <c r="C911" i="6" s="1"/>
  <c r="D910" i="4"/>
  <c r="D911" i="6" s="1"/>
  <c r="E910" i="4"/>
  <c r="E911" i="6" s="1"/>
  <c r="F910" i="4"/>
  <c r="F911" i="6" s="1"/>
  <c r="I910" i="4"/>
  <c r="I911" i="6" s="1"/>
  <c r="B910" i="4"/>
  <c r="B911" i="6" s="1"/>
  <c r="G910" i="4"/>
  <c r="G911" i="6" s="1"/>
  <c r="H910" i="4"/>
  <c r="H911" i="6" s="1"/>
  <c r="A911" i="4"/>
  <c r="A912" i="6" s="1"/>
  <c r="A914" i="9" s="1"/>
  <c r="C914" i="9" l="1"/>
  <c r="M914" i="9" s="1"/>
  <c r="D914" i="9"/>
  <c r="E914" i="9"/>
  <c r="Q914" i="9" s="1"/>
  <c r="F914" i="9"/>
  <c r="G914" i="9"/>
  <c r="N914" i="9" s="1"/>
  <c r="H914" i="9"/>
  <c r="B914" i="9"/>
  <c r="I914" i="9"/>
  <c r="R914" i="9" s="1"/>
  <c r="J914" i="9"/>
  <c r="U914" i="9"/>
  <c r="P913" i="9"/>
  <c r="T913" i="9"/>
  <c r="L913" i="9"/>
  <c r="J911" i="6"/>
  <c r="B911" i="4"/>
  <c r="B912" i="6" s="1"/>
  <c r="A912" i="4"/>
  <c r="A913" i="6" s="1"/>
  <c r="A915" i="9" s="1"/>
  <c r="C911" i="4"/>
  <c r="C912" i="6" s="1"/>
  <c r="D911" i="4"/>
  <c r="D912" i="6" s="1"/>
  <c r="E911" i="4"/>
  <c r="E912" i="6" s="1"/>
  <c r="H911" i="4"/>
  <c r="H912" i="6" s="1"/>
  <c r="F911" i="4"/>
  <c r="F912" i="6" s="1"/>
  <c r="I911" i="4"/>
  <c r="I912" i="6" s="1"/>
  <c r="G911" i="4"/>
  <c r="G912" i="6" s="1"/>
  <c r="I915" i="9" l="1"/>
  <c r="R915" i="9" s="1"/>
  <c r="B915" i="9"/>
  <c r="J915" i="9"/>
  <c r="U915" i="9"/>
  <c r="C915" i="9"/>
  <c r="M915" i="9" s="1"/>
  <c r="D915" i="9"/>
  <c r="E915" i="9"/>
  <c r="Q915" i="9" s="1"/>
  <c r="F915" i="9"/>
  <c r="G915" i="9"/>
  <c r="N915" i="9" s="1"/>
  <c r="H915" i="9"/>
  <c r="L914" i="9"/>
  <c r="P914" i="9"/>
  <c r="T914" i="9"/>
  <c r="J912" i="6"/>
  <c r="I912" i="4"/>
  <c r="I913" i="6" s="1"/>
  <c r="B912" i="4"/>
  <c r="B913" i="6" s="1"/>
  <c r="A913" i="4"/>
  <c r="A914" i="6" s="1"/>
  <c r="A916" i="9" s="1"/>
  <c r="C912" i="4"/>
  <c r="C913" i="6" s="1"/>
  <c r="D912" i="4"/>
  <c r="D913" i="6" s="1"/>
  <c r="G912" i="4"/>
  <c r="G913" i="6" s="1"/>
  <c r="F912" i="4"/>
  <c r="F913" i="6" s="1"/>
  <c r="H912" i="4"/>
  <c r="H913" i="6" s="1"/>
  <c r="E912" i="4"/>
  <c r="E913" i="6" s="1"/>
  <c r="T915" i="9" l="1"/>
  <c r="L915" i="9"/>
  <c r="P915" i="9"/>
  <c r="G916" i="9"/>
  <c r="N916" i="9" s="1"/>
  <c r="H916" i="9"/>
  <c r="I916" i="9"/>
  <c r="R916" i="9" s="1"/>
  <c r="B916" i="9"/>
  <c r="J916" i="9"/>
  <c r="U916" i="9"/>
  <c r="C916" i="9"/>
  <c r="M916" i="9" s="1"/>
  <c r="D916" i="9"/>
  <c r="E916" i="9"/>
  <c r="Q916" i="9" s="1"/>
  <c r="F916" i="9"/>
  <c r="J913" i="6"/>
  <c r="H913" i="4"/>
  <c r="H914" i="6" s="1"/>
  <c r="I913" i="4"/>
  <c r="I914" i="6" s="1"/>
  <c r="B913" i="4"/>
  <c r="B914" i="6" s="1"/>
  <c r="A914" i="4"/>
  <c r="A915" i="6" s="1"/>
  <c r="A917" i="9" s="1"/>
  <c r="C913" i="4"/>
  <c r="C914" i="6" s="1"/>
  <c r="F913" i="4"/>
  <c r="F914" i="6" s="1"/>
  <c r="G913" i="4"/>
  <c r="G914" i="6" s="1"/>
  <c r="E913" i="4"/>
  <c r="E914" i="6" s="1"/>
  <c r="D913" i="4"/>
  <c r="D914" i="6" s="1"/>
  <c r="T916" i="9" l="1"/>
  <c r="L916" i="9"/>
  <c r="P916" i="9"/>
  <c r="E917" i="9"/>
  <c r="Q917" i="9" s="1"/>
  <c r="F917" i="9"/>
  <c r="G917" i="9"/>
  <c r="N917" i="9" s="1"/>
  <c r="H917" i="9"/>
  <c r="I917" i="9"/>
  <c r="R917" i="9" s="1"/>
  <c r="B917" i="9"/>
  <c r="C917" i="9"/>
  <c r="M917" i="9" s="1"/>
  <c r="D917" i="9"/>
  <c r="J917" i="9"/>
  <c r="U917" i="9"/>
  <c r="J914" i="6"/>
  <c r="G914" i="4"/>
  <c r="G915" i="6" s="1"/>
  <c r="H914" i="4"/>
  <c r="H915" i="6" s="1"/>
  <c r="I914" i="4"/>
  <c r="I915" i="6" s="1"/>
  <c r="B914" i="4"/>
  <c r="B915" i="6" s="1"/>
  <c r="A915" i="4"/>
  <c r="A916" i="6" s="1"/>
  <c r="A918" i="9" s="1"/>
  <c r="E914" i="4"/>
  <c r="E915" i="6" s="1"/>
  <c r="D914" i="4"/>
  <c r="D915" i="6" s="1"/>
  <c r="C914" i="4"/>
  <c r="C915" i="6" s="1"/>
  <c r="F914" i="4"/>
  <c r="F915" i="6" s="1"/>
  <c r="P917" i="9" l="1"/>
  <c r="T917" i="9"/>
  <c r="L917" i="9"/>
  <c r="C918" i="9"/>
  <c r="M918" i="9" s="1"/>
  <c r="D918" i="9"/>
  <c r="E918" i="9"/>
  <c r="Q918" i="9" s="1"/>
  <c r="F918" i="9"/>
  <c r="G918" i="9"/>
  <c r="N918" i="9" s="1"/>
  <c r="B918" i="9"/>
  <c r="H918" i="9"/>
  <c r="I918" i="9"/>
  <c r="R918" i="9" s="1"/>
  <c r="J918" i="9"/>
  <c r="U918" i="9"/>
  <c r="J915" i="6"/>
  <c r="F915" i="4"/>
  <c r="F916" i="6" s="1"/>
  <c r="G915" i="4"/>
  <c r="G916" i="6" s="1"/>
  <c r="H915" i="4"/>
  <c r="H916" i="6" s="1"/>
  <c r="I915" i="4"/>
  <c r="I916" i="6" s="1"/>
  <c r="D915" i="4"/>
  <c r="D916" i="6" s="1"/>
  <c r="B915" i="4"/>
  <c r="B916" i="6" s="1"/>
  <c r="C915" i="4"/>
  <c r="C916" i="6" s="1"/>
  <c r="A916" i="4"/>
  <c r="A917" i="6" s="1"/>
  <c r="A919" i="9" s="1"/>
  <c r="E915" i="4"/>
  <c r="E916" i="6" s="1"/>
  <c r="I919" i="9" l="1"/>
  <c r="R919" i="9" s="1"/>
  <c r="B919" i="9"/>
  <c r="J919" i="9"/>
  <c r="U919" i="9"/>
  <c r="C919" i="9"/>
  <c r="M919" i="9" s="1"/>
  <c r="D919" i="9"/>
  <c r="E919" i="9"/>
  <c r="Q919" i="9" s="1"/>
  <c r="F919" i="9"/>
  <c r="G919" i="9"/>
  <c r="N919" i="9" s="1"/>
  <c r="H919" i="9"/>
  <c r="L918" i="9"/>
  <c r="P918" i="9"/>
  <c r="T918" i="9"/>
  <c r="J916" i="6"/>
  <c r="E916" i="4"/>
  <c r="E917" i="6" s="1"/>
  <c r="F916" i="4"/>
  <c r="F917" i="6" s="1"/>
  <c r="G916" i="4"/>
  <c r="G917" i="6" s="1"/>
  <c r="H916" i="4"/>
  <c r="H917" i="6" s="1"/>
  <c r="C916" i="4"/>
  <c r="C917" i="6" s="1"/>
  <c r="B916" i="4"/>
  <c r="B917" i="6" s="1"/>
  <c r="A917" i="4"/>
  <c r="A918" i="6" s="1"/>
  <c r="A920" i="9" s="1"/>
  <c r="D916" i="4"/>
  <c r="D917" i="6" s="1"/>
  <c r="I916" i="4"/>
  <c r="I917" i="6" s="1"/>
  <c r="H920" i="9" l="1"/>
  <c r="E920" i="9"/>
  <c r="Q920" i="9" s="1"/>
  <c r="F920" i="9"/>
  <c r="G920" i="9"/>
  <c r="N920" i="9" s="1"/>
  <c r="I920" i="9"/>
  <c r="R920" i="9" s="1"/>
  <c r="J920" i="9"/>
  <c r="U920" i="9"/>
  <c r="B920" i="9"/>
  <c r="C920" i="9"/>
  <c r="M920" i="9" s="1"/>
  <c r="D920" i="9"/>
  <c r="T919" i="9"/>
  <c r="P919" i="9"/>
  <c r="L919" i="9"/>
  <c r="J917" i="6"/>
  <c r="D917" i="4"/>
  <c r="D918" i="6" s="1"/>
  <c r="E917" i="4"/>
  <c r="E918" i="6" s="1"/>
  <c r="F917" i="4"/>
  <c r="F918" i="6" s="1"/>
  <c r="G917" i="4"/>
  <c r="G918" i="6" s="1"/>
  <c r="B917" i="4"/>
  <c r="B918" i="6" s="1"/>
  <c r="A918" i="4"/>
  <c r="A919" i="6" s="1"/>
  <c r="A921" i="9" s="1"/>
  <c r="C917" i="4"/>
  <c r="C918" i="6" s="1"/>
  <c r="H917" i="4"/>
  <c r="H918" i="6" s="1"/>
  <c r="I917" i="4"/>
  <c r="I918" i="6" s="1"/>
  <c r="P920" i="9" l="1"/>
  <c r="T920" i="9"/>
  <c r="L920" i="9"/>
  <c r="D921" i="9"/>
  <c r="E921" i="9"/>
  <c r="Q921" i="9" s="1"/>
  <c r="F921" i="9"/>
  <c r="G921" i="9"/>
  <c r="N921" i="9" s="1"/>
  <c r="H921" i="9"/>
  <c r="I921" i="9"/>
  <c r="R921" i="9" s="1"/>
  <c r="B921" i="9"/>
  <c r="J921" i="9"/>
  <c r="U921" i="9"/>
  <c r="C921" i="9"/>
  <c r="M921" i="9" s="1"/>
  <c r="J918" i="6"/>
  <c r="C918" i="4"/>
  <c r="C919" i="6" s="1"/>
  <c r="D918" i="4"/>
  <c r="D919" i="6" s="1"/>
  <c r="E918" i="4"/>
  <c r="E919" i="6" s="1"/>
  <c r="F918" i="4"/>
  <c r="F919" i="6" s="1"/>
  <c r="I918" i="4"/>
  <c r="I919" i="6" s="1"/>
  <c r="G918" i="4"/>
  <c r="G919" i="6" s="1"/>
  <c r="B918" i="4"/>
  <c r="B919" i="6" s="1"/>
  <c r="A919" i="4"/>
  <c r="A920" i="6" s="1"/>
  <c r="A922" i="9" s="1"/>
  <c r="H918" i="4"/>
  <c r="H919" i="6" s="1"/>
  <c r="P921" i="9" l="1"/>
  <c r="T921" i="9"/>
  <c r="L921" i="9"/>
  <c r="B922" i="9"/>
  <c r="J922" i="9"/>
  <c r="U922" i="9"/>
  <c r="C922" i="9"/>
  <c r="M922" i="9" s="1"/>
  <c r="D922" i="9"/>
  <c r="E922" i="9"/>
  <c r="Q922" i="9" s="1"/>
  <c r="F922" i="9"/>
  <c r="G922" i="9"/>
  <c r="N922" i="9" s="1"/>
  <c r="H922" i="9"/>
  <c r="I922" i="9"/>
  <c r="R922" i="9" s="1"/>
  <c r="J919" i="6"/>
  <c r="B919" i="4"/>
  <c r="B920" i="6" s="1"/>
  <c r="A920" i="4"/>
  <c r="A921" i="6" s="1"/>
  <c r="A923" i="9" s="1"/>
  <c r="C919" i="4"/>
  <c r="C920" i="6" s="1"/>
  <c r="D919" i="4"/>
  <c r="D920" i="6" s="1"/>
  <c r="E919" i="4"/>
  <c r="E920" i="6" s="1"/>
  <c r="H919" i="4"/>
  <c r="H920" i="6" s="1"/>
  <c r="G919" i="4"/>
  <c r="G920" i="6" s="1"/>
  <c r="I919" i="4"/>
  <c r="I920" i="6" s="1"/>
  <c r="F919" i="4"/>
  <c r="F920" i="6" s="1"/>
  <c r="H923" i="9" l="1"/>
  <c r="I923" i="9"/>
  <c r="R923" i="9" s="1"/>
  <c r="B923" i="9"/>
  <c r="J923" i="9"/>
  <c r="U923" i="9"/>
  <c r="C923" i="9"/>
  <c r="M923" i="9" s="1"/>
  <c r="D923" i="9"/>
  <c r="E923" i="9"/>
  <c r="Q923" i="9" s="1"/>
  <c r="F923" i="9"/>
  <c r="G923" i="9"/>
  <c r="N923" i="9" s="1"/>
  <c r="L922" i="9"/>
  <c r="P922" i="9"/>
  <c r="T922" i="9"/>
  <c r="J920" i="6"/>
  <c r="I920" i="4"/>
  <c r="I921" i="6" s="1"/>
  <c r="B920" i="4"/>
  <c r="B921" i="6" s="1"/>
  <c r="A921" i="4"/>
  <c r="A922" i="6" s="1"/>
  <c r="A924" i="9" s="1"/>
  <c r="C920" i="4"/>
  <c r="C921" i="6" s="1"/>
  <c r="D920" i="4"/>
  <c r="D921" i="6" s="1"/>
  <c r="G920" i="4"/>
  <c r="G921" i="6" s="1"/>
  <c r="H920" i="4"/>
  <c r="H921" i="6" s="1"/>
  <c r="E920" i="4"/>
  <c r="E921" i="6" s="1"/>
  <c r="F920" i="4"/>
  <c r="F921" i="6" s="1"/>
  <c r="T923" i="9" l="1"/>
  <c r="L923" i="9"/>
  <c r="P923" i="9"/>
  <c r="F924" i="9"/>
  <c r="G924" i="9"/>
  <c r="N924" i="9" s="1"/>
  <c r="H924" i="9"/>
  <c r="I924" i="9"/>
  <c r="R924" i="9" s="1"/>
  <c r="B924" i="9"/>
  <c r="J924" i="9"/>
  <c r="U924" i="9"/>
  <c r="C924" i="9"/>
  <c r="M924" i="9" s="1"/>
  <c r="D924" i="9"/>
  <c r="E924" i="9"/>
  <c r="Q924" i="9" s="1"/>
  <c r="J921" i="6"/>
  <c r="H921" i="4"/>
  <c r="H922" i="6" s="1"/>
  <c r="I921" i="4"/>
  <c r="I922" i="6" s="1"/>
  <c r="B921" i="4"/>
  <c r="B922" i="6" s="1"/>
  <c r="A922" i="4"/>
  <c r="A923" i="6" s="1"/>
  <c r="A925" i="9" s="1"/>
  <c r="C921" i="4"/>
  <c r="C922" i="6" s="1"/>
  <c r="F921" i="4"/>
  <c r="F922" i="6" s="1"/>
  <c r="D921" i="4"/>
  <c r="D922" i="6" s="1"/>
  <c r="G921" i="4"/>
  <c r="G922" i="6" s="1"/>
  <c r="E921" i="4"/>
  <c r="E922" i="6" s="1"/>
  <c r="D925" i="9" l="1"/>
  <c r="E925" i="9"/>
  <c r="Q925" i="9" s="1"/>
  <c r="F925" i="9"/>
  <c r="G925" i="9"/>
  <c r="N925" i="9" s="1"/>
  <c r="H925" i="9"/>
  <c r="I925" i="9"/>
  <c r="R925" i="9" s="1"/>
  <c r="B925" i="9"/>
  <c r="J925" i="9"/>
  <c r="U925" i="9"/>
  <c r="C925" i="9"/>
  <c r="M925" i="9" s="1"/>
  <c r="P924" i="9"/>
  <c r="T924" i="9"/>
  <c r="L924" i="9"/>
  <c r="J922" i="6"/>
  <c r="G922" i="4"/>
  <c r="G923" i="6" s="1"/>
  <c r="H922" i="4"/>
  <c r="H923" i="6" s="1"/>
  <c r="I922" i="4"/>
  <c r="I923" i="6" s="1"/>
  <c r="B922" i="4"/>
  <c r="B923" i="6" s="1"/>
  <c r="A923" i="4"/>
  <c r="A924" i="6" s="1"/>
  <c r="A926" i="9" s="1"/>
  <c r="E922" i="4"/>
  <c r="E923" i="6" s="1"/>
  <c r="C922" i="4"/>
  <c r="C923" i="6" s="1"/>
  <c r="D922" i="4"/>
  <c r="D923" i="6" s="1"/>
  <c r="F922" i="4"/>
  <c r="F923" i="6" s="1"/>
  <c r="P925" i="9" l="1"/>
  <c r="T925" i="9"/>
  <c r="L925" i="9"/>
  <c r="B926" i="9"/>
  <c r="J926" i="9"/>
  <c r="U926" i="9"/>
  <c r="C926" i="9"/>
  <c r="M926" i="9" s="1"/>
  <c r="D926" i="9"/>
  <c r="E926" i="9"/>
  <c r="Q926" i="9" s="1"/>
  <c r="F926" i="9"/>
  <c r="G926" i="9"/>
  <c r="N926" i="9" s="1"/>
  <c r="H926" i="9"/>
  <c r="I926" i="9"/>
  <c r="R926" i="9" s="1"/>
  <c r="J923" i="6"/>
  <c r="F923" i="4"/>
  <c r="F924" i="6" s="1"/>
  <c r="G923" i="4"/>
  <c r="G924" i="6" s="1"/>
  <c r="H923" i="4"/>
  <c r="H924" i="6" s="1"/>
  <c r="I923" i="4"/>
  <c r="I924" i="6" s="1"/>
  <c r="D923" i="4"/>
  <c r="D924" i="6" s="1"/>
  <c r="C923" i="4"/>
  <c r="C924" i="6" s="1"/>
  <c r="E923" i="4"/>
  <c r="E924" i="6" s="1"/>
  <c r="B923" i="4"/>
  <c r="B924" i="6" s="1"/>
  <c r="A924" i="4"/>
  <c r="A925" i="6" s="1"/>
  <c r="A927" i="9" s="1"/>
  <c r="L926" i="9" l="1"/>
  <c r="P926" i="9"/>
  <c r="T926" i="9"/>
  <c r="H927" i="9"/>
  <c r="I927" i="9"/>
  <c r="R927" i="9" s="1"/>
  <c r="B927" i="9"/>
  <c r="J927" i="9"/>
  <c r="U927" i="9"/>
  <c r="C927" i="9"/>
  <c r="M927" i="9" s="1"/>
  <c r="D927" i="9"/>
  <c r="E927" i="9"/>
  <c r="Q927" i="9" s="1"/>
  <c r="F927" i="9"/>
  <c r="G927" i="9"/>
  <c r="N927" i="9" s="1"/>
  <c r="J924" i="6"/>
  <c r="E924" i="4"/>
  <c r="E925" i="6" s="1"/>
  <c r="F924" i="4"/>
  <c r="F925" i="6" s="1"/>
  <c r="G924" i="4"/>
  <c r="G925" i="6" s="1"/>
  <c r="H924" i="4"/>
  <c r="H925" i="6" s="1"/>
  <c r="C924" i="4"/>
  <c r="C925" i="6" s="1"/>
  <c r="D924" i="4"/>
  <c r="D925" i="6" s="1"/>
  <c r="I924" i="4"/>
  <c r="I925" i="6" s="1"/>
  <c r="A925" i="4"/>
  <c r="A926" i="6" s="1"/>
  <c r="A928" i="9" s="1"/>
  <c r="B924" i="4"/>
  <c r="B925" i="6" s="1"/>
  <c r="F928" i="9" l="1"/>
  <c r="G928" i="9"/>
  <c r="N928" i="9" s="1"/>
  <c r="H928" i="9"/>
  <c r="I928" i="9"/>
  <c r="R928" i="9" s="1"/>
  <c r="B928" i="9"/>
  <c r="J928" i="9"/>
  <c r="U928" i="9"/>
  <c r="C928" i="9"/>
  <c r="M928" i="9" s="1"/>
  <c r="D928" i="9"/>
  <c r="E928" i="9"/>
  <c r="Q928" i="9" s="1"/>
  <c r="T927" i="9"/>
  <c r="L927" i="9"/>
  <c r="P927" i="9"/>
  <c r="J925" i="6"/>
  <c r="D925" i="4"/>
  <c r="D926" i="6" s="1"/>
  <c r="E925" i="4"/>
  <c r="E926" i="6" s="1"/>
  <c r="F925" i="4"/>
  <c r="F926" i="6" s="1"/>
  <c r="G925" i="4"/>
  <c r="G926" i="6" s="1"/>
  <c r="B925" i="4"/>
  <c r="B926" i="6" s="1"/>
  <c r="A926" i="4"/>
  <c r="A927" i="6" s="1"/>
  <c r="A929" i="9" s="1"/>
  <c r="H925" i="4"/>
  <c r="H926" i="6" s="1"/>
  <c r="I925" i="4"/>
  <c r="I926" i="6" s="1"/>
  <c r="C925" i="4"/>
  <c r="C926" i="6" s="1"/>
  <c r="P928" i="9" l="1"/>
  <c r="T928" i="9"/>
  <c r="L928" i="9"/>
  <c r="D929" i="9"/>
  <c r="E929" i="9"/>
  <c r="Q929" i="9" s="1"/>
  <c r="F929" i="9"/>
  <c r="G929" i="9"/>
  <c r="N929" i="9" s="1"/>
  <c r="H929" i="9"/>
  <c r="I929" i="9"/>
  <c r="R929" i="9" s="1"/>
  <c r="B929" i="9"/>
  <c r="J929" i="9"/>
  <c r="U929" i="9"/>
  <c r="C929" i="9"/>
  <c r="M929" i="9" s="1"/>
  <c r="J926" i="6"/>
  <c r="C926" i="4"/>
  <c r="C927" i="6" s="1"/>
  <c r="D926" i="4"/>
  <c r="D927" i="6" s="1"/>
  <c r="E926" i="4"/>
  <c r="E927" i="6" s="1"/>
  <c r="F926" i="4"/>
  <c r="F927" i="6" s="1"/>
  <c r="I926" i="4"/>
  <c r="I927" i="6" s="1"/>
  <c r="H926" i="4"/>
  <c r="H927" i="6" s="1"/>
  <c r="A927" i="4"/>
  <c r="A928" i="6" s="1"/>
  <c r="A930" i="9" s="1"/>
  <c r="B926" i="4"/>
  <c r="B927" i="6" s="1"/>
  <c r="G926" i="4"/>
  <c r="G927" i="6" s="1"/>
  <c r="P929" i="9" l="1"/>
  <c r="T929" i="9"/>
  <c r="L929" i="9"/>
  <c r="B930" i="9"/>
  <c r="J930" i="9"/>
  <c r="U930" i="9"/>
  <c r="C930" i="9"/>
  <c r="M930" i="9" s="1"/>
  <c r="D930" i="9"/>
  <c r="E930" i="9"/>
  <c r="Q930" i="9" s="1"/>
  <c r="F930" i="9"/>
  <c r="G930" i="9"/>
  <c r="N930" i="9" s="1"/>
  <c r="H930" i="9"/>
  <c r="I930" i="9"/>
  <c r="R930" i="9" s="1"/>
  <c r="J927" i="6"/>
  <c r="B927" i="4"/>
  <c r="B928" i="6" s="1"/>
  <c r="A928" i="4"/>
  <c r="A929" i="6" s="1"/>
  <c r="A931" i="9" s="1"/>
  <c r="C927" i="4"/>
  <c r="C928" i="6" s="1"/>
  <c r="D927" i="4"/>
  <c r="D928" i="6" s="1"/>
  <c r="E927" i="4"/>
  <c r="E928" i="6" s="1"/>
  <c r="H927" i="4"/>
  <c r="H928" i="6" s="1"/>
  <c r="F927" i="4"/>
  <c r="F928" i="6" s="1"/>
  <c r="I927" i="4"/>
  <c r="I928" i="6" s="1"/>
  <c r="G927" i="4"/>
  <c r="G928" i="6" s="1"/>
  <c r="L930" i="9" l="1"/>
  <c r="P930" i="9"/>
  <c r="T930" i="9"/>
  <c r="H931" i="9"/>
  <c r="I931" i="9"/>
  <c r="R931" i="9" s="1"/>
  <c r="B931" i="9"/>
  <c r="J931" i="9"/>
  <c r="U931" i="9"/>
  <c r="C931" i="9"/>
  <c r="M931" i="9" s="1"/>
  <c r="D931" i="9"/>
  <c r="E931" i="9"/>
  <c r="Q931" i="9" s="1"/>
  <c r="F931" i="9"/>
  <c r="G931" i="9"/>
  <c r="N931" i="9" s="1"/>
  <c r="J928" i="6"/>
  <c r="I928" i="4"/>
  <c r="I929" i="6" s="1"/>
  <c r="B928" i="4"/>
  <c r="B929" i="6" s="1"/>
  <c r="A929" i="4"/>
  <c r="A930" i="6" s="1"/>
  <c r="A932" i="9" s="1"/>
  <c r="C928" i="4"/>
  <c r="C929" i="6" s="1"/>
  <c r="D928" i="4"/>
  <c r="D929" i="6" s="1"/>
  <c r="G928" i="4"/>
  <c r="G929" i="6" s="1"/>
  <c r="H928" i="4"/>
  <c r="H929" i="6" s="1"/>
  <c r="E928" i="4"/>
  <c r="E929" i="6" s="1"/>
  <c r="F928" i="4"/>
  <c r="F929" i="6" s="1"/>
  <c r="T931" i="9" l="1"/>
  <c r="L931" i="9"/>
  <c r="P931" i="9"/>
  <c r="F932" i="9"/>
  <c r="G932" i="9"/>
  <c r="N932" i="9" s="1"/>
  <c r="H932" i="9"/>
  <c r="I932" i="9"/>
  <c r="R932" i="9" s="1"/>
  <c r="B932" i="9"/>
  <c r="J932" i="9"/>
  <c r="U932" i="9"/>
  <c r="C932" i="9"/>
  <c r="M932" i="9" s="1"/>
  <c r="D932" i="9"/>
  <c r="E932" i="9"/>
  <c r="Q932" i="9" s="1"/>
  <c r="J929" i="6"/>
  <c r="H929" i="4"/>
  <c r="H930" i="6" s="1"/>
  <c r="I929" i="4"/>
  <c r="I930" i="6" s="1"/>
  <c r="B929" i="4"/>
  <c r="B930" i="6" s="1"/>
  <c r="A930" i="4"/>
  <c r="A931" i="6" s="1"/>
  <c r="A933" i="9" s="1"/>
  <c r="C929" i="4"/>
  <c r="C930" i="6" s="1"/>
  <c r="F929" i="4"/>
  <c r="F930" i="6" s="1"/>
  <c r="D929" i="4"/>
  <c r="D930" i="6" s="1"/>
  <c r="E929" i="4"/>
  <c r="E930" i="6" s="1"/>
  <c r="G929" i="4"/>
  <c r="G930" i="6" s="1"/>
  <c r="D933" i="9" l="1"/>
  <c r="E933" i="9"/>
  <c r="Q933" i="9" s="1"/>
  <c r="F933" i="9"/>
  <c r="G933" i="9"/>
  <c r="N933" i="9" s="1"/>
  <c r="H933" i="9"/>
  <c r="I933" i="9"/>
  <c r="R933" i="9" s="1"/>
  <c r="B933" i="9"/>
  <c r="J933" i="9"/>
  <c r="U933" i="9"/>
  <c r="C933" i="9"/>
  <c r="M933" i="9" s="1"/>
  <c r="P932" i="9"/>
  <c r="T932" i="9"/>
  <c r="L932" i="9"/>
  <c r="J930" i="6"/>
  <c r="G930" i="4"/>
  <c r="G931" i="6" s="1"/>
  <c r="H930" i="4"/>
  <c r="H931" i="6" s="1"/>
  <c r="I930" i="4"/>
  <c r="I931" i="6" s="1"/>
  <c r="B930" i="4"/>
  <c r="B931" i="6" s="1"/>
  <c r="A931" i="4"/>
  <c r="A932" i="6" s="1"/>
  <c r="A934" i="9" s="1"/>
  <c r="E930" i="4"/>
  <c r="E931" i="6" s="1"/>
  <c r="F930" i="4"/>
  <c r="F931" i="6" s="1"/>
  <c r="C930" i="4"/>
  <c r="C931" i="6" s="1"/>
  <c r="D930" i="4"/>
  <c r="D931" i="6" s="1"/>
  <c r="B934" i="9" l="1"/>
  <c r="J934" i="9"/>
  <c r="U934" i="9"/>
  <c r="C934" i="9"/>
  <c r="M934" i="9" s="1"/>
  <c r="D934" i="9"/>
  <c r="E934" i="9"/>
  <c r="Q934" i="9" s="1"/>
  <c r="F934" i="9"/>
  <c r="G934" i="9"/>
  <c r="N934" i="9" s="1"/>
  <c r="H934" i="9"/>
  <c r="I934" i="9"/>
  <c r="R934" i="9" s="1"/>
  <c r="P933" i="9"/>
  <c r="T933" i="9"/>
  <c r="L933" i="9"/>
  <c r="J931" i="6"/>
  <c r="F931" i="4"/>
  <c r="F932" i="6" s="1"/>
  <c r="G931" i="4"/>
  <c r="G932" i="6" s="1"/>
  <c r="H931" i="4"/>
  <c r="H932" i="6" s="1"/>
  <c r="I931" i="4"/>
  <c r="I932" i="6" s="1"/>
  <c r="D931" i="4"/>
  <c r="D932" i="6" s="1"/>
  <c r="C931" i="4"/>
  <c r="C932" i="6" s="1"/>
  <c r="A932" i="4"/>
  <c r="A933" i="6" s="1"/>
  <c r="A935" i="9" s="1"/>
  <c r="B931" i="4"/>
  <c r="B932" i="6" s="1"/>
  <c r="E931" i="4"/>
  <c r="E932" i="6" s="1"/>
  <c r="H935" i="9" l="1"/>
  <c r="I935" i="9"/>
  <c r="R935" i="9" s="1"/>
  <c r="B935" i="9"/>
  <c r="J935" i="9"/>
  <c r="U935" i="9"/>
  <c r="C935" i="9"/>
  <c r="M935" i="9" s="1"/>
  <c r="D935" i="9"/>
  <c r="E935" i="9"/>
  <c r="Q935" i="9" s="1"/>
  <c r="F935" i="9"/>
  <c r="G935" i="9"/>
  <c r="N935" i="9" s="1"/>
  <c r="L934" i="9"/>
  <c r="P934" i="9"/>
  <c r="T934" i="9"/>
  <c r="J932" i="6"/>
  <c r="E932" i="4"/>
  <c r="E933" i="6" s="1"/>
  <c r="F932" i="4"/>
  <c r="F933" i="6" s="1"/>
  <c r="G932" i="4"/>
  <c r="G933" i="6" s="1"/>
  <c r="H932" i="4"/>
  <c r="H933" i="6" s="1"/>
  <c r="C932" i="4"/>
  <c r="C933" i="6" s="1"/>
  <c r="D932" i="4"/>
  <c r="D933" i="6" s="1"/>
  <c r="A933" i="4"/>
  <c r="A934" i="6" s="1"/>
  <c r="A936" i="9" s="1"/>
  <c r="I932" i="4"/>
  <c r="I933" i="6" s="1"/>
  <c r="B932" i="4"/>
  <c r="B933" i="6" s="1"/>
  <c r="F936" i="9" l="1"/>
  <c r="G936" i="9"/>
  <c r="N936" i="9" s="1"/>
  <c r="H936" i="9"/>
  <c r="I936" i="9"/>
  <c r="R936" i="9" s="1"/>
  <c r="B936" i="9"/>
  <c r="J936" i="9"/>
  <c r="U936" i="9"/>
  <c r="C936" i="9"/>
  <c r="M936" i="9" s="1"/>
  <c r="D936" i="9"/>
  <c r="E936" i="9"/>
  <c r="Q936" i="9" s="1"/>
  <c r="T935" i="9"/>
  <c r="L935" i="9"/>
  <c r="P935" i="9"/>
  <c r="J933" i="6"/>
  <c r="A934" i="4"/>
  <c r="A935" i="6" s="1"/>
  <c r="A937" i="9" s="1"/>
  <c r="D933" i="4"/>
  <c r="D934" i="6" s="1"/>
  <c r="E933" i="4"/>
  <c r="E934" i="6" s="1"/>
  <c r="F933" i="4"/>
  <c r="F934" i="6" s="1"/>
  <c r="G933" i="4"/>
  <c r="G934" i="6" s="1"/>
  <c r="B933" i="4"/>
  <c r="B934" i="6" s="1"/>
  <c r="I933" i="4"/>
  <c r="I934" i="6" s="1"/>
  <c r="H933" i="4"/>
  <c r="H934" i="6" s="1"/>
  <c r="C933" i="4"/>
  <c r="C934" i="6" s="1"/>
  <c r="D937" i="9" l="1"/>
  <c r="E937" i="9"/>
  <c r="Q937" i="9" s="1"/>
  <c r="F937" i="9"/>
  <c r="G937" i="9"/>
  <c r="N937" i="9" s="1"/>
  <c r="H937" i="9"/>
  <c r="I937" i="9"/>
  <c r="R937" i="9" s="1"/>
  <c r="B937" i="9"/>
  <c r="J937" i="9"/>
  <c r="U937" i="9"/>
  <c r="C937" i="9"/>
  <c r="M937" i="9" s="1"/>
  <c r="P936" i="9"/>
  <c r="T936" i="9"/>
  <c r="L936" i="9"/>
  <c r="J934" i="6"/>
  <c r="I934" i="4"/>
  <c r="I935" i="6" s="1"/>
  <c r="C934" i="4"/>
  <c r="C935" i="6" s="1"/>
  <c r="D934" i="4"/>
  <c r="D935" i="6" s="1"/>
  <c r="E934" i="4"/>
  <c r="E935" i="6" s="1"/>
  <c r="G934" i="4"/>
  <c r="G935" i="6" s="1"/>
  <c r="F934" i="4"/>
  <c r="F935" i="6" s="1"/>
  <c r="H934" i="4"/>
  <c r="H935" i="6" s="1"/>
  <c r="A935" i="4"/>
  <c r="A936" i="6" s="1"/>
  <c r="A938" i="9" s="1"/>
  <c r="B934" i="4"/>
  <c r="B935" i="6" s="1"/>
  <c r="P937" i="9" l="1"/>
  <c r="T937" i="9"/>
  <c r="L937" i="9"/>
  <c r="B938" i="9"/>
  <c r="J938" i="9"/>
  <c r="U938" i="9"/>
  <c r="C938" i="9"/>
  <c r="M938" i="9" s="1"/>
  <c r="E938" i="9"/>
  <c r="Q938" i="9" s="1"/>
  <c r="D938" i="9"/>
  <c r="F938" i="9"/>
  <c r="G938" i="9"/>
  <c r="N938" i="9" s="1"/>
  <c r="H938" i="9"/>
  <c r="I938" i="9"/>
  <c r="R938" i="9" s="1"/>
  <c r="J935" i="6"/>
  <c r="H935" i="4"/>
  <c r="H936" i="6" s="1"/>
  <c r="B935" i="4"/>
  <c r="B936" i="6" s="1"/>
  <c r="A936" i="4"/>
  <c r="A937" i="6" s="1"/>
  <c r="A939" i="9" s="1"/>
  <c r="C935" i="4"/>
  <c r="C936" i="6" s="1"/>
  <c r="D935" i="4"/>
  <c r="D936" i="6" s="1"/>
  <c r="F935" i="4"/>
  <c r="F936" i="6" s="1"/>
  <c r="E935" i="4"/>
  <c r="E936" i="6" s="1"/>
  <c r="I935" i="4"/>
  <c r="I936" i="6" s="1"/>
  <c r="G935" i="4"/>
  <c r="G936" i="6" s="1"/>
  <c r="L938" i="9" l="1"/>
  <c r="P938" i="9"/>
  <c r="T938" i="9"/>
  <c r="H939" i="9"/>
  <c r="I939" i="9"/>
  <c r="R939" i="9" s="1"/>
  <c r="B939" i="9"/>
  <c r="J939" i="9"/>
  <c r="U939" i="9"/>
  <c r="C939" i="9"/>
  <c r="M939" i="9" s="1"/>
  <c r="D939" i="9"/>
  <c r="E939" i="9"/>
  <c r="Q939" i="9" s="1"/>
  <c r="F939" i="9"/>
  <c r="G939" i="9"/>
  <c r="N939" i="9" s="1"/>
  <c r="J936" i="6"/>
  <c r="G936" i="4"/>
  <c r="G937" i="6" s="1"/>
  <c r="I936" i="4"/>
  <c r="I937" i="6" s="1"/>
  <c r="B936" i="4"/>
  <c r="B937" i="6" s="1"/>
  <c r="A937" i="4"/>
  <c r="A938" i="6" s="1"/>
  <c r="A940" i="9" s="1"/>
  <c r="C936" i="4"/>
  <c r="C937" i="6" s="1"/>
  <c r="E936" i="4"/>
  <c r="E937" i="6" s="1"/>
  <c r="H936" i="4"/>
  <c r="H937" i="6" s="1"/>
  <c r="D936" i="4"/>
  <c r="D937" i="6" s="1"/>
  <c r="F936" i="4"/>
  <c r="F937" i="6" s="1"/>
  <c r="F940" i="9" l="1"/>
  <c r="I940" i="9"/>
  <c r="R940" i="9" s="1"/>
  <c r="G940" i="9"/>
  <c r="N940" i="9" s="1"/>
  <c r="E940" i="9"/>
  <c r="Q940" i="9" s="1"/>
  <c r="H940" i="9"/>
  <c r="B940" i="9"/>
  <c r="J940" i="9"/>
  <c r="U940" i="9"/>
  <c r="C940" i="9"/>
  <c r="M940" i="9" s="1"/>
  <c r="D940" i="9"/>
  <c r="T939" i="9"/>
  <c r="L939" i="9"/>
  <c r="P939" i="9"/>
  <c r="J937" i="6"/>
  <c r="F937" i="4"/>
  <c r="F938" i="6" s="1"/>
  <c r="H937" i="4"/>
  <c r="H938" i="6" s="1"/>
  <c r="I937" i="4"/>
  <c r="I938" i="6" s="1"/>
  <c r="B937" i="4"/>
  <c r="B938" i="6" s="1"/>
  <c r="A938" i="4"/>
  <c r="A939" i="6" s="1"/>
  <c r="A941" i="9" s="1"/>
  <c r="D937" i="4"/>
  <c r="D938" i="6" s="1"/>
  <c r="C937" i="4"/>
  <c r="C938" i="6" s="1"/>
  <c r="E937" i="4"/>
  <c r="E938" i="6" s="1"/>
  <c r="G937" i="4"/>
  <c r="G938" i="6" s="1"/>
  <c r="P940" i="9" l="1"/>
  <c r="T940" i="9"/>
  <c r="L940" i="9"/>
  <c r="D941" i="9"/>
  <c r="E941" i="9"/>
  <c r="Q941" i="9" s="1"/>
  <c r="F941" i="9"/>
  <c r="G941" i="9"/>
  <c r="N941" i="9" s="1"/>
  <c r="C941" i="9"/>
  <c r="M941" i="9" s="1"/>
  <c r="H941" i="9"/>
  <c r="I941" i="9"/>
  <c r="R941" i="9" s="1"/>
  <c r="B941" i="9"/>
  <c r="J941" i="9"/>
  <c r="U941" i="9"/>
  <c r="J938" i="6"/>
  <c r="E938" i="4"/>
  <c r="E939" i="6" s="1"/>
  <c r="G938" i="4"/>
  <c r="G939" i="6" s="1"/>
  <c r="H938" i="4"/>
  <c r="H939" i="6" s="1"/>
  <c r="I938" i="4"/>
  <c r="I939" i="6" s="1"/>
  <c r="C938" i="4"/>
  <c r="C939" i="6" s="1"/>
  <c r="F938" i="4"/>
  <c r="F939" i="6" s="1"/>
  <c r="A939" i="4"/>
  <c r="A940" i="6" s="1"/>
  <c r="A942" i="9" s="1"/>
  <c r="B938" i="4"/>
  <c r="B939" i="6" s="1"/>
  <c r="D938" i="4"/>
  <c r="D939" i="6" s="1"/>
  <c r="B942" i="9" l="1"/>
  <c r="J942" i="9"/>
  <c r="U942" i="9"/>
  <c r="I942" i="9"/>
  <c r="R942" i="9" s="1"/>
  <c r="C942" i="9"/>
  <c r="M942" i="9" s="1"/>
  <c r="G942" i="9"/>
  <c r="N942" i="9" s="1"/>
  <c r="D942" i="9"/>
  <c r="E942" i="9"/>
  <c r="Q942" i="9" s="1"/>
  <c r="F942" i="9"/>
  <c r="H942" i="9"/>
  <c r="P941" i="9"/>
  <c r="T941" i="9"/>
  <c r="L941" i="9"/>
  <c r="J939" i="6"/>
  <c r="D939" i="4"/>
  <c r="D940" i="6" s="1"/>
  <c r="F939" i="4"/>
  <c r="F940" i="6" s="1"/>
  <c r="G939" i="4"/>
  <c r="G940" i="6" s="1"/>
  <c r="H939" i="4"/>
  <c r="H940" i="6" s="1"/>
  <c r="B939" i="4"/>
  <c r="B940" i="6" s="1"/>
  <c r="A940" i="4"/>
  <c r="A941" i="6" s="1"/>
  <c r="A943" i="9" s="1"/>
  <c r="C939" i="4"/>
  <c r="C940" i="6" s="1"/>
  <c r="E939" i="4"/>
  <c r="E940" i="6" s="1"/>
  <c r="I939" i="4"/>
  <c r="I940" i="6" s="1"/>
  <c r="H943" i="9" l="1"/>
  <c r="E943" i="9"/>
  <c r="Q943" i="9" s="1"/>
  <c r="I943" i="9"/>
  <c r="R943" i="9" s="1"/>
  <c r="B943" i="9"/>
  <c r="J943" i="9"/>
  <c r="U943" i="9"/>
  <c r="C943" i="9"/>
  <c r="M943" i="9" s="1"/>
  <c r="D943" i="9"/>
  <c r="F943" i="9"/>
  <c r="G943" i="9"/>
  <c r="N943" i="9" s="1"/>
  <c r="L942" i="9"/>
  <c r="P942" i="9"/>
  <c r="T942" i="9"/>
  <c r="J940" i="6"/>
  <c r="C940" i="4"/>
  <c r="C941" i="6" s="1"/>
  <c r="E940" i="4"/>
  <c r="E941" i="6" s="1"/>
  <c r="F940" i="4"/>
  <c r="F941" i="6" s="1"/>
  <c r="G940" i="4"/>
  <c r="G941" i="6" s="1"/>
  <c r="I940" i="4"/>
  <c r="I941" i="6" s="1"/>
  <c r="B940" i="4"/>
  <c r="B941" i="6" s="1"/>
  <c r="A941" i="4"/>
  <c r="A942" i="6" s="1"/>
  <c r="A944" i="9" s="1"/>
  <c r="H940" i="4"/>
  <c r="H941" i="6" s="1"/>
  <c r="D940" i="4"/>
  <c r="D941" i="6" s="1"/>
  <c r="F944" i="9" l="1"/>
  <c r="E944" i="9"/>
  <c r="Q944" i="9" s="1"/>
  <c r="G944" i="9"/>
  <c r="N944" i="9" s="1"/>
  <c r="I944" i="9"/>
  <c r="R944" i="9" s="1"/>
  <c r="H944" i="9"/>
  <c r="C944" i="9"/>
  <c r="M944" i="9" s="1"/>
  <c r="B944" i="9"/>
  <c r="J944" i="9"/>
  <c r="U944" i="9"/>
  <c r="D944" i="9"/>
  <c r="L943" i="9"/>
  <c r="P943" i="9"/>
  <c r="T943" i="9"/>
  <c r="J941" i="6"/>
  <c r="B941" i="4"/>
  <c r="B942" i="6" s="1"/>
  <c r="A942" i="4"/>
  <c r="A943" i="6" s="1"/>
  <c r="A945" i="9" s="1"/>
  <c r="D941" i="4"/>
  <c r="D942" i="6" s="1"/>
  <c r="E941" i="4"/>
  <c r="E942" i="6" s="1"/>
  <c r="F941" i="4"/>
  <c r="F942" i="6" s="1"/>
  <c r="H941" i="4"/>
  <c r="H942" i="6" s="1"/>
  <c r="G941" i="4"/>
  <c r="G942" i="6" s="1"/>
  <c r="I941" i="4"/>
  <c r="I942" i="6" s="1"/>
  <c r="C941" i="4"/>
  <c r="C942" i="6" s="1"/>
  <c r="D945" i="9" l="1"/>
  <c r="G945" i="9"/>
  <c r="N945" i="9" s="1"/>
  <c r="E945" i="9"/>
  <c r="Q945" i="9" s="1"/>
  <c r="I945" i="9"/>
  <c r="R945" i="9" s="1"/>
  <c r="B945" i="9"/>
  <c r="F945" i="9"/>
  <c r="C945" i="9"/>
  <c r="M945" i="9" s="1"/>
  <c r="H945" i="9"/>
  <c r="J945" i="9"/>
  <c r="U945" i="9"/>
  <c r="P944" i="9"/>
  <c r="T944" i="9"/>
  <c r="L944" i="9"/>
  <c r="J942" i="6"/>
  <c r="I942" i="4"/>
  <c r="I943" i="6" s="1"/>
  <c r="C942" i="4"/>
  <c r="C943" i="6" s="1"/>
  <c r="D942" i="4"/>
  <c r="D943" i="6" s="1"/>
  <c r="E942" i="4"/>
  <c r="E943" i="6" s="1"/>
  <c r="G942" i="4"/>
  <c r="G943" i="6" s="1"/>
  <c r="B942" i="4"/>
  <c r="B943" i="6" s="1"/>
  <c r="F942" i="4"/>
  <c r="F943" i="6" s="1"/>
  <c r="H942" i="4"/>
  <c r="H943" i="6" s="1"/>
  <c r="A943" i="4"/>
  <c r="A944" i="6" s="1"/>
  <c r="A946" i="9" s="1"/>
  <c r="I946" i="9" l="1"/>
  <c r="R946" i="9" s="1"/>
  <c r="B946" i="9"/>
  <c r="J946" i="9"/>
  <c r="U946" i="9"/>
  <c r="C946" i="9"/>
  <c r="M946" i="9" s="1"/>
  <c r="D946" i="9"/>
  <c r="E946" i="9"/>
  <c r="Q946" i="9" s="1"/>
  <c r="H946" i="9"/>
  <c r="F946" i="9"/>
  <c r="G946" i="9"/>
  <c r="N946" i="9" s="1"/>
  <c r="T945" i="9"/>
  <c r="L945" i="9"/>
  <c r="P945" i="9"/>
  <c r="J943" i="6"/>
  <c r="H943" i="4"/>
  <c r="H944" i="6" s="1"/>
  <c r="B943" i="4"/>
  <c r="B944" i="6" s="1"/>
  <c r="A944" i="4"/>
  <c r="A945" i="6" s="1"/>
  <c r="A947" i="9" s="1"/>
  <c r="C943" i="4"/>
  <c r="C944" i="6" s="1"/>
  <c r="D943" i="4"/>
  <c r="D944" i="6" s="1"/>
  <c r="F943" i="4"/>
  <c r="F944" i="6" s="1"/>
  <c r="I943" i="4"/>
  <c r="I944" i="6" s="1"/>
  <c r="E943" i="4"/>
  <c r="E944" i="6" s="1"/>
  <c r="G943" i="4"/>
  <c r="G944" i="6" s="1"/>
  <c r="T946" i="9" l="1"/>
  <c r="L946" i="9"/>
  <c r="P946" i="9"/>
  <c r="G947" i="9"/>
  <c r="N947" i="9" s="1"/>
  <c r="H947" i="9"/>
  <c r="I947" i="9"/>
  <c r="R947" i="9" s="1"/>
  <c r="B947" i="9"/>
  <c r="J947" i="9"/>
  <c r="U947" i="9"/>
  <c r="C947" i="9"/>
  <c r="M947" i="9" s="1"/>
  <c r="F947" i="9"/>
  <c r="D947" i="9"/>
  <c r="E947" i="9"/>
  <c r="Q947" i="9" s="1"/>
  <c r="J944" i="6"/>
  <c r="G944" i="4"/>
  <c r="G945" i="6" s="1"/>
  <c r="I944" i="4"/>
  <c r="I945" i="6" s="1"/>
  <c r="B944" i="4"/>
  <c r="B945" i="6" s="1"/>
  <c r="A945" i="4"/>
  <c r="A946" i="6" s="1"/>
  <c r="A948" i="9" s="1"/>
  <c r="C944" i="4"/>
  <c r="C945" i="6" s="1"/>
  <c r="E944" i="4"/>
  <c r="E945" i="6" s="1"/>
  <c r="D944" i="4"/>
  <c r="D945" i="6" s="1"/>
  <c r="F944" i="4"/>
  <c r="F945" i="6" s="1"/>
  <c r="H944" i="4"/>
  <c r="H945" i="6" s="1"/>
  <c r="T947" i="9" l="1"/>
  <c r="L947" i="9"/>
  <c r="P947" i="9"/>
  <c r="E948" i="9"/>
  <c r="Q948" i="9" s="1"/>
  <c r="F948" i="9"/>
  <c r="G948" i="9"/>
  <c r="N948" i="9" s="1"/>
  <c r="H948" i="9"/>
  <c r="I948" i="9"/>
  <c r="R948" i="9" s="1"/>
  <c r="D948" i="9"/>
  <c r="B948" i="9"/>
  <c r="C948" i="9"/>
  <c r="M948" i="9" s="1"/>
  <c r="J948" i="9"/>
  <c r="U948" i="9"/>
  <c r="J945" i="6"/>
  <c r="F945" i="4"/>
  <c r="F946" i="6" s="1"/>
  <c r="H945" i="4"/>
  <c r="H946" i="6" s="1"/>
  <c r="I945" i="4"/>
  <c r="I946" i="6" s="1"/>
  <c r="B945" i="4"/>
  <c r="B946" i="6" s="1"/>
  <c r="A946" i="4"/>
  <c r="A947" i="6" s="1"/>
  <c r="A949" i="9" s="1"/>
  <c r="D945" i="4"/>
  <c r="D946" i="6" s="1"/>
  <c r="G945" i="4"/>
  <c r="G946" i="6" s="1"/>
  <c r="E945" i="4"/>
  <c r="E946" i="6" s="1"/>
  <c r="C945" i="4"/>
  <c r="C946" i="6" s="1"/>
  <c r="P948" i="9" l="1"/>
  <c r="T948" i="9"/>
  <c r="L948" i="9"/>
  <c r="C949" i="9"/>
  <c r="M949" i="9" s="1"/>
  <c r="D949" i="9"/>
  <c r="E949" i="9"/>
  <c r="Q949" i="9" s="1"/>
  <c r="F949" i="9"/>
  <c r="G949" i="9"/>
  <c r="N949" i="9" s="1"/>
  <c r="B949" i="9"/>
  <c r="J949" i="9"/>
  <c r="U949" i="9"/>
  <c r="H949" i="9"/>
  <c r="I949" i="9"/>
  <c r="R949" i="9" s="1"/>
  <c r="J946" i="6"/>
  <c r="E946" i="4"/>
  <c r="E947" i="6" s="1"/>
  <c r="G946" i="4"/>
  <c r="G947" i="6" s="1"/>
  <c r="H946" i="4"/>
  <c r="H947" i="6" s="1"/>
  <c r="I946" i="4"/>
  <c r="I947" i="6" s="1"/>
  <c r="C946" i="4"/>
  <c r="C947" i="6" s="1"/>
  <c r="D946" i="4"/>
  <c r="D947" i="6" s="1"/>
  <c r="F946" i="4"/>
  <c r="F947" i="6" s="1"/>
  <c r="A947" i="4"/>
  <c r="A948" i="6" s="1"/>
  <c r="A950" i="9" s="1"/>
  <c r="B946" i="4"/>
  <c r="B947" i="6" s="1"/>
  <c r="I950" i="9" l="1"/>
  <c r="R950" i="9" s="1"/>
  <c r="B950" i="9"/>
  <c r="J950" i="9"/>
  <c r="U950" i="9"/>
  <c r="C950" i="9"/>
  <c r="M950" i="9" s="1"/>
  <c r="D950" i="9"/>
  <c r="E950" i="9"/>
  <c r="Q950" i="9" s="1"/>
  <c r="H950" i="9"/>
  <c r="F950" i="9"/>
  <c r="G950" i="9"/>
  <c r="N950" i="9" s="1"/>
  <c r="L949" i="9"/>
  <c r="P949" i="9"/>
  <c r="T949" i="9"/>
  <c r="J947" i="6"/>
  <c r="D947" i="4"/>
  <c r="D948" i="6" s="1"/>
  <c r="F947" i="4"/>
  <c r="F948" i="6" s="1"/>
  <c r="G947" i="4"/>
  <c r="G948" i="6" s="1"/>
  <c r="H947" i="4"/>
  <c r="H948" i="6" s="1"/>
  <c r="B947" i="4"/>
  <c r="B948" i="6" s="1"/>
  <c r="A948" i="4"/>
  <c r="A949" i="6" s="1"/>
  <c r="A951" i="9" s="1"/>
  <c r="C947" i="4"/>
  <c r="C948" i="6" s="1"/>
  <c r="E947" i="4"/>
  <c r="E948" i="6" s="1"/>
  <c r="I947" i="4"/>
  <c r="I948" i="6" s="1"/>
  <c r="G951" i="9" l="1"/>
  <c r="N951" i="9" s="1"/>
  <c r="H951" i="9"/>
  <c r="I951" i="9"/>
  <c r="R951" i="9" s="1"/>
  <c r="B951" i="9"/>
  <c r="J951" i="9"/>
  <c r="U951" i="9"/>
  <c r="C951" i="9"/>
  <c r="M951" i="9" s="1"/>
  <c r="F951" i="9"/>
  <c r="D951" i="9"/>
  <c r="E951" i="9"/>
  <c r="Q951" i="9" s="1"/>
  <c r="T950" i="9"/>
  <c r="L950" i="9"/>
  <c r="P950" i="9"/>
  <c r="J948" i="6"/>
  <c r="C948" i="4"/>
  <c r="C949" i="6" s="1"/>
  <c r="E948" i="4"/>
  <c r="E949" i="6" s="1"/>
  <c r="F948" i="4"/>
  <c r="F949" i="6" s="1"/>
  <c r="G948" i="4"/>
  <c r="G949" i="6" s="1"/>
  <c r="I948" i="4"/>
  <c r="I949" i="6" s="1"/>
  <c r="H948" i="4"/>
  <c r="H949" i="6" s="1"/>
  <c r="A949" i="4"/>
  <c r="A950" i="6" s="1"/>
  <c r="A952" i="9" s="1"/>
  <c r="B948" i="4"/>
  <c r="B949" i="6" s="1"/>
  <c r="D948" i="4"/>
  <c r="D949" i="6" s="1"/>
  <c r="T951" i="9" l="1"/>
  <c r="L951" i="9"/>
  <c r="P951" i="9"/>
  <c r="E952" i="9"/>
  <c r="Q952" i="9" s="1"/>
  <c r="F952" i="9"/>
  <c r="G952" i="9"/>
  <c r="N952" i="9" s="1"/>
  <c r="H952" i="9"/>
  <c r="I952" i="9"/>
  <c r="R952" i="9" s="1"/>
  <c r="D952" i="9"/>
  <c r="B952" i="9"/>
  <c r="C952" i="9"/>
  <c r="M952" i="9" s="1"/>
  <c r="J952" i="9"/>
  <c r="U952" i="9"/>
  <c r="J949" i="6"/>
  <c r="B949" i="4"/>
  <c r="B950" i="6" s="1"/>
  <c r="A950" i="4"/>
  <c r="A951" i="6" s="1"/>
  <c r="A953" i="9" s="1"/>
  <c r="D949" i="4"/>
  <c r="D950" i="6" s="1"/>
  <c r="E949" i="4"/>
  <c r="E950" i="6" s="1"/>
  <c r="F949" i="4"/>
  <c r="F950" i="6" s="1"/>
  <c r="H949" i="4"/>
  <c r="H950" i="6" s="1"/>
  <c r="C949" i="4"/>
  <c r="C950" i="6" s="1"/>
  <c r="G949" i="4"/>
  <c r="G950" i="6" s="1"/>
  <c r="I949" i="4"/>
  <c r="I950" i="6" s="1"/>
  <c r="C953" i="9" l="1"/>
  <c r="M953" i="9" s="1"/>
  <c r="D953" i="9"/>
  <c r="E953" i="9"/>
  <c r="Q953" i="9" s="1"/>
  <c r="F953" i="9"/>
  <c r="G953" i="9"/>
  <c r="N953" i="9" s="1"/>
  <c r="B953" i="9"/>
  <c r="J953" i="9"/>
  <c r="U953" i="9"/>
  <c r="H953" i="9"/>
  <c r="I953" i="9"/>
  <c r="R953" i="9" s="1"/>
  <c r="P952" i="9"/>
  <c r="T952" i="9"/>
  <c r="L952" i="9"/>
  <c r="J950" i="6"/>
  <c r="I950" i="4"/>
  <c r="I951" i="6" s="1"/>
  <c r="C950" i="4"/>
  <c r="C951" i="6" s="1"/>
  <c r="D950" i="4"/>
  <c r="D951" i="6" s="1"/>
  <c r="E950" i="4"/>
  <c r="E951" i="6" s="1"/>
  <c r="G950" i="4"/>
  <c r="G951" i="6" s="1"/>
  <c r="A951" i="4"/>
  <c r="A952" i="6" s="1"/>
  <c r="A954" i="9" s="1"/>
  <c r="F950" i="4"/>
  <c r="F951" i="6" s="1"/>
  <c r="H950" i="4"/>
  <c r="H951" i="6" s="1"/>
  <c r="B950" i="4"/>
  <c r="B951" i="6" s="1"/>
  <c r="L953" i="9" l="1"/>
  <c r="P953" i="9"/>
  <c r="T953" i="9"/>
  <c r="I954" i="9"/>
  <c r="R954" i="9" s="1"/>
  <c r="B954" i="9"/>
  <c r="J954" i="9"/>
  <c r="U954" i="9"/>
  <c r="C954" i="9"/>
  <c r="M954" i="9" s="1"/>
  <c r="D954" i="9"/>
  <c r="E954" i="9"/>
  <c r="Q954" i="9" s="1"/>
  <c r="H954" i="9"/>
  <c r="F954" i="9"/>
  <c r="G954" i="9"/>
  <c r="N954" i="9" s="1"/>
  <c r="J951" i="6"/>
  <c r="H951" i="4"/>
  <c r="H952" i="6" s="1"/>
  <c r="B951" i="4"/>
  <c r="B952" i="6" s="1"/>
  <c r="A952" i="4"/>
  <c r="A953" i="6" s="1"/>
  <c r="A955" i="9" s="1"/>
  <c r="C951" i="4"/>
  <c r="C952" i="6" s="1"/>
  <c r="D951" i="4"/>
  <c r="D952" i="6" s="1"/>
  <c r="F951" i="4"/>
  <c r="F952" i="6" s="1"/>
  <c r="E951" i="4"/>
  <c r="E952" i="6" s="1"/>
  <c r="G951" i="4"/>
  <c r="G952" i="6" s="1"/>
  <c r="I951" i="4"/>
  <c r="I952" i="6" s="1"/>
  <c r="T954" i="9" l="1"/>
  <c r="L954" i="9"/>
  <c r="P954" i="9"/>
  <c r="G955" i="9"/>
  <c r="N955" i="9" s="1"/>
  <c r="H955" i="9"/>
  <c r="I955" i="9"/>
  <c r="R955" i="9" s="1"/>
  <c r="B955" i="9"/>
  <c r="J955" i="9"/>
  <c r="U955" i="9"/>
  <c r="C955" i="9"/>
  <c r="M955" i="9" s="1"/>
  <c r="F955" i="9"/>
  <c r="D955" i="9"/>
  <c r="E955" i="9"/>
  <c r="Q955" i="9" s="1"/>
  <c r="J952" i="6"/>
  <c r="G952" i="4"/>
  <c r="G953" i="6" s="1"/>
  <c r="I952" i="4"/>
  <c r="I953" i="6" s="1"/>
  <c r="B952" i="4"/>
  <c r="B953" i="6" s="1"/>
  <c r="A953" i="4"/>
  <c r="A954" i="6" s="1"/>
  <c r="A956" i="9" s="1"/>
  <c r="C952" i="4"/>
  <c r="C953" i="6" s="1"/>
  <c r="E952" i="4"/>
  <c r="E953" i="6" s="1"/>
  <c r="H952" i="4"/>
  <c r="H953" i="6" s="1"/>
  <c r="D952" i="4"/>
  <c r="D953" i="6" s="1"/>
  <c r="F952" i="4"/>
  <c r="F953" i="6" s="1"/>
  <c r="T955" i="9" l="1"/>
  <c r="L955" i="9"/>
  <c r="P955" i="9"/>
  <c r="E956" i="9"/>
  <c r="Q956" i="9" s="1"/>
  <c r="F956" i="9"/>
  <c r="G956" i="9"/>
  <c r="N956" i="9" s="1"/>
  <c r="H956" i="9"/>
  <c r="I956" i="9"/>
  <c r="R956" i="9" s="1"/>
  <c r="D956" i="9"/>
  <c r="U956" i="9"/>
  <c r="B956" i="9"/>
  <c r="C956" i="9"/>
  <c r="M956" i="9" s="1"/>
  <c r="J956" i="9"/>
  <c r="J953" i="6"/>
  <c r="F953" i="4"/>
  <c r="F954" i="6" s="1"/>
  <c r="H953" i="4"/>
  <c r="H954" i="6" s="1"/>
  <c r="I953" i="4"/>
  <c r="I954" i="6" s="1"/>
  <c r="B953" i="4"/>
  <c r="B954" i="6" s="1"/>
  <c r="A954" i="4"/>
  <c r="A955" i="6" s="1"/>
  <c r="A957" i="9" s="1"/>
  <c r="D953" i="4"/>
  <c r="D954" i="6" s="1"/>
  <c r="E953" i="4"/>
  <c r="E954" i="6" s="1"/>
  <c r="G953" i="4"/>
  <c r="G954" i="6" s="1"/>
  <c r="C953" i="4"/>
  <c r="C954" i="6" s="1"/>
  <c r="P956" i="9" l="1"/>
  <c r="T956" i="9"/>
  <c r="L956" i="9"/>
  <c r="C957" i="9"/>
  <c r="M957" i="9" s="1"/>
  <c r="D957" i="9"/>
  <c r="E957" i="9"/>
  <c r="Q957" i="9" s="1"/>
  <c r="F957" i="9"/>
  <c r="G957" i="9"/>
  <c r="N957" i="9" s="1"/>
  <c r="B957" i="9"/>
  <c r="J957" i="9"/>
  <c r="U957" i="9"/>
  <c r="H957" i="9"/>
  <c r="I957" i="9"/>
  <c r="R957" i="9" s="1"/>
  <c r="J954" i="6"/>
  <c r="E954" i="4"/>
  <c r="E955" i="6" s="1"/>
  <c r="G954" i="4"/>
  <c r="G955" i="6" s="1"/>
  <c r="H954" i="4"/>
  <c r="H955" i="6" s="1"/>
  <c r="I954" i="4"/>
  <c r="I955" i="6" s="1"/>
  <c r="C954" i="4"/>
  <c r="C955" i="6" s="1"/>
  <c r="B954" i="4"/>
  <c r="B955" i="6" s="1"/>
  <c r="D954" i="4"/>
  <c r="D955" i="6" s="1"/>
  <c r="A955" i="4"/>
  <c r="A956" i="6" s="1"/>
  <c r="A958" i="9" s="1"/>
  <c r="F954" i="4"/>
  <c r="F955" i="6" s="1"/>
  <c r="I958" i="9" l="1"/>
  <c r="R958" i="9" s="1"/>
  <c r="B958" i="9"/>
  <c r="J958" i="9"/>
  <c r="U958" i="9"/>
  <c r="C958" i="9"/>
  <c r="M958" i="9" s="1"/>
  <c r="D958" i="9"/>
  <c r="E958" i="9"/>
  <c r="Q958" i="9" s="1"/>
  <c r="H958" i="9"/>
  <c r="F958" i="9"/>
  <c r="G958" i="9"/>
  <c r="N958" i="9" s="1"/>
  <c r="L957" i="9"/>
  <c r="P957" i="9"/>
  <c r="T957" i="9"/>
  <c r="J955" i="6"/>
  <c r="D955" i="4"/>
  <c r="D956" i="6" s="1"/>
  <c r="F955" i="4"/>
  <c r="F956" i="6" s="1"/>
  <c r="G955" i="4"/>
  <c r="G956" i="6" s="1"/>
  <c r="H955" i="4"/>
  <c r="H956" i="6" s="1"/>
  <c r="B955" i="4"/>
  <c r="B956" i="6" s="1"/>
  <c r="A956" i="4"/>
  <c r="A957" i="6" s="1"/>
  <c r="A959" i="9" s="1"/>
  <c r="I955" i="4"/>
  <c r="I956" i="6" s="1"/>
  <c r="C955" i="4"/>
  <c r="C956" i="6" s="1"/>
  <c r="E955" i="4"/>
  <c r="E956" i="6" s="1"/>
  <c r="G959" i="9" l="1"/>
  <c r="N959" i="9" s="1"/>
  <c r="H959" i="9"/>
  <c r="I959" i="9"/>
  <c r="R959" i="9" s="1"/>
  <c r="B959" i="9"/>
  <c r="J959" i="9"/>
  <c r="U959" i="9"/>
  <c r="C959" i="9"/>
  <c r="M959" i="9" s="1"/>
  <c r="F959" i="9"/>
  <c r="D959" i="9"/>
  <c r="E959" i="9"/>
  <c r="Q959" i="9" s="1"/>
  <c r="T958" i="9"/>
  <c r="L958" i="9"/>
  <c r="P958" i="9"/>
  <c r="J956" i="6"/>
  <c r="C956" i="4"/>
  <c r="C957" i="6" s="1"/>
  <c r="E956" i="4"/>
  <c r="E957" i="6" s="1"/>
  <c r="F956" i="4"/>
  <c r="F957" i="6" s="1"/>
  <c r="G956" i="4"/>
  <c r="G957" i="6" s="1"/>
  <c r="I956" i="4"/>
  <c r="I957" i="6" s="1"/>
  <c r="B956" i="4"/>
  <c r="B957" i="6" s="1"/>
  <c r="D956" i="4"/>
  <c r="D957" i="6" s="1"/>
  <c r="H956" i="4"/>
  <c r="H957" i="6" s="1"/>
  <c r="A957" i="4"/>
  <c r="A958" i="6" s="1"/>
  <c r="A960" i="9" s="1"/>
  <c r="E960" i="9" l="1"/>
  <c r="Q960" i="9" s="1"/>
  <c r="F960" i="9"/>
  <c r="G960" i="9"/>
  <c r="N960" i="9" s="1"/>
  <c r="H960" i="9"/>
  <c r="I960" i="9"/>
  <c r="R960" i="9" s="1"/>
  <c r="D960" i="9"/>
  <c r="J960" i="9"/>
  <c r="U960" i="9"/>
  <c r="B960" i="9"/>
  <c r="C960" i="9"/>
  <c r="M960" i="9" s="1"/>
  <c r="T959" i="9"/>
  <c r="L959" i="9"/>
  <c r="P959" i="9"/>
  <c r="J957" i="6"/>
  <c r="B957" i="4"/>
  <c r="B958" i="6" s="1"/>
  <c r="A958" i="4"/>
  <c r="A959" i="6" s="1"/>
  <c r="A961" i="9" s="1"/>
  <c r="D957" i="4"/>
  <c r="D958" i="6" s="1"/>
  <c r="E957" i="4"/>
  <c r="E958" i="6" s="1"/>
  <c r="F957" i="4"/>
  <c r="F958" i="6" s="1"/>
  <c r="H957" i="4"/>
  <c r="H958" i="6" s="1"/>
  <c r="G957" i="4"/>
  <c r="G958" i="6" s="1"/>
  <c r="I957" i="4"/>
  <c r="I958" i="6" s="1"/>
  <c r="C957" i="4"/>
  <c r="C958" i="6" s="1"/>
  <c r="C961" i="9" l="1"/>
  <c r="M961" i="9" s="1"/>
  <c r="D961" i="9"/>
  <c r="E961" i="9"/>
  <c r="Q961" i="9" s="1"/>
  <c r="F961" i="9"/>
  <c r="G961" i="9"/>
  <c r="N961" i="9" s="1"/>
  <c r="B961" i="9"/>
  <c r="J961" i="9"/>
  <c r="U961" i="9"/>
  <c r="H961" i="9"/>
  <c r="I961" i="9"/>
  <c r="R961" i="9" s="1"/>
  <c r="P960" i="9"/>
  <c r="T960" i="9"/>
  <c r="L960" i="9"/>
  <c r="J958" i="6"/>
  <c r="I958" i="4"/>
  <c r="I959" i="6" s="1"/>
  <c r="C958" i="4"/>
  <c r="C959" i="6" s="1"/>
  <c r="D958" i="4"/>
  <c r="D959" i="6" s="1"/>
  <c r="E958" i="4"/>
  <c r="E959" i="6" s="1"/>
  <c r="G958" i="4"/>
  <c r="G959" i="6" s="1"/>
  <c r="B958" i="4"/>
  <c r="B959" i="6" s="1"/>
  <c r="F958" i="4"/>
  <c r="F959" i="6" s="1"/>
  <c r="H958" i="4"/>
  <c r="H959" i="6" s="1"/>
  <c r="A959" i="4"/>
  <c r="A960" i="6" s="1"/>
  <c r="A962" i="9" s="1"/>
  <c r="I962" i="9" l="1"/>
  <c r="R962" i="9" s="1"/>
  <c r="B962" i="9"/>
  <c r="J962" i="9"/>
  <c r="U962" i="9"/>
  <c r="C962" i="9"/>
  <c r="M962" i="9" s="1"/>
  <c r="D962" i="9"/>
  <c r="E962" i="9"/>
  <c r="Q962" i="9" s="1"/>
  <c r="H962" i="9"/>
  <c r="F962" i="9"/>
  <c r="G962" i="9"/>
  <c r="N962" i="9" s="1"/>
  <c r="L961" i="9"/>
  <c r="P961" i="9"/>
  <c r="T961" i="9"/>
  <c r="J959" i="6"/>
  <c r="H959" i="4"/>
  <c r="H960" i="6" s="1"/>
  <c r="B959" i="4"/>
  <c r="B960" i="6" s="1"/>
  <c r="A960" i="4"/>
  <c r="A961" i="6" s="1"/>
  <c r="A963" i="9" s="1"/>
  <c r="C959" i="4"/>
  <c r="C960" i="6" s="1"/>
  <c r="D959" i="4"/>
  <c r="D960" i="6" s="1"/>
  <c r="F959" i="4"/>
  <c r="F960" i="6" s="1"/>
  <c r="I959" i="4"/>
  <c r="I960" i="6" s="1"/>
  <c r="G959" i="4"/>
  <c r="G960" i="6" s="1"/>
  <c r="E959" i="4"/>
  <c r="E960" i="6" s="1"/>
  <c r="T962" i="9" l="1"/>
  <c r="L962" i="9"/>
  <c r="P962" i="9"/>
  <c r="G963" i="9"/>
  <c r="N963" i="9" s="1"/>
  <c r="H963" i="9"/>
  <c r="I963" i="9"/>
  <c r="R963" i="9" s="1"/>
  <c r="B963" i="9"/>
  <c r="J963" i="9"/>
  <c r="U963" i="9"/>
  <c r="C963" i="9"/>
  <c r="M963" i="9" s="1"/>
  <c r="F963" i="9"/>
  <c r="D963" i="9"/>
  <c r="E963" i="9"/>
  <c r="Q963" i="9" s="1"/>
  <c r="J960" i="6"/>
  <c r="G960" i="4"/>
  <c r="G961" i="6" s="1"/>
  <c r="I960" i="4"/>
  <c r="I961" i="6" s="1"/>
  <c r="B960" i="4"/>
  <c r="B961" i="6" s="1"/>
  <c r="A961" i="4"/>
  <c r="A962" i="6" s="1"/>
  <c r="A964" i="9" s="1"/>
  <c r="C960" i="4"/>
  <c r="C961" i="6" s="1"/>
  <c r="E960" i="4"/>
  <c r="E961" i="6" s="1"/>
  <c r="F960" i="4"/>
  <c r="F961" i="6" s="1"/>
  <c r="H960" i="4"/>
  <c r="H961" i="6" s="1"/>
  <c r="D960" i="4"/>
  <c r="D961" i="6" s="1"/>
  <c r="T963" i="9" l="1"/>
  <c r="L963" i="9"/>
  <c r="P963" i="9"/>
  <c r="E964" i="9"/>
  <c r="Q964" i="9" s="1"/>
  <c r="F964" i="9"/>
  <c r="G964" i="9"/>
  <c r="N964" i="9" s="1"/>
  <c r="H964" i="9"/>
  <c r="I964" i="9"/>
  <c r="R964" i="9" s="1"/>
  <c r="D964" i="9"/>
  <c r="B964" i="9"/>
  <c r="C964" i="9"/>
  <c r="M964" i="9" s="1"/>
  <c r="J964" i="9"/>
  <c r="U964" i="9"/>
  <c r="J961" i="6"/>
  <c r="H961" i="4"/>
  <c r="H962" i="6" s="1"/>
  <c r="I961" i="4"/>
  <c r="I962" i="6" s="1"/>
  <c r="B961" i="4"/>
  <c r="B962" i="6" s="1"/>
  <c r="D961" i="4"/>
  <c r="D962" i="6" s="1"/>
  <c r="C961" i="4"/>
  <c r="C962" i="6" s="1"/>
  <c r="E961" i="4"/>
  <c r="E962" i="6" s="1"/>
  <c r="A962" i="4"/>
  <c r="A963" i="6" s="1"/>
  <c r="A965" i="9" s="1"/>
  <c r="F961" i="4"/>
  <c r="F962" i="6" s="1"/>
  <c r="G961" i="4"/>
  <c r="G962" i="6" s="1"/>
  <c r="C965" i="9" l="1"/>
  <c r="M965" i="9" s="1"/>
  <c r="D965" i="9"/>
  <c r="E965" i="9"/>
  <c r="Q965" i="9" s="1"/>
  <c r="F965" i="9"/>
  <c r="G965" i="9"/>
  <c r="N965" i="9" s="1"/>
  <c r="B965" i="9"/>
  <c r="J965" i="9"/>
  <c r="U965" i="9"/>
  <c r="H965" i="9"/>
  <c r="I965" i="9"/>
  <c r="R965" i="9" s="1"/>
  <c r="P964" i="9"/>
  <c r="T964" i="9"/>
  <c r="L964" i="9"/>
  <c r="J962" i="6"/>
  <c r="G962" i="4"/>
  <c r="G963" i="6" s="1"/>
  <c r="H962" i="4"/>
  <c r="H963" i="6" s="1"/>
  <c r="C962" i="4"/>
  <c r="C963" i="6" s="1"/>
  <c r="D962" i="4"/>
  <c r="D963" i="6" s="1"/>
  <c r="E962" i="4"/>
  <c r="E963" i="6" s="1"/>
  <c r="F962" i="4"/>
  <c r="F963" i="6" s="1"/>
  <c r="I962" i="4"/>
  <c r="I963" i="6" s="1"/>
  <c r="A963" i="4"/>
  <c r="A964" i="6" s="1"/>
  <c r="A966" i="9" s="1"/>
  <c r="B962" i="4"/>
  <c r="B963" i="6" s="1"/>
  <c r="L965" i="9" l="1"/>
  <c r="P965" i="9"/>
  <c r="T965" i="9"/>
  <c r="I966" i="9"/>
  <c r="R966" i="9" s="1"/>
  <c r="B966" i="9"/>
  <c r="J966" i="9"/>
  <c r="U966" i="9"/>
  <c r="C966" i="9"/>
  <c r="M966" i="9" s="1"/>
  <c r="D966" i="9"/>
  <c r="E966" i="9"/>
  <c r="Q966" i="9" s="1"/>
  <c r="H966" i="9"/>
  <c r="F966" i="9"/>
  <c r="G966" i="9"/>
  <c r="N966" i="9" s="1"/>
  <c r="J963" i="6"/>
  <c r="F963" i="4"/>
  <c r="F964" i="6" s="1"/>
  <c r="G963" i="4"/>
  <c r="G964" i="6" s="1"/>
  <c r="B963" i="4"/>
  <c r="B964" i="6" s="1"/>
  <c r="A964" i="4"/>
  <c r="A965" i="6" s="1"/>
  <c r="A967" i="9" s="1"/>
  <c r="H963" i="4"/>
  <c r="H964" i="6" s="1"/>
  <c r="I963" i="4"/>
  <c r="I964" i="6" s="1"/>
  <c r="D963" i="4"/>
  <c r="D964" i="6" s="1"/>
  <c r="C963" i="4"/>
  <c r="C964" i="6" s="1"/>
  <c r="E963" i="4"/>
  <c r="E964" i="6" s="1"/>
  <c r="T966" i="9" l="1"/>
  <c r="L966" i="9"/>
  <c r="P966" i="9"/>
  <c r="G967" i="9"/>
  <c r="N967" i="9" s="1"/>
  <c r="H967" i="9"/>
  <c r="I967" i="9"/>
  <c r="R967" i="9" s="1"/>
  <c r="B967" i="9"/>
  <c r="J967" i="9"/>
  <c r="U967" i="9"/>
  <c r="C967" i="9"/>
  <c r="M967" i="9" s="1"/>
  <c r="F967" i="9"/>
  <c r="D967" i="9"/>
  <c r="E967" i="9"/>
  <c r="Q967" i="9" s="1"/>
  <c r="J964" i="6"/>
  <c r="E964" i="4"/>
  <c r="E965" i="6" s="1"/>
  <c r="F964" i="4"/>
  <c r="F965" i="6" s="1"/>
  <c r="I964" i="4"/>
  <c r="I965" i="6" s="1"/>
  <c r="B964" i="4"/>
  <c r="B965" i="6" s="1"/>
  <c r="C964" i="4"/>
  <c r="C965" i="6" s="1"/>
  <c r="H964" i="4"/>
  <c r="H965" i="6" s="1"/>
  <c r="A965" i="4"/>
  <c r="A966" i="6" s="1"/>
  <c r="A968" i="9" s="1"/>
  <c r="G964" i="4"/>
  <c r="G965" i="6" s="1"/>
  <c r="D964" i="4"/>
  <c r="D965" i="6" s="1"/>
  <c r="T967" i="9" l="1"/>
  <c r="L967" i="9"/>
  <c r="P967" i="9"/>
  <c r="E968" i="9"/>
  <c r="Q968" i="9" s="1"/>
  <c r="F968" i="9"/>
  <c r="G968" i="9"/>
  <c r="N968" i="9" s="1"/>
  <c r="H968" i="9"/>
  <c r="I968" i="9"/>
  <c r="R968" i="9" s="1"/>
  <c r="U968" i="9"/>
  <c r="B968" i="9"/>
  <c r="C968" i="9"/>
  <c r="M968" i="9" s="1"/>
  <c r="D968" i="9"/>
  <c r="J968" i="9"/>
  <c r="J965" i="6"/>
  <c r="D965" i="4"/>
  <c r="D966" i="6" s="1"/>
  <c r="E965" i="4"/>
  <c r="E966" i="6" s="1"/>
  <c r="H965" i="4"/>
  <c r="H966" i="6" s="1"/>
  <c r="B965" i="4"/>
  <c r="B966" i="6" s="1"/>
  <c r="C965" i="4"/>
  <c r="C966" i="6" s="1"/>
  <c r="F965" i="4"/>
  <c r="F966" i="6" s="1"/>
  <c r="G965" i="4"/>
  <c r="G966" i="6" s="1"/>
  <c r="I965" i="4"/>
  <c r="I966" i="6" s="1"/>
  <c r="A966" i="4"/>
  <c r="A967" i="6" s="1"/>
  <c r="A969" i="9" s="1"/>
  <c r="C969" i="9" l="1"/>
  <c r="M969" i="9" s="1"/>
  <c r="D969" i="9"/>
  <c r="E969" i="9"/>
  <c r="Q969" i="9" s="1"/>
  <c r="F969" i="9"/>
  <c r="G969" i="9"/>
  <c r="N969" i="9" s="1"/>
  <c r="U969" i="9"/>
  <c r="B969" i="9"/>
  <c r="H969" i="9"/>
  <c r="I969" i="9"/>
  <c r="R969" i="9" s="1"/>
  <c r="J969" i="9"/>
  <c r="P968" i="9"/>
  <c r="T968" i="9"/>
  <c r="L968" i="9"/>
  <c r="J966" i="6"/>
  <c r="C966" i="4"/>
  <c r="C967" i="6" s="1"/>
  <c r="D966" i="4"/>
  <c r="D967" i="6" s="1"/>
  <c r="G966" i="4"/>
  <c r="G967" i="6" s="1"/>
  <c r="F966" i="4"/>
  <c r="F967" i="6" s="1"/>
  <c r="H966" i="4"/>
  <c r="H967" i="6" s="1"/>
  <c r="I966" i="4"/>
  <c r="I967" i="6" s="1"/>
  <c r="A967" i="4"/>
  <c r="A968" i="6" s="1"/>
  <c r="A970" i="9" s="1"/>
  <c r="B966" i="4"/>
  <c r="B967" i="6" s="1"/>
  <c r="E966" i="4"/>
  <c r="E967" i="6" s="1"/>
  <c r="I970" i="9" l="1"/>
  <c r="R970" i="9" s="1"/>
  <c r="B970" i="9"/>
  <c r="J970" i="9"/>
  <c r="U970" i="9"/>
  <c r="C970" i="9"/>
  <c r="M970" i="9" s="1"/>
  <c r="D970" i="9"/>
  <c r="E970" i="9"/>
  <c r="Q970" i="9" s="1"/>
  <c r="F970" i="9"/>
  <c r="G970" i="9"/>
  <c r="N970" i="9" s="1"/>
  <c r="H970" i="9"/>
  <c r="L969" i="9"/>
  <c r="P969" i="9"/>
  <c r="T969" i="9"/>
  <c r="J967" i="6"/>
  <c r="B967" i="4"/>
  <c r="B968" i="6" s="1"/>
  <c r="A968" i="4"/>
  <c r="A969" i="6" s="1"/>
  <c r="A971" i="9" s="1"/>
  <c r="C967" i="4"/>
  <c r="C968" i="6" s="1"/>
  <c r="F967" i="4"/>
  <c r="F968" i="6" s="1"/>
  <c r="I967" i="4"/>
  <c r="I968" i="6" s="1"/>
  <c r="G967" i="4"/>
  <c r="G968" i="6" s="1"/>
  <c r="D967" i="4"/>
  <c r="D968" i="6" s="1"/>
  <c r="E967" i="4"/>
  <c r="E968" i="6" s="1"/>
  <c r="H967" i="4"/>
  <c r="H968" i="6" s="1"/>
  <c r="G971" i="9" l="1"/>
  <c r="N971" i="9" s="1"/>
  <c r="H971" i="9"/>
  <c r="I971" i="9"/>
  <c r="R971" i="9" s="1"/>
  <c r="B971" i="9"/>
  <c r="J971" i="9"/>
  <c r="U971" i="9"/>
  <c r="C971" i="9"/>
  <c r="M971" i="9" s="1"/>
  <c r="D971" i="9"/>
  <c r="E971" i="9"/>
  <c r="Q971" i="9" s="1"/>
  <c r="F971" i="9"/>
  <c r="T970" i="9"/>
  <c r="L970" i="9"/>
  <c r="P970" i="9"/>
  <c r="J968" i="6"/>
  <c r="I968" i="4"/>
  <c r="I969" i="6" s="1"/>
  <c r="B968" i="4"/>
  <c r="B969" i="6" s="1"/>
  <c r="A969" i="4"/>
  <c r="A970" i="6" s="1"/>
  <c r="A972" i="9" s="1"/>
  <c r="E968" i="4"/>
  <c r="E969" i="6" s="1"/>
  <c r="C968" i="4"/>
  <c r="C969" i="6" s="1"/>
  <c r="D968" i="4"/>
  <c r="D969" i="6" s="1"/>
  <c r="F968" i="4"/>
  <c r="F969" i="6" s="1"/>
  <c r="H968" i="4"/>
  <c r="H969" i="6" s="1"/>
  <c r="G968" i="4"/>
  <c r="G969" i="6" s="1"/>
  <c r="T971" i="9" l="1"/>
  <c r="L971" i="9"/>
  <c r="P971" i="9"/>
  <c r="E972" i="9"/>
  <c r="Q972" i="9" s="1"/>
  <c r="F972" i="9"/>
  <c r="G972" i="9"/>
  <c r="N972" i="9" s="1"/>
  <c r="H972" i="9"/>
  <c r="I972" i="9"/>
  <c r="R972" i="9" s="1"/>
  <c r="C972" i="9"/>
  <c r="M972" i="9" s="1"/>
  <c r="D972" i="9"/>
  <c r="J972" i="9"/>
  <c r="U972" i="9"/>
  <c r="B972" i="9"/>
  <c r="J969" i="6"/>
  <c r="H969" i="4"/>
  <c r="H970" i="6" s="1"/>
  <c r="I969" i="4"/>
  <c r="I970" i="6" s="1"/>
  <c r="D969" i="4"/>
  <c r="D970" i="6" s="1"/>
  <c r="E969" i="4"/>
  <c r="E970" i="6" s="1"/>
  <c r="F969" i="4"/>
  <c r="F970" i="6" s="1"/>
  <c r="G969" i="4"/>
  <c r="G970" i="6" s="1"/>
  <c r="A970" i="4"/>
  <c r="A971" i="6" s="1"/>
  <c r="A973" i="9" s="1"/>
  <c r="B969" i="4"/>
  <c r="B970" i="6" s="1"/>
  <c r="C969" i="4"/>
  <c r="C970" i="6" s="1"/>
  <c r="P972" i="9" l="1"/>
  <c r="T972" i="9"/>
  <c r="L972" i="9"/>
  <c r="C973" i="9"/>
  <c r="M973" i="9" s="1"/>
  <c r="D973" i="9"/>
  <c r="E973" i="9"/>
  <c r="Q973" i="9" s="1"/>
  <c r="F973" i="9"/>
  <c r="G973" i="9"/>
  <c r="N973" i="9" s="1"/>
  <c r="H973" i="9"/>
  <c r="I973" i="9"/>
  <c r="R973" i="9" s="1"/>
  <c r="J973" i="9"/>
  <c r="U973" i="9"/>
  <c r="B973" i="9"/>
  <c r="J970" i="6"/>
  <c r="G970" i="4"/>
  <c r="G971" i="6" s="1"/>
  <c r="H970" i="4"/>
  <c r="H971" i="6" s="1"/>
  <c r="C970" i="4"/>
  <c r="C971" i="6" s="1"/>
  <c r="I970" i="4"/>
  <c r="I971" i="6" s="1"/>
  <c r="A971" i="4"/>
  <c r="A972" i="6" s="1"/>
  <c r="A974" i="9" s="1"/>
  <c r="E970" i="4"/>
  <c r="E971" i="6" s="1"/>
  <c r="F970" i="4"/>
  <c r="F971" i="6" s="1"/>
  <c r="B970" i="4"/>
  <c r="B971" i="6" s="1"/>
  <c r="D970" i="4"/>
  <c r="D971" i="6" s="1"/>
  <c r="I974" i="9" l="1"/>
  <c r="R974" i="9" s="1"/>
  <c r="B974" i="9"/>
  <c r="J974" i="9"/>
  <c r="U974" i="9"/>
  <c r="C974" i="9"/>
  <c r="M974" i="9" s="1"/>
  <c r="D974" i="9"/>
  <c r="E974" i="9"/>
  <c r="Q974" i="9" s="1"/>
  <c r="H974" i="9"/>
  <c r="F974" i="9"/>
  <c r="G974" i="9"/>
  <c r="N974" i="9" s="1"/>
  <c r="L973" i="9"/>
  <c r="P973" i="9"/>
  <c r="T973" i="9"/>
  <c r="J971" i="6"/>
  <c r="F971" i="4"/>
  <c r="F972" i="6" s="1"/>
  <c r="G971" i="4"/>
  <c r="G972" i="6" s="1"/>
  <c r="B971" i="4"/>
  <c r="B972" i="6" s="1"/>
  <c r="A972" i="4"/>
  <c r="A973" i="6" s="1"/>
  <c r="A975" i="9" s="1"/>
  <c r="C971" i="4"/>
  <c r="C972" i="6" s="1"/>
  <c r="D971" i="4"/>
  <c r="D972" i="6" s="1"/>
  <c r="I971" i="4"/>
  <c r="I972" i="6" s="1"/>
  <c r="E971" i="4"/>
  <c r="E972" i="6" s="1"/>
  <c r="H971" i="4"/>
  <c r="H972" i="6" s="1"/>
  <c r="T974" i="9" l="1"/>
  <c r="L974" i="9"/>
  <c r="P974" i="9"/>
  <c r="G975" i="9"/>
  <c r="N975" i="9" s="1"/>
  <c r="H975" i="9"/>
  <c r="I975" i="9"/>
  <c r="R975" i="9" s="1"/>
  <c r="B975" i="9"/>
  <c r="J975" i="9"/>
  <c r="U975" i="9"/>
  <c r="C975" i="9"/>
  <c r="M975" i="9" s="1"/>
  <c r="D975" i="9"/>
  <c r="E975" i="9"/>
  <c r="Q975" i="9" s="1"/>
  <c r="F975" i="9"/>
  <c r="J972" i="6"/>
  <c r="E972" i="4"/>
  <c r="E973" i="6" s="1"/>
  <c r="F972" i="4"/>
  <c r="F973" i="6" s="1"/>
  <c r="I972" i="4"/>
  <c r="I973" i="6" s="1"/>
  <c r="C972" i="4"/>
  <c r="C973" i="6" s="1"/>
  <c r="D972" i="4"/>
  <c r="D973" i="6" s="1"/>
  <c r="G972" i="4"/>
  <c r="G973" i="6" s="1"/>
  <c r="H972" i="4"/>
  <c r="H973" i="6" s="1"/>
  <c r="A973" i="4"/>
  <c r="A974" i="6" s="1"/>
  <c r="A976" i="9" s="1"/>
  <c r="B972" i="4"/>
  <c r="B973" i="6" s="1"/>
  <c r="E976" i="9" l="1"/>
  <c r="Q976" i="9" s="1"/>
  <c r="F976" i="9"/>
  <c r="G976" i="9"/>
  <c r="N976" i="9" s="1"/>
  <c r="H976" i="9"/>
  <c r="I976" i="9"/>
  <c r="R976" i="9" s="1"/>
  <c r="U976" i="9"/>
  <c r="B976" i="9"/>
  <c r="C976" i="9"/>
  <c r="M976" i="9" s="1"/>
  <c r="D976" i="9"/>
  <c r="J976" i="9"/>
  <c r="T975" i="9"/>
  <c r="L975" i="9"/>
  <c r="P975" i="9"/>
  <c r="J973" i="6"/>
  <c r="D973" i="4"/>
  <c r="D974" i="6" s="1"/>
  <c r="E973" i="4"/>
  <c r="E974" i="6" s="1"/>
  <c r="H973" i="4"/>
  <c r="H974" i="6" s="1"/>
  <c r="G973" i="4"/>
  <c r="G974" i="6" s="1"/>
  <c r="I973" i="4"/>
  <c r="I974" i="6" s="1"/>
  <c r="A974" i="4"/>
  <c r="A975" i="6" s="1"/>
  <c r="A977" i="9" s="1"/>
  <c r="C973" i="4"/>
  <c r="C974" i="6" s="1"/>
  <c r="B973" i="4"/>
  <c r="B974" i="6" s="1"/>
  <c r="F973" i="4"/>
  <c r="F974" i="6" s="1"/>
  <c r="C977" i="9" l="1"/>
  <c r="M977" i="9" s="1"/>
  <c r="D977" i="9"/>
  <c r="E977" i="9"/>
  <c r="Q977" i="9" s="1"/>
  <c r="F977" i="9"/>
  <c r="G977" i="9"/>
  <c r="N977" i="9" s="1"/>
  <c r="U977" i="9"/>
  <c r="B977" i="9"/>
  <c r="H977" i="9"/>
  <c r="I977" i="9"/>
  <c r="R977" i="9" s="1"/>
  <c r="J977" i="9"/>
  <c r="P976" i="9"/>
  <c r="T976" i="9"/>
  <c r="L976" i="9"/>
  <c r="J974" i="6"/>
  <c r="C974" i="4"/>
  <c r="C975" i="6" s="1"/>
  <c r="D974" i="4"/>
  <c r="D975" i="6" s="1"/>
  <c r="G974" i="4"/>
  <c r="G975" i="6" s="1"/>
  <c r="A975" i="4"/>
  <c r="A976" i="6" s="1"/>
  <c r="A978" i="9" s="1"/>
  <c r="B974" i="4"/>
  <c r="B975" i="6" s="1"/>
  <c r="H974" i="4"/>
  <c r="H975" i="6" s="1"/>
  <c r="F974" i="4"/>
  <c r="F975" i="6" s="1"/>
  <c r="I974" i="4"/>
  <c r="I975" i="6" s="1"/>
  <c r="E974" i="4"/>
  <c r="E975" i="6" s="1"/>
  <c r="I978" i="9" l="1"/>
  <c r="R978" i="9" s="1"/>
  <c r="B978" i="9"/>
  <c r="J978" i="9"/>
  <c r="U978" i="9"/>
  <c r="C978" i="9"/>
  <c r="M978" i="9" s="1"/>
  <c r="D978" i="9"/>
  <c r="E978" i="9"/>
  <c r="Q978" i="9" s="1"/>
  <c r="F978" i="9"/>
  <c r="G978" i="9"/>
  <c r="N978" i="9" s="1"/>
  <c r="H978" i="9"/>
  <c r="L977" i="9"/>
  <c r="P977" i="9"/>
  <c r="T977" i="9"/>
  <c r="J975" i="6"/>
  <c r="B975" i="4"/>
  <c r="B976" i="6" s="1"/>
  <c r="A976" i="4"/>
  <c r="A977" i="6" s="1"/>
  <c r="A979" i="9" s="1"/>
  <c r="C975" i="4"/>
  <c r="C976" i="6" s="1"/>
  <c r="F975" i="4"/>
  <c r="F976" i="6" s="1"/>
  <c r="D975" i="4"/>
  <c r="D976" i="6" s="1"/>
  <c r="E975" i="4"/>
  <c r="E976" i="6" s="1"/>
  <c r="G975" i="4"/>
  <c r="G976" i="6" s="1"/>
  <c r="I975" i="4"/>
  <c r="I976" i="6" s="1"/>
  <c r="H975" i="4"/>
  <c r="H976" i="6" s="1"/>
  <c r="G979" i="9" l="1"/>
  <c r="N979" i="9" s="1"/>
  <c r="H979" i="9"/>
  <c r="I979" i="9"/>
  <c r="R979" i="9" s="1"/>
  <c r="B979" i="9"/>
  <c r="J979" i="9"/>
  <c r="U979" i="9"/>
  <c r="C979" i="9"/>
  <c r="M979" i="9" s="1"/>
  <c r="E979" i="9"/>
  <c r="Q979" i="9" s="1"/>
  <c r="F979" i="9"/>
  <c r="D979" i="9"/>
  <c r="T978" i="9"/>
  <c r="L978" i="9"/>
  <c r="P978" i="9"/>
  <c r="J976" i="6"/>
  <c r="I976" i="4"/>
  <c r="I977" i="6" s="1"/>
  <c r="B976" i="4"/>
  <c r="B977" i="6" s="1"/>
  <c r="A977" i="4"/>
  <c r="A978" i="6" s="1"/>
  <c r="A980" i="9" s="1"/>
  <c r="E976" i="4"/>
  <c r="E977" i="6" s="1"/>
  <c r="F976" i="4"/>
  <c r="F977" i="6" s="1"/>
  <c r="G976" i="4"/>
  <c r="G977" i="6" s="1"/>
  <c r="H976" i="4"/>
  <c r="H977" i="6" s="1"/>
  <c r="C976" i="4"/>
  <c r="C977" i="6" s="1"/>
  <c r="D976" i="4"/>
  <c r="D977" i="6" s="1"/>
  <c r="T979" i="9" l="1"/>
  <c r="L979" i="9"/>
  <c r="P979" i="9"/>
  <c r="E980" i="9"/>
  <c r="Q980" i="9" s="1"/>
  <c r="F980" i="9"/>
  <c r="G980" i="9"/>
  <c r="N980" i="9" s="1"/>
  <c r="H980" i="9"/>
  <c r="I980" i="9"/>
  <c r="R980" i="9" s="1"/>
  <c r="J980" i="9"/>
  <c r="U980" i="9"/>
  <c r="B980" i="9"/>
  <c r="C980" i="9"/>
  <c r="M980" i="9" s="1"/>
  <c r="D980" i="9"/>
  <c r="J977" i="6"/>
  <c r="H977" i="4"/>
  <c r="H978" i="6" s="1"/>
  <c r="I977" i="4"/>
  <c r="I978" i="6" s="1"/>
  <c r="D977" i="4"/>
  <c r="D978" i="6" s="1"/>
  <c r="A978" i="4"/>
  <c r="A979" i="6" s="1"/>
  <c r="A981" i="9" s="1"/>
  <c r="B977" i="4"/>
  <c r="B978" i="6" s="1"/>
  <c r="F977" i="4"/>
  <c r="F978" i="6" s="1"/>
  <c r="C977" i="4"/>
  <c r="C978" i="6" s="1"/>
  <c r="E977" i="4"/>
  <c r="E978" i="6" s="1"/>
  <c r="G977" i="4"/>
  <c r="G978" i="6" s="1"/>
  <c r="C981" i="9" l="1"/>
  <c r="M981" i="9" s="1"/>
  <c r="D981" i="9"/>
  <c r="E981" i="9"/>
  <c r="Q981" i="9" s="1"/>
  <c r="F981" i="9"/>
  <c r="G981" i="9"/>
  <c r="N981" i="9" s="1"/>
  <c r="J981" i="9"/>
  <c r="U981" i="9"/>
  <c r="B981" i="9"/>
  <c r="H981" i="9"/>
  <c r="I981" i="9"/>
  <c r="R981" i="9" s="1"/>
  <c r="P980" i="9"/>
  <c r="T980" i="9"/>
  <c r="L980" i="9"/>
  <c r="J978" i="6"/>
  <c r="G978" i="4"/>
  <c r="G979" i="6" s="1"/>
  <c r="H978" i="4"/>
  <c r="H979" i="6" s="1"/>
  <c r="C978" i="4"/>
  <c r="C979" i="6" s="1"/>
  <c r="B978" i="4"/>
  <c r="B979" i="6" s="1"/>
  <c r="D978" i="4"/>
  <c r="D979" i="6" s="1"/>
  <c r="E978" i="4"/>
  <c r="E979" i="6" s="1"/>
  <c r="A979" i="4"/>
  <c r="A980" i="6" s="1"/>
  <c r="A982" i="9" s="1"/>
  <c r="F978" i="4"/>
  <c r="F979" i="6" s="1"/>
  <c r="I978" i="4"/>
  <c r="I979" i="6" s="1"/>
  <c r="L981" i="9" l="1"/>
  <c r="P981" i="9"/>
  <c r="T981" i="9"/>
  <c r="I982" i="9"/>
  <c r="R982" i="9" s="1"/>
  <c r="B982" i="9"/>
  <c r="J982" i="9"/>
  <c r="U982" i="9"/>
  <c r="C982" i="9"/>
  <c r="M982" i="9" s="1"/>
  <c r="D982" i="9"/>
  <c r="E982" i="9"/>
  <c r="Q982" i="9" s="1"/>
  <c r="F982" i="9"/>
  <c r="G982" i="9"/>
  <c r="N982" i="9" s="1"/>
  <c r="H982" i="9"/>
  <c r="J979" i="6"/>
  <c r="F979" i="4"/>
  <c r="F980" i="6" s="1"/>
  <c r="G979" i="4"/>
  <c r="G980" i="6" s="1"/>
  <c r="B979" i="4"/>
  <c r="B980" i="6" s="1"/>
  <c r="A980" i="4"/>
  <c r="A981" i="6" s="1"/>
  <c r="A983" i="9" s="1"/>
  <c r="D979" i="4"/>
  <c r="D980" i="6" s="1"/>
  <c r="E979" i="4"/>
  <c r="E980" i="6" s="1"/>
  <c r="H979" i="4"/>
  <c r="H980" i="6" s="1"/>
  <c r="I979" i="4"/>
  <c r="I980" i="6" s="1"/>
  <c r="C979" i="4"/>
  <c r="C980" i="6" s="1"/>
  <c r="T982" i="9" l="1"/>
  <c r="L982" i="9"/>
  <c r="P982" i="9"/>
  <c r="G983" i="9"/>
  <c r="N983" i="9" s="1"/>
  <c r="H983" i="9"/>
  <c r="I983" i="9"/>
  <c r="R983" i="9" s="1"/>
  <c r="B983" i="9"/>
  <c r="J983" i="9"/>
  <c r="C983" i="9"/>
  <c r="M983" i="9" s="1"/>
  <c r="D983" i="9"/>
  <c r="E983" i="9"/>
  <c r="Q983" i="9" s="1"/>
  <c r="U983" i="9"/>
  <c r="F983" i="9"/>
  <c r="J980" i="6"/>
  <c r="E980" i="4"/>
  <c r="E981" i="6" s="1"/>
  <c r="F980" i="4"/>
  <c r="F981" i="6" s="1"/>
  <c r="I980" i="4"/>
  <c r="I981" i="6" s="1"/>
  <c r="H980" i="4"/>
  <c r="H981" i="6" s="1"/>
  <c r="A981" i="4"/>
  <c r="A982" i="6" s="1"/>
  <c r="A984" i="9" s="1"/>
  <c r="D980" i="4"/>
  <c r="D981" i="6" s="1"/>
  <c r="C980" i="4"/>
  <c r="C981" i="6" s="1"/>
  <c r="G980" i="4"/>
  <c r="G981" i="6" s="1"/>
  <c r="B980" i="4"/>
  <c r="B981" i="6" s="1"/>
  <c r="L983" i="9" l="1"/>
  <c r="T983" i="9"/>
  <c r="P983" i="9"/>
  <c r="E984" i="9"/>
  <c r="Q984" i="9" s="1"/>
  <c r="F984" i="9"/>
  <c r="G984" i="9"/>
  <c r="N984" i="9" s="1"/>
  <c r="H984" i="9"/>
  <c r="I984" i="9"/>
  <c r="R984" i="9" s="1"/>
  <c r="B984" i="9"/>
  <c r="J984" i="9"/>
  <c r="U984" i="9"/>
  <c r="C984" i="9"/>
  <c r="M984" i="9" s="1"/>
  <c r="D984" i="9"/>
  <c r="J981" i="6"/>
  <c r="D981" i="4"/>
  <c r="D982" i="6" s="1"/>
  <c r="E981" i="4"/>
  <c r="E982" i="6" s="1"/>
  <c r="H981" i="4"/>
  <c r="H982" i="6" s="1"/>
  <c r="B981" i="4"/>
  <c r="B982" i="6" s="1"/>
  <c r="C981" i="4"/>
  <c r="C982" i="6" s="1"/>
  <c r="I981" i="4"/>
  <c r="I982" i="6" s="1"/>
  <c r="A982" i="4"/>
  <c r="A983" i="6" s="1"/>
  <c r="A985" i="9" s="1"/>
  <c r="F981" i="4"/>
  <c r="F982" i="6" s="1"/>
  <c r="G981" i="4"/>
  <c r="G982" i="6" s="1"/>
  <c r="C985" i="9" l="1"/>
  <c r="M985" i="9" s="1"/>
  <c r="D985" i="9"/>
  <c r="E985" i="9"/>
  <c r="Q985" i="9" s="1"/>
  <c r="F985" i="9"/>
  <c r="G985" i="9"/>
  <c r="N985" i="9" s="1"/>
  <c r="H985" i="9"/>
  <c r="I985" i="9"/>
  <c r="R985" i="9" s="1"/>
  <c r="B985" i="9"/>
  <c r="J985" i="9"/>
  <c r="U985" i="9"/>
  <c r="P984" i="9"/>
  <c r="T984" i="9"/>
  <c r="L984" i="9"/>
  <c r="J982" i="6"/>
  <c r="C982" i="4"/>
  <c r="C983" i="6" s="1"/>
  <c r="D982" i="4"/>
  <c r="D983" i="6" s="1"/>
  <c r="G982" i="4"/>
  <c r="G983" i="6" s="1"/>
  <c r="B982" i="4"/>
  <c r="B983" i="6" s="1"/>
  <c r="E982" i="4"/>
  <c r="E983" i="6" s="1"/>
  <c r="F982" i="4"/>
  <c r="F983" i="6" s="1"/>
  <c r="H982" i="4"/>
  <c r="H983" i="6" s="1"/>
  <c r="A983" i="4"/>
  <c r="A984" i="6" s="1"/>
  <c r="A986" i="9" s="1"/>
  <c r="I982" i="4"/>
  <c r="I983" i="6" s="1"/>
  <c r="I986" i="9" l="1"/>
  <c r="R986" i="9" s="1"/>
  <c r="B986" i="9"/>
  <c r="J986" i="9"/>
  <c r="U986" i="9"/>
  <c r="C986" i="9"/>
  <c r="M986" i="9" s="1"/>
  <c r="D986" i="9"/>
  <c r="E986" i="9"/>
  <c r="Q986" i="9" s="1"/>
  <c r="F986" i="9"/>
  <c r="G986" i="9"/>
  <c r="N986" i="9" s="1"/>
  <c r="H986" i="9"/>
  <c r="L985" i="9"/>
  <c r="P985" i="9"/>
  <c r="T985" i="9"/>
  <c r="J983" i="6"/>
  <c r="B983" i="4"/>
  <c r="B984" i="6" s="1"/>
  <c r="A984" i="4"/>
  <c r="A985" i="6" s="1"/>
  <c r="A987" i="9" s="1"/>
  <c r="C983" i="4"/>
  <c r="C984" i="6" s="1"/>
  <c r="F983" i="4"/>
  <c r="F984" i="6" s="1"/>
  <c r="G983" i="4"/>
  <c r="G984" i="6" s="1"/>
  <c r="H983" i="4"/>
  <c r="H984" i="6" s="1"/>
  <c r="I983" i="4"/>
  <c r="I984" i="6" s="1"/>
  <c r="D983" i="4"/>
  <c r="D984" i="6" s="1"/>
  <c r="E983" i="4"/>
  <c r="E984" i="6" s="1"/>
  <c r="G987" i="9" l="1"/>
  <c r="N987" i="9" s="1"/>
  <c r="H987" i="9"/>
  <c r="I987" i="9"/>
  <c r="R987" i="9" s="1"/>
  <c r="B987" i="9"/>
  <c r="J987" i="9"/>
  <c r="U987" i="9"/>
  <c r="C987" i="9"/>
  <c r="M987" i="9" s="1"/>
  <c r="D987" i="9"/>
  <c r="E987" i="9"/>
  <c r="Q987" i="9" s="1"/>
  <c r="F987" i="9"/>
  <c r="T986" i="9"/>
  <c r="L986" i="9"/>
  <c r="P986" i="9"/>
  <c r="J984" i="6"/>
  <c r="I984" i="4"/>
  <c r="I985" i="6" s="1"/>
  <c r="B984" i="4"/>
  <c r="B985" i="6" s="1"/>
  <c r="A985" i="4"/>
  <c r="A986" i="6" s="1"/>
  <c r="A988" i="9" s="1"/>
  <c r="E984" i="4"/>
  <c r="E985" i="6" s="1"/>
  <c r="C984" i="4"/>
  <c r="C985" i="6" s="1"/>
  <c r="G984" i="4"/>
  <c r="G985" i="6" s="1"/>
  <c r="D984" i="4"/>
  <c r="D985" i="6" s="1"/>
  <c r="F984" i="4"/>
  <c r="F985" i="6" s="1"/>
  <c r="H984" i="4"/>
  <c r="H985" i="6" s="1"/>
  <c r="T987" i="9" l="1"/>
  <c r="L987" i="9"/>
  <c r="P987" i="9"/>
  <c r="E988" i="9"/>
  <c r="Q988" i="9" s="1"/>
  <c r="F988" i="9"/>
  <c r="G988" i="9"/>
  <c r="N988" i="9" s="1"/>
  <c r="H988" i="9"/>
  <c r="I988" i="9"/>
  <c r="R988" i="9" s="1"/>
  <c r="B988" i="9"/>
  <c r="J988" i="9"/>
  <c r="U988" i="9"/>
  <c r="C988" i="9"/>
  <c r="M988" i="9" s="1"/>
  <c r="D988" i="9"/>
  <c r="J985" i="6"/>
  <c r="H985" i="4"/>
  <c r="H986" i="6" s="1"/>
  <c r="I985" i="4"/>
  <c r="I986" i="6" s="1"/>
  <c r="D985" i="4"/>
  <c r="D986" i="6" s="1"/>
  <c r="B985" i="4"/>
  <c r="B986" i="6" s="1"/>
  <c r="C985" i="4"/>
  <c r="C986" i="6" s="1"/>
  <c r="E985" i="4"/>
  <c r="E986" i="6" s="1"/>
  <c r="F985" i="4"/>
  <c r="F986" i="6" s="1"/>
  <c r="A986" i="4"/>
  <c r="A987" i="6" s="1"/>
  <c r="A989" i="9" s="1"/>
  <c r="G985" i="4"/>
  <c r="G986" i="6" s="1"/>
  <c r="C989" i="9" l="1"/>
  <c r="M989" i="9" s="1"/>
  <c r="D989" i="9"/>
  <c r="E989" i="9"/>
  <c r="Q989" i="9" s="1"/>
  <c r="F989" i="9"/>
  <c r="G989" i="9"/>
  <c r="N989" i="9" s="1"/>
  <c r="H989" i="9"/>
  <c r="I989" i="9"/>
  <c r="R989" i="9" s="1"/>
  <c r="B989" i="9"/>
  <c r="J989" i="9"/>
  <c r="U989" i="9"/>
  <c r="P988" i="9"/>
  <c r="T988" i="9"/>
  <c r="L988" i="9"/>
  <c r="J986" i="6"/>
  <c r="G986" i="4"/>
  <c r="G987" i="6" s="1"/>
  <c r="H986" i="4"/>
  <c r="H987" i="6" s="1"/>
  <c r="C986" i="4"/>
  <c r="C987" i="6" s="1"/>
  <c r="E986" i="4"/>
  <c r="E987" i="6" s="1"/>
  <c r="F986" i="4"/>
  <c r="F987" i="6" s="1"/>
  <c r="I986" i="4"/>
  <c r="I987" i="6" s="1"/>
  <c r="A987" i="4"/>
  <c r="A988" i="6" s="1"/>
  <c r="A990" i="9" s="1"/>
  <c r="B986" i="4"/>
  <c r="B987" i="6" s="1"/>
  <c r="D986" i="4"/>
  <c r="D987" i="6" s="1"/>
  <c r="I990" i="9" l="1"/>
  <c r="R990" i="9" s="1"/>
  <c r="B990" i="9"/>
  <c r="J990" i="9"/>
  <c r="U990" i="9"/>
  <c r="C990" i="9"/>
  <c r="M990" i="9" s="1"/>
  <c r="D990" i="9"/>
  <c r="E990" i="9"/>
  <c r="Q990" i="9" s="1"/>
  <c r="F990" i="9"/>
  <c r="G990" i="9"/>
  <c r="N990" i="9" s="1"/>
  <c r="H990" i="9"/>
  <c r="L989" i="9"/>
  <c r="P989" i="9"/>
  <c r="T989" i="9"/>
  <c r="J987" i="6"/>
  <c r="F987" i="4"/>
  <c r="F988" i="6" s="1"/>
  <c r="G987" i="4"/>
  <c r="G988" i="6" s="1"/>
  <c r="B987" i="4"/>
  <c r="B988" i="6" s="1"/>
  <c r="A988" i="4"/>
  <c r="A989" i="6" s="1"/>
  <c r="A991" i="9" s="1"/>
  <c r="I987" i="4"/>
  <c r="I988" i="6" s="1"/>
  <c r="E987" i="4"/>
  <c r="E988" i="6" s="1"/>
  <c r="H987" i="4"/>
  <c r="H988" i="6" s="1"/>
  <c r="C987" i="4"/>
  <c r="C988" i="6" s="1"/>
  <c r="D987" i="4"/>
  <c r="D988" i="6" s="1"/>
  <c r="T990" i="9" l="1"/>
  <c r="L990" i="9"/>
  <c r="P990" i="9"/>
  <c r="G991" i="9"/>
  <c r="N991" i="9" s="1"/>
  <c r="H991" i="9"/>
  <c r="I991" i="9"/>
  <c r="R991" i="9" s="1"/>
  <c r="B991" i="9"/>
  <c r="J991" i="9"/>
  <c r="U991" i="9"/>
  <c r="C991" i="9"/>
  <c r="M991" i="9" s="1"/>
  <c r="D991" i="9"/>
  <c r="E991" i="9"/>
  <c r="Q991" i="9" s="1"/>
  <c r="F991" i="9"/>
  <c r="J988" i="6"/>
  <c r="E988" i="4"/>
  <c r="E989" i="6" s="1"/>
  <c r="F988" i="4"/>
  <c r="F989" i="6" s="1"/>
  <c r="I988" i="4"/>
  <c r="I989" i="6" s="1"/>
  <c r="B988" i="4"/>
  <c r="B989" i="6" s="1"/>
  <c r="C988" i="4"/>
  <c r="C989" i="6" s="1"/>
  <c r="D988" i="4"/>
  <c r="D989" i="6" s="1"/>
  <c r="A989" i="4"/>
  <c r="A990" i="6" s="1"/>
  <c r="A992" i="9" s="1"/>
  <c r="G988" i="4"/>
  <c r="G989" i="6" s="1"/>
  <c r="H988" i="4"/>
  <c r="H989" i="6" s="1"/>
  <c r="T991" i="9" l="1"/>
  <c r="L991" i="9"/>
  <c r="P991" i="9"/>
  <c r="E992" i="9"/>
  <c r="Q992" i="9" s="1"/>
  <c r="F992" i="9"/>
  <c r="G992" i="9"/>
  <c r="N992" i="9" s="1"/>
  <c r="H992" i="9"/>
  <c r="I992" i="9"/>
  <c r="R992" i="9" s="1"/>
  <c r="B992" i="9"/>
  <c r="J992" i="9"/>
  <c r="U992" i="9"/>
  <c r="C992" i="9"/>
  <c r="M992" i="9" s="1"/>
  <c r="D992" i="9"/>
  <c r="J989" i="6"/>
  <c r="D989" i="4"/>
  <c r="D990" i="6" s="1"/>
  <c r="E989" i="4"/>
  <c r="E990" i="6" s="1"/>
  <c r="H989" i="4"/>
  <c r="H990" i="6" s="1"/>
  <c r="C989" i="4"/>
  <c r="C990" i="6" s="1"/>
  <c r="F989" i="4"/>
  <c r="F990" i="6" s="1"/>
  <c r="G989" i="4"/>
  <c r="G990" i="6" s="1"/>
  <c r="I989" i="4"/>
  <c r="I990" i="6" s="1"/>
  <c r="A990" i="4"/>
  <c r="A991" i="6" s="1"/>
  <c r="A993" i="9" s="1"/>
  <c r="B989" i="4"/>
  <c r="B990" i="6" s="1"/>
  <c r="C993" i="9" l="1"/>
  <c r="M993" i="9" s="1"/>
  <c r="D993" i="9"/>
  <c r="E993" i="9"/>
  <c r="Q993" i="9" s="1"/>
  <c r="F993" i="9"/>
  <c r="G993" i="9"/>
  <c r="N993" i="9" s="1"/>
  <c r="H993" i="9"/>
  <c r="I993" i="9"/>
  <c r="R993" i="9" s="1"/>
  <c r="B993" i="9"/>
  <c r="J993" i="9"/>
  <c r="U993" i="9"/>
  <c r="P992" i="9"/>
  <c r="T992" i="9"/>
  <c r="L992" i="9"/>
  <c r="J990" i="6"/>
  <c r="C990" i="4"/>
  <c r="C991" i="6" s="1"/>
  <c r="D990" i="4"/>
  <c r="D991" i="6" s="1"/>
  <c r="G990" i="4"/>
  <c r="G991" i="6" s="1"/>
  <c r="H990" i="4"/>
  <c r="H991" i="6" s="1"/>
  <c r="I990" i="4"/>
  <c r="I991" i="6" s="1"/>
  <c r="A991" i="4"/>
  <c r="A992" i="6" s="1"/>
  <c r="A994" i="9" s="1"/>
  <c r="E990" i="4"/>
  <c r="E991" i="6" s="1"/>
  <c r="F990" i="4"/>
  <c r="F991" i="6" s="1"/>
  <c r="B990" i="4"/>
  <c r="B991" i="6" s="1"/>
  <c r="I994" i="9" l="1"/>
  <c r="R994" i="9" s="1"/>
  <c r="B994" i="9"/>
  <c r="J994" i="9"/>
  <c r="U994" i="9"/>
  <c r="C994" i="9"/>
  <c r="M994" i="9" s="1"/>
  <c r="D994" i="9"/>
  <c r="E994" i="9"/>
  <c r="Q994" i="9" s="1"/>
  <c r="F994" i="9"/>
  <c r="G994" i="9"/>
  <c r="N994" i="9" s="1"/>
  <c r="H994" i="9"/>
  <c r="L993" i="9"/>
  <c r="P993" i="9"/>
  <c r="T993" i="9"/>
  <c r="J991" i="6"/>
  <c r="B991" i="4"/>
  <c r="B992" i="6" s="1"/>
  <c r="A992" i="4"/>
  <c r="A993" i="6" s="1"/>
  <c r="A995" i="9" s="1"/>
  <c r="C991" i="4"/>
  <c r="C992" i="6" s="1"/>
  <c r="F991" i="4"/>
  <c r="F992" i="6" s="1"/>
  <c r="D991" i="4"/>
  <c r="D992" i="6" s="1"/>
  <c r="H991" i="4"/>
  <c r="H992" i="6" s="1"/>
  <c r="G991" i="4"/>
  <c r="G992" i="6" s="1"/>
  <c r="I991" i="4"/>
  <c r="I992" i="6" s="1"/>
  <c r="E991" i="4"/>
  <c r="E992" i="6" s="1"/>
  <c r="T994" i="9" l="1"/>
  <c r="L994" i="9"/>
  <c r="P994" i="9"/>
  <c r="G995" i="9"/>
  <c r="N995" i="9" s="1"/>
  <c r="H995" i="9"/>
  <c r="I995" i="9"/>
  <c r="R995" i="9" s="1"/>
  <c r="B995" i="9"/>
  <c r="J995" i="9"/>
  <c r="U995" i="9"/>
  <c r="C995" i="9"/>
  <c r="M995" i="9" s="1"/>
  <c r="D995" i="9"/>
  <c r="E995" i="9"/>
  <c r="Q995" i="9" s="1"/>
  <c r="F995" i="9"/>
  <c r="J992" i="6"/>
  <c r="I992" i="4"/>
  <c r="I993" i="6" s="1"/>
  <c r="B992" i="4"/>
  <c r="B993" i="6" s="1"/>
  <c r="A993" i="4"/>
  <c r="A994" i="6" s="1"/>
  <c r="A996" i="9" s="1"/>
  <c r="E992" i="4"/>
  <c r="E993" i="6" s="1"/>
  <c r="C992" i="4"/>
  <c r="C993" i="6" s="1"/>
  <c r="D992" i="4"/>
  <c r="D993" i="6" s="1"/>
  <c r="F992" i="4"/>
  <c r="F993" i="6" s="1"/>
  <c r="G992" i="4"/>
  <c r="G993" i="6" s="1"/>
  <c r="H992" i="4"/>
  <c r="H993" i="6" s="1"/>
  <c r="T995" i="9" l="1"/>
  <c r="L995" i="9"/>
  <c r="P995" i="9"/>
  <c r="E996" i="9"/>
  <c r="Q996" i="9" s="1"/>
  <c r="F996" i="9"/>
  <c r="G996" i="9"/>
  <c r="N996" i="9" s="1"/>
  <c r="H996" i="9"/>
  <c r="I996" i="9"/>
  <c r="R996" i="9" s="1"/>
  <c r="B996" i="9"/>
  <c r="J996" i="9"/>
  <c r="U996" i="9"/>
  <c r="C996" i="9"/>
  <c r="M996" i="9" s="1"/>
  <c r="D996" i="9"/>
  <c r="J993" i="6"/>
  <c r="H993" i="4"/>
  <c r="H994" i="6" s="1"/>
  <c r="I993" i="4"/>
  <c r="I994" i="6" s="1"/>
  <c r="D993" i="4"/>
  <c r="D994" i="6" s="1"/>
  <c r="F993" i="4"/>
  <c r="F994" i="6" s="1"/>
  <c r="G993" i="4"/>
  <c r="G994" i="6" s="1"/>
  <c r="A994" i="4"/>
  <c r="A995" i="6" s="1"/>
  <c r="A997" i="9" s="1"/>
  <c r="C993" i="4"/>
  <c r="C994" i="6" s="1"/>
  <c r="E993" i="4"/>
  <c r="E994" i="6" s="1"/>
  <c r="B993" i="4"/>
  <c r="B994" i="6" s="1"/>
  <c r="C997" i="9" l="1"/>
  <c r="M997" i="9" s="1"/>
  <c r="D997" i="9"/>
  <c r="E997" i="9"/>
  <c r="Q997" i="9" s="1"/>
  <c r="F997" i="9"/>
  <c r="G997" i="9"/>
  <c r="N997" i="9" s="1"/>
  <c r="H997" i="9"/>
  <c r="I997" i="9"/>
  <c r="R997" i="9" s="1"/>
  <c r="B997" i="9"/>
  <c r="J997" i="9"/>
  <c r="U997" i="9"/>
  <c r="P996" i="9"/>
  <c r="T996" i="9"/>
  <c r="L996" i="9"/>
  <c r="J994" i="6"/>
  <c r="G994" i="4"/>
  <c r="G995" i="6" s="1"/>
  <c r="H994" i="4"/>
  <c r="H995" i="6" s="1"/>
  <c r="C994" i="4"/>
  <c r="C995" i="6" s="1"/>
  <c r="A995" i="4"/>
  <c r="A996" i="6" s="1"/>
  <c r="A998" i="9" s="1"/>
  <c r="B994" i="4"/>
  <c r="B995" i="6" s="1"/>
  <c r="F994" i="4"/>
  <c r="F995" i="6" s="1"/>
  <c r="I994" i="4"/>
  <c r="I995" i="6" s="1"/>
  <c r="E994" i="4"/>
  <c r="E995" i="6" s="1"/>
  <c r="D994" i="4"/>
  <c r="D995" i="6" s="1"/>
  <c r="I998" i="9" l="1"/>
  <c r="R998" i="9" s="1"/>
  <c r="B998" i="9"/>
  <c r="J998" i="9"/>
  <c r="U998" i="9"/>
  <c r="C998" i="9"/>
  <c r="M998" i="9" s="1"/>
  <c r="D998" i="9"/>
  <c r="E998" i="9"/>
  <c r="Q998" i="9" s="1"/>
  <c r="F998" i="9"/>
  <c r="G998" i="9"/>
  <c r="N998" i="9" s="1"/>
  <c r="H998" i="9"/>
  <c r="L997" i="9"/>
  <c r="P997" i="9"/>
  <c r="T997" i="9"/>
  <c r="J995" i="6"/>
  <c r="F995" i="4"/>
  <c r="F996" i="6" s="1"/>
  <c r="G995" i="4"/>
  <c r="G996" i="6" s="1"/>
  <c r="B995" i="4"/>
  <c r="B996" i="6" s="1"/>
  <c r="A996" i="4"/>
  <c r="A997" i="6" s="1"/>
  <c r="A999" i="9" s="1"/>
  <c r="C995" i="4"/>
  <c r="C996" i="6" s="1"/>
  <c r="D995" i="4"/>
  <c r="D996" i="6" s="1"/>
  <c r="E995" i="4"/>
  <c r="E996" i="6" s="1"/>
  <c r="H995" i="4"/>
  <c r="H996" i="6" s="1"/>
  <c r="I995" i="4"/>
  <c r="I996" i="6" s="1"/>
  <c r="T998" i="9" l="1"/>
  <c r="L998" i="9"/>
  <c r="P998" i="9"/>
  <c r="G999" i="9"/>
  <c r="N999" i="9" s="1"/>
  <c r="H999" i="9"/>
  <c r="I999" i="9"/>
  <c r="R999" i="9" s="1"/>
  <c r="B999" i="9"/>
  <c r="J999" i="9"/>
  <c r="U999" i="9"/>
  <c r="C999" i="9"/>
  <c r="M999" i="9" s="1"/>
  <c r="D999" i="9"/>
  <c r="E999" i="9"/>
  <c r="Q999" i="9" s="1"/>
  <c r="F999" i="9"/>
  <c r="J996" i="6"/>
  <c r="E996" i="4"/>
  <c r="E997" i="6" s="1"/>
  <c r="F996" i="4"/>
  <c r="F997" i="6" s="1"/>
  <c r="I996" i="4"/>
  <c r="I997" i="6" s="1"/>
  <c r="D996" i="4"/>
  <c r="D997" i="6" s="1"/>
  <c r="G996" i="4"/>
  <c r="G997" i="6" s="1"/>
  <c r="H996" i="4"/>
  <c r="H997" i="6" s="1"/>
  <c r="A997" i="4"/>
  <c r="A998" i="6" s="1"/>
  <c r="A1000" i="9" s="1"/>
  <c r="B996" i="4"/>
  <c r="B997" i="6" s="1"/>
  <c r="C996" i="4"/>
  <c r="C997" i="6" s="1"/>
  <c r="X1009" i="9" l="1"/>
  <c r="B1009" i="9"/>
  <c r="C1010" i="9"/>
  <c r="X1010" i="9"/>
  <c r="B1011" i="9"/>
  <c r="C1011" i="9"/>
  <c r="C11" i="7" s="1"/>
  <c r="C12" i="10" s="1"/>
  <c r="M78" i="12" s="1"/>
  <c r="B1010" i="9"/>
  <c r="C1009" i="9"/>
  <c r="T999" i="9"/>
  <c r="L999" i="9"/>
  <c r="P999" i="9"/>
  <c r="E1000" i="9"/>
  <c r="Q1000" i="9" s="1"/>
  <c r="F1000" i="9"/>
  <c r="G1000" i="9"/>
  <c r="N1000" i="9" s="1"/>
  <c r="H1000" i="9"/>
  <c r="I1000" i="9"/>
  <c r="B1000" i="9"/>
  <c r="J1000" i="9"/>
  <c r="U1000" i="9"/>
  <c r="C1000" i="9"/>
  <c r="M1000" i="9" s="1"/>
  <c r="D1000" i="9"/>
  <c r="X1005" i="9"/>
  <c r="C1006" i="9"/>
  <c r="C1007" i="9"/>
  <c r="C1008" i="9"/>
  <c r="C1005" i="9"/>
  <c r="B1008" i="9"/>
  <c r="B1004" i="9"/>
  <c r="B1005" i="9"/>
  <c r="B1007" i="9"/>
  <c r="C1004" i="9"/>
  <c r="C35" i="7" s="1"/>
  <c r="B1006" i="9"/>
  <c r="C12" i="7"/>
  <c r="C13" i="10" s="1"/>
  <c r="J997" i="6"/>
  <c r="D997" i="4"/>
  <c r="D998" i="6" s="1"/>
  <c r="E997" i="4"/>
  <c r="E998" i="6" s="1"/>
  <c r="H997" i="4"/>
  <c r="H998" i="6" s="1"/>
  <c r="I997" i="4"/>
  <c r="I998" i="6" s="1"/>
  <c r="A998" i="4"/>
  <c r="A999" i="6" s="1"/>
  <c r="F997" i="4"/>
  <c r="F998" i="6" s="1"/>
  <c r="C997" i="4"/>
  <c r="C998" i="6" s="1"/>
  <c r="G997" i="4"/>
  <c r="G998" i="6" s="1"/>
  <c r="B997" i="4"/>
  <c r="B998" i="6" s="1"/>
  <c r="D1010" i="9" l="1"/>
  <c r="R1000" i="9"/>
  <c r="I48" i="3" a="1"/>
  <c r="I48" i="3" s="1"/>
  <c r="G48" i="3" a="1"/>
  <c r="G48" i="3" s="1"/>
  <c r="D1008" i="9"/>
  <c r="D1009" i="9"/>
  <c r="D1011" i="9"/>
  <c r="X1006" i="9"/>
  <c r="B8" i="12" s="1"/>
  <c r="D1004" i="9"/>
  <c r="P1000" i="9"/>
  <c r="T1000" i="9"/>
  <c r="L1000" i="9"/>
  <c r="E29" i="10"/>
  <c r="J8" i="12"/>
  <c r="Q1" i="12"/>
  <c r="N13" i="12"/>
  <c r="C11" i="10"/>
  <c r="M77" i="12" s="1"/>
  <c r="B7" i="12"/>
  <c r="B35" i="7"/>
  <c r="B11" i="7"/>
  <c r="B12" i="7"/>
  <c r="J998" i="6"/>
  <c r="C998" i="4"/>
  <c r="C999" i="6" s="1"/>
  <c r="D998" i="4"/>
  <c r="D999" i="6" s="1"/>
  <c r="G998" i="4"/>
  <c r="G999" i="6" s="1"/>
  <c r="B998" i="4"/>
  <c r="B999" i="6" s="1"/>
  <c r="E998" i="4"/>
  <c r="E999" i="6" s="1"/>
  <c r="I998" i="4"/>
  <c r="I999" i="6" s="1"/>
  <c r="A999" i="4"/>
  <c r="A1000" i="6" s="1"/>
  <c r="M6" i="6" s="1"/>
  <c r="H998" i="4"/>
  <c r="H999" i="6" s="1"/>
  <c r="F998" i="4"/>
  <c r="F999" i="6" s="1"/>
  <c r="M4" i="6" l="1"/>
  <c r="M5" i="6"/>
  <c r="G36" i="3"/>
  <c r="G37" i="3"/>
  <c r="I37" i="3"/>
  <c r="X1007" i="9"/>
  <c r="X1008" i="9" s="1"/>
  <c r="G40" i="3"/>
  <c r="I40" i="3"/>
  <c r="G41" i="3"/>
  <c r="I41" i="3"/>
  <c r="B13" i="10"/>
  <c r="D13" i="10" s="1"/>
  <c r="E13" i="10"/>
  <c r="D12" i="7"/>
  <c r="B12" i="10"/>
  <c r="D11" i="7"/>
  <c r="H48" i="7"/>
  <c r="J7" i="12"/>
  <c r="J999" i="6"/>
  <c r="B11" i="10"/>
  <c r="N14" i="12"/>
  <c r="D35" i="7"/>
  <c r="E11" i="10"/>
  <c r="N12" i="12"/>
  <c r="B29" i="10"/>
  <c r="F13" i="8"/>
  <c r="F10" i="8"/>
  <c r="E47" i="7"/>
  <c r="B6" i="7"/>
  <c r="G8" i="8"/>
  <c r="B1005" i="6"/>
  <c r="F36" i="8"/>
  <c r="J1003" i="6"/>
  <c r="E11" i="8"/>
  <c r="F24" i="8"/>
  <c r="C13" i="8"/>
  <c r="B10" i="8"/>
  <c r="D1004" i="6"/>
  <c r="H9" i="3" s="1"/>
  <c r="C1002" i="6"/>
  <c r="F22" i="8"/>
  <c r="F17" i="8"/>
  <c r="F42" i="7"/>
  <c r="B37" i="7"/>
  <c r="B21" i="10" s="1"/>
  <c r="B8" i="8"/>
  <c r="B13" i="8"/>
  <c r="F1006" i="6"/>
  <c r="H1003" i="6"/>
  <c r="C1006" i="6"/>
  <c r="I1007" i="6"/>
  <c r="E8" i="8"/>
  <c r="C8" i="8"/>
  <c r="G1008" i="6"/>
  <c r="B27" i="7"/>
  <c r="F30" i="8"/>
  <c r="F25" i="8"/>
  <c r="D8" i="8"/>
  <c r="E1005" i="6"/>
  <c r="B10" i="7"/>
  <c r="C1005" i="6"/>
  <c r="G11" i="8"/>
  <c r="F19" i="8"/>
  <c r="B29" i="7"/>
  <c r="D11" i="8"/>
  <c r="H7" i="8"/>
  <c r="F29" i="8"/>
  <c r="J1002" i="6"/>
  <c r="F9" i="8"/>
  <c r="F12" i="8"/>
  <c r="H1002" i="6"/>
  <c r="B13" i="7"/>
  <c r="F1005" i="6"/>
  <c r="B1003" i="6"/>
  <c r="F20" i="8"/>
  <c r="E44" i="7"/>
  <c r="E10" i="8"/>
  <c r="G1006" i="6"/>
  <c r="C11" i="8"/>
  <c r="H12" i="8"/>
  <c r="H1005" i="6"/>
  <c r="G13" i="8"/>
  <c r="F43" i="7"/>
  <c r="C8" i="7"/>
  <c r="D1002" i="6"/>
  <c r="G1002" i="6"/>
  <c r="E46" i="7"/>
  <c r="F44" i="7"/>
  <c r="B14" i="7"/>
  <c r="B7" i="8"/>
  <c r="H9" i="8"/>
  <c r="C1007" i="6"/>
  <c r="G7" i="8"/>
  <c r="B11" i="8"/>
  <c r="D12" i="8"/>
  <c r="F28" i="8"/>
  <c r="B36" i="7"/>
  <c r="B20" i="10" s="1"/>
  <c r="F41" i="7"/>
  <c r="C7" i="8"/>
  <c r="F1007" i="6"/>
  <c r="F31" i="8"/>
  <c r="C9" i="8"/>
  <c r="C9" i="7"/>
  <c r="D1006" i="6"/>
  <c r="E1004" i="6"/>
  <c r="H10" i="3" s="1"/>
  <c r="I1006" i="6"/>
  <c r="F47" i="7"/>
  <c r="F1003" i="6"/>
  <c r="C14" i="7"/>
  <c r="E43" i="7"/>
  <c r="E41" i="7"/>
  <c r="I1003" i="6"/>
  <c r="B1002" i="6"/>
  <c r="F34" i="8"/>
  <c r="F37" i="8"/>
  <c r="F46" i="7"/>
  <c r="J1007" i="6"/>
  <c r="D1007" i="6"/>
  <c r="E1006" i="6"/>
  <c r="D9" i="8"/>
  <c r="H1004" i="6"/>
  <c r="H13" i="3" s="1"/>
  <c r="F45" i="7"/>
  <c r="D7" i="8"/>
  <c r="F23" i="8"/>
  <c r="C6" i="7"/>
  <c r="F33" i="8"/>
  <c r="C1008" i="6"/>
  <c r="G1005" i="6"/>
  <c r="E1002" i="6"/>
  <c r="C13" i="7"/>
  <c r="B15" i="7"/>
  <c r="C7" i="7"/>
  <c r="H13" i="8"/>
  <c r="B1008" i="6"/>
  <c r="H11" i="8"/>
  <c r="I1008" i="6"/>
  <c r="E45" i="7"/>
  <c r="E1007" i="6"/>
  <c r="D1003" i="6"/>
  <c r="F1002" i="6"/>
  <c r="F8" i="8"/>
  <c r="B9" i="2"/>
  <c r="B9" i="1" s="1"/>
  <c r="E42" i="7"/>
  <c r="C12" i="8"/>
  <c r="G10" i="8"/>
  <c r="G1003" i="6"/>
  <c r="D13" i="8"/>
  <c r="H10" i="8"/>
  <c r="G1004" i="6"/>
  <c r="H12" i="3" s="1"/>
  <c r="F35" i="8"/>
  <c r="F7" i="8"/>
  <c r="B1006" i="6"/>
  <c r="B22" i="7"/>
  <c r="J1005" i="6"/>
  <c r="C22" i="7"/>
  <c r="F27" i="8"/>
  <c r="B30" i="7"/>
  <c r="F1004" i="6"/>
  <c r="H11" i="3" s="1"/>
  <c r="B1004" i="6"/>
  <c r="H7" i="3" s="1"/>
  <c r="B9" i="7"/>
  <c r="C1004" i="6"/>
  <c r="H8" i="3" s="1"/>
  <c r="F32" i="8"/>
  <c r="E1008" i="6"/>
  <c r="E12" i="8"/>
  <c r="E9" i="8"/>
  <c r="B9" i="8"/>
  <c r="B1007" i="6"/>
  <c r="F26" i="8"/>
  <c r="J1006" i="6"/>
  <c r="J1008" i="6"/>
  <c r="H1008" i="6"/>
  <c r="C10" i="7"/>
  <c r="G12" i="8"/>
  <c r="I1002" i="6"/>
  <c r="E1003" i="6"/>
  <c r="G1007" i="6"/>
  <c r="F18" i="8"/>
  <c r="J1004" i="6"/>
  <c r="F11" i="8"/>
  <c r="H1007" i="6"/>
  <c r="C10" i="8"/>
  <c r="H1006" i="6"/>
  <c r="F21" i="8"/>
  <c r="H8" i="8"/>
  <c r="E7" i="8"/>
  <c r="D10" i="8"/>
  <c r="C15" i="7"/>
  <c r="C19" i="10" s="1"/>
  <c r="B12" i="8"/>
  <c r="I1004" i="6"/>
  <c r="I1005" i="6"/>
  <c r="C1003" i="6"/>
  <c r="B28" i="7"/>
  <c r="D1005" i="6"/>
  <c r="D1008" i="6"/>
  <c r="G9" i="8"/>
  <c r="B8" i="7"/>
  <c r="D8" i="7" s="1"/>
  <c r="F1008" i="6"/>
  <c r="B7" i="7"/>
  <c r="E13" i="8"/>
  <c r="B999" i="4"/>
  <c r="B1000" i="6" s="1"/>
  <c r="A1000" i="4"/>
  <c r="C999" i="4"/>
  <c r="C1000" i="6" s="1"/>
  <c r="F999" i="4"/>
  <c r="F1000" i="6" s="1"/>
  <c r="D999" i="4"/>
  <c r="D1000" i="6" s="1"/>
  <c r="E999" i="4"/>
  <c r="E1000" i="6" s="1"/>
  <c r="G999" i="4"/>
  <c r="G1000" i="6" s="1"/>
  <c r="H999" i="4"/>
  <c r="H1000" i="6" s="1"/>
  <c r="I999" i="4"/>
  <c r="I1000" i="6" s="1"/>
  <c r="I43" i="3" l="1"/>
  <c r="G42" i="3"/>
  <c r="G43" i="3"/>
  <c r="I42" i="3"/>
  <c r="G7" i="3" a="1"/>
  <c r="G7" i="3" s="1"/>
  <c r="I33" i="3"/>
  <c r="F13" i="3"/>
  <c r="G12" i="3" a="1"/>
  <c r="G12" i="3" s="1"/>
  <c r="F9" i="3"/>
  <c r="G8" i="3" a="1"/>
  <c r="G8" i="3" s="1"/>
  <c r="F12" i="3"/>
  <c r="G33" i="3"/>
  <c r="G11" i="3" a="1"/>
  <c r="G11" i="3" s="1"/>
  <c r="G10" i="3" a="1"/>
  <c r="G10" i="3" s="1"/>
  <c r="F8" i="3"/>
  <c r="F7" i="3"/>
  <c r="F10" i="3"/>
  <c r="F11" i="3"/>
  <c r="G13" i="3" a="1"/>
  <c r="G13" i="3" s="1"/>
  <c r="G35" i="3" a="1"/>
  <c r="G35" i="3" s="1"/>
  <c r="I35" i="3" s="1"/>
  <c r="G9" i="3" a="1"/>
  <c r="G9" i="3" s="1"/>
  <c r="I36" i="3"/>
  <c r="D7" i="7"/>
  <c r="D12" i="10"/>
  <c r="J78" i="12"/>
  <c r="P78" i="12" s="1"/>
  <c r="J77" i="12"/>
  <c r="P77" i="12" s="1"/>
  <c r="D11" i="10"/>
  <c r="J1000" i="6"/>
  <c r="Y60" i="12"/>
  <c r="H19" i="11"/>
  <c r="C7" i="11"/>
  <c r="D7" i="11" s="1"/>
  <c r="C42" i="7"/>
  <c r="D22" i="7"/>
  <c r="X62" i="12"/>
  <c r="G21" i="11"/>
  <c r="C47" i="7"/>
  <c r="C12" i="11"/>
  <c r="D12" i="11" s="1"/>
  <c r="C44" i="7"/>
  <c r="C9" i="11"/>
  <c r="D9" i="11" s="1"/>
  <c r="D14" i="7"/>
  <c r="C34" i="11"/>
  <c r="D47" i="7"/>
  <c r="D45" i="7"/>
  <c r="C32" i="11"/>
  <c r="D22" i="11"/>
  <c r="U63" i="12"/>
  <c r="I25" i="8"/>
  <c r="G25" i="8"/>
  <c r="A25" i="8"/>
  <c r="A36" i="8"/>
  <c r="I36" i="8"/>
  <c r="G36" i="8"/>
  <c r="V65" i="12"/>
  <c r="E24" i="11"/>
  <c r="G21" i="8"/>
  <c r="A21" i="8"/>
  <c r="I21" i="8"/>
  <c r="G26" i="8"/>
  <c r="A26" i="8"/>
  <c r="I26" i="8"/>
  <c r="E6" i="10"/>
  <c r="D9" i="7"/>
  <c r="B31" i="7"/>
  <c r="B14" i="10" s="1"/>
  <c r="B34" i="7"/>
  <c r="B16" i="10" s="1"/>
  <c r="Q73" i="12"/>
  <c r="B14" i="12"/>
  <c r="B23" i="7"/>
  <c r="B25" i="10"/>
  <c r="B6" i="10"/>
  <c r="C48" i="7"/>
  <c r="B12" i="12"/>
  <c r="B20" i="7"/>
  <c r="B21" i="7"/>
  <c r="B33" i="7"/>
  <c r="E15" i="10" s="1"/>
  <c r="E25" i="10"/>
  <c r="T64" i="12"/>
  <c r="C23" i="11"/>
  <c r="C33" i="11"/>
  <c r="D46" i="7"/>
  <c r="D20" i="11"/>
  <c r="U61" i="12"/>
  <c r="I28" i="8"/>
  <c r="G28" i="8"/>
  <c r="A28" i="8"/>
  <c r="H23" i="11"/>
  <c r="Y64" i="12"/>
  <c r="D13" i="7"/>
  <c r="B18" i="10"/>
  <c r="A55" i="7"/>
  <c r="A30" i="8"/>
  <c r="I30" i="8"/>
  <c r="G30" i="8"/>
  <c r="C8" i="11"/>
  <c r="D8" i="11" s="1"/>
  <c r="C43" i="7"/>
  <c r="U62" i="12"/>
  <c r="D21" i="11"/>
  <c r="C6" i="11"/>
  <c r="D6" i="11" s="1"/>
  <c r="C41" i="7"/>
  <c r="F18" i="11"/>
  <c r="W59" i="12"/>
  <c r="Y63" i="12"/>
  <c r="H22" i="11"/>
  <c r="C23" i="7"/>
  <c r="C9" i="10" s="1"/>
  <c r="C20" i="7"/>
  <c r="C34" i="7"/>
  <c r="C16" i="10" s="1"/>
  <c r="C6" i="10"/>
  <c r="M74" i="12" s="1"/>
  <c r="C21" i="7"/>
  <c r="B13" i="12"/>
  <c r="U64" i="12"/>
  <c r="D23" i="11"/>
  <c r="T63" i="12"/>
  <c r="C22" i="11"/>
  <c r="A19" i="8"/>
  <c r="I19" i="8"/>
  <c r="G19" i="8"/>
  <c r="E48" i="7"/>
  <c r="J14" i="12"/>
  <c r="B10" i="10"/>
  <c r="J79" i="12" s="1"/>
  <c r="E26" i="10"/>
  <c r="B26" i="10"/>
  <c r="J12" i="12"/>
  <c r="A51" i="7"/>
  <c r="E10" i="10"/>
  <c r="B32" i="7"/>
  <c r="R13" i="12" s="1"/>
  <c r="S65" i="12"/>
  <c r="B24" i="11"/>
  <c r="C28" i="11"/>
  <c r="D41" i="7"/>
  <c r="C21" i="11"/>
  <c r="T62" i="12"/>
  <c r="G23" i="11"/>
  <c r="X64" i="12"/>
  <c r="S61" i="12"/>
  <c r="B20" i="11"/>
  <c r="C10" i="11"/>
  <c r="D10" i="11" s="1"/>
  <c r="C45" i="7"/>
  <c r="A35" i="8"/>
  <c r="G35" i="8"/>
  <c r="I35" i="8"/>
  <c r="G33" i="8"/>
  <c r="A33" i="8"/>
  <c r="I33" i="8"/>
  <c r="C20" i="11"/>
  <c r="T61" i="12"/>
  <c r="B22" i="11"/>
  <c r="S63" i="12"/>
  <c r="F23" i="11"/>
  <c r="W64" i="12"/>
  <c r="G22" i="11"/>
  <c r="X63" i="12"/>
  <c r="B19" i="11"/>
  <c r="S60" i="12"/>
  <c r="S62" i="12"/>
  <c r="B21" i="11"/>
  <c r="X60" i="12"/>
  <c r="G19" i="11"/>
  <c r="X61" i="12"/>
  <c r="G20" i="11"/>
  <c r="C7" i="10"/>
  <c r="M75" i="12" s="1"/>
  <c r="V13" i="12"/>
  <c r="E20" i="11"/>
  <c r="V61" i="12"/>
  <c r="C46" i="7"/>
  <c r="C11" i="11"/>
  <c r="D11" i="11" s="1"/>
  <c r="F19" i="11"/>
  <c r="W60" i="12"/>
  <c r="H24" i="11"/>
  <c r="Y65" i="12"/>
  <c r="G31" i="8"/>
  <c r="A31" i="8"/>
  <c r="I31" i="8"/>
  <c r="G18" i="11"/>
  <c r="X59" i="12"/>
  <c r="E21" i="11"/>
  <c r="V62" i="12"/>
  <c r="W61" i="12"/>
  <c r="F20" i="11"/>
  <c r="C29" i="11"/>
  <c r="D42" i="7"/>
  <c r="C19" i="11"/>
  <c r="T60" i="12"/>
  <c r="T65" i="12"/>
  <c r="C24" i="11"/>
  <c r="B34" i="10"/>
  <c r="B40" i="10"/>
  <c r="S64" i="12"/>
  <c r="B23" i="11"/>
  <c r="F22" i="11"/>
  <c r="W63" i="12"/>
  <c r="E23" i="11"/>
  <c r="V64" i="12"/>
  <c r="A27" i="8"/>
  <c r="I27" i="8"/>
  <c r="G27" i="8"/>
  <c r="H21" i="11"/>
  <c r="Y62" i="12"/>
  <c r="G23" i="8"/>
  <c r="A23" i="8"/>
  <c r="I23" i="8"/>
  <c r="B40" i="11"/>
  <c r="D48" i="7"/>
  <c r="B7" i="10"/>
  <c r="V12" i="12"/>
  <c r="E28" i="10"/>
  <c r="B28" i="10"/>
  <c r="E7" i="10"/>
  <c r="V14" i="12"/>
  <c r="D10" i="7"/>
  <c r="A54" i="7"/>
  <c r="E19" i="11"/>
  <c r="V60" i="12"/>
  <c r="G24" i="8"/>
  <c r="I24" i="8"/>
  <c r="A24" i="8"/>
  <c r="C30" i="11"/>
  <c r="D43" i="7"/>
  <c r="D24" i="11"/>
  <c r="U65" i="12"/>
  <c r="B19" i="10"/>
  <c r="D19" i="10" s="1"/>
  <c r="D15" i="7"/>
  <c r="U59" i="12"/>
  <c r="D18" i="11"/>
  <c r="A37" i="8"/>
  <c r="I37" i="8"/>
  <c r="G37" i="8"/>
  <c r="C18" i="11"/>
  <c r="T59" i="12"/>
  <c r="Y61" i="12"/>
  <c r="H20" i="11"/>
  <c r="G20" i="8"/>
  <c r="I20" i="8"/>
  <c r="A20" i="8"/>
  <c r="A29" i="8"/>
  <c r="G29" i="8"/>
  <c r="I29" i="8"/>
  <c r="C31" i="11"/>
  <c r="D44" i="7"/>
  <c r="C44" i="8"/>
  <c r="C41" i="8"/>
  <c r="I17" i="8"/>
  <c r="B41" i="8"/>
  <c r="B43" i="8"/>
  <c r="G17" i="8"/>
  <c r="B42" i="8"/>
  <c r="B44" i="8"/>
  <c r="C42" i="8"/>
  <c r="B46" i="8"/>
  <c r="B45" i="8"/>
  <c r="A17" i="8"/>
  <c r="E22" i="11"/>
  <c r="V63" i="12"/>
  <c r="F21" i="11"/>
  <c r="W62" i="12"/>
  <c r="B17" i="10"/>
  <c r="F48" i="7"/>
  <c r="V59" i="12"/>
  <c r="E18" i="11"/>
  <c r="G18" i="8"/>
  <c r="I18" i="8"/>
  <c r="A18" i="8"/>
  <c r="A32" i="8"/>
  <c r="I32" i="8"/>
  <c r="G32" i="8"/>
  <c r="I34" i="8"/>
  <c r="G34" i="8"/>
  <c r="A34" i="8"/>
  <c r="B18" i="11"/>
  <c r="S59" i="12"/>
  <c r="G24" i="11"/>
  <c r="X65" i="12"/>
  <c r="Y59" i="12"/>
  <c r="H18" i="11"/>
  <c r="D19" i="11"/>
  <c r="U60" i="12"/>
  <c r="G22" i="8"/>
  <c r="I22" i="8"/>
  <c r="A22" i="8"/>
  <c r="W65" i="12"/>
  <c r="F24" i="11"/>
  <c r="I1000" i="4"/>
  <c r="B1000" i="4"/>
  <c r="A1002" i="4" s="1"/>
  <c r="E1000" i="4"/>
  <c r="G1000" i="4"/>
  <c r="H1000" i="4"/>
  <c r="D1000" i="4"/>
  <c r="F1000" i="4"/>
  <c r="C1000" i="4"/>
  <c r="G34" i="3" l="1"/>
  <c r="I34" i="3" s="1"/>
  <c r="B63" i="1" s="1"/>
  <c r="G46" i="7"/>
  <c r="J12" i="3"/>
  <c r="F11" i="11"/>
  <c r="G11" i="11" s="1"/>
  <c r="H46" i="7"/>
  <c r="J10" i="3"/>
  <c r="H44" i="7"/>
  <c r="F9" i="11"/>
  <c r="G9" i="11" s="1"/>
  <c r="J9" i="3"/>
  <c r="H43" i="7"/>
  <c r="F8" i="11"/>
  <c r="G8" i="11" s="1"/>
  <c r="J11" i="3"/>
  <c r="F10" i="11"/>
  <c r="G10" i="11" s="1"/>
  <c r="H45" i="7"/>
  <c r="J7" i="3"/>
  <c r="F6" i="11"/>
  <c r="G6" i="11" s="1"/>
  <c r="H41" i="7"/>
  <c r="G47" i="3" a="1"/>
  <c r="G47" i="3" s="1"/>
  <c r="I47" i="3" a="1"/>
  <c r="I47" i="3" s="1"/>
  <c r="J13" i="3"/>
  <c r="H47" i="7"/>
  <c r="F12" i="11"/>
  <c r="G12" i="11" s="1"/>
  <c r="J8" i="3"/>
  <c r="F7" i="11"/>
  <c r="G7" i="11" s="1"/>
  <c r="H42" i="7"/>
  <c r="G47" i="7"/>
  <c r="B36" i="10"/>
  <c r="D33" i="11"/>
  <c r="E33" i="11" s="1"/>
  <c r="E11" i="11"/>
  <c r="G45" i="7"/>
  <c r="D31" i="11"/>
  <c r="E31" i="11" s="1"/>
  <c r="D20" i="7"/>
  <c r="D16" i="10"/>
  <c r="D32" i="11"/>
  <c r="E32" i="11" s="1"/>
  <c r="F13" i="12"/>
  <c r="C8" i="10"/>
  <c r="M76" i="12" s="1"/>
  <c r="G43" i="7"/>
  <c r="E8" i="11"/>
  <c r="E9" i="11"/>
  <c r="D29" i="11"/>
  <c r="E29" i="11" s="1"/>
  <c r="G41" i="7"/>
  <c r="J74" i="12"/>
  <c r="P74" i="12" s="1"/>
  <c r="D6" i="10"/>
  <c r="G44" i="7"/>
  <c r="G42" i="7"/>
  <c r="D28" i="11"/>
  <c r="E28" i="11" s="1"/>
  <c r="E10" i="11"/>
  <c r="B39" i="11"/>
  <c r="N12" i="11"/>
  <c r="M12" i="11" s="1"/>
  <c r="A47" i="11"/>
  <c r="N11" i="11"/>
  <c r="M11" i="11" s="1"/>
  <c r="A46" i="11"/>
  <c r="E6" i="11"/>
  <c r="N9" i="11"/>
  <c r="M9" i="11" s="1"/>
  <c r="N8" i="11"/>
  <c r="M8" i="11" s="1"/>
  <c r="N10" i="11"/>
  <c r="M10" i="11" s="1"/>
  <c r="D13" i="11"/>
  <c r="D14" i="11" s="1"/>
  <c r="N7" i="11"/>
  <c r="M7" i="11" s="1"/>
  <c r="N6" i="11"/>
  <c r="M6" i="11" s="1"/>
  <c r="B38" i="10"/>
  <c r="E12" i="11"/>
  <c r="E7" i="11"/>
  <c r="D30" i="11"/>
  <c r="E30" i="11" s="1"/>
  <c r="D34" i="11"/>
  <c r="E34" i="11" s="1"/>
  <c r="B9" i="10"/>
  <c r="D9" i="10" s="1"/>
  <c r="D23" i="7"/>
  <c r="E31" i="10"/>
  <c r="A52" i="7"/>
  <c r="B31" i="10"/>
  <c r="B15" i="10"/>
  <c r="R14" i="12"/>
  <c r="R12" i="12"/>
  <c r="D7" i="10"/>
  <c r="J75" i="12"/>
  <c r="P75" i="12" s="1"/>
  <c r="E8" i="10"/>
  <c r="B8" i="10"/>
  <c r="B35" i="10"/>
  <c r="E27" i="10"/>
  <c r="D21" i="7"/>
  <c r="B27" i="10"/>
  <c r="A53" i="7"/>
  <c r="F14" i="12"/>
  <c r="G48" i="7"/>
  <c r="F12" i="12"/>
  <c r="Q76" i="12"/>
  <c r="G13" i="11" l="1"/>
  <c r="J14" i="3"/>
  <c r="G44" i="3"/>
  <c r="I44" i="3"/>
  <c r="F33" i="11"/>
  <c r="G33" i="11" s="1"/>
  <c r="F34" i="11"/>
  <c r="G34" i="11" s="1"/>
  <c r="F32" i="11"/>
  <c r="G32" i="11" s="1"/>
  <c r="D8" i="10"/>
  <c r="J76" i="12"/>
  <c r="P76" i="12" s="1"/>
  <c r="E14" i="11"/>
  <c r="B43" i="11"/>
  <c r="B42" i="11"/>
  <c r="B41" i="11"/>
  <c r="A49" i="11"/>
  <c r="E30" i="10"/>
  <c r="F29" i="11"/>
  <c r="G29" i="11" s="1"/>
  <c r="F30" i="11"/>
  <c r="G30" i="11" s="1"/>
  <c r="F31" i="11"/>
  <c r="G31" i="11" s="1"/>
  <c r="E35" i="11"/>
  <c r="E36" i="11" s="1"/>
  <c r="F28" i="11"/>
  <c r="E13" i="11"/>
  <c r="G45" i="3" l="1"/>
  <c r="I45" i="3"/>
  <c r="G53" i="3" s="1"/>
  <c r="G28" i="11"/>
  <c r="F35" i="11"/>
  <c r="A48" i="11"/>
  <c r="B39" i="10"/>
  <c r="B30" i="10"/>
  <c r="B37" i="10"/>
  <c r="Q79" i="12"/>
  <c r="F36" i="11"/>
  <c r="I5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1D378-4F5D-44CD-AE02-FFBD3CE59C84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8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8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</valueMetadata>
</metadata>
</file>

<file path=xl/sharedStrings.xml><?xml version="1.0" encoding="utf-8"?>
<sst xmlns="http://schemas.openxmlformats.org/spreadsheetml/2006/main" count="847" uniqueCount="521">
  <si>
    <t>Ticker →</t>
  </si>
  <si>
    <t>RELIANCE.NS</t>
  </si>
  <si>
    <t>BHARTIARTL.NS</t>
  </si>
  <si>
    <t>HDFCBANK.NS</t>
  </si>
  <si>
    <t>LT.NS</t>
  </si>
  <si>
    <t>CIPLA.NS</t>
  </si>
  <si>
    <t>MARUTI.NS</t>
  </si>
  <si>
    <t>HCLTECH.NS</t>
  </si>
  <si>
    <t>^NSEI</t>
  </si>
  <si>
    <t>Date</t>
  </si>
  <si>
    <t>Reliance Industries</t>
  </si>
  <si>
    <t>Bharti Airtel</t>
  </si>
  <si>
    <t>HDFC Bank</t>
  </si>
  <si>
    <t>Larsen &amp; Toubro</t>
  </si>
  <si>
    <t>Cipla</t>
  </si>
  <si>
    <t>Maruti Suzuki</t>
  </si>
  <si>
    <t>HCL Technologies</t>
  </si>
  <si>
    <t>NIFTY 50</t>
  </si>
  <si>
    <t xml:space="preserve">  PERSONAL PORTFOLIO ANALYSIS</t>
  </si>
  <si>
    <t xml:space="preserve">  Indian Equity Portfolio vs NIFTY 50   ·   7 holdings   ·   weekly data   ·   Excel 365</t>
  </si>
  <si>
    <t>PORTFOLIO OBJECTIVE</t>
  </si>
  <si>
    <t>Objective</t>
  </si>
  <si>
    <t>Measure return, risk, risk-adjusted return, systematic risk (beta/alpha), diversification and drawdown for a seven-stock Indian equity book against the NIFTY 50 — from one weekly return series, with every figure a live formula.</t>
  </si>
  <si>
    <t>KEY FACTS</t>
  </si>
  <si>
    <t>Benchmark</t>
  </si>
  <si>
    <t>NIFTY 50 (^NSEI) — price index</t>
  </si>
  <si>
    <t>Analysis period</t>
  </si>
  <si>
    <t>Data frequency</t>
  </si>
  <si>
    <t>Weekly (Monday week-start), adjusted close</t>
  </si>
  <si>
    <t>Risk-free rate</t>
  </si>
  <si>
    <t>Holdings / sectors</t>
  </si>
  <si>
    <t>7 holdings across 7 sectors, static target weights, no rebalancing drift</t>
  </si>
  <si>
    <t>PORTFOLIO HOLDINGS  &amp;  WEIGHTS</t>
  </si>
  <si>
    <t>#</t>
  </si>
  <si>
    <t>Ticker</t>
  </si>
  <si>
    <t>Company</t>
  </si>
  <si>
    <t>Sector</t>
  </si>
  <si>
    <t>Weight</t>
  </si>
  <si>
    <t>Energy / Conglomerate</t>
  </si>
  <si>
    <t>Telecom</t>
  </si>
  <si>
    <t>Banking</t>
  </si>
  <si>
    <t>Industrials / Infrastructure</t>
  </si>
  <si>
    <t>Pharmaceuticals</t>
  </si>
  <si>
    <t>Automobile</t>
  </si>
  <si>
    <t>Information Technology</t>
  </si>
  <si>
    <t>TOTAL — must equal 100%</t>
  </si>
  <si>
    <t>METRICS CALCULATED</t>
  </si>
  <si>
    <t>Return &amp; risk</t>
  </si>
  <si>
    <t>Weekly return, annualised return (×52), annualised volatility (×√52), cumulative return and growth of ₹100 — for the portfolio and NIFTY 50 alike.</t>
  </si>
  <si>
    <t>Risk-adjusted</t>
  </si>
  <si>
    <t>Sharpe, Sortino and Treynor ratios on a documented, editable risk-free rate; beta, R² and CAPM-based Jensen's alpha vs NIFTY 50.</t>
  </si>
  <si>
    <t>Diversification &amp; drawdown</t>
  </si>
  <si>
    <t>7×7 correlation matrix on returns, running-peak drawdown engine, and return / risk contribution by holding via covariance decomposition.</t>
  </si>
  <si>
    <t>WORKBOOK NAVIGATION</t>
  </si>
  <si>
    <t>Overview</t>
  </si>
  <si>
    <t>This page — objective, holdings, methodology snapshot and navigation</t>
  </si>
  <si>
    <t>Inputs</t>
  </si>
  <si>
    <t>Every assumption and lever: risk-free rate, annualisation factor, data provenance</t>
  </si>
  <si>
    <t>Holdings</t>
  </si>
  <si>
    <t>Holdings table, weight check, sector allocation, full model quality checks</t>
  </si>
  <si>
    <t>Prices</t>
  </si>
  <si>
    <t>Rolling ~2-year dynamic price lookup layer (STOCKHISTORY-fed via Market_Data) — no calculations, no hardcoded prices</t>
  </si>
  <si>
    <t>Returns</t>
  </si>
  <si>
    <t>Weekly return series per security, benchmark and weighted portfolio — 100% formulas</t>
  </si>
  <si>
    <t>Risk_Analysis</t>
  </si>
  <si>
    <t>Return, volatility, Sharpe, Sortino, beta, alpha, Treynor, capture, per-security stats</t>
  </si>
  <si>
    <t>Correlation</t>
  </si>
  <si>
    <t>7×7 matrix, ranked pairwise ladder, diversification diagnostics</t>
  </si>
  <si>
    <t>Drawdown</t>
  </si>
  <si>
    <t>Growth of ₹100, running peak and drawdown for portfolio and index</t>
  </si>
  <si>
    <t>Head-to-head comparison, the six key questions, analyst commentary</t>
  </si>
  <si>
    <t>Contribution</t>
  </si>
  <si>
    <t>Return and risk attribution by holding</t>
  </si>
  <si>
    <t>Dashboard</t>
  </si>
  <si>
    <t>One-page premium factsheet — KPIs, charts, heatmap, insights</t>
  </si>
  <si>
    <t>MODEL ASSUMPTIONS</t>
  </si>
  <si>
    <t>Construction &amp; costs</t>
  </si>
  <si>
    <t>Static target weights, no rebalancing drift, no transaction costs, taxes or dividend tax. Simple (not log) weekly returns; arithmetic annualisation (×52 / ×√52) shown alongside compounded cumulative return.</t>
  </si>
  <si>
    <t>Risk-free &amp; benchmark</t>
  </si>
  <si>
    <t>Risk-free rate is a single editable input (India 10Y G-Sec, documented on Inputs) held constant over the window. NIFTY 50 price index is used, not the TRI — see limitations. Benchmark source is Power Query (primary, once set up — Market_Data §3) with a documented emergency static fallback, never STOCKHISTORY (tested, confirmed not to resolve for this index).</t>
  </si>
  <si>
    <t>LIMITATIONS</t>
  </si>
  <si>
    <t>Sample &amp; regime risk</t>
  </si>
  <si>
    <t>Two years of weekly data is a short, single-regime sample; correlations measured here are a calm-market figure that compresses under stress. Beta and alpha are specific to this window.</t>
  </si>
  <si>
    <t>Excluded costs &amp; bias</t>
  </si>
  <si>
    <t>Transaction costs, taxes and slippage are excluded; the NIFTY 50 TRI (not the price index used here) would be a harder, more realistic benchmark. Historical results do not predict future returns.</t>
  </si>
  <si>
    <t>MODEL STATUS</t>
  </si>
  <si>
    <t>Quality control</t>
  </si>
  <si>
    <t>DATA STATUS</t>
  </si>
  <si>
    <t>Data source</t>
  </si>
  <si>
    <t>Analysis window</t>
  </si>
  <si>
    <t>Rolling ~2 years — the date range itself moves forward every time the workbook recalculates (never a fixed range)</t>
  </si>
  <si>
    <t>Frequency</t>
  </si>
  <si>
    <t>Weekly</t>
  </si>
  <si>
    <t>Data mode</t>
  </si>
  <si>
    <t>Dynamic / Refreshable Portfolio Analytics Model — NOT real-time. Prices update on open/recalculation with an active Excel 365 + Microsoft 365 connection, not tick-by-tick.</t>
  </si>
  <si>
    <t>Benchmark (NIFTY 50) mode</t>
  </si>
  <si>
    <t>Weekly observations currently loaded</t>
  </si>
  <si>
    <t>Latest weekly observation</t>
  </si>
  <si>
    <t>Oldest weekly observation (in window)</t>
  </si>
  <si>
    <t>Price data status</t>
  </si>
  <si>
    <t>Last recalculated</t>
  </si>
  <si>
    <t>Excel does not expose a stored recalculation timestamp to a formula; the workbook recalculates automatically whenever it is opened or F9 is pressed with a live Microsoft 365 connection. Check File &gt; Info for the last-saved time as a proxy.</t>
  </si>
  <si>
    <t>DISCLAIMER</t>
  </si>
  <si>
    <t>Educational portfolio-analytics exercise on public historical market data. A MODEL portfolio only — not an actual holding, investment advice, or a recommendation. Data sourced from Yahoo Finance and Trading Economics, documented on the Inputs tab.</t>
  </si>
  <si>
    <t>INPUTS &amp; ASSUMPTIONS</t>
  </si>
  <si>
    <t>All model levers live here. Blue = hardcoded input you may edit · black = formula · green = link to another sheet.</t>
  </si>
  <si>
    <t>1  ·  ANALYSIS PARAMETERS</t>
  </si>
  <si>
    <t>Parameter</t>
  </si>
  <si>
    <t>Value</t>
  </si>
  <si>
    <t>Unit</t>
  </si>
  <si>
    <t>Source / Basis</t>
  </si>
  <si>
    <t>Analysis start date</t>
  </si>
  <si>
    <t>date</t>
  </si>
  <si>
    <t>First weekly observation in source dataset</t>
  </si>
  <si>
    <t>Analysis end date</t>
  </si>
  <si>
    <t>Last COMPLETED weekly observation (in-progress week excluded)</t>
  </si>
  <si>
    <t>Price observations</t>
  </si>
  <si>
    <t>count</t>
  </si>
  <si>
    <t>Weekly closes per security, identical dates across all series</t>
  </si>
  <si>
    <t>Return observations</t>
  </si>
  <si>
    <t>= price observations − 1</t>
  </si>
  <si>
    <t>Weekly (Monday week-start)</t>
  </si>
  <si>
    <t>text</t>
  </si>
  <si>
    <t>Weekly reduces noise vs daily while retaining ~104 observations</t>
  </si>
  <si>
    <t>Periods per year</t>
  </si>
  <si>
    <t>weeks</t>
  </si>
  <si>
    <t>Annualisation factor. Return × 52; volatility × SQRT(52)</t>
  </si>
  <si>
    <t>Growth index base</t>
  </si>
  <si>
    <t>₹</t>
  </si>
  <si>
    <t>Both portfolio and benchmark growth series start at exactly ₹100</t>
  </si>
  <si>
    <t>Rebalancing assumption</t>
  </si>
  <si>
    <t>None — static target weights</t>
  </si>
  <si>
    <t>Weights held constant every week; no drift, no transaction costs</t>
  </si>
  <si>
    <t>2  ·  RISK-FREE RATE  (editable — all Sharpe / Treynor / alpha outputs update)</t>
  </si>
  <si>
    <t>Risk-free rate (annual)</t>
  </si>
  <si>
    <t>% p.a.</t>
  </si>
  <si>
    <t>India 10-Year Government Bond benchmark yield</t>
  </si>
  <si>
    <t>Rate as at</t>
  </si>
  <si>
    <t>Latest quote available at time of build</t>
  </si>
  <si>
    <t>Source</t>
  </si>
  <si>
    <t>Trading Economics — India Government Bond 10Y</t>
  </si>
  <si>
    <t>https://tradingeconomics.com/india/government-bond-yield</t>
  </si>
  <si>
    <t>Note</t>
  </si>
  <si>
    <t>This is an editable assumption, not a calculated output. Replace the yield above with your own sourced rate and every risk-adjusted metric in the workbook recalculates.</t>
  </si>
  <si>
    <t>3  ·  MARKET DATA SOURCE</t>
  </si>
  <si>
    <t>Data provider</t>
  </si>
  <si>
    <t>Yahoo Finance (chart API v8)</t>
  </si>
  <si>
    <t>Retrieved programmatically; raw dataset preserved in data/prices_backup.csv</t>
  </si>
  <si>
    <t>Retrieved on</t>
  </si>
  <si>
    <t>Snapshot date — dataset is static, not live-linked</t>
  </si>
  <si>
    <t>Price basis</t>
  </si>
  <si>
    <t>Adjusted close</t>
  </si>
  <si>
    <t>Adjusted for splits and dividends — required for correct return series</t>
  </si>
  <si>
    <t>Currency</t>
  </si>
  <si>
    <t>INR (₹)</t>
  </si>
  <si>
    <t>All securities and the benchmark quote in INR</t>
  </si>
  <si>
    <t>Exchange</t>
  </si>
  <si>
    <t>NSE (National Stock Exchange of India)</t>
  </si>
  <si>
    <t>Yahoo suffix .NS</t>
  </si>
  <si>
    <t>NIFTY 50 (^NSEI)</t>
  </si>
  <si>
    <t>Price index level; NIFTY 50 TRI not used — see limitations</t>
  </si>
  <si>
    <t>Date alignment</t>
  </si>
  <si>
    <t>Identical weekly dates across all 8 series</t>
  </si>
  <si>
    <t>Intersection of week-start dates; no forward-filling applied</t>
  </si>
  <si>
    <t>4  ·  CORRELATION INTERPRETATION BANDS</t>
  </si>
  <si>
    <t>Band</t>
  </si>
  <si>
    <t>Threshold</t>
  </si>
  <si>
    <t>Interpretation</t>
  </si>
  <si>
    <t>Potentially poor diversification</t>
  </si>
  <si>
    <t>ρ &gt;</t>
  </si>
  <si>
    <t>Pair behaves close to a single bet — review for redundancy</t>
  </si>
  <si>
    <t>Moderate / high relationship</t>
  </si>
  <si>
    <t>Meaningful shared risk driver</t>
  </si>
  <si>
    <t>Moderate relationship</t>
  </si>
  <si>
    <t>Some shared exposure, still diversifying</t>
  </si>
  <si>
    <t>Stronger diversification benefit</t>
  </si>
  <si>
    <t>ρ &lt;</t>
  </si>
  <si>
    <t>Largely independent return drivers</t>
  </si>
  <si>
    <t>5  ·  FORMATTING CONVENTIONS</t>
  </si>
  <si>
    <t>Blue font</t>
  </si>
  <si>
    <t>Hardcoded input or assumption — safe to edit</t>
  </si>
  <si>
    <t>Black font</t>
  </si>
  <si>
    <t>Formula calculated within the sheet</t>
  </si>
  <si>
    <t>Green font</t>
  </si>
  <si>
    <t>Link to another sheet in this workbook</t>
  </si>
  <si>
    <t>HOLDINGS  —  PORTFOLIO CONSTRUCTION</t>
  </si>
  <si>
    <t>Model portfolio: 7 NSE-listed large caps across 7 sectors, held at fixed target weights. No personal purchase prices or units are assumed.</t>
  </si>
  <si>
    <t>1  ·  HOLDINGS TABLE</t>
  </si>
  <si>
    <t>Target
Weight</t>
  </si>
  <si>
    <t>Latest Price
(₹)</t>
  </si>
  <si>
    <t>Period
Return</t>
  </si>
  <si>
    <t>Annualised
Return</t>
  </si>
  <si>
    <t>Contribution to
Period Return</t>
  </si>
  <si>
    <t>TOTAL PORTFOLIO</t>
  </si>
  <si>
    <t>WEIGHT CHECK</t>
  </si>
  <si>
    <t>2  ·  SECTOR ALLOCATION</t>
  </si>
  <si>
    <t>Notional (₹)</t>
  </si>
  <si>
    <t>TOTAL</t>
  </si>
  <si>
    <t>3  ·  MODEL QUALITY CHECKS</t>
  </si>
  <si>
    <t>Check</t>
  </si>
  <si>
    <t>Result</t>
  </si>
  <si>
    <t>Portfolio weights sum to exactly 100%</t>
  </si>
  <si>
    <t>All 7 holdings present</t>
  </si>
  <si>
    <t>Price observations ≥ 100 (approx. 2 years weekly)</t>
  </si>
  <si>
    <t>No missing price observations within the populated window (blank cells)</t>
  </si>
  <si>
    <t>Price dates aligned and strictly ascending</t>
  </si>
  <si>
    <t>Return observations = price observations − 1</t>
  </si>
  <si>
    <t>Benchmark observations aligned with portfolio</t>
  </si>
  <si>
    <t>Portfolio return uses target weights (recomputed independently)</t>
  </si>
  <si>
    <t>Growth of ₹100 series both start at exactly 100</t>
  </si>
  <si>
    <t>Cumulative return reconciles to growth index</t>
  </si>
  <si>
    <t>Maximum drawdown is negative or zero</t>
  </si>
  <si>
    <t>Correlation matrix diagonal equals 1.00</t>
  </si>
  <si>
    <t>Correlation matrix symmetric (sum = 7 + 2 x sum of 21 unique pairs)</t>
  </si>
  <si>
    <t>Return contributions sum to portfolio annualised return</t>
  </si>
  <si>
    <t>Risk contributions sum to portfolio variance</t>
  </si>
  <si>
    <t>Sector weights reconcile to holding weights</t>
  </si>
  <si>
    <t>No errors anywhere in the return series</t>
  </si>
  <si>
    <t>No errors in the drawdown engine</t>
  </si>
  <si>
    <t>Risk-free rate is a documented input, not a hardcoded constant</t>
  </si>
  <si>
    <t>All 7 stock STOCKHISTORY feeds resolving (Market_Data)</t>
  </si>
  <si>
    <t>NIFTY 50 benchmark mode is explicitly documented (not silently guessed)</t>
  </si>
  <si>
    <t>OVERALL MODEL STATUS</t>
  </si>
  <si>
    <t>MARKET DATA  —  DYNAMIC PRICE FEED (STOCKHISTORY)</t>
  </si>
  <si>
    <t>Every live price in this workbook is pulled here, once, via Excel's STOCKHISTORY function. Prices reads from this sheet through lookup formulas — no raw spill range is ever referenced directly by an analytical sheet.</t>
  </si>
  <si>
    <t>REQUIRES Microsoft Excel 365 (Windows/Mac) with an active Microsoft 365 subscription + internet access. STOCKHISTORY will show blank in LibreOffice, Google Sheets, older Excel, or Excel without a signed-in Microsoft 365 account — that is expected, not a bug.</t>
  </si>
  <si>
    <t>1 · SECURITY IDENTIFIERS</t>
  </si>
  <si>
    <t>Edit the STOCKHISTORY identifier below and re-open if a security fails to resolve. Identifiers use the XNSE: MIC-code prefix — the National Stock Exchange of India's ISO 10383 exchange code — the same convention you personally confirmed works for XNSE:RELIANCE. Note: the 7 live stock formulas in Section 2 use each identifier typed directly into the formula (this is the exact form that resolved successfully for you), not a cell reference — if a feed ever needs a new identifier, edit its STOCKHISTORY formula in Section 2 directly. NIFTY 50 is no longer part of this STOCKHISTORY table at all — see Section 3 for how it's sourced now.</t>
  </si>
  <si>
    <t>Model ticker (.NS)</t>
  </si>
  <si>
    <t>STOCKHISTORY identifier</t>
  </si>
  <si>
    <t>Confidence / status</t>
  </si>
  <si>
    <t>XNSE:RELIANCE</t>
  </si>
  <si>
    <t>CONFIRMED — you personally tested this exact identifier in Excel.</t>
  </si>
  <si>
    <t>XNSE:BHARTIARTL</t>
  </si>
  <si>
    <t>CONFIRMED — resolved successfully with real data in your Excel (105 weekly observations through 07-Sep-2026, verified before this update). Re-verify after any long gap without opening the file.</t>
  </si>
  <si>
    <t>XNSE:HDFCBANK</t>
  </si>
  <si>
    <t>XNSE:LT</t>
  </si>
  <si>
    <t>XNSE:CIPLA</t>
  </si>
  <si>
    <t>XNSE:MARUTI</t>
  </si>
  <si>
    <t>XNSE:HCLTECH</t>
  </si>
  <si>
    <t>2 · LIVE STOCKHISTORY FEEDS  (rolling ~2 years, weekly interval, Date + Close)</t>
  </si>
  <si>
    <t>STOCKHISTORY(identifier, TODAY()-730, TODAY(), 1, 1, 0, 1)  ·  1=weekly interval · 1=show headers · 0,1 = Date, Close. Each block spills downward from its anchor cell — do not type anything else into these columns below this point; leave the space empty so the spill has room to grow.</t>
  </si>
  <si>
    <t>Close</t>
  </si>
  <si>
    <t>RETURNS  —  WEEKLY SIMPLE RETURN SERIES</t>
  </si>
  <si>
    <t>Everything downstream in this workbook flows from these two series: column J (portfolio) and column I (NIFTY 50).</t>
  </si>
  <si>
    <t>MODEL CHECKS</t>
  </si>
  <si>
    <t>STATUS</t>
  </si>
  <si>
    <t>Stock / index return:  = Price(t) / Price(t−1) − 1        ·        Portfolio return:  = SUMPRODUCT(Weights, StockReturns(t))  — target weights, NOT a simple average of the seven stocks.</t>
  </si>
  <si>
    <t>Weights</t>
  </si>
  <si>
    <t>Target weight →</t>
  </si>
  <si>
    <t>Weekly observations</t>
  </si>
  <si>
    <t>Portfolio</t>
  </si>
  <si>
    <t>Missing returns</t>
  </si>
  <si>
    <t>Benchmark aligned</t>
  </si>
  <si>
    <t>COLUMN STATISTICS  —  computed directly from the series above (dynamic range: adapts to however many weeks are populated)</t>
  </si>
  <si>
    <t>Mean weekly return</t>
  </si>
  <si>
    <t>Weekly volatility  (STDEV.S)</t>
  </si>
  <si>
    <t>Annualised return  (mean × 52)</t>
  </si>
  <si>
    <t>Annualised volatility  (σ × √52)</t>
  </si>
  <si>
    <t>Beta vs NIFTY 50  (SLOPE)</t>
  </si>
  <si>
    <t>Correlation vs NIFTY 50</t>
  </si>
  <si>
    <t>Positive weeks</t>
  </si>
  <si>
    <t>RISK &amp; RETURN ANALYSIS</t>
  </si>
  <si>
    <t>Every figure below is a live formula over the weekly return series on the Returns sheet. No calculated output is hardcoded anywhere in this workbook.</t>
  </si>
  <si>
    <t>1  ·  RETURN &amp; RISK SUMMARY</t>
  </si>
  <si>
    <t>Metric</t>
  </si>
  <si>
    <t>Difference</t>
  </si>
  <si>
    <t>Excel formula used</t>
  </si>
  <si>
    <t>Interpretation note</t>
  </si>
  <si>
    <t>Observations (weekly returns)</t>
  </si>
  <si>
    <t>—</t>
  </si>
  <si>
    <t>=COUNT(PortRet)</t>
  </si>
  <si>
    <t>104 weekly observations ≈ 2 years</t>
  </si>
  <si>
    <t>=AVERAGE(PortRet)</t>
  </si>
  <si>
    <t>Arithmetic mean of weekly simple returns</t>
  </si>
  <si>
    <t>Weekly volatility</t>
  </si>
  <si>
    <t>=STDEV.S(PortRet)</t>
  </si>
  <si>
    <t>Sample standard deviation — correct choice for a return sample</t>
  </si>
  <si>
    <t>Annualised return</t>
  </si>
  <si>
    <t>=AVERAGE(PortRet)*52</t>
  </si>
  <si>
    <t>Mean weekly return scaled by 52 weeks</t>
  </si>
  <si>
    <t>Annualised volatility</t>
  </si>
  <si>
    <t>=STDEV.S(PortRet)*SQRT(52)</t>
  </si>
  <si>
    <t>Variance scales with time, so σ scales with √time</t>
  </si>
  <si>
    <t>Cumulative return (full period)</t>
  </si>
  <si>
    <t>=Drawdown value / 100 − 1</t>
  </si>
  <si>
    <t>Actual compounded return, not the annualised approximation</t>
  </si>
  <si>
    <t>Growth of ₹100</t>
  </si>
  <si>
    <t>=100 × Π(1 + weekly return)</t>
  </si>
  <si>
    <t>Both series start at exactly ₹100</t>
  </si>
  <si>
    <t>Best week</t>
  </si>
  <si>
    <t>=MAX(PortRet)</t>
  </si>
  <si>
    <t>Largest single-week gain</t>
  </si>
  <si>
    <t>Worst week</t>
  </si>
  <si>
    <t>=MIN(PortRet)</t>
  </si>
  <si>
    <t>Largest single-week loss</t>
  </si>
  <si>
    <t>=COUNTIF(PortRet,"&gt;0")/COUNT(PortRet)</t>
  </si>
  <si>
    <t>Hit rate — share of weeks with a positive return</t>
  </si>
  <si>
    <t>2  ·  RISK-ADJUSTED PERFORMANCE</t>
  </si>
  <si>
    <t>=RiskFree   (named range → Inputs tab)</t>
  </si>
  <si>
    <t>India 10Y G-Sec, documented on the Inputs sheet</t>
  </si>
  <si>
    <t>Excess return over risk-free</t>
  </si>
  <si>
    <t>=AnnualReturn − RiskFree</t>
  </si>
  <si>
    <t>Numerator of the Sharpe ratio</t>
  </si>
  <si>
    <t>Sharpe ratio</t>
  </si>
  <si>
    <t>=(AnnReturn − RiskFree)/AnnVol</t>
  </si>
  <si>
    <t>Excess return per unit of TOTAL risk</t>
  </si>
  <si>
    <t>Downside deviation (annualised)</t>
  </si>
  <si>
    <t>=SQRT(SUMPRODUCT((r&lt;0)*r^2)/(n−1))*√52</t>
  </si>
  <si>
    <t>Volatility of negative weeks only</t>
  </si>
  <si>
    <t>Sortino ratio</t>
  </si>
  <si>
    <t>=(AnnReturn − RiskFree)/DownsideDev</t>
  </si>
  <si>
    <t>Sharpe's fix for penalising upside volatility</t>
  </si>
  <si>
    <t>3  ·  SYSTEMATIC RISK  —  BETA, ALPHA AND MARKET SENSITIVITY</t>
  </si>
  <si>
    <t>Beta vs NIFTY 50</t>
  </si>
  <si>
    <t>=SLOPE(PortRet,BenchRet)</t>
  </si>
  <si>
    <t>Regression slope of portfolio returns on benchmark returns</t>
  </si>
  <si>
    <t>=CORREL(PortRet,BenchRet)</t>
  </si>
  <si>
    <t>How closely the portfolio tracks the index week to week</t>
  </si>
  <si>
    <t>R² (variance explained by market)</t>
  </si>
  <si>
    <t>=RSQ(PortRet,BenchRet)</t>
  </si>
  <si>
    <t>Share of portfolio variance attributable to market movement</t>
  </si>
  <si>
    <t>Regression intercept (weekly)</t>
  </si>
  <si>
    <t>=INTERCEPT(PortRet,BenchRet)</t>
  </si>
  <si>
    <t>Weekly return unexplained by market exposure</t>
  </si>
  <si>
    <t>Raw excess return vs NIFTY</t>
  </si>
  <si>
    <t>=PortAnnRet − BenchAnnRet</t>
  </si>
  <si>
    <t>NOT alpha — makes no adjustment for risk taken</t>
  </si>
  <si>
    <t>CAPM expected return</t>
  </si>
  <si>
    <t>=Rf + β × (Rb − Rf)</t>
  </si>
  <si>
    <t>What the portfolio's market exposure alone should have delivered</t>
  </si>
  <si>
    <t>Jensen's alpha (annualised)</t>
  </si>
  <si>
    <t>=Rp − [Rf + β(Rb − Rf)]</t>
  </si>
  <si>
    <t>Return above what market exposure predicts — the real test of skill</t>
  </si>
  <si>
    <t>Treynor ratio</t>
  </si>
  <si>
    <t>=(Rp − Rf)/β</t>
  </si>
  <si>
    <t>Excess return per unit of SYSTEMATIC risk</t>
  </si>
  <si>
    <t>Maximum drawdown</t>
  </si>
  <si>
    <t>=MIN(DrawdownRange)</t>
  </si>
  <si>
    <t>Worst peak-to-trough loss — the number practitioners feel</t>
  </si>
  <si>
    <t>Upside capture vs NIFTY</t>
  </si>
  <si>
    <t>=AVERAGEIF(BenchRet,"&gt;0",PortRet)/AVERAGEIF(BenchRet,"&gt;0",BenchRet)</t>
  </si>
  <si>
    <t>Share of the index's average up-week captured</t>
  </si>
  <si>
    <t>Downside capture vs NIFTY</t>
  </si>
  <si>
    <t>=AVERAGEIF(BenchRet,"&lt;0",PortRet)/AVERAGEIF(BenchRet,"&lt;0",BenchRet)</t>
  </si>
  <si>
    <t>Share of the index's average down-week suffered (lower is better)</t>
  </si>
  <si>
    <t>4  ·  INDIVIDUAL SECURITY STATISTICS</t>
  </si>
  <si>
    <t>Security</t>
  </si>
  <si>
    <t>Annualised
Volatility</t>
  </si>
  <si>
    <t>Beta vs
NIFTY</t>
  </si>
  <si>
    <t>Correlation
vs NIFTY</t>
  </si>
  <si>
    <t>Sharpe
Ratio</t>
  </si>
  <si>
    <t>Cumulative
Return</t>
  </si>
  <si>
    <t>PORTFOLIO (weighted)</t>
  </si>
  <si>
    <t>5  ·  INTERPRETATION  (auto-generated from the calculations above)</t>
  </si>
  <si>
    <t>CORRELATION  —  DIVERSIFICATION DIAGNOSTICS</t>
  </si>
  <si>
    <t>Pairwise correlation of WEEKLY RETURNS (not price levels). Low correlation is the mechanism by which a portfolio's volatility falls below the average volatility of its holdings.</t>
  </si>
  <si>
    <t>Matrix cell:  =CORREL(Returns!&lt;column A&gt;, Returns!&lt;column B&gt;)  — direct column ranges on the Returns sheet, robust across Excel versions (no INDEX/MATCH array extraction).</t>
  </si>
  <si>
    <t>1  ·  7 × 7 CORRELATION MATRIX  (weekly returns)</t>
  </si>
  <si>
    <t>Heatmap: green = lower correlation (diversifying) · white = moderate · red = higher correlation (shared risk driver). Diagonal is 1.00 by construction.</t>
  </si>
  <si>
    <t>2  ·  PAIRWISE CORRELATION LADDER  (21 unique pairs, ranked)</t>
  </si>
  <si>
    <t>Rank</t>
  </si>
  <si>
    <t>Security A</t>
  </si>
  <si>
    <t>Security B</t>
  </si>
  <si>
    <t>3  ·  AUTOMATED DIVERSIFICATION OBSERVATIONS</t>
  </si>
  <si>
    <t>Observation</t>
  </si>
  <si>
    <t>Detail</t>
  </si>
  <si>
    <t>Highest correlated pair</t>
  </si>
  <si>
    <t>Lowest correlated pair</t>
  </si>
  <si>
    <t>Average pairwise correlation</t>
  </si>
  <si>
    <t>Pairs above 0.80</t>
  </si>
  <si>
    <t>Pairs 0.50 – 0.80</t>
  </si>
  <si>
    <t>Moderate-to-high relationships. Acceptable within a single-country equity book, where all names share market beta.</t>
  </si>
  <si>
    <t>Pairs below 0.30</t>
  </si>
  <si>
    <t>Pairs contributing the strongest diversification benefit.</t>
  </si>
  <si>
    <t>DRAWDOWN ENGINE  —  GROWTH OF ₹100 AND PEAK-TO-TROUGH LOSS</t>
  </si>
  <si>
    <t>Cumulative value → running peak → drawdown. Both series start at exactly ₹100 so they are directly comparable.</t>
  </si>
  <si>
    <t>Value(t) = Value(t−1) × (1 + Return(t))   ·   Peak(t) = MAX($C$7:C t)   ·   Drawdown(t) = Value(t) / Peak(t) − 1   ·   Maximum Drawdown = MIN(drawdown column)</t>
  </si>
  <si>
    <t>PORTFOLIO</t>
  </si>
  <si>
    <t>NIFTY 50 (BENCHMARK)</t>
  </si>
  <si>
    <t>Weekly
Return</t>
  </si>
  <si>
    <t>Value
(₹100 base)</t>
  </si>
  <si>
    <t>Running
Peak</t>
  </si>
  <si>
    <t>Chart Label</t>
  </si>
  <si>
    <t>DRAWDOWN SUMMARY</t>
  </si>
  <si>
    <t>Comment</t>
  </si>
  <si>
    <t>Worst peak-to-trough loss over the analysis window</t>
  </si>
  <si>
    <t>Date of trough</t>
  </si>
  <si>
    <t>Week in which the maximum drawdown was recorded</t>
  </si>
  <si>
    <t>Peak value before trough (₹)</t>
  </si>
  <si>
    <t>Running peak of the ₹100 growth index at the point of maximum loss</t>
  </si>
  <si>
    <t>Trough value (₹)</t>
  </si>
  <si>
    <t>Value of the ₹100 growth index at the trough</t>
  </si>
  <si>
    <t>Current drawdown (latest week)</t>
  </si>
  <si>
    <t>Distance below the all-time peak as at the last observation</t>
  </si>
  <si>
    <t>Weeks in drawdown (&gt;1% below peak)</t>
  </si>
  <si>
    <t>Count of weekly observations spent more than 1% below the running peak</t>
  </si>
  <si>
    <t>Final value of ₹100 (₹)</t>
  </si>
  <si>
    <t>Growth of ₹100 invested at the start of the analysis window</t>
  </si>
  <si>
    <t>Cumulative return</t>
  </si>
  <si>
    <t>Total return over the full period (not annualised)</t>
  </si>
  <si>
    <t>BENCHMARK ANALYSIS  —  PORTFOLIO vs NIFTY 50</t>
  </si>
  <si>
    <t>The question is not whether the portfolio made money. It is whether the return justified the risk taken to earn it.</t>
  </si>
  <si>
    <t>1  ·  HEAD-TO-HEAD COMPARISON</t>
  </si>
  <si>
    <t>Analytical comment</t>
  </si>
  <si>
    <t>Downside-only version of Sharpe. Sharpe punishes upside volatility identically to downside volatility; Sortino does not.</t>
  </si>
  <si>
    <t>Beta</t>
  </si>
  <si>
    <t>Actual compounded outcome over the analysis window — the number an investor would have experienced.</t>
  </si>
  <si>
    <t>Simple return difference. This is NOT alpha — it makes no allowance for the market risk taken to earn it.</t>
  </si>
  <si>
    <t>Excess return per unit of systematic (non-diversifiable) risk, rather than per unit of total risk.</t>
  </si>
  <si>
    <t>Correlation with NIFTY 50</t>
  </si>
  <si>
    <t>How tightly the portfolio tracks the index week to week.</t>
  </si>
  <si>
    <t>R² (variance explained)</t>
  </si>
  <si>
    <t>Share of portfolio variance attributable to market movement; the balance is stock-specific risk.</t>
  </si>
  <si>
    <t>Hit rate. A higher hit rate with similar returns implies smaller, steadier gains rather than a few large ones.</t>
  </si>
  <si>
    <t>Upside capture</t>
  </si>
  <si>
    <t>Average portfolio return in weeks the index rose, divided by the index's average up-week.</t>
  </si>
  <si>
    <t>Downside capture</t>
  </si>
  <si>
    <t>Average portfolio return in weeks the index fell, divided by the index's average down-week. Lower is better.</t>
  </si>
  <si>
    <t>2  ·  THE SIX QUESTIONS THIS ANALYSIS MUST ANSWER</t>
  </si>
  <si>
    <t>Question</t>
  </si>
  <si>
    <t>Verdict</t>
  </si>
  <si>
    <t>Evidence from the model</t>
  </si>
  <si>
    <t>Did the portfolio outperform NIFTY 50?</t>
  </si>
  <si>
    <t>If so, was it simply because it took more market risk?</t>
  </si>
  <si>
    <t>Did it produce better return per unit of risk?</t>
  </si>
  <si>
    <t>Was the portfolio more or less volatile than the index?</t>
  </si>
  <si>
    <t>How severe was the worst drawdown?</t>
  </si>
  <si>
    <t>Did diversification materially reduce risk?</t>
  </si>
  <si>
    <t>Did the portfolio generate positive risk-adjusted alpha?</t>
  </si>
  <si>
    <t>3  ·  ANALYST COMMENTARY  (auto-generated — every figure is a live reference)</t>
  </si>
  <si>
    <t>Performance</t>
  </si>
  <si>
    <t>Diversification</t>
  </si>
  <si>
    <t>Return drivers</t>
  </si>
  <si>
    <t>Risk drivers</t>
  </si>
  <si>
    <t>Limitation</t>
  </si>
  <si>
    <t>Two years of weekly data is a short, single-regime sample. Correlations measured in calm markets rise toward 1 in a crash, so the diversification benefit quantified above is a fair-weather figure. Static weights assume costless continuous rebalancing; transaction costs, taxes and the NIFTY 50 total-return differential are all excluded. See the Overview tab for the full limitations list.</t>
  </si>
  <si>
    <t>CONTRIBUTION ANALYSIS  —  RETURN AND RISK DECOMPOSITION</t>
  </si>
  <si>
    <t>Which holdings drove performance, and which consumed the risk budget. Return contribution uses weight × return; risk contribution uses the covariance decomposition of portfolio variance.</t>
  </si>
  <si>
    <t>1  ·  RETURN CONTRIBUTION</t>
  </si>
  <si>
    <t>Weighted Return
Contribution</t>
  </si>
  <si>
    <t>Share of Total
Contribution</t>
  </si>
  <si>
    <t>Weighted Cumulative
Contribution</t>
  </si>
  <si>
    <t>Holding (sorted)</t>
  </si>
  <si>
    <t>Contrib. (sorted)</t>
  </si>
  <si>
    <t>Check: sum of weighted contributions = portfolio annualised return</t>
  </si>
  <si>
    <t>2  ·  ANNUALISED COVARIANCE MATRIX  (ρ × σᵢ × σⱼ × 52)</t>
  </si>
  <si>
    <t>3  ·  RISK CONTRIBUTION  (covariance decomposition of portfolio variance)</t>
  </si>
  <si>
    <t>Marginal Risk
Contribution</t>
  </si>
  <si>
    <t>Risk Contribution
(variance)</t>
  </si>
  <si>
    <t>Share of
Portfolio Risk</t>
  </si>
  <si>
    <t>Weight minus
Risk Share</t>
  </si>
  <si>
    <t>Check: Σ risk contributions = portfolio variance</t>
  </si>
  <si>
    <t>4  ·  DIVERSIFICATION EFFECT</t>
  </si>
  <si>
    <t>Weighted-average standalone volatility</t>
  </si>
  <si>
    <t>What portfolio volatility WOULD be if every holding moved in perfect lockstep (ρ = 1 across the book).</t>
  </si>
  <si>
    <t>Actual portfolio volatility</t>
  </si>
  <si>
    <t>Realised annualised volatility of the weighted return series.</t>
  </si>
  <si>
    <t>Volatility reduction from diversification</t>
  </si>
  <si>
    <t>Absolute volatility saved by holding imperfectly correlated assets.</t>
  </si>
  <si>
    <t>Diversification ratio</t>
  </si>
  <si>
    <t>Weighted-average standalone volatility ÷ actual portfolio volatility. Above 1.0 means diversification is working; 1.0 would mean none at all.</t>
  </si>
  <si>
    <t>Risk reduction achieved</t>
  </si>
  <si>
    <t>Percentage of the naive (fully correlated) risk that diversification removed.</t>
  </si>
  <si>
    <t>5  ·  AUTOMATED OBSERVATIONS</t>
  </si>
  <si>
    <t xml:space="preserve">   PERSONAL PORTFOLIO ANALYSIS</t>
  </si>
  <si>
    <t>ANNUALISED RETURN</t>
  </si>
  <si>
    <t>SHARPE RATIO</t>
  </si>
  <si>
    <t>BETA vs NIFTY 50</t>
  </si>
  <si>
    <t>MAXIMUM DRAWDOWN</t>
  </si>
  <si>
    <t>JENSEN’S ALPHA</t>
  </si>
  <si>
    <t>ANNUALISED VOLATILITY</t>
  </si>
  <si>
    <t xml:space="preserve">  GROWTH OF ₹100  —  PORTFOLIO vs NIFTY 50   ·   HERO METRIC</t>
  </si>
  <si>
    <t xml:space="preserve">  PORTFOLIO ALLOCATION</t>
  </si>
  <si>
    <t xml:space="preserve">  PORTFOLIO DRAWDOWN VS NIFTY</t>
  </si>
  <si>
    <t xml:space="preserve">  SECTOR EXPOSURE  (highest → lowest)</t>
  </si>
  <si>
    <t xml:space="preserve">  RETURN CONTRIBUTION BY HOLDING  (sorted, annualised)</t>
  </si>
  <si>
    <t xml:space="preserve">  CORRELATION HEATMAP  (weekly returns)</t>
  </si>
  <si>
    <t>REL</t>
  </si>
  <si>
    <t>AIR</t>
  </si>
  <si>
    <t>HDFC</t>
  </si>
  <si>
    <t>L&amp;T</t>
  </si>
  <si>
    <t>CIP</t>
  </si>
  <si>
    <t>MAR</t>
  </si>
  <si>
    <t>HCL</t>
  </si>
  <si>
    <t xml:space="preserve">  BENCHMARK SCORECARD</t>
  </si>
  <si>
    <t xml:space="preserve">  PORTFOLIO INSIGHTS  —  formula-derived, not written by hand</t>
  </si>
  <si>
    <t>Diff.</t>
  </si>
  <si>
    <t>Source: Yahoo Finance adjusted weekly closes · risk-free rate: India 10Y G-Sec 6.95% (Trading Economics, 07-Sep-2026) · model portfolio, analytical purposes only — not investment advice.</t>
  </si>
  <si>
    <t xml:space="preserve">NIFTY 50 </t>
  </si>
  <si>
    <t>Power Query / Yahoo Finance</t>
  </si>
  <si>
    <t>Period</t>
  </si>
  <si>
    <t>Equities: Microsoft STOCKHISTORY (Excel 365 connected stock data) — all 7 NSE-listed feeds confirmed resolving. Benchmark (NIFTY 50): Power Query pulling daily closes from Yahoo Finance into Market_Data W:X — set up and loading; it falls back to a labeled emergency static snapshot only if the query ever returns empty.</t>
  </si>
  <si>
    <t>NIFTY 50 Yahoo Finance Power Query source is live (not the emergency static fallback)</t>
  </si>
  <si>
    <t>REL Reliance · AIR Airtel · HDFC Bank · L&amp;T · CIP Cipla · MAR Maruti · HCL Tech</t>
  </si>
  <si>
    <t>PRICES</t>
  </si>
  <si>
    <t>Highest ρ = 0.43 (cyan) · lowest ρ = -0.04 (green) · average ρ = 0.29</t>
  </si>
  <si>
    <t>Initial notional portfolio value</t>
  </si>
  <si>
    <t>Editable input. Drives Holdings initial allocation (₹) and the weekly Portfolio Value series — NOT an actual investment</t>
  </si>
  <si>
    <t>Initial Allocation
(₹)</t>
  </si>
  <si>
    <t>NOTIONAL PORTFOLIO VALUE</t>
  </si>
  <si>
    <t>Portfolio Value (₹)</t>
  </si>
  <si>
    <t>NOTIONAL PORTFOLIO VALUE  —  SUMMARY</t>
  </si>
  <si>
    <t>Initial notional portfolio value (₹)</t>
  </si>
  <si>
    <t>Current portfolio value (₹)</t>
  </si>
  <si>
    <t>Absolute profit / loss (₹)</t>
  </si>
  <si>
    <t>Cumulative portfolio return (existing measure)</t>
  </si>
  <si>
    <t>Reconciliation: value/initial − 1 − cumulative return</t>
  </si>
  <si>
    <t>Latest observation date</t>
  </si>
  <si>
    <t>Observations in portfolio value series</t>
  </si>
  <si>
    <t xml:space="preserve">   INDIAN EQUITY PORTFOLIO</t>
  </si>
  <si>
    <t xml:space="preserve">BENCHMARK   </t>
  </si>
  <si>
    <t xml:space="preserve">   Indian Large-Cap  ·  Multi-Sector Strategy</t>
  </si>
  <si>
    <t xml:space="preserve">NIFTY 50 (^NSEI)   </t>
  </si>
  <si>
    <t>CURRENT PORTFOLIO VALUE</t>
  </si>
  <si>
    <t>Notional capital marked to the latest weekly close</t>
  </si>
  <si>
    <t>PORTFOLIO RETURN</t>
  </si>
  <si>
    <t>Cumulative, not annualised — same measure as Growth of ₹100</t>
  </si>
  <si>
    <t>INITIAL PORTFOLIO VALUE</t>
  </si>
  <si>
    <t>Notional capital    ·    editable at Inputs!B13</t>
  </si>
  <si>
    <t>Target-weight notional portfolio — no units or trades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</si>
</sst>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\₹#,##0"/>
    <numFmt numFmtId="166" formatCode="\₹#,##0.00"/>
    <numFmt numFmtId="167" formatCode="0.00%;\(0.00%\);\-"/>
    <numFmt numFmtId="168" formatCode="0.0000000000"/>
    <numFmt numFmtId="169" formatCode="0.0%;\(0.0%\);\-"/>
    <numFmt numFmtId="170" formatCode="0.000000%"/>
    <numFmt numFmtId="171" formatCode="0.0000"/>
    <numFmt numFmtId="172" formatCode="0.00000000"/>
    <numFmt numFmtId="173" formatCode="#,##0.00;[Red]\(#,##0.00\);\-"/>
    <numFmt numFmtId="174" formatCode="0.00%;[Red]\(0.00%\);\-"/>
    <numFmt numFmtId="175" formatCode="\₹#,##0;\(\₹#,##0\);\-"/>
  </numFmts>
  <fonts count="76" x14ac:knownFonts="1">
    <font>
      <sz val="11"/>
      <color theme="1"/>
      <name val="Calibri"/>
    </font>
    <font>
      <b/>
      <sz val="18"/>
      <color rgb="FFFFFFFF"/>
      <name val="Arial"/>
      <family val="2"/>
    </font>
    <font>
      <sz val="10"/>
      <color rgb="FF22D3EE"/>
      <name val="Arial"/>
      <family val="2"/>
    </font>
    <font>
      <b/>
      <sz val="10"/>
      <color rgb="FF22D3EE"/>
      <name val="Arial"/>
      <family val="2"/>
    </font>
    <font>
      <sz val="9"/>
      <color rgb="FFE7ECF5"/>
      <name val="Arial"/>
      <family val="2"/>
    </font>
    <font>
      <sz val="10"/>
      <color rgb="FF38BDF8"/>
      <name val="Arial"/>
      <family val="2"/>
    </font>
    <font>
      <sz val="10"/>
      <color rgb="FF2DD4BF"/>
      <name val="Arial"/>
      <family val="2"/>
    </font>
    <font>
      <b/>
      <sz val="9"/>
      <color rgb="FFFFFFFF"/>
      <name val="Arial"/>
      <family val="2"/>
    </font>
    <font>
      <sz val="10"/>
      <color rgb="FFE7ECF5"/>
      <name val="Arial"/>
      <family val="2"/>
    </font>
    <font>
      <b/>
      <sz val="10"/>
      <color rgb="FFFFFFFF"/>
      <name val="Arial"/>
      <family val="2"/>
    </font>
    <font>
      <b/>
      <sz val="10"/>
      <color rgb="FF34D399"/>
      <name val="Arial"/>
      <family val="2"/>
    </font>
    <font>
      <i/>
      <sz val="9"/>
      <color rgb="FF8FA0BE"/>
      <name val="Arial"/>
      <family val="2"/>
    </font>
    <font>
      <b/>
      <sz val="14"/>
      <color rgb="FFFFFFFF"/>
      <name val="Arial"/>
      <family val="2"/>
    </font>
    <font>
      <b/>
      <sz val="10"/>
      <color rgb="FF38BDF8"/>
      <name val="Arial"/>
      <family val="2"/>
    </font>
    <font>
      <b/>
      <sz val="10"/>
      <color rgb="FFE7ECF5"/>
      <name val="Arial"/>
      <family val="2"/>
    </font>
    <font>
      <b/>
      <sz val="10"/>
      <color rgb="FF2DD4BF"/>
      <name val="Arial"/>
      <family val="2"/>
    </font>
    <font>
      <sz val="8"/>
      <color rgb="FF8FA0BE"/>
      <name val="Arial"/>
      <family val="2"/>
    </font>
    <font>
      <sz val="10"/>
      <name val="Arial"/>
      <family val="2"/>
    </font>
    <font>
      <sz val="1"/>
      <color rgb="FFFFFFFF"/>
      <name val="Arial"/>
      <family val="2"/>
    </font>
    <font>
      <b/>
      <sz val="8"/>
      <color rgb="FFFFFFFF"/>
      <name val="Arial"/>
      <family val="2"/>
    </font>
    <font>
      <b/>
      <sz val="19"/>
      <color rgb="FFFFFFFF"/>
      <name val="Arial"/>
      <family val="2"/>
    </font>
    <font>
      <b/>
      <sz val="8"/>
      <color rgb="FF8FA0BE"/>
      <name val="Arial"/>
      <family val="2"/>
    </font>
    <font>
      <b/>
      <sz val="19"/>
      <color rgb="FF34D399"/>
      <name val="Arial"/>
      <family val="2"/>
    </font>
    <font>
      <b/>
      <sz val="19"/>
      <color rgb="FF22D3EE"/>
      <name val="Arial"/>
      <family val="2"/>
    </font>
    <font>
      <b/>
      <sz val="19"/>
      <color rgb="FFFB7185"/>
      <name val="Arial"/>
      <family val="2"/>
    </font>
    <font>
      <sz val="8"/>
      <color rgb="FF60A5FA"/>
      <name val="Arial"/>
      <family val="2"/>
    </font>
    <font>
      <i/>
      <sz val="7"/>
      <color rgb="FF8FA0BE"/>
      <name val="Arial"/>
      <family val="2"/>
    </font>
    <font>
      <b/>
      <sz val="9"/>
      <color rgb="FF22D3EE"/>
      <name val="Arial"/>
      <family val="2"/>
    </font>
    <font>
      <b/>
      <sz val="7"/>
      <color rgb="FFFFFFFF"/>
      <name val="Arial"/>
      <family val="2"/>
    </font>
    <font>
      <sz val="8"/>
      <color rgb="FFE7ECF5"/>
      <name val="Arial"/>
      <family val="2"/>
    </font>
    <font>
      <b/>
      <sz val="8"/>
      <color rgb="FF60A5FA"/>
      <name val="Arial"/>
      <family val="2"/>
    </font>
    <font>
      <sz val="10"/>
      <color rgb="FFE5E7EB"/>
      <name val="Aptos"/>
      <family val="2"/>
    </font>
    <font>
      <b/>
      <sz val="16"/>
      <color rgb="FFFFFFFF"/>
      <name val="Aptos Display"/>
      <family val="2"/>
    </font>
    <font>
      <i/>
      <sz val="9"/>
      <color rgb="FF94A3B8"/>
      <name val="Aptos"/>
      <family val="2"/>
    </font>
    <font>
      <sz val="9"/>
      <color rgb="FF94A3B8"/>
      <name val="Aptos"/>
      <family val="2"/>
    </font>
    <font>
      <b/>
      <sz val="9"/>
      <color rgb="FF22D3EE"/>
      <name val="Aptos"/>
      <family val="2"/>
    </font>
    <font>
      <b/>
      <sz val="10"/>
      <color rgb="FFFFFFFF"/>
      <name val="Aptos"/>
      <family val="2"/>
    </font>
    <font>
      <b/>
      <sz val="10"/>
      <color rgb="FFCBD5E1"/>
      <name val="Aptos"/>
      <family val="2"/>
    </font>
    <font>
      <sz val="10"/>
      <color rgb="FFCBD5E1"/>
      <name val="Aptos"/>
      <family val="2"/>
    </font>
    <font>
      <b/>
      <sz val="10"/>
      <color rgb="FF22D3EE"/>
      <name val="Aptos"/>
      <family val="2"/>
    </font>
    <font>
      <b/>
      <sz val="10"/>
      <color rgb="FFD1FAE5"/>
      <name val="Aptos"/>
      <family val="2"/>
    </font>
    <font>
      <b/>
      <sz val="10"/>
      <color rgb="FF34D399"/>
      <name val="Aptos"/>
      <family val="2"/>
    </font>
    <font>
      <sz val="9"/>
      <color rgb="FFD6E2F0"/>
      <name val="Aptos"/>
      <family val="2"/>
    </font>
    <font>
      <b/>
      <sz val="16"/>
      <color rgb="FFFFFFFF"/>
      <name val="Aptos Display"/>
      <family val="2"/>
    </font>
    <font>
      <sz val="9"/>
      <color rgb="FF94A3B8"/>
      <name val="Aptos"/>
      <family val="2"/>
    </font>
    <font>
      <b/>
      <sz val="9"/>
      <color rgb="FFDCB35C"/>
      <name val="Aptos"/>
      <family val="2"/>
    </font>
    <font>
      <i/>
      <sz val="8"/>
      <color rgb="FF94A3B8"/>
      <name val="Aptos"/>
      <family val="2"/>
    </font>
    <font>
      <b/>
      <sz val="9"/>
      <color rgb="FFFFFFFF"/>
      <name val="Aptos"/>
      <family val="2"/>
    </font>
    <font>
      <b/>
      <sz val="9"/>
      <color rgb="FF60A5FA"/>
      <name val="Aptos"/>
      <family val="2"/>
    </font>
    <font>
      <sz val="9"/>
      <color rgb="FFFFFFFF"/>
      <name val="Aptos"/>
      <family val="2"/>
    </font>
    <font>
      <sz val="9"/>
      <color theme="1"/>
      <name val="Aptos"/>
      <family val="2"/>
    </font>
    <font>
      <sz val="9"/>
      <color theme="3" tint="-0.249977111117893"/>
      <name val="Aptos"/>
      <family val="2"/>
    </font>
    <font>
      <i/>
      <sz val="8"/>
      <color theme="3" tint="-0.249977111117893"/>
      <name val="Aptos"/>
      <family val="2"/>
    </font>
    <font>
      <sz val="9"/>
      <color theme="0"/>
      <name val="Arial"/>
      <family val="2"/>
    </font>
    <font>
      <sz val="10"/>
      <color theme="0" tint="-0.249977111117893"/>
      <name val="Arial"/>
      <family val="2"/>
    </font>
    <font>
      <sz val="11"/>
      <color theme="1"/>
      <name val="Calibri"/>
      <family val="2"/>
    </font>
    <font>
      <i/>
      <sz val="9"/>
      <color theme="3" tint="-0.499984740745262"/>
      <name val="Aptos"/>
      <family val="2"/>
    </font>
    <font>
      <sz val="11"/>
      <color theme="3" tint="-0.499984740745262"/>
      <name val="Calibri"/>
      <family val="2"/>
    </font>
    <font>
      <b/>
      <sz val="11"/>
      <color rgb="FF007F99"/>
      <name val="Aptos"/>
      <family val="2"/>
    </font>
    <font>
      <i/>
      <sz val="8"/>
      <color rgb="FF3F5167"/>
      <name val="Aptos"/>
      <family val="2"/>
    </font>
    <font>
      <b/>
      <sz val="10"/>
      <color rgb="FF222222"/>
      <name val="Arial"/>
      <family val="2"/>
    </font>
    <font>
      <sz val="11"/>
      <color rgb="FF222222"/>
      <name val="Calibri"/>
      <family val="2"/>
    </font>
    <font>
      <b/>
      <sz val="10"/>
      <color theme="1"/>
      <name val="Arial"/>
      <family val="2"/>
    </font>
    <font>
      <sz val="1"/>
      <color rgb="FFA1A6B2"/>
      <name val="Arial"/>
      <family val="2"/>
    </font>
    <font>
      <sz val="9"/>
      <color theme="0"/>
      <name val="Aptos"/>
      <family val="2"/>
    </font>
    <font>
      <b/>
      <sz val="14"/>
      <color theme="0"/>
      <name val="Arial"/>
      <family val="2"/>
    </font>
    <font>
      <sz val="8"/>
      <name val="Calibri"/>
      <family val="2"/>
    </font>
    <font>
      <sz val="8"/>
      <color theme="0" tint="-4.9989318521683403E-2"/>
      <name val="Calibri"/>
      <family val="2"/>
    </font>
    <font>
      <sz val="11"/>
      <color theme="1"/>
      <name val="Arial"/>
      <family val="2"/>
    </font>
    <font>
      <b/>
      <sz val="13"/>
      <color rgb="FF22D3EE"/>
      <name val="Arial"/>
      <family val="2"/>
    </font>
    <font>
      <sz val="9"/>
      <color rgb="FF8FA0BE"/>
      <name val="Arial"/>
      <family val="2"/>
    </font>
    <font>
      <b/>
      <sz val="11"/>
      <color rgb="FFFFFFFF"/>
      <name val="Arial"/>
      <family val="2"/>
    </font>
    <font>
      <b/>
      <sz val="26"/>
      <color rgb="FFFFFFFF"/>
      <name val="Arial"/>
      <family val="2"/>
    </font>
    <font>
      <b/>
      <sz val="26"/>
      <color rgb="FFFB7185"/>
      <name val="Arial"/>
      <family val="2"/>
    </font>
    <font>
      <b/>
      <sz val="26"/>
      <color rgb="FFE5EAF2"/>
      <name val="Arial"/>
      <family val="2"/>
    </font>
    <font>
      <sz val="8"/>
      <color rgb="FFFB7185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6233F"/>
      </patternFill>
    </fill>
    <fill>
      <patternFill patternType="solid">
        <fgColor rgb="FF0A1220"/>
      </patternFill>
    </fill>
    <fill>
      <patternFill patternType="solid">
        <fgColor rgb="FF1C3159"/>
      </patternFill>
    </fill>
    <fill>
      <patternFill patternType="solid">
        <fgColor rgb="FF17253F"/>
      </patternFill>
    </fill>
    <fill>
      <patternFill patternType="solid">
        <fgColor rgb="FF0B1220"/>
      </patternFill>
    </fill>
    <fill>
      <patternFill patternType="solid">
        <fgColor rgb="FF111B2E"/>
      </patternFill>
    </fill>
    <fill>
      <patternFill patternType="solid">
        <fgColor rgb="FF17233A"/>
      </patternFill>
    </fill>
    <fill>
      <patternFill patternType="solid">
        <fgColor rgb="FF1E293B"/>
      </patternFill>
    </fill>
    <fill>
      <patternFill patternType="solid">
        <fgColor rgb="FF132238"/>
      </patternFill>
    </fill>
    <fill>
      <patternFill patternType="solid">
        <fgColor rgb="FF0F192B"/>
      </patternFill>
    </fill>
    <fill>
      <patternFill patternType="solid">
        <fgColor rgb="FF334155"/>
      </patternFill>
    </fill>
    <fill>
      <patternFill patternType="solid">
        <fgColor rgb="FF0F766E"/>
      </patternFill>
    </fill>
    <fill>
      <patternFill patternType="solid">
        <fgColor rgb="FF111F33"/>
      </patternFill>
    </fill>
    <fill>
      <patternFill patternType="solid">
        <fgColor rgb="FF0C2B2B"/>
      </patternFill>
    </fill>
    <fill>
      <patternFill patternType="solid">
        <fgColor rgb="FF102B27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6233F"/>
        <bgColor indexed="64"/>
      </patternFill>
    </fill>
    <fill>
      <patternFill patternType="solid">
        <fgColor rgb="FF1C3159"/>
        <bgColor indexed="64"/>
      </patternFill>
    </fill>
    <fill>
      <patternFill patternType="solid">
        <fgColor rgb="FF0A1220"/>
        <bgColor indexed="64"/>
      </patternFill>
    </fill>
    <fill>
      <patternFill patternType="solid">
        <fgColor rgb="FF17253F"/>
        <bgColor indexed="64"/>
      </patternFill>
    </fill>
  </fills>
  <borders count="27">
    <border>
      <left/>
      <right/>
      <top/>
      <bottom/>
      <diagonal/>
    </border>
    <border>
      <left style="thin">
        <color rgb="FF2A3B57"/>
      </left>
      <right style="thin">
        <color rgb="FF2A3B57"/>
      </right>
      <top style="thin">
        <color rgb="FF2A3B57"/>
      </top>
      <bottom style="thin">
        <color rgb="FF2A3B57"/>
      </bottom>
      <diagonal/>
    </border>
    <border>
      <left style="thin">
        <color rgb="FF2A3B57"/>
      </left>
      <right/>
      <top style="thin">
        <color rgb="FF2A3B57"/>
      </top>
      <bottom style="thin">
        <color rgb="FF2A3B5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A5580"/>
      </left>
      <right style="thin">
        <color rgb="FF050A14"/>
      </right>
      <top style="thin">
        <color rgb="FF3A5580"/>
      </top>
      <bottom/>
      <diagonal/>
    </border>
    <border>
      <left style="thin">
        <color rgb="FF3A5580"/>
      </left>
      <right style="thin">
        <color rgb="FF050A14"/>
      </right>
      <top/>
      <bottom/>
      <diagonal/>
    </border>
    <border>
      <left style="thin">
        <color rgb="FF3A5580"/>
      </left>
      <right style="thin">
        <color rgb="FF050A14"/>
      </right>
      <top/>
      <bottom style="thin">
        <color rgb="FF050A14"/>
      </bottom>
      <diagonal/>
    </border>
    <border>
      <left style="thin">
        <color rgb="FF3A5580"/>
      </left>
      <right/>
      <top style="thin">
        <color rgb="FF3A5580"/>
      </top>
      <bottom/>
      <diagonal/>
    </border>
    <border>
      <left/>
      <right/>
      <top style="thin">
        <color rgb="FF3A5580"/>
      </top>
      <bottom/>
      <diagonal/>
    </border>
    <border>
      <left/>
      <right style="thin">
        <color rgb="FF050A14"/>
      </right>
      <top style="thin">
        <color rgb="FF3A5580"/>
      </top>
      <bottom/>
      <diagonal/>
    </border>
    <border>
      <left style="thin">
        <color rgb="FF3A5580"/>
      </left>
      <right/>
      <top/>
      <bottom/>
      <diagonal/>
    </border>
    <border>
      <left/>
      <right style="thin">
        <color rgb="FF050A14"/>
      </right>
      <top/>
      <bottom/>
      <diagonal/>
    </border>
    <border>
      <left/>
      <right/>
      <top style="thin">
        <color rgb="FF2A3B57"/>
      </top>
      <bottom style="thin">
        <color rgb="FF2A3B57"/>
      </bottom>
      <diagonal/>
    </border>
    <border>
      <left/>
      <right style="thin">
        <color rgb="FF2A3B57"/>
      </right>
      <top style="thin">
        <color rgb="FF2A3B57"/>
      </top>
      <bottom style="thin">
        <color rgb="FF2A3B57"/>
      </bottom>
      <diagonal/>
    </border>
    <border>
      <left style="thin">
        <color rgb="FF3A5580"/>
      </left>
      <right/>
      <top/>
      <bottom style="thin">
        <color rgb="FF050A14"/>
      </bottom>
      <diagonal/>
    </border>
    <border>
      <left/>
      <right/>
      <top/>
      <bottom style="thin">
        <color rgb="FF050A14"/>
      </bottom>
      <diagonal/>
    </border>
    <border>
      <left/>
      <right style="thin">
        <color rgb="FF050A14"/>
      </right>
      <top/>
      <bottom style="thin">
        <color rgb="FF050A14"/>
      </bottom>
      <diagonal/>
    </border>
    <border>
      <left style="thin">
        <color rgb="FF2A3B58"/>
      </left>
      <right style="thin">
        <color rgb="FF2A3B58"/>
      </right>
      <top style="thin">
        <color rgb="FF2A3B58"/>
      </top>
      <bottom style="thin">
        <color rgb="FF2A3B58"/>
      </bottom>
      <diagonal/>
    </border>
    <border>
      <left/>
      <right style="thin">
        <color rgb="FF2A3B58"/>
      </right>
      <top style="thin">
        <color rgb="FF2A3B58"/>
      </top>
      <bottom style="thin">
        <color rgb="FF2A3B58"/>
      </bottom>
      <diagonal/>
    </border>
    <border>
      <left style="thin">
        <color rgb="FF2A3B58"/>
      </left>
      <right/>
      <top/>
      <bottom/>
      <diagonal/>
    </border>
    <border>
      <left style="thin">
        <color rgb="FF2A3B58"/>
      </left>
      <right style="thin">
        <color rgb="FF2A3B58"/>
      </right>
      <top style="thin">
        <color rgb="FF2A3B58"/>
      </top>
      <bottom/>
      <diagonal/>
    </border>
    <border>
      <left/>
      <right/>
      <top/>
      <bottom style="thin">
        <color rgb="FF2A3B58"/>
      </bottom>
      <diagonal/>
    </border>
    <border>
      <left/>
      <right/>
      <top/>
      <bottom style="thin">
        <color rgb="FF2A3B57"/>
      </bottom>
      <diagonal/>
    </border>
    <border>
      <left style="thin">
        <color rgb="FF2A3B57"/>
      </left>
      <right/>
      <top style="thin">
        <color rgb="FF2A3B57"/>
      </top>
      <bottom style="thin">
        <color theme="3" tint="-0.249977111117893"/>
      </bottom>
      <diagonal/>
    </border>
    <border>
      <left style="thin">
        <color theme="3" tint="-0.249977111117893"/>
      </left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7">
    <xf numFmtId="0" fontId="0" fillId="0" borderId="0"/>
    <xf numFmtId="43" fontId="17" fillId="0" borderId="0"/>
    <xf numFmtId="41" fontId="17" fillId="0" borderId="0"/>
    <xf numFmtId="44" fontId="17" fillId="0" borderId="0"/>
    <xf numFmtId="42" fontId="17" fillId="0" borderId="0"/>
    <xf numFmtId="9" fontId="17" fillId="0" borderId="0"/>
    <xf numFmtId="0" fontId="47" fillId="9" borderId="0" applyFont="0" applyAlignment="0">
      <alignment horizontal="center" vertical="center" wrapText="1"/>
    </xf>
  </cellStyleXfs>
  <cellXfs count="257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3" borderId="0" xfId="0" applyFill="1"/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3" fontId="8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14" fillId="3" borderId="1" xfId="0" applyFont="1" applyFill="1" applyBorder="1"/>
    <xf numFmtId="0" fontId="15" fillId="3" borderId="1" xfId="0" applyFont="1" applyFill="1" applyBorder="1"/>
    <xf numFmtId="0" fontId="5" fillId="3" borderId="1" xfId="0" applyFont="1" applyFill="1" applyBorder="1"/>
    <xf numFmtId="166" fontId="6" fillId="3" borderId="1" xfId="0" applyNumberFormat="1" applyFont="1" applyFill="1" applyBorder="1"/>
    <xf numFmtId="167" fontId="8" fillId="3" borderId="1" xfId="0" applyNumberFormat="1" applyFont="1" applyFill="1" applyBorder="1"/>
    <xf numFmtId="167" fontId="6" fillId="3" borderId="1" xfId="0" applyNumberFormat="1" applyFont="1" applyFill="1" applyBorder="1"/>
    <xf numFmtId="165" fontId="8" fillId="3" borderId="1" xfId="0" applyNumberFormat="1" applyFont="1" applyFill="1" applyBorder="1"/>
    <xf numFmtId="10" fontId="9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5" fontId="9" fillId="4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3" fillId="3" borderId="0" xfId="0" applyFont="1" applyFill="1"/>
    <xf numFmtId="10" fontId="14" fillId="3" borderId="1" xfId="0" applyNumberFormat="1" applyFont="1" applyFill="1" applyBorder="1" applyAlignment="1">
      <alignment horizontal="center" vertical="center"/>
    </xf>
    <xf numFmtId="0" fontId="14" fillId="3" borderId="0" xfId="0" applyFont="1" applyFill="1"/>
    <xf numFmtId="10" fontId="8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3" fontId="9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/>
    <xf numFmtId="168" fontId="8" fillId="3" borderId="1" xfId="0" applyNumberFormat="1" applyFont="1" applyFill="1" applyBorder="1" applyAlignment="1">
      <alignment horizontal="center" vertical="center"/>
    </xf>
    <xf numFmtId="4" fontId="8" fillId="3" borderId="1" xfId="0" applyNumberFormat="1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6" fillId="3" borderId="1" xfId="0" applyFont="1" applyFill="1" applyBorder="1"/>
    <xf numFmtId="167" fontId="14" fillId="3" borderId="1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169" fontId="14" fillId="3" borderId="1" xfId="0" applyNumberFormat="1" applyFont="1" applyFill="1" applyBorder="1" applyAlignment="1">
      <alignment horizontal="center" vertical="center"/>
    </xf>
    <xf numFmtId="169" fontId="8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1" fillId="3" borderId="0" xfId="0" applyFont="1" applyFill="1"/>
    <xf numFmtId="0" fontId="7" fillId="4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0" fontId="18" fillId="3" borderId="0" xfId="0" applyFont="1" applyFill="1"/>
    <xf numFmtId="4" fontId="8" fillId="3" borderId="1" xfId="0" applyNumberFormat="1" applyFont="1" applyFill="1" applyBorder="1"/>
    <xf numFmtId="0" fontId="4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169" fontId="9" fillId="4" borderId="1" xfId="0" applyNumberFormat="1" applyFont="1" applyFill="1" applyBorder="1" applyAlignment="1">
      <alignment horizontal="center" vertical="center"/>
    </xf>
    <xf numFmtId="170" fontId="8" fillId="3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/>
    <xf numFmtId="171" fontId="8" fillId="3" borderId="1" xfId="0" applyNumberFormat="1" applyFont="1" applyFill="1" applyBorder="1" applyAlignment="1">
      <alignment horizontal="center" vertical="center"/>
    </xf>
    <xf numFmtId="171" fontId="9" fillId="4" borderId="1" xfId="0" applyNumberFormat="1" applyFont="1" applyFill="1" applyBorder="1" applyAlignment="1">
      <alignment horizontal="center" vertical="center"/>
    </xf>
    <xf numFmtId="172" fontId="8" fillId="3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 vertical="center"/>
    </xf>
    <xf numFmtId="167" fontId="29" fillId="3" borderId="11" xfId="0" applyNumberFormat="1" applyFont="1" applyFill="1" applyBorder="1" applyAlignment="1">
      <alignment horizontal="center" vertical="center"/>
    </xf>
    <xf numFmtId="2" fontId="29" fillId="3" borderId="11" xfId="0" applyNumberFormat="1" applyFont="1" applyFill="1" applyBorder="1" applyAlignment="1">
      <alignment horizontal="center" vertical="center"/>
    </xf>
    <xf numFmtId="169" fontId="29" fillId="3" borderId="11" xfId="0" applyNumberFormat="1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31" fillId="6" borderId="0" xfId="0" applyFont="1" applyFill="1" applyAlignment="1">
      <alignment vertical="center"/>
    </xf>
    <xf numFmtId="164" fontId="31" fillId="6" borderId="3" xfId="0" applyNumberFormat="1" applyFont="1" applyFill="1" applyBorder="1" applyAlignment="1">
      <alignment horizontal="center" vertical="center"/>
    </xf>
    <xf numFmtId="0" fontId="33" fillId="7" borderId="0" xfId="0" applyFont="1" applyFill="1" applyAlignment="1">
      <alignment vertical="center" wrapText="1"/>
    </xf>
    <xf numFmtId="0" fontId="34" fillId="7" borderId="0" xfId="0" applyFont="1" applyFill="1" applyAlignment="1">
      <alignment vertical="center" wrapText="1"/>
    </xf>
    <xf numFmtId="0" fontId="35" fillId="8" borderId="0" xfId="0" applyFont="1" applyFill="1" applyAlignment="1">
      <alignment horizontal="center" vertical="center"/>
    </xf>
    <xf numFmtId="0" fontId="36" fillId="9" borderId="1" xfId="0" applyFont="1" applyFill="1" applyBorder="1" applyAlignment="1">
      <alignment horizontal="center" vertical="center" wrapText="1"/>
    </xf>
    <xf numFmtId="0" fontId="39" fillId="10" borderId="0" xfId="0" applyFont="1" applyFill="1" applyAlignment="1">
      <alignment horizontal="center" vertical="center"/>
    </xf>
    <xf numFmtId="0" fontId="39" fillId="10" borderId="1" xfId="0" applyFont="1" applyFill="1" applyBorder="1" applyAlignment="1">
      <alignment horizontal="center" vertical="center" wrapText="1"/>
    </xf>
    <xf numFmtId="164" fontId="31" fillId="11" borderId="3" xfId="0" applyNumberFormat="1" applyFont="1" applyFill="1" applyBorder="1" applyAlignment="1">
      <alignment horizontal="center" vertical="center"/>
    </xf>
    <xf numFmtId="173" fontId="31" fillId="11" borderId="3" xfId="0" applyNumberFormat="1" applyFont="1" applyFill="1" applyBorder="1" applyAlignment="1">
      <alignment horizontal="right" vertical="center"/>
    </xf>
    <xf numFmtId="173" fontId="38" fillId="10" borderId="3" xfId="0" applyNumberFormat="1" applyFont="1" applyFill="1" applyBorder="1" applyAlignment="1">
      <alignment horizontal="right" vertical="center"/>
    </xf>
    <xf numFmtId="9" fontId="35" fillId="8" borderId="0" xfId="0" applyNumberFormat="1" applyFont="1" applyFill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174" fontId="38" fillId="14" borderId="3" xfId="0" applyNumberFormat="1" applyFont="1" applyFill="1" applyBorder="1" applyAlignment="1">
      <alignment horizontal="right" vertical="center"/>
    </xf>
    <xf numFmtId="174" fontId="40" fillId="15" borderId="3" xfId="0" applyNumberFormat="1" applyFont="1" applyFill="1" applyBorder="1" applyAlignment="1">
      <alignment horizontal="right" vertical="center"/>
    </xf>
    <xf numFmtId="174" fontId="31" fillId="6" borderId="3" xfId="0" applyNumberFormat="1" applyFont="1" applyFill="1" applyBorder="1" applyAlignment="1">
      <alignment horizontal="right" vertical="center"/>
    </xf>
    <xf numFmtId="0" fontId="39" fillId="8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9" fontId="41" fillId="16" borderId="0" xfId="0" applyNumberFormat="1" applyFont="1" applyFill="1" applyAlignment="1">
      <alignment horizontal="center" vertical="center"/>
    </xf>
    <xf numFmtId="1" fontId="41" fillId="16" borderId="0" xfId="0" applyNumberFormat="1" applyFont="1" applyFill="1" applyAlignment="1">
      <alignment horizontal="center" vertical="center"/>
    </xf>
    <xf numFmtId="0" fontId="41" fillId="16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 wrapText="1"/>
    </xf>
    <xf numFmtId="0" fontId="0" fillId="9" borderId="0" xfId="0" applyFill="1"/>
    <xf numFmtId="0" fontId="49" fillId="6" borderId="17" xfId="0" applyFont="1" applyFill="1" applyBorder="1"/>
    <xf numFmtId="0" fontId="3" fillId="3" borderId="0" xfId="0" applyFont="1" applyFill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center" vertical="center"/>
    </xf>
    <xf numFmtId="0" fontId="0" fillId="17" borderId="0" xfId="0" applyFill="1"/>
    <xf numFmtId="0" fontId="51" fillId="0" borderId="0" xfId="0" applyFont="1" applyAlignment="1">
      <alignment horizontal="left" vertical="center" wrapText="1"/>
    </xf>
    <xf numFmtId="0" fontId="52" fillId="0" borderId="0" xfId="0" applyFont="1"/>
    <xf numFmtId="14" fontId="0" fillId="17" borderId="0" xfId="0" applyNumberFormat="1" applyFill="1"/>
    <xf numFmtId="2" fontId="0" fillId="17" borderId="0" xfId="0" applyNumberFormat="1" applyFill="1"/>
    <xf numFmtId="164" fontId="31" fillId="17" borderId="3" xfId="0" applyNumberFormat="1" applyFont="1" applyFill="1" applyBorder="1" applyAlignment="1">
      <alignment horizontal="center" vertical="center"/>
    </xf>
    <xf numFmtId="0" fontId="31" fillId="17" borderId="0" xfId="0" applyFont="1" applyFill="1" applyAlignment="1">
      <alignment vertical="center"/>
    </xf>
    <xf numFmtId="171" fontId="53" fillId="3" borderId="1" xfId="0" applyNumberFormat="1" applyFont="1" applyFill="1" applyBorder="1" applyAlignment="1">
      <alignment horizontal="center"/>
    </xf>
    <xf numFmtId="2" fontId="54" fillId="3" borderId="1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58" fillId="0" borderId="0" xfId="0" applyFont="1"/>
    <xf numFmtId="0" fontId="59" fillId="0" borderId="0" xfId="0" applyFont="1"/>
    <xf numFmtId="0" fontId="63" fillId="3" borderId="0" xfId="0" applyFont="1" applyFill="1"/>
    <xf numFmtId="0" fontId="50" fillId="17" borderId="20" xfId="0" applyFont="1" applyFill="1" applyBorder="1"/>
    <xf numFmtId="0" fontId="64" fillId="6" borderId="20" xfId="0" applyFont="1" applyFill="1" applyBorder="1"/>
    <xf numFmtId="0" fontId="9" fillId="4" borderId="2" xfId="0" applyFont="1" applyFill="1" applyBorder="1"/>
    <xf numFmtId="0" fontId="0" fillId="20" borderId="0" xfId="0" applyFill="1"/>
    <xf numFmtId="0" fontId="9" fillId="4" borderId="12" xfId="0" applyFont="1" applyFill="1" applyBorder="1"/>
    <xf numFmtId="0" fontId="9" fillId="4" borderId="13" xfId="0" applyFont="1" applyFill="1" applyBorder="1"/>
    <xf numFmtId="10" fontId="8" fillId="3" borderId="1" xfId="0" applyNumberFormat="1" applyFont="1" applyFill="1" applyBorder="1" applyAlignment="1">
      <alignment horizontal="center" vertical="center" wrapText="1"/>
    </xf>
    <xf numFmtId="0" fontId="0" fillId="3" borderId="24" xfId="0" applyFill="1" applyBorder="1"/>
    <xf numFmtId="0" fontId="0" fillId="0" borderId="25" xfId="0" applyBorder="1"/>
    <xf numFmtId="164" fontId="31" fillId="6" borderId="26" xfId="0" applyNumberFormat="1" applyFont="1" applyFill="1" applyBorder="1" applyAlignment="1">
      <alignment horizontal="center" vertical="center"/>
    </xf>
    <xf numFmtId="174" fontId="31" fillId="6" borderId="26" xfId="0" applyNumberFormat="1" applyFont="1" applyFill="1" applyBorder="1" applyAlignment="1">
      <alignment horizontal="right" vertical="center"/>
    </xf>
    <xf numFmtId="174" fontId="38" fillId="14" borderId="26" xfId="0" applyNumberFormat="1" applyFont="1" applyFill="1" applyBorder="1" applyAlignment="1">
      <alignment horizontal="right" vertical="center"/>
    </xf>
    <xf numFmtId="174" fontId="40" fillId="15" borderId="26" xfId="0" applyNumberFormat="1" applyFont="1" applyFill="1" applyBorder="1" applyAlignment="1">
      <alignment horizontal="right" vertical="center"/>
    </xf>
    <xf numFmtId="4" fontId="0" fillId="0" borderId="0" xfId="0" applyNumberFormat="1"/>
    <xf numFmtId="167" fontId="0" fillId="0" borderId="0" xfId="0" applyNumberFormat="1"/>
    <xf numFmtId="175" fontId="0" fillId="0" borderId="0" xfId="0" applyNumberFormat="1"/>
    <xf numFmtId="165" fontId="0" fillId="0" borderId="0" xfId="0" applyNumberFormat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3" borderId="0" xfId="0" applyFill="1"/>
    <xf numFmtId="0" fontId="14" fillId="3" borderId="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21" fillId="23" borderId="0" xfId="0" applyFont="1" applyFill="1" applyAlignment="1">
      <alignment vertical="center"/>
    </xf>
    <xf numFmtId="164" fontId="31" fillId="11" borderId="0" xfId="0" applyNumberFormat="1" applyFont="1" applyFill="1" applyAlignment="1">
      <alignment horizontal="center" vertical="center"/>
    </xf>
    <xf numFmtId="173" fontId="31" fillId="11" borderId="0" xfId="0" applyNumberFormat="1" applyFont="1" applyFill="1" applyAlignment="1">
      <alignment horizontal="right" vertical="center"/>
    </xf>
    <xf numFmtId="173" fontId="38" fillId="10" borderId="0" xfId="0" applyNumberFormat="1" applyFont="1" applyFill="1" applyAlignment="1">
      <alignment horizontal="right" vertical="center"/>
    </xf>
    <xf numFmtId="164" fontId="31" fillId="6" borderId="0" xfId="0" applyNumberFormat="1" applyFont="1" applyFill="1" applyAlignment="1">
      <alignment horizontal="center" vertical="center"/>
    </xf>
    <xf numFmtId="174" fontId="31" fillId="6" borderId="0" xfId="0" applyNumberFormat="1" applyFont="1" applyFill="1" applyAlignment="1">
      <alignment horizontal="right" vertical="center"/>
    </xf>
    <xf numFmtId="174" fontId="38" fillId="14" borderId="0" xfId="0" applyNumberFormat="1" applyFont="1" applyFill="1" applyAlignment="1">
      <alignment horizontal="right" vertical="center"/>
    </xf>
    <xf numFmtId="174" fontId="40" fillId="15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center" vertical="center"/>
    </xf>
    <xf numFmtId="167" fontId="6" fillId="3" borderId="0" xfId="0" applyNumberFormat="1" applyFont="1" applyFill="1"/>
    <xf numFmtId="4" fontId="8" fillId="3" borderId="0" xfId="0" applyNumberFormat="1" applyFont="1" applyFill="1"/>
    <xf numFmtId="167" fontId="8" fillId="3" borderId="0" xfId="0" applyNumberFormat="1" applyFont="1" applyFill="1"/>
    <xf numFmtId="0" fontId="11" fillId="3" borderId="6" xfId="0" applyFont="1" applyFill="1" applyBorder="1" applyAlignment="1">
      <alignment vertical="center" wrapText="1"/>
    </xf>
    <xf numFmtId="0" fontId="0" fillId="0" borderId="0" xfId="0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9" fillId="3" borderId="10" xfId="0" applyFont="1" applyFill="1" applyBorder="1"/>
    <xf numFmtId="2" fontId="30" fillId="3" borderId="0" xfId="0" applyNumberFormat="1" applyFont="1" applyFill="1" applyAlignment="1">
      <alignment horizontal="center" vertical="center"/>
    </xf>
    <xf numFmtId="0" fontId="26" fillId="3" borderId="0" xfId="0" applyFont="1" applyFill="1"/>
    <xf numFmtId="0" fontId="27" fillId="5" borderId="0" xfId="0" applyFont="1" applyFill="1" applyAlignment="1">
      <alignment horizontal="left" vertical="center"/>
    </xf>
    <xf numFmtId="0" fontId="42" fillId="5" borderId="6" xfId="0" applyFont="1" applyFill="1" applyBorder="1" applyAlignment="1">
      <alignment horizontal="left" vertical="top" wrapText="1"/>
    </xf>
    <xf numFmtId="0" fontId="0" fillId="0" borderId="10" xfId="0" applyBorder="1"/>
    <xf numFmtId="2" fontId="16" fillId="3" borderId="0" xfId="0" applyNumberFormat="1" applyFont="1" applyFill="1" applyAlignment="1">
      <alignment horizontal="center" vertical="center"/>
    </xf>
    <xf numFmtId="0" fontId="42" fillId="5" borderId="5" xfId="0" applyFont="1" applyFill="1" applyBorder="1" applyAlignment="1">
      <alignment horizontal="left" vertical="top" wrapText="1"/>
    </xf>
    <xf numFmtId="0" fontId="25" fillId="5" borderId="5" xfId="0" applyFont="1" applyFill="1" applyBorder="1" applyAlignment="1">
      <alignment horizontal="center" vertical="center"/>
    </xf>
    <xf numFmtId="167" fontId="22" fillId="5" borderId="5" xfId="0" applyNumberFormat="1" applyFont="1" applyFill="1" applyBorder="1" applyAlignment="1">
      <alignment horizontal="center" vertical="center"/>
    </xf>
    <xf numFmtId="167" fontId="30" fillId="3" borderId="0" xfId="0" applyNumberFormat="1" applyFont="1" applyFill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0" fillId="0" borderId="8" xfId="0" applyBorder="1"/>
    <xf numFmtId="167" fontId="16" fillId="3" borderId="0" xfId="0" applyNumberFormat="1" applyFont="1" applyFill="1" applyAlignment="1">
      <alignment horizontal="center" vertical="center"/>
    </xf>
    <xf numFmtId="0" fontId="42" fillId="5" borderId="4" xfId="0" applyFont="1" applyFill="1" applyBorder="1" applyAlignment="1">
      <alignment horizontal="left" vertical="top" wrapText="1"/>
    </xf>
    <xf numFmtId="0" fontId="0" fillId="0" borderId="9" xfId="0" applyBorder="1"/>
    <xf numFmtId="0" fontId="21" fillId="5" borderId="4" xfId="0" applyFont="1" applyFill="1" applyBorder="1" applyAlignment="1">
      <alignment horizontal="center" vertical="center"/>
    </xf>
    <xf numFmtId="2" fontId="22" fillId="5" borderId="5" xfId="0" applyNumberFormat="1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 wrapText="1"/>
    </xf>
    <xf numFmtId="167" fontId="23" fillId="5" borderId="5" xfId="0" applyNumberFormat="1" applyFont="1" applyFill="1" applyBorder="1" applyAlignment="1">
      <alignment horizontal="center" vertical="center"/>
    </xf>
    <xf numFmtId="169" fontId="24" fillId="5" borderId="5" xfId="0" applyNumberFormat="1" applyFont="1" applyFill="1" applyBorder="1" applyAlignment="1">
      <alignment horizontal="center" vertical="center"/>
    </xf>
    <xf numFmtId="2" fontId="23" fillId="5" borderId="5" xfId="0" applyNumberFormat="1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9" fontId="30" fillId="3" borderId="0" xfId="0" applyNumberFormat="1" applyFont="1" applyFill="1" applyAlignment="1">
      <alignment horizontal="center" vertical="center"/>
    </xf>
    <xf numFmtId="169" fontId="16" fillId="3" borderId="0" xfId="0" applyNumberFormat="1" applyFont="1" applyFill="1" applyAlignment="1">
      <alignment horizontal="center" vertical="center"/>
    </xf>
    <xf numFmtId="0" fontId="67" fillId="20" borderId="0" xfId="0" applyFont="1" applyFill="1" applyAlignment="1">
      <alignment horizontal="center" wrapText="1"/>
    </xf>
    <xf numFmtId="0" fontId="21" fillId="24" borderId="7" xfId="0" applyFont="1" applyFill="1" applyBorder="1" applyAlignment="1">
      <alignment horizontal="center"/>
    </xf>
    <xf numFmtId="0" fontId="68" fillId="24" borderId="8" xfId="0" applyFont="1" applyFill="1" applyBorder="1" applyAlignment="1">
      <alignment horizontal="center" vertical="center"/>
    </xf>
    <xf numFmtId="0" fontId="68" fillId="24" borderId="9" xfId="0" applyFont="1" applyFill="1" applyBorder="1" applyAlignment="1">
      <alignment horizontal="center" vertical="center"/>
    </xf>
    <xf numFmtId="0" fontId="74" fillId="24" borderId="10" xfId="0" applyFont="1" applyFill="1" applyBorder="1" applyAlignment="1">
      <alignment horizontal="center" vertical="center"/>
    </xf>
    <xf numFmtId="0" fontId="68" fillId="24" borderId="0" xfId="0" applyFont="1" applyFill="1" applyAlignment="1">
      <alignment horizontal="center" vertical="center"/>
    </xf>
    <xf numFmtId="0" fontId="68" fillId="24" borderId="11" xfId="0" applyFont="1" applyFill="1" applyBorder="1" applyAlignment="1">
      <alignment horizontal="center" vertical="center"/>
    </xf>
    <xf numFmtId="0" fontId="25" fillId="24" borderId="10" xfId="0" applyFont="1" applyFill="1" applyBorder="1" applyAlignment="1">
      <alignment horizontal="center" vertical="center"/>
    </xf>
    <xf numFmtId="0" fontId="26" fillId="24" borderId="14" xfId="0" applyFont="1" applyFill="1" applyBorder="1" applyAlignment="1">
      <alignment horizontal="center" vertical="top"/>
    </xf>
    <xf numFmtId="0" fontId="68" fillId="24" borderId="15" xfId="0" applyFont="1" applyFill="1" applyBorder="1" applyAlignment="1">
      <alignment horizontal="center" vertical="center"/>
    </xf>
    <xf numFmtId="0" fontId="68" fillId="24" borderId="16" xfId="0" applyFont="1" applyFill="1" applyBorder="1" applyAlignment="1">
      <alignment horizontal="center" vertical="center"/>
    </xf>
    <xf numFmtId="0" fontId="20" fillId="21" borderId="0" xfId="0" applyFont="1" applyFill="1" applyAlignment="1">
      <alignment horizontal="left" vertical="center"/>
    </xf>
    <xf numFmtId="0" fontId="0" fillId="21" borderId="0" xfId="0" applyFill="1"/>
    <xf numFmtId="0" fontId="69" fillId="22" borderId="0" xfId="0" applyFont="1" applyFill="1" applyAlignment="1">
      <alignment horizontal="left" vertical="center"/>
    </xf>
    <xf numFmtId="0" fontId="0" fillId="22" borderId="0" xfId="0" applyFill="1"/>
    <xf numFmtId="0" fontId="70" fillId="22" borderId="0" xfId="0" applyFont="1" applyFill="1" applyAlignment="1">
      <alignment horizontal="left" vertical="center"/>
    </xf>
    <xf numFmtId="0" fontId="27" fillId="21" borderId="0" xfId="0" applyFont="1" applyFill="1" applyAlignment="1">
      <alignment horizontal="right" vertical="center"/>
    </xf>
    <xf numFmtId="0" fontId="21" fillId="22" borderId="0" xfId="0" applyFont="1" applyFill="1" applyAlignment="1">
      <alignment horizontal="right"/>
    </xf>
    <xf numFmtId="0" fontId="71" fillId="22" borderId="0" xfId="0" applyFont="1" applyFill="1" applyAlignment="1">
      <alignment horizontal="right" vertical="top"/>
    </xf>
    <xf numFmtId="0" fontId="72" fillId="24" borderId="10" xfId="0" applyFont="1" applyFill="1" applyBorder="1" applyAlignment="1">
      <alignment horizontal="center" vertical="center"/>
    </xf>
    <xf numFmtId="0" fontId="75" fillId="24" borderId="10" xfId="0" applyFont="1" applyFill="1" applyBorder="1" applyAlignment="1">
      <alignment horizontal="center" vertical="center"/>
    </xf>
    <xf numFmtId="167" fontId="73" fillId="24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0" fillId="0" borderId="12" xfId="0" applyBorder="1"/>
    <xf numFmtId="0" fontId="4" fillId="3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10" fontId="6" fillId="3" borderId="2" xfId="0" applyNumberFormat="1" applyFont="1" applyFill="1" applyBorder="1" applyAlignment="1">
      <alignment horizontal="left" vertical="center"/>
    </xf>
    <xf numFmtId="0" fontId="9" fillId="4" borderId="2" xfId="0" applyFont="1" applyFill="1" applyBorder="1"/>
    <xf numFmtId="10" fontId="6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3" fillId="2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0" fillId="0" borderId="13" xfId="0" applyBorder="1"/>
    <xf numFmtId="10" fontId="9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5" fillId="2" borderId="2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4" fillId="3" borderId="2" xfId="0" applyFont="1" applyFill="1" applyBorder="1"/>
    <xf numFmtId="0" fontId="11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2" fillId="7" borderId="0" xfId="0" applyFont="1" applyFill="1" applyAlignment="1">
      <alignment horizontal="left" vertical="center"/>
    </xf>
    <xf numFmtId="0" fontId="56" fillId="0" borderId="0" xfId="0" applyFont="1"/>
    <xf numFmtId="0" fontId="57" fillId="0" borderId="0" xfId="0" applyFont="1"/>
    <xf numFmtId="0" fontId="47" fillId="9" borderId="21" xfId="0" applyFont="1" applyFill="1" applyBorder="1" applyAlignment="1">
      <alignment horizontal="center" vertical="center" wrapText="1"/>
    </xf>
    <xf numFmtId="0" fontId="47" fillId="9" borderId="0" xfId="0" applyFont="1" applyFill="1" applyAlignment="1">
      <alignment horizontal="center" vertical="center" wrapText="1"/>
    </xf>
    <xf numFmtId="0" fontId="48" fillId="6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51" fillId="0" borderId="0" xfId="0" applyFont="1" applyAlignment="1">
      <alignment horizontal="left" vertical="center" wrapText="1"/>
    </xf>
    <xf numFmtId="0" fontId="52" fillId="0" borderId="19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5" fillId="7" borderId="0" xfId="0" applyFont="1" applyFill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44" fillId="7" borderId="0" xfId="0" applyFont="1" applyFill="1" applyAlignment="1">
      <alignment horizontal="left" vertical="center" wrapText="1"/>
    </xf>
    <xf numFmtId="0" fontId="0" fillId="0" borderId="25" xfId="0" applyBorder="1"/>
    <xf numFmtId="0" fontId="33" fillId="7" borderId="0" xfId="0" applyFont="1" applyFill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62" fillId="18" borderId="2" xfId="0" applyFont="1" applyFill="1" applyBorder="1" applyAlignment="1">
      <alignment horizontal="center" vertical="center"/>
    </xf>
    <xf numFmtId="0" fontId="55" fillId="18" borderId="12" xfId="0" applyFont="1" applyFill="1" applyBorder="1"/>
    <xf numFmtId="0" fontId="60" fillId="19" borderId="2" xfId="0" applyFont="1" applyFill="1" applyBorder="1" applyAlignment="1">
      <alignment horizontal="center" vertical="center"/>
    </xf>
    <xf numFmtId="0" fontId="61" fillId="19" borderId="12" xfId="0" applyFont="1" applyFill="1" applyBorder="1"/>
    <xf numFmtId="0" fontId="14" fillId="3" borderId="2" xfId="0" applyFont="1" applyFill="1" applyBorder="1" applyAlignment="1">
      <alignment horizontal="center" vertical="center" wrapText="1"/>
    </xf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  <cellStyle name="Style 1" xfId="6" xr:uid="{E950D79B-422D-42CE-B429-9487BB486B67}"/>
  </cellStyles>
  <dxfs count="27">
    <dxf>
      <font>
        <color rgb="FF39D98A"/>
      </font>
    </dxf>
    <dxf>
      <font>
        <color rgb="FFFF5C5C"/>
      </font>
    </dxf>
    <dxf>
      <font>
        <b/>
        <sz val="19"/>
        <color rgb="FFFB7185"/>
        <name val="Arial"/>
      </font>
    </dxf>
    <dxf>
      <font>
        <b/>
        <sz val="19"/>
        <color rgb="FF34D399"/>
        <name val="Arial"/>
      </font>
    </dxf>
    <dxf>
      <font>
        <b/>
        <sz val="19"/>
        <color rgb="FFFB7185"/>
        <name val="Arial"/>
      </font>
    </dxf>
    <dxf>
      <font>
        <b/>
        <sz val="19"/>
        <color rgb="FF34D399"/>
        <name val="Arial"/>
      </font>
    </dxf>
    <dxf>
      <font>
        <b/>
        <sz val="8"/>
        <color rgb="FFFB7185"/>
        <name val="Arial"/>
      </font>
    </dxf>
    <dxf>
      <font>
        <b/>
        <sz val="8"/>
        <color rgb="FF34D399"/>
        <name val="Arial"/>
      </font>
    </dxf>
    <dxf>
      <font>
        <b/>
        <sz val="8"/>
        <color rgb="FFFB7185"/>
        <name val="Arial"/>
      </font>
    </dxf>
    <dxf>
      <font>
        <b/>
        <sz val="8"/>
        <color rgb="FF34D399"/>
        <name val="Arial"/>
      </font>
    </dxf>
    <dxf>
      <font>
        <color rgb="FFFB7185"/>
      </font>
    </dxf>
    <dxf>
      <font>
        <color rgb="FF22D3EE"/>
      </font>
    </dxf>
    <dxf>
      <font>
        <b/>
        <sz val="19"/>
        <color rgb="FFFB7185"/>
        <name val="Arial"/>
      </font>
    </dxf>
    <dxf>
      <font>
        <b/>
        <sz val="19"/>
        <color rgb="FF34D399"/>
        <name val="Arial"/>
      </font>
    </dxf>
    <dxf>
      <font>
        <b/>
        <sz val="19"/>
        <color rgb="FFFB7185"/>
        <name val="Arial"/>
      </font>
    </dxf>
    <dxf>
      <font>
        <b/>
        <sz val="19"/>
        <color rgb="FF34D399"/>
        <name val="Arial"/>
      </font>
    </dxf>
    <dxf>
      <font>
        <color rgb="FFFB7185"/>
      </font>
    </dxf>
    <dxf>
      <font>
        <color rgb="FF22D3EE"/>
      </font>
    </dxf>
    <dxf>
      <font>
        <b/>
        <sz val="10"/>
        <color rgb="FFFCA5A5"/>
        <name val="Arial"/>
      </font>
      <fill>
        <patternFill>
          <bgColor rgb="FF4C1D1D"/>
        </patternFill>
      </fill>
    </dxf>
    <dxf>
      <font>
        <b/>
        <sz val="10"/>
        <color rgb="FF6EE7B7"/>
        <name val="Arial"/>
      </font>
      <fill>
        <patternFill>
          <bgColor rgb="FF123626"/>
        </patternFill>
      </fill>
    </dxf>
    <dxf>
      <font>
        <b/>
        <sz val="10"/>
        <color rgb="FFFCA5A5"/>
        <name val="Arial"/>
      </font>
      <fill>
        <patternFill>
          <bgColor rgb="FF4C1D1D"/>
        </patternFill>
      </fill>
    </dxf>
    <dxf>
      <font>
        <b/>
        <sz val="10"/>
        <color rgb="FF6EE7B7"/>
        <name val="Arial"/>
      </font>
      <fill>
        <patternFill>
          <bgColor rgb="FF123626"/>
        </patternFill>
      </fill>
    </dxf>
    <dxf>
      <font>
        <b/>
        <sz val="10"/>
        <color rgb="FF6EE7B7"/>
        <name val="Arial"/>
      </font>
      <fill>
        <patternFill>
          <bgColor rgb="FF123626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19" formatCode="m/d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34D399"/>
      <rgbColor rgb="FF111D33"/>
      <rgbColor rgb="FF008000"/>
      <rgbColor rgb="FF04121F"/>
      <rgbColor rgb="FF808000"/>
      <rgbColor rgb="FF050A14"/>
      <rgbColor rgb="FF38BDF8"/>
      <rgbColor rgb="FFBFBFBF"/>
      <rgbColor rgb="FF808080"/>
      <rgbColor rgb="FF8FA0BE"/>
      <rgbColor rgb="FF595959"/>
      <rgbColor rgb="FFEDF2FA"/>
      <rgbColor rgb="FFE7ECF5"/>
      <rgbColor rgb="FF16233F"/>
      <rgbColor rgb="FFFF8A65"/>
      <rgbColor rgb="FF3A5580"/>
      <rgbColor rgb="FFC7D2E8"/>
      <rgbColor rgb="FF0A1220"/>
      <rgbColor rgb="FFFF00FF"/>
      <rgbColor rgb="FFFFFF00"/>
      <rgbColor rgb="FF5EEAD4"/>
      <rgbColor rgb="FF800080"/>
      <rgbColor rgb="FF17253F"/>
      <rgbColor rgb="FF60A5FA"/>
      <rgbColor rgb="FF0000FF"/>
      <rgbColor rgb="FF22D3EE"/>
      <rgbColor rgb="FFCCFFFF"/>
      <rgbColor rgb="FF6EE7B7"/>
      <rgbColor rgb="FFFFFF99"/>
      <rgbColor rgb="FFA9B6D0"/>
      <rgbColor rgb="FFFCA5A5"/>
      <rgbColor rgb="FFC084FC"/>
      <rgbColor rgb="FFFFCC99"/>
      <rgbColor rgb="FF4A7EBB"/>
      <rgbColor rgb="FF2DD4BF"/>
      <rgbColor rgb="FF99CC00"/>
      <rgbColor rgb="FFFBBF24"/>
      <rgbColor rgb="FFFF9900"/>
      <rgbColor rgb="FFFB7185"/>
      <rgbColor rgb="FF64748B"/>
      <rgbColor rgb="FF94A3B8"/>
      <rgbColor rgb="FF1C3159"/>
      <rgbColor rgb="FF4F81BD"/>
      <rgbColor rgb="FF123626"/>
      <rgbColor rgb="FF4C1D1D"/>
      <rgbColor rgb="FF993300"/>
      <rgbColor rgb="FF993366"/>
      <rgbColor rgb="FF41527A"/>
      <rgbColor rgb="FF2A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ichStyles" Target="richData/rich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Array" Target="richData/rdarray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06/relationships/rdSupportingPropertyBag" Target="richData/rdsupportingpropertybag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microsoft.com/office/2017/06/relationships/rdSupportingPropertyBagStructure" Target="richData/rdsupportingpropertybagstructure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 sz="1400" b="1">
                <a:solidFill>
                  <a:srgbClr val="E7ECF5"/>
                </a:solidFill>
                <a:latin typeface="Arial"/>
                <a:ea typeface="Arial"/>
                <a:cs typeface="Arial"/>
              </a:rPr>
              <a:t>7
HOLDINGS</a:t>
            </a:r>
          </a:p>
        </c:rich>
      </c:tx>
      <c:layout>
        <c:manualLayout>
          <c:xMode val="edge"/>
          <c:yMode val="edge"/>
          <c:x val="0.48312865148444029"/>
          <c:y val="8.6868442292171083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2D3EE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12-478B-839B-4482203C0C5C}"/>
              </c:ext>
            </c:extLst>
          </c:dPt>
          <c:dPt>
            <c:idx val="1"/>
            <c:bubble3D val="0"/>
            <c:spPr>
              <a:solidFill>
                <a:srgbClr val="FF8A65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12-478B-839B-4482203C0C5C}"/>
              </c:ext>
            </c:extLst>
          </c:dPt>
          <c:dPt>
            <c:idx val="2"/>
            <c:bubble3D val="0"/>
            <c:spPr>
              <a:solidFill>
                <a:srgbClr val="34D399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12-478B-839B-4482203C0C5C}"/>
              </c:ext>
            </c:extLst>
          </c:dPt>
          <c:dPt>
            <c:idx val="3"/>
            <c:bubble3D val="0"/>
            <c:spPr>
              <a:solidFill>
                <a:srgbClr val="C084FC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12-478B-839B-4482203C0C5C}"/>
              </c:ext>
            </c:extLst>
          </c:dPt>
          <c:dPt>
            <c:idx val="4"/>
            <c:bubble3D val="0"/>
            <c:spPr>
              <a:solidFill>
                <a:srgbClr val="FBBF24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12-478B-839B-4482203C0C5C}"/>
              </c:ext>
            </c:extLst>
          </c:dPt>
          <c:dPt>
            <c:idx val="5"/>
            <c:bubble3D val="0"/>
            <c:spPr>
              <a:solidFill>
                <a:srgbClr val="5EEAD4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212-478B-839B-4482203C0C5C}"/>
              </c:ext>
            </c:extLst>
          </c:dPt>
          <c:dPt>
            <c:idx val="6"/>
            <c:bubble3D val="0"/>
            <c:spPr>
              <a:solidFill>
                <a:srgbClr val="94A3B8"/>
              </a:solidFill>
              <a:ln w="19080">
                <a:solidFill>
                  <a:srgbClr val="17253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212-478B-839B-4482203C0C5C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212-478B-839B-4482203C0C5C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212-478B-839B-4482203C0C5C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212-478B-839B-4482203C0C5C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212-478B-839B-4482203C0C5C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212-478B-839B-4482203C0C5C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212-478B-839B-4482203C0C5C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212-478B-839B-4482203C0C5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Holdings!$C$7:$C$13</c:f>
              <c:strCache>
                <c:ptCount val="7"/>
                <c:pt idx="0">
                  <c:v>Reliance Industries</c:v>
                </c:pt>
                <c:pt idx="1">
                  <c:v>Bharti Airtel</c:v>
                </c:pt>
                <c:pt idx="2">
                  <c:v>HDFC Bank</c:v>
                </c:pt>
                <c:pt idx="3">
                  <c:v>Larsen &amp; Toubro</c:v>
                </c:pt>
                <c:pt idx="4">
                  <c:v>Cipla</c:v>
                </c:pt>
                <c:pt idx="5">
                  <c:v>Maruti Suzuki</c:v>
                </c:pt>
                <c:pt idx="6">
                  <c:v>HCL Technologies</c:v>
                </c:pt>
              </c:strCache>
            </c:strRef>
          </c:cat>
          <c:val>
            <c:numRef>
              <c:f>Holdings!$E$7:$E$13</c:f>
              <c:numCache>
                <c:formatCode>0.00%</c:formatCode>
                <c:ptCount val="7"/>
                <c:pt idx="0">
                  <c:v>0.23</c:v>
                </c:pt>
                <c:pt idx="1">
                  <c:v>0.15</c:v>
                </c:pt>
                <c:pt idx="2">
                  <c:v>0.15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0.12</c:v>
                </c:pt>
                <c:pt idx="6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12-478B-839B-4482203C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700" b="0">
              <a:solidFill>
                <a:srgbClr val="C7D2E8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17253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2D3E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7B-4D92-86D2-F393A7421809}"/>
              </c:ext>
            </c:extLst>
          </c:dPt>
          <c:dPt>
            <c:idx val="1"/>
            <c:invertIfNegative val="1"/>
            <c:bubble3D val="0"/>
            <c:spPr>
              <a:solidFill>
                <a:srgbClr val="FF8A6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7B-4D92-86D2-F393A7421809}"/>
              </c:ext>
            </c:extLst>
          </c:dPt>
          <c:dPt>
            <c:idx val="2"/>
            <c:invertIfNegative val="1"/>
            <c:bubble3D val="0"/>
            <c:spPr>
              <a:solidFill>
                <a:srgbClr val="34D39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7B-4D92-86D2-F393A7421809}"/>
              </c:ext>
            </c:extLst>
          </c:dPt>
          <c:dPt>
            <c:idx val="3"/>
            <c:invertIfNegative val="1"/>
            <c:bubble3D val="0"/>
            <c:spPr>
              <a:solidFill>
                <a:srgbClr val="C084FC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7B-4D92-86D2-F393A7421809}"/>
              </c:ext>
            </c:extLst>
          </c:dPt>
          <c:dPt>
            <c:idx val="4"/>
            <c:invertIfNegative val="1"/>
            <c:bubble3D val="0"/>
            <c:spPr>
              <a:solidFill>
                <a:srgbClr val="FBBF2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7B-4D92-86D2-F393A7421809}"/>
              </c:ext>
            </c:extLst>
          </c:dPt>
          <c:dPt>
            <c:idx val="5"/>
            <c:invertIfNegative val="1"/>
            <c:bubble3D val="0"/>
            <c:spPr>
              <a:solidFill>
                <a:srgbClr val="5EEAD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87B-4D92-86D2-F393A7421809}"/>
              </c:ext>
            </c:extLst>
          </c:dPt>
          <c:dPt>
            <c:idx val="6"/>
            <c:invertIfNegative val="1"/>
            <c:bubble3D val="0"/>
            <c:spPr>
              <a:solidFill>
                <a:srgbClr val="94A3B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87B-4D92-86D2-F393A7421809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87B-4D92-86D2-F393A7421809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87B-4D92-86D2-F393A7421809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87B-4D92-86D2-F393A7421809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87B-4D92-86D2-F393A7421809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87B-4D92-86D2-F393A7421809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87B-4D92-86D2-F393A7421809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987B-4D92-86D2-F393A742180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Holdings!$D$20:$D$26</c:f>
              <c:strCache>
                <c:ptCount val="7"/>
                <c:pt idx="0">
                  <c:v>Energy / Conglomerate</c:v>
                </c:pt>
                <c:pt idx="1">
                  <c:v>Telecom</c:v>
                </c:pt>
                <c:pt idx="2">
                  <c:v>Banking</c:v>
                </c:pt>
                <c:pt idx="3">
                  <c:v>Industrials / Infrastructure</c:v>
                </c:pt>
                <c:pt idx="4">
                  <c:v>Pharmaceuticals</c:v>
                </c:pt>
                <c:pt idx="5">
                  <c:v>Automobile</c:v>
                </c:pt>
                <c:pt idx="6">
                  <c:v>Information Technology</c:v>
                </c:pt>
              </c:strCache>
            </c:strRef>
          </c:cat>
          <c:val>
            <c:numRef>
              <c:f>Holdings!$F$20:$F$26</c:f>
              <c:numCache>
                <c:formatCode>0.00%</c:formatCode>
                <c:ptCount val="7"/>
                <c:pt idx="0">
                  <c:v>0.23</c:v>
                </c:pt>
                <c:pt idx="1">
                  <c:v>0.15</c:v>
                </c:pt>
                <c:pt idx="2">
                  <c:v>0.15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0.12</c:v>
                </c:pt>
                <c:pt idx="6">
                  <c:v>0.09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987B-4D92-86D2-F393A7421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27497758"/>
        <c:axId val="86940726"/>
      </c:barChart>
      <c:catAx>
        <c:axId val="2749775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9360">
            <a:solidFill>
              <a:srgbClr val="41527A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A9B6D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940726"/>
        <c:crosses val="autoZero"/>
        <c:auto val="1"/>
        <c:lblAlgn val="ctr"/>
        <c:lblOffset val="100"/>
        <c:noMultiLvlLbl val="0"/>
      </c:catAx>
      <c:valAx>
        <c:axId val="86940726"/>
        <c:scaling>
          <c:orientation val="minMax"/>
        </c:scaling>
        <c:delete val="0"/>
        <c:axPos val="t"/>
        <c:numFmt formatCode="0%" sourceLinked="0"/>
        <c:majorTickMark val="out"/>
        <c:minorTickMark val="none"/>
        <c:tickLblPos val="nextTo"/>
        <c:spPr>
          <a:ln w="9360">
            <a:solidFill>
              <a:srgbClr val="41527A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A9B6D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97758"/>
        <c:crosses val="autoZero"/>
        <c:crossBetween val="between"/>
      </c:valAx>
    </c:plotArea>
    <c:plotVisOnly val="1"/>
    <c:dispBlanksAs val="zero"/>
    <c:showDLblsOverMax val="1"/>
  </c:chart>
  <c:spPr>
    <a:solidFill>
      <a:srgbClr val="17253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663286988238049"/>
          <c:y val="8.6964000865168853E-2"/>
          <c:w val="0.78424065987384761"/>
          <c:h val="0.8658234650012166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4D399"/>
            </a:solidFill>
            <a:ln w="0">
              <a:noFill/>
              <a:prstDash val="solid"/>
            </a:ln>
          </c:spPr>
          <c:invertIfNegative val="0"/>
          <c:dPt>
            <c:idx val="3"/>
            <c:invertIfNegative val="1"/>
            <c:bubble3D val="0"/>
            <c:spPr>
              <a:solidFill>
                <a:srgbClr val="FB718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D3-4B4B-A116-7C2563B96449}"/>
              </c:ext>
            </c:extLst>
          </c:dPt>
          <c:dPt>
            <c:idx val="4"/>
            <c:invertIfNegative val="1"/>
            <c:bubble3D val="0"/>
            <c:spPr>
              <a:solidFill>
                <a:srgbClr val="FB718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D3-4B4B-A116-7C2563B96449}"/>
              </c:ext>
            </c:extLst>
          </c:dPt>
          <c:dPt>
            <c:idx val="5"/>
            <c:invertIfNegative val="1"/>
            <c:bubble3D val="0"/>
            <c:spPr>
              <a:solidFill>
                <a:srgbClr val="FB718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D3-4B4B-A116-7C2563B96449}"/>
              </c:ext>
            </c:extLst>
          </c:dPt>
          <c:dPt>
            <c:idx val="6"/>
            <c:invertIfNegative val="1"/>
            <c:bubble3D val="0"/>
            <c:spPr>
              <a:solidFill>
                <a:srgbClr val="FB718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D3-4B4B-A116-7C2563B96449}"/>
              </c:ext>
            </c:extLst>
          </c:dPt>
          <c:dLbls>
            <c:dLbl>
              <c:idx val="3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BD3-4B4B-A116-7C2563B96449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BD3-4B4B-A116-7C2563B96449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BD3-4B4B-A116-7C2563B96449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anchorCtr="1"/>
                <a:lstStyle/>
                <a:p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BD3-4B4B-A116-7C2563B9644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Contribution!$M$6:$M$12</c:f>
              <c:strCache>
                <c:ptCount val="7"/>
                <c:pt idx="0">
                  <c:v>Bharti Airtel</c:v>
                </c:pt>
                <c:pt idx="1">
                  <c:v>Larsen &amp; Toubro</c:v>
                </c:pt>
                <c:pt idx="2">
                  <c:v>Maruti Suzuki</c:v>
                </c:pt>
                <c:pt idx="3">
                  <c:v>Reliance Industries</c:v>
                </c:pt>
                <c:pt idx="4">
                  <c:v>Cipla</c:v>
                </c:pt>
                <c:pt idx="5">
                  <c:v>HDFC Bank</c:v>
                </c:pt>
                <c:pt idx="6">
                  <c:v>HCL Technologies</c:v>
                </c:pt>
              </c:strCache>
            </c:strRef>
          </c:cat>
          <c:val>
            <c:numRef>
              <c:f>Contribution!$N$6:$N$12</c:f>
              <c:numCache>
                <c:formatCode>0.00%;\(0.00%\);\-</c:formatCode>
                <c:ptCount val="7"/>
                <c:pt idx="0">
                  <c:v>1.2216741704698952E-2</c:v>
                </c:pt>
                <c:pt idx="1">
                  <c:v>1.1833479596844814E-2</c:v>
                </c:pt>
                <c:pt idx="2">
                  <c:v>5.6272716270180509E-3</c:v>
                </c:pt>
                <c:pt idx="3">
                  <c:v>-8.2398814953018665E-3</c:v>
                </c:pt>
                <c:pt idx="4">
                  <c:v>-8.3265291069681419E-3</c:v>
                </c:pt>
                <c:pt idx="5">
                  <c:v>-9.0909546000155824E-3</c:v>
                </c:pt>
                <c:pt idx="6">
                  <c:v>-1.1653970014602883E-2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D3-4B4B-A116-7C2563B9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3642829"/>
        <c:axId val="41521838"/>
      </c:barChart>
      <c:catAx>
        <c:axId val="2364282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9360">
            <a:solidFill>
              <a:srgbClr val="41527A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A9B6D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21838"/>
        <c:crosses val="autoZero"/>
        <c:auto val="1"/>
        <c:lblAlgn val="ctr"/>
        <c:lblOffset val="100"/>
        <c:noMultiLvlLbl val="0"/>
      </c:catAx>
      <c:valAx>
        <c:axId val="41521838"/>
        <c:scaling>
          <c:orientation val="minMax"/>
        </c:scaling>
        <c:delete val="0"/>
        <c:axPos val="t"/>
        <c:numFmt formatCode="0.0%" sourceLinked="0"/>
        <c:majorTickMark val="out"/>
        <c:minorTickMark val="none"/>
        <c:tickLblPos val="nextTo"/>
        <c:spPr>
          <a:ln w="9360">
            <a:solidFill>
              <a:srgbClr val="41527A"/>
            </a:solidFill>
            <a:prstDash val="solid"/>
          </a:ln>
        </c:spPr>
        <c:txPr>
          <a:bodyPr anchorCtr="1"/>
          <a:lstStyle/>
          <a:p>
            <a:pPr>
              <a:defRPr sz="800" b="0">
                <a:solidFill>
                  <a:srgbClr val="A9B6D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2829"/>
        <c:crosses val="autoZero"/>
        <c:crossBetween val="between"/>
      </c:valAx>
    </c:plotArea>
    <c:plotVisOnly val="1"/>
    <c:dispBlanksAs val="zero"/>
    <c:showDLblsOverMax val="1"/>
  </c:chart>
  <c:spPr>
    <a:solidFill>
      <a:srgbClr val="17253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Drawdown!$M$6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rgbClr val="22D3EE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DD_ChartPortVal</c:f>
              <c:numCache>
                <c:formatCode>#,##0.00</c:formatCode>
                <c:ptCount val="105"/>
                <c:pt idx="0">
                  <c:v>100</c:v>
                </c:pt>
                <c:pt idx="1">
                  <c:v>102.17235487129442</c:v>
                </c:pt>
                <c:pt idx="2">
                  <c:v>104.14380490619243</c:v>
                </c:pt>
                <c:pt idx="3">
                  <c:v>98.072001964730944</c:v>
                </c:pt>
                <c:pt idx="4">
                  <c:v>98.423456300910829</c:v>
                </c:pt>
                <c:pt idx="5">
                  <c:v>98.184032287896926</c:v>
                </c:pt>
                <c:pt idx="6">
                  <c:v>95.785297121300673</c:v>
                </c:pt>
                <c:pt idx="7">
                  <c:v>96.407062387187977</c:v>
                </c:pt>
                <c:pt idx="8">
                  <c:v>96.191967386197447</c:v>
                </c:pt>
                <c:pt idx="9">
                  <c:v>93.85954855107542</c:v>
                </c:pt>
                <c:pt idx="10">
                  <c:v>94.858875692355895</c:v>
                </c:pt>
                <c:pt idx="11">
                  <c:v>96.85119069465236</c:v>
                </c:pt>
                <c:pt idx="12">
                  <c:v>98.103228306484922</c:v>
                </c:pt>
                <c:pt idx="13">
                  <c:v>98.332928082913966</c:v>
                </c:pt>
                <c:pt idx="14">
                  <c:v>94.07751231806273</c:v>
                </c:pt>
                <c:pt idx="15">
                  <c:v>94.909596595631044</c:v>
                </c:pt>
                <c:pt idx="16">
                  <c:v>96.557006905616504</c:v>
                </c:pt>
                <c:pt idx="17">
                  <c:v>94.921194152558144</c:v>
                </c:pt>
                <c:pt idx="18">
                  <c:v>95.468439128176584</c:v>
                </c:pt>
                <c:pt idx="19">
                  <c:v>93.990686540248262</c:v>
                </c:pt>
                <c:pt idx="20">
                  <c:v>95.086472775071897</c:v>
                </c:pt>
                <c:pt idx="21">
                  <c:v>96.055366002418424</c:v>
                </c:pt>
                <c:pt idx="22">
                  <c:v>94.325556357707896</c:v>
                </c:pt>
                <c:pt idx="23">
                  <c:v>93.930601312880583</c:v>
                </c:pt>
                <c:pt idx="24">
                  <c:v>91.084630954339787</c:v>
                </c:pt>
                <c:pt idx="25">
                  <c:v>92.513111655087627</c:v>
                </c:pt>
                <c:pt idx="26">
                  <c:v>92.168661235131722</c:v>
                </c:pt>
                <c:pt idx="27">
                  <c:v>95.735969914578931</c:v>
                </c:pt>
                <c:pt idx="28">
                  <c:v>95.866541705706354</c:v>
                </c:pt>
                <c:pt idx="29">
                  <c:v>95.866541705706354</c:v>
                </c:pt>
                <c:pt idx="30">
                  <c:v>92.621921865174826</c:v>
                </c:pt>
                <c:pt idx="31">
                  <c:v>92.621921865174826</c:v>
                </c:pt>
                <c:pt idx="32">
                  <c:v>97.674882730326516</c:v>
                </c:pt>
                <c:pt idx="33">
                  <c:v>101.1068222001757</c:v>
                </c:pt>
                <c:pt idx="34">
                  <c:v>99.989926735684463</c:v>
                </c:pt>
                <c:pt idx="35">
                  <c:v>103.45411357469939</c:v>
                </c:pt>
                <c:pt idx="36">
                  <c:v>102.38045616562366</c:v>
                </c:pt>
                <c:pt idx="37">
                  <c:v>102.52746996534599</c:v>
                </c:pt>
                <c:pt idx="38">
                  <c:v>103.68457203743013</c:v>
                </c:pt>
                <c:pt idx="39">
                  <c:v>102.70780708543798</c:v>
                </c:pt>
                <c:pt idx="40">
                  <c:v>105.40357225115017</c:v>
                </c:pt>
                <c:pt idx="41">
                  <c:v>107.21327026944009</c:v>
                </c:pt>
                <c:pt idx="42">
                  <c:v>106.89087356715329</c:v>
                </c:pt>
                <c:pt idx="43">
                  <c:v>104.5455412928001</c:v>
                </c:pt>
                <c:pt idx="44">
                  <c:v>102.85350329182225</c:v>
                </c:pt>
                <c:pt idx="45">
                  <c:v>102.17441291574819</c:v>
                </c:pt>
                <c:pt idx="46">
                  <c:v>101.87017822127407</c:v>
                </c:pt>
                <c:pt idx="47">
                  <c:v>101.31231263251209</c:v>
                </c:pt>
                <c:pt idx="48">
                  <c:v>103.00518923690429</c:v>
                </c:pt>
                <c:pt idx="49">
                  <c:v>105.01371958200758</c:v>
                </c:pt>
                <c:pt idx="50">
                  <c:v>103.57599402084817</c:v>
                </c:pt>
                <c:pt idx="51">
                  <c:v>103.52015840192379</c:v>
                </c:pt>
                <c:pt idx="52">
                  <c:v>104.94062544873273</c:v>
                </c:pt>
                <c:pt idx="53">
                  <c:v>106.48955414459427</c:v>
                </c:pt>
                <c:pt idx="54">
                  <c:v>104.70609579214502</c:v>
                </c:pt>
                <c:pt idx="55">
                  <c:v>104.41385192833502</c:v>
                </c:pt>
                <c:pt idx="56">
                  <c:v>106.96359716736559</c:v>
                </c:pt>
                <c:pt idx="57">
                  <c:v>108.9355712227996</c:v>
                </c:pt>
                <c:pt idx="58">
                  <c:v>110.02770039968433</c:v>
                </c:pt>
                <c:pt idx="59">
                  <c:v>110.56389730672825</c:v>
                </c:pt>
                <c:pt idx="60">
                  <c:v>108.60758633967487</c:v>
                </c:pt>
                <c:pt idx="61">
                  <c:v>111.63967958848167</c:v>
                </c:pt>
                <c:pt idx="62">
                  <c:v>112.98239387941943</c:v>
                </c:pt>
                <c:pt idx="63">
                  <c:v>113.4045727811465</c:v>
                </c:pt>
                <c:pt idx="64">
                  <c:v>113.42327470816092</c:v>
                </c:pt>
                <c:pt idx="65">
                  <c:v>113.70899000357899</c:v>
                </c:pt>
                <c:pt idx="66">
                  <c:v>113.41545073592434</c:v>
                </c:pt>
                <c:pt idx="67">
                  <c:v>113.55767583847465</c:v>
                </c:pt>
                <c:pt idx="68">
                  <c:v>114.96074955758542</c:v>
                </c:pt>
                <c:pt idx="69">
                  <c:v>110.09898392221567</c:v>
                </c:pt>
                <c:pt idx="70">
                  <c:v>108.01731419953362</c:v>
                </c:pt>
                <c:pt idx="71">
                  <c:v>104.80404602025135</c:v>
                </c:pt>
                <c:pt idx="72">
                  <c:v>104.80404602025135</c:v>
                </c:pt>
                <c:pt idx="73">
                  <c:v>107.18821044226355</c:v>
                </c:pt>
                <c:pt idx="74">
                  <c:v>105.52893242708734</c:v>
                </c:pt>
                <c:pt idx="75">
                  <c:v>105.93398038506926</c:v>
                </c:pt>
                <c:pt idx="76">
                  <c:v>103.59247992981611</c:v>
                </c:pt>
                <c:pt idx="77">
                  <c:v>101.00713142311376</c:v>
                </c:pt>
                <c:pt idx="78">
                  <c:v>95.914311381598807</c:v>
                </c:pt>
                <c:pt idx="79">
                  <c:v>95.686177374858744</c:v>
                </c:pt>
                <c:pt idx="80">
                  <c:v>94.571958345615641</c:v>
                </c:pt>
                <c:pt idx="81">
                  <c:v>94.277943541390641</c:v>
                </c:pt>
                <c:pt idx="82">
                  <c:v>98.907253496953075</c:v>
                </c:pt>
                <c:pt idx="83">
                  <c:v>99.092041297686819</c:v>
                </c:pt>
                <c:pt idx="84">
                  <c:v>96.336455776771928</c:v>
                </c:pt>
                <c:pt idx="85">
                  <c:v>98.724374417627857</c:v>
                </c:pt>
                <c:pt idx="86">
                  <c:v>99.123040384556731</c:v>
                </c:pt>
                <c:pt idx="87">
                  <c:v>97.469359722482096</c:v>
                </c:pt>
                <c:pt idx="88">
                  <c:v>97.327685451819789</c:v>
                </c:pt>
                <c:pt idx="89">
                  <c:v>96.833062440236134</c:v>
                </c:pt>
                <c:pt idx="90">
                  <c:v>95.438208221711918</c:v>
                </c:pt>
                <c:pt idx="91">
                  <c:v>96.32179554548901</c:v>
                </c:pt>
                <c:pt idx="92">
                  <c:v>97.86010606461501</c:v>
                </c:pt>
                <c:pt idx="93">
                  <c:v>98.712262308129525</c:v>
                </c:pt>
                <c:pt idx="94">
                  <c:v>99.406459715469538</c:v>
                </c:pt>
                <c:pt idx="95">
                  <c:v>99.334978573159702</c:v>
                </c:pt>
                <c:pt idx="96">
                  <c:v>99.11484742864063</c:v>
                </c:pt>
                <c:pt idx="97">
                  <c:v>96.807164747559128</c:v>
                </c:pt>
                <c:pt idx="98">
                  <c:v>100.26462647880618</c:v>
                </c:pt>
                <c:pt idx="99">
                  <c:v>100.54269076202534</c:v>
                </c:pt>
                <c:pt idx="100">
                  <c:v>100.016217429524</c:v>
                </c:pt>
                <c:pt idx="101">
                  <c:v>99.136332027306509</c:v>
                </c:pt>
                <c:pt idx="102">
                  <c:v>97.706929365874501</c:v>
                </c:pt>
                <c:pt idx="103">
                  <c:v>96.478282630984836</c:v>
                </c:pt>
                <c:pt idx="104">
                  <c:v>96.537602494721938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DD_ChartDates</c15:sqref>
                        </c15:formulaRef>
                      </c:ext>
                    </c:extLst>
                    <c:strCache>
                      <c:ptCount val="105"/>
                      <c:pt idx="0">
                        <c:v>Sep-24</c:v>
                      </c:pt>
                      <c:pt idx="1">
                        <c:v>Sep-24</c:v>
                      </c:pt>
                      <c:pt idx="2">
                        <c:v>Sep-24</c:v>
                      </c:pt>
                      <c:pt idx="3">
                        <c:v>Sep-24</c:v>
                      </c:pt>
                      <c:pt idx="4">
                        <c:v>Oct-24</c:v>
                      </c:pt>
                      <c:pt idx="5">
                        <c:v>Oct-24</c:v>
                      </c:pt>
                      <c:pt idx="6">
                        <c:v>Oct-24</c:v>
                      </c:pt>
                      <c:pt idx="7">
                        <c:v>Oct-24</c:v>
                      </c:pt>
                      <c:pt idx="8">
                        <c:v>Nov-24</c:v>
                      </c:pt>
                      <c:pt idx="9">
                        <c:v>Nov-24</c:v>
                      </c:pt>
                      <c:pt idx="10">
                        <c:v>Nov-24</c:v>
                      </c:pt>
                      <c:pt idx="11">
                        <c:v>Nov-24</c:v>
                      </c:pt>
                      <c:pt idx="12">
                        <c:v>Dec-24</c:v>
                      </c:pt>
                      <c:pt idx="13">
                        <c:v>Dec-24</c:v>
                      </c:pt>
                      <c:pt idx="14">
                        <c:v>Dec-24</c:v>
                      </c:pt>
                      <c:pt idx="15">
                        <c:v>Dec-24</c:v>
                      </c:pt>
                      <c:pt idx="16">
                        <c:v>Dec-24</c:v>
                      </c:pt>
                      <c:pt idx="17">
                        <c:v>Jan-25</c:v>
                      </c:pt>
                      <c:pt idx="18">
                        <c:v>Jan-25</c:v>
                      </c:pt>
                      <c:pt idx="19">
                        <c:v>Jan-25</c:v>
                      </c:pt>
                      <c:pt idx="20">
                        <c:v>Jan-25</c:v>
                      </c:pt>
                      <c:pt idx="21">
                        <c:v>Feb-25</c:v>
                      </c:pt>
                      <c:pt idx="22">
                        <c:v>Feb-25</c:v>
                      </c:pt>
                      <c:pt idx="23">
                        <c:v>Feb-25</c:v>
                      </c:pt>
                      <c:pt idx="24">
                        <c:v>Feb-25</c:v>
                      </c:pt>
                      <c:pt idx="25">
                        <c:v>Mar-25</c:v>
                      </c:pt>
                      <c:pt idx="26">
                        <c:v>Mar-25</c:v>
                      </c:pt>
                      <c:pt idx="27">
                        <c:v>Mar-25</c:v>
                      </c:pt>
                      <c:pt idx="28">
                        <c:v>Mar-25</c:v>
                      </c:pt>
                      <c:pt idx="29">
                        <c:v>Mar-25</c:v>
                      </c:pt>
                      <c:pt idx="30">
                        <c:v>Apr-25</c:v>
                      </c:pt>
                      <c:pt idx="31">
                        <c:v>Apr-25</c:v>
                      </c:pt>
                      <c:pt idx="32">
                        <c:v>Apr-25</c:v>
                      </c:pt>
                      <c:pt idx="33">
                        <c:v>Apr-25</c:v>
                      </c:pt>
                      <c:pt idx="34">
                        <c:v>May-25</c:v>
                      </c:pt>
                      <c:pt idx="35">
                        <c:v>May-25</c:v>
                      </c:pt>
                      <c:pt idx="36">
                        <c:v>May-25</c:v>
                      </c:pt>
                      <c:pt idx="37">
                        <c:v>May-25</c:v>
                      </c:pt>
                      <c:pt idx="38">
                        <c:v>Jun-25</c:v>
                      </c:pt>
                      <c:pt idx="39">
                        <c:v>Jun-25</c:v>
                      </c:pt>
                      <c:pt idx="40">
                        <c:v>Jun-25</c:v>
                      </c:pt>
                      <c:pt idx="41">
                        <c:v>Jun-25</c:v>
                      </c:pt>
                      <c:pt idx="42">
                        <c:v>Jun-25</c:v>
                      </c:pt>
                      <c:pt idx="43">
                        <c:v>Jul-25</c:v>
                      </c:pt>
                      <c:pt idx="44">
                        <c:v>Jul-25</c:v>
                      </c:pt>
                      <c:pt idx="45">
                        <c:v>Jul-25</c:v>
                      </c:pt>
                      <c:pt idx="46">
                        <c:v>Jul-25</c:v>
                      </c:pt>
                      <c:pt idx="47">
                        <c:v>Aug-25</c:v>
                      </c:pt>
                      <c:pt idx="48">
                        <c:v>Aug-25</c:v>
                      </c:pt>
                      <c:pt idx="49">
                        <c:v>Aug-25</c:v>
                      </c:pt>
                      <c:pt idx="50">
                        <c:v>Aug-25</c:v>
                      </c:pt>
                      <c:pt idx="51">
                        <c:v>Sep-25</c:v>
                      </c:pt>
                      <c:pt idx="52">
                        <c:v>Sep-25</c:v>
                      </c:pt>
                      <c:pt idx="53">
                        <c:v>Sep-25</c:v>
                      </c:pt>
                      <c:pt idx="54">
                        <c:v>Sep-25</c:v>
                      </c:pt>
                      <c:pt idx="55">
                        <c:v>Sep-25</c:v>
                      </c:pt>
                      <c:pt idx="56">
                        <c:v>Oct-25</c:v>
                      </c:pt>
                      <c:pt idx="57">
                        <c:v>Oct-25</c:v>
                      </c:pt>
                      <c:pt idx="58">
                        <c:v>Oct-25</c:v>
                      </c:pt>
                      <c:pt idx="59">
                        <c:v>Oct-25</c:v>
                      </c:pt>
                      <c:pt idx="60">
                        <c:v>Nov-25</c:v>
                      </c:pt>
                      <c:pt idx="61">
                        <c:v>Nov-25</c:v>
                      </c:pt>
                      <c:pt idx="62">
                        <c:v>Nov-25</c:v>
                      </c:pt>
                      <c:pt idx="63">
                        <c:v>Nov-25</c:v>
                      </c:pt>
                      <c:pt idx="64">
                        <c:v>Dec-25</c:v>
                      </c:pt>
                      <c:pt idx="65">
                        <c:v>Dec-25</c:v>
                      </c:pt>
                      <c:pt idx="66">
                        <c:v>Dec-25</c:v>
                      </c:pt>
                      <c:pt idx="67">
                        <c:v>Dec-25</c:v>
                      </c:pt>
                      <c:pt idx="68">
                        <c:v>Dec-25</c:v>
                      </c:pt>
                      <c:pt idx="69">
                        <c:v>Jan-26</c:v>
                      </c:pt>
                      <c:pt idx="70">
                        <c:v>Jan-26</c:v>
                      </c:pt>
                      <c:pt idx="71">
                        <c:v>Jan-26</c:v>
                      </c:pt>
                      <c:pt idx="72">
                        <c:v>Jan-26</c:v>
                      </c:pt>
                      <c:pt idx="73">
                        <c:v>Feb-26</c:v>
                      </c:pt>
                      <c:pt idx="74">
                        <c:v>Feb-26</c:v>
                      </c:pt>
                      <c:pt idx="75">
                        <c:v>Feb-26</c:v>
                      </c:pt>
                      <c:pt idx="76">
                        <c:v>Feb-26</c:v>
                      </c:pt>
                      <c:pt idx="77">
                        <c:v>Mar-26</c:v>
                      </c:pt>
                      <c:pt idx="78">
                        <c:v>Mar-26</c:v>
                      </c:pt>
                      <c:pt idx="79">
                        <c:v>Mar-26</c:v>
                      </c:pt>
                      <c:pt idx="80">
                        <c:v>Mar-26</c:v>
                      </c:pt>
                      <c:pt idx="81">
                        <c:v>Mar-26</c:v>
                      </c:pt>
                      <c:pt idx="82">
                        <c:v>Apr-26</c:v>
                      </c:pt>
                      <c:pt idx="83">
                        <c:v>Apr-26</c:v>
                      </c:pt>
                      <c:pt idx="84">
                        <c:v>Apr-26</c:v>
                      </c:pt>
                      <c:pt idx="85">
                        <c:v>Apr-26</c:v>
                      </c:pt>
                      <c:pt idx="86">
                        <c:v>May-26</c:v>
                      </c:pt>
                      <c:pt idx="87">
                        <c:v>May-26</c:v>
                      </c:pt>
                      <c:pt idx="88">
                        <c:v>May-26</c:v>
                      </c:pt>
                      <c:pt idx="89">
                        <c:v>May-26</c:v>
                      </c:pt>
                      <c:pt idx="90">
                        <c:v>Jun-26</c:v>
                      </c:pt>
                      <c:pt idx="91">
                        <c:v>Jun-26</c:v>
                      </c:pt>
                      <c:pt idx="92">
                        <c:v>Jun-26</c:v>
                      </c:pt>
                      <c:pt idx="93">
                        <c:v>Jun-26</c:v>
                      </c:pt>
                      <c:pt idx="94">
                        <c:v>Jun-26</c:v>
                      </c:pt>
                      <c:pt idx="95">
                        <c:v>Jul-26</c:v>
                      </c:pt>
                      <c:pt idx="96">
                        <c:v>Jul-26</c:v>
                      </c:pt>
                      <c:pt idx="97">
                        <c:v>Jul-26</c:v>
                      </c:pt>
                      <c:pt idx="98">
                        <c:v>Jul-26</c:v>
                      </c:pt>
                      <c:pt idx="99">
                        <c:v>Aug-26</c:v>
                      </c:pt>
                      <c:pt idx="100">
                        <c:v>Aug-26</c:v>
                      </c:pt>
                      <c:pt idx="101">
                        <c:v>Aug-26</c:v>
                      </c:pt>
                      <c:pt idx="102">
                        <c:v>Aug-26</c:v>
                      </c:pt>
                      <c:pt idx="103">
                        <c:v>Aug-26</c:v>
                      </c:pt>
                      <c:pt idx="104">
                        <c:v>Sep-26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CBB-4B77-9C1A-0A8FE9A7AD1E}"/>
            </c:ext>
          </c:extLst>
        </c:ser>
        <c:ser>
          <c:idx val="1"/>
          <c:order val="1"/>
          <c:tx>
            <c:strRef>
              <c:f>Drawdown!$N$6</c:f>
              <c:strCache>
                <c:ptCount val="1"/>
                <c:pt idx="0">
                  <c:v>NIFTY 50</c:v>
                </c:pt>
              </c:strCache>
            </c:strRef>
          </c:tx>
          <c:spPr>
            <a:ln w="19050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DD_ChartBenchVal</c:f>
              <c:numCache>
                <c:formatCode>#,##0.00</c:formatCode>
                <c:ptCount val="105"/>
                <c:pt idx="0">
                  <c:v>100</c:v>
                </c:pt>
                <c:pt idx="1">
                  <c:v>101.79396224943189</c:v>
                </c:pt>
                <c:pt idx="2">
                  <c:v>104.0208304924473</c:v>
                </c:pt>
                <c:pt idx="3">
                  <c:v>103.50671791057202</c:v>
                </c:pt>
                <c:pt idx="4">
                  <c:v>99.435963537552595</c:v>
                </c:pt>
                <c:pt idx="5">
                  <c:v>100.76814947275635</c:v>
                </c:pt>
                <c:pt idx="6">
                  <c:v>99.377212513365052</c:v>
                </c:pt>
                <c:pt idx="7">
                  <c:v>97.604906920629404</c:v>
                </c:pt>
                <c:pt idx="8">
                  <c:v>96.226196377550167</c:v>
                </c:pt>
                <c:pt idx="9">
                  <c:v>96.811490042989831</c:v>
                </c:pt>
                <c:pt idx="10">
                  <c:v>94.054476242960888</c:v>
                </c:pt>
                <c:pt idx="11">
                  <c:v>97.134710748915367</c:v>
                </c:pt>
                <c:pt idx="12">
                  <c:v>97.351864747795489</c:v>
                </c:pt>
                <c:pt idx="13">
                  <c:v>98.727160353326965</c:v>
                </c:pt>
                <c:pt idx="14">
                  <c:v>98.924662796456317</c:v>
                </c:pt>
                <c:pt idx="15">
                  <c:v>95.256126973643958</c:v>
                </c:pt>
                <c:pt idx="16">
                  <c:v>94.820824257836549</c:v>
                </c:pt>
                <c:pt idx="17">
                  <c:v>94.705131499767717</c:v>
                </c:pt>
                <c:pt idx="18">
                  <c:v>92.579317211434045</c:v>
                </c:pt>
                <c:pt idx="19">
                  <c:v>93.61716059378243</c:v>
                </c:pt>
                <c:pt idx="20">
                  <c:v>91.549502065293112</c:v>
                </c:pt>
                <c:pt idx="21">
                  <c:v>93.682530017575161</c:v>
                </c:pt>
                <c:pt idx="22">
                  <c:v>93.764934966978871</c:v>
                </c:pt>
                <c:pt idx="23">
                  <c:v>92.072230315293496</c:v>
                </c:pt>
                <c:pt idx="24">
                  <c:v>90.44348525079856</c:v>
                </c:pt>
                <c:pt idx="25">
                  <c:v>88.702861819486543</c:v>
                </c:pt>
                <c:pt idx="26">
                  <c:v>90.070340664300886</c:v>
                </c:pt>
                <c:pt idx="27">
                  <c:v>90.264631812947243</c:v>
                </c:pt>
                <c:pt idx="28">
                  <c:v>94.874758340299607</c:v>
                </c:pt>
                <c:pt idx="29">
                  <c:v>92.899130812237388</c:v>
                </c:pt>
                <c:pt idx="30">
                  <c:v>88.872488660018433</c:v>
                </c:pt>
                <c:pt idx="31">
                  <c:v>93.552198456119257</c:v>
                </c:pt>
                <c:pt idx="32">
                  <c:v>96.748329363207347</c:v>
                </c:pt>
                <c:pt idx="33">
                  <c:v>97.562196704005672</c:v>
                </c:pt>
                <c:pt idx="34">
                  <c:v>98.094151551325453</c:v>
                </c:pt>
                <c:pt idx="35">
                  <c:v>99.953075938420525</c:v>
                </c:pt>
                <c:pt idx="36">
                  <c:v>100.03628762765777</c:v>
                </c:pt>
                <c:pt idx="37">
                  <c:v>100.25966057243909</c:v>
                </c:pt>
                <c:pt idx="38">
                  <c:v>99.118554491398712</c:v>
                </c:pt>
                <c:pt idx="39">
                  <c:v>100.66889697595532</c:v>
                </c:pt>
                <c:pt idx="40">
                  <c:v>100.0405014726135</c:v>
                </c:pt>
                <c:pt idx="41">
                  <c:v>100.14236216712877</c:v>
                </c:pt>
                <c:pt idx="42">
                  <c:v>102.3285252944659</c:v>
                </c:pt>
                <c:pt idx="43">
                  <c:v>102.10495653904538</c:v>
                </c:pt>
                <c:pt idx="44">
                  <c:v>100.58509002237489</c:v>
                </c:pt>
                <c:pt idx="45">
                  <c:v>100.61876945231843</c:v>
                </c:pt>
                <c:pt idx="46">
                  <c:v>98.975393416861976</c:v>
                </c:pt>
                <c:pt idx="47">
                  <c:v>99.143218799513164</c:v>
                </c:pt>
                <c:pt idx="48">
                  <c:v>98.59101713209941</c:v>
                </c:pt>
                <c:pt idx="49">
                  <c:v>99.761588798127605</c:v>
                </c:pt>
                <c:pt idx="50">
                  <c:v>100.12571826279618</c:v>
                </c:pt>
                <c:pt idx="51">
                  <c:v>98.751425207737441</c:v>
                </c:pt>
                <c:pt idx="52">
                  <c:v>99.345334541302194</c:v>
                </c:pt>
                <c:pt idx="53">
                  <c:v>100.53255011166296</c:v>
                </c:pt>
                <c:pt idx="54">
                  <c:v>101.06651005992822</c:v>
                </c:pt>
                <c:pt idx="55">
                  <c:v>98.790924129878206</c:v>
                </c:pt>
                <c:pt idx="56">
                  <c:v>100.56644101709684</c:v>
                </c:pt>
                <c:pt idx="57">
                  <c:v>101.16676510720201</c:v>
                </c:pt>
                <c:pt idx="58">
                  <c:v>103.63625056461997</c:v>
                </c:pt>
                <c:pt idx="59">
                  <c:v>104.12910594350298</c:v>
                </c:pt>
                <c:pt idx="60">
                  <c:v>103.31623332075183</c:v>
                </c:pt>
                <c:pt idx="61">
                  <c:v>102.55830516336206</c:v>
                </c:pt>
                <c:pt idx="62">
                  <c:v>104.31918324719362</c:v>
                </c:pt>
                <c:pt idx="63">
                  <c:v>104.10283598814704</c:v>
                </c:pt>
                <c:pt idx="64">
                  <c:v>104.97004214706521</c:v>
                </c:pt>
                <c:pt idx="65">
                  <c:v>104.10704983310275</c:v>
                </c:pt>
                <c:pt idx="66">
                  <c:v>104.37473080932374</c:v>
                </c:pt>
                <c:pt idx="67">
                  <c:v>104.95660953721563</c:v>
                </c:pt>
                <c:pt idx="68">
                  <c:v>104.03305690875933</c:v>
                </c:pt>
                <c:pt idx="69">
                  <c:v>105.26900583100581</c:v>
                </c:pt>
                <c:pt idx="70">
                  <c:v>103.4241093181035</c:v>
                </c:pt>
                <c:pt idx="71">
                  <c:v>102.60302048093125</c:v>
                </c:pt>
                <c:pt idx="72">
                  <c:v>100.9584382519373</c:v>
                </c:pt>
                <c:pt idx="73">
                  <c:v>100.60955068742454</c:v>
                </c:pt>
                <c:pt idx="74">
                  <c:v>103.73309850677151</c:v>
                </c:pt>
                <c:pt idx="75">
                  <c:v>102.99301261482626</c:v>
                </c:pt>
                <c:pt idx="76">
                  <c:v>103.11432122202753</c:v>
                </c:pt>
                <c:pt idx="77">
                  <c:v>99.716474026854371</c:v>
                </c:pt>
                <c:pt idx="78">
                  <c:v>96.357334678839578</c:v>
                </c:pt>
                <c:pt idx="79">
                  <c:v>93.874017157868067</c:v>
                </c:pt>
                <c:pt idx="80">
                  <c:v>90.280273166807063</c:v>
                </c:pt>
                <c:pt idx="81">
                  <c:v>89.553424074072169</c:v>
                </c:pt>
                <c:pt idx="82">
                  <c:v>92.107319581839306</c:v>
                </c:pt>
                <c:pt idx="83">
                  <c:v>95.613841681772129</c:v>
                </c:pt>
                <c:pt idx="84">
                  <c:v>97.707965976256602</c:v>
                </c:pt>
                <c:pt idx="85">
                  <c:v>96.616587965149122</c:v>
                </c:pt>
                <c:pt idx="86">
                  <c:v>96.723265601388889</c:v>
                </c:pt>
                <c:pt idx="87">
                  <c:v>95.506365138124423</c:v>
                </c:pt>
                <c:pt idx="88">
                  <c:v>94.841071077930508</c:v>
                </c:pt>
                <c:pt idx="89">
                  <c:v>96.371965649801126</c:v>
                </c:pt>
                <c:pt idx="90">
                  <c:v>93.768945168869834</c:v>
                </c:pt>
                <c:pt idx="91">
                  <c:v>92.727898324464022</c:v>
                </c:pt>
                <c:pt idx="92">
                  <c:v>95.658956453045363</c:v>
                </c:pt>
                <c:pt idx="93">
                  <c:v>96.657496723892208</c:v>
                </c:pt>
                <c:pt idx="94">
                  <c:v>96.0292970311896</c:v>
                </c:pt>
                <c:pt idx="95">
                  <c:v>97.970634200113935</c:v>
                </c:pt>
                <c:pt idx="96">
                  <c:v>97.090997981818902</c:v>
                </c:pt>
                <c:pt idx="97">
                  <c:v>97.201278533820059</c:v>
                </c:pt>
                <c:pt idx="98">
                  <c:v>96.228600932199626</c:v>
                </c:pt>
                <c:pt idx="99">
                  <c:v>99.349947839961928</c:v>
                </c:pt>
                <c:pt idx="100">
                  <c:v>98.586004379735726</c:v>
                </c:pt>
                <c:pt idx="101">
                  <c:v>97.398381523245419</c:v>
                </c:pt>
                <c:pt idx="102">
                  <c:v>97.123283240011276</c:v>
                </c:pt>
                <c:pt idx="103">
                  <c:v>96.567267181345784</c:v>
                </c:pt>
                <c:pt idx="104">
                  <c:v>95.359193861696738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DD_ChartDates</c15:sqref>
                        </c15:formulaRef>
                      </c:ext>
                    </c:extLst>
                    <c:strCache>
                      <c:ptCount val="105"/>
                      <c:pt idx="0">
                        <c:v>Sep-24</c:v>
                      </c:pt>
                      <c:pt idx="1">
                        <c:v>Sep-24</c:v>
                      </c:pt>
                      <c:pt idx="2">
                        <c:v>Sep-24</c:v>
                      </c:pt>
                      <c:pt idx="3">
                        <c:v>Sep-24</c:v>
                      </c:pt>
                      <c:pt idx="4">
                        <c:v>Oct-24</c:v>
                      </c:pt>
                      <c:pt idx="5">
                        <c:v>Oct-24</c:v>
                      </c:pt>
                      <c:pt idx="6">
                        <c:v>Oct-24</c:v>
                      </c:pt>
                      <c:pt idx="7">
                        <c:v>Oct-24</c:v>
                      </c:pt>
                      <c:pt idx="8">
                        <c:v>Nov-24</c:v>
                      </c:pt>
                      <c:pt idx="9">
                        <c:v>Nov-24</c:v>
                      </c:pt>
                      <c:pt idx="10">
                        <c:v>Nov-24</c:v>
                      </c:pt>
                      <c:pt idx="11">
                        <c:v>Nov-24</c:v>
                      </c:pt>
                      <c:pt idx="12">
                        <c:v>Dec-24</c:v>
                      </c:pt>
                      <c:pt idx="13">
                        <c:v>Dec-24</c:v>
                      </c:pt>
                      <c:pt idx="14">
                        <c:v>Dec-24</c:v>
                      </c:pt>
                      <c:pt idx="15">
                        <c:v>Dec-24</c:v>
                      </c:pt>
                      <c:pt idx="16">
                        <c:v>Dec-24</c:v>
                      </c:pt>
                      <c:pt idx="17">
                        <c:v>Jan-25</c:v>
                      </c:pt>
                      <c:pt idx="18">
                        <c:v>Jan-25</c:v>
                      </c:pt>
                      <c:pt idx="19">
                        <c:v>Jan-25</c:v>
                      </c:pt>
                      <c:pt idx="20">
                        <c:v>Jan-25</c:v>
                      </c:pt>
                      <c:pt idx="21">
                        <c:v>Feb-25</c:v>
                      </c:pt>
                      <c:pt idx="22">
                        <c:v>Feb-25</c:v>
                      </c:pt>
                      <c:pt idx="23">
                        <c:v>Feb-25</c:v>
                      </c:pt>
                      <c:pt idx="24">
                        <c:v>Feb-25</c:v>
                      </c:pt>
                      <c:pt idx="25">
                        <c:v>Mar-25</c:v>
                      </c:pt>
                      <c:pt idx="26">
                        <c:v>Mar-25</c:v>
                      </c:pt>
                      <c:pt idx="27">
                        <c:v>Mar-25</c:v>
                      </c:pt>
                      <c:pt idx="28">
                        <c:v>Mar-25</c:v>
                      </c:pt>
                      <c:pt idx="29">
                        <c:v>Mar-25</c:v>
                      </c:pt>
                      <c:pt idx="30">
                        <c:v>Apr-25</c:v>
                      </c:pt>
                      <c:pt idx="31">
                        <c:v>Apr-25</c:v>
                      </c:pt>
                      <c:pt idx="32">
                        <c:v>Apr-25</c:v>
                      </c:pt>
                      <c:pt idx="33">
                        <c:v>Apr-25</c:v>
                      </c:pt>
                      <c:pt idx="34">
                        <c:v>May-25</c:v>
                      </c:pt>
                      <c:pt idx="35">
                        <c:v>May-25</c:v>
                      </c:pt>
                      <c:pt idx="36">
                        <c:v>May-25</c:v>
                      </c:pt>
                      <c:pt idx="37">
                        <c:v>May-25</c:v>
                      </c:pt>
                      <c:pt idx="38">
                        <c:v>Jun-25</c:v>
                      </c:pt>
                      <c:pt idx="39">
                        <c:v>Jun-25</c:v>
                      </c:pt>
                      <c:pt idx="40">
                        <c:v>Jun-25</c:v>
                      </c:pt>
                      <c:pt idx="41">
                        <c:v>Jun-25</c:v>
                      </c:pt>
                      <c:pt idx="42">
                        <c:v>Jun-25</c:v>
                      </c:pt>
                      <c:pt idx="43">
                        <c:v>Jul-25</c:v>
                      </c:pt>
                      <c:pt idx="44">
                        <c:v>Jul-25</c:v>
                      </c:pt>
                      <c:pt idx="45">
                        <c:v>Jul-25</c:v>
                      </c:pt>
                      <c:pt idx="46">
                        <c:v>Jul-25</c:v>
                      </c:pt>
                      <c:pt idx="47">
                        <c:v>Aug-25</c:v>
                      </c:pt>
                      <c:pt idx="48">
                        <c:v>Aug-25</c:v>
                      </c:pt>
                      <c:pt idx="49">
                        <c:v>Aug-25</c:v>
                      </c:pt>
                      <c:pt idx="50">
                        <c:v>Aug-25</c:v>
                      </c:pt>
                      <c:pt idx="51">
                        <c:v>Sep-25</c:v>
                      </c:pt>
                      <c:pt idx="52">
                        <c:v>Sep-25</c:v>
                      </c:pt>
                      <c:pt idx="53">
                        <c:v>Sep-25</c:v>
                      </c:pt>
                      <c:pt idx="54">
                        <c:v>Sep-25</c:v>
                      </c:pt>
                      <c:pt idx="55">
                        <c:v>Sep-25</c:v>
                      </c:pt>
                      <c:pt idx="56">
                        <c:v>Oct-25</c:v>
                      </c:pt>
                      <c:pt idx="57">
                        <c:v>Oct-25</c:v>
                      </c:pt>
                      <c:pt idx="58">
                        <c:v>Oct-25</c:v>
                      </c:pt>
                      <c:pt idx="59">
                        <c:v>Oct-25</c:v>
                      </c:pt>
                      <c:pt idx="60">
                        <c:v>Nov-25</c:v>
                      </c:pt>
                      <c:pt idx="61">
                        <c:v>Nov-25</c:v>
                      </c:pt>
                      <c:pt idx="62">
                        <c:v>Nov-25</c:v>
                      </c:pt>
                      <c:pt idx="63">
                        <c:v>Nov-25</c:v>
                      </c:pt>
                      <c:pt idx="64">
                        <c:v>Dec-25</c:v>
                      </c:pt>
                      <c:pt idx="65">
                        <c:v>Dec-25</c:v>
                      </c:pt>
                      <c:pt idx="66">
                        <c:v>Dec-25</c:v>
                      </c:pt>
                      <c:pt idx="67">
                        <c:v>Dec-25</c:v>
                      </c:pt>
                      <c:pt idx="68">
                        <c:v>Dec-25</c:v>
                      </c:pt>
                      <c:pt idx="69">
                        <c:v>Jan-26</c:v>
                      </c:pt>
                      <c:pt idx="70">
                        <c:v>Jan-26</c:v>
                      </c:pt>
                      <c:pt idx="71">
                        <c:v>Jan-26</c:v>
                      </c:pt>
                      <c:pt idx="72">
                        <c:v>Jan-26</c:v>
                      </c:pt>
                      <c:pt idx="73">
                        <c:v>Feb-26</c:v>
                      </c:pt>
                      <c:pt idx="74">
                        <c:v>Feb-26</c:v>
                      </c:pt>
                      <c:pt idx="75">
                        <c:v>Feb-26</c:v>
                      </c:pt>
                      <c:pt idx="76">
                        <c:v>Feb-26</c:v>
                      </c:pt>
                      <c:pt idx="77">
                        <c:v>Mar-26</c:v>
                      </c:pt>
                      <c:pt idx="78">
                        <c:v>Mar-26</c:v>
                      </c:pt>
                      <c:pt idx="79">
                        <c:v>Mar-26</c:v>
                      </c:pt>
                      <c:pt idx="80">
                        <c:v>Mar-26</c:v>
                      </c:pt>
                      <c:pt idx="81">
                        <c:v>Mar-26</c:v>
                      </c:pt>
                      <c:pt idx="82">
                        <c:v>Apr-26</c:v>
                      </c:pt>
                      <c:pt idx="83">
                        <c:v>Apr-26</c:v>
                      </c:pt>
                      <c:pt idx="84">
                        <c:v>Apr-26</c:v>
                      </c:pt>
                      <c:pt idx="85">
                        <c:v>Apr-26</c:v>
                      </c:pt>
                      <c:pt idx="86">
                        <c:v>May-26</c:v>
                      </c:pt>
                      <c:pt idx="87">
                        <c:v>May-26</c:v>
                      </c:pt>
                      <c:pt idx="88">
                        <c:v>May-26</c:v>
                      </c:pt>
                      <c:pt idx="89">
                        <c:v>May-26</c:v>
                      </c:pt>
                      <c:pt idx="90">
                        <c:v>Jun-26</c:v>
                      </c:pt>
                      <c:pt idx="91">
                        <c:v>Jun-26</c:v>
                      </c:pt>
                      <c:pt idx="92">
                        <c:v>Jun-26</c:v>
                      </c:pt>
                      <c:pt idx="93">
                        <c:v>Jun-26</c:v>
                      </c:pt>
                      <c:pt idx="94">
                        <c:v>Jun-26</c:v>
                      </c:pt>
                      <c:pt idx="95">
                        <c:v>Jul-26</c:v>
                      </c:pt>
                      <c:pt idx="96">
                        <c:v>Jul-26</c:v>
                      </c:pt>
                      <c:pt idx="97">
                        <c:v>Jul-26</c:v>
                      </c:pt>
                      <c:pt idx="98">
                        <c:v>Jul-26</c:v>
                      </c:pt>
                      <c:pt idx="99">
                        <c:v>Aug-26</c:v>
                      </c:pt>
                      <c:pt idx="100">
                        <c:v>Aug-26</c:v>
                      </c:pt>
                      <c:pt idx="101">
                        <c:v>Aug-26</c:v>
                      </c:pt>
                      <c:pt idx="102">
                        <c:v>Aug-26</c:v>
                      </c:pt>
                      <c:pt idx="103">
                        <c:v>Aug-26</c:v>
                      </c:pt>
                      <c:pt idx="104">
                        <c:v>Sep-26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CBB-4B77-9C1A-0A8FE9A7A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054624"/>
        <c:axId val="700820976"/>
      </c:lineChart>
      <c:catAx>
        <c:axId val="89005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BD5E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820976"/>
        <c:crosses val="autoZero"/>
        <c:auto val="1"/>
        <c:lblAlgn val="ctr"/>
        <c:lblOffset val="100"/>
        <c:tickLblSkip val="13"/>
        <c:noMultiLvlLbl val="0"/>
      </c:catAx>
      <c:valAx>
        <c:axId val="70082097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rgbClr val="1E293B"/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BD5E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54624"/>
        <c:crosses val="autoZero"/>
        <c:crossBetween val="between"/>
        <c:majorUnit val="10"/>
      </c:valAx>
      <c:spPr>
        <a:solidFill>
          <a:srgbClr val="0A122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BD5E1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220"/>
    </a:solidFill>
    <a:ln w="25400" cap="flat" cmpd="sng" algn="ctr">
      <a:noFill/>
      <a:round/>
    </a:ln>
    <a:effectLst/>
  </c:spPr>
  <c:txPr>
    <a:bodyPr/>
    <a:lstStyle/>
    <a:p>
      <a:pPr>
        <a:defRPr sz="800">
          <a:solidFill>
            <a:srgbClr val="CBD5E1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Drawdown!$Q$6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rgbClr val="22D3EE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DD_ChartPortDD</c:f>
              <c:numCache>
                <c:formatCode>0.00%;\(0.00%\);\-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-5.8302103969896879E-2</c:v>
                </c:pt>
                <c:pt idx="4">
                  <c:v>-5.492740168687138E-2</c:v>
                </c:pt>
                <c:pt idx="5">
                  <c:v>-5.7226376774535681E-2</c:v>
                </c:pt>
                <c:pt idx="6">
                  <c:v>-8.0259289474018058E-2</c:v>
                </c:pt>
                <c:pt idx="7">
                  <c:v>-7.4289032611909334E-2</c:v>
                </c:pt>
                <c:pt idx="8">
                  <c:v>-7.6354397913131811E-2</c:v>
                </c:pt>
                <c:pt idx="9">
                  <c:v>-9.8750534075267904E-2</c:v>
                </c:pt>
                <c:pt idx="10">
                  <c:v>-8.9154887534596439E-2</c:v>
                </c:pt>
                <c:pt idx="11">
                  <c:v>-7.0024464903206574E-2</c:v>
                </c:pt>
                <c:pt idx="12">
                  <c:v>-5.8002265282592225E-2</c:v>
                </c:pt>
                <c:pt idx="13">
                  <c:v>-5.5796663359021781E-2</c:v>
                </c:pt>
                <c:pt idx="14">
                  <c:v>-9.6657622574832125E-2</c:v>
                </c:pt>
                <c:pt idx="15">
                  <c:v>-8.8667859973803553E-2</c:v>
                </c:pt>
                <c:pt idx="16">
                  <c:v>-7.2849249241562997E-2</c:v>
                </c:pt>
                <c:pt idx="17">
                  <c:v>-8.8556498986584464E-2</c:v>
                </c:pt>
                <c:pt idx="18">
                  <c:v>-8.3301793955292691E-2</c:v>
                </c:pt>
                <c:pt idx="19">
                  <c:v>-9.7491333018700388E-2</c:v>
                </c:pt>
                <c:pt idx="20">
                  <c:v>-8.6969475901892856E-2</c:v>
                </c:pt>
                <c:pt idx="21">
                  <c:v>-7.7666059071489379E-2</c:v>
                </c:pt>
                <c:pt idx="22">
                  <c:v>-9.4275877065643221E-2</c:v>
                </c:pt>
                <c:pt idx="23">
                  <c:v>-9.8068277825180239E-2</c:v>
                </c:pt>
                <c:pt idx="24">
                  <c:v>-0.1253955908718305</c:v>
                </c:pt>
                <c:pt idx="25">
                  <c:v>-0.11167916576104697</c:v>
                </c:pt>
                <c:pt idx="26">
                  <c:v>-0.11498661568825264</c:v>
                </c:pt>
                <c:pt idx="27">
                  <c:v>-8.0732934610818763E-2</c:v>
                </c:pt>
                <c:pt idx="28">
                  <c:v>-7.9479170248694331E-2</c:v>
                </c:pt>
                <c:pt idx="29">
                  <c:v>-7.9479170248694331E-2</c:v>
                </c:pt>
                <c:pt idx="30">
                  <c:v>-0.11063435843731606</c:v>
                </c:pt>
                <c:pt idx="31">
                  <c:v>-0.11063435843731606</c:v>
                </c:pt>
                <c:pt idx="32">
                  <c:v>-6.2115285510192297E-2</c:v>
                </c:pt>
                <c:pt idx="33">
                  <c:v>-2.9161434122291663E-2</c:v>
                </c:pt>
                <c:pt idx="34">
                  <c:v>-3.9885984329548707E-2</c:v>
                </c:pt>
                <c:pt idx="35">
                  <c:v>-6.6224902394749208E-3</c:v>
                </c:pt>
                <c:pt idx="36">
                  <c:v>-1.6931863994762875E-2</c:v>
                </c:pt>
                <c:pt idx="37">
                  <c:v>-1.5520221700199621E-2</c:v>
                </c:pt>
                <c:pt idx="38">
                  <c:v>-4.4096033285508929E-3</c:v>
                </c:pt>
                <c:pt idx="39">
                  <c:v>-1.378860530444348E-2</c:v>
                </c:pt>
                <c:pt idx="40">
                  <c:v>0</c:v>
                </c:pt>
                <c:pt idx="41">
                  <c:v>0</c:v>
                </c:pt>
                <c:pt idx="42">
                  <c:v>-3.0070596809198546E-3</c:v>
                </c:pt>
                <c:pt idx="43">
                  <c:v>-2.488245130416844E-2</c:v>
                </c:pt>
                <c:pt idx="44">
                  <c:v>-4.0664434231520108E-2</c:v>
                </c:pt>
                <c:pt idx="45">
                  <c:v>-4.6998448429272144E-2</c:v>
                </c:pt>
                <c:pt idx="46">
                  <c:v>-4.9836107365610283E-2</c:v>
                </c:pt>
                <c:pt idx="47">
                  <c:v>-5.5039433291216411E-2</c:v>
                </c:pt>
                <c:pt idx="48">
                  <c:v>-3.9249628539082648E-2</c:v>
                </c:pt>
                <c:pt idx="49">
                  <c:v>-2.051565708148595E-2</c:v>
                </c:pt>
                <c:pt idx="50">
                  <c:v>-3.3925616105646261E-2</c:v>
                </c:pt>
                <c:pt idx="51">
                  <c:v>-3.4446406291264609E-2</c:v>
                </c:pt>
                <c:pt idx="52">
                  <c:v>-2.1197420944216283E-2</c:v>
                </c:pt>
                <c:pt idx="53">
                  <c:v>-6.7502476421719138E-3</c:v>
                </c:pt>
                <c:pt idx="54">
                  <c:v>-2.3384926800518513E-2</c:v>
                </c:pt>
                <c:pt idx="55">
                  <c:v>-2.6110744817966935E-2</c:v>
                </c:pt>
                <c:pt idx="56">
                  <c:v>-2.328751855502964E-3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-1.7693940017564302E-2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-2.5814956904058883E-3</c:v>
                </c:pt>
                <c:pt idx="67">
                  <c:v>-1.3307141774768771E-3</c:v>
                </c:pt>
                <c:pt idx="68">
                  <c:v>0</c:v>
                </c:pt>
                <c:pt idx="69">
                  <c:v>-4.2290657064082748E-2</c:v>
                </c:pt>
                <c:pt idx="70">
                  <c:v>-6.0398313204923393E-2</c:v>
                </c:pt>
                <c:pt idx="71">
                  <c:v>-8.8349315539617557E-2</c:v>
                </c:pt>
                <c:pt idx="72">
                  <c:v>-8.8349315539617557E-2</c:v>
                </c:pt>
                <c:pt idx="73">
                  <c:v>-6.761037262921199E-2</c:v>
                </c:pt>
                <c:pt idx="74">
                  <c:v>-8.204380335719319E-2</c:v>
                </c:pt>
                <c:pt idx="75">
                  <c:v>-7.8520444649628152E-2</c:v>
                </c:pt>
                <c:pt idx="76">
                  <c:v>-9.8888269879232049E-2</c:v>
                </c:pt>
                <c:pt idx="77">
                  <c:v>-0.12137723691060398</c:v>
                </c:pt>
                <c:pt idx="78">
                  <c:v>-0.16567774870366503</c:v>
                </c:pt>
                <c:pt idx="79">
                  <c:v>-0.16766219998480236</c:v>
                </c:pt>
                <c:pt idx="80">
                  <c:v>-0.17735436912540958</c:v>
                </c:pt>
                <c:pt idx="81">
                  <c:v>-0.17991189250061801</c:v>
                </c:pt>
                <c:pt idx="82">
                  <c:v>-0.139643279314136</c:v>
                </c:pt>
                <c:pt idx="83">
                  <c:v>-0.13803588025450153</c:v>
                </c:pt>
                <c:pt idx="84">
                  <c:v>-0.1620056745670776</c:v>
                </c:pt>
                <c:pt idx="85">
                  <c:v>-0.14123407512948183</c:v>
                </c:pt>
                <c:pt idx="86">
                  <c:v>-0.13776623094385232</c:v>
                </c:pt>
                <c:pt idx="87">
                  <c:v>-0.15215097241812647</c:v>
                </c:pt>
                <c:pt idx="88">
                  <c:v>-0.15338334321605118</c:v>
                </c:pt>
                <c:pt idx="89">
                  <c:v>-0.15768588137352801</c:v>
                </c:pt>
                <c:pt idx="90">
                  <c:v>-0.16981918968868925</c:v>
                </c:pt>
                <c:pt idx="91">
                  <c:v>-0.16213319836401985</c:v>
                </c:pt>
                <c:pt idx="92">
                  <c:v>-0.14875201804772908</c:v>
                </c:pt>
                <c:pt idx="93">
                  <c:v>-0.1413394337805427</c:v>
                </c:pt>
                <c:pt idx="94">
                  <c:v>-0.13530087357619847</c:v>
                </c:pt>
                <c:pt idx="95">
                  <c:v>-0.13592266094784422</c:v>
                </c:pt>
                <c:pt idx="96">
                  <c:v>-0.13783749836292913</c:v>
                </c:pt>
                <c:pt idx="97">
                  <c:v>-0.15791115558909008</c:v>
                </c:pt>
                <c:pt idx="98">
                  <c:v>-0.12783600607455803</c:v>
                </c:pt>
                <c:pt idx="99">
                  <c:v>-0.12541723023768092</c:v>
                </c:pt>
                <c:pt idx="100">
                  <c:v>-0.12999682226824283</c:v>
                </c:pt>
                <c:pt idx="101">
                  <c:v>-0.13765061197998052</c:v>
                </c:pt>
                <c:pt idx="102">
                  <c:v>-0.15008444410905863</c:v>
                </c:pt>
                <c:pt idx="103">
                  <c:v>-0.16077197650266239</c:v>
                </c:pt>
                <c:pt idx="104">
                  <c:v>-0.16025597548522486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DD_ChartDDDates</c15:sqref>
                        </c15:formulaRef>
                      </c:ext>
                    </c:extLst>
                    <c:strCache>
                      <c:ptCount val="105"/>
                      <c:pt idx="0">
                        <c:v>Sep-24</c:v>
                      </c:pt>
                      <c:pt idx="1">
                        <c:v>Sep-24</c:v>
                      </c:pt>
                      <c:pt idx="2">
                        <c:v>Sep-24</c:v>
                      </c:pt>
                      <c:pt idx="3">
                        <c:v>Sep-24</c:v>
                      </c:pt>
                      <c:pt idx="4">
                        <c:v>Oct-24</c:v>
                      </c:pt>
                      <c:pt idx="5">
                        <c:v>Oct-24</c:v>
                      </c:pt>
                      <c:pt idx="6">
                        <c:v>Oct-24</c:v>
                      </c:pt>
                      <c:pt idx="7">
                        <c:v>Oct-24</c:v>
                      </c:pt>
                      <c:pt idx="8">
                        <c:v>Nov-24</c:v>
                      </c:pt>
                      <c:pt idx="9">
                        <c:v>Nov-24</c:v>
                      </c:pt>
                      <c:pt idx="10">
                        <c:v>Nov-24</c:v>
                      </c:pt>
                      <c:pt idx="11">
                        <c:v>Nov-24</c:v>
                      </c:pt>
                      <c:pt idx="12">
                        <c:v>Dec-24</c:v>
                      </c:pt>
                      <c:pt idx="13">
                        <c:v>Dec-24</c:v>
                      </c:pt>
                      <c:pt idx="14">
                        <c:v>Dec-24</c:v>
                      </c:pt>
                      <c:pt idx="15">
                        <c:v>Dec-24</c:v>
                      </c:pt>
                      <c:pt idx="16">
                        <c:v>Dec-24</c:v>
                      </c:pt>
                      <c:pt idx="17">
                        <c:v>Jan-25</c:v>
                      </c:pt>
                      <c:pt idx="18">
                        <c:v>Jan-25</c:v>
                      </c:pt>
                      <c:pt idx="19">
                        <c:v>Jan-25</c:v>
                      </c:pt>
                      <c:pt idx="20">
                        <c:v>Jan-25</c:v>
                      </c:pt>
                      <c:pt idx="21">
                        <c:v>Feb-25</c:v>
                      </c:pt>
                      <c:pt idx="22">
                        <c:v>Feb-25</c:v>
                      </c:pt>
                      <c:pt idx="23">
                        <c:v>Feb-25</c:v>
                      </c:pt>
                      <c:pt idx="24">
                        <c:v>Feb-25</c:v>
                      </c:pt>
                      <c:pt idx="25">
                        <c:v>Mar-25</c:v>
                      </c:pt>
                      <c:pt idx="26">
                        <c:v>Mar-25</c:v>
                      </c:pt>
                      <c:pt idx="27">
                        <c:v>Mar-25</c:v>
                      </c:pt>
                      <c:pt idx="28">
                        <c:v>Mar-25</c:v>
                      </c:pt>
                      <c:pt idx="29">
                        <c:v>Mar-25</c:v>
                      </c:pt>
                      <c:pt idx="30">
                        <c:v>Apr-25</c:v>
                      </c:pt>
                      <c:pt idx="31">
                        <c:v>Apr-25</c:v>
                      </c:pt>
                      <c:pt idx="32">
                        <c:v>Apr-25</c:v>
                      </c:pt>
                      <c:pt idx="33">
                        <c:v>Apr-25</c:v>
                      </c:pt>
                      <c:pt idx="34">
                        <c:v>May-25</c:v>
                      </c:pt>
                      <c:pt idx="35">
                        <c:v>May-25</c:v>
                      </c:pt>
                      <c:pt idx="36">
                        <c:v>May-25</c:v>
                      </c:pt>
                      <c:pt idx="37">
                        <c:v>May-25</c:v>
                      </c:pt>
                      <c:pt idx="38">
                        <c:v>Jun-25</c:v>
                      </c:pt>
                      <c:pt idx="39">
                        <c:v>Jun-25</c:v>
                      </c:pt>
                      <c:pt idx="40">
                        <c:v>Jun-25</c:v>
                      </c:pt>
                      <c:pt idx="41">
                        <c:v>Jun-25</c:v>
                      </c:pt>
                      <c:pt idx="42">
                        <c:v>Jun-25</c:v>
                      </c:pt>
                      <c:pt idx="43">
                        <c:v>Jul-25</c:v>
                      </c:pt>
                      <c:pt idx="44">
                        <c:v>Jul-25</c:v>
                      </c:pt>
                      <c:pt idx="45">
                        <c:v>Jul-25</c:v>
                      </c:pt>
                      <c:pt idx="46">
                        <c:v>Jul-25</c:v>
                      </c:pt>
                      <c:pt idx="47">
                        <c:v>Aug-25</c:v>
                      </c:pt>
                      <c:pt idx="48">
                        <c:v>Aug-25</c:v>
                      </c:pt>
                      <c:pt idx="49">
                        <c:v>Aug-25</c:v>
                      </c:pt>
                      <c:pt idx="50">
                        <c:v>Aug-25</c:v>
                      </c:pt>
                      <c:pt idx="51">
                        <c:v>Sep-25</c:v>
                      </c:pt>
                      <c:pt idx="52">
                        <c:v>Sep-25</c:v>
                      </c:pt>
                      <c:pt idx="53">
                        <c:v>Sep-25</c:v>
                      </c:pt>
                      <c:pt idx="54">
                        <c:v>Sep-25</c:v>
                      </c:pt>
                      <c:pt idx="55">
                        <c:v>Sep-25</c:v>
                      </c:pt>
                      <c:pt idx="56">
                        <c:v>Oct-25</c:v>
                      </c:pt>
                      <c:pt idx="57">
                        <c:v>Oct-25</c:v>
                      </c:pt>
                      <c:pt idx="58">
                        <c:v>Oct-25</c:v>
                      </c:pt>
                      <c:pt idx="59">
                        <c:v>Oct-25</c:v>
                      </c:pt>
                      <c:pt idx="60">
                        <c:v>Nov-25</c:v>
                      </c:pt>
                      <c:pt idx="61">
                        <c:v>Nov-25</c:v>
                      </c:pt>
                      <c:pt idx="62">
                        <c:v>Nov-25</c:v>
                      </c:pt>
                      <c:pt idx="63">
                        <c:v>Nov-25</c:v>
                      </c:pt>
                      <c:pt idx="64">
                        <c:v>Dec-25</c:v>
                      </c:pt>
                      <c:pt idx="65">
                        <c:v>Dec-25</c:v>
                      </c:pt>
                      <c:pt idx="66">
                        <c:v>Dec-25</c:v>
                      </c:pt>
                      <c:pt idx="67">
                        <c:v>Dec-25</c:v>
                      </c:pt>
                      <c:pt idx="68">
                        <c:v>Dec-25</c:v>
                      </c:pt>
                      <c:pt idx="69">
                        <c:v>Jan-26</c:v>
                      </c:pt>
                      <c:pt idx="70">
                        <c:v>Jan-26</c:v>
                      </c:pt>
                      <c:pt idx="71">
                        <c:v>Jan-26</c:v>
                      </c:pt>
                      <c:pt idx="72">
                        <c:v>Jan-26</c:v>
                      </c:pt>
                      <c:pt idx="73">
                        <c:v>Feb-26</c:v>
                      </c:pt>
                      <c:pt idx="74">
                        <c:v>Feb-26</c:v>
                      </c:pt>
                      <c:pt idx="75">
                        <c:v>Feb-26</c:v>
                      </c:pt>
                      <c:pt idx="76">
                        <c:v>Feb-26</c:v>
                      </c:pt>
                      <c:pt idx="77">
                        <c:v>Mar-26</c:v>
                      </c:pt>
                      <c:pt idx="78">
                        <c:v>Mar-26</c:v>
                      </c:pt>
                      <c:pt idx="79">
                        <c:v>Mar-26</c:v>
                      </c:pt>
                      <c:pt idx="80">
                        <c:v>Mar-26</c:v>
                      </c:pt>
                      <c:pt idx="81">
                        <c:v>Mar-26</c:v>
                      </c:pt>
                      <c:pt idx="82">
                        <c:v>Apr-26</c:v>
                      </c:pt>
                      <c:pt idx="83">
                        <c:v>Apr-26</c:v>
                      </c:pt>
                      <c:pt idx="84">
                        <c:v>Apr-26</c:v>
                      </c:pt>
                      <c:pt idx="85">
                        <c:v>Apr-26</c:v>
                      </c:pt>
                      <c:pt idx="86">
                        <c:v>May-26</c:v>
                      </c:pt>
                      <c:pt idx="87">
                        <c:v>May-26</c:v>
                      </c:pt>
                      <c:pt idx="88">
                        <c:v>May-26</c:v>
                      </c:pt>
                      <c:pt idx="89">
                        <c:v>May-26</c:v>
                      </c:pt>
                      <c:pt idx="90">
                        <c:v>Jun-26</c:v>
                      </c:pt>
                      <c:pt idx="91">
                        <c:v>Jun-26</c:v>
                      </c:pt>
                      <c:pt idx="92">
                        <c:v>Jun-26</c:v>
                      </c:pt>
                      <c:pt idx="93">
                        <c:v>Jun-26</c:v>
                      </c:pt>
                      <c:pt idx="94">
                        <c:v>Jun-26</c:v>
                      </c:pt>
                      <c:pt idx="95">
                        <c:v>Jul-26</c:v>
                      </c:pt>
                      <c:pt idx="96">
                        <c:v>Jul-26</c:v>
                      </c:pt>
                      <c:pt idx="97">
                        <c:v>Jul-26</c:v>
                      </c:pt>
                      <c:pt idx="98">
                        <c:v>Jul-26</c:v>
                      </c:pt>
                      <c:pt idx="99">
                        <c:v>Aug-26</c:v>
                      </c:pt>
                      <c:pt idx="100">
                        <c:v>Aug-26</c:v>
                      </c:pt>
                      <c:pt idx="101">
                        <c:v>Aug-26</c:v>
                      </c:pt>
                      <c:pt idx="102">
                        <c:v>Aug-26</c:v>
                      </c:pt>
                      <c:pt idx="103">
                        <c:v>Aug-26</c:v>
                      </c:pt>
                      <c:pt idx="104">
                        <c:v>Sep-26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274-4781-99DE-168F5AB430FE}"/>
            </c:ext>
          </c:extLst>
        </c:ser>
        <c:ser>
          <c:idx val="1"/>
          <c:order val="1"/>
          <c:tx>
            <c:strRef>
              <c:f>Drawdown!$R$6</c:f>
              <c:strCache>
                <c:ptCount val="1"/>
                <c:pt idx="0">
                  <c:v>NIFTY 50</c:v>
                </c:pt>
              </c:strCache>
            </c:strRef>
          </c:tx>
          <c:spPr>
            <a:ln w="19050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DD_ChartBenchDD</c:f>
              <c:numCache>
                <c:formatCode>0.00%;\(0.00%\);\-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-4.9424002811879753E-3</c:v>
                </c:pt>
                <c:pt idx="4">
                  <c:v>-4.4076430972425307E-2</c:v>
                </c:pt>
                <c:pt idx="5">
                  <c:v>-3.1269515964181038E-2</c:v>
                </c:pt>
                <c:pt idx="6">
                  <c:v>-4.4641231540824999E-2</c:v>
                </c:pt>
                <c:pt idx="7">
                  <c:v>-6.1679218878027964E-2</c:v>
                </c:pt>
                <c:pt idx="8">
                  <c:v>-7.4933396301456012E-2</c:v>
                </c:pt>
                <c:pt idx="9">
                  <c:v>-6.9306699584377185E-2</c:v>
                </c:pt>
                <c:pt idx="10">
                  <c:v>-9.5811139002683232E-2</c:v>
                </c:pt>
                <c:pt idx="11">
                  <c:v>-6.619943054609545E-2</c:v>
                </c:pt>
                <c:pt idx="12">
                  <c:v>-6.4111829458389447E-2</c:v>
                </c:pt>
                <c:pt idx="13">
                  <c:v>-5.0890481397422582E-2</c:v>
                </c:pt>
                <c:pt idx="14">
                  <c:v>-4.8991799737274744E-2</c:v>
                </c:pt>
                <c:pt idx="15">
                  <c:v>-8.4259118844852265E-2</c:v>
                </c:pt>
                <c:pt idx="16">
                  <c:v>-8.8443883701531778E-2</c:v>
                </c:pt>
                <c:pt idx="17">
                  <c:v>-8.9556091299963003E-2</c:v>
                </c:pt>
                <c:pt idx="18">
                  <c:v>-0.10999252002553472</c:v>
                </c:pt>
                <c:pt idx="19">
                  <c:v>-0.10001525511200626</c:v>
                </c:pt>
                <c:pt idx="20">
                  <c:v>-0.11989260581859806</c:v>
                </c:pt>
                <c:pt idx="21">
                  <c:v>-9.9386828829661988E-2</c:v>
                </c:pt>
                <c:pt idx="22">
                  <c:v>-9.8594632218525602E-2</c:v>
                </c:pt>
                <c:pt idx="23">
                  <c:v>-0.11486737916422773</c:v>
                </c:pt>
                <c:pt idx="24">
                  <c:v>-0.13052525323410646</c:v>
                </c:pt>
                <c:pt idx="25">
                  <c:v>-0.1472586654081075</c:v>
                </c:pt>
                <c:pt idx="26">
                  <c:v>-0.13411246345662786</c:v>
                </c:pt>
                <c:pt idx="27">
                  <c:v>-0.13224465344466618</c:v>
                </c:pt>
                <c:pt idx="28">
                  <c:v>-8.7925390605411158E-2</c:v>
                </c:pt>
                <c:pt idx="29">
                  <c:v>-0.1069180050530113</c:v>
                </c:pt>
                <c:pt idx="30">
                  <c:v>-0.14562796471355566</c:v>
                </c:pt>
                <c:pt idx="31">
                  <c:v>-0.10063976596579993</c:v>
                </c:pt>
                <c:pt idx="32">
                  <c:v>-6.9913892196505678E-2</c:v>
                </c:pt>
                <c:pt idx="33">
                  <c:v>-6.2089811798902828E-2</c:v>
                </c:pt>
                <c:pt idx="34">
                  <c:v>-5.6975885628524847E-2</c:v>
                </c:pt>
                <c:pt idx="35">
                  <c:v>-3.9105192054029292E-2</c:v>
                </c:pt>
                <c:pt idx="36">
                  <c:v>-3.8305239882494901E-2</c:v>
                </c:pt>
                <c:pt idx="37">
                  <c:v>-3.6157853212691937E-2</c:v>
                </c:pt>
                <c:pt idx="38">
                  <c:v>-4.7127829857160464E-2</c:v>
                </c:pt>
                <c:pt idx="39">
                  <c:v>-3.2223675783239925E-2</c:v>
                </c:pt>
                <c:pt idx="40">
                  <c:v>-3.8264730256338475E-2</c:v>
                </c:pt>
                <c:pt idx="41">
                  <c:v>-3.7285496635216187E-2</c:v>
                </c:pt>
                <c:pt idx="42">
                  <c:v>-1.6268906813854622E-2</c:v>
                </c:pt>
                <c:pt idx="43">
                  <c:v>-1.8418175901230072E-2</c:v>
                </c:pt>
                <c:pt idx="44">
                  <c:v>-3.3029350504194199E-2</c:v>
                </c:pt>
                <c:pt idx="45">
                  <c:v>-3.2705574681754612E-2</c:v>
                </c:pt>
                <c:pt idx="46">
                  <c:v>-4.8504102992637299E-2</c:v>
                </c:pt>
                <c:pt idx="47">
                  <c:v>-4.6890720539750852E-2</c:v>
                </c:pt>
                <c:pt idx="48">
                  <c:v>-5.2199288687107104E-2</c:v>
                </c:pt>
                <c:pt idx="49">
                  <c:v>-4.0946045846355306E-2</c:v>
                </c:pt>
                <c:pt idx="50">
                  <c:v>-3.7445502128863772E-2</c:v>
                </c:pt>
                <c:pt idx="51">
                  <c:v>-5.065721221186037E-2</c:v>
                </c:pt>
                <c:pt idx="52">
                  <c:v>-4.494768912159941E-2</c:v>
                </c:pt>
                <c:pt idx="53">
                  <c:v>-3.3534440787200026E-2</c:v>
                </c:pt>
                <c:pt idx="54">
                  <c:v>-2.84012386608814E-2</c:v>
                </c:pt>
                <c:pt idx="55">
                  <c:v>-5.0277490939171332E-2</c:v>
                </c:pt>
                <c:pt idx="56">
                  <c:v>-3.320863195378243E-2</c:v>
                </c:pt>
                <c:pt idx="57">
                  <c:v>-2.7437440863851914E-2</c:v>
                </c:pt>
                <c:pt idx="58">
                  <c:v>-3.6971434087449406E-3</c:v>
                </c:pt>
                <c:pt idx="59">
                  <c:v>0</c:v>
                </c:pt>
                <c:pt idx="60">
                  <c:v>-7.8063920302184897E-3</c:v>
                </c:pt>
                <c:pt idx="61">
                  <c:v>-1.5085126928806813E-2</c:v>
                </c:pt>
                <c:pt idx="62">
                  <c:v>0</c:v>
                </c:pt>
                <c:pt idx="63">
                  <c:v>-2.0738971712799259E-3</c:v>
                </c:pt>
                <c:pt idx="64">
                  <c:v>0</c:v>
                </c:pt>
                <c:pt idx="65">
                  <c:v>-8.2213200672377473E-3</c:v>
                </c:pt>
                <c:pt idx="66">
                  <c:v>-5.6712498686761759E-3</c:v>
                </c:pt>
                <c:pt idx="67">
                  <c:v>-1.2796612800025642E-4</c:v>
                </c:pt>
                <c:pt idx="68">
                  <c:v>-8.9262157006009257E-3</c:v>
                </c:pt>
                <c:pt idx="69">
                  <c:v>0</c:v>
                </c:pt>
                <c:pt idx="70">
                  <c:v>-1.7525543234102825E-2</c:v>
                </c:pt>
                <c:pt idx="71">
                  <c:v>-2.5325453860126856E-2</c:v>
                </c:pt>
                <c:pt idx="72">
                  <c:v>-4.094811711234847E-2</c:v>
                </c:pt>
                <c:pt idx="73">
                  <c:v>-4.4262364850878866E-2</c:v>
                </c:pt>
                <c:pt idx="74">
                  <c:v>-1.4590309009852143E-2</c:v>
                </c:pt>
                <c:pt idx="75">
                  <c:v>-2.1620734405275344E-2</c:v>
                </c:pt>
                <c:pt idx="76">
                  <c:v>-2.0468366657108161E-2</c:v>
                </c:pt>
                <c:pt idx="77">
                  <c:v>-5.2746121807830448E-2</c:v>
                </c:pt>
                <c:pt idx="78">
                  <c:v>-8.4656172838495691E-2</c:v>
                </c:pt>
                <c:pt idx="79">
                  <c:v>-0.10824637872452936</c:v>
                </c:pt>
                <c:pt idx="80">
                  <c:v>-0.14238505005225366</c:v>
                </c:pt>
                <c:pt idx="81">
                  <c:v>-0.14928973284085856</c:v>
                </c:pt>
                <c:pt idx="82">
                  <c:v>-0.12502907332758229</c:v>
                </c:pt>
                <c:pt idx="83">
                  <c:v>-9.1718963934490416E-2</c:v>
                </c:pt>
                <c:pt idx="84">
                  <c:v>-7.1825888304553498E-2</c:v>
                </c:pt>
                <c:pt idx="85">
                  <c:v>-8.2193403438680646E-2</c:v>
                </c:pt>
                <c:pt idx="86">
                  <c:v>-8.1180022193197865E-2</c:v>
                </c:pt>
                <c:pt idx="87">
                  <c:v>-9.273993437872774E-2</c:v>
                </c:pt>
                <c:pt idx="88">
                  <c:v>-9.9059876843672789E-2</c:v>
                </c:pt>
                <c:pt idx="89">
                  <c:v>-8.4517186335810957E-2</c:v>
                </c:pt>
                <c:pt idx="90">
                  <c:v>-0.10924450716859302</c:v>
                </c:pt>
                <c:pt idx="91">
                  <c:v>-0.11913390278117308</c:v>
                </c:pt>
                <c:pt idx="92">
                  <c:v>-9.1290397416576741E-2</c:v>
                </c:pt>
                <c:pt idx="93">
                  <c:v>-8.1804791820093148E-2</c:v>
                </c:pt>
                <c:pt idx="94">
                  <c:v>-8.7772357370309306E-2</c:v>
                </c:pt>
                <c:pt idx="95">
                  <c:v>-6.9330678800257339E-2</c:v>
                </c:pt>
                <c:pt idx="96">
                  <c:v>-7.768675864874719E-2</c:v>
                </c:pt>
                <c:pt idx="97">
                  <c:v>-7.6639151604958933E-2</c:v>
                </c:pt>
                <c:pt idx="98">
                  <c:v>-8.5879075492735768E-2</c:v>
                </c:pt>
                <c:pt idx="99">
                  <c:v>-5.6227927150239054E-2</c:v>
                </c:pt>
                <c:pt idx="100">
                  <c:v>-6.3484986853572845E-2</c:v>
                </c:pt>
                <c:pt idx="101">
                  <c:v>-7.4766777225915293E-2</c:v>
                </c:pt>
                <c:pt idx="102">
                  <c:v>-7.7380065734365511E-2</c:v>
                </c:pt>
                <c:pt idx="103">
                  <c:v>-8.2661924855920166E-2</c:v>
                </c:pt>
                <c:pt idx="104">
                  <c:v>-9.4137983835601569E-2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DD_ChartDDDates</c15:sqref>
                        </c15:formulaRef>
                      </c:ext>
                    </c:extLst>
                    <c:strCache>
                      <c:ptCount val="105"/>
                      <c:pt idx="0">
                        <c:v>Sep-24</c:v>
                      </c:pt>
                      <c:pt idx="1">
                        <c:v>Sep-24</c:v>
                      </c:pt>
                      <c:pt idx="2">
                        <c:v>Sep-24</c:v>
                      </c:pt>
                      <c:pt idx="3">
                        <c:v>Sep-24</c:v>
                      </c:pt>
                      <c:pt idx="4">
                        <c:v>Oct-24</c:v>
                      </c:pt>
                      <c:pt idx="5">
                        <c:v>Oct-24</c:v>
                      </c:pt>
                      <c:pt idx="6">
                        <c:v>Oct-24</c:v>
                      </c:pt>
                      <c:pt idx="7">
                        <c:v>Oct-24</c:v>
                      </c:pt>
                      <c:pt idx="8">
                        <c:v>Nov-24</c:v>
                      </c:pt>
                      <c:pt idx="9">
                        <c:v>Nov-24</c:v>
                      </c:pt>
                      <c:pt idx="10">
                        <c:v>Nov-24</c:v>
                      </c:pt>
                      <c:pt idx="11">
                        <c:v>Nov-24</c:v>
                      </c:pt>
                      <c:pt idx="12">
                        <c:v>Dec-24</c:v>
                      </c:pt>
                      <c:pt idx="13">
                        <c:v>Dec-24</c:v>
                      </c:pt>
                      <c:pt idx="14">
                        <c:v>Dec-24</c:v>
                      </c:pt>
                      <c:pt idx="15">
                        <c:v>Dec-24</c:v>
                      </c:pt>
                      <c:pt idx="16">
                        <c:v>Dec-24</c:v>
                      </c:pt>
                      <c:pt idx="17">
                        <c:v>Jan-25</c:v>
                      </c:pt>
                      <c:pt idx="18">
                        <c:v>Jan-25</c:v>
                      </c:pt>
                      <c:pt idx="19">
                        <c:v>Jan-25</c:v>
                      </c:pt>
                      <c:pt idx="20">
                        <c:v>Jan-25</c:v>
                      </c:pt>
                      <c:pt idx="21">
                        <c:v>Feb-25</c:v>
                      </c:pt>
                      <c:pt idx="22">
                        <c:v>Feb-25</c:v>
                      </c:pt>
                      <c:pt idx="23">
                        <c:v>Feb-25</c:v>
                      </c:pt>
                      <c:pt idx="24">
                        <c:v>Feb-25</c:v>
                      </c:pt>
                      <c:pt idx="25">
                        <c:v>Mar-25</c:v>
                      </c:pt>
                      <c:pt idx="26">
                        <c:v>Mar-25</c:v>
                      </c:pt>
                      <c:pt idx="27">
                        <c:v>Mar-25</c:v>
                      </c:pt>
                      <c:pt idx="28">
                        <c:v>Mar-25</c:v>
                      </c:pt>
                      <c:pt idx="29">
                        <c:v>Mar-25</c:v>
                      </c:pt>
                      <c:pt idx="30">
                        <c:v>Apr-25</c:v>
                      </c:pt>
                      <c:pt idx="31">
                        <c:v>Apr-25</c:v>
                      </c:pt>
                      <c:pt idx="32">
                        <c:v>Apr-25</c:v>
                      </c:pt>
                      <c:pt idx="33">
                        <c:v>Apr-25</c:v>
                      </c:pt>
                      <c:pt idx="34">
                        <c:v>May-25</c:v>
                      </c:pt>
                      <c:pt idx="35">
                        <c:v>May-25</c:v>
                      </c:pt>
                      <c:pt idx="36">
                        <c:v>May-25</c:v>
                      </c:pt>
                      <c:pt idx="37">
                        <c:v>May-25</c:v>
                      </c:pt>
                      <c:pt idx="38">
                        <c:v>Jun-25</c:v>
                      </c:pt>
                      <c:pt idx="39">
                        <c:v>Jun-25</c:v>
                      </c:pt>
                      <c:pt idx="40">
                        <c:v>Jun-25</c:v>
                      </c:pt>
                      <c:pt idx="41">
                        <c:v>Jun-25</c:v>
                      </c:pt>
                      <c:pt idx="42">
                        <c:v>Jun-25</c:v>
                      </c:pt>
                      <c:pt idx="43">
                        <c:v>Jul-25</c:v>
                      </c:pt>
                      <c:pt idx="44">
                        <c:v>Jul-25</c:v>
                      </c:pt>
                      <c:pt idx="45">
                        <c:v>Jul-25</c:v>
                      </c:pt>
                      <c:pt idx="46">
                        <c:v>Jul-25</c:v>
                      </c:pt>
                      <c:pt idx="47">
                        <c:v>Aug-25</c:v>
                      </c:pt>
                      <c:pt idx="48">
                        <c:v>Aug-25</c:v>
                      </c:pt>
                      <c:pt idx="49">
                        <c:v>Aug-25</c:v>
                      </c:pt>
                      <c:pt idx="50">
                        <c:v>Aug-25</c:v>
                      </c:pt>
                      <c:pt idx="51">
                        <c:v>Sep-25</c:v>
                      </c:pt>
                      <c:pt idx="52">
                        <c:v>Sep-25</c:v>
                      </c:pt>
                      <c:pt idx="53">
                        <c:v>Sep-25</c:v>
                      </c:pt>
                      <c:pt idx="54">
                        <c:v>Sep-25</c:v>
                      </c:pt>
                      <c:pt idx="55">
                        <c:v>Sep-25</c:v>
                      </c:pt>
                      <c:pt idx="56">
                        <c:v>Oct-25</c:v>
                      </c:pt>
                      <c:pt idx="57">
                        <c:v>Oct-25</c:v>
                      </c:pt>
                      <c:pt idx="58">
                        <c:v>Oct-25</c:v>
                      </c:pt>
                      <c:pt idx="59">
                        <c:v>Oct-25</c:v>
                      </c:pt>
                      <c:pt idx="60">
                        <c:v>Nov-25</c:v>
                      </c:pt>
                      <c:pt idx="61">
                        <c:v>Nov-25</c:v>
                      </c:pt>
                      <c:pt idx="62">
                        <c:v>Nov-25</c:v>
                      </c:pt>
                      <c:pt idx="63">
                        <c:v>Nov-25</c:v>
                      </c:pt>
                      <c:pt idx="64">
                        <c:v>Dec-25</c:v>
                      </c:pt>
                      <c:pt idx="65">
                        <c:v>Dec-25</c:v>
                      </c:pt>
                      <c:pt idx="66">
                        <c:v>Dec-25</c:v>
                      </c:pt>
                      <c:pt idx="67">
                        <c:v>Dec-25</c:v>
                      </c:pt>
                      <c:pt idx="68">
                        <c:v>Dec-25</c:v>
                      </c:pt>
                      <c:pt idx="69">
                        <c:v>Jan-26</c:v>
                      </c:pt>
                      <c:pt idx="70">
                        <c:v>Jan-26</c:v>
                      </c:pt>
                      <c:pt idx="71">
                        <c:v>Jan-26</c:v>
                      </c:pt>
                      <c:pt idx="72">
                        <c:v>Jan-26</c:v>
                      </c:pt>
                      <c:pt idx="73">
                        <c:v>Feb-26</c:v>
                      </c:pt>
                      <c:pt idx="74">
                        <c:v>Feb-26</c:v>
                      </c:pt>
                      <c:pt idx="75">
                        <c:v>Feb-26</c:v>
                      </c:pt>
                      <c:pt idx="76">
                        <c:v>Feb-26</c:v>
                      </c:pt>
                      <c:pt idx="77">
                        <c:v>Mar-26</c:v>
                      </c:pt>
                      <c:pt idx="78">
                        <c:v>Mar-26</c:v>
                      </c:pt>
                      <c:pt idx="79">
                        <c:v>Mar-26</c:v>
                      </c:pt>
                      <c:pt idx="80">
                        <c:v>Mar-26</c:v>
                      </c:pt>
                      <c:pt idx="81">
                        <c:v>Mar-26</c:v>
                      </c:pt>
                      <c:pt idx="82">
                        <c:v>Apr-26</c:v>
                      </c:pt>
                      <c:pt idx="83">
                        <c:v>Apr-26</c:v>
                      </c:pt>
                      <c:pt idx="84">
                        <c:v>Apr-26</c:v>
                      </c:pt>
                      <c:pt idx="85">
                        <c:v>Apr-26</c:v>
                      </c:pt>
                      <c:pt idx="86">
                        <c:v>May-26</c:v>
                      </c:pt>
                      <c:pt idx="87">
                        <c:v>May-26</c:v>
                      </c:pt>
                      <c:pt idx="88">
                        <c:v>May-26</c:v>
                      </c:pt>
                      <c:pt idx="89">
                        <c:v>May-26</c:v>
                      </c:pt>
                      <c:pt idx="90">
                        <c:v>Jun-26</c:v>
                      </c:pt>
                      <c:pt idx="91">
                        <c:v>Jun-26</c:v>
                      </c:pt>
                      <c:pt idx="92">
                        <c:v>Jun-26</c:v>
                      </c:pt>
                      <c:pt idx="93">
                        <c:v>Jun-26</c:v>
                      </c:pt>
                      <c:pt idx="94">
                        <c:v>Jun-26</c:v>
                      </c:pt>
                      <c:pt idx="95">
                        <c:v>Jul-26</c:v>
                      </c:pt>
                      <c:pt idx="96">
                        <c:v>Jul-26</c:v>
                      </c:pt>
                      <c:pt idx="97">
                        <c:v>Jul-26</c:v>
                      </c:pt>
                      <c:pt idx="98">
                        <c:v>Jul-26</c:v>
                      </c:pt>
                      <c:pt idx="99">
                        <c:v>Aug-26</c:v>
                      </c:pt>
                      <c:pt idx="100">
                        <c:v>Aug-26</c:v>
                      </c:pt>
                      <c:pt idx="101">
                        <c:v>Aug-26</c:v>
                      </c:pt>
                      <c:pt idx="102">
                        <c:v>Aug-26</c:v>
                      </c:pt>
                      <c:pt idx="103">
                        <c:v>Aug-26</c:v>
                      </c:pt>
                      <c:pt idx="104">
                        <c:v>Sep-26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274-4781-99DE-168F5AB43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097776"/>
        <c:axId val="700843536"/>
      </c:lineChart>
      <c:catAx>
        <c:axId val="8900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BD5E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843536"/>
        <c:crosses val="autoZero"/>
        <c:auto val="1"/>
        <c:lblAlgn val="ctr"/>
        <c:lblOffset val="100"/>
        <c:tickLblSkip val="13"/>
        <c:noMultiLvlLbl val="0"/>
      </c:catAx>
      <c:valAx>
        <c:axId val="7008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E293B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CBD5E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97776"/>
        <c:crosses val="autoZero"/>
        <c:crossBetween val="between"/>
      </c:valAx>
      <c:spPr>
        <a:solidFill>
          <a:srgbClr val="0A122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BD5E1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1220"/>
    </a:solidFill>
    <a:ln w="25400" cap="flat" cmpd="sng" algn="ctr">
      <a:noFill/>
      <a:round/>
    </a:ln>
    <a:effectLst/>
  </c:spPr>
  <c:txPr>
    <a:bodyPr/>
    <a:lstStyle/>
    <a:p>
      <a:pPr>
        <a:defRPr sz="800">
          <a:solidFill>
            <a:srgbClr val="CBD5E1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251460</xdr:colOff>
      <xdr:row>18</xdr:row>
      <xdr:rowOff>83820</xdr:rowOff>
    </xdr:from>
    <xdr:to>
      <xdr:col>26</xdr:col>
      <xdr:colOff>24660</xdr:colOff>
      <xdr:row>34</xdr:row>
      <xdr:rowOff>131340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350520</xdr:colOff>
      <xdr:row>39</xdr:row>
      <xdr:rowOff>114300</xdr:rowOff>
    </xdr:from>
    <xdr:to>
      <xdr:col>26</xdr:col>
      <xdr:colOff>182880</xdr:colOff>
      <xdr:row>51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56</xdr:row>
      <xdr:rowOff>0</xdr:rowOff>
    </xdr:from>
    <xdr:to>
      <xdr:col>16</xdr:col>
      <xdr:colOff>101880</xdr:colOff>
      <xdr:row>70</xdr:row>
      <xdr:rowOff>32880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16</xdr:col>
      <xdr:colOff>147600</xdr:colOff>
      <xdr:row>36</xdr:row>
      <xdr:rowOff>77760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F0D3935-6F3D-C2DC-7662-CCFE45145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17</xdr:col>
      <xdr:colOff>99060</xdr:colOff>
      <xdr:row>52</xdr:row>
      <xdr:rowOff>129540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58BBAA5F-9D64-2709-00C8-8C9752AAE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9EC9C1-2228-44D3-A082-7F10F0EE7B35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Clos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" c="105">
    <v t="i">1</v>
    <v t="i">8</v>
    <v t="i">15</v>
    <v t="i">22</v>
    <v t="i">29</v>
    <v t="i">36</v>
    <v t="i">43</v>
    <v t="i">50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148</v>
    <v t="i">155</v>
    <v t="i">162</v>
    <v t="i">169</v>
    <v t="i">176</v>
    <v t="i">183</v>
    <v t="i">190</v>
    <v t="i">197</v>
    <v t="i">205</v>
    <v t="i">211</v>
    <v t="i">219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463</v>
    <v t="i">470</v>
    <v t="i">477</v>
    <v t="i">484</v>
    <v t="i">491</v>
    <v t="i">498</v>
    <v t="i">506</v>
    <v t="i">511</v>
    <v t="i">519</v>
    <v t="i">526</v>
    <v t="i">533</v>
    <v t="i">540</v>
    <v t="i">547</v>
    <v t="i">554</v>
    <v t="i">561</v>
    <v t="i">568</v>
    <v t="i">575</v>
    <v t="i">582</v>
    <v t="i">589</v>
    <v t="i">596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</a>
  <a r="1" c="105">
    <v>12316.05</v>
    <v>12614.5</v>
    <v>13495.6</v>
    <v>12605.75</v>
    <v>12776.65</v>
    <v>12105.1</v>
    <v>11502.85</v>
    <v>11110</v>
    <v>11303</v>
    <v>11006.05</v>
    <v>11063.6</v>
    <v>11074.2</v>
    <v>11317.95</v>
    <v>11272.55</v>
    <v>10901.05</v>
    <v>10941.05</v>
    <v>11934.25</v>
    <v>11631.1</v>
    <v>12136.35</v>
    <v>11967.9</v>
    <v>12916.5</v>
    <v>13049.5</v>
    <v>12680.25</v>
    <v>12323.45</v>
    <v>11945.85</v>
    <v>11664.15</v>
    <v>11513.8</v>
    <v>11732.8</v>
    <v>11522.15</v>
    <v>11482</v>
    <v>11599.05</v>
    <v>11695</v>
    <v>11698</v>
    <v>12406</v>
    <v>12250</v>
    <v>12995</v>
    <v>12453</v>
    <v>12319</v>
    <v>12462</v>
    <v>12408</v>
    <v>12791</v>
    <v>12642</v>
    <v>12646</v>
    <v>12574</v>
    <v>12419</v>
    <v>12404</v>
    <v>12302</v>
    <v>12590</v>
    <v>12936</v>
    <v>14349</v>
    <v>14791</v>
    <v>14895</v>
    <v>15325</v>
    <v>15864</v>
    <v>16286</v>
    <v>15806</v>
    <v>16265</v>
    <v>16401</v>
    <v>16274</v>
    <v>16186</v>
    <v>15479</v>
    <v>15684</v>
    <v>15977</v>
    <v>15900</v>
    <v>16282</v>
    <v>16522</v>
    <v>16414</v>
    <v>16596</v>
    <v>16960</v>
    <v>16501</v>
    <v>15859</v>
    <v>15469</v>
    <v>14599</v>
    <v>14997</v>
    <v>15237</v>
    <v>14977</v>
    <v>14857</v>
    <v>14159</v>
    <v>12591</v>
    <v>12601</v>
    <v>12389</v>
    <v>12631</v>
    <v>13709</v>
    <v>13453</v>
    <v>13048</v>
    <v>13314</v>
    <v>13726</v>
    <v>13221</v>
    <v>12987</v>
    <v>13127</v>
    <v>13050</v>
    <v>13366</v>
    <v>13395</v>
    <v>13745</v>
    <v>14366</v>
    <v>13854</v>
    <v>13803</v>
    <v>13442</v>
    <v>14234</v>
    <v>14037</v>
    <v>13834</v>
    <v>13565</v>
    <v>13376</v>
    <v>12694</v>
    <v>12760</v>
  </a>
  <a r="1" c="105">
    <v>830.90920000000006</v>
    <v>868.44090000000006</v>
    <v>874.15170000000001</v>
    <v>826.76949999999999</v>
    <v>823.45280000000002</v>
    <v>838.83950000000004</v>
    <v>869.53819999999996</v>
    <v>866.49570000000006</v>
    <v>875.04949999999997</v>
    <v>844.27599999999995</v>
    <v>870.63549999999998</v>
    <v>895.79790000000003</v>
    <v>925.62369999999999</v>
    <v>933.55399999999997</v>
    <v>883.55330000000004</v>
    <v>896.89520000000005</v>
    <v>872.43100000000004</v>
    <v>826.32060000000001</v>
    <v>816.34540000000004</v>
    <v>822.85419999999999</v>
    <v>843.37819999999999</v>
    <v>864.22640000000001</v>
    <v>845.32339999999999</v>
    <v>844.15129999999999</v>
    <v>864.05179999999996</v>
    <v>842.53030000000001</v>
    <v>851.18380000000002</v>
    <v>882.97979999999995</v>
    <v>911.83299999999997</v>
    <v>906.39649999999995</v>
    <v>901.13459999999998</v>
    <v>950.98569999999995</v>
    <v>953.23009999999999</v>
    <v>960.11300000000006</v>
    <v>942.5068</v>
    <v>964.95100000000002</v>
    <v>964.40229999999997</v>
    <v>970.03830000000005</v>
    <v>986.89639999999997</v>
    <v>956.42219999999998</v>
    <v>979.91380000000004</v>
    <v>1004.9515</v>
    <v>992.18330000000003</v>
    <v>989.39020000000005</v>
    <v>976.27279999999996</v>
    <v>1002.3</v>
    <v>1006.1</v>
    <v>986.95</v>
    <v>995.55</v>
    <v>982.3</v>
    <v>951.6</v>
    <v>963.4</v>
    <v>967.3</v>
    <v>966.9</v>
    <v>945.05</v>
    <v>965.15</v>
    <v>980.9</v>
    <v>1002.55</v>
    <v>994.75</v>
    <v>987.3</v>
    <v>982.3</v>
    <v>989.6</v>
    <v>998.05</v>
    <v>1007.6</v>
    <v>1003.3</v>
    <v>1001.5</v>
    <v>985.5</v>
    <v>992.1</v>
    <v>1001.6</v>
    <v>939</v>
    <v>931.1</v>
    <v>916.1</v>
    <v>929.25</v>
    <v>941.1</v>
    <v>903.9</v>
    <v>911.85</v>
    <v>887.75</v>
    <v>857.05</v>
    <v>817</v>
    <v>780.45</v>
    <v>756.2</v>
    <v>750.9</v>
    <v>810.3</v>
    <v>799.9</v>
    <v>784.85</v>
    <v>771.7</v>
    <v>780.85</v>
    <v>767.5</v>
    <v>766.8</v>
    <v>744.55</v>
    <v>747.05</v>
    <v>772.45</v>
    <v>779.8</v>
    <v>796.3</v>
    <v>801.05</v>
    <v>824.95</v>
    <v>819.6</v>
    <v>742.8</v>
    <v>748.15</v>
    <v>731</v>
    <v>727</v>
    <v>726.95</v>
    <v>720.3</v>
    <v>712.1</v>
    <v>710.5</v>
  </a>
  <a r="1" c="105">
    <v>1634.45</v>
    <v>1711.75</v>
    <v>1734.6</v>
    <v>1640.9</v>
    <v>1687.4</v>
    <v>1707.85</v>
    <v>1666</v>
    <v>1616.45</v>
    <v>1569.9</v>
    <v>1550.5</v>
    <v>1569.3</v>
    <v>1627.15</v>
    <v>1597.85</v>
    <v>1681.75</v>
    <v>1578.1</v>
    <v>1599.85</v>
    <v>1598.85</v>
    <v>1615.9</v>
    <v>1627.5</v>
    <v>1644.8</v>
    <v>1623.25</v>
    <v>1676.75</v>
    <v>1717.05</v>
    <v>1639.25</v>
    <v>1570.2</v>
    <v>1630.7</v>
    <v>1632.5</v>
    <v>1725.8</v>
    <v>1733.4</v>
    <v>1743.45</v>
    <v>1756.6</v>
    <v>1889.1</v>
    <v>1817.2</v>
    <v>1851.9</v>
    <v>1848.4</v>
    <v>1814</v>
    <v>1831.7</v>
    <v>1856.2</v>
    <v>1870.2</v>
    <v>1840.4</v>
    <v>1936.7</v>
    <v>2027.1</v>
    <v>2017.2</v>
    <v>1921.9</v>
    <v>1901</v>
    <v>1937.9</v>
    <v>1884.4</v>
    <v>1858.6</v>
    <v>1873.8</v>
    <v>1933.3</v>
    <v>1888.8</v>
    <v>1895.3</v>
    <v>1902.6</v>
    <v>1962.4</v>
    <v>1916.6</v>
    <v>1896.7</v>
    <v>1939.9</v>
    <v>2012</v>
    <v>2029.3</v>
    <v>2054.5</v>
    <v>2001.2</v>
    <v>2100.6999999999998</v>
    <v>2162.6999999999998</v>
    <v>2101.6</v>
    <v>2108.8000000000002</v>
    <v>2083.4</v>
    <v>2097.6999999999998</v>
    <v>2105.4</v>
    <v>2106.3000000000002</v>
    <v>2027.1</v>
    <v>2016.4</v>
    <v>1984.7</v>
    <v>1968.7</v>
    <v>2038.4</v>
    <v>2004.7</v>
    <v>1977.4</v>
    <v>1879.3</v>
    <v>1870.8</v>
    <v>1803.4</v>
    <v>1846.1</v>
    <v>1843.9</v>
    <v>1789.7</v>
    <v>1870</v>
    <v>1846.9</v>
    <v>1814.5</v>
    <v>1886.8</v>
    <v>1834.5</v>
    <v>1905.4</v>
    <v>1871.4</v>
    <v>1829</v>
    <v>1798.2</v>
    <v>1822.5</v>
    <v>1910.8</v>
    <v>1850.7</v>
    <v>1910.4</v>
    <v>1920.4</v>
    <v>1908.8</v>
    <v>1898.2</v>
    <v>1972</v>
    <v>1959.9</v>
    <v>1992.1</v>
    <v>1946</v>
    <v>1882.4</v>
    <v>1840</v>
    <v>1854</v>
  </a>
  <a r="1" c="105">
    <v>1806.7271000000001</v>
    <v>1754.1538</v>
    <v>1802.3418999999999</v>
    <v>1770.6484</v>
    <v>1833.4872</v>
    <v>1851.4766999999999</v>
    <v>1846.1446000000001</v>
    <v>1751.5127</v>
    <v>1831.3444</v>
    <v>1852.7225000000001</v>
    <v>1892.0404000000001</v>
    <v>1841.8589999999999</v>
    <v>1916.259</v>
    <v>1962.2045000000001</v>
    <v>1904.9469999999999</v>
    <v>1885.6618000000001</v>
    <v>1940.1287</v>
    <v>1988.4164000000001</v>
    <v>1788.9</v>
    <v>1792.85</v>
    <v>1694</v>
    <v>1725.65</v>
    <v>1711.25</v>
    <v>1700.7</v>
    <v>1575.05</v>
    <v>1557.95</v>
    <v>1534.75</v>
    <v>1566.7</v>
    <v>1592.5</v>
    <v>1422.1</v>
    <v>1390.55</v>
    <v>1438</v>
    <v>1578.2</v>
    <v>1576.5</v>
    <v>1569.4</v>
    <v>1659.9</v>
    <v>1648.2</v>
    <v>1636.6</v>
    <v>1637.7</v>
    <v>1695.3</v>
    <v>1739.9</v>
    <v>1723.3</v>
    <v>1725.9</v>
    <v>1638.3</v>
    <v>1548.8</v>
    <v>1490.1</v>
    <v>1452.1</v>
    <v>1475.7</v>
    <v>1489.8</v>
    <v>1466.3</v>
    <v>1454.8</v>
    <v>1419</v>
    <v>1467.2</v>
    <v>1467.4</v>
    <v>1395.3</v>
    <v>1393.5</v>
    <v>1495.5</v>
    <v>1486.2</v>
    <v>1523.8</v>
    <v>1541.5</v>
    <v>1512.4</v>
    <v>1594.6</v>
    <v>1608</v>
    <v>1624.2</v>
    <v>1683</v>
    <v>1673.2</v>
    <v>1642.4</v>
    <v>1660.9</v>
    <v>1640.2</v>
    <v>1661.4</v>
    <v>1698</v>
    <v>1707</v>
    <v>1695.6</v>
    <v>1593.7</v>
    <v>1455.2</v>
    <v>1436.5</v>
    <v>1389.1</v>
    <v>1356.7</v>
    <v>1325.4</v>
    <v>1333.7</v>
    <v>1364.4</v>
    <v>1402.2</v>
    <v>1451.2</v>
    <v>1442.3</v>
    <v>1203.2</v>
    <v>1199.0999999999999</v>
    <v>1198.4000000000001</v>
    <v>1132.5999999999999</v>
    <v>1164</v>
    <v>1183.8</v>
    <v>1154.7</v>
    <v>1109.5999999999999</v>
    <v>1131.7</v>
    <v>1100.7</v>
    <v>1139</v>
    <v>1164.0999999999999</v>
    <v>1203.9000000000001</v>
    <v>1271</v>
    <v>1346.9</v>
    <v>1356.6</v>
    <v>1360</v>
    <v>1302.5</v>
    <v>1316.1</v>
    <v>1293.4000000000001</v>
    <v>1282.8</v>
  </a>
  <a r="1" c="105">
    <v>3613</v>
    <v>3793.9</v>
    <v>3705.65</v>
    <v>3493.95</v>
    <v>3482.55</v>
    <v>3577.8</v>
    <v>3326.4</v>
    <v>3626.35</v>
    <v>3660.3</v>
    <v>3526.25</v>
    <v>3603.5</v>
    <v>3724.8</v>
    <v>3866.7</v>
    <v>3887</v>
    <v>3629.85</v>
    <v>3608.1</v>
    <v>3659.9</v>
    <v>3536.15</v>
    <v>3568.65</v>
    <v>3458.2</v>
    <v>3447.5</v>
    <v>3336.9</v>
    <v>3237.65</v>
    <v>3315.1</v>
    <v>3163.85</v>
    <v>3244.7</v>
    <v>3187.3</v>
    <v>3415.95</v>
    <v>3492.3</v>
    <v>3260.15</v>
    <v>3115.95</v>
    <v>3247.3</v>
    <v>3272.1</v>
    <v>3329.8</v>
    <v>3443.9</v>
    <v>3604.7</v>
    <v>3599.9</v>
    <v>3675.1</v>
    <v>3656.3</v>
    <v>3587.4</v>
    <v>3662</v>
    <v>3679.2</v>
    <v>3594.6</v>
    <v>3540.6</v>
    <v>3464.8</v>
    <v>3442.9</v>
    <v>3587.3</v>
    <v>3607.6</v>
    <v>3677</v>
    <v>3595.8</v>
    <v>3601</v>
    <v>3553.6</v>
    <v>3579.8</v>
    <v>3675.4</v>
    <v>3729.5</v>
    <v>3733.1</v>
    <v>3784</v>
    <v>3839.4</v>
    <v>3904.9</v>
    <v>4030.9</v>
    <v>3882.5</v>
    <v>4004.4</v>
    <v>4024.9</v>
    <v>4069.6</v>
    <v>4038.2</v>
    <v>4074.1</v>
    <v>4073.5</v>
    <v>4047.3</v>
    <v>4163.3999999999996</v>
    <v>4025.2</v>
    <v>3856.4</v>
    <v>3743.8</v>
    <v>3932.3</v>
    <v>4068.1</v>
    <v>4173.8999999999996</v>
    <v>4380.6000000000004</v>
    <v>4278.3</v>
    <v>3949.8</v>
    <v>3439</v>
    <v>3434.8</v>
    <v>3564.1</v>
    <v>3613.1</v>
    <v>3959.9</v>
    <v>4096.1000000000004</v>
    <v>4014.3</v>
    <v>4014</v>
    <v>3974.5</v>
    <v>3909</v>
    <v>3926.6</v>
    <v>4076.5</v>
    <v>3953.2</v>
    <v>4049.3</v>
    <v>4209.3999999999996</v>
    <v>4216.3999999999996</v>
    <v>4026.6</v>
    <v>3945.8</v>
    <v>3814.5</v>
    <v>3785.6</v>
    <v>3938.9</v>
    <v>4056</v>
    <v>4057</v>
    <v>4093</v>
    <v>4045.8</v>
    <v>3964.1</v>
    <v>3999</v>
  </a>
  <a r="1" c="105">
    <v>1659.7</v>
    <v>1638.65</v>
    <v>1672.5</v>
    <v>1623.3</v>
    <v>1595.75</v>
    <v>1551.7</v>
    <v>1488.9</v>
    <v>1559.55</v>
    <v>1592.6</v>
    <v>1499.75</v>
    <v>1486.5</v>
    <v>1533.9</v>
    <v>1477.4</v>
    <v>1447.3</v>
    <v>1472.05</v>
    <v>1506.6</v>
    <v>1511.25</v>
    <v>1468.8</v>
    <v>1442.3</v>
    <v>1411.4</v>
    <v>1439.5</v>
    <v>1472.25</v>
    <v>1459.45</v>
    <v>1475.75</v>
    <v>1407.5</v>
    <v>1458.45</v>
    <v>1461.9</v>
    <v>1523.85</v>
    <v>1442.2</v>
    <v>1415.25</v>
    <v>1463.05</v>
    <v>1515.2</v>
    <v>1525.9</v>
    <v>1525.6</v>
    <v>1480</v>
    <v>1499.9</v>
    <v>1484.2</v>
    <v>1465.7</v>
    <v>1504.2</v>
    <v>1505.2</v>
    <v>1499.7</v>
    <v>1502.4</v>
    <v>1513.3</v>
    <v>1485</v>
    <v>1482.3</v>
    <v>1532.5</v>
    <v>1502.8</v>
    <v>1485.8</v>
    <v>1564</v>
    <v>1592.8</v>
    <v>1589.4</v>
    <v>1553.4</v>
    <v>1574.6</v>
    <v>1575.8</v>
    <v>1499.4</v>
    <v>1517.7</v>
    <v>1561.8</v>
    <v>1577.6</v>
    <v>1584.4</v>
    <v>1501.3</v>
    <v>1505.7</v>
    <v>1532.1</v>
    <v>1511.8</v>
    <v>1531.3</v>
    <v>1520.8</v>
    <v>1517.4</v>
    <v>1517.1</v>
    <v>1506</v>
    <v>1511.6</v>
    <v>1465.7</v>
    <v>1397.5</v>
    <v>1315</v>
    <v>1324</v>
    <v>1330</v>
    <v>1331.5</v>
    <v>1341.1</v>
    <v>1348.2</v>
    <v>1321.2</v>
    <v>1314.7</v>
    <v>1256.4000000000001</v>
    <v>1242.3</v>
    <v>1192.4000000000001</v>
    <v>1229.5</v>
    <v>1240.8</v>
    <v>1295</v>
    <v>1309.5999999999999</v>
    <v>1347</v>
    <v>1432.1</v>
    <v>1399.2</v>
    <v>1401</v>
    <v>1401.3</v>
    <v>1389.4</v>
    <v>1351.8</v>
    <v>1440.1</v>
    <v>1458.2</v>
    <v>1439.4</v>
    <v>1418.7</v>
    <v>1410.6</v>
    <v>1473.2</v>
    <v>1463.8</v>
    <v>1450</v>
    <v>1432.2</v>
    <v>1423.5</v>
    <v>1385</v>
    <v>1395</v>
  </a>
  <a r="1" c="105">
    <v>1472.625</v>
    <v>1485.925</v>
    <v>1526.175</v>
    <v>1386.5250000000001</v>
    <v>1372.1</v>
    <v>1359.3</v>
    <v>1327.85</v>
    <v>1338.65</v>
    <v>1283.75</v>
    <v>1267.5999999999999</v>
    <v>1265.4000000000001</v>
    <v>1292.2</v>
    <v>1311.55</v>
    <v>1272.8499999999999</v>
    <v>1205.3</v>
    <v>1221.05</v>
    <v>1251.1500000000001</v>
    <v>1241.9000000000001</v>
    <v>1302.3499999999999</v>
    <v>1246.3</v>
    <v>1264.5999999999999</v>
    <v>1266.7</v>
    <v>1217.25</v>
    <v>1228.1500000000001</v>
    <v>1200.0999999999999</v>
    <v>1249.8</v>
    <v>1247.9000000000001</v>
    <v>1276.3499999999999</v>
    <v>1275.0999999999999</v>
    <v>1204.7</v>
    <v>1218.95</v>
    <v>1274.5</v>
    <v>1300.4000000000001</v>
    <v>1422.4</v>
    <v>1377.2</v>
    <v>1456.4</v>
    <v>1426.8</v>
    <v>1420.9</v>
    <v>1443.5</v>
    <v>1427.9</v>
    <v>1466.2</v>
    <v>1515.4</v>
    <v>1527.3</v>
    <v>1495.2</v>
    <v>1476</v>
    <v>1391.7</v>
    <v>1393.7</v>
    <v>1367.8</v>
    <v>1373.8</v>
    <v>1409.2</v>
    <v>1357.2</v>
    <v>1375</v>
    <v>1395</v>
    <v>1407.4</v>
    <v>1377.6</v>
    <v>1363.4</v>
    <v>1381.7</v>
    <v>1416.8</v>
    <v>1451.6</v>
    <v>1486.4</v>
    <v>1478</v>
    <v>1518.9</v>
    <v>1546.6</v>
    <v>1567.5</v>
    <v>1540.6</v>
    <v>1556.5</v>
    <v>1565.1</v>
    <v>1559.2</v>
    <v>1592.3</v>
    <v>1475.3</v>
    <v>1457.9</v>
    <v>1386.1</v>
    <v>1395.4</v>
    <v>1450.8</v>
    <v>1419.6</v>
    <v>1419.4</v>
    <v>1393.9</v>
    <v>1404.8</v>
    <v>1380.7</v>
    <v>1414.4</v>
    <v>1348.1</v>
    <v>1350.5</v>
    <v>1350.2</v>
    <v>1365</v>
    <v>1327.8</v>
    <v>1430.8</v>
    <v>1435.2</v>
    <v>1336.4</v>
    <v>1354.5</v>
    <v>1321.2</v>
    <v>1291</v>
    <v>1293</v>
    <v>1309.5</v>
    <v>1318.1</v>
    <v>1304</v>
    <v>1307.8</v>
    <v>1327.2</v>
    <v>1278</v>
    <v>1307.8</v>
    <v>1334.8</v>
    <v>1310</v>
    <v>1316</v>
    <v>1287</v>
    <v>1322</v>
    <v>1309.5</v>
  </a>
</arrayData>
</file>

<file path=xl/richData/rdrichvalue.xml><?xml version="1.0" encoding="utf-8"?>
<rvData xmlns="http://schemas.microsoft.com/office/spreadsheetml/2017/richdata" count="839">
  <rv s="0">
    <fb>1309.5</fb>
    <v>0</v>
  </rv>
  <rv s="0">
    <fb>1854</fb>
    <v>0</v>
  </rv>
  <rv s="0">
    <fb>710.5</fb>
    <v>0</v>
  </rv>
  <rv s="0">
    <fb>3999</fb>
    <v>0</v>
  </rv>
  <rv s="0">
    <fb>1395</fb>
    <v>0</v>
  </rv>
  <rv s="0">
    <fb>12760</fb>
    <v>0</v>
  </rv>
  <rv s="0">
    <fb>1282.8</fb>
    <v>0</v>
  </rv>
  <rv s="0">
    <fb>1472.625</fb>
    <v>0</v>
  </rv>
  <rv s="0">
    <fb>1634.45</fb>
    <v>0</v>
  </rv>
  <rv s="0">
    <fb>830.90920000000006</fb>
    <v>0</v>
  </rv>
  <rv s="0">
    <fb>3613</fb>
    <v>0</v>
  </rv>
  <rv s="0">
    <fb>1659.7</fb>
    <v>0</v>
  </rv>
  <rv s="0">
    <fb>12316.05</fb>
    <v>0</v>
  </rv>
  <rv s="0">
    <fb>1806.7271000000001</fb>
    <v>0</v>
  </rv>
  <rv s="0">
    <fb>1485.925</fb>
    <v>0</v>
  </rv>
  <rv s="0">
    <fb>1711.75</fb>
    <v>0</v>
  </rv>
  <rv s="0">
    <fb>868.44090000000006</fb>
    <v>0</v>
  </rv>
  <rv s="0">
    <fb>3793.9</fb>
    <v>0</v>
  </rv>
  <rv s="0">
    <fb>1638.65</fb>
    <v>0</v>
  </rv>
  <rv s="0">
    <fb>12614.5</fb>
    <v>0</v>
  </rv>
  <rv s="0">
    <fb>1754.1538</fb>
    <v>0</v>
  </rv>
  <rv s="0">
    <fb>1526.175</fb>
    <v>0</v>
  </rv>
  <rv s="0">
    <fb>1734.6</fb>
    <v>0</v>
  </rv>
  <rv s="0">
    <fb>874.15170000000001</fb>
    <v>0</v>
  </rv>
  <rv s="0">
    <fb>3705.65</fb>
    <v>0</v>
  </rv>
  <rv s="0">
    <fb>1672.5</fb>
    <v>0</v>
  </rv>
  <rv s="0">
    <fb>13495.6</fb>
    <v>0</v>
  </rv>
  <rv s="0">
    <fb>1802.3418999999999</fb>
    <v>0</v>
  </rv>
  <rv s="0">
    <fb>1386.5250000000001</fb>
    <v>0</v>
  </rv>
  <rv s="0">
    <fb>1640.9</fb>
    <v>0</v>
  </rv>
  <rv s="0">
    <fb>826.76949999999999</fb>
    <v>0</v>
  </rv>
  <rv s="0">
    <fb>3493.95</fb>
    <v>0</v>
  </rv>
  <rv s="0">
    <fb>1623.3</fb>
    <v>0</v>
  </rv>
  <rv s="0">
    <fb>12605.75</fb>
    <v>0</v>
  </rv>
  <rv s="0">
    <fb>1770.6484</fb>
    <v>0</v>
  </rv>
  <rv s="0">
    <fb>1372.1</fb>
    <v>0</v>
  </rv>
  <rv s="0">
    <fb>1687.4</fb>
    <v>0</v>
  </rv>
  <rv s="0">
    <fb>823.45280000000002</fb>
    <v>0</v>
  </rv>
  <rv s="0">
    <fb>3482.55</fb>
    <v>0</v>
  </rv>
  <rv s="0">
    <fb>1595.75</fb>
    <v>0</v>
  </rv>
  <rv s="0">
    <fb>12776.65</fb>
    <v>0</v>
  </rv>
  <rv s="0">
    <fb>1833.4872</fb>
    <v>0</v>
  </rv>
  <rv s="0">
    <fb>1359.3</fb>
    <v>0</v>
  </rv>
  <rv s="0">
    <fb>1707.85</fb>
    <v>0</v>
  </rv>
  <rv s="0">
    <fb>838.83950000000004</fb>
    <v>0</v>
  </rv>
  <rv s="0">
    <fb>3577.8</fb>
    <v>0</v>
  </rv>
  <rv s="0">
    <fb>1551.7</fb>
    <v>0</v>
  </rv>
  <rv s="0">
    <fb>12105.1</fb>
    <v>0</v>
  </rv>
  <rv s="0">
    <fb>1851.4766999999999</fb>
    <v>0</v>
  </rv>
  <rv s="0">
    <fb>1327.85</fb>
    <v>0</v>
  </rv>
  <rv s="0">
    <fb>1666</fb>
    <v>0</v>
  </rv>
  <rv s="0">
    <fb>869.53819999999996</fb>
    <v>0</v>
  </rv>
  <rv s="0">
    <fb>3326.4</fb>
    <v>0</v>
  </rv>
  <rv s="0">
    <fb>1488.9</fb>
    <v>0</v>
  </rv>
  <rv s="0">
    <fb>11502.85</fb>
    <v>0</v>
  </rv>
  <rv s="0">
    <fb>1846.1446000000001</fb>
    <v>0</v>
  </rv>
  <rv s="0">
    <fb>1338.65</fb>
    <v>0</v>
  </rv>
  <rv s="0">
    <fb>1616.45</fb>
    <v>0</v>
  </rv>
  <rv s="0">
    <fb>866.49570000000006</fb>
    <v>0</v>
  </rv>
  <rv s="0">
    <fb>3626.35</fb>
    <v>0</v>
  </rv>
  <rv s="0">
    <fb>1559.55</fb>
    <v>0</v>
  </rv>
  <rv s="0">
    <fb>11110</fb>
    <v>0</v>
  </rv>
  <rv s="0">
    <fb>1751.5127</fb>
    <v>0</v>
  </rv>
  <rv s="0">
    <fb>1283.75</fb>
    <v>0</v>
  </rv>
  <rv s="0">
    <fb>1569.9</fb>
    <v>0</v>
  </rv>
  <rv s="0">
    <fb>875.04949999999997</fb>
    <v>0</v>
  </rv>
  <rv s="0">
    <fb>3660.3</fb>
    <v>0</v>
  </rv>
  <rv s="0">
    <fb>1592.6</fb>
    <v>0</v>
  </rv>
  <rv s="0">
    <fb>11303</fb>
    <v>0</v>
  </rv>
  <rv s="0">
    <fb>1831.3444</fb>
    <v>0</v>
  </rv>
  <rv s="0">
    <fb>1267.5999999999999</fb>
    <v>0</v>
  </rv>
  <rv s="0">
    <fb>1550.5</fb>
    <v>0</v>
  </rv>
  <rv s="0">
    <fb>844.27599999999995</fb>
    <v>0</v>
  </rv>
  <rv s="0">
    <fb>3526.25</fb>
    <v>0</v>
  </rv>
  <rv s="0">
    <fb>1499.75</fb>
    <v>0</v>
  </rv>
  <rv s="0">
    <fb>11006.05</fb>
    <v>0</v>
  </rv>
  <rv s="0">
    <fb>1852.7225000000001</fb>
    <v>0</v>
  </rv>
  <rv s="0">
    <fb>1265.4000000000001</fb>
    <v>0</v>
  </rv>
  <rv s="0">
    <fb>1569.3</fb>
    <v>0</v>
  </rv>
  <rv s="0">
    <fb>870.63549999999998</fb>
    <v>0</v>
  </rv>
  <rv s="0">
    <fb>3603.5</fb>
    <v>0</v>
  </rv>
  <rv s="0">
    <fb>1486.5</fb>
    <v>0</v>
  </rv>
  <rv s="0">
    <fb>11063.6</fb>
    <v>0</v>
  </rv>
  <rv s="0">
    <fb>1892.0404000000001</fb>
    <v>0</v>
  </rv>
  <rv s="0">
    <fb>1292.2</fb>
    <v>0</v>
  </rv>
  <rv s="0">
    <fb>1627.15</fb>
    <v>0</v>
  </rv>
  <rv s="0">
    <fb>895.79790000000003</fb>
    <v>0</v>
  </rv>
  <rv s="0">
    <fb>3724.8</fb>
    <v>0</v>
  </rv>
  <rv s="0">
    <fb>1533.9</fb>
    <v>0</v>
  </rv>
  <rv s="0">
    <fb>11074.2</fb>
    <v>0</v>
  </rv>
  <rv s="0">
    <fb>1841.8589999999999</fb>
    <v>0</v>
  </rv>
  <rv s="0">
    <fb>1311.55</fb>
    <v>0</v>
  </rv>
  <rv s="0">
    <fb>1597.85</fb>
    <v>0</v>
  </rv>
  <rv s="0">
    <fb>925.62369999999999</fb>
    <v>0</v>
  </rv>
  <rv s="0">
    <fb>3866.7</fb>
    <v>0</v>
  </rv>
  <rv s="0">
    <fb>1477.4</fb>
    <v>0</v>
  </rv>
  <rv s="0">
    <fb>11317.95</fb>
    <v>0</v>
  </rv>
  <rv s="0">
    <fb>1916.259</fb>
    <v>0</v>
  </rv>
  <rv s="0">
    <fb>1272.8499999999999</fb>
    <v>0</v>
  </rv>
  <rv s="0">
    <fb>1681.75</fb>
    <v>0</v>
  </rv>
  <rv s="0">
    <fb>933.55399999999997</fb>
    <v>0</v>
  </rv>
  <rv s="0">
    <fb>3887</fb>
    <v>0</v>
  </rv>
  <rv s="0">
    <fb>1447.3</fb>
    <v>0</v>
  </rv>
  <rv s="0">
    <fb>11272.55</fb>
    <v>0</v>
  </rv>
  <rv s="0">
    <fb>1962.2045000000001</fb>
    <v>0</v>
  </rv>
  <rv s="0">
    <fb>1205.3</fb>
    <v>0</v>
  </rv>
  <rv s="0">
    <fb>1578.1</fb>
    <v>0</v>
  </rv>
  <rv s="0">
    <fb>883.55330000000004</fb>
    <v>0</v>
  </rv>
  <rv s="0">
    <fb>3629.85</fb>
    <v>0</v>
  </rv>
  <rv s="0">
    <fb>1472.05</fb>
    <v>0</v>
  </rv>
  <rv s="0">
    <fb>10901.05</fb>
    <v>0</v>
  </rv>
  <rv s="0">
    <fb>1904.9469999999999</fb>
    <v>0</v>
  </rv>
  <rv s="0">
    <fb>1221.05</fb>
    <v>0</v>
  </rv>
  <rv s="0">
    <fb>1599.85</fb>
    <v>0</v>
  </rv>
  <rv s="0">
    <fb>896.89520000000005</fb>
    <v>0</v>
  </rv>
  <rv s="0">
    <fb>3608.1</fb>
    <v>0</v>
  </rv>
  <rv s="0">
    <fb>1506.6</fb>
    <v>0</v>
  </rv>
  <rv s="0">
    <fb>10941.05</fb>
    <v>0</v>
  </rv>
  <rv s="0">
    <fb>1885.6618000000001</fb>
    <v>0</v>
  </rv>
  <rv s="0">
    <fb>1251.1500000000001</fb>
    <v>0</v>
  </rv>
  <rv s="0">
    <fb>1598.85</fb>
    <v>0</v>
  </rv>
  <rv s="0">
    <fb>872.43100000000004</fb>
    <v>0</v>
  </rv>
  <rv s="0">
    <fb>3659.9</fb>
    <v>0</v>
  </rv>
  <rv s="0">
    <fb>1511.25</fb>
    <v>0</v>
  </rv>
  <rv s="0">
    <fb>11934.25</fb>
    <v>0</v>
  </rv>
  <rv s="0">
    <fb>1940.1287</fb>
    <v>0</v>
  </rv>
  <rv s="0">
    <fb>1241.9000000000001</fb>
    <v>0</v>
  </rv>
  <rv s="0">
    <fb>1615.9</fb>
    <v>0</v>
  </rv>
  <rv s="0">
    <fb>826.32060000000001</fb>
    <v>0</v>
  </rv>
  <rv s="0">
    <fb>3536.15</fb>
    <v>0</v>
  </rv>
  <rv s="0">
    <fb>1468.8</fb>
    <v>0</v>
  </rv>
  <rv s="0">
    <fb>11631.1</fb>
    <v>0</v>
  </rv>
  <rv s="0">
    <fb>1988.4164000000001</fb>
    <v>0</v>
  </rv>
  <rv s="0">
    <fb>1302.3499999999999</fb>
    <v>0</v>
  </rv>
  <rv s="0">
    <fb>1627.5</fb>
    <v>0</v>
  </rv>
  <rv s="0">
    <fb>816.34540000000004</fb>
    <v>0</v>
  </rv>
  <rv s="0">
    <fb>3568.65</fb>
    <v>0</v>
  </rv>
  <rv s="0">
    <fb>1442.3</fb>
    <v>0</v>
  </rv>
  <rv s="0">
    <fb>12136.35</fb>
    <v>0</v>
  </rv>
  <rv s="0">
    <fb>1788.9</fb>
    <v>0</v>
  </rv>
  <rv s="0">
    <fb>1246.3</fb>
    <v>0</v>
  </rv>
  <rv s="0">
    <fb>1644.8</fb>
    <v>0</v>
  </rv>
  <rv s="0">
    <fb>822.85419999999999</fb>
    <v>0</v>
  </rv>
  <rv s="0">
    <fb>3458.2</fb>
    <v>0</v>
  </rv>
  <rv s="0">
    <fb>1411.4</fb>
    <v>0</v>
  </rv>
  <rv s="0">
    <fb>11967.9</fb>
    <v>0</v>
  </rv>
  <rv s="0">
    <fb>1792.85</fb>
    <v>0</v>
  </rv>
  <rv s="0">
    <fb>1264.5999999999999</fb>
    <v>0</v>
  </rv>
  <rv s="0">
    <fb>1623.25</fb>
    <v>0</v>
  </rv>
  <rv s="0">
    <fb>843.37819999999999</fb>
    <v>0</v>
  </rv>
  <rv s="0">
    <fb>3447.5</fb>
    <v>0</v>
  </rv>
  <rv s="0">
    <fb>1439.5</fb>
    <v>0</v>
  </rv>
  <rv s="0">
    <fb>12916.5</fb>
    <v>0</v>
  </rv>
  <rv s="0">
    <fb>1694</fb>
    <v>0</v>
  </rv>
  <rv s="0">
    <fb>1266.7</fb>
    <v>0</v>
  </rv>
  <rv s="0">
    <fb>1676.75</fb>
    <v>0</v>
  </rv>
  <rv s="0">
    <fb>864.22640000000001</fb>
    <v>0</v>
  </rv>
  <rv s="0">
    <fb>3336.9</fb>
    <v>0</v>
  </rv>
  <rv s="0">
    <fb>1472.25</fb>
    <v>0</v>
  </rv>
  <rv s="0">
    <fb>13049.5</fb>
    <v>0</v>
  </rv>
  <rv s="0">
    <fb>1725.65</fb>
    <v>0</v>
  </rv>
  <rv s="0">
    <fb>1217.25</fb>
    <v>0</v>
  </rv>
  <rv s="0">
    <fb>1717.05</fb>
    <v>0</v>
  </rv>
  <rv s="0">
    <fb>845.32339999999999</fb>
    <v>0</v>
  </rv>
  <rv s="0">
    <fb>3237.65</fb>
    <v>0</v>
  </rv>
  <rv s="0">
    <fb>1459.45</fb>
    <v>0</v>
  </rv>
  <rv s="0">
    <fb>12680.25</fb>
    <v>0</v>
  </rv>
  <rv s="0">
    <fb>1711.25</fb>
    <v>0</v>
  </rv>
  <rv s="0">
    <fb>1228.1500000000001</fb>
    <v>0</v>
  </rv>
  <rv s="0">
    <fb>1639.25</fb>
    <v>0</v>
  </rv>
  <rv s="0">
    <fb>844.15129999999999</fb>
    <v>0</v>
  </rv>
  <rv s="0">
    <fb>3315.1</fb>
    <v>0</v>
  </rv>
  <rv s="0">
    <fb>1475.75</fb>
    <v>0</v>
  </rv>
  <rv s="0">
    <fb>12323.45</fb>
    <v>0</v>
  </rv>
  <rv s="0">
    <fb>1700.7</fb>
    <v>0</v>
  </rv>
  <rv s="0">
    <fb>1200.0999999999999</fb>
    <v>0</v>
  </rv>
  <rv s="0">
    <fb>1570.2</fb>
    <v>0</v>
  </rv>
  <rv s="0">
    <fb>864.05179999999996</fb>
    <v>0</v>
  </rv>
  <rv s="0">
    <fb>3163.85</fb>
    <v>0</v>
  </rv>
  <rv s="0">
    <fb>1407.5</fb>
    <v>0</v>
  </rv>
  <rv s="0">
    <fb>11945.85</fb>
    <v>0</v>
  </rv>
  <rv s="0">
    <fb>1575.05</fb>
    <v>0</v>
  </rv>
  <rv s="0">
    <fb>1249.8</fb>
    <v>0</v>
  </rv>
  <rv s="0">
    <fb>1630.7</fb>
    <v>0</v>
  </rv>
  <rv s="0">
    <fb>842.53030000000001</fb>
    <v>0</v>
  </rv>
  <rv s="0">
    <fb>3244.7</fb>
    <v>0</v>
  </rv>
  <rv s="0">
    <fb>1458.45</fb>
    <v>0</v>
  </rv>
  <rv s="0">
    <fb>11664.15</fb>
    <v>0</v>
  </rv>
  <rv s="0">
    <fb>1557.95</fb>
    <v>0</v>
  </rv>
  <rv s="0">
    <fb>1247.9000000000001</fb>
    <v>0</v>
  </rv>
  <rv s="0">
    <fb>1632.5</fb>
    <v>0</v>
  </rv>
  <rv s="0">
    <fb>851.18380000000002</fb>
    <v>0</v>
  </rv>
  <rv s="0">
    <fb>3187.3</fb>
    <v>0</v>
  </rv>
  <rv s="0">
    <fb>1461.9</fb>
    <v>0</v>
  </rv>
  <rv s="0">
    <fb>11513.8</fb>
    <v>0</v>
  </rv>
  <rv s="0">
    <fb>1534.75</fb>
    <v>0</v>
  </rv>
  <rv s="0">
    <fb>1276.3499999999999</fb>
    <v>0</v>
  </rv>
  <rv s="0">
    <fb>1725.8</fb>
    <v>0</v>
  </rv>
  <rv s="0">
    <fb>882.97979999999995</fb>
    <v>0</v>
  </rv>
  <rv s="0">
    <fb>3415.95</fb>
    <v>0</v>
  </rv>
  <rv s="0">
    <fb>1523.85</fb>
    <v>0</v>
  </rv>
  <rv s="0">
    <fb>11732.8</fb>
    <v>0</v>
  </rv>
  <rv s="0">
    <fb>1566.7</fb>
    <v>0</v>
  </rv>
  <rv s="0">
    <fb>1275.0999999999999</fb>
    <v>0</v>
  </rv>
  <rv s="0">
    <fb>1733.4</fb>
    <v>0</v>
  </rv>
  <rv s="0">
    <fb>911.83299999999997</fb>
    <v>0</v>
  </rv>
  <rv s="0">
    <fb>3492.3</fb>
    <v>0</v>
  </rv>
  <rv s="0">
    <fb>1442.2</fb>
    <v>0</v>
  </rv>
  <rv s="0">
    <fb>11522.15</fb>
    <v>0</v>
  </rv>
  <rv s="0">
    <fb>1592.5</fb>
    <v>0</v>
  </rv>
  <rv s="0">
    <fb>1218.95</fb>
    <v>0</v>
  </rv>
  <rv s="0">
    <fb>1756.6</fb>
    <v>0</v>
  </rv>
  <rv s="0">
    <fb>901.13459999999998</fb>
    <v>0</v>
  </rv>
  <rv s="0">
    <fb>3115.95</fb>
    <v>0</v>
  </rv>
  <rv s="0">
    <fb>1463.05</fb>
    <v>0</v>
  </rv>
  <rv s="0">
    <fb>11599.05</fb>
    <v>0</v>
  </rv>
  <rv s="0">
    <fb>1390.55</fb>
    <v>0</v>
  </rv>
  <rv s="0">
    <fb>1300.4000000000001</fb>
    <v>0</v>
  </rv>
  <rv s="0">
    <fb>1817.2</fb>
    <v>0</v>
  </rv>
  <rv s="0">
    <fb>953.23009999999999</fb>
    <v>0</v>
  </rv>
  <rv s="0">
    <fb>3272.1</fb>
    <v>0</v>
  </rv>
  <rv s="0">
    <fb>1525.9</fb>
    <v>0</v>
  </rv>
  <rv s="0">
    <fb>11698</fb>
    <v>0</v>
  </rv>
  <rv s="0">
    <fb>1578.2</fb>
    <v>0</v>
  </rv>
  <rv s="0">
    <fb>1422.4</fb>
    <v>0</v>
  </rv>
  <rv s="0">
    <fb>1851.9</fb>
    <v>0</v>
  </rv>
  <rv s="0">
    <fb>960.11300000000006</fb>
    <v>0</v>
  </rv>
  <rv s="0">
    <fb>3329.8</fb>
    <v>0</v>
  </rv>
  <rv s="0">
    <fb>1525.6</fb>
    <v>0</v>
  </rv>
  <rv s="0">
    <fb>12406</fb>
    <v>0</v>
  </rv>
  <rv s="0">
    <fb>1576.5</fb>
    <v>0</v>
  </rv>
  <rv s="0">
    <fb>1377.2</fb>
    <v>0</v>
  </rv>
  <rv s="0">
    <fb>1848.4</fb>
    <v>0</v>
  </rv>
  <rv s="0">
    <fb>942.5068</fb>
    <v>0</v>
  </rv>
  <rv s="0">
    <fb>3443.9</fb>
    <v>0</v>
  </rv>
  <rv s="0">
    <fb>1480</fb>
    <v>0</v>
  </rv>
  <rv s="0">
    <fb>12250</fb>
    <v>0</v>
  </rv>
  <rv s="0">
    <fb>1569.4</fb>
    <v>0</v>
  </rv>
  <rv s="0">
    <fb>1456.4</fb>
    <v>0</v>
  </rv>
  <rv s="0">
    <fb>1814</fb>
    <v>0</v>
  </rv>
  <rv s="0">
    <fb>964.95100000000002</fb>
    <v>0</v>
  </rv>
  <rv s="0">
    <fb>3604.7</fb>
    <v>0</v>
  </rv>
  <rv s="0">
    <fb>1499.9</fb>
    <v>0</v>
  </rv>
  <rv s="0">
    <fb>12995</fb>
    <v>0</v>
  </rv>
  <rv s="0">
    <fb>1659.9</fb>
    <v>0</v>
  </rv>
  <rv s="0">
    <fb>1426.8</fb>
    <v>0</v>
  </rv>
  <rv s="0">
    <fb>1831.7</fb>
    <v>0</v>
  </rv>
  <rv s="0">
    <fb>964.40229999999997</fb>
    <v>0</v>
  </rv>
  <rv s="0">
    <fb>3599.9</fb>
    <v>0</v>
  </rv>
  <rv s="0">
    <fb>1484.2</fb>
    <v>0</v>
  </rv>
  <rv s="0">
    <fb>12453</fb>
    <v>0</v>
  </rv>
  <rv s="0">
    <fb>1648.2</fb>
    <v>0</v>
  </rv>
  <rv s="0">
    <fb>1420.9</fb>
    <v>0</v>
  </rv>
  <rv s="0">
    <fb>1856.2</fb>
    <v>0</v>
  </rv>
  <rv s="0">
    <fb>970.03830000000005</fb>
    <v>0</v>
  </rv>
  <rv s="0">
    <fb>3675.1</fb>
    <v>0</v>
  </rv>
  <rv s="0">
    <fb>1465.7</fb>
    <v>0</v>
  </rv>
  <rv s="0">
    <fb>12319</fb>
    <v>0</v>
  </rv>
  <rv s="0">
    <fb>1636.6</fb>
    <v>0</v>
  </rv>
  <rv s="0">
    <fb>1443.5</fb>
    <v>0</v>
  </rv>
  <rv s="0">
    <fb>1870.2</fb>
    <v>0</v>
  </rv>
  <rv s="0">
    <fb>986.89639999999997</fb>
    <v>0</v>
  </rv>
  <rv s="0">
    <fb>3656.3</fb>
    <v>0</v>
  </rv>
  <rv s="0">
    <fb>1504.2</fb>
    <v>0</v>
  </rv>
  <rv s="0">
    <fb>12462</fb>
    <v>0</v>
  </rv>
  <rv s="0">
    <fb>1637.7</fb>
    <v>0</v>
  </rv>
  <rv s="0">
    <fb>1427.9</fb>
    <v>0</v>
  </rv>
  <rv s="0">
    <fb>1840.4</fb>
    <v>0</v>
  </rv>
  <rv s="0">
    <fb>956.42219999999998</fb>
    <v>0</v>
  </rv>
  <rv s="0">
    <fb>3587.4</fb>
    <v>0</v>
  </rv>
  <rv s="0">
    <fb>1505.2</fb>
    <v>0</v>
  </rv>
  <rv s="0">
    <fb>12408</fb>
    <v>0</v>
  </rv>
  <rv s="0">
    <fb>1695.3</fb>
    <v>0</v>
  </rv>
  <rv s="0">
    <fb>1466.2</fb>
    <v>0</v>
  </rv>
  <rv s="0">
    <fb>1936.7</fb>
    <v>0</v>
  </rv>
  <rv s="0">
    <fb>979.91380000000004</fb>
    <v>0</v>
  </rv>
  <rv s="0">
    <fb>3662</fb>
    <v>0</v>
  </rv>
  <rv s="0">
    <fb>1499.7</fb>
    <v>0</v>
  </rv>
  <rv s="0">
    <fb>12791</fb>
    <v>0</v>
  </rv>
  <rv s="0">
    <fb>1739.9</fb>
    <v>0</v>
  </rv>
  <rv s="0">
    <fb>1515.4</fb>
    <v>0</v>
  </rv>
  <rv s="0">
    <fb>2027.1</fb>
    <v>0</v>
  </rv>
  <rv s="0">
    <fb>1004.9515</fb>
    <v>0</v>
  </rv>
  <rv s="0">
    <fb>3679.2</fb>
    <v>0</v>
  </rv>
  <rv s="0">
    <fb>1502.4</fb>
    <v>0</v>
  </rv>
  <rv s="0">
    <fb>12642</fb>
    <v>0</v>
  </rv>
  <rv s="0">
    <fb>1723.3</fb>
    <v>0</v>
  </rv>
  <rv s="0">
    <fb>1527.3</fb>
    <v>0</v>
  </rv>
  <rv s="0">
    <fb>2017.2</fb>
    <v>0</v>
  </rv>
  <rv s="0">
    <fb>992.18330000000003</fb>
    <v>0</v>
  </rv>
  <rv s="0">
    <fb>3594.6</fb>
    <v>0</v>
  </rv>
  <rv s="0">
    <fb>1513.3</fb>
    <v>0</v>
  </rv>
  <rv s="0">
    <fb>12646</fb>
    <v>0</v>
  </rv>
  <rv s="0">
    <fb>1725.9</fb>
    <v>0</v>
  </rv>
  <rv s="0">
    <fb>1495.2</fb>
    <v>0</v>
  </rv>
  <rv s="0">
    <fb>1921.9</fb>
    <v>0</v>
  </rv>
  <rv s="0">
    <fb>989.39020000000005</fb>
    <v>0</v>
  </rv>
  <rv s="0">
    <fb>3540.6</fb>
    <v>0</v>
  </rv>
  <rv s="0">
    <fb>1485</fb>
    <v>0</v>
  </rv>
  <rv s="0">
    <fb>12574</fb>
    <v>0</v>
  </rv>
  <rv s="0">
    <fb>1638.3</fb>
    <v>0</v>
  </rv>
  <rv s="0">
    <fb>1476</fb>
    <v>0</v>
  </rv>
  <rv s="0">
    <fb>1901</fb>
    <v>0</v>
  </rv>
  <rv s="0">
    <fb>976.27279999999996</fb>
    <v>0</v>
  </rv>
  <rv s="0">
    <fb>3464.8</fb>
    <v>0</v>
  </rv>
  <rv s="0">
    <fb>1482.3</fb>
    <v>0</v>
  </rv>
  <rv s="0">
    <fb>12419</fb>
    <v>0</v>
  </rv>
  <rv s="0">
    <fb>1548.8</fb>
    <v>0</v>
  </rv>
  <rv s="0">
    <fb>1391.7</fb>
    <v>0</v>
  </rv>
  <rv s="0">
    <fb>1937.9</fb>
    <v>0</v>
  </rv>
  <rv s="0">
    <fb>1002.3</fb>
    <v>0</v>
  </rv>
  <rv s="0">
    <fb>3442.9</fb>
    <v>0</v>
  </rv>
  <rv s="0">
    <fb>1532.5</fb>
    <v>0</v>
  </rv>
  <rv s="0">
    <fb>12404</fb>
    <v>0</v>
  </rv>
  <rv s="0">
    <fb>1490.1</fb>
    <v>0</v>
  </rv>
  <rv s="0">
    <fb>1393.7</fb>
    <v>0</v>
  </rv>
  <rv s="0">
    <fb>1884.4</fb>
    <v>0</v>
  </rv>
  <rv s="0">
    <fb>1006.1</fb>
    <v>0</v>
  </rv>
  <rv s="0">
    <fb>3587.3</fb>
    <v>0</v>
  </rv>
  <rv s="0">
    <fb>1502.8</fb>
    <v>0</v>
  </rv>
  <rv s="0">
    <fb>12302</fb>
    <v>0</v>
  </rv>
  <rv s="0">
    <fb>1452.1</fb>
    <v>0</v>
  </rv>
  <rv s="0">
    <fb>1367.8</fb>
    <v>0</v>
  </rv>
  <rv s="0">
    <fb>1858.6</fb>
    <v>0</v>
  </rv>
  <rv s="0">
    <fb>986.95</fb>
    <v>0</v>
  </rv>
  <rv s="0">
    <fb>3607.6</fb>
    <v>0</v>
  </rv>
  <rv s="0">
    <fb>1485.8</fb>
    <v>0</v>
  </rv>
  <rv s="0">
    <fb>12590</fb>
    <v>0</v>
  </rv>
  <rv s="0">
    <fb>1475.7</fb>
    <v>0</v>
  </rv>
  <rv s="0">
    <fb>1373.8</fb>
    <v>0</v>
  </rv>
  <rv s="0">
    <fb>1873.8</fb>
    <v>0</v>
  </rv>
  <rv s="0">
    <fb>995.55</fb>
    <v>0</v>
  </rv>
  <rv s="0">
    <fb>3677</fb>
    <v>0</v>
  </rv>
  <rv s="0">
    <fb>1564</fb>
    <v>0</v>
  </rv>
  <rv s="0">
    <fb>12936</fb>
    <v>0</v>
  </rv>
  <rv s="0">
    <fb>1489.8</fb>
    <v>0</v>
  </rv>
  <rv s="0">
    <fb>1409.2</fb>
    <v>0</v>
  </rv>
  <rv s="0">
    <fb>1933.3</fb>
    <v>0</v>
  </rv>
  <rv s="0">
    <fb>982.3</fb>
    <v>0</v>
  </rv>
  <rv s="0">
    <fb>3595.8</fb>
    <v>0</v>
  </rv>
  <rv s="0">
    <fb>1592.8</fb>
    <v>0</v>
  </rv>
  <rv s="0">
    <fb>14349</fb>
    <v>0</v>
  </rv>
  <rv s="0">
    <fb>1466.3</fb>
    <v>0</v>
  </rv>
  <rv s="0">
    <fb>1357.2</fb>
    <v>0</v>
  </rv>
  <rv s="0">
    <fb>1888.8</fb>
    <v>0</v>
  </rv>
  <rv s="0">
    <fb>951.6</fb>
    <v>0</v>
  </rv>
  <rv s="0">
    <fb>3601</fb>
    <v>0</v>
  </rv>
  <rv s="0">
    <fb>1589.4</fb>
    <v>0</v>
  </rv>
  <rv s="0">
    <fb>14791</fb>
    <v>0</v>
  </rv>
  <rv s="0">
    <fb>1454.8</fb>
    <v>0</v>
  </rv>
  <rv s="0">
    <fb>1375</fb>
    <v>0</v>
  </rv>
  <rv s="0">
    <fb>1895.3</fb>
    <v>0</v>
  </rv>
  <rv s="0">
    <fb>963.4</fb>
    <v>0</v>
  </rv>
  <rv s="0">
    <fb>3553.6</fb>
    <v>0</v>
  </rv>
  <rv s="0">
    <fb>1553.4</fb>
    <v>0</v>
  </rv>
  <rv s="0">
    <fb>14895</fb>
    <v>0</v>
  </rv>
  <rv s="0">
    <fb>1419</fb>
    <v>0</v>
  </rv>
  <rv s="0">
    <fb>1902.6</fb>
    <v>0</v>
  </rv>
  <rv s="0">
    <fb>967.3</fb>
    <v>0</v>
  </rv>
  <rv s="0">
    <fb>3579.8</fb>
    <v>0</v>
  </rv>
  <rv s="0">
    <fb>1574.6</fb>
    <v>0</v>
  </rv>
  <rv s="0">
    <fb>15325</fb>
    <v>0</v>
  </rv>
  <rv s="0">
    <fb>1467.2</fb>
    <v>0</v>
  </rv>
  <rv s="0">
    <fb>1407.4</fb>
    <v>0</v>
  </rv>
  <rv s="0">
    <fb>1962.4</fb>
    <v>0</v>
  </rv>
  <rv s="0">
    <fb>966.9</fb>
    <v>0</v>
  </rv>
  <rv s="0">
    <fb>3675.4</fb>
    <v>0</v>
  </rv>
  <rv s="0">
    <fb>1575.8</fb>
    <v>0</v>
  </rv>
  <rv s="0">
    <fb>15864</fb>
    <v>0</v>
  </rv>
  <rv s="0">
    <fb>1467.4</fb>
    <v>0</v>
  </rv>
  <rv s="0">
    <fb>1377.6</fb>
    <v>0</v>
  </rv>
  <rv s="0">
    <fb>1916.6</fb>
    <v>0</v>
  </rv>
  <rv s="0">
    <fb>945.05</fb>
    <v>0</v>
  </rv>
  <rv s="0">
    <fb>3729.5</fb>
    <v>0</v>
  </rv>
  <rv s="0">
    <fb>1499.4</fb>
    <v>0</v>
  </rv>
  <rv s="0">
    <fb>16286</fb>
    <v>0</v>
  </rv>
  <rv s="0">
    <fb>1395.3</fb>
    <v>0</v>
  </rv>
  <rv s="0">
    <fb>1363.4</fb>
    <v>0</v>
  </rv>
  <rv s="0">
    <fb>1896.7</fb>
    <v>0</v>
  </rv>
  <rv s="0">
    <fb>965.15</fb>
    <v>0</v>
  </rv>
  <rv s="0">
    <fb>3733.1</fb>
    <v>0</v>
  </rv>
  <rv s="0">
    <fb>1517.7</fb>
    <v>0</v>
  </rv>
  <rv s="0">
    <fb>15806</fb>
    <v>0</v>
  </rv>
  <rv s="0">
    <fb>1393.5</fb>
    <v>0</v>
  </rv>
  <rv s="0">
    <fb>1381.7</fb>
    <v>0</v>
  </rv>
  <rv s="0">
    <fb>1939.9</fb>
    <v>0</v>
  </rv>
  <rv s="0">
    <fb>980.9</fb>
    <v>0</v>
  </rv>
  <rv s="0">
    <fb>3784</fb>
    <v>0</v>
  </rv>
  <rv s="0">
    <fb>1561.8</fb>
    <v>0</v>
  </rv>
  <rv s="0">
    <fb>16265</fb>
    <v>0</v>
  </rv>
  <rv s="0">
    <fb>1495.5</fb>
    <v>0</v>
  </rv>
  <rv s="0">
    <fb>1416.8</fb>
    <v>0</v>
  </rv>
  <rv s="0">
    <fb>2012</fb>
    <v>0</v>
  </rv>
  <rv s="0">
    <fb>1002.55</fb>
    <v>0</v>
  </rv>
  <rv s="0">
    <fb>3839.4</fb>
    <v>0</v>
  </rv>
  <rv s="0">
    <fb>1577.6</fb>
    <v>0</v>
  </rv>
  <rv s="0">
    <fb>16401</fb>
    <v>0</v>
  </rv>
  <rv s="0">
    <fb>1486.2</fb>
    <v>0</v>
  </rv>
  <rv s="0">
    <fb>1451.6</fb>
    <v>0</v>
  </rv>
  <rv s="0">
    <fb>2029.3</fb>
    <v>0</v>
  </rv>
  <rv s="0">
    <fb>994.75</fb>
    <v>0</v>
  </rv>
  <rv s="0">
    <fb>3904.9</fb>
    <v>0</v>
  </rv>
  <rv s="0">
    <fb>1584.4</fb>
    <v>0</v>
  </rv>
  <rv s="0">
    <fb>16274</fb>
    <v>0</v>
  </rv>
  <rv s="0">
    <fb>1523.8</fb>
    <v>0</v>
  </rv>
  <rv s="0">
    <fb>1486.4</fb>
    <v>0</v>
  </rv>
  <rv s="0">
    <fb>2054.5</fb>
    <v>0</v>
  </rv>
  <rv s="0">
    <fb>987.3</fb>
    <v>0</v>
  </rv>
  <rv s="0">
    <fb>4030.9</fb>
    <v>0</v>
  </rv>
  <rv s="0">
    <fb>1501.3</fb>
    <v>0</v>
  </rv>
  <rv s="0">
    <fb>16186</fb>
    <v>0</v>
  </rv>
  <rv s="0">
    <fb>1541.5</fb>
    <v>0</v>
  </rv>
  <rv s="0">
    <fb>1478</fb>
    <v>0</v>
  </rv>
  <rv s="0">
    <fb>2001.2</fb>
    <v>0</v>
  </rv>
  <rv s="0">
    <fb>3882.5</fb>
    <v>0</v>
  </rv>
  <rv s="0">
    <fb>1505.7</fb>
    <v>0</v>
  </rv>
  <rv s="0">
    <fb>15479</fb>
    <v>0</v>
  </rv>
  <rv s="0">
    <fb>1512.4</fb>
    <v>0</v>
  </rv>
  <rv s="0">
    <fb>1518.9</fb>
    <v>0</v>
  </rv>
  <rv s="0">
    <fb>2100.6999999999998</fb>
    <v>0</v>
  </rv>
  <rv s="0">
    <fb>989.6</fb>
    <v>0</v>
  </rv>
  <rv s="0">
    <fb>4004.4</fb>
    <v>0</v>
  </rv>
  <rv s="0">
    <fb>1532.1</fb>
    <v>0</v>
  </rv>
  <rv s="0">
    <fb>15684</fb>
    <v>0</v>
  </rv>
  <rv s="0">
    <fb>1594.6</fb>
    <v>0</v>
  </rv>
  <rv s="0">
    <fb>1546.6</fb>
    <v>0</v>
  </rv>
  <rv s="0">
    <fb>2162.6999999999998</fb>
    <v>0</v>
  </rv>
  <rv s="0">
    <fb>998.05</fb>
    <v>0</v>
  </rv>
  <rv s="0">
    <fb>4024.9</fb>
    <v>0</v>
  </rv>
  <rv s="0">
    <fb>1511.8</fb>
    <v>0</v>
  </rv>
  <rv s="0">
    <fb>15977</fb>
    <v>0</v>
  </rv>
  <rv s="0">
    <fb>1608</fb>
    <v>0</v>
  </rv>
  <rv s="0">
    <fb>1567.5</fb>
    <v>0</v>
  </rv>
  <rv s="0">
    <fb>2101.6</fb>
    <v>0</v>
  </rv>
  <rv s="0">
    <fb>1007.6</fb>
    <v>0</v>
  </rv>
  <rv s="0">
    <fb>4069.6</fb>
    <v>0</v>
  </rv>
  <rv s="0">
    <fb>1531.3</fb>
    <v>0</v>
  </rv>
  <rv s="0">
    <fb>15900</fb>
    <v>0</v>
  </rv>
  <rv s="0">
    <fb>1624.2</fb>
    <v>0</v>
  </rv>
  <rv s="0">
    <fb>1540.6</fb>
    <v>0</v>
  </rv>
  <rv s="0">
    <fb>2108.8000000000002</fb>
    <v>0</v>
  </rv>
  <rv s="0">
    <fb>1003.3</fb>
    <v>0</v>
  </rv>
  <rv s="0">
    <fb>4038.2</fb>
    <v>0</v>
  </rv>
  <rv s="0">
    <fb>1520.8</fb>
    <v>0</v>
  </rv>
  <rv s="0">
    <fb>16282</fb>
    <v>0</v>
  </rv>
  <rv s="0">
    <fb>1683</fb>
    <v>0</v>
  </rv>
  <rv s="0">
    <fb>1556.5</fb>
    <v>0</v>
  </rv>
  <rv s="0">
    <fb>2083.4</fb>
    <v>0</v>
  </rv>
  <rv s="0">
    <fb>1001.5</fb>
    <v>0</v>
  </rv>
  <rv s="0">
    <fb>4074.1</fb>
    <v>0</v>
  </rv>
  <rv s="0">
    <fb>1517.4</fb>
    <v>0</v>
  </rv>
  <rv s="0">
    <fb>16522</fb>
    <v>0</v>
  </rv>
  <rv s="0">
    <fb>1673.2</fb>
    <v>0</v>
  </rv>
  <rv s="0">
    <fb>1565.1</fb>
    <v>0</v>
  </rv>
  <rv s="0">
    <fb>2097.6999999999998</fb>
    <v>0</v>
  </rv>
  <rv s="0">
    <fb>985.5</fb>
    <v>0</v>
  </rv>
  <rv s="0">
    <fb>4073.5</fb>
    <v>0</v>
  </rv>
  <rv s="0">
    <fb>1517.1</fb>
    <v>0</v>
  </rv>
  <rv s="0">
    <fb>16414</fb>
    <v>0</v>
  </rv>
  <rv s="0">
    <fb>1642.4</fb>
    <v>0</v>
  </rv>
  <rv s="0">
    <fb>1559.2</fb>
    <v>0</v>
  </rv>
  <rv s="0">
    <fb>2105.4</fb>
    <v>0</v>
  </rv>
  <rv s="0">
    <fb>992.1</fb>
    <v>0</v>
  </rv>
  <rv s="0">
    <fb>4047.3</fb>
    <v>0</v>
  </rv>
  <rv s="0">
    <fb>1506</fb>
    <v>0</v>
  </rv>
  <rv s="0">
    <fb>16596</fb>
    <v>0</v>
  </rv>
  <rv s="0">
    <fb>1660.9</fb>
    <v>0</v>
  </rv>
  <rv s="0">
    <fb>1592.3</fb>
    <v>0</v>
  </rv>
  <rv s="0">
    <fb>2106.3000000000002</fb>
    <v>0</v>
  </rv>
  <rv s="0">
    <fb>1001.6</fb>
    <v>0</v>
  </rv>
  <rv s="0">
    <fb>4163.3999999999996</fb>
    <v>0</v>
  </rv>
  <rv s="0">
    <fb>1511.6</fb>
    <v>0</v>
  </rv>
  <rv s="0">
    <fb>16960</fb>
    <v>0</v>
  </rv>
  <rv s="0">
    <fb>1640.2</fb>
    <v>0</v>
  </rv>
  <rv s="0">
    <fb>1475.3</fb>
    <v>0</v>
  </rv>
  <rv s="0">
    <fb>939</fb>
    <v>0</v>
  </rv>
  <rv s="0">
    <fb>4025.2</fb>
    <v>0</v>
  </rv>
  <rv s="0">
    <fb>16501</fb>
    <v>0</v>
  </rv>
  <rv s="0">
    <fb>1661.4</fb>
    <v>0</v>
  </rv>
  <rv s="0">
    <fb>1457.9</fb>
    <v>0</v>
  </rv>
  <rv s="0">
    <fb>2016.4</fb>
    <v>0</v>
  </rv>
  <rv s="0">
    <fb>931.1</fb>
    <v>0</v>
  </rv>
  <rv s="0">
    <fb>3856.4</fb>
    <v>0</v>
  </rv>
  <rv s="0">
    <fb>1397.5</fb>
    <v>0</v>
  </rv>
  <rv s="0">
    <fb>15859</fb>
    <v>0</v>
  </rv>
  <rv s="0">
    <fb>1698</fb>
    <v>0</v>
  </rv>
  <rv s="0">
    <fb>1386.1</fb>
    <v>0</v>
  </rv>
  <rv s="0">
    <fb>1984.7</fb>
    <v>0</v>
  </rv>
  <rv s="0">
    <fb>916.1</fb>
    <v>0</v>
  </rv>
  <rv s="0">
    <fb>3743.8</fb>
    <v>0</v>
  </rv>
  <rv s="0">
    <fb>1315</fb>
    <v>0</v>
  </rv>
  <rv s="0">
    <fb>15469</fb>
    <v>0</v>
  </rv>
  <rv s="0">
    <fb>1707</fb>
    <v>0</v>
  </rv>
  <rv s="0">
    <fb>1450.8</fb>
    <v>0</v>
  </rv>
  <rv s="0">
    <fb>2038.4</fb>
    <v>0</v>
  </rv>
  <rv s="0">
    <fb>941.1</fb>
    <v>0</v>
  </rv>
  <rv s="0">
    <fb>4068.1</fb>
    <v>0</v>
  </rv>
  <rv s="0">
    <fb>1330</fb>
    <v>0</v>
  </rv>
  <rv s="0">
    <fb>14997</fb>
    <v>0</v>
  </rv>
  <rv s="0">
    <fb>1593.7</fb>
    <v>0</v>
  </rv>
  <rv s="0">
    <fb>1419.6</fb>
    <v>0</v>
  </rv>
  <rv s="0">
    <fb>2004.7</fb>
    <v>0</v>
  </rv>
  <rv s="0">
    <fb>903.9</fb>
    <v>0</v>
  </rv>
  <rv s="0">
    <fb>4173.8999999999996</fb>
    <v>0</v>
  </rv>
  <rv s="0">
    <fb>1331.5</fb>
    <v>0</v>
  </rv>
  <rv s="0">
    <fb>15237</fb>
    <v>0</v>
  </rv>
  <rv s="0">
    <fb>1455.2</fb>
    <v>0</v>
  </rv>
  <rv s="0">
    <fb>1419.4</fb>
    <v>0</v>
  </rv>
  <rv s="0">
    <fb>1977.4</fb>
    <v>0</v>
  </rv>
  <rv s="0">
    <fb>911.85</fb>
    <v>0</v>
  </rv>
  <rv s="0">
    <fb>4380.6000000000004</fb>
    <v>0</v>
  </rv>
  <rv s="0">
    <fb>1341.1</fb>
    <v>0</v>
  </rv>
  <rv s="0">
    <fb>14977</fb>
    <v>0</v>
  </rv>
  <rv s="0">
    <fb>1436.5</fb>
    <v>0</v>
  </rv>
  <rv s="0">
    <fb>1393.9</fb>
    <v>0</v>
  </rv>
  <rv s="0">
    <fb>1879.3</fb>
    <v>0</v>
  </rv>
  <rv s="0">
    <fb>887.75</fb>
    <v>0</v>
  </rv>
  <rv s="0">
    <fb>4278.3</fb>
    <v>0</v>
  </rv>
  <rv s="0">
    <fb>1348.2</fb>
    <v>0</v>
  </rv>
  <rv s="0">
    <fb>14857</fb>
    <v>0</v>
  </rv>
  <rv s="0">
    <fb>1389.1</fb>
    <v>0</v>
  </rv>
  <rv s="0">
    <fb>1404.8</fb>
    <v>0</v>
  </rv>
  <rv s="0">
    <fb>1870.8</fb>
    <v>0</v>
  </rv>
  <rv s="0">
    <fb>857.05</fb>
    <v>0</v>
  </rv>
  <rv s="0">
    <fb>3949.8</fb>
    <v>0</v>
  </rv>
  <rv s="0">
    <fb>1321.2</fb>
    <v>0</v>
  </rv>
  <rv s="0">
    <fb>14159</fb>
    <v>0</v>
  </rv>
  <rv s="0">
    <fb>1356.7</fb>
    <v>0</v>
  </rv>
  <rv s="0">
    <fb>1380.7</fb>
    <v>0</v>
  </rv>
  <rv s="0">
    <fb>1803.4</fb>
    <v>0</v>
  </rv>
  <rv s="0">
    <fb>817</fb>
    <v>0</v>
  </rv>
  <rv s="0">
    <fb>3439</fb>
    <v>0</v>
  </rv>
  <rv s="0">
    <fb>1314.7</fb>
    <v>0</v>
  </rv>
  <rv s="0">
    <fb>12591</fb>
    <v>0</v>
  </rv>
  <rv s="0">
    <fb>1325.4</fb>
    <v>0</v>
  </rv>
  <rv s="0">
    <fb>1414.4</fb>
    <v>0</v>
  </rv>
  <rv s="0">
    <fb>1846.1</fb>
    <v>0</v>
  </rv>
  <rv s="0">
    <fb>780.45</fb>
    <v>0</v>
  </rv>
  <rv s="0">
    <fb>3434.8</fb>
    <v>0</v>
  </rv>
  <rv s="0">
    <fb>1256.4000000000001</fb>
    <v>0</v>
  </rv>
  <rv s="0">
    <fb>12601</fb>
    <v>0</v>
  </rv>
  <rv s="0">
    <fb>1333.7</fb>
    <v>0</v>
  </rv>
  <rv s="0">
    <fb>1348.1</fb>
    <v>0</v>
  </rv>
  <rv s="0">
    <fb>1843.9</fb>
    <v>0</v>
  </rv>
  <rv s="0">
    <fb>756.2</fb>
    <v>0</v>
  </rv>
  <rv s="0">
    <fb>3564.1</fb>
    <v>0</v>
  </rv>
  <rv s="0">
    <fb>1242.3</fb>
    <v>0</v>
  </rv>
  <rv s="0">
    <fb>12389</fb>
    <v>0</v>
  </rv>
  <rv s="0">
    <fb>1364.4</fb>
    <v>0</v>
  </rv>
  <rv s="0">
    <fb>1350.5</fb>
    <v>0</v>
  </rv>
  <rv s="0">
    <fb>1789.7</fb>
    <v>0</v>
  </rv>
  <rv s="0">
    <fb>750.9</fb>
    <v>0</v>
  </rv>
  <rv s="0">
    <fb>3613.1</fb>
    <v>0</v>
  </rv>
  <rv s="0">
    <fb>1192.4000000000001</fb>
    <v>0</v>
  </rv>
  <rv s="0">
    <fb>12631</fb>
    <v>0</v>
  </rv>
  <rv s="0">
    <fb>1402.2</fb>
    <v>0</v>
  </rv>
  <rv s="0">
    <fb>1350.2</fb>
    <v>0</v>
  </rv>
  <rv s="0">
    <fb>1870</fb>
    <v>0</v>
  </rv>
  <rv s="0">
    <fb>810.3</fb>
    <v>0</v>
  </rv>
  <rv s="0">
    <fb>3959.9</fb>
    <v>0</v>
  </rv>
  <rv s="0">
    <fb>1229.5</fb>
    <v>0</v>
  </rv>
  <rv s="0">
    <fb>13709</fb>
    <v>0</v>
  </rv>
  <rv s="0">
    <fb>1451.2</fb>
    <v>0</v>
  </rv>
  <rv s="0">
    <fb>1365</fb>
    <v>0</v>
  </rv>
  <rv s="0">
    <fb>1846.9</fb>
    <v>0</v>
  </rv>
  <rv s="0">
    <fb>799.9</fb>
    <v>0</v>
  </rv>
  <rv s="0">
    <fb>4096.1000000000004</fb>
    <v>0</v>
  </rv>
  <rv s="0">
    <fb>1240.8</fb>
    <v>0</v>
  </rv>
  <rv s="0">
    <fb>13453</fb>
    <v>0</v>
  </rv>
  <rv s="0">
    <fb>1327.8</fb>
    <v>0</v>
  </rv>
  <rv s="0">
    <fb>1814.5</fb>
    <v>0</v>
  </rv>
  <rv s="0">
    <fb>784.85</fb>
    <v>0</v>
  </rv>
  <rv s="0">
    <fb>4014.3</fb>
    <v>0</v>
  </rv>
  <rv s="0">
    <fb>1295</fb>
    <v>0</v>
  </rv>
  <rv s="0">
    <fb>13048</fb>
    <v>0</v>
  </rv>
  <rv s="0">
    <fb>1203.2</fb>
    <v>0</v>
  </rv>
  <rv s="0">
    <fb>1430.8</fb>
    <v>0</v>
  </rv>
  <rv s="0">
    <fb>1886.8</fb>
    <v>0</v>
  </rv>
  <rv s="0">
    <fb>771.7</fb>
    <v>0</v>
  </rv>
  <rv s="0">
    <fb>4014</fb>
    <v>0</v>
  </rv>
  <rv s="0">
    <fb>1309.5999999999999</fb>
    <v>0</v>
  </rv>
  <rv s="0">
    <fb>13314</fb>
    <v>0</v>
  </rv>
  <rv s="0">
    <fb>1199.0999999999999</fb>
    <v>0</v>
  </rv>
  <rv s="0">
    <fb>1435.2</fb>
    <v>0</v>
  </rv>
  <rv s="0">
    <fb>1834.5</fb>
    <v>0</v>
  </rv>
  <rv s="0">
    <fb>780.85</fb>
    <v>0</v>
  </rv>
  <rv s="0">
    <fb>3974.5</fb>
    <v>0</v>
  </rv>
  <rv s="0">
    <fb>1347</fb>
    <v>0</v>
  </rv>
  <rv s="0">
    <fb>13726</fb>
    <v>0</v>
  </rv>
  <rv s="0">
    <fb>1198.4000000000001</fb>
    <v>0</v>
  </rv>
  <rv s="0">
    <fb>1336.4</fb>
    <v>0</v>
  </rv>
  <rv s="0">
    <fb>1905.4</fb>
    <v>0</v>
  </rv>
  <rv s="0">
    <fb>767.5</fb>
    <v>0</v>
  </rv>
  <rv s="0">
    <fb>3909</fb>
    <v>0</v>
  </rv>
  <rv s="0">
    <fb>1432.1</fb>
    <v>0</v>
  </rv>
  <rv s="0">
    <fb>13221</fb>
    <v>0</v>
  </rv>
  <rv s="0">
    <fb>1132.5999999999999</fb>
    <v>0</v>
  </rv>
  <rv s="0">
    <fb>1354.5</fb>
    <v>0</v>
  </rv>
  <rv s="0">
    <fb>1871.4</fb>
    <v>0</v>
  </rv>
  <rv s="0">
    <fb>766.8</fb>
    <v>0</v>
  </rv>
  <rv s="0">
    <fb>3926.6</fb>
    <v>0</v>
  </rv>
  <rv s="0">
    <fb>1399.2</fb>
    <v>0</v>
  </rv>
  <rv s="0">
    <fb>12987</fb>
    <v>0</v>
  </rv>
  <rv s="0">
    <fb>1164</fb>
    <v>0</v>
  </rv>
  <rv s="0">
    <fb>1829</fb>
    <v>0</v>
  </rv>
  <rv s="0">
    <fb>744.55</fb>
    <v>0</v>
  </rv>
  <rv s="0">
    <fb>4076.5</fb>
    <v>0</v>
  </rv>
  <rv s="0">
    <fb>1401</fb>
    <v>0</v>
  </rv>
  <rv s="0">
    <fb>13127</fb>
    <v>0</v>
  </rv>
  <rv s="0">
    <fb>1183.8</fb>
    <v>0</v>
  </rv>
  <rv s="0">
    <fb>1291</fb>
    <v>0</v>
  </rv>
  <rv s="0">
    <fb>1798.2</fb>
    <v>0</v>
  </rv>
  <rv s="0">
    <fb>747.05</fb>
    <v>0</v>
  </rv>
  <rv s="0">
    <fb>3953.2</fb>
    <v>0</v>
  </rv>
  <rv s="0">
    <fb>1401.3</fb>
    <v>0</v>
  </rv>
  <rv s="0">
    <fb>13050</fb>
    <v>0</v>
  </rv>
  <rv s="0">
    <fb>1154.7</fb>
    <v>0</v>
  </rv>
  <rv s="0">
    <fb>1293</fb>
    <v>0</v>
  </rv>
  <rv s="0">
    <fb>1822.5</fb>
    <v>0</v>
  </rv>
  <rv s="0">
    <fb>772.45</fb>
    <v>0</v>
  </rv>
  <rv s="0">
    <fb>4049.3</fb>
    <v>0</v>
  </rv>
  <rv s="0">
    <fb>1389.4</fb>
    <v>0</v>
  </rv>
  <rv s="0">
    <fb>13366</fb>
    <v>0</v>
  </rv>
  <rv s="0">
    <fb>1109.5999999999999</fb>
    <v>0</v>
  </rv>
  <rv s="0">
    <fb>1910.8</fb>
    <v>0</v>
  </rv>
  <rv s="0">
    <fb>779.8</fb>
    <v>0</v>
  </rv>
  <rv s="0">
    <fb>4209.3999999999996</fb>
    <v>0</v>
  </rv>
  <rv s="0">
    <fb>1351.8</fb>
    <v>0</v>
  </rv>
  <rv s="0">
    <fb>13395</fb>
    <v>0</v>
  </rv>
  <rv s="0">
    <fb>1131.7</fb>
    <v>0</v>
  </rv>
  <rv s="0">
    <fb>1318.1</fb>
    <v>0</v>
  </rv>
  <rv s="0">
    <fb>1850.7</fb>
    <v>0</v>
  </rv>
  <rv s="0">
    <fb>796.3</fb>
    <v>0</v>
  </rv>
  <rv s="0">
    <fb>4216.3999999999996</fb>
    <v>0</v>
  </rv>
  <rv s="0">
    <fb>1440.1</fb>
    <v>0</v>
  </rv>
  <rv s="0">
    <fb>13745</fb>
    <v>0</v>
  </rv>
  <rv s="0">
    <fb>1100.7</fb>
    <v>0</v>
  </rv>
  <rv s="0">
    <fb>1304</fb>
    <v>0</v>
  </rv>
  <rv s="0">
    <fb>1910.4</fb>
    <v>0</v>
  </rv>
  <rv s="0">
    <fb>801.05</fb>
    <v>0</v>
  </rv>
  <rv s="0">
    <fb>4026.6</fb>
    <v>0</v>
  </rv>
  <rv s="0">
    <fb>1458.2</fb>
    <v>0</v>
  </rv>
  <rv s="0">
    <fb>14366</fb>
    <v>0</v>
  </rv>
  <rv s="0">
    <fb>1139</fb>
    <v>0</v>
  </rv>
  <rv s="0">
    <fb>1307.8</fb>
    <v>0</v>
  </rv>
  <rv s="0">
    <fb>1920.4</fb>
    <v>0</v>
  </rv>
  <rv s="0">
    <fb>824.95</fb>
    <v>0</v>
  </rv>
  <rv s="0">
    <fb>3945.8</fb>
    <v>0</v>
  </rv>
  <rv s="0">
    <fb>1439.4</fb>
    <v>0</v>
  </rv>
  <rv s="0">
    <fb>13854</fb>
    <v>0</v>
  </rv>
  <rv s="0">
    <fb>1164.0999999999999</fb>
    <v>0</v>
  </rv>
  <rv s="0">
    <fb>1327.2</fb>
    <v>0</v>
  </rv>
  <rv s="0">
    <fb>1908.8</fb>
    <v>0</v>
  </rv>
  <rv s="0">
    <fb>819.6</fb>
    <v>0</v>
  </rv>
  <rv s="0">
    <fb>3814.5</fb>
    <v>0</v>
  </rv>
  <rv s="0">
    <fb>1418.7</fb>
    <v>0</v>
  </rv>
  <rv s="0">
    <fb>13803</fb>
    <v>0</v>
  </rv>
  <rv s="0">
    <fb>1203.9000000000001</fb>
    <v>0</v>
  </rv>
  <rv s="0">
    <fb>1278</fb>
    <v>0</v>
  </rv>
  <rv s="0">
    <fb>1898.2</fb>
    <v>0</v>
  </rv>
  <rv s="0">
    <fb>742.8</fb>
    <v>0</v>
  </rv>
  <rv s="0">
    <fb>3785.6</fb>
    <v>0</v>
  </rv>
  <rv s="0">
    <fb>1410.6</fb>
    <v>0</v>
  </rv>
  <rv s="0">
    <fb>13442</fb>
    <v>0</v>
  </rv>
  <rv s="0">
    <fb>1271</fb>
    <v>0</v>
  </rv>
  <rv s="0">
    <fb>1972</fb>
    <v>0</v>
  </rv>
  <rv s="0">
    <fb>748.15</fb>
    <v>0</v>
  </rv>
  <rv s="0">
    <fb>3938.9</fb>
    <v>0</v>
  </rv>
  <rv s="0">
    <fb>1473.2</fb>
    <v>0</v>
  </rv>
  <rv s="0">
    <fb>14234</fb>
    <v>0</v>
  </rv>
  <rv s="0">
    <fb>1346.9</fb>
    <v>0</v>
  </rv>
  <rv s="0">
    <fb>1334.8</fb>
    <v>0</v>
  </rv>
  <rv s="0">
    <fb>1959.9</fb>
    <v>0</v>
  </rv>
  <rv s="0">
    <fb>731</fb>
    <v>0</v>
  </rv>
  <rv s="0">
    <fb>4056</fb>
    <v>0</v>
  </rv>
  <rv s="0">
    <fb>1463.8</fb>
    <v>0</v>
  </rv>
  <rv s="0">
    <fb>14037</fb>
    <v>0</v>
  </rv>
  <rv s="0">
    <fb>1356.6</fb>
    <v>0</v>
  </rv>
  <rv s="0">
    <fb>1310</fb>
    <v>0</v>
  </rv>
  <rv s="0">
    <fb>1992.1</fb>
    <v>0</v>
  </rv>
  <rv s="0">
    <fb>727</fb>
    <v>0</v>
  </rv>
  <rv s="0">
    <fb>4057</fb>
    <v>0</v>
  </rv>
  <rv s="0">
    <fb>1450</fb>
    <v>0</v>
  </rv>
  <rv s="0">
    <fb>13834</fb>
    <v>0</v>
  </rv>
  <rv s="0">
    <fb>1360</fb>
    <v>0</v>
  </rv>
  <rv s="0">
    <fb>1316</fb>
    <v>0</v>
  </rv>
  <rv s="0">
    <fb>1946</fb>
    <v>0</v>
  </rv>
  <rv s="0">
    <fb>726.95</fb>
    <v>0</v>
  </rv>
  <rv s="0">
    <fb>4093</fb>
    <v>0</v>
  </rv>
  <rv s="0">
    <fb>1432.2</fb>
    <v>0</v>
  </rv>
  <rv s="0">
    <fb>13565</fb>
    <v>0</v>
  </rv>
  <rv s="0">
    <fb>1302.5</fb>
    <v>0</v>
  </rv>
  <rv s="0">
    <fb>1287</fb>
    <v>0</v>
  </rv>
  <rv s="0">
    <fb>1882.4</fb>
    <v>0</v>
  </rv>
  <rv s="0">
    <fb>720.3</fb>
    <v>0</v>
  </rv>
  <rv s="0">
    <fb>4045.8</fb>
    <v>0</v>
  </rv>
  <rv s="0">
    <fb>1423.5</fb>
    <v>0</v>
  </rv>
  <rv s="0">
    <fb>13376</fb>
    <v>0</v>
  </rv>
  <rv s="0">
    <fb>1316.1</fb>
    <v>0</v>
  </rv>
  <rv s="0">
    <fb>1322</fb>
    <v>0</v>
  </rv>
  <rv s="0">
    <fb>1840</fb>
    <v>0</v>
  </rv>
  <rv s="0">
    <fb>712.1</fb>
    <v>0</v>
  </rv>
  <rv s="0">
    <fb>3964.1</fb>
    <v>0</v>
  </rv>
  <rv s="0">
    <fb>1385</fb>
    <v>0</v>
  </rv>
  <rv s="0">
    <fb>12694</fb>
    <v>0</v>
  </rv>
  <rv s="0">
    <fb>1293.4000000000001</fb>
    <v>0</v>
  </rv>
  <rv s="0">
    <fb>45544</fb>
    <v>1</v>
  </rv>
  <rv s="0">
    <fb>45551</fb>
    <v>1</v>
  </rv>
  <rv s="0">
    <fb>45558</fb>
    <v>1</v>
  </rv>
  <rv s="0">
    <fb>45565</fb>
    <v>1</v>
  </rv>
  <rv s="0">
    <fb>45572</fb>
    <v>1</v>
  </rv>
  <rv s="0">
    <fb>45579</fb>
    <v>1</v>
  </rv>
  <rv s="0">
    <fb>45586</fb>
    <v>1</v>
  </rv>
  <rv s="0">
    <fb>45593</fb>
    <v>1</v>
  </rv>
  <rv s="0">
    <fb>45600</fb>
    <v>1</v>
  </rv>
  <rv s="0">
    <fb>45607</fb>
    <v>1</v>
  </rv>
  <rv s="0">
    <fb>45614</fb>
    <v>1</v>
  </rv>
  <rv s="0">
    <fb>45621</fb>
    <v>1</v>
  </rv>
  <rv s="0">
    <fb>45628</fb>
    <v>1</v>
  </rv>
  <rv s="0">
    <fb>45635</fb>
    <v>1</v>
  </rv>
  <rv s="0">
    <fb>45642</fb>
    <v>1</v>
  </rv>
  <rv s="0">
    <fb>45649</fb>
    <v>1</v>
  </rv>
  <rv s="0">
    <fb>45656</fb>
    <v>1</v>
  </rv>
  <rv s="0">
    <fb>45663</fb>
    <v>1</v>
  </rv>
  <rv s="0">
    <fb>45670</fb>
    <v>1</v>
  </rv>
  <rv s="0">
    <fb>45677</fb>
    <v>1</v>
  </rv>
  <rv s="0">
    <fb>45684</fb>
    <v>1</v>
  </rv>
  <rv s="0">
    <fb>45691</fb>
    <v>1</v>
  </rv>
  <rv s="0">
    <fb>45698</fb>
    <v>1</v>
  </rv>
  <rv s="0">
    <fb>45705</fb>
    <v>1</v>
  </rv>
  <rv s="0">
    <fb>45712</fb>
    <v>1</v>
  </rv>
  <rv s="0">
    <fb>45719</fb>
    <v>1</v>
  </rv>
  <rv s="0">
    <fb>45726</fb>
    <v>1</v>
  </rv>
  <rv s="0">
    <fb>45733</fb>
    <v>1</v>
  </rv>
  <rv s="0">
    <fb>45740</fb>
    <v>1</v>
  </rv>
  <rv s="0">
    <fb>45748</fb>
    <v>1</v>
  </rv>
  <rv s="0">
    <fb>1204.7</fb>
    <v>0</v>
  </rv>
  <rv s="0">
    <fb>1743.45</fb>
    <v>0</v>
  </rv>
  <rv s="0">
    <fb>906.39649999999995</fb>
    <v>0</v>
  </rv>
  <rv s="0">
    <fb>3260.15</fb>
    <v>0</v>
  </rv>
  <rv s="0">
    <fb>1415.25</fb>
    <v>0</v>
  </rv>
  <rv s="0">
    <fb>11482</fb>
    <v>0</v>
  </rv>
  <rv s="0">
    <fb>1422.1</fb>
    <v>0</v>
  </rv>
  <rv s="0">
    <fb>45754</fb>
    <v>1</v>
  </rv>
  <rv s="0">
    <fb>45762</fb>
    <v>1</v>
  </rv>
  <rv s="0">
    <fb>1274.5</fb>
    <v>0</v>
  </rv>
  <rv s="0">
    <fb>1889.1</fb>
    <v>0</v>
  </rv>
  <rv s="0">
    <fb>950.98569999999995</fb>
    <v>0</v>
  </rv>
  <rv s="0">
    <fb>3247.3</fb>
    <v>0</v>
  </rv>
  <rv s="0">
    <fb>1515.2</fb>
    <v>0</v>
  </rv>
  <rv s="0">
    <fb>11695</fb>
    <v>0</v>
  </rv>
  <rv s="0">
    <fb>1438</fb>
    <v>0</v>
  </rv>
  <rv s="0">
    <fb>45768</fb>
    <v>1</v>
  </rv>
  <rv s="0">
    <fb>45775</fb>
    <v>1</v>
  </rv>
  <rv s="0">
    <fb>45782</fb>
    <v>1</v>
  </rv>
  <rv s="0">
    <fb>45789</fb>
    <v>1</v>
  </rv>
  <rv s="0">
    <fb>45796</fb>
    <v>1</v>
  </rv>
  <rv s="0">
    <fb>45803</fb>
    <v>1</v>
  </rv>
  <rv s="0">
    <fb>45810</fb>
    <v>1</v>
  </rv>
  <rv s="0">
    <fb>45817</fb>
    <v>1</v>
  </rv>
  <rv s="0">
    <fb>45824</fb>
    <v>1</v>
  </rv>
  <rv s="0">
    <fb>45831</fb>
    <v>1</v>
  </rv>
  <rv s="0">
    <fb>45838</fb>
    <v>1</v>
  </rv>
  <rv s="0">
    <fb>45845</fb>
    <v>1</v>
  </rv>
  <rv s="0">
    <fb>45852</fb>
    <v>1</v>
  </rv>
  <rv s="0">
    <fb>45859</fb>
    <v>1</v>
  </rv>
  <rv s="0">
    <fb>45866</fb>
    <v>1</v>
  </rv>
  <rv s="0">
    <fb>45873</fb>
    <v>1</v>
  </rv>
  <rv s="0">
    <fb>45880</fb>
    <v>1</v>
  </rv>
  <rv s="0">
    <fb>45887</fb>
    <v>1</v>
  </rv>
  <rv s="0">
    <fb>45894</fb>
    <v>1</v>
  </rv>
  <rv s="0">
    <fb>45901</fb>
    <v>1</v>
  </rv>
  <rv s="0">
    <fb>45908</fb>
    <v>1</v>
  </rv>
  <rv s="0">
    <fb>45915</fb>
    <v>1</v>
  </rv>
  <rv s="0">
    <fb>45922</fb>
    <v>1</v>
  </rv>
  <rv s="0">
    <fb>45929</fb>
    <v>1</v>
  </rv>
  <rv s="0">
    <fb>45936</fb>
    <v>1</v>
  </rv>
  <rv s="0">
    <fb>45943</fb>
    <v>1</v>
  </rv>
  <rv s="0">
    <fb>45950</fb>
    <v>1</v>
  </rv>
  <rv s="0">
    <fb>45957</fb>
    <v>1</v>
  </rv>
  <rv s="0">
    <fb>45964</fb>
    <v>1</v>
  </rv>
  <rv s="0">
    <fb>45971</fb>
    <v>1</v>
  </rv>
  <rv s="0">
    <fb>45978</fb>
    <v>1</v>
  </rv>
  <rv s="0">
    <fb>45985</fb>
    <v>1</v>
  </rv>
  <rv s="0">
    <fb>45992</fb>
    <v>1</v>
  </rv>
  <rv s="0">
    <fb>45999</fb>
    <v>1</v>
  </rv>
  <rv s="0">
    <fb>46006</fb>
    <v>1</v>
  </rv>
  <rv s="0">
    <fb>46013</fb>
    <v>1</v>
  </rv>
  <rv s="0">
    <fb>46020</fb>
    <v>1</v>
  </rv>
  <rv s="0">
    <fb>46027</fb>
    <v>1</v>
  </rv>
  <rv s="0">
    <fb>46034</fb>
    <v>1</v>
  </rv>
  <rv s="0">
    <fb>46041</fb>
    <v>1</v>
  </rv>
  <rv s="0">
    <fb>46049</fb>
    <v>1</v>
  </rv>
  <rv s="0">
    <fb>1395.4</fb>
    <v>0</v>
  </rv>
  <rv s="0">
    <fb>1968.7</fb>
    <v>0</v>
  </rv>
  <rv s="0">
    <fb>929.25</fb>
    <v>0</v>
  </rv>
  <rv s="0">
    <fb>3932.3</fb>
    <v>0</v>
  </rv>
  <rv s="0">
    <fb>1324</fb>
    <v>0</v>
  </rv>
  <rv s="0">
    <fb>14599</fb>
    <v>0</v>
  </rv>
  <rv s="0">
    <fb>1695.6</fb>
    <v>0</v>
  </rv>
  <rv s="0">
    <fb>46054</fb>
    <v>1</v>
  </rv>
  <rv s="0">
    <fb>46062</fb>
    <v>1</v>
  </rv>
  <rv s="0">
    <fb>46069</fb>
    <v>1</v>
  </rv>
  <rv s="0">
    <fb>46076</fb>
    <v>1</v>
  </rv>
  <rv s="0">
    <fb>46083</fb>
    <v>1</v>
  </rv>
  <rv s="0">
    <fb>46090</fb>
    <v>1</v>
  </rv>
  <rv s="0">
    <fb>46097</fb>
    <v>1</v>
  </rv>
  <rv s="0">
    <fb>46104</fb>
    <v>1</v>
  </rv>
  <rv s="0">
    <fb>46111</fb>
    <v>1</v>
  </rv>
  <rv s="0">
    <fb>46118</fb>
    <v>1</v>
  </rv>
  <rv s="0">
    <fb>46125</fb>
    <v>1</v>
  </rv>
  <rv s="0">
    <fb>46132</fb>
    <v>1</v>
  </rv>
  <rv s="0">
    <fb>46139</fb>
    <v>1</v>
  </rv>
  <rv s="0">
    <fb>46146</fb>
    <v>1</v>
  </rv>
  <rv s="0">
    <fb>46153</fb>
    <v>1</v>
  </rv>
  <rv s="0">
    <fb>46160</fb>
    <v>1</v>
  </rv>
  <rv s="0">
    <fb>46167</fb>
    <v>1</v>
  </rv>
  <rv s="0">
    <fb>46174</fb>
    <v>1</v>
  </rv>
  <rv s="0">
    <fb>46181</fb>
    <v>1</v>
  </rv>
  <rv s="0">
    <fb>46188</fb>
    <v>1</v>
  </rv>
  <rv s="0">
    <fb>46195</fb>
    <v>1</v>
  </rv>
  <rv s="0">
    <fb>46202</fb>
    <v>1</v>
  </rv>
  <rv s="0">
    <fb>46209</fb>
    <v>1</v>
  </rv>
  <rv s="0">
    <fb>46216</fb>
    <v>1</v>
  </rv>
  <rv s="0">
    <fb>46223</fb>
    <v>1</v>
  </rv>
  <rv s="0">
    <fb>46230</fb>
    <v>1</v>
  </rv>
  <rv s="0">
    <fb>46237</fb>
    <v>1</v>
  </rv>
  <rv s="0">
    <fb>46244</fb>
    <v>1</v>
  </rv>
  <rv s="0">
    <fb>46251</fb>
    <v>1</v>
  </rv>
  <rv s="0">
    <fb>46258</fb>
    <v>1</v>
  </rv>
  <rv s="0">
    <fb>46265</fb>
    <v>1</v>
  </rv>
  <rv s="0">
    <fb>46272</fb>
    <v>1</v>
  </rv>
  <rv s="1">
    <v>2</v>
    <v>XNSE:MARUTI</v>
    <v>Weekly</v>
    <v>45543</v>
    <v>46277</v>
    <v>0</v>
    <v>1</v>
    <v>639243360000000000,639246193449355748,0</v>
    <v>0</v>
    <v>ahiwa2</v>
    <v>XNSE:MARUTI</v>
    <v>1</v>
  </rv>
  <rv s="1">
    <v>2</v>
    <v>XNSE:HDFCBANK</v>
    <v>Weekly</v>
    <v>45543</v>
    <v>46277</v>
    <v>0</v>
    <v>1</v>
    <v>639243360000000000,639246193449846055,0</v>
    <v>0</v>
    <v>ahi3jc</v>
    <v>XNSE:HDFCBANK</v>
    <v>2</v>
  </rv>
  <rv s="1">
    <v>2</v>
    <v>XNSE:BHARTIARTL</v>
    <v>Weekly</v>
    <v>45543</v>
    <v>46277</v>
    <v>0</v>
    <v>1</v>
    <v>639243360000000000,639246193448866335,0</v>
    <v>0</v>
    <v>ahh7a2</v>
    <v>XNSE:BHARTIARTL</v>
    <v>3</v>
  </rv>
  <rv s="1">
    <v>2</v>
    <v>XNSE:HCLTECH</v>
    <v>Weekly</v>
    <v>45543</v>
    <v>46277</v>
    <v>0</v>
    <v>1</v>
    <v>639243360000000000,639246193450335303,0</v>
    <v>0</v>
    <v>ahi3dm</v>
    <v>XNSE:HCLTECH</v>
    <v>4</v>
  </rv>
  <rv s="1">
    <v>2</v>
    <v>XNSE:LT</v>
    <v>Weekly</v>
    <v>45543</v>
    <v>46277</v>
    <v>0</v>
    <v>1</v>
    <v>639243360000000000,639246193448375986,0</v>
    <v>0</v>
    <v>ahirxm</v>
    <v>XNSE:LT</v>
    <v>5</v>
  </rv>
  <rv s="1">
    <v>2</v>
    <v>XNSE:CIPLA</v>
    <v>Weekly</v>
    <v>45543</v>
    <v>46277</v>
    <v>0</v>
    <v>1</v>
    <v>639243360000000000,639246193450826055,0</v>
    <v>0</v>
    <v>ahhedm</v>
    <v>XNSE:CIPLA</v>
    <v>6</v>
  </rv>
  <rv s="1">
    <v>2</v>
    <v>XNSE:RELIANCE</v>
    <v>Weekly</v>
    <v>45543</v>
    <v>46277</v>
    <v>0</v>
    <v>1</v>
    <v>639243360000000000,639246193447899725,0</v>
    <v>0</v>
    <v>ahjo52</v>
    <v>XNSE:RELIANCE</v>
    <v>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 xml:space="preserve">_ [$₹-as-IN] * #,##0.00_ ;_ [$₹-as-IN] * -#,##0.00_ ;_ [$₹-as-IN] * "-"??_ ;_ @_ </rpv>
    </rSty>
    <rSty dxfid="0"/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15D0B-28BA-4BBE-9F36-78F6A00549A9}" name="Query1" displayName="Query1" ref="W20:X125" tableType="queryTable" totalsRowShown="0" headerRowDxfId="26" dataDxfId="25">
  <autoFilter ref="W20:X125" xr:uid="{31C15D0B-28BA-4BBE-9F36-78F6A00549A9}"/>
  <tableColumns count="2">
    <tableColumn id="1" xr3:uid="{D79D2421-4091-4C44-93D6-4D64EACA76F7}" uniqueName="1" name="Date" queryTableFieldId="1" dataDxfId="24"/>
    <tableColumn id="2" xr3:uid="{2C549E9F-09A5-4C7A-A252-721B1795E923}" uniqueName="2" name="Close" queryTableFieldId="2" dataDxfId="2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0AE51-5F2F-48CB-A0D5-020BD8DB532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5254d3e-93c6-4a77-9816-10db4eec399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D3EE"/>
  </sheetPr>
  <dimension ref="A1:I71"/>
  <sheetViews>
    <sheetView showGridLines="0" workbookViewId="0">
      <selection activeCell="L37" sqref="L37"/>
    </sheetView>
  </sheetViews>
  <sheetFormatPr defaultColWidth="8.6640625" defaultRowHeight="14.4" x14ac:dyDescent="0.3"/>
  <cols>
    <col min="1" max="1" width="26" customWidth="1"/>
    <col min="2" max="2" width="13" customWidth="1"/>
    <col min="3" max="3" width="17" customWidth="1"/>
    <col min="4" max="4" width="26" customWidth="1"/>
    <col min="5" max="6" width="10" customWidth="1"/>
    <col min="7" max="8" width="12" customWidth="1"/>
  </cols>
  <sheetData>
    <row r="1" spans="1:9" ht="33.75" customHeight="1" x14ac:dyDescent="0.3">
      <c r="A1" s="226" t="s">
        <v>18</v>
      </c>
      <c r="B1" s="156"/>
      <c r="C1" s="156"/>
      <c r="D1" s="156"/>
      <c r="E1" s="156"/>
      <c r="F1" s="156"/>
      <c r="G1" s="156"/>
      <c r="H1" s="156"/>
      <c r="I1" s="3"/>
    </row>
    <row r="2" spans="1:9" ht="19.5" customHeight="1" x14ac:dyDescent="0.3">
      <c r="A2" s="210" t="s">
        <v>19</v>
      </c>
      <c r="B2" s="156"/>
      <c r="C2" s="156"/>
      <c r="D2" s="156"/>
      <c r="E2" s="156"/>
      <c r="F2" s="156"/>
      <c r="G2" s="156"/>
      <c r="H2" s="156"/>
      <c r="I2" s="3"/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16.5" customHeight="1" x14ac:dyDescent="0.3">
      <c r="A4" s="214" t="s">
        <v>20</v>
      </c>
      <c r="B4" s="156"/>
      <c r="C4" s="156"/>
      <c r="D4" s="156"/>
      <c r="E4" s="156"/>
      <c r="F4" s="156"/>
      <c r="G4" s="156"/>
      <c r="H4" s="156"/>
      <c r="I4" s="3"/>
    </row>
    <row r="5" spans="1:9" ht="30" customHeight="1" x14ac:dyDescent="0.3">
      <c r="A5" s="4" t="s">
        <v>21</v>
      </c>
      <c r="B5" s="213" t="s">
        <v>22</v>
      </c>
      <c r="C5" s="212"/>
      <c r="D5" s="212"/>
      <c r="E5" s="212"/>
      <c r="F5" s="212"/>
      <c r="G5" s="212"/>
      <c r="H5" s="212"/>
      <c r="I5" s="3"/>
    </row>
    <row r="6" spans="1:9" x14ac:dyDescent="0.3">
      <c r="A6" s="3"/>
      <c r="B6" s="3"/>
      <c r="C6" s="3"/>
      <c r="D6" s="3"/>
      <c r="E6" s="3"/>
      <c r="F6" s="3"/>
      <c r="G6" s="3"/>
      <c r="H6" s="3"/>
      <c r="I6" s="3"/>
    </row>
    <row r="7" spans="1:9" ht="16.5" customHeight="1" x14ac:dyDescent="0.3">
      <c r="A7" s="214" t="s">
        <v>23</v>
      </c>
      <c r="B7" s="156"/>
      <c r="C7" s="156"/>
      <c r="D7" s="156"/>
      <c r="E7" s="156"/>
      <c r="F7" s="156"/>
      <c r="G7" s="156"/>
      <c r="H7" s="156"/>
      <c r="I7" s="3"/>
    </row>
    <row r="8" spans="1:9" ht="15.75" customHeight="1" x14ac:dyDescent="0.3">
      <c r="A8" s="5" t="s">
        <v>24</v>
      </c>
      <c r="B8" s="211" t="s">
        <v>25</v>
      </c>
      <c r="C8" s="212"/>
      <c r="D8" s="212"/>
      <c r="E8" s="212"/>
      <c r="F8" s="212"/>
      <c r="G8" s="212"/>
      <c r="H8" s="212"/>
      <c r="I8" s="3"/>
    </row>
    <row r="9" spans="1:9" ht="15.75" customHeight="1" x14ac:dyDescent="0.3">
      <c r="A9" s="5" t="s">
        <v>26</v>
      </c>
      <c r="B9" s="227" t="str">
        <f ca="1">"Weekly, "&amp;TEXT(Inputs!$B$6,"dd-mmm-yyyy")&amp;"  to  "&amp;TEXT(Inputs!$B$7,"dd-mmm-yyyy")&amp;"   ("&amp;TEXT(Inputs!$B$9,"0")&amp;" weekly returns, ≈2 years)"</f>
        <v>Weekly, 09-Sep-2024  to  07-Sep-2026   (104 weekly returns, ≈2 years)</v>
      </c>
      <c r="C9" s="212"/>
      <c r="D9" s="212"/>
      <c r="E9" s="212"/>
      <c r="F9" s="212"/>
      <c r="G9" s="212"/>
      <c r="H9" s="212"/>
      <c r="I9" s="3"/>
    </row>
    <row r="10" spans="1:9" ht="15.75" customHeight="1" x14ac:dyDescent="0.3">
      <c r="A10" s="5" t="s">
        <v>27</v>
      </c>
      <c r="B10" s="211" t="s">
        <v>28</v>
      </c>
      <c r="C10" s="212"/>
      <c r="D10" s="212"/>
      <c r="E10" s="212"/>
      <c r="F10" s="212"/>
      <c r="G10" s="212"/>
      <c r="H10" s="212"/>
      <c r="I10" s="3"/>
    </row>
    <row r="11" spans="1:9" ht="15.75" customHeight="1" x14ac:dyDescent="0.3">
      <c r="A11" s="5" t="s">
        <v>29</v>
      </c>
      <c r="B11" s="215">
        <f>RiskFree</f>
        <v>6.9500000000000006E-2</v>
      </c>
      <c r="C11" s="212"/>
      <c r="D11" s="212"/>
      <c r="E11" s="212"/>
      <c r="F11" s="212"/>
      <c r="G11" s="212"/>
      <c r="H11" s="212"/>
      <c r="I11" s="3"/>
    </row>
    <row r="12" spans="1:9" ht="15.75" customHeight="1" x14ac:dyDescent="0.3">
      <c r="A12" s="5" t="s">
        <v>30</v>
      </c>
      <c r="B12" s="211" t="s">
        <v>31</v>
      </c>
      <c r="C12" s="212"/>
      <c r="D12" s="212"/>
      <c r="E12" s="212"/>
      <c r="F12" s="212"/>
      <c r="G12" s="212"/>
      <c r="H12" s="212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16.5" customHeight="1" x14ac:dyDescent="0.3">
      <c r="A14" s="214" t="s">
        <v>32</v>
      </c>
      <c r="B14" s="156"/>
      <c r="C14" s="156"/>
      <c r="D14" s="156"/>
      <c r="E14" s="156"/>
      <c r="F14" s="156"/>
      <c r="G14" s="156"/>
      <c r="H14" s="156"/>
      <c r="I14" s="3"/>
    </row>
    <row r="15" spans="1:9" ht="27.75" customHeight="1" x14ac:dyDescent="0.3">
      <c r="A15" s="1" t="s">
        <v>33</v>
      </c>
      <c r="B15" s="1" t="s">
        <v>34</v>
      </c>
      <c r="C15" s="1" t="s">
        <v>35</v>
      </c>
      <c r="D15" s="1" t="s">
        <v>36</v>
      </c>
      <c r="E15" s="223" t="s">
        <v>37</v>
      </c>
      <c r="F15" s="224"/>
      <c r="G15" s="1"/>
      <c r="H15" s="1"/>
      <c r="I15" s="3"/>
    </row>
    <row r="16" spans="1:9" x14ac:dyDescent="0.3">
      <c r="A16" s="6">
        <v>1</v>
      </c>
      <c r="B16" s="5" t="s">
        <v>1</v>
      </c>
      <c r="C16" s="5" t="s">
        <v>10</v>
      </c>
      <c r="D16" s="5" t="s">
        <v>38</v>
      </c>
      <c r="E16" s="217">
        <f>Holdings!$E$7</f>
        <v>0.23</v>
      </c>
      <c r="F16" s="212"/>
      <c r="G16" s="3"/>
      <c r="H16" s="3"/>
      <c r="I16" s="3"/>
    </row>
    <row r="17" spans="1:9" x14ac:dyDescent="0.3">
      <c r="A17" s="6">
        <v>2</v>
      </c>
      <c r="B17" s="5" t="s">
        <v>2</v>
      </c>
      <c r="C17" s="5" t="s">
        <v>11</v>
      </c>
      <c r="D17" s="5" t="s">
        <v>39</v>
      </c>
      <c r="E17" s="217">
        <f>Holdings!$E$8</f>
        <v>0.15</v>
      </c>
      <c r="F17" s="212"/>
      <c r="G17" s="3"/>
      <c r="H17" s="3"/>
      <c r="I17" s="3"/>
    </row>
    <row r="18" spans="1:9" x14ac:dyDescent="0.3">
      <c r="A18" s="6">
        <v>3</v>
      </c>
      <c r="B18" s="5" t="s">
        <v>3</v>
      </c>
      <c r="C18" s="5" t="s">
        <v>12</v>
      </c>
      <c r="D18" s="5" t="s">
        <v>40</v>
      </c>
      <c r="E18" s="217">
        <f>Holdings!$E$9</f>
        <v>0.15</v>
      </c>
      <c r="F18" s="212"/>
      <c r="G18" s="3"/>
      <c r="H18" s="3"/>
      <c r="I18" s="3"/>
    </row>
    <row r="19" spans="1:9" x14ac:dyDescent="0.3">
      <c r="A19" s="6">
        <v>4</v>
      </c>
      <c r="B19" s="5" t="s">
        <v>4</v>
      </c>
      <c r="C19" s="5" t="s">
        <v>13</v>
      </c>
      <c r="D19" s="5" t="s">
        <v>41</v>
      </c>
      <c r="E19" s="217">
        <f>Holdings!$E$10</f>
        <v>0.14000000000000001</v>
      </c>
      <c r="F19" s="212"/>
      <c r="G19" s="3"/>
      <c r="H19" s="3"/>
      <c r="I19" s="3"/>
    </row>
    <row r="20" spans="1:9" x14ac:dyDescent="0.3">
      <c r="A20" s="6">
        <v>5</v>
      </c>
      <c r="B20" s="5" t="s">
        <v>5</v>
      </c>
      <c r="C20" s="5" t="s">
        <v>14</v>
      </c>
      <c r="D20" s="5" t="s">
        <v>42</v>
      </c>
      <c r="E20" s="217">
        <f>Holdings!$E$11</f>
        <v>0.12</v>
      </c>
      <c r="F20" s="212"/>
      <c r="G20" s="3"/>
      <c r="H20" s="3"/>
      <c r="I20" s="3"/>
    </row>
    <row r="21" spans="1:9" x14ac:dyDescent="0.3">
      <c r="A21" s="6">
        <v>6</v>
      </c>
      <c r="B21" s="5" t="s">
        <v>6</v>
      </c>
      <c r="C21" s="5" t="s">
        <v>15</v>
      </c>
      <c r="D21" s="5" t="s">
        <v>43</v>
      </c>
      <c r="E21" s="217">
        <f>Holdings!$E$12</f>
        <v>0.12</v>
      </c>
      <c r="F21" s="212"/>
      <c r="G21" s="3"/>
      <c r="H21" s="3"/>
      <c r="I21" s="3"/>
    </row>
    <row r="22" spans="1:9" x14ac:dyDescent="0.3">
      <c r="A22" s="6">
        <v>7</v>
      </c>
      <c r="B22" s="5" t="s">
        <v>7</v>
      </c>
      <c r="C22" s="5" t="s">
        <v>16</v>
      </c>
      <c r="D22" s="5" t="s">
        <v>44</v>
      </c>
      <c r="E22" s="217">
        <f>Holdings!$E$13</f>
        <v>0.09</v>
      </c>
      <c r="F22" s="212"/>
      <c r="G22" s="3"/>
      <c r="H22" s="3"/>
      <c r="I22" s="3"/>
    </row>
    <row r="23" spans="1:9" x14ac:dyDescent="0.3">
      <c r="A23" s="7"/>
      <c r="B23" s="7"/>
      <c r="C23" s="216" t="s">
        <v>45</v>
      </c>
      <c r="D23" s="212"/>
      <c r="E23" s="225">
        <f>SUM(WeightsCol)</f>
        <v>1</v>
      </c>
      <c r="F23" s="212"/>
      <c r="G23" s="8" t="str">
        <f>IF(ROUND(SUM(WeightsCol),6)=1,"✓ PASS","✗ FAIL")</f>
        <v>✓ PASS</v>
      </c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ht="16.5" customHeight="1" x14ac:dyDescent="0.3">
      <c r="A25" s="214" t="s">
        <v>46</v>
      </c>
      <c r="B25" s="156"/>
      <c r="C25" s="156"/>
      <c r="D25" s="156"/>
      <c r="E25" s="156"/>
      <c r="F25" s="156"/>
      <c r="G25" s="156"/>
      <c r="H25" s="156"/>
      <c r="I25" s="3"/>
    </row>
    <row r="26" spans="1:9" ht="27.75" customHeight="1" x14ac:dyDescent="0.3">
      <c r="A26" s="4" t="s">
        <v>47</v>
      </c>
      <c r="B26" s="213" t="s">
        <v>48</v>
      </c>
      <c r="C26" s="212"/>
      <c r="D26" s="212"/>
      <c r="E26" s="212"/>
      <c r="F26" s="212"/>
      <c r="G26" s="212"/>
      <c r="H26" s="212"/>
      <c r="I26" s="3"/>
    </row>
    <row r="27" spans="1:9" ht="27.75" customHeight="1" x14ac:dyDescent="0.3">
      <c r="A27" s="4" t="s">
        <v>49</v>
      </c>
      <c r="B27" s="213" t="s">
        <v>50</v>
      </c>
      <c r="C27" s="212"/>
      <c r="D27" s="212"/>
      <c r="E27" s="212"/>
      <c r="F27" s="212"/>
      <c r="G27" s="212"/>
      <c r="H27" s="212"/>
      <c r="I27" s="3"/>
    </row>
    <row r="28" spans="1:9" ht="27.75" customHeight="1" x14ac:dyDescent="0.3">
      <c r="A28" s="4" t="s">
        <v>51</v>
      </c>
      <c r="B28" s="213" t="s">
        <v>52</v>
      </c>
      <c r="C28" s="212"/>
      <c r="D28" s="212"/>
      <c r="E28" s="212"/>
      <c r="F28" s="212"/>
      <c r="G28" s="212"/>
      <c r="H28" s="212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ht="16.5" customHeight="1" x14ac:dyDescent="0.3">
      <c r="A30" s="214" t="s">
        <v>53</v>
      </c>
      <c r="B30" s="156"/>
      <c r="C30" s="156"/>
      <c r="D30" s="156"/>
      <c r="E30" s="156"/>
      <c r="F30" s="156"/>
      <c r="G30" s="156"/>
      <c r="H30" s="156"/>
      <c r="I30" s="3"/>
    </row>
    <row r="31" spans="1:9" ht="15.75" customHeight="1" x14ac:dyDescent="0.3">
      <c r="A31" s="9" t="s">
        <v>54</v>
      </c>
      <c r="B31" s="213" t="s">
        <v>55</v>
      </c>
      <c r="C31" s="212"/>
      <c r="D31" s="212"/>
      <c r="E31" s="212"/>
      <c r="F31" s="212"/>
      <c r="G31" s="212"/>
      <c r="H31" s="212"/>
      <c r="I31" s="3"/>
    </row>
    <row r="32" spans="1:9" ht="15.75" customHeight="1" x14ac:dyDescent="0.3">
      <c r="A32" s="9" t="s">
        <v>56</v>
      </c>
      <c r="B32" s="213" t="s">
        <v>57</v>
      </c>
      <c r="C32" s="212"/>
      <c r="D32" s="212"/>
      <c r="E32" s="212"/>
      <c r="F32" s="212"/>
      <c r="G32" s="212"/>
      <c r="H32" s="212"/>
      <c r="I32" s="3"/>
    </row>
    <row r="33" spans="1:9" ht="15.75" customHeight="1" x14ac:dyDescent="0.3">
      <c r="A33" s="9" t="s">
        <v>58</v>
      </c>
      <c r="B33" s="213" t="s">
        <v>59</v>
      </c>
      <c r="C33" s="212"/>
      <c r="D33" s="212"/>
      <c r="E33" s="212"/>
      <c r="F33" s="212"/>
      <c r="G33" s="212"/>
      <c r="H33" s="212"/>
      <c r="I33" s="3"/>
    </row>
    <row r="34" spans="1:9" ht="15.75" customHeight="1" x14ac:dyDescent="0.3">
      <c r="A34" s="9" t="s">
        <v>60</v>
      </c>
      <c r="B34" s="213" t="s">
        <v>61</v>
      </c>
      <c r="C34" s="212"/>
      <c r="D34" s="212"/>
      <c r="E34" s="212"/>
      <c r="F34" s="212"/>
      <c r="G34" s="212"/>
      <c r="H34" s="212"/>
      <c r="I34" s="3"/>
    </row>
    <row r="35" spans="1:9" ht="15.75" customHeight="1" x14ac:dyDescent="0.3">
      <c r="A35" s="9" t="s">
        <v>62</v>
      </c>
      <c r="B35" s="213" t="s">
        <v>63</v>
      </c>
      <c r="C35" s="212"/>
      <c r="D35" s="212"/>
      <c r="E35" s="212"/>
      <c r="F35" s="212"/>
      <c r="G35" s="212"/>
      <c r="H35" s="212"/>
      <c r="I35" s="3"/>
    </row>
    <row r="36" spans="1:9" ht="15.75" customHeight="1" x14ac:dyDescent="0.3">
      <c r="A36" s="9" t="s">
        <v>64</v>
      </c>
      <c r="B36" s="213" t="s">
        <v>65</v>
      </c>
      <c r="C36" s="212"/>
      <c r="D36" s="212"/>
      <c r="E36" s="212"/>
      <c r="F36" s="212"/>
      <c r="G36" s="212"/>
      <c r="H36" s="212"/>
      <c r="I36" s="3"/>
    </row>
    <row r="37" spans="1:9" ht="15.75" customHeight="1" x14ac:dyDescent="0.3">
      <c r="A37" s="9" t="s">
        <v>66</v>
      </c>
      <c r="B37" s="213" t="s">
        <v>67</v>
      </c>
      <c r="C37" s="212"/>
      <c r="D37" s="212"/>
      <c r="E37" s="212"/>
      <c r="F37" s="212"/>
      <c r="G37" s="212"/>
      <c r="H37" s="212"/>
      <c r="I37" s="3"/>
    </row>
    <row r="38" spans="1:9" ht="15.75" customHeight="1" x14ac:dyDescent="0.3">
      <c r="A38" s="9" t="s">
        <v>68</v>
      </c>
      <c r="B38" s="213" t="s">
        <v>69</v>
      </c>
      <c r="C38" s="212"/>
      <c r="D38" s="212"/>
      <c r="E38" s="212"/>
      <c r="F38" s="212"/>
      <c r="G38" s="212"/>
      <c r="H38" s="212"/>
      <c r="I38" s="3"/>
    </row>
    <row r="39" spans="1:9" ht="15.75" customHeight="1" x14ac:dyDescent="0.3">
      <c r="A39" s="9" t="s">
        <v>24</v>
      </c>
      <c r="B39" s="213" t="s">
        <v>70</v>
      </c>
      <c r="C39" s="212"/>
      <c r="D39" s="212"/>
      <c r="E39" s="212"/>
      <c r="F39" s="212"/>
      <c r="G39" s="212"/>
      <c r="H39" s="212"/>
      <c r="I39" s="3"/>
    </row>
    <row r="40" spans="1:9" ht="15.75" customHeight="1" x14ac:dyDescent="0.3">
      <c r="A40" s="9" t="s">
        <v>71</v>
      </c>
      <c r="B40" s="213" t="s">
        <v>72</v>
      </c>
      <c r="C40" s="212"/>
      <c r="D40" s="212"/>
      <c r="E40" s="212"/>
      <c r="F40" s="212"/>
      <c r="G40" s="212"/>
      <c r="H40" s="212"/>
      <c r="I40" s="3"/>
    </row>
    <row r="41" spans="1:9" ht="15.75" customHeight="1" x14ac:dyDescent="0.3">
      <c r="A41" s="9" t="s">
        <v>73</v>
      </c>
      <c r="B41" s="213" t="s">
        <v>74</v>
      </c>
      <c r="C41" s="212"/>
      <c r="D41" s="212"/>
      <c r="E41" s="212"/>
      <c r="F41" s="212"/>
      <c r="G41" s="212"/>
      <c r="H41" s="212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16.5" customHeight="1" x14ac:dyDescent="0.3">
      <c r="A43" s="214" t="s">
        <v>75</v>
      </c>
      <c r="B43" s="156"/>
      <c r="C43" s="156"/>
      <c r="D43" s="156"/>
      <c r="E43" s="156"/>
      <c r="F43" s="156"/>
      <c r="G43" s="156"/>
      <c r="H43" s="156"/>
      <c r="I43" s="3"/>
    </row>
    <row r="44" spans="1:9" ht="27.75" customHeight="1" x14ac:dyDescent="0.3">
      <c r="A44" s="4" t="s">
        <v>76</v>
      </c>
      <c r="B44" s="213" t="s">
        <v>77</v>
      </c>
      <c r="C44" s="212"/>
      <c r="D44" s="212"/>
      <c r="E44" s="212"/>
      <c r="F44" s="212"/>
      <c r="G44" s="212"/>
      <c r="H44" s="212"/>
      <c r="I44" s="3"/>
    </row>
    <row r="45" spans="1:9" ht="27.75" customHeight="1" x14ac:dyDescent="0.3">
      <c r="A45" s="4" t="s">
        <v>78</v>
      </c>
      <c r="B45" s="213" t="s">
        <v>79</v>
      </c>
      <c r="C45" s="212"/>
      <c r="D45" s="212"/>
      <c r="E45" s="212"/>
      <c r="F45" s="212"/>
      <c r="G45" s="212"/>
      <c r="H45" s="212"/>
      <c r="I45" s="3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ht="16.5" customHeight="1" x14ac:dyDescent="0.3">
      <c r="A47" s="214" t="s">
        <v>80</v>
      </c>
      <c r="B47" s="156"/>
      <c r="C47" s="156"/>
      <c r="D47" s="156"/>
      <c r="E47" s="156"/>
      <c r="F47" s="156"/>
      <c r="G47" s="156"/>
      <c r="H47" s="156"/>
      <c r="I47" s="3"/>
    </row>
    <row r="48" spans="1:9" ht="27.75" customHeight="1" x14ac:dyDescent="0.3">
      <c r="A48" s="4" t="s">
        <v>81</v>
      </c>
      <c r="B48" s="213" t="s">
        <v>82</v>
      </c>
      <c r="C48" s="212"/>
      <c r="D48" s="212"/>
      <c r="E48" s="212"/>
      <c r="F48" s="212"/>
      <c r="G48" s="212"/>
      <c r="H48" s="212"/>
      <c r="I48" s="3"/>
    </row>
    <row r="49" spans="1:9" ht="27.75" customHeight="1" x14ac:dyDescent="0.3">
      <c r="A49" s="4" t="s">
        <v>83</v>
      </c>
      <c r="B49" s="213" t="s">
        <v>84</v>
      </c>
      <c r="C49" s="212"/>
      <c r="D49" s="212"/>
      <c r="E49" s="212"/>
      <c r="F49" s="212"/>
      <c r="G49" s="212"/>
      <c r="H49" s="212"/>
      <c r="I49" s="3"/>
    </row>
    <row r="50" spans="1:9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ht="16.5" customHeight="1" x14ac:dyDescent="0.3">
      <c r="A51" s="214" t="s">
        <v>85</v>
      </c>
      <c r="B51" s="156"/>
      <c r="C51" s="156"/>
      <c r="D51" s="156"/>
      <c r="E51" s="156"/>
      <c r="F51" s="156"/>
      <c r="G51" s="156"/>
      <c r="H51" s="156"/>
      <c r="I51" s="3"/>
    </row>
    <row r="52" spans="1:9" x14ac:dyDescent="0.3">
      <c r="A52" s="5" t="s">
        <v>86</v>
      </c>
      <c r="B52" s="220">
        <f>Holdings!$H$53</f>
        <v>0</v>
      </c>
      <c r="C52" s="221"/>
      <c r="D52" s="221"/>
      <c r="E52" s="221"/>
      <c r="F52" s="221"/>
      <c r="G52" s="221"/>
      <c r="H52" s="221"/>
      <c r="I52" s="3"/>
    </row>
    <row r="53" spans="1:9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ht="16.5" customHeight="1" x14ac:dyDescent="0.3">
      <c r="A54" s="222" t="s">
        <v>87</v>
      </c>
      <c r="B54" s="156"/>
      <c r="C54" s="156"/>
      <c r="D54" s="156"/>
      <c r="E54" s="156"/>
      <c r="F54" s="156"/>
      <c r="G54" s="156"/>
      <c r="H54" s="156"/>
      <c r="I54" s="122"/>
    </row>
    <row r="55" spans="1:9" ht="27.75" customHeight="1" x14ac:dyDescent="0.3">
      <c r="A55" s="103" t="s">
        <v>88</v>
      </c>
      <c r="B55" s="218" t="s">
        <v>492</v>
      </c>
      <c r="C55" s="156"/>
      <c r="D55" s="156"/>
      <c r="E55" s="156"/>
      <c r="F55" s="156"/>
      <c r="G55" s="156"/>
      <c r="H55" s="156"/>
      <c r="I55" s="3"/>
    </row>
    <row r="56" spans="1:9" ht="27.75" customHeight="1" x14ac:dyDescent="0.3">
      <c r="A56" s="103" t="s">
        <v>89</v>
      </c>
      <c r="B56" s="218" t="s">
        <v>90</v>
      </c>
      <c r="C56" s="156"/>
      <c r="D56" s="156"/>
      <c r="E56" s="156"/>
      <c r="F56" s="156"/>
      <c r="G56" s="156"/>
      <c r="H56" s="156"/>
      <c r="I56" s="3"/>
    </row>
    <row r="57" spans="1:9" ht="27.75" customHeight="1" x14ac:dyDescent="0.3">
      <c r="A57" s="103" t="s">
        <v>91</v>
      </c>
      <c r="B57" s="218" t="s">
        <v>92</v>
      </c>
      <c r="C57" s="156"/>
      <c r="D57" s="156"/>
      <c r="E57" s="156"/>
      <c r="F57" s="156"/>
      <c r="G57" s="156"/>
      <c r="H57" s="156"/>
      <c r="I57" s="3"/>
    </row>
    <row r="58" spans="1:9" ht="27.75" customHeight="1" x14ac:dyDescent="0.3">
      <c r="A58" s="103" t="s">
        <v>93</v>
      </c>
      <c r="B58" s="218" t="s">
        <v>94</v>
      </c>
      <c r="C58" s="156"/>
      <c r="D58" s="156"/>
      <c r="E58" s="156"/>
      <c r="F58" s="156"/>
      <c r="G58" s="156"/>
      <c r="H58" s="156"/>
      <c r="I58" s="3"/>
    </row>
    <row r="59" spans="1:9" ht="27.75" customHeight="1" x14ac:dyDescent="0.3">
      <c r="A59" s="103" t="s">
        <v>95</v>
      </c>
      <c r="B59" s="218" t="str">
        <f>IF(COUNT(Query1[Date])&gt;0,"LIVE — Power Query pulling daily closes from Yahoo Finance (Market_Data W:X), aligned to the weekly axis; "&amp;COUNT(Query1[Date])&amp;" rows loaded.","EMERGENCY STATIC FALLBACK — the Yahoo Finance Power Query table is empty or not refreshed (see Market_Data W:X).")</f>
        <v>LIVE — Power Query pulling daily closes from Yahoo Finance (Market_Data W:X), aligned to the weekly axis; 105 rows loaded.</v>
      </c>
      <c r="C59" s="156"/>
      <c r="D59" s="156"/>
      <c r="E59" s="156"/>
      <c r="F59" s="156"/>
      <c r="G59" s="156"/>
      <c r="H59" s="156"/>
      <c r="I59" s="3"/>
    </row>
    <row r="60" spans="1:9" ht="27.75" customHeight="1" x14ac:dyDescent="0.3">
      <c r="A60" s="103" t="s">
        <v>96</v>
      </c>
      <c r="B60" s="218" t="str">
        <f ca="1">Inputs!$B$8&amp;" (of up to 130 buffered rows)"</f>
        <v>105 (of up to 130 buffered rows)</v>
      </c>
      <c r="C60" s="156"/>
      <c r="D60" s="156"/>
      <c r="E60" s="156"/>
      <c r="F60" s="156"/>
      <c r="G60" s="156"/>
      <c r="H60" s="156"/>
      <c r="I60" s="3"/>
    </row>
    <row r="61" spans="1:9" ht="27.75" customHeight="1" x14ac:dyDescent="0.3">
      <c r="A61" s="103" t="s">
        <v>97</v>
      </c>
      <c r="B61" s="218" t="str">
        <f ca="1">TEXT(Inputs!$B$7,"dd-mmm-yyyy")</f>
        <v>07-Sep-2026</v>
      </c>
      <c r="C61" s="156"/>
      <c r="D61" s="156"/>
      <c r="E61" s="156"/>
      <c r="F61" s="156"/>
      <c r="G61" s="156"/>
      <c r="H61" s="156"/>
      <c r="I61" s="3"/>
    </row>
    <row r="62" spans="1:9" ht="27.75" customHeight="1" x14ac:dyDescent="0.3">
      <c r="A62" s="103" t="s">
        <v>98</v>
      </c>
      <c r="B62" s="218" t="str">
        <f ca="1">TEXT(Inputs!$B$6,"dd-mmm-yyyy")</f>
        <v>09-Sep-2024</v>
      </c>
      <c r="C62" s="156"/>
      <c r="D62" s="156"/>
      <c r="E62" s="156"/>
      <c r="F62" s="156"/>
      <c r="G62" s="156"/>
      <c r="H62" s="156"/>
      <c r="I62" s="3"/>
    </row>
    <row r="63" spans="1:9" ht="27.75" customHeight="1" x14ac:dyDescent="0.3">
      <c r="A63" s="103" t="s">
        <v>99</v>
      </c>
      <c r="B63" s="218" t="str">
        <f ca="1">Holdings!$I$34</f>
        <v>PASS</v>
      </c>
      <c r="C63" s="156"/>
      <c r="D63" s="156"/>
      <c r="E63" s="156"/>
      <c r="F63" s="156"/>
      <c r="G63" s="156"/>
      <c r="H63" s="156"/>
      <c r="I63" s="3"/>
    </row>
    <row r="64" spans="1:9" ht="27.75" customHeight="1" x14ac:dyDescent="0.3">
      <c r="A64" s="103" t="s">
        <v>100</v>
      </c>
      <c r="B64" s="218" t="s">
        <v>101</v>
      </c>
      <c r="C64" s="156"/>
      <c r="D64" s="156"/>
      <c r="E64" s="156"/>
      <c r="F64" s="156"/>
      <c r="G64" s="156"/>
      <c r="H64" s="156"/>
      <c r="I64" s="3"/>
    </row>
    <row r="65" spans="1:9" x14ac:dyDescent="0.3">
      <c r="A65" s="2" t="s">
        <v>102</v>
      </c>
      <c r="B65" s="2"/>
      <c r="C65" s="2"/>
      <c r="D65" s="2"/>
      <c r="E65" s="2"/>
      <c r="F65" s="2"/>
      <c r="G65" s="2"/>
      <c r="H65" s="2"/>
      <c r="I65" s="122"/>
    </row>
    <row r="66" spans="1:9" ht="27" customHeight="1" x14ac:dyDescent="0.3">
      <c r="A66" s="219" t="s">
        <v>103</v>
      </c>
      <c r="B66" s="212"/>
      <c r="C66" s="212"/>
      <c r="D66" s="212"/>
      <c r="E66" s="212"/>
      <c r="F66" s="212"/>
      <c r="G66" s="212"/>
      <c r="H66" s="212"/>
      <c r="I66" s="3"/>
    </row>
    <row r="67" spans="1:9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3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3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3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3">
      <c r="A71" s="3"/>
      <c r="B71" s="3"/>
      <c r="C71" s="3"/>
      <c r="D71" s="3"/>
      <c r="E71" s="3"/>
      <c r="F71" s="3"/>
      <c r="G71" s="3"/>
      <c r="H71" s="3"/>
      <c r="I71" s="3"/>
    </row>
  </sheetData>
  <mergeCells count="57">
    <mergeCell ref="A1:H1"/>
    <mergeCell ref="E17:F17"/>
    <mergeCell ref="B5:H5"/>
    <mergeCell ref="B37:H37"/>
    <mergeCell ref="B63:H63"/>
    <mergeCell ref="B45:H45"/>
    <mergeCell ref="B36:H36"/>
    <mergeCell ref="B32:H32"/>
    <mergeCell ref="E20:F20"/>
    <mergeCell ref="B26:H26"/>
    <mergeCell ref="B41:H41"/>
    <mergeCell ref="A30:H30"/>
    <mergeCell ref="B40:H40"/>
    <mergeCell ref="B9:H9"/>
    <mergeCell ref="A7:H7"/>
    <mergeCell ref="A25:H25"/>
    <mergeCell ref="A54:H54"/>
    <mergeCell ref="E19:F19"/>
    <mergeCell ref="E15:F15"/>
    <mergeCell ref="B10:H10"/>
    <mergeCell ref="E18:F18"/>
    <mergeCell ref="E23:F23"/>
    <mergeCell ref="B33:H33"/>
    <mergeCell ref="B49:H49"/>
    <mergeCell ref="A51:H51"/>
    <mergeCell ref="E22:F22"/>
    <mergeCell ref="B62:H62"/>
    <mergeCell ref="A66:H66"/>
    <mergeCell ref="B59:H59"/>
    <mergeCell ref="B31:H31"/>
    <mergeCell ref="B27:H27"/>
    <mergeCell ref="B56:H56"/>
    <mergeCell ref="B58:H58"/>
    <mergeCell ref="B60:H60"/>
    <mergeCell ref="B61:H61"/>
    <mergeCell ref="B57:H57"/>
    <mergeCell ref="B34:H34"/>
    <mergeCell ref="B28:H28"/>
    <mergeCell ref="B55:H55"/>
    <mergeCell ref="B64:H64"/>
    <mergeCell ref="B52:H52"/>
    <mergeCell ref="B35:H35"/>
    <mergeCell ref="A2:H2"/>
    <mergeCell ref="B12:H12"/>
    <mergeCell ref="B39:H39"/>
    <mergeCell ref="B48:H48"/>
    <mergeCell ref="A14:H14"/>
    <mergeCell ref="A47:H47"/>
    <mergeCell ref="B11:H11"/>
    <mergeCell ref="C23:D23"/>
    <mergeCell ref="A4:H4"/>
    <mergeCell ref="B8:H8"/>
    <mergeCell ref="E16:F16"/>
    <mergeCell ref="E21:F21"/>
    <mergeCell ref="A43:H43"/>
    <mergeCell ref="B44:H44"/>
    <mergeCell ref="B38:H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showGridLines="0" topLeftCell="A33" workbookViewId="0">
      <selection activeCell="M10" sqref="M10"/>
    </sheetView>
  </sheetViews>
  <sheetFormatPr defaultColWidth="8.6640625" defaultRowHeight="14.4" x14ac:dyDescent="0.3"/>
  <cols>
    <col min="1" max="1" width="34" customWidth="1"/>
    <col min="2" max="2" width="22" customWidth="1"/>
    <col min="3" max="3" width="12" customWidth="1"/>
    <col min="4" max="4" width="46" customWidth="1"/>
    <col min="5" max="6" width="10" customWidth="1"/>
  </cols>
  <sheetData>
    <row r="1" spans="1:8" ht="24" customHeight="1" x14ac:dyDescent="0.3">
      <c r="A1" s="228" t="s">
        <v>104</v>
      </c>
      <c r="B1" s="229"/>
      <c r="C1" s="229"/>
      <c r="D1" s="229"/>
      <c r="E1" s="3"/>
      <c r="F1" s="3"/>
      <c r="G1" s="3"/>
      <c r="H1" s="3"/>
    </row>
    <row r="2" spans="1:8" ht="13.5" customHeight="1" x14ac:dyDescent="0.3">
      <c r="A2" s="231" t="s">
        <v>105</v>
      </c>
      <c r="B2" s="156"/>
      <c r="C2" s="156"/>
      <c r="D2" s="156"/>
      <c r="E2" s="156"/>
      <c r="F2" s="156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ht="16.5" customHeight="1" x14ac:dyDescent="0.3">
      <c r="A4" s="229" t="s">
        <v>106</v>
      </c>
      <c r="B4" s="229"/>
      <c r="C4" s="229"/>
      <c r="D4" s="229"/>
      <c r="E4" s="3"/>
      <c r="F4" s="3"/>
      <c r="G4" s="3"/>
      <c r="H4" s="3"/>
    </row>
    <row r="5" spans="1:8" ht="27.75" customHeight="1" x14ac:dyDescent="0.3">
      <c r="A5" s="1" t="s">
        <v>107</v>
      </c>
      <c r="B5" s="1" t="s">
        <v>108</v>
      </c>
      <c r="C5" s="1" t="s">
        <v>109</v>
      </c>
      <c r="D5" s="1" t="s">
        <v>110</v>
      </c>
      <c r="E5" s="3"/>
      <c r="F5" s="3"/>
      <c r="G5" s="3"/>
      <c r="H5" s="3"/>
    </row>
    <row r="6" spans="1:8" x14ac:dyDescent="0.3">
      <c r="A6" s="5" t="s">
        <v>111</v>
      </c>
      <c r="B6" s="10">
        <f ca="1">Prices!$A$4</f>
        <v>45544</v>
      </c>
      <c r="C6" s="11" t="s">
        <v>112</v>
      </c>
      <c r="D6" s="12" t="s">
        <v>113</v>
      </c>
      <c r="E6" s="3"/>
      <c r="F6" s="3"/>
      <c r="G6" s="3"/>
      <c r="H6" s="3"/>
    </row>
    <row r="7" spans="1:8" ht="22.8" customHeight="1" x14ac:dyDescent="0.3">
      <c r="A7" s="5" t="s">
        <v>114</v>
      </c>
      <c r="B7" s="10">
        <f ca="1">INDEX(Prices!$A$4:$A$133,COUNT(Prices!$A$4:$A$133))</f>
        <v>46272</v>
      </c>
      <c r="C7" s="11" t="s">
        <v>112</v>
      </c>
      <c r="D7" s="12" t="s">
        <v>115</v>
      </c>
      <c r="E7" s="3"/>
      <c r="F7" s="3"/>
      <c r="G7" s="3"/>
      <c r="H7" s="3"/>
    </row>
    <row r="8" spans="1:8" x14ac:dyDescent="0.3">
      <c r="A8" s="5" t="s">
        <v>116</v>
      </c>
      <c r="B8" s="13">
        <f ca="1">COUNT(Prices!$A$4:$A$133)</f>
        <v>105</v>
      </c>
      <c r="C8" s="11" t="s">
        <v>117</v>
      </c>
      <c r="D8" s="12" t="s">
        <v>118</v>
      </c>
      <c r="E8" s="3"/>
      <c r="F8" s="3"/>
      <c r="G8" s="3"/>
      <c r="H8" s="3"/>
    </row>
    <row r="9" spans="1:8" x14ac:dyDescent="0.3">
      <c r="A9" s="5" t="s">
        <v>119</v>
      </c>
      <c r="B9" s="13">
        <f ca="1">COUNT(PortRet)</f>
        <v>104</v>
      </c>
      <c r="C9" s="11" t="s">
        <v>117</v>
      </c>
      <c r="D9" s="12" t="s">
        <v>120</v>
      </c>
      <c r="E9" s="3"/>
      <c r="F9" s="3"/>
      <c r="G9" s="3"/>
      <c r="H9" s="3"/>
    </row>
    <row r="10" spans="1:8" ht="27.75" customHeight="1" x14ac:dyDescent="0.3">
      <c r="A10" s="5" t="s">
        <v>27</v>
      </c>
      <c r="B10" s="14" t="s">
        <v>121</v>
      </c>
      <c r="C10" s="11" t="s">
        <v>122</v>
      </c>
      <c r="D10" s="12" t="s">
        <v>123</v>
      </c>
      <c r="E10" s="3"/>
      <c r="F10" s="3"/>
      <c r="G10" s="3"/>
      <c r="H10" s="3"/>
    </row>
    <row r="11" spans="1:8" x14ac:dyDescent="0.3">
      <c r="A11" s="5" t="s">
        <v>124</v>
      </c>
      <c r="B11" s="15">
        <v>52</v>
      </c>
      <c r="C11" s="11" t="s">
        <v>125</v>
      </c>
      <c r="D11" s="12" t="s">
        <v>126</v>
      </c>
      <c r="E11" s="3"/>
      <c r="F11" s="3"/>
      <c r="G11" s="3"/>
      <c r="H11" s="3"/>
    </row>
    <row r="12" spans="1:8" ht="22.8" customHeight="1" x14ac:dyDescent="0.3">
      <c r="A12" s="5" t="s">
        <v>127</v>
      </c>
      <c r="B12" s="15">
        <v>100</v>
      </c>
      <c r="C12" s="11" t="s">
        <v>128</v>
      </c>
      <c r="D12" s="12" t="s">
        <v>129</v>
      </c>
      <c r="E12" s="3"/>
      <c r="F12" s="3"/>
      <c r="G12" s="3"/>
      <c r="H12" s="3"/>
    </row>
    <row r="13" spans="1:8" ht="22.8" customHeight="1" x14ac:dyDescent="0.3">
      <c r="A13" s="5" t="s">
        <v>497</v>
      </c>
      <c r="B13" s="16">
        <v>1000000</v>
      </c>
      <c r="C13" s="11" t="s">
        <v>128</v>
      </c>
      <c r="D13" s="12" t="s">
        <v>498</v>
      </c>
      <c r="E13" s="3"/>
      <c r="F13" s="3"/>
      <c r="G13" s="3"/>
      <c r="H13" s="3"/>
    </row>
    <row r="14" spans="1:8" ht="27.75" customHeight="1" x14ac:dyDescent="0.3">
      <c r="A14" s="5" t="s">
        <v>130</v>
      </c>
      <c r="B14" s="14" t="s">
        <v>131</v>
      </c>
      <c r="C14" s="11" t="s">
        <v>122</v>
      </c>
      <c r="D14" s="12" t="s">
        <v>132</v>
      </c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ht="16.5" customHeight="1" x14ac:dyDescent="0.3">
      <c r="A16" s="229" t="s">
        <v>133</v>
      </c>
      <c r="B16" s="229"/>
      <c r="C16" s="229"/>
      <c r="D16" s="229"/>
      <c r="E16" s="3"/>
      <c r="F16" s="3"/>
      <c r="G16" s="3"/>
      <c r="H16" s="3"/>
    </row>
    <row r="17" spans="1:8" ht="27.75" customHeight="1" x14ac:dyDescent="0.3">
      <c r="A17" s="1" t="s">
        <v>107</v>
      </c>
      <c r="B17" s="1" t="s">
        <v>108</v>
      </c>
      <c r="C17" s="1" t="s">
        <v>109</v>
      </c>
      <c r="D17" s="1" t="s">
        <v>110</v>
      </c>
      <c r="E17" s="3"/>
      <c r="F17" s="3"/>
      <c r="G17" s="3"/>
      <c r="H17" s="3"/>
    </row>
    <row r="18" spans="1:8" x14ac:dyDescent="0.3">
      <c r="A18" s="5" t="s">
        <v>134</v>
      </c>
      <c r="B18" s="17">
        <v>6.9500000000000006E-2</v>
      </c>
      <c r="C18" s="11" t="s">
        <v>135</v>
      </c>
      <c r="D18" s="12" t="s">
        <v>136</v>
      </c>
      <c r="E18" s="3"/>
      <c r="F18" s="3"/>
      <c r="G18" s="3"/>
      <c r="H18" s="3"/>
    </row>
    <row r="19" spans="1:8" x14ac:dyDescent="0.3">
      <c r="A19" s="5" t="s">
        <v>137</v>
      </c>
      <c r="B19" s="18">
        <v>46272</v>
      </c>
      <c r="C19" s="11" t="s">
        <v>112</v>
      </c>
      <c r="D19" s="12" t="s">
        <v>138</v>
      </c>
      <c r="E19" s="3"/>
      <c r="F19" s="3"/>
      <c r="G19" s="3"/>
      <c r="H19" s="3"/>
    </row>
    <row r="20" spans="1:8" ht="39" customHeight="1" x14ac:dyDescent="0.3">
      <c r="A20" s="5" t="s">
        <v>139</v>
      </c>
      <c r="B20" s="14" t="s">
        <v>140</v>
      </c>
      <c r="C20" s="11" t="s">
        <v>122</v>
      </c>
      <c r="D20" s="12" t="s">
        <v>141</v>
      </c>
      <c r="E20" s="3"/>
      <c r="F20" s="3"/>
      <c r="G20" s="3"/>
      <c r="H20" s="3"/>
    </row>
    <row r="21" spans="1:8" ht="25.5" customHeight="1" x14ac:dyDescent="0.3">
      <c r="A21" s="5" t="s">
        <v>142</v>
      </c>
      <c r="B21" s="219" t="s">
        <v>143</v>
      </c>
      <c r="C21" s="212"/>
      <c r="D21" s="212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ht="16.5" customHeight="1" x14ac:dyDescent="0.3">
      <c r="A23" s="229" t="s">
        <v>144</v>
      </c>
      <c r="B23" s="229"/>
      <c r="C23" s="229"/>
      <c r="D23" s="229"/>
      <c r="E23" s="3"/>
      <c r="F23" s="3"/>
      <c r="G23" s="3"/>
      <c r="H23" s="3"/>
    </row>
    <row r="24" spans="1:8" ht="27.75" customHeight="1" x14ac:dyDescent="0.3">
      <c r="A24" s="1" t="s">
        <v>107</v>
      </c>
      <c r="B24" s="1" t="s">
        <v>108</v>
      </c>
      <c r="C24" s="1" t="s">
        <v>109</v>
      </c>
      <c r="D24" s="1" t="s">
        <v>110</v>
      </c>
      <c r="E24" s="3"/>
      <c r="F24" s="3"/>
      <c r="G24" s="3"/>
      <c r="H24" s="3"/>
    </row>
    <row r="25" spans="1:8" ht="27.75" customHeight="1" x14ac:dyDescent="0.3">
      <c r="A25" s="5" t="s">
        <v>145</v>
      </c>
      <c r="B25" s="14" t="s">
        <v>146</v>
      </c>
      <c r="C25" s="11" t="s">
        <v>122</v>
      </c>
      <c r="D25" s="12" t="s">
        <v>147</v>
      </c>
      <c r="E25" s="3"/>
      <c r="F25" s="3"/>
      <c r="G25" s="3"/>
      <c r="H25" s="3"/>
    </row>
    <row r="26" spans="1:8" x14ac:dyDescent="0.3">
      <c r="A26" s="5" t="s">
        <v>148</v>
      </c>
      <c r="B26" s="18">
        <v>46273</v>
      </c>
      <c r="C26" s="11" t="s">
        <v>112</v>
      </c>
      <c r="D26" s="12" t="s">
        <v>149</v>
      </c>
      <c r="E26" s="3"/>
      <c r="F26" s="3"/>
      <c r="G26" s="3"/>
      <c r="H26" s="3"/>
    </row>
    <row r="27" spans="1:8" ht="22.8" customHeight="1" x14ac:dyDescent="0.3">
      <c r="A27" s="5" t="s">
        <v>150</v>
      </c>
      <c r="B27" s="19" t="s">
        <v>151</v>
      </c>
      <c r="C27" s="11" t="s">
        <v>122</v>
      </c>
      <c r="D27" s="12" t="s">
        <v>152</v>
      </c>
      <c r="E27" s="3"/>
      <c r="F27" s="3"/>
      <c r="G27" s="3"/>
      <c r="H27" s="3"/>
    </row>
    <row r="28" spans="1:8" x14ac:dyDescent="0.3">
      <c r="A28" s="5" t="s">
        <v>153</v>
      </c>
      <c r="B28" s="19" t="s">
        <v>154</v>
      </c>
      <c r="C28" s="11" t="s">
        <v>122</v>
      </c>
      <c r="D28" s="12" t="s">
        <v>155</v>
      </c>
      <c r="E28" s="3"/>
      <c r="F28" s="3"/>
      <c r="G28" s="3"/>
      <c r="H28" s="3"/>
    </row>
    <row r="29" spans="1:8" ht="27.75" customHeight="1" x14ac:dyDescent="0.3">
      <c r="A29" s="5" t="s">
        <v>156</v>
      </c>
      <c r="B29" s="14" t="s">
        <v>157</v>
      </c>
      <c r="C29" s="11" t="s">
        <v>122</v>
      </c>
      <c r="D29" s="12" t="s">
        <v>158</v>
      </c>
      <c r="E29" s="3"/>
      <c r="F29" s="3"/>
      <c r="G29" s="3"/>
      <c r="H29" s="3"/>
    </row>
    <row r="30" spans="1:8" x14ac:dyDescent="0.3">
      <c r="A30" s="5" t="s">
        <v>24</v>
      </c>
      <c r="B30" s="19" t="s">
        <v>159</v>
      </c>
      <c r="C30" s="11" t="s">
        <v>122</v>
      </c>
      <c r="D30" s="12" t="s">
        <v>160</v>
      </c>
      <c r="E30" s="3"/>
      <c r="F30" s="3"/>
      <c r="G30" s="3"/>
      <c r="H30" s="3"/>
    </row>
    <row r="31" spans="1:8" ht="27.75" customHeight="1" x14ac:dyDescent="0.3">
      <c r="A31" s="5" t="s">
        <v>161</v>
      </c>
      <c r="B31" s="14" t="s">
        <v>162</v>
      </c>
      <c r="C31" s="11" t="s">
        <v>122</v>
      </c>
      <c r="D31" s="12" t="s">
        <v>163</v>
      </c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ht="16.5" customHeight="1" x14ac:dyDescent="0.3">
      <c r="A33" s="229" t="s">
        <v>164</v>
      </c>
      <c r="B33" s="229"/>
      <c r="C33" s="229"/>
      <c r="D33" s="229"/>
      <c r="E33" s="3"/>
      <c r="F33" s="3"/>
      <c r="G33" s="3"/>
      <c r="H33" s="3"/>
    </row>
    <row r="34" spans="1:8" ht="27.75" customHeight="1" x14ac:dyDescent="0.3">
      <c r="A34" s="1" t="s">
        <v>165</v>
      </c>
      <c r="B34" s="1" t="s">
        <v>166</v>
      </c>
      <c r="C34" s="1" t="s">
        <v>109</v>
      </c>
      <c r="D34" s="1" t="s">
        <v>167</v>
      </c>
      <c r="E34" s="3"/>
      <c r="F34" s="3"/>
      <c r="G34" s="3"/>
      <c r="H34" s="3"/>
    </row>
    <row r="35" spans="1:8" x14ac:dyDescent="0.3">
      <c r="A35" s="5" t="s">
        <v>168</v>
      </c>
      <c r="B35" s="20">
        <v>0.8</v>
      </c>
      <c r="C35" s="11" t="s">
        <v>169</v>
      </c>
      <c r="D35" s="12" t="s">
        <v>170</v>
      </c>
      <c r="E35" s="3"/>
      <c r="F35" s="3"/>
      <c r="G35" s="3"/>
      <c r="H35" s="3"/>
    </row>
    <row r="36" spans="1:8" x14ac:dyDescent="0.3">
      <c r="A36" s="5" t="s">
        <v>171</v>
      </c>
      <c r="B36" s="20">
        <v>0.5</v>
      </c>
      <c r="C36" s="11" t="s">
        <v>169</v>
      </c>
      <c r="D36" s="12" t="s">
        <v>172</v>
      </c>
      <c r="E36" s="3"/>
      <c r="F36" s="3"/>
      <c r="G36" s="3"/>
      <c r="H36" s="3"/>
    </row>
    <row r="37" spans="1:8" x14ac:dyDescent="0.3">
      <c r="A37" s="5" t="s">
        <v>173</v>
      </c>
      <c r="B37" s="20">
        <v>0.3</v>
      </c>
      <c r="C37" s="11" t="s">
        <v>169</v>
      </c>
      <c r="D37" s="12" t="s">
        <v>174</v>
      </c>
      <c r="E37" s="3"/>
      <c r="F37" s="3"/>
      <c r="G37" s="3"/>
      <c r="H37" s="3"/>
    </row>
    <row r="38" spans="1:8" x14ac:dyDescent="0.3">
      <c r="A38" s="5" t="s">
        <v>175</v>
      </c>
      <c r="B38" s="20">
        <v>0.3</v>
      </c>
      <c r="C38" s="11" t="s">
        <v>176</v>
      </c>
      <c r="D38" s="12" t="s">
        <v>177</v>
      </c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ht="16.5" customHeight="1" x14ac:dyDescent="0.3">
      <c r="A40" s="229" t="s">
        <v>178</v>
      </c>
      <c r="B40" s="229"/>
      <c r="C40" s="229"/>
      <c r="D40" s="229"/>
      <c r="E40" s="3"/>
      <c r="F40" s="3"/>
      <c r="G40" s="3"/>
      <c r="H40" s="3"/>
    </row>
    <row r="41" spans="1:8" x14ac:dyDescent="0.3">
      <c r="A41" s="21" t="s">
        <v>179</v>
      </c>
      <c r="B41" s="230" t="s">
        <v>180</v>
      </c>
      <c r="C41" s="212"/>
      <c r="D41" s="212"/>
      <c r="E41" s="3"/>
      <c r="F41" s="3"/>
      <c r="G41" s="3"/>
      <c r="H41" s="3"/>
    </row>
    <row r="42" spans="1:8" x14ac:dyDescent="0.3">
      <c r="A42" s="22" t="s">
        <v>181</v>
      </c>
      <c r="B42" s="230" t="s">
        <v>182</v>
      </c>
      <c r="C42" s="212"/>
      <c r="D42" s="212"/>
      <c r="E42" s="3"/>
      <c r="F42" s="3"/>
      <c r="G42" s="3"/>
      <c r="H42" s="3"/>
    </row>
    <row r="43" spans="1:8" x14ac:dyDescent="0.3">
      <c r="A43" s="23" t="s">
        <v>183</v>
      </c>
      <c r="B43" s="230" t="s">
        <v>184</v>
      </c>
      <c r="C43" s="212"/>
      <c r="D43" s="212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3"/>
      <c r="B62" s="3"/>
      <c r="C62" s="3"/>
      <c r="D62" s="3"/>
      <c r="E62" s="3"/>
      <c r="F62" s="3"/>
      <c r="G62" s="3"/>
      <c r="H62" s="3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3"/>
      <c r="B74" s="3"/>
      <c r="C74" s="3"/>
      <c r="D74" s="3"/>
      <c r="E74" s="3"/>
      <c r="F74" s="3"/>
      <c r="G74" s="3"/>
      <c r="H74" s="3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3"/>
      <c r="B78" s="3"/>
      <c r="C78" s="3"/>
      <c r="D78" s="3"/>
      <c r="E78" s="3"/>
      <c r="F78" s="3"/>
      <c r="G78" s="3"/>
      <c r="H78" s="3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</sheetData>
  <mergeCells count="11">
    <mergeCell ref="A1:D1"/>
    <mergeCell ref="B43:D43"/>
    <mergeCell ref="B21:D21"/>
    <mergeCell ref="A2:F2"/>
    <mergeCell ref="B42:D42"/>
    <mergeCell ref="B41:D41"/>
    <mergeCell ref="A33:D33"/>
    <mergeCell ref="A40:D40"/>
    <mergeCell ref="A4:D4"/>
    <mergeCell ref="A16:D16"/>
    <mergeCell ref="A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3"/>
  <sheetViews>
    <sheetView showGridLines="0" topLeftCell="A45" zoomScale="82" workbookViewId="0">
      <selection activeCell="Y10" sqref="Y10"/>
    </sheetView>
  </sheetViews>
  <sheetFormatPr defaultColWidth="8.6640625" defaultRowHeight="14.4" x14ac:dyDescent="0.3"/>
  <cols>
    <col min="1" max="1" width="5" customWidth="1"/>
    <col min="2" max="2" width="15" customWidth="1"/>
    <col min="3" max="3" width="22" customWidth="1"/>
    <col min="4" max="4" width="30" customWidth="1"/>
    <col min="5" max="5" width="11" customWidth="1"/>
    <col min="6" max="7" width="14" customWidth="1"/>
    <col min="8" max="8" width="40.88671875" customWidth="1"/>
    <col min="9" max="9" width="16" customWidth="1"/>
    <col min="10" max="10" width="18.33203125" customWidth="1"/>
  </cols>
  <sheetData>
    <row r="1" spans="1:12" ht="24" customHeight="1" x14ac:dyDescent="0.3">
      <c r="A1" s="232" t="s">
        <v>185</v>
      </c>
      <c r="B1" s="156"/>
      <c r="C1" s="156"/>
      <c r="D1" s="156"/>
      <c r="E1" s="156"/>
      <c r="F1" s="156"/>
      <c r="G1" s="156"/>
      <c r="H1" s="156"/>
      <c r="I1" s="156"/>
      <c r="J1" s="156"/>
      <c r="K1" s="3"/>
      <c r="L1" s="3"/>
    </row>
    <row r="2" spans="1:12" ht="13.5" customHeight="1" x14ac:dyDescent="0.3">
      <c r="A2" s="231" t="s">
        <v>186</v>
      </c>
      <c r="B2" s="156"/>
      <c r="C2" s="156"/>
      <c r="D2" s="156"/>
      <c r="E2" s="156"/>
      <c r="F2" s="156"/>
      <c r="G2" s="156"/>
      <c r="H2" s="156"/>
      <c r="I2" s="156"/>
      <c r="J2" s="156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5" customHeight="1" x14ac:dyDescent="0.3">
      <c r="A4" s="214" t="s">
        <v>187</v>
      </c>
      <c r="B4" s="156"/>
      <c r="C4" s="156"/>
      <c r="D4" s="156"/>
      <c r="E4" s="156"/>
      <c r="F4" s="156"/>
      <c r="G4" s="156"/>
      <c r="H4" s="156"/>
      <c r="I4" s="156"/>
      <c r="J4" s="156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7.75" customHeight="1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188</v>
      </c>
      <c r="F6" s="1" t="s">
        <v>189</v>
      </c>
      <c r="G6" s="1" t="s">
        <v>190</v>
      </c>
      <c r="H6" s="1" t="s">
        <v>191</v>
      </c>
      <c r="I6" s="1" t="s">
        <v>499</v>
      </c>
      <c r="J6" s="1" t="s">
        <v>192</v>
      </c>
      <c r="K6" s="3"/>
      <c r="L6" s="3"/>
    </row>
    <row r="7" spans="1:12" x14ac:dyDescent="0.3">
      <c r="A7" s="6">
        <v>1</v>
      </c>
      <c r="B7" s="24" t="s">
        <v>1</v>
      </c>
      <c r="C7" s="24" t="s">
        <v>10</v>
      </c>
      <c r="D7" s="24" t="s">
        <v>38</v>
      </c>
      <c r="E7" s="17">
        <v>0.23</v>
      </c>
      <c r="F7" s="25" vm="1">
        <f ca="1">INDEX(Prices!$B$4:$B$1000,COUNT(Prices!$A$4:$A$1000))</f>
        <v>1309.5</v>
      </c>
      <c r="G7" s="26" cm="1">
        <f t="array" aca="1" ref="G7" ca="1">IFERROR(INDEX(Prices!$B$4:$B$1000,COUNT(Prices!$A$4:$A$1000))/Prices!$B$4-1,"")</f>
        <v>-0.11077158135981668</v>
      </c>
      <c r="H7" s="27">
        <f ca="1">Returns!B$1004</f>
        <v>-3.5825571718703764E-2</v>
      </c>
      <c r="I7" s="28">
        <f t="shared" ref="I7:I13" si="0">$E7*NotionalValue</f>
        <v>230000</v>
      </c>
      <c r="J7" s="26">
        <f t="shared" ref="J7:J13" ca="1" si="1">$E7*$G7</f>
        <v>-2.5477463712757838E-2</v>
      </c>
      <c r="K7" s="3"/>
      <c r="L7" s="3"/>
    </row>
    <row r="8" spans="1:12" x14ac:dyDescent="0.3">
      <c r="A8" s="6">
        <v>2</v>
      </c>
      <c r="B8" s="24" t="s">
        <v>2</v>
      </c>
      <c r="C8" s="24" t="s">
        <v>11</v>
      </c>
      <c r="D8" s="24" t="s">
        <v>39</v>
      </c>
      <c r="E8" s="17">
        <v>0.15</v>
      </c>
      <c r="F8" s="25" vm="2">
        <f ca="1">INDEX(Prices!$C$4:$C$1000,COUNT(Prices!$A$4:$A$1000))</f>
        <v>1854</v>
      </c>
      <c r="G8" s="26" cm="1">
        <f t="array" aca="1" ref="G8" ca="1">IFERROR(INDEX(Prices!$C$4:$C$1000,COUNT(Prices!$A$4:$A$1000))/Prices!$C$4-1,"")</f>
        <v>0.13432653186087062</v>
      </c>
      <c r="H8" s="27">
        <f ca="1">Returns!C$1004</f>
        <v>8.1444944697993016E-2</v>
      </c>
      <c r="I8" s="28">
        <f t="shared" si="0"/>
        <v>150000</v>
      </c>
      <c r="J8" s="26">
        <f t="shared" ca="1" si="1"/>
        <v>2.0148979779130594E-2</v>
      </c>
      <c r="K8" s="3"/>
      <c r="L8" s="3"/>
    </row>
    <row r="9" spans="1:12" x14ac:dyDescent="0.3">
      <c r="A9" s="6">
        <v>3</v>
      </c>
      <c r="B9" s="24" t="s">
        <v>3</v>
      </c>
      <c r="C9" s="24" t="s">
        <v>12</v>
      </c>
      <c r="D9" s="24" t="s">
        <v>40</v>
      </c>
      <c r="E9" s="17">
        <v>0.15</v>
      </c>
      <c r="F9" s="25" vm="3">
        <f ca="1">INDEX(Prices!$D$4:$D$1000,COUNT(Prices!$A$4:$A$1000))</f>
        <v>710.5</v>
      </c>
      <c r="G9" s="26" cm="1">
        <f t="array" aca="1" ref="G9" ca="1">IFERROR(INDEX(Prices!$D$4:$D$1000,COUNT(Prices!$A$4:$A$1000))/Prices!$D$4-1,"")</f>
        <v>-0.14491258491300862</v>
      </c>
      <c r="H9" s="27">
        <f ca="1">Returns!D$1004</f>
        <v>-6.0606364000103885E-2</v>
      </c>
      <c r="I9" s="28">
        <f t="shared" si="0"/>
        <v>150000</v>
      </c>
      <c r="J9" s="26">
        <f t="shared" ca="1" si="1"/>
        <v>-2.1736887736951292E-2</v>
      </c>
      <c r="K9" s="3"/>
      <c r="L9" s="3"/>
    </row>
    <row r="10" spans="1:12" x14ac:dyDescent="0.3">
      <c r="A10" s="6">
        <v>4</v>
      </c>
      <c r="B10" s="24" t="s">
        <v>4</v>
      </c>
      <c r="C10" s="24" t="s">
        <v>13</v>
      </c>
      <c r="D10" s="24" t="s">
        <v>41</v>
      </c>
      <c r="E10" s="17">
        <v>0.14000000000000001</v>
      </c>
      <c r="F10" s="25" vm="4">
        <f ca="1">INDEX(Prices!$E$4:$E$1000,COUNT(Prices!$A$4:$A$1000))</f>
        <v>3999</v>
      </c>
      <c r="G10" s="26" cm="1">
        <f t="array" aca="1" ref="G10" ca="1">IFERROR(INDEX(Prices!$E$4:$E$1000,COUNT(Prices!$A$4:$A$1000))/Prices!$E$4-1,"")</f>
        <v>0.10683642402435645</v>
      </c>
      <c r="H10" s="27">
        <f ca="1">Returns!E$1004</f>
        <v>8.452485426317724E-2</v>
      </c>
      <c r="I10" s="28">
        <f t="shared" si="0"/>
        <v>140000</v>
      </c>
      <c r="J10" s="26">
        <f t="shared" ca="1" si="1"/>
        <v>1.4957099363409904E-2</v>
      </c>
      <c r="K10" s="3"/>
      <c r="L10" s="3"/>
    </row>
    <row r="11" spans="1:12" x14ac:dyDescent="0.3">
      <c r="A11" s="6">
        <v>5</v>
      </c>
      <c r="B11" s="24" t="s">
        <v>5</v>
      </c>
      <c r="C11" s="24" t="s">
        <v>14</v>
      </c>
      <c r="D11" s="24" t="s">
        <v>42</v>
      </c>
      <c r="E11" s="17">
        <v>0.12</v>
      </c>
      <c r="F11" s="25" vm="5">
        <f ca="1">INDEX(Prices!$F$4:$F$1000,COUNT(Prices!$A$4:$A$1000))</f>
        <v>1395</v>
      </c>
      <c r="G11" s="26" cm="1">
        <f t="array" aca="1" ref="G11" ca="1">IFERROR(INDEX(Prices!$F$4:$F$1000,COUNT(Prices!$A$4:$A$1000))/Prices!$F$4-1,"")</f>
        <v>-0.15948665421461716</v>
      </c>
      <c r="H11" s="27">
        <f ca="1">Returns!F$1004</f>
        <v>-6.9387742558067844E-2</v>
      </c>
      <c r="I11" s="28">
        <f t="shared" si="0"/>
        <v>120000</v>
      </c>
      <c r="J11" s="26">
        <f t="shared" ca="1" si="1"/>
        <v>-1.9138398505754058E-2</v>
      </c>
      <c r="K11" s="3"/>
      <c r="L11" s="3"/>
    </row>
    <row r="12" spans="1:12" x14ac:dyDescent="0.3">
      <c r="A12" s="6">
        <v>6</v>
      </c>
      <c r="B12" s="24" t="s">
        <v>6</v>
      </c>
      <c r="C12" s="24" t="s">
        <v>15</v>
      </c>
      <c r="D12" s="24" t="s">
        <v>43</v>
      </c>
      <c r="E12" s="17">
        <v>0.12</v>
      </c>
      <c r="F12" s="25" vm="6">
        <f ca="1">INDEX(Prices!$G$4:$G$1000,COUNT(Prices!$A$4:$A$1000))</f>
        <v>12760</v>
      </c>
      <c r="G12" s="26" cm="1">
        <f t="array" aca="1" ref="G12" ca="1">IFERROR(INDEX(Prices!$G$4:$G$1000,COUNT(Prices!$A$4:$A$1000))/Prices!$G$4-1,"")</f>
        <v>3.6046459700959321E-2</v>
      </c>
      <c r="H12" s="27">
        <f ca="1">Returns!G$1004</f>
        <v>4.6893930225150426E-2</v>
      </c>
      <c r="I12" s="28">
        <f t="shared" si="0"/>
        <v>120000</v>
      </c>
      <c r="J12" s="26">
        <f t="shared" ca="1" si="1"/>
        <v>4.3255751641151181E-3</v>
      </c>
      <c r="K12" s="3"/>
      <c r="L12" s="3"/>
    </row>
    <row r="13" spans="1:12" x14ac:dyDescent="0.3">
      <c r="A13" s="6">
        <v>7</v>
      </c>
      <c r="B13" s="24" t="s">
        <v>7</v>
      </c>
      <c r="C13" s="24" t="s">
        <v>16</v>
      </c>
      <c r="D13" s="24" t="s">
        <v>44</v>
      </c>
      <c r="E13" s="17">
        <v>0.09</v>
      </c>
      <c r="F13" s="25" vm="7">
        <f ca="1">INDEX(Prices!$H$4:$H$1000,COUNT(Prices!$A$4:$A$1000))</f>
        <v>1282.8</v>
      </c>
      <c r="G13" s="26" cm="1">
        <f t="array" aca="1" ref="G13" ca="1">IFERROR(INDEX(Prices!$H$4:$H$1000,COUNT(Prices!$A$4:$A$1000))/Prices!$H$4-1,"")</f>
        <v>-0.28998684970187261</v>
      </c>
      <c r="H13" s="27">
        <f ca="1">Returns!H$1004</f>
        <v>-0.12948855571780982</v>
      </c>
      <c r="I13" s="28">
        <f t="shared" si="0"/>
        <v>90000</v>
      </c>
      <c r="J13" s="26">
        <f t="shared" ca="1" si="1"/>
        <v>-2.6098816473168533E-2</v>
      </c>
      <c r="K13" s="3"/>
      <c r="L13" s="3"/>
    </row>
    <row r="14" spans="1:12" x14ac:dyDescent="0.3">
      <c r="A14" s="7"/>
      <c r="B14" s="216" t="s">
        <v>193</v>
      </c>
      <c r="C14" s="212"/>
      <c r="D14" s="212"/>
      <c r="E14" s="29">
        <f>SUM(E7:E13)</f>
        <v>1</v>
      </c>
      <c r="F14" s="30"/>
      <c r="G14" s="30"/>
      <c r="H14" s="30"/>
      <c r="I14" s="31">
        <f>SUM(I7:I13)</f>
        <v>1000000</v>
      </c>
      <c r="J14" s="32">
        <f ca="1">SUM(J7:J13)</f>
        <v>-5.3019912121976098E-2</v>
      </c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33" t="s">
        <v>194</v>
      </c>
      <c r="C16" s="3"/>
      <c r="D16" s="34">
        <f>SUM(WeightsCol)</f>
        <v>1</v>
      </c>
      <c r="E16" s="35" t="str">
        <f>IF(ROUND(SUM(WeightsCol),6)=1,"✓  PASS — weights sum to exactly 100%","✗  FAIL — weights sum to "&amp;TEXT(SUM(WeightsCol),"0.00%")&amp;", must equal 100%")</f>
        <v>✓  PASS — weights sum to exactly 100%</v>
      </c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6.5" customHeight="1" x14ac:dyDescent="0.3">
      <c r="A18" s="214" t="s">
        <v>195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3"/>
      <c r="L18" s="3"/>
    </row>
    <row r="19" spans="1:12" ht="27.75" customHeight="1" x14ac:dyDescent="0.3">
      <c r="A19" s="3"/>
      <c r="B19" s="3"/>
      <c r="C19" s="3"/>
      <c r="D19" s="1" t="s">
        <v>36</v>
      </c>
      <c r="E19" s="1" t="s">
        <v>58</v>
      </c>
      <c r="F19" s="1" t="s">
        <v>37</v>
      </c>
      <c r="G19" s="1" t="s">
        <v>196</v>
      </c>
      <c r="H19" s="3"/>
      <c r="I19" s="3"/>
      <c r="J19" s="3"/>
      <c r="K19" s="3"/>
      <c r="L19" s="3"/>
    </row>
    <row r="20" spans="1:12" x14ac:dyDescent="0.3">
      <c r="A20" s="3"/>
      <c r="B20" s="3"/>
      <c r="C20" s="3"/>
      <c r="D20" s="24" t="s">
        <v>38</v>
      </c>
      <c r="E20" s="13">
        <f t="shared" ref="E20:E26" si="2">COUNTIF($D$7:$D$13,$D20)</f>
        <v>1</v>
      </c>
      <c r="F20" s="36">
        <f t="shared" ref="F20:F26" si="3">SUMIF($D$7:$D$13,$D20,$E$7:$E$13)</f>
        <v>0.23</v>
      </c>
      <c r="G20" s="28">
        <f t="shared" ref="G20:G26" si="4">$F20*NotionalValue</f>
        <v>230000</v>
      </c>
      <c r="H20" s="3"/>
      <c r="I20" s="3"/>
      <c r="J20" s="3"/>
      <c r="K20" s="3"/>
      <c r="L20" s="3"/>
    </row>
    <row r="21" spans="1:12" x14ac:dyDescent="0.3">
      <c r="A21" s="3"/>
      <c r="B21" s="3"/>
      <c r="C21" s="3"/>
      <c r="D21" s="24" t="s">
        <v>39</v>
      </c>
      <c r="E21" s="13">
        <f t="shared" si="2"/>
        <v>1</v>
      </c>
      <c r="F21" s="36">
        <f t="shared" si="3"/>
        <v>0.15</v>
      </c>
      <c r="G21" s="28">
        <f t="shared" si="4"/>
        <v>150000</v>
      </c>
      <c r="H21" s="3"/>
      <c r="I21" s="3"/>
      <c r="J21" s="3"/>
      <c r="K21" s="3"/>
      <c r="L21" s="3"/>
    </row>
    <row r="22" spans="1:12" x14ac:dyDescent="0.3">
      <c r="A22" s="3"/>
      <c r="B22" s="3"/>
      <c r="C22" s="3"/>
      <c r="D22" s="24" t="s">
        <v>40</v>
      </c>
      <c r="E22" s="13">
        <f t="shared" si="2"/>
        <v>1</v>
      </c>
      <c r="F22" s="36">
        <f t="shared" si="3"/>
        <v>0.15</v>
      </c>
      <c r="G22" s="28">
        <f t="shared" si="4"/>
        <v>150000</v>
      </c>
      <c r="H22" s="3"/>
      <c r="I22" s="3"/>
      <c r="J22" s="3"/>
      <c r="K22" s="3"/>
      <c r="L22" s="3"/>
    </row>
    <row r="23" spans="1:12" x14ac:dyDescent="0.3">
      <c r="A23" s="3"/>
      <c r="B23" s="3"/>
      <c r="C23" s="3"/>
      <c r="D23" s="24" t="s">
        <v>41</v>
      </c>
      <c r="E23" s="13">
        <f t="shared" si="2"/>
        <v>1</v>
      </c>
      <c r="F23" s="36">
        <f t="shared" si="3"/>
        <v>0.14000000000000001</v>
      </c>
      <c r="G23" s="28">
        <f t="shared" si="4"/>
        <v>140000</v>
      </c>
      <c r="H23" s="3"/>
      <c r="I23" s="3"/>
      <c r="J23" s="3"/>
      <c r="K23" s="3"/>
      <c r="L23" s="3"/>
    </row>
    <row r="24" spans="1:12" x14ac:dyDescent="0.3">
      <c r="A24" s="3"/>
      <c r="B24" s="3"/>
      <c r="C24" s="3"/>
      <c r="D24" s="24" t="s">
        <v>42</v>
      </c>
      <c r="E24" s="13">
        <f t="shared" si="2"/>
        <v>1</v>
      </c>
      <c r="F24" s="36">
        <f t="shared" si="3"/>
        <v>0.12</v>
      </c>
      <c r="G24" s="28">
        <f t="shared" si="4"/>
        <v>120000</v>
      </c>
      <c r="H24" s="3"/>
      <c r="I24" s="3"/>
      <c r="J24" s="3"/>
      <c r="K24" s="3"/>
      <c r="L24" s="3"/>
    </row>
    <row r="25" spans="1:12" x14ac:dyDescent="0.3">
      <c r="A25" s="3"/>
      <c r="B25" s="3"/>
      <c r="C25" s="3"/>
      <c r="D25" s="24" t="s">
        <v>43</v>
      </c>
      <c r="E25" s="13">
        <f t="shared" si="2"/>
        <v>1</v>
      </c>
      <c r="F25" s="36">
        <f t="shared" si="3"/>
        <v>0.12</v>
      </c>
      <c r="G25" s="28">
        <f t="shared" si="4"/>
        <v>120000</v>
      </c>
      <c r="H25" s="3"/>
      <c r="I25" s="3"/>
      <c r="J25" s="3"/>
      <c r="K25" s="3"/>
      <c r="L25" s="3"/>
    </row>
    <row r="26" spans="1:12" x14ac:dyDescent="0.3">
      <c r="A26" s="3"/>
      <c r="B26" s="3"/>
      <c r="C26" s="3"/>
      <c r="D26" s="24" t="s">
        <v>44</v>
      </c>
      <c r="E26" s="13">
        <f t="shared" si="2"/>
        <v>1</v>
      </c>
      <c r="F26" s="36">
        <f t="shared" si="3"/>
        <v>0.09</v>
      </c>
      <c r="G26" s="28">
        <f t="shared" si="4"/>
        <v>90000</v>
      </c>
      <c r="H26" s="3"/>
      <c r="I26" s="3"/>
      <c r="J26" s="3"/>
      <c r="K26" s="3"/>
      <c r="L26" s="3"/>
    </row>
    <row r="27" spans="1:12" x14ac:dyDescent="0.3">
      <c r="A27" s="3"/>
      <c r="B27" s="3"/>
      <c r="C27" s="3"/>
      <c r="D27" s="37" t="s">
        <v>197</v>
      </c>
      <c r="E27" s="38">
        <f>SUM(E20:E26)</f>
        <v>7</v>
      </c>
      <c r="F27" s="29">
        <f>SUM(F20:F26)</f>
        <v>1</v>
      </c>
      <c r="G27" s="39">
        <f>SUM(G20:G26)</f>
        <v>1000000</v>
      </c>
      <c r="H27" s="3"/>
      <c r="I27" s="3"/>
      <c r="J27" s="3"/>
      <c r="K27" s="3"/>
      <c r="L27" s="3"/>
    </row>
    <row r="28" spans="1:1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6.5" customHeight="1" x14ac:dyDescent="0.3">
      <c r="A29" s="214" t="s">
        <v>198</v>
      </c>
      <c r="B29" s="156"/>
      <c r="C29" s="156"/>
      <c r="D29" s="156"/>
      <c r="E29" s="156"/>
      <c r="F29" s="156"/>
      <c r="G29" s="156"/>
      <c r="H29" s="156"/>
      <c r="I29" s="156"/>
      <c r="J29" s="156"/>
      <c r="K29" s="3"/>
      <c r="L29" s="3"/>
    </row>
    <row r="30" spans="1:12" ht="27.75" customHeight="1" x14ac:dyDescent="0.3">
      <c r="A30" s="1" t="s">
        <v>33</v>
      </c>
      <c r="B30" s="223" t="s">
        <v>199</v>
      </c>
      <c r="C30" s="212"/>
      <c r="D30" s="212"/>
      <c r="E30" s="212"/>
      <c r="F30" s="224"/>
      <c r="G30" s="1" t="s">
        <v>108</v>
      </c>
      <c r="H30" s="1"/>
      <c r="I30" s="1" t="s">
        <v>200</v>
      </c>
      <c r="J30" s="3"/>
      <c r="K30" s="3"/>
      <c r="L30" s="3"/>
    </row>
    <row r="31" spans="1:12" ht="15" customHeight="1" x14ac:dyDescent="0.3">
      <c r="A31" s="6">
        <v>1</v>
      </c>
      <c r="B31" s="213" t="s">
        <v>201</v>
      </c>
      <c r="C31" s="212"/>
      <c r="D31" s="212"/>
      <c r="E31" s="212"/>
      <c r="F31" s="212"/>
      <c r="G31" s="36">
        <f>SUM(WeightsCol)</f>
        <v>1</v>
      </c>
      <c r="H31" s="3"/>
      <c r="I31" s="140" t="str">
        <f>IF(ROUND(SUM(WeightsCol),6)=1,"PASS","FAIL")</f>
        <v>PASS</v>
      </c>
      <c r="J31" s="3"/>
      <c r="K31" s="3"/>
      <c r="L31" s="3"/>
    </row>
    <row r="32" spans="1:12" ht="15" customHeight="1" x14ac:dyDescent="0.3">
      <c r="A32" s="6">
        <v>2</v>
      </c>
      <c r="B32" s="213" t="s">
        <v>202</v>
      </c>
      <c r="C32" s="212"/>
      <c r="D32" s="212"/>
      <c r="E32" s="212"/>
      <c r="F32" s="212"/>
      <c r="G32" s="13">
        <f>COUNTA($B$7:$B$13)</f>
        <v>7</v>
      </c>
      <c r="H32" s="3"/>
      <c r="I32" s="140" t="str">
        <f>IF(COUNTA($B$7:$B$13)=7,"PASS","FAIL")</f>
        <v>PASS</v>
      </c>
      <c r="J32" s="3"/>
      <c r="K32" s="3"/>
      <c r="L32" s="3"/>
    </row>
    <row r="33" spans="1:12" ht="15" customHeight="1" x14ac:dyDescent="0.3">
      <c r="A33" s="6">
        <v>3</v>
      </c>
      <c r="B33" s="213" t="s">
        <v>203</v>
      </c>
      <c r="C33" s="212"/>
      <c r="D33" s="212"/>
      <c r="E33" s="212"/>
      <c r="F33" s="212"/>
      <c r="G33" s="13">
        <f ca="1">COUNT(Prices!$A$4:$A$1000)</f>
        <v>105</v>
      </c>
      <c r="H33" s="3"/>
      <c r="I33" s="140" t="str">
        <f ca="1">IF(COUNT(Prices!$A$4:$A$1000)&gt;=100,"PASS","FAIL")</f>
        <v>PASS</v>
      </c>
      <c r="J33" s="3"/>
      <c r="K33" s="3"/>
      <c r="L33" s="3"/>
    </row>
    <row r="34" spans="1:12" ht="15" customHeight="1" x14ac:dyDescent="0.3">
      <c r="A34" s="6">
        <v>4</v>
      </c>
      <c r="B34" s="213" t="s">
        <v>204</v>
      </c>
      <c r="C34" s="212"/>
      <c r="D34" s="212"/>
      <c r="E34" s="212"/>
      <c r="F34" s="212"/>
      <c r="G34" s="13">
        <f ca="1">COUNTBLANK(Prices!$B$4:$I$1000)-COUNTBLANK(Prices!$A$4:$A$1000)*8</f>
        <v>0</v>
      </c>
      <c r="H34" s="3"/>
      <c r="I34" s="140" t="str">
        <f ca="1">IF(G34=0,"PASS","FAIL")</f>
        <v>PASS</v>
      </c>
      <c r="J34" s="3"/>
      <c r="K34" s="3"/>
      <c r="L34" s="3"/>
    </row>
    <row r="35" spans="1:12" ht="15" customHeight="1" x14ac:dyDescent="0.3">
      <c r="A35" s="6">
        <v>5</v>
      </c>
      <c r="B35" s="213" t="s">
        <v>205</v>
      </c>
      <c r="C35" s="212"/>
      <c r="D35" s="212"/>
      <c r="E35" s="212"/>
      <c r="F35" s="212"/>
      <c r="G35" s="13" cm="1">
        <f t="array" aca="1" ref="G35" ca="1">SUMPRODUCT(--(Prices!$A$5:INDEX(Prices!$A$4:$A$1000,COUNT(Prices!$A$4:$A$1000))&lt;=Prices!$A$4:INDEX(Prices!$A$4:$A$1000,COUNT(Prices!$A$4:$A$1000)-1)))</f>
        <v>0</v>
      </c>
      <c r="H35" s="3"/>
      <c r="I35" s="140" t="str">
        <f ca="1">IF(G35=0,"PASS","FAIL")</f>
        <v>PASS</v>
      </c>
      <c r="J35" s="3"/>
      <c r="K35" s="3"/>
      <c r="L35" s="3"/>
    </row>
    <row r="36" spans="1:12" ht="15" customHeight="1" x14ac:dyDescent="0.3">
      <c r="A36" s="6">
        <v>6</v>
      </c>
      <c r="B36" s="213" t="s">
        <v>206</v>
      </c>
      <c r="C36" s="212"/>
      <c r="D36" s="212"/>
      <c r="E36" s="212"/>
      <c r="F36" s="212"/>
      <c r="G36" s="13">
        <f ca="1">COUNT(PortRet)</f>
        <v>104</v>
      </c>
      <c r="H36" s="3"/>
      <c r="I36" s="140" t="str">
        <f ca="1">IF(COUNT(PortRet)=COUNT(Prices!$A$4:$A$1000)-1,"PASS","FAIL")</f>
        <v>PASS</v>
      </c>
      <c r="J36" s="3"/>
      <c r="K36" s="3"/>
      <c r="L36" s="3"/>
    </row>
    <row r="37" spans="1:12" ht="15" customHeight="1" x14ac:dyDescent="0.3">
      <c r="A37" s="6">
        <v>7</v>
      </c>
      <c r="B37" s="213" t="s">
        <v>207</v>
      </c>
      <c r="C37" s="212"/>
      <c r="D37" s="212"/>
      <c r="E37" s="212"/>
      <c r="F37" s="212"/>
      <c r="G37" s="13">
        <f ca="1">COUNT(BenchRet)</f>
        <v>104</v>
      </c>
      <c r="H37" s="3"/>
      <c r="I37" s="140" t="str">
        <f ca="1">IF(COUNT(BenchRet)=COUNT(PortRet),"PASS","FAIL")</f>
        <v>PASS</v>
      </c>
      <c r="J37" s="3"/>
      <c r="K37" s="3"/>
      <c r="L37" s="3"/>
    </row>
    <row r="38" spans="1:12" ht="15" customHeight="1" x14ac:dyDescent="0.3">
      <c r="A38" s="6">
        <v>8</v>
      </c>
      <c r="B38" s="213" t="s">
        <v>208</v>
      </c>
      <c r="C38" s="212"/>
      <c r="D38" s="212"/>
      <c r="E38" s="212"/>
      <c r="F38" s="212"/>
      <c r="G38" s="40">
        <f ca="1">SUMPRODUCT(Weights,Returns!$B$6:$H$6)-Returns!$J$6</f>
        <v>0</v>
      </c>
      <c r="H38" s="3"/>
      <c r="I38" s="140" t="str">
        <f ca="1">IF(ABS(SUMPRODUCT(Weights,Returns!$B$6:$H$6)-Returns!$J$6)&lt;0.0000000001,"PASS","FAIL")</f>
        <v>PASS</v>
      </c>
      <c r="J38" s="3"/>
      <c r="K38" s="3"/>
      <c r="L38" s="3"/>
    </row>
    <row r="39" spans="1:12" ht="15" customHeight="1" x14ac:dyDescent="0.3">
      <c r="A39" s="6">
        <v>9</v>
      </c>
      <c r="B39" s="213" t="s">
        <v>209</v>
      </c>
      <c r="C39" s="212"/>
      <c r="D39" s="212"/>
      <c r="E39" s="212"/>
      <c r="F39" s="212"/>
      <c r="G39" s="41">
        <f>Drawdown!$C$7+Drawdown!$G$7</f>
        <v>200</v>
      </c>
      <c r="H39" s="3"/>
      <c r="I39" s="140" t="str">
        <f>IF(AND(Drawdown!$C$7=100,Drawdown!$G$7=100),"PASS","FAIL")</f>
        <v>PASS</v>
      </c>
      <c r="J39" s="3"/>
      <c r="K39" s="3"/>
      <c r="L39" s="3"/>
    </row>
    <row r="40" spans="1:12" ht="15" customHeight="1" x14ac:dyDescent="0.3">
      <c r="A40" s="6">
        <v>10</v>
      </c>
      <c r="B40" s="213" t="s">
        <v>210</v>
      </c>
      <c r="C40" s="212"/>
      <c r="D40" s="212"/>
      <c r="E40" s="212"/>
      <c r="F40" s="212"/>
      <c r="G40" s="40">
        <f ca="1">Risk_Analysis!$B$11-(INDEX(Drawdown!$C$8:$C$1000,COUNT(Drawdown!$A$8:$A$1000))/100-1)</f>
        <v>0</v>
      </c>
      <c r="H40" s="3"/>
      <c r="I40" s="140" t="str">
        <f ca="1">IF(ABS(Risk_Analysis!$B$11-(INDEX(Drawdown!$C$8:$C$1000,COUNT(Drawdown!$A$8:$A$1000))/100-1))&lt;0.0000000001,"PASS","FAIL")</f>
        <v>PASS</v>
      </c>
      <c r="J40" s="3"/>
      <c r="K40" s="3"/>
      <c r="L40" s="3"/>
    </row>
    <row r="41" spans="1:12" ht="15" customHeight="1" x14ac:dyDescent="0.3">
      <c r="A41" s="6">
        <v>11</v>
      </c>
      <c r="B41" s="213" t="s">
        <v>211</v>
      </c>
      <c r="C41" s="212"/>
      <c r="D41" s="212"/>
      <c r="E41" s="212"/>
      <c r="F41" s="212"/>
      <c r="G41" s="42">
        <f ca="1">Risk_Analysis!$B$35</f>
        <v>-0.17991189250061801</v>
      </c>
      <c r="H41" s="3"/>
      <c r="I41" s="140" t="str">
        <f ca="1">IF(Risk_Analysis!$B$35&lt;=0,"PASS","FAIL")</f>
        <v>PASS</v>
      </c>
      <c r="J41" s="3"/>
      <c r="K41" s="3"/>
      <c r="L41" s="3"/>
    </row>
    <row r="42" spans="1:12" ht="15" customHeight="1" x14ac:dyDescent="0.3">
      <c r="A42" s="6">
        <v>12</v>
      </c>
      <c r="B42" s="213" t="s">
        <v>212</v>
      </c>
      <c r="C42" s="212"/>
      <c r="D42" s="212"/>
      <c r="E42" s="212"/>
      <c r="F42" s="212"/>
      <c r="G42" s="41">
        <f ca="1">SUM(Correlation!$B$7,Correlation!$C$8,Correlation!$D$9,Correlation!$E$10,Correlation!$F$11,Correlation!$G$12,Correlation!$H$13)</f>
        <v>7</v>
      </c>
      <c r="H42" s="3"/>
      <c r="I42" s="140" t="str">
        <f ca="1">IF(ROUND(SUM(Correlation!$B$7,Correlation!$C$8,Correlation!$D$9,Correlation!$E$10,Correlation!$F$11,Correlation!$G$12,Correlation!$H$13),6)=7,"PASS","FAIL")</f>
        <v>PASS</v>
      </c>
      <c r="J42" s="3"/>
      <c r="K42" s="3"/>
      <c r="L42" s="3"/>
    </row>
    <row r="43" spans="1:12" ht="15" customHeight="1" x14ac:dyDescent="0.3">
      <c r="A43" s="6">
        <v>13</v>
      </c>
      <c r="B43" s="213" t="s">
        <v>213</v>
      </c>
      <c r="C43" s="212"/>
      <c r="D43" s="212"/>
      <c r="E43" s="212"/>
      <c r="F43" s="212"/>
      <c r="G43" s="40">
        <f ca="1">SUM(Correlation!$B$7:$H$13)-(7+2*SUM(Correlation!$F$17:$F$37))</f>
        <v>0</v>
      </c>
      <c r="H43" s="3"/>
      <c r="I43" s="140" t="str">
        <f ca="1">IF(ABS(SUM(Correlation!$B$7:$H$13)-(7+2*SUM(Correlation!$F$17:$F$37)))&lt;0.000001,"PASS","FAIL")</f>
        <v>PASS</v>
      </c>
      <c r="J43" s="3"/>
      <c r="K43" s="3"/>
      <c r="L43" s="3"/>
    </row>
    <row r="44" spans="1:12" ht="15" customHeight="1" x14ac:dyDescent="0.3">
      <c r="A44" s="6">
        <v>14</v>
      </c>
      <c r="B44" s="213" t="s">
        <v>214</v>
      </c>
      <c r="C44" s="212"/>
      <c r="D44" s="212"/>
      <c r="E44" s="212"/>
      <c r="F44" s="212"/>
      <c r="G44" s="40">
        <f ca="1">Contribution!$D$14</f>
        <v>0</v>
      </c>
      <c r="H44" s="3"/>
      <c r="I44" s="140" t="str">
        <f ca="1">IF(ABS(Contribution!$D$14)&lt;0.000001,"PASS","FAIL")</f>
        <v>PASS</v>
      </c>
      <c r="J44" s="3"/>
      <c r="K44" s="3"/>
      <c r="L44" s="3"/>
    </row>
    <row r="45" spans="1:12" ht="15" customHeight="1" x14ac:dyDescent="0.3">
      <c r="A45" s="6">
        <v>15</v>
      </c>
      <c r="B45" s="213" t="s">
        <v>215</v>
      </c>
      <c r="C45" s="212"/>
      <c r="D45" s="212"/>
      <c r="E45" s="212"/>
      <c r="F45" s="212"/>
      <c r="G45" s="40">
        <f ca="1">Contribution!$E$36</f>
        <v>0</v>
      </c>
      <c r="H45" s="3"/>
      <c r="I45" s="140" t="str">
        <f ca="1">IF(ABS(Contribution!$E$36)&lt;0.0000001,"PASS","FAIL")</f>
        <v>PASS</v>
      </c>
      <c r="J45" s="3"/>
      <c r="K45" s="3"/>
      <c r="L45" s="3"/>
    </row>
    <row r="46" spans="1:12" ht="15" customHeight="1" x14ac:dyDescent="0.3">
      <c r="A46" s="6">
        <v>16</v>
      </c>
      <c r="B46" s="213" t="s">
        <v>216</v>
      </c>
      <c r="C46" s="212"/>
      <c r="D46" s="212"/>
      <c r="E46" s="212"/>
      <c r="F46" s="212"/>
      <c r="G46" s="40">
        <f>$F$27-SUM(WeightsCol)</f>
        <v>0</v>
      </c>
      <c r="H46" s="3"/>
      <c r="I46" s="140" t="str">
        <f>IF(ABS($F$27-SUM(WeightsCol))&lt;0.000001,"PASS","FAIL")</f>
        <v>PASS</v>
      </c>
      <c r="J46" s="3"/>
      <c r="K46" s="3"/>
      <c r="L46" s="3"/>
    </row>
    <row r="47" spans="1:12" ht="15" customHeight="1" x14ac:dyDescent="0.3">
      <c r="A47" s="6">
        <v>17</v>
      </c>
      <c r="B47" s="213" t="s">
        <v>217</v>
      </c>
      <c r="C47" s="212"/>
      <c r="D47" s="212"/>
      <c r="E47" s="212"/>
      <c r="F47" s="212"/>
      <c r="G47" s="13" cm="1">
        <f t="array" aca="1" ref="G47" ca="1">SUMPRODUCT(--ISERROR(Returns!$B$6:$J$1000))</f>
        <v>0</v>
      </c>
      <c r="H47" s="3"/>
      <c r="I47" s="140" t="str" cm="1">
        <f t="array" aca="1" ref="I47" ca="1">IF(SUMPRODUCT(--ISERROR(Returns!$B$6:$J$1000))=0,"PASS","FAIL")</f>
        <v>PASS</v>
      </c>
      <c r="J47" s="3"/>
      <c r="K47" s="3"/>
      <c r="L47" s="3"/>
    </row>
    <row r="48" spans="1:12" ht="15" customHeight="1" x14ac:dyDescent="0.3">
      <c r="A48" s="6">
        <v>18</v>
      </c>
      <c r="B48" s="213" t="s">
        <v>218</v>
      </c>
      <c r="C48" s="212"/>
      <c r="D48" s="212"/>
      <c r="E48" s="212"/>
      <c r="F48" s="212"/>
      <c r="G48" s="13" cm="1">
        <f t="array" aca="1" ref="G48" ca="1">SUMPRODUCT(--ISERROR(Drawdown!$B$8:$I$1000))</f>
        <v>0</v>
      </c>
      <c r="H48" s="3"/>
      <c r="I48" s="140" t="str" cm="1">
        <f t="array" aca="1" ref="I48" ca="1">IF(SUMPRODUCT(--ISERROR(Drawdown!$B$8:$I$1000))=0,"PASS","FAIL")</f>
        <v>PASS</v>
      </c>
      <c r="J48" s="3"/>
      <c r="K48" s="3"/>
      <c r="L48" s="3"/>
    </row>
    <row r="49" spans="1:12" ht="15" customHeight="1" x14ac:dyDescent="0.3">
      <c r="A49" s="6">
        <v>19</v>
      </c>
      <c r="B49" s="213" t="s">
        <v>219</v>
      </c>
      <c r="C49" s="212"/>
      <c r="D49" s="212"/>
      <c r="E49" s="212"/>
      <c r="F49" s="212"/>
      <c r="G49" s="36">
        <f>RiskFree</f>
        <v>6.9500000000000006E-2</v>
      </c>
      <c r="H49" s="3"/>
      <c r="I49" s="140" t="str">
        <f>IF(AND(RiskFree&gt;0,RiskFree&lt;0.2),"PASS","FAIL")</f>
        <v>PASS</v>
      </c>
      <c r="J49" s="3"/>
      <c r="K49" s="3"/>
      <c r="L49" s="3"/>
    </row>
    <row r="50" spans="1:12" ht="15" customHeight="1" x14ac:dyDescent="0.3">
      <c r="A50" s="6">
        <v>20</v>
      </c>
      <c r="B50" s="213" t="s">
        <v>220</v>
      </c>
      <c r="C50" s="212"/>
      <c r="D50" s="212"/>
      <c r="E50" s="212"/>
      <c r="F50" s="212"/>
      <c r="G50" s="36">
        <f ca="1">--(Market_Data!B$20="Date")+--(Market_Data!E$20="Date")+--(Market_Data!H$20="Date")+--(Market_Data!K$20="Date")+--(Market_Data!N$20="Date")+--(Market_Data!Q$20="Date")+--(Market_Data!T$20="Date")</f>
        <v>7</v>
      </c>
      <c r="H50" s="3"/>
      <c r="I50" s="140" t="str">
        <f ca="1">IF((--(Market_Data!B$20="Date")+--(Market_Data!E$20="Date")+--(Market_Data!H$20="Date")+--(Market_Data!K$20="Date")+--(Market_Data!N$20="Date")+--(Market_Data!Q$20="Date")+--(Market_Data!T$20="Date"))=7,"PASS","FAIL — see Market_Data status notes; expected blank/FAIL outside Excel 365 with a live Microsoft 365 connection")</f>
        <v>PASS</v>
      </c>
      <c r="J50" s="3"/>
      <c r="K50" s="3"/>
      <c r="L50" s="3"/>
    </row>
    <row r="51" spans="1:12" ht="34.799999999999997" customHeight="1" x14ac:dyDescent="0.3">
      <c r="A51" s="6">
        <v>21</v>
      </c>
      <c r="B51" s="213" t="s">
        <v>221</v>
      </c>
      <c r="C51" s="212"/>
      <c r="D51" s="212"/>
      <c r="E51" s="212"/>
      <c r="F51" s="212"/>
      <c r="G51" s="125" t="str">
        <f>IF(COUNT(Query1[Date])&gt;0,"LIVE — Power Query / Yahoo Finance (Market_Data W:X)","EMERGENCY STATIC FALLBACK")</f>
        <v>LIVE — Power Query / Yahoo Finance (Market_Data W:X)</v>
      </c>
      <c r="H51" s="3"/>
      <c r="I51" s="140" t="str">
        <f>IF($G$51&lt;&gt;"","PASS","FAIL")</f>
        <v>PASS</v>
      </c>
      <c r="J51" s="3"/>
      <c r="K51" s="3"/>
      <c r="L51" s="3"/>
    </row>
    <row r="52" spans="1:12" ht="46.8" customHeight="1" x14ac:dyDescent="0.3">
      <c r="A52" s="6">
        <v>22</v>
      </c>
      <c r="B52" s="213" t="s">
        <v>493</v>
      </c>
      <c r="C52" s="212"/>
      <c r="D52" s="212"/>
      <c r="E52" s="212"/>
      <c r="F52" s="212"/>
      <c r="G52" s="36">
        <f>--(COUNT(Query1[Date])&gt;0)</f>
        <v>1</v>
      </c>
      <c r="H52" s="3"/>
      <c r="I52" s="141" t="str">
        <f>IF($G$52=1,"PASS — Yahoo Finance Power Query table resolving","EMERGENCY FALLBACK — Yahoo Finance Power Query table empty or not refreshed (see Market_Data W:X)")</f>
        <v>PASS — Yahoo Finance Power Query table resolving</v>
      </c>
      <c r="J52" s="3"/>
      <c r="K52" s="3"/>
      <c r="L52" s="3"/>
    </row>
    <row r="53" spans="1:12" ht="68.400000000000006" customHeight="1" x14ac:dyDescent="0.3">
      <c r="A53" s="123"/>
      <c r="B53" s="121" t="s">
        <v>222</v>
      </c>
      <c r="C53" s="123"/>
      <c r="D53" s="123"/>
      <c r="E53" s="123"/>
      <c r="F53" s="124"/>
      <c r="G53" s="43" t="str">
        <f ca="1">COUNTIF($I$31:$I$52,"PASS*")&amp;" / 22"</f>
        <v>22 / 22</v>
      </c>
      <c r="H53" s="3"/>
      <c r="I53" s="142" t="str">
        <f ca="1">IF(COUNTIF($I$31:$I$52,"PASS*")=22,"✓  ALL CHECKS PASS","✗  "&amp;COUNTIF($I$31:$I$52,"FAIL*")&amp;" CHECK(S) FAILING — see column I")</f>
        <v>✓  ALL CHECKS PASS</v>
      </c>
      <c r="J53" s="126"/>
      <c r="K53" s="3"/>
      <c r="L53" s="3"/>
    </row>
    <row r="54" spans="1:1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</sheetData>
  <mergeCells count="29">
    <mergeCell ref="A1:J1"/>
    <mergeCell ref="B52:F52"/>
    <mergeCell ref="B43:F43"/>
    <mergeCell ref="B39:F39"/>
    <mergeCell ref="B48:F48"/>
    <mergeCell ref="B42:F42"/>
    <mergeCell ref="B44:F44"/>
    <mergeCell ref="A18:J18"/>
    <mergeCell ref="B38:F38"/>
    <mergeCell ref="B34:F34"/>
    <mergeCell ref="A2:J2"/>
    <mergeCell ref="B37:F37"/>
    <mergeCell ref="B40:F40"/>
    <mergeCell ref="B49:F49"/>
    <mergeCell ref="B30:F30"/>
    <mergeCell ref="A4:J4"/>
    <mergeCell ref="B33:F33"/>
    <mergeCell ref="A29:J29"/>
    <mergeCell ref="B51:F51"/>
    <mergeCell ref="B32:F32"/>
    <mergeCell ref="B50:F50"/>
    <mergeCell ref="B36:F36"/>
    <mergeCell ref="B41:F41"/>
    <mergeCell ref="B35:F35"/>
    <mergeCell ref="B46:F46"/>
    <mergeCell ref="B31:F31"/>
    <mergeCell ref="B45:F45"/>
    <mergeCell ref="B14:D14"/>
    <mergeCell ref="B47:F47"/>
  </mergeCells>
  <conditionalFormatting sqref="D16:E16">
    <cfRule type="cellIs" dxfId="22" priority="6" operator="equal">
      <formula>IF(ROUND(SUM(WeightsCol),6)=1,$D$16,"~")</formula>
    </cfRule>
  </conditionalFormatting>
  <conditionalFormatting sqref="I31:I51">
    <cfRule type="cellIs" dxfId="21" priority="3" operator="equal">
      <formula>"PASS"</formula>
    </cfRule>
    <cfRule type="cellIs" dxfId="20" priority="4" operator="equal">
      <formula>"FAIL"</formula>
    </cfRule>
  </conditionalFormatting>
  <conditionalFormatting sqref="I53">
    <cfRule type="cellIs" dxfId="19" priority="1" operator="equal">
      <formula>"PASS"</formula>
    </cfRule>
    <cfRule type="cellIs" dxfId="18" priority="2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2"/>
  <sheetViews>
    <sheetView showGridLines="0" topLeftCell="A4" zoomScale="101" workbookViewId="0">
      <selection activeCell="L8" sqref="L8"/>
    </sheetView>
  </sheetViews>
  <sheetFormatPr defaultColWidth="8.6640625" defaultRowHeight="14.4" x14ac:dyDescent="0.3"/>
  <cols>
    <col min="1" max="1" width="13" customWidth="1"/>
    <col min="2" max="8" width="16" customWidth="1"/>
    <col min="9" max="9" width="17" customWidth="1"/>
  </cols>
  <sheetData>
    <row r="1" spans="1:9" ht="33" customHeight="1" x14ac:dyDescent="0.3">
      <c r="A1" s="233" t="s">
        <v>495</v>
      </c>
      <c r="B1" s="156"/>
      <c r="C1" s="156"/>
      <c r="D1" s="156"/>
      <c r="E1" s="156"/>
      <c r="F1" s="156"/>
      <c r="G1" s="156"/>
      <c r="H1" s="156"/>
      <c r="I1" s="156"/>
    </row>
    <row r="2" spans="1:9" x14ac:dyDescent="0.3">
      <c r="A2" s="82" t="s">
        <v>0</v>
      </c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2" t="s">
        <v>7</v>
      </c>
      <c r="I2" s="84" t="s">
        <v>8</v>
      </c>
    </row>
    <row r="3" spans="1:9" ht="27.75" customHeight="1" x14ac:dyDescent="0.3">
      <c r="A3" s="83" t="s">
        <v>9</v>
      </c>
      <c r="B3" s="83" t="s">
        <v>10</v>
      </c>
      <c r="C3" s="83" t="s">
        <v>11</v>
      </c>
      <c r="D3" s="83" t="s">
        <v>12</v>
      </c>
      <c r="E3" s="83" t="s">
        <v>13</v>
      </c>
      <c r="F3" s="83" t="s">
        <v>14</v>
      </c>
      <c r="G3" s="83" t="s">
        <v>15</v>
      </c>
      <c r="H3" s="83" t="s">
        <v>16</v>
      </c>
      <c r="I3" s="85" t="s">
        <v>17</v>
      </c>
    </row>
    <row r="4" spans="1:9" x14ac:dyDescent="0.3">
      <c r="A4" s="86">
        <f ca="1">(TODAY()-730)-WEEKDAY(TODAY()-730,2)+1</f>
        <v>45544</v>
      </c>
      <c r="B4" s="87" vm="8">
        <f ca="1">IF($A4="","",IFERROR(INDEX(Market_Data!$C$21:$C$613,MATCH($A4,Market_Data!$B$21:INDEX(Market_Data!$B$21:$B$613,COUNT(Market_Data!$B$21:$B$613)),1)),""))</f>
        <v>1472.625</v>
      </c>
      <c r="C4" s="87" vm="9">
        <f ca="1">IF($A4="","",IFERROR(INDEX(Market_Data!$F$21:$F$613,MATCH($A4,Market_Data!$E$21:INDEX(Market_Data!$E$21:$E$613,COUNT(Market_Data!$E$21:$E$613)),1)),""))</f>
        <v>1634.45</v>
      </c>
      <c r="D4" s="87" vm="10">
        <f ca="1">IF($A4="","",IFERROR(INDEX(Market_Data!$I$21:$I$613,MATCH($A4,Market_Data!$H$21:INDEX(Market_Data!$H$21:$H$613,COUNT(Market_Data!$H$21:$H$613)),1)),""))</f>
        <v>830.90920000000006</v>
      </c>
      <c r="E4" s="87" vm="11">
        <f ca="1">IF($A4="","",IFERROR(INDEX(Market_Data!$L$21:$L$613,MATCH($A4,Market_Data!$K$21:INDEX(Market_Data!$K$21:$K$613,COUNT(Market_Data!$K$21:$K$613)),1)),""))</f>
        <v>3613</v>
      </c>
      <c r="F4" s="87" vm="12">
        <f ca="1">IF($A4="","",IFERROR(INDEX(Market_Data!$O$21:$O$613,MATCH($A4,Market_Data!$N$21:INDEX(Market_Data!$N$21:$N$613,COUNT(Market_Data!$N$21:$N$613)),1)),""))</f>
        <v>1659.7</v>
      </c>
      <c r="G4" s="87" vm="13">
        <f ca="1">IF($A4="","",IFERROR(INDEX(Market_Data!$R$21:$R$613,MATCH($A4,Market_Data!$Q$21:INDEX(Market_Data!$Q$21:$Q$613,COUNT(Market_Data!$Q$21:$Q$613)),1)),""))</f>
        <v>12316.05</v>
      </c>
      <c r="H4" s="87" vm="14">
        <f ca="1">IF($A4="","",IFERROR(INDEX(Market_Data!$U$21:$U$613,MATCH($A4,Market_Data!$T$21:INDEX(Market_Data!$T$21:$T$613,COUNT(Market_Data!$T$21:$T$613)),1)),""))</f>
        <v>1806.7271000000001</v>
      </c>
      <c r="I4" s="88">
        <f ca="1">IF($A4="","",IFERROR(INDEX(Query1[Close],MATCH($A4,Query1[Date],1)),""))</f>
        <v>24936.400390625</v>
      </c>
    </row>
    <row r="5" spans="1:9" x14ac:dyDescent="0.3">
      <c r="A5" s="86">
        <f t="shared" ref="A5:A36" ca="1" si="0">IF($A4="","",IF($A4+7&lt;=TODAY(),$A4+7,""))</f>
        <v>45551</v>
      </c>
      <c r="B5" s="87" vm="15">
        <f ca="1">IF($A5="","",IFERROR(INDEX(Market_Data!$C$21:$C$613,MATCH($A5,Market_Data!$B$21:INDEX(Market_Data!$B$21:$B$613,COUNT(Market_Data!$B$21:$B$613)),1)),""))</f>
        <v>1485.925</v>
      </c>
      <c r="C5" s="87" vm="16">
        <f ca="1">IF($A5="","",IFERROR(INDEX(Market_Data!$F$21:$F$613,MATCH($A5,Market_Data!$E$21:INDEX(Market_Data!$E$21:$E$613,COUNT(Market_Data!$E$21:$E$613)),1)),""))</f>
        <v>1711.75</v>
      </c>
      <c r="D5" s="87" vm="17">
        <f ca="1">IF($A5="","",IFERROR(INDEX(Market_Data!$I$21:$I$613,MATCH($A5,Market_Data!$H$21:INDEX(Market_Data!$H$21:$H$613,COUNT(Market_Data!$H$21:$H$613)),1)),""))</f>
        <v>868.44090000000006</v>
      </c>
      <c r="E5" s="87" vm="18">
        <f ca="1">IF($A5="","",IFERROR(INDEX(Market_Data!$L$21:$L$613,MATCH($A5,Market_Data!$K$21:INDEX(Market_Data!$K$21:$K$613,COUNT(Market_Data!$K$21:$K$613)),1)),""))</f>
        <v>3793.9</v>
      </c>
      <c r="F5" s="87" vm="19">
        <f ca="1">IF($A5="","",IFERROR(INDEX(Market_Data!$O$21:$O$613,MATCH($A5,Market_Data!$N$21:INDEX(Market_Data!$N$21:$N$613,COUNT(Market_Data!$N$21:$N$613)),1)),""))</f>
        <v>1638.65</v>
      </c>
      <c r="G5" s="87" vm="20">
        <f ca="1">IF($A5="","",IFERROR(INDEX(Market_Data!$R$21:$R$613,MATCH($A5,Market_Data!$Q$21:INDEX(Market_Data!$Q$21:$Q$613,COUNT(Market_Data!$Q$21:$Q$613)),1)),""))</f>
        <v>12614.5</v>
      </c>
      <c r="H5" s="87" vm="21">
        <f ca="1">IF($A5="","",IFERROR(INDEX(Market_Data!$U$21:$U$613,MATCH($A5,Market_Data!$T$21:INDEX(Market_Data!$T$21:$T$613,COUNT(Market_Data!$T$21:$T$613)),1)),""))</f>
        <v>1754.1538</v>
      </c>
      <c r="I5" s="88">
        <f ca="1">IF($A5="","",IFERROR(INDEX(Query1[Close],MATCH($A5,Query1[Date],1)),""))</f>
        <v>25383.75</v>
      </c>
    </row>
    <row r="6" spans="1:9" x14ac:dyDescent="0.3">
      <c r="A6" s="86">
        <f t="shared" ca="1" si="0"/>
        <v>45558</v>
      </c>
      <c r="B6" s="87" vm="22">
        <f ca="1">IF($A6="","",IFERROR(INDEX(Market_Data!$C$21:$C$613,MATCH($A6,Market_Data!$B$21:INDEX(Market_Data!$B$21:$B$613,COUNT(Market_Data!$B$21:$B$613)),1)),""))</f>
        <v>1526.175</v>
      </c>
      <c r="C6" s="87" vm="23">
        <f ca="1">IF($A6="","",IFERROR(INDEX(Market_Data!$F$21:$F$613,MATCH($A6,Market_Data!$E$21:INDEX(Market_Data!$E$21:$E$613,COUNT(Market_Data!$E$21:$E$613)),1)),""))</f>
        <v>1734.6</v>
      </c>
      <c r="D6" s="87" vm="24">
        <f ca="1">IF($A6="","",IFERROR(INDEX(Market_Data!$I$21:$I$613,MATCH($A6,Market_Data!$H$21:INDEX(Market_Data!$H$21:$H$613,COUNT(Market_Data!$H$21:$H$613)),1)),""))</f>
        <v>874.15170000000001</v>
      </c>
      <c r="E6" s="87" vm="25">
        <f ca="1">IF($A6="","",IFERROR(INDEX(Market_Data!$L$21:$L$613,MATCH($A6,Market_Data!$K$21:INDEX(Market_Data!$K$21:$K$613,COUNT(Market_Data!$K$21:$K$613)),1)),""))</f>
        <v>3705.65</v>
      </c>
      <c r="F6" s="87" vm="26">
        <f ca="1">IF($A6="","",IFERROR(INDEX(Market_Data!$O$21:$O$613,MATCH($A6,Market_Data!$N$21:INDEX(Market_Data!$N$21:$N$613,COUNT(Market_Data!$N$21:$N$613)),1)),""))</f>
        <v>1672.5</v>
      </c>
      <c r="G6" s="87" vm="27">
        <f ca="1">IF($A6="","",IFERROR(INDEX(Market_Data!$R$21:$R$613,MATCH($A6,Market_Data!$Q$21:INDEX(Market_Data!$Q$21:$Q$613,COUNT(Market_Data!$Q$21:$Q$613)),1)),""))</f>
        <v>13495.6</v>
      </c>
      <c r="H6" s="87" vm="28">
        <f ca="1">IF($A6="","",IFERROR(INDEX(Market_Data!$U$21:$U$613,MATCH($A6,Market_Data!$T$21:INDEX(Market_Data!$T$21:$T$613,COUNT(Market_Data!$T$21:$T$613)),1)),""))</f>
        <v>1802.3418999999999</v>
      </c>
      <c r="I6" s="88">
        <f ca="1">IF($A6="","",IFERROR(INDEX(Query1[Close],MATCH($A6,Query1[Date],1)),""))</f>
        <v>25939.05078125</v>
      </c>
    </row>
    <row r="7" spans="1:9" x14ac:dyDescent="0.3">
      <c r="A7" s="86">
        <f t="shared" ca="1" si="0"/>
        <v>45565</v>
      </c>
      <c r="B7" s="87" vm="29">
        <f ca="1">IF($A7="","",IFERROR(INDEX(Market_Data!$C$21:$C$613,MATCH($A7,Market_Data!$B$21:INDEX(Market_Data!$B$21:$B$613,COUNT(Market_Data!$B$21:$B$613)),1)),""))</f>
        <v>1386.5250000000001</v>
      </c>
      <c r="C7" s="87" vm="30">
        <f ca="1">IF($A7="","",IFERROR(INDEX(Market_Data!$F$21:$F$613,MATCH($A7,Market_Data!$E$21:INDEX(Market_Data!$E$21:$E$613,COUNT(Market_Data!$E$21:$E$613)),1)),""))</f>
        <v>1640.9</v>
      </c>
      <c r="D7" s="87" vm="31">
        <f ca="1">IF($A7="","",IFERROR(INDEX(Market_Data!$I$21:$I$613,MATCH($A7,Market_Data!$H$21:INDEX(Market_Data!$H$21:$H$613,COUNT(Market_Data!$H$21:$H$613)),1)),""))</f>
        <v>826.76949999999999</v>
      </c>
      <c r="E7" s="87" vm="32">
        <f ca="1">IF($A7="","",IFERROR(INDEX(Market_Data!$L$21:$L$613,MATCH($A7,Market_Data!$K$21:INDEX(Market_Data!$K$21:$K$613,COUNT(Market_Data!$K$21:$K$613)),1)),""))</f>
        <v>3493.95</v>
      </c>
      <c r="F7" s="87" vm="33">
        <f ca="1">IF($A7="","",IFERROR(INDEX(Market_Data!$O$21:$O$613,MATCH($A7,Market_Data!$N$21:INDEX(Market_Data!$N$21:$N$613,COUNT(Market_Data!$N$21:$N$613)),1)),""))</f>
        <v>1623.3</v>
      </c>
      <c r="G7" s="87" vm="34">
        <f ca="1">IF($A7="","",IFERROR(INDEX(Market_Data!$R$21:$R$613,MATCH($A7,Market_Data!$Q$21:INDEX(Market_Data!$Q$21:$Q$613,COUNT(Market_Data!$Q$21:$Q$613)),1)),""))</f>
        <v>12605.75</v>
      </c>
      <c r="H7" s="87" vm="35">
        <f ca="1">IF($A7="","",IFERROR(INDEX(Market_Data!$U$21:$U$613,MATCH($A7,Market_Data!$T$21:INDEX(Market_Data!$T$21:$T$613,COUNT(Market_Data!$T$21:$T$613)),1)),""))</f>
        <v>1770.6484</v>
      </c>
      <c r="I7" s="88">
        <f ca="1">IF($A7="","",IFERROR(INDEX(Query1[Close],MATCH($A7,Query1[Date],1)),""))</f>
        <v>25810.849609375</v>
      </c>
    </row>
    <row r="8" spans="1:9" x14ac:dyDescent="0.3">
      <c r="A8" s="86">
        <f t="shared" ca="1" si="0"/>
        <v>45572</v>
      </c>
      <c r="B8" s="87" vm="36">
        <f ca="1">IF($A8="","",IFERROR(INDEX(Market_Data!$C$21:$C$613,MATCH($A8,Market_Data!$B$21:INDEX(Market_Data!$B$21:$B$613,COUNT(Market_Data!$B$21:$B$613)),1)),""))</f>
        <v>1372.1</v>
      </c>
      <c r="C8" s="87" vm="37">
        <f ca="1">IF($A8="","",IFERROR(INDEX(Market_Data!$F$21:$F$613,MATCH($A8,Market_Data!$E$21:INDEX(Market_Data!$E$21:$E$613,COUNT(Market_Data!$E$21:$E$613)),1)),""))</f>
        <v>1687.4</v>
      </c>
      <c r="D8" s="87" vm="38">
        <f ca="1">IF($A8="","",IFERROR(INDEX(Market_Data!$I$21:$I$613,MATCH($A8,Market_Data!$H$21:INDEX(Market_Data!$H$21:$H$613,COUNT(Market_Data!$H$21:$H$613)),1)),""))</f>
        <v>823.45280000000002</v>
      </c>
      <c r="E8" s="87" vm="39">
        <f ca="1">IF($A8="","",IFERROR(INDEX(Market_Data!$L$21:$L$613,MATCH($A8,Market_Data!$K$21:INDEX(Market_Data!$K$21:$K$613,COUNT(Market_Data!$K$21:$K$613)),1)),""))</f>
        <v>3482.55</v>
      </c>
      <c r="F8" s="87" vm="40">
        <f ca="1">IF($A8="","",IFERROR(INDEX(Market_Data!$O$21:$O$613,MATCH($A8,Market_Data!$N$21:INDEX(Market_Data!$N$21:$N$613,COUNT(Market_Data!$N$21:$N$613)),1)),""))</f>
        <v>1595.75</v>
      </c>
      <c r="G8" s="87" vm="41">
        <f ca="1">IF($A8="","",IFERROR(INDEX(Market_Data!$R$21:$R$613,MATCH($A8,Market_Data!$Q$21:INDEX(Market_Data!$Q$21:$Q$613,COUNT(Market_Data!$Q$21:$Q$613)),1)),""))</f>
        <v>12776.65</v>
      </c>
      <c r="H8" s="87" vm="42">
        <f ca="1">IF($A8="","",IFERROR(INDEX(Market_Data!$U$21:$U$613,MATCH($A8,Market_Data!$T$21:INDEX(Market_Data!$T$21:$T$613,COUNT(Market_Data!$T$21:$T$613)),1)),""))</f>
        <v>1833.4872</v>
      </c>
      <c r="I8" s="88">
        <f ca="1">IF($A8="","",IFERROR(INDEX(Query1[Close],MATCH($A8,Query1[Date],1)),""))</f>
        <v>24795.75</v>
      </c>
    </row>
    <row r="9" spans="1:9" x14ac:dyDescent="0.3">
      <c r="A9" s="86">
        <f t="shared" ca="1" si="0"/>
        <v>45579</v>
      </c>
      <c r="B9" s="87" vm="43">
        <f ca="1">IF($A9="","",IFERROR(INDEX(Market_Data!$C$21:$C$613,MATCH($A9,Market_Data!$B$21:INDEX(Market_Data!$B$21:$B$613,COUNT(Market_Data!$B$21:$B$613)),1)),""))</f>
        <v>1359.3</v>
      </c>
      <c r="C9" s="87" vm="44">
        <f ca="1">IF($A9="","",IFERROR(INDEX(Market_Data!$F$21:$F$613,MATCH($A9,Market_Data!$E$21:INDEX(Market_Data!$E$21:$E$613,COUNT(Market_Data!$E$21:$E$613)),1)),""))</f>
        <v>1707.85</v>
      </c>
      <c r="D9" s="87" vm="45">
        <f ca="1">IF($A9="","",IFERROR(INDEX(Market_Data!$I$21:$I$613,MATCH($A9,Market_Data!$H$21:INDEX(Market_Data!$H$21:$H$613,COUNT(Market_Data!$H$21:$H$613)),1)),""))</f>
        <v>838.83950000000004</v>
      </c>
      <c r="E9" s="87" vm="46">
        <f ca="1">IF($A9="","",IFERROR(INDEX(Market_Data!$L$21:$L$613,MATCH($A9,Market_Data!$K$21:INDEX(Market_Data!$K$21:$K$613,COUNT(Market_Data!$K$21:$K$613)),1)),""))</f>
        <v>3577.8</v>
      </c>
      <c r="F9" s="87" vm="47">
        <f ca="1">IF($A9="","",IFERROR(INDEX(Market_Data!$O$21:$O$613,MATCH($A9,Market_Data!$N$21:INDEX(Market_Data!$N$21:$N$613,COUNT(Market_Data!$N$21:$N$613)),1)),""))</f>
        <v>1551.7</v>
      </c>
      <c r="G9" s="87" vm="48">
        <f ca="1">IF($A9="","",IFERROR(INDEX(Market_Data!$R$21:$R$613,MATCH($A9,Market_Data!$Q$21:INDEX(Market_Data!$Q$21:$Q$613,COUNT(Market_Data!$Q$21:$Q$613)),1)),""))</f>
        <v>12105.1</v>
      </c>
      <c r="H9" s="87" vm="49">
        <f ca="1">IF($A9="","",IFERROR(INDEX(Market_Data!$U$21:$U$613,MATCH($A9,Market_Data!$T$21:INDEX(Market_Data!$T$21:$T$613,COUNT(Market_Data!$T$21:$T$613)),1)),""))</f>
        <v>1851.4766999999999</v>
      </c>
      <c r="I9" s="88">
        <f ca="1">IF($A9="","",IFERROR(INDEX(Query1[Close],MATCH($A9,Query1[Date],1)),""))</f>
        <v>25127.94921875</v>
      </c>
    </row>
    <row r="10" spans="1:9" x14ac:dyDescent="0.3">
      <c r="A10" s="86">
        <f t="shared" ca="1" si="0"/>
        <v>45586</v>
      </c>
      <c r="B10" s="87" vm="50">
        <f ca="1">IF($A10="","",IFERROR(INDEX(Market_Data!$C$21:$C$613,MATCH($A10,Market_Data!$B$21:INDEX(Market_Data!$B$21:$B$613,COUNT(Market_Data!$B$21:$B$613)),1)),""))</f>
        <v>1327.85</v>
      </c>
      <c r="C10" s="87" vm="51">
        <f ca="1">IF($A10="","",IFERROR(INDEX(Market_Data!$F$21:$F$613,MATCH($A10,Market_Data!$E$21:INDEX(Market_Data!$E$21:$E$613,COUNT(Market_Data!$E$21:$E$613)),1)),""))</f>
        <v>1666</v>
      </c>
      <c r="D10" s="87" vm="52">
        <f ca="1">IF($A10="","",IFERROR(INDEX(Market_Data!$I$21:$I$613,MATCH($A10,Market_Data!$H$21:INDEX(Market_Data!$H$21:$H$613,COUNT(Market_Data!$H$21:$H$613)),1)),""))</f>
        <v>869.53819999999996</v>
      </c>
      <c r="E10" s="87" vm="53">
        <f ca="1">IF($A10="","",IFERROR(INDEX(Market_Data!$L$21:$L$613,MATCH($A10,Market_Data!$K$21:INDEX(Market_Data!$K$21:$K$613,COUNT(Market_Data!$K$21:$K$613)),1)),""))</f>
        <v>3326.4</v>
      </c>
      <c r="F10" s="87" vm="54">
        <f ca="1">IF($A10="","",IFERROR(INDEX(Market_Data!$O$21:$O$613,MATCH($A10,Market_Data!$N$21:INDEX(Market_Data!$N$21:$N$613,COUNT(Market_Data!$N$21:$N$613)),1)),""))</f>
        <v>1488.9</v>
      </c>
      <c r="G10" s="87" vm="55">
        <f ca="1">IF($A10="","",IFERROR(INDEX(Market_Data!$R$21:$R$613,MATCH($A10,Market_Data!$Q$21:INDEX(Market_Data!$Q$21:$Q$613,COUNT(Market_Data!$Q$21:$Q$613)),1)),""))</f>
        <v>11502.85</v>
      </c>
      <c r="H10" s="87" vm="56">
        <f ca="1">IF($A10="","",IFERROR(INDEX(Market_Data!$U$21:$U$613,MATCH($A10,Market_Data!$T$21:INDEX(Market_Data!$T$21:$T$613,COUNT(Market_Data!$T$21:$T$613)),1)),""))</f>
        <v>1846.1446000000001</v>
      </c>
      <c r="I10" s="88">
        <f ca="1">IF($A10="","",IFERROR(INDEX(Query1[Close],MATCH($A10,Query1[Date],1)),""))</f>
        <v>24781.099609375</v>
      </c>
    </row>
    <row r="11" spans="1:9" x14ac:dyDescent="0.3">
      <c r="A11" s="86">
        <f t="shared" ca="1" si="0"/>
        <v>45593</v>
      </c>
      <c r="B11" s="87" vm="57">
        <f ca="1">IF($A11="","",IFERROR(INDEX(Market_Data!$C$21:$C$613,MATCH($A11,Market_Data!$B$21:INDEX(Market_Data!$B$21:$B$613,COUNT(Market_Data!$B$21:$B$613)),1)),""))</f>
        <v>1338.65</v>
      </c>
      <c r="C11" s="87" vm="58">
        <f ca="1">IF($A11="","",IFERROR(INDEX(Market_Data!$F$21:$F$613,MATCH($A11,Market_Data!$E$21:INDEX(Market_Data!$E$21:$E$613,COUNT(Market_Data!$E$21:$E$613)),1)),""))</f>
        <v>1616.45</v>
      </c>
      <c r="D11" s="87" vm="59">
        <f ca="1">IF($A11="","",IFERROR(INDEX(Market_Data!$I$21:$I$613,MATCH($A11,Market_Data!$H$21:INDEX(Market_Data!$H$21:$H$613,COUNT(Market_Data!$H$21:$H$613)),1)),""))</f>
        <v>866.49570000000006</v>
      </c>
      <c r="E11" s="87" vm="60">
        <f ca="1">IF($A11="","",IFERROR(INDEX(Market_Data!$L$21:$L$613,MATCH($A11,Market_Data!$K$21:INDEX(Market_Data!$K$21:$K$613,COUNT(Market_Data!$K$21:$K$613)),1)),""))</f>
        <v>3626.35</v>
      </c>
      <c r="F11" s="87" vm="61">
        <f ca="1">IF($A11="","",IFERROR(INDEX(Market_Data!$O$21:$O$613,MATCH($A11,Market_Data!$N$21:INDEX(Market_Data!$N$21:$N$613,COUNT(Market_Data!$N$21:$N$613)),1)),""))</f>
        <v>1559.55</v>
      </c>
      <c r="G11" s="87" vm="62">
        <f ca="1">IF($A11="","",IFERROR(INDEX(Market_Data!$R$21:$R$613,MATCH($A11,Market_Data!$Q$21:INDEX(Market_Data!$Q$21:$Q$613,COUNT(Market_Data!$Q$21:$Q$613)),1)),""))</f>
        <v>11110</v>
      </c>
      <c r="H11" s="87" vm="63">
        <f ca="1">IF($A11="","",IFERROR(INDEX(Market_Data!$U$21:$U$613,MATCH($A11,Market_Data!$T$21:INDEX(Market_Data!$T$21:$T$613,COUNT(Market_Data!$T$21:$T$613)),1)),""))</f>
        <v>1751.5127</v>
      </c>
      <c r="I11" s="88">
        <f ca="1">IF($A11="","",IFERROR(INDEX(Query1[Close],MATCH($A11,Query1[Date],1)),""))</f>
        <v>24339.150390625</v>
      </c>
    </row>
    <row r="12" spans="1:9" x14ac:dyDescent="0.3">
      <c r="A12" s="86">
        <f t="shared" ca="1" si="0"/>
        <v>45600</v>
      </c>
      <c r="B12" s="87" vm="64">
        <f ca="1">IF($A12="","",IFERROR(INDEX(Market_Data!$C$21:$C$613,MATCH($A12,Market_Data!$B$21:INDEX(Market_Data!$B$21:$B$613,COUNT(Market_Data!$B$21:$B$613)),1)),""))</f>
        <v>1283.75</v>
      </c>
      <c r="C12" s="87" vm="65">
        <f ca="1">IF($A12="","",IFERROR(INDEX(Market_Data!$F$21:$F$613,MATCH($A12,Market_Data!$E$21:INDEX(Market_Data!$E$21:$E$613,COUNT(Market_Data!$E$21:$E$613)),1)),""))</f>
        <v>1569.9</v>
      </c>
      <c r="D12" s="87" vm="66">
        <f ca="1">IF($A12="","",IFERROR(INDEX(Market_Data!$I$21:$I$613,MATCH($A12,Market_Data!$H$21:INDEX(Market_Data!$H$21:$H$613,COUNT(Market_Data!$H$21:$H$613)),1)),""))</f>
        <v>875.04949999999997</v>
      </c>
      <c r="E12" s="87" vm="67">
        <f ca="1">IF($A12="","",IFERROR(INDEX(Market_Data!$L$21:$L$613,MATCH($A12,Market_Data!$K$21:INDEX(Market_Data!$K$21:$K$613,COUNT(Market_Data!$K$21:$K$613)),1)),""))</f>
        <v>3660.3</v>
      </c>
      <c r="F12" s="87" vm="68">
        <f ca="1">IF($A12="","",IFERROR(INDEX(Market_Data!$O$21:$O$613,MATCH($A12,Market_Data!$N$21:INDEX(Market_Data!$N$21:$N$613,COUNT(Market_Data!$N$21:$N$613)),1)),""))</f>
        <v>1592.6</v>
      </c>
      <c r="G12" s="87" vm="69">
        <f ca="1">IF($A12="","",IFERROR(INDEX(Market_Data!$R$21:$R$613,MATCH($A12,Market_Data!$Q$21:INDEX(Market_Data!$Q$21:$Q$613,COUNT(Market_Data!$Q$21:$Q$613)),1)),""))</f>
        <v>11303</v>
      </c>
      <c r="H12" s="87" vm="70">
        <f ca="1">IF($A12="","",IFERROR(INDEX(Market_Data!$U$21:$U$613,MATCH($A12,Market_Data!$T$21:INDEX(Market_Data!$T$21:$T$613,COUNT(Market_Data!$T$21:$T$613)),1)),""))</f>
        <v>1831.3444</v>
      </c>
      <c r="I12" s="88">
        <f ca="1">IF($A12="","",IFERROR(INDEX(Query1[Close],MATCH($A12,Query1[Date],1)),""))</f>
        <v>23995.349609375</v>
      </c>
    </row>
    <row r="13" spans="1:9" x14ac:dyDescent="0.3">
      <c r="A13" s="86">
        <f t="shared" ca="1" si="0"/>
        <v>45607</v>
      </c>
      <c r="B13" s="87" vm="71">
        <f ca="1">IF($A13="","",IFERROR(INDEX(Market_Data!$C$21:$C$613,MATCH($A13,Market_Data!$B$21:INDEX(Market_Data!$B$21:$B$613,COUNT(Market_Data!$B$21:$B$613)),1)),""))</f>
        <v>1267.5999999999999</v>
      </c>
      <c r="C13" s="87" vm="72">
        <f ca="1">IF($A13="","",IFERROR(INDEX(Market_Data!$F$21:$F$613,MATCH($A13,Market_Data!$E$21:INDEX(Market_Data!$E$21:$E$613,COUNT(Market_Data!$E$21:$E$613)),1)),""))</f>
        <v>1550.5</v>
      </c>
      <c r="D13" s="87" vm="73">
        <f ca="1">IF($A13="","",IFERROR(INDEX(Market_Data!$I$21:$I$613,MATCH($A13,Market_Data!$H$21:INDEX(Market_Data!$H$21:$H$613,COUNT(Market_Data!$H$21:$H$613)),1)),""))</f>
        <v>844.27599999999995</v>
      </c>
      <c r="E13" s="87" vm="74">
        <f ca="1">IF($A13="","",IFERROR(INDEX(Market_Data!$L$21:$L$613,MATCH($A13,Market_Data!$K$21:INDEX(Market_Data!$K$21:$K$613,COUNT(Market_Data!$K$21:$K$613)),1)),""))</f>
        <v>3526.25</v>
      </c>
      <c r="F13" s="87" vm="75">
        <f ca="1">IF($A13="","",IFERROR(INDEX(Market_Data!$O$21:$O$613,MATCH($A13,Market_Data!$N$21:INDEX(Market_Data!$N$21:$N$613,COUNT(Market_Data!$N$21:$N$613)),1)),""))</f>
        <v>1499.75</v>
      </c>
      <c r="G13" s="87" vm="76">
        <f ca="1">IF($A13="","",IFERROR(INDEX(Market_Data!$R$21:$R$613,MATCH($A13,Market_Data!$Q$21:INDEX(Market_Data!$Q$21:$Q$613,COUNT(Market_Data!$Q$21:$Q$613)),1)),""))</f>
        <v>11006.05</v>
      </c>
      <c r="H13" s="87" vm="77">
        <f ca="1">IF($A13="","",IFERROR(INDEX(Market_Data!$U$21:$U$613,MATCH($A13,Market_Data!$T$21:INDEX(Market_Data!$T$21:$T$613,COUNT(Market_Data!$T$21:$T$613)),1)),""))</f>
        <v>1852.7225000000001</v>
      </c>
      <c r="I13" s="88">
        <f ca="1">IF($A13="","",IFERROR(INDEX(Query1[Close],MATCH($A13,Query1[Date],1)),""))</f>
        <v>24141.30078125</v>
      </c>
    </row>
    <row r="14" spans="1:9" x14ac:dyDescent="0.3">
      <c r="A14" s="86">
        <f t="shared" ca="1" si="0"/>
        <v>45614</v>
      </c>
      <c r="B14" s="87" vm="78">
        <f ca="1">IF($A14="","",IFERROR(INDEX(Market_Data!$C$21:$C$613,MATCH($A14,Market_Data!$B$21:INDEX(Market_Data!$B$21:$B$613,COUNT(Market_Data!$B$21:$B$613)),1)),""))</f>
        <v>1265.4000000000001</v>
      </c>
      <c r="C14" s="87" vm="79">
        <f ca="1">IF($A14="","",IFERROR(INDEX(Market_Data!$F$21:$F$613,MATCH($A14,Market_Data!$E$21:INDEX(Market_Data!$E$21:$E$613,COUNT(Market_Data!$E$21:$E$613)),1)),""))</f>
        <v>1569.3</v>
      </c>
      <c r="D14" s="87" vm="80">
        <f ca="1">IF($A14="","",IFERROR(INDEX(Market_Data!$I$21:$I$613,MATCH($A14,Market_Data!$H$21:INDEX(Market_Data!$H$21:$H$613,COUNT(Market_Data!$H$21:$H$613)),1)),""))</f>
        <v>870.63549999999998</v>
      </c>
      <c r="E14" s="87" vm="81">
        <f ca="1">IF($A14="","",IFERROR(INDEX(Market_Data!$L$21:$L$613,MATCH($A14,Market_Data!$K$21:INDEX(Market_Data!$K$21:$K$613,COUNT(Market_Data!$K$21:$K$613)),1)),""))</f>
        <v>3603.5</v>
      </c>
      <c r="F14" s="87" vm="82">
        <f ca="1">IF($A14="","",IFERROR(INDEX(Market_Data!$O$21:$O$613,MATCH($A14,Market_Data!$N$21:INDEX(Market_Data!$N$21:$N$613,COUNT(Market_Data!$N$21:$N$613)),1)),""))</f>
        <v>1486.5</v>
      </c>
      <c r="G14" s="87" vm="83">
        <f ca="1">IF($A14="","",IFERROR(INDEX(Market_Data!$R$21:$R$613,MATCH($A14,Market_Data!$Q$21:INDEX(Market_Data!$Q$21:$Q$613,COUNT(Market_Data!$Q$21:$Q$613)),1)),""))</f>
        <v>11063.6</v>
      </c>
      <c r="H14" s="87" vm="84">
        <f ca="1">IF($A14="","",IFERROR(INDEX(Market_Data!$U$21:$U$613,MATCH($A14,Market_Data!$T$21:INDEX(Market_Data!$T$21:$T$613,COUNT(Market_Data!$T$21:$T$613)),1)),""))</f>
        <v>1892.0404000000001</v>
      </c>
      <c r="I14" s="88">
        <f ca="1">IF($A14="","",IFERROR(INDEX(Query1[Close],MATCH($A14,Query1[Date],1)),""))</f>
        <v>23453.80078125</v>
      </c>
    </row>
    <row r="15" spans="1:9" x14ac:dyDescent="0.3">
      <c r="A15" s="86">
        <f t="shared" ca="1" si="0"/>
        <v>45621</v>
      </c>
      <c r="B15" s="87" vm="85">
        <f ca="1">IF($A15="","",IFERROR(INDEX(Market_Data!$C$21:$C$613,MATCH($A15,Market_Data!$B$21:INDEX(Market_Data!$B$21:$B$613,COUNT(Market_Data!$B$21:$B$613)),1)),""))</f>
        <v>1292.2</v>
      </c>
      <c r="C15" s="87" vm="86">
        <f ca="1">IF($A15="","",IFERROR(INDEX(Market_Data!$F$21:$F$613,MATCH($A15,Market_Data!$E$21:INDEX(Market_Data!$E$21:$E$613,COUNT(Market_Data!$E$21:$E$613)),1)),""))</f>
        <v>1627.15</v>
      </c>
      <c r="D15" s="87" vm="87">
        <f ca="1">IF($A15="","",IFERROR(INDEX(Market_Data!$I$21:$I$613,MATCH($A15,Market_Data!$H$21:INDEX(Market_Data!$H$21:$H$613,COUNT(Market_Data!$H$21:$H$613)),1)),""))</f>
        <v>895.79790000000003</v>
      </c>
      <c r="E15" s="87" vm="88">
        <f ca="1">IF($A15="","",IFERROR(INDEX(Market_Data!$L$21:$L$613,MATCH($A15,Market_Data!$K$21:INDEX(Market_Data!$K$21:$K$613,COUNT(Market_Data!$K$21:$K$613)),1)),""))</f>
        <v>3724.8</v>
      </c>
      <c r="F15" s="87" vm="89">
        <f ca="1">IF($A15="","",IFERROR(INDEX(Market_Data!$O$21:$O$613,MATCH($A15,Market_Data!$N$21:INDEX(Market_Data!$N$21:$N$613,COUNT(Market_Data!$N$21:$N$613)),1)),""))</f>
        <v>1533.9</v>
      </c>
      <c r="G15" s="87" vm="90">
        <f ca="1">IF($A15="","",IFERROR(INDEX(Market_Data!$R$21:$R$613,MATCH($A15,Market_Data!$Q$21:INDEX(Market_Data!$Q$21:$Q$613,COUNT(Market_Data!$Q$21:$Q$613)),1)),""))</f>
        <v>11074.2</v>
      </c>
      <c r="H15" s="87" vm="91">
        <f ca="1">IF($A15="","",IFERROR(INDEX(Market_Data!$U$21:$U$613,MATCH($A15,Market_Data!$T$21:INDEX(Market_Data!$T$21:$T$613,COUNT(Market_Data!$T$21:$T$613)),1)),""))</f>
        <v>1841.8589999999999</v>
      </c>
      <c r="I15" s="88">
        <f ca="1">IF($A15="","",IFERROR(INDEX(Query1[Close],MATCH($A15,Query1[Date],1)),""))</f>
        <v>24221.900390625</v>
      </c>
    </row>
    <row r="16" spans="1:9" x14ac:dyDescent="0.3">
      <c r="A16" s="86">
        <f t="shared" ca="1" si="0"/>
        <v>45628</v>
      </c>
      <c r="B16" s="87" vm="92">
        <f ca="1">IF($A16="","",IFERROR(INDEX(Market_Data!$C$21:$C$613,MATCH($A16,Market_Data!$B$21:INDEX(Market_Data!$B$21:$B$613,COUNT(Market_Data!$B$21:$B$613)),1)),""))</f>
        <v>1311.55</v>
      </c>
      <c r="C16" s="87" vm="93">
        <f ca="1">IF($A16="","",IFERROR(INDEX(Market_Data!$F$21:$F$613,MATCH($A16,Market_Data!$E$21:INDEX(Market_Data!$E$21:$E$613,COUNT(Market_Data!$E$21:$E$613)),1)),""))</f>
        <v>1597.85</v>
      </c>
      <c r="D16" s="87" vm="94">
        <f ca="1">IF($A16="","",IFERROR(INDEX(Market_Data!$I$21:$I$613,MATCH($A16,Market_Data!$H$21:INDEX(Market_Data!$H$21:$H$613,COUNT(Market_Data!$H$21:$H$613)),1)),""))</f>
        <v>925.62369999999999</v>
      </c>
      <c r="E16" s="87" vm="95">
        <f ca="1">IF($A16="","",IFERROR(INDEX(Market_Data!$L$21:$L$613,MATCH($A16,Market_Data!$K$21:INDEX(Market_Data!$K$21:$K$613,COUNT(Market_Data!$K$21:$K$613)),1)),""))</f>
        <v>3866.7</v>
      </c>
      <c r="F16" s="87" vm="96">
        <f ca="1">IF($A16="","",IFERROR(INDEX(Market_Data!$O$21:$O$613,MATCH($A16,Market_Data!$N$21:INDEX(Market_Data!$N$21:$N$613,COUNT(Market_Data!$N$21:$N$613)),1)),""))</f>
        <v>1477.4</v>
      </c>
      <c r="G16" s="87" vm="97">
        <f ca="1">IF($A16="","",IFERROR(INDEX(Market_Data!$R$21:$R$613,MATCH($A16,Market_Data!$Q$21:INDEX(Market_Data!$Q$21:$Q$613,COUNT(Market_Data!$Q$21:$Q$613)),1)),""))</f>
        <v>11317.95</v>
      </c>
      <c r="H16" s="87" vm="98">
        <f ca="1">IF($A16="","",IFERROR(INDEX(Market_Data!$U$21:$U$613,MATCH($A16,Market_Data!$T$21:INDEX(Market_Data!$T$21:$T$613,COUNT(Market_Data!$T$21:$T$613)),1)),""))</f>
        <v>1916.259</v>
      </c>
      <c r="I16" s="88">
        <f ca="1">IF($A16="","",IFERROR(INDEX(Query1[Close],MATCH($A16,Query1[Date],1)),""))</f>
        <v>24276.05078125</v>
      </c>
    </row>
    <row r="17" spans="1:9" x14ac:dyDescent="0.3">
      <c r="A17" s="86">
        <f t="shared" ca="1" si="0"/>
        <v>45635</v>
      </c>
      <c r="B17" s="87" vm="99">
        <f ca="1">IF($A17="","",IFERROR(INDEX(Market_Data!$C$21:$C$613,MATCH($A17,Market_Data!$B$21:INDEX(Market_Data!$B$21:$B$613,COUNT(Market_Data!$B$21:$B$613)),1)),""))</f>
        <v>1272.8499999999999</v>
      </c>
      <c r="C17" s="87" vm="100">
        <f ca="1">IF($A17="","",IFERROR(INDEX(Market_Data!$F$21:$F$613,MATCH($A17,Market_Data!$E$21:INDEX(Market_Data!$E$21:$E$613,COUNT(Market_Data!$E$21:$E$613)),1)),""))</f>
        <v>1681.75</v>
      </c>
      <c r="D17" s="87" vm="101">
        <f ca="1">IF($A17="","",IFERROR(INDEX(Market_Data!$I$21:$I$613,MATCH($A17,Market_Data!$H$21:INDEX(Market_Data!$H$21:$H$613,COUNT(Market_Data!$H$21:$H$613)),1)),""))</f>
        <v>933.55399999999997</v>
      </c>
      <c r="E17" s="87" vm="102">
        <f ca="1">IF($A17="","",IFERROR(INDEX(Market_Data!$L$21:$L$613,MATCH($A17,Market_Data!$K$21:INDEX(Market_Data!$K$21:$K$613,COUNT(Market_Data!$K$21:$K$613)),1)),""))</f>
        <v>3887</v>
      </c>
      <c r="F17" s="87" vm="103">
        <f ca="1">IF($A17="","",IFERROR(INDEX(Market_Data!$O$21:$O$613,MATCH($A17,Market_Data!$N$21:INDEX(Market_Data!$N$21:$N$613,COUNT(Market_Data!$N$21:$N$613)),1)),""))</f>
        <v>1447.3</v>
      </c>
      <c r="G17" s="87" vm="104">
        <f ca="1">IF($A17="","",IFERROR(INDEX(Market_Data!$R$21:$R$613,MATCH($A17,Market_Data!$Q$21:INDEX(Market_Data!$Q$21:$Q$613,COUNT(Market_Data!$Q$21:$Q$613)),1)),""))</f>
        <v>11272.55</v>
      </c>
      <c r="H17" s="87" vm="105">
        <f ca="1">IF($A17="","",IFERROR(INDEX(Market_Data!$U$21:$U$613,MATCH($A17,Market_Data!$T$21:INDEX(Market_Data!$T$21:$T$613,COUNT(Market_Data!$T$21:$T$613)),1)),""))</f>
        <v>1962.2045000000001</v>
      </c>
      <c r="I17" s="88">
        <f ca="1">IF($A17="","",IFERROR(INDEX(Query1[Close],MATCH($A17,Query1[Date],1)),""))</f>
        <v>24619</v>
      </c>
    </row>
    <row r="18" spans="1:9" x14ac:dyDescent="0.3">
      <c r="A18" s="86">
        <f t="shared" ca="1" si="0"/>
        <v>45642</v>
      </c>
      <c r="B18" s="87" vm="106">
        <f ca="1">IF($A18="","",IFERROR(INDEX(Market_Data!$C$21:$C$613,MATCH($A18,Market_Data!$B$21:INDEX(Market_Data!$B$21:$B$613,COUNT(Market_Data!$B$21:$B$613)),1)),""))</f>
        <v>1205.3</v>
      </c>
      <c r="C18" s="87" vm="107">
        <f ca="1">IF($A18="","",IFERROR(INDEX(Market_Data!$F$21:$F$613,MATCH($A18,Market_Data!$E$21:INDEX(Market_Data!$E$21:$E$613,COUNT(Market_Data!$E$21:$E$613)),1)),""))</f>
        <v>1578.1</v>
      </c>
      <c r="D18" s="87" vm="108">
        <f ca="1">IF($A18="","",IFERROR(INDEX(Market_Data!$I$21:$I$613,MATCH($A18,Market_Data!$H$21:INDEX(Market_Data!$H$21:$H$613,COUNT(Market_Data!$H$21:$H$613)),1)),""))</f>
        <v>883.55330000000004</v>
      </c>
      <c r="E18" s="87" vm="109">
        <f ca="1">IF($A18="","",IFERROR(INDEX(Market_Data!$L$21:$L$613,MATCH($A18,Market_Data!$K$21:INDEX(Market_Data!$K$21:$K$613,COUNT(Market_Data!$K$21:$K$613)),1)),""))</f>
        <v>3629.85</v>
      </c>
      <c r="F18" s="87" vm="110">
        <f ca="1">IF($A18="","",IFERROR(INDEX(Market_Data!$O$21:$O$613,MATCH($A18,Market_Data!$N$21:INDEX(Market_Data!$N$21:$N$613,COUNT(Market_Data!$N$21:$N$613)),1)),""))</f>
        <v>1472.05</v>
      </c>
      <c r="G18" s="87" vm="111">
        <f ca="1">IF($A18="","",IFERROR(INDEX(Market_Data!$R$21:$R$613,MATCH($A18,Market_Data!$Q$21:INDEX(Market_Data!$Q$21:$Q$613,COUNT(Market_Data!$Q$21:$Q$613)),1)),""))</f>
        <v>10901.05</v>
      </c>
      <c r="H18" s="87" vm="112">
        <f ca="1">IF($A18="","",IFERROR(INDEX(Market_Data!$U$21:$U$613,MATCH($A18,Market_Data!$T$21:INDEX(Market_Data!$T$21:$T$613,COUNT(Market_Data!$T$21:$T$613)),1)),""))</f>
        <v>1904.9469999999999</v>
      </c>
      <c r="I18" s="88">
        <f ca="1">IF($A18="","",IFERROR(INDEX(Query1[Close],MATCH($A18,Query1[Date],1)),""))</f>
        <v>24668.25</v>
      </c>
    </row>
    <row r="19" spans="1:9" x14ac:dyDescent="0.3">
      <c r="A19" s="86">
        <f t="shared" ca="1" si="0"/>
        <v>45649</v>
      </c>
      <c r="B19" s="87" vm="113">
        <f ca="1">IF($A19="","",IFERROR(INDEX(Market_Data!$C$21:$C$613,MATCH($A19,Market_Data!$B$21:INDEX(Market_Data!$B$21:$B$613,COUNT(Market_Data!$B$21:$B$613)),1)),""))</f>
        <v>1221.05</v>
      </c>
      <c r="C19" s="87" vm="114">
        <f ca="1">IF($A19="","",IFERROR(INDEX(Market_Data!$F$21:$F$613,MATCH($A19,Market_Data!$E$21:INDEX(Market_Data!$E$21:$E$613,COUNT(Market_Data!$E$21:$E$613)),1)),""))</f>
        <v>1599.85</v>
      </c>
      <c r="D19" s="87" vm="115">
        <f ca="1">IF($A19="","",IFERROR(INDEX(Market_Data!$I$21:$I$613,MATCH($A19,Market_Data!$H$21:INDEX(Market_Data!$H$21:$H$613,COUNT(Market_Data!$H$21:$H$613)),1)),""))</f>
        <v>896.89520000000005</v>
      </c>
      <c r="E19" s="87" vm="116">
        <f ca="1">IF($A19="","",IFERROR(INDEX(Market_Data!$L$21:$L$613,MATCH($A19,Market_Data!$K$21:INDEX(Market_Data!$K$21:$K$613,COUNT(Market_Data!$K$21:$K$613)),1)),""))</f>
        <v>3608.1</v>
      </c>
      <c r="F19" s="87" vm="117">
        <f ca="1">IF($A19="","",IFERROR(INDEX(Market_Data!$O$21:$O$613,MATCH($A19,Market_Data!$N$21:INDEX(Market_Data!$N$21:$N$613,COUNT(Market_Data!$N$21:$N$613)),1)),""))</f>
        <v>1506.6</v>
      </c>
      <c r="G19" s="87" vm="118">
        <f ca="1">IF($A19="","",IFERROR(INDEX(Market_Data!$R$21:$R$613,MATCH($A19,Market_Data!$Q$21:INDEX(Market_Data!$Q$21:$Q$613,COUNT(Market_Data!$Q$21:$Q$613)),1)),""))</f>
        <v>10941.05</v>
      </c>
      <c r="H19" s="87" vm="119">
        <f ca="1">IF($A19="","",IFERROR(INDEX(Market_Data!$U$21:$U$613,MATCH($A19,Market_Data!$T$21:INDEX(Market_Data!$T$21:$T$613,COUNT(Market_Data!$T$21:$T$613)),1)),""))</f>
        <v>1885.6618000000001</v>
      </c>
      <c r="I19" s="88">
        <f ca="1">IF($A19="","",IFERROR(INDEX(Query1[Close],MATCH($A19,Query1[Date],1)),""))</f>
        <v>23753.44921875</v>
      </c>
    </row>
    <row r="20" spans="1:9" x14ac:dyDescent="0.3">
      <c r="A20" s="86">
        <f t="shared" ca="1" si="0"/>
        <v>45656</v>
      </c>
      <c r="B20" s="87" vm="120">
        <f ca="1">IF($A20="","",IFERROR(INDEX(Market_Data!$C$21:$C$613,MATCH($A20,Market_Data!$B$21:INDEX(Market_Data!$B$21:$B$613,COUNT(Market_Data!$B$21:$B$613)),1)),""))</f>
        <v>1251.1500000000001</v>
      </c>
      <c r="C20" s="87" vm="121">
        <f ca="1">IF($A20="","",IFERROR(INDEX(Market_Data!$F$21:$F$613,MATCH($A20,Market_Data!$E$21:INDEX(Market_Data!$E$21:$E$613,COUNT(Market_Data!$E$21:$E$613)),1)),""))</f>
        <v>1598.85</v>
      </c>
      <c r="D20" s="87" vm="122">
        <f ca="1">IF($A20="","",IFERROR(INDEX(Market_Data!$I$21:$I$613,MATCH($A20,Market_Data!$H$21:INDEX(Market_Data!$H$21:$H$613,COUNT(Market_Data!$H$21:$H$613)),1)),""))</f>
        <v>872.43100000000004</v>
      </c>
      <c r="E20" s="87" vm="123">
        <f ca="1">IF($A20="","",IFERROR(INDEX(Market_Data!$L$21:$L$613,MATCH($A20,Market_Data!$K$21:INDEX(Market_Data!$K$21:$K$613,COUNT(Market_Data!$K$21:$K$613)),1)),""))</f>
        <v>3659.9</v>
      </c>
      <c r="F20" s="87" vm="124">
        <f ca="1">IF($A20="","",IFERROR(INDEX(Market_Data!$O$21:$O$613,MATCH($A20,Market_Data!$N$21:INDEX(Market_Data!$N$21:$N$613,COUNT(Market_Data!$N$21:$N$613)),1)),""))</f>
        <v>1511.25</v>
      </c>
      <c r="G20" s="87" vm="125">
        <f ca="1">IF($A20="","",IFERROR(INDEX(Market_Data!$R$21:$R$613,MATCH($A20,Market_Data!$Q$21:INDEX(Market_Data!$Q$21:$Q$613,COUNT(Market_Data!$Q$21:$Q$613)),1)),""))</f>
        <v>11934.25</v>
      </c>
      <c r="H20" s="87" vm="126">
        <f ca="1">IF($A20="","",IFERROR(INDEX(Market_Data!$U$21:$U$613,MATCH($A20,Market_Data!$T$21:INDEX(Market_Data!$T$21:$T$613,COUNT(Market_Data!$T$21:$T$613)),1)),""))</f>
        <v>1940.1287</v>
      </c>
      <c r="I20" s="88">
        <f ca="1">IF($A20="","",IFERROR(INDEX(Query1[Close],MATCH($A20,Query1[Date],1)),""))</f>
        <v>23644.900390625</v>
      </c>
    </row>
    <row r="21" spans="1:9" x14ac:dyDescent="0.3">
      <c r="A21" s="86">
        <f t="shared" ca="1" si="0"/>
        <v>45663</v>
      </c>
      <c r="B21" s="87" vm="127">
        <f ca="1">IF($A21="","",IFERROR(INDEX(Market_Data!$C$21:$C$613,MATCH($A21,Market_Data!$B$21:INDEX(Market_Data!$B$21:$B$613,COUNT(Market_Data!$B$21:$B$613)),1)),""))</f>
        <v>1241.9000000000001</v>
      </c>
      <c r="C21" s="87" vm="128">
        <f ca="1">IF($A21="","",IFERROR(INDEX(Market_Data!$F$21:$F$613,MATCH($A21,Market_Data!$E$21:INDEX(Market_Data!$E$21:$E$613,COUNT(Market_Data!$E$21:$E$613)),1)),""))</f>
        <v>1615.9</v>
      </c>
      <c r="D21" s="87" vm="129">
        <f ca="1">IF($A21="","",IFERROR(INDEX(Market_Data!$I$21:$I$613,MATCH($A21,Market_Data!$H$21:INDEX(Market_Data!$H$21:$H$613,COUNT(Market_Data!$H$21:$H$613)),1)),""))</f>
        <v>826.32060000000001</v>
      </c>
      <c r="E21" s="87" vm="130">
        <f ca="1">IF($A21="","",IFERROR(INDEX(Market_Data!$L$21:$L$613,MATCH($A21,Market_Data!$K$21:INDEX(Market_Data!$K$21:$K$613,COUNT(Market_Data!$K$21:$K$613)),1)),""))</f>
        <v>3536.15</v>
      </c>
      <c r="F21" s="87" vm="131">
        <f ca="1">IF($A21="","",IFERROR(INDEX(Market_Data!$O$21:$O$613,MATCH($A21,Market_Data!$N$21:INDEX(Market_Data!$N$21:$N$613,COUNT(Market_Data!$N$21:$N$613)),1)),""))</f>
        <v>1468.8</v>
      </c>
      <c r="G21" s="87" vm="132">
        <f ca="1">IF($A21="","",IFERROR(INDEX(Market_Data!$R$21:$R$613,MATCH($A21,Market_Data!$Q$21:INDEX(Market_Data!$Q$21:$Q$613,COUNT(Market_Data!$Q$21:$Q$613)),1)),""))</f>
        <v>11631.1</v>
      </c>
      <c r="H21" s="87" vm="133">
        <f ca="1">IF($A21="","",IFERROR(INDEX(Market_Data!$U$21:$U$613,MATCH($A21,Market_Data!$T$21:INDEX(Market_Data!$T$21:$T$613,COUNT(Market_Data!$T$21:$T$613)),1)),""))</f>
        <v>1988.4164000000001</v>
      </c>
      <c r="I21" s="88">
        <f ca="1">IF($A21="","",IFERROR(INDEX(Query1[Close],MATCH($A21,Query1[Date],1)),""))</f>
        <v>23616.05078125</v>
      </c>
    </row>
    <row r="22" spans="1:9" x14ac:dyDescent="0.3">
      <c r="A22" s="86">
        <f t="shared" ca="1" si="0"/>
        <v>45670</v>
      </c>
      <c r="B22" s="87" vm="134">
        <f ca="1">IF($A22="","",IFERROR(INDEX(Market_Data!$C$21:$C$613,MATCH($A22,Market_Data!$B$21:INDEX(Market_Data!$B$21:$B$613,COUNT(Market_Data!$B$21:$B$613)),1)),""))</f>
        <v>1302.3499999999999</v>
      </c>
      <c r="C22" s="87" vm="135">
        <f ca="1">IF($A22="","",IFERROR(INDEX(Market_Data!$F$21:$F$613,MATCH($A22,Market_Data!$E$21:INDEX(Market_Data!$E$21:$E$613,COUNT(Market_Data!$E$21:$E$613)),1)),""))</f>
        <v>1627.5</v>
      </c>
      <c r="D22" s="87" vm="136">
        <f ca="1">IF($A22="","",IFERROR(INDEX(Market_Data!$I$21:$I$613,MATCH($A22,Market_Data!$H$21:INDEX(Market_Data!$H$21:$H$613,COUNT(Market_Data!$H$21:$H$613)),1)),""))</f>
        <v>816.34540000000004</v>
      </c>
      <c r="E22" s="87" vm="137">
        <f ca="1">IF($A22="","",IFERROR(INDEX(Market_Data!$L$21:$L$613,MATCH($A22,Market_Data!$K$21:INDEX(Market_Data!$K$21:$K$613,COUNT(Market_Data!$K$21:$K$613)),1)),""))</f>
        <v>3568.65</v>
      </c>
      <c r="F22" s="87" vm="138">
        <f ca="1">IF($A22="","",IFERROR(INDEX(Market_Data!$O$21:$O$613,MATCH($A22,Market_Data!$N$21:INDEX(Market_Data!$N$21:$N$613,COUNT(Market_Data!$N$21:$N$613)),1)),""))</f>
        <v>1442.3</v>
      </c>
      <c r="G22" s="87" vm="139">
        <f ca="1">IF($A22="","",IFERROR(INDEX(Market_Data!$R$21:$R$613,MATCH($A22,Market_Data!$Q$21:INDEX(Market_Data!$Q$21:$Q$613,COUNT(Market_Data!$Q$21:$Q$613)),1)),""))</f>
        <v>12136.35</v>
      </c>
      <c r="H22" s="87" vm="140">
        <f ca="1">IF($A22="","",IFERROR(INDEX(Market_Data!$U$21:$U$613,MATCH($A22,Market_Data!$T$21:INDEX(Market_Data!$T$21:$T$613,COUNT(Market_Data!$T$21:$T$613)),1)),""))</f>
        <v>1788.9</v>
      </c>
      <c r="I22" s="88">
        <f ca="1">IF($A22="","",IFERROR(INDEX(Query1[Close],MATCH($A22,Query1[Date],1)),""))</f>
        <v>23085.94921875</v>
      </c>
    </row>
    <row r="23" spans="1:9" x14ac:dyDescent="0.3">
      <c r="A23" s="86">
        <f t="shared" ca="1" si="0"/>
        <v>45677</v>
      </c>
      <c r="B23" s="87" vm="141">
        <f ca="1">IF($A23="","",IFERROR(INDEX(Market_Data!$C$21:$C$613,MATCH($A23,Market_Data!$B$21:INDEX(Market_Data!$B$21:$B$613,COUNT(Market_Data!$B$21:$B$613)),1)),""))</f>
        <v>1246.3</v>
      </c>
      <c r="C23" s="87" vm="142">
        <f ca="1">IF($A23="","",IFERROR(INDEX(Market_Data!$F$21:$F$613,MATCH($A23,Market_Data!$E$21:INDEX(Market_Data!$E$21:$E$613,COUNT(Market_Data!$E$21:$E$613)),1)),""))</f>
        <v>1644.8</v>
      </c>
      <c r="D23" s="87" vm="143">
        <f ca="1">IF($A23="","",IFERROR(INDEX(Market_Data!$I$21:$I$613,MATCH($A23,Market_Data!$H$21:INDEX(Market_Data!$H$21:$H$613,COUNT(Market_Data!$H$21:$H$613)),1)),""))</f>
        <v>822.85419999999999</v>
      </c>
      <c r="E23" s="87" vm="144">
        <f ca="1">IF($A23="","",IFERROR(INDEX(Market_Data!$L$21:$L$613,MATCH($A23,Market_Data!$K$21:INDEX(Market_Data!$K$21:$K$613,COUNT(Market_Data!$K$21:$K$613)),1)),""))</f>
        <v>3458.2</v>
      </c>
      <c r="F23" s="87" vm="145">
        <f ca="1">IF($A23="","",IFERROR(INDEX(Market_Data!$O$21:$O$613,MATCH($A23,Market_Data!$N$21:INDEX(Market_Data!$N$21:$N$613,COUNT(Market_Data!$N$21:$N$613)),1)),""))</f>
        <v>1411.4</v>
      </c>
      <c r="G23" s="87" vm="146">
        <f ca="1">IF($A23="","",IFERROR(INDEX(Market_Data!$R$21:$R$613,MATCH($A23,Market_Data!$Q$21:INDEX(Market_Data!$Q$21:$Q$613,COUNT(Market_Data!$Q$21:$Q$613)),1)),""))</f>
        <v>11967.9</v>
      </c>
      <c r="H23" s="87" vm="147">
        <f ca="1">IF($A23="","",IFERROR(INDEX(Market_Data!$U$21:$U$613,MATCH($A23,Market_Data!$T$21:INDEX(Market_Data!$T$21:$T$613,COUNT(Market_Data!$T$21:$T$613)),1)),""))</f>
        <v>1792.85</v>
      </c>
      <c r="I23" s="88">
        <f ca="1">IF($A23="","",IFERROR(INDEX(Query1[Close],MATCH($A23,Query1[Date],1)),""))</f>
        <v>23344.75</v>
      </c>
    </row>
    <row r="24" spans="1:9" x14ac:dyDescent="0.3">
      <c r="A24" s="86">
        <f t="shared" ca="1" si="0"/>
        <v>45684</v>
      </c>
      <c r="B24" s="87" vm="148">
        <f ca="1">IF($A24="","",IFERROR(INDEX(Market_Data!$C$21:$C$613,MATCH($A24,Market_Data!$B$21:INDEX(Market_Data!$B$21:$B$613,COUNT(Market_Data!$B$21:$B$613)),1)),""))</f>
        <v>1264.5999999999999</v>
      </c>
      <c r="C24" s="87" vm="149">
        <f ca="1">IF($A24="","",IFERROR(INDEX(Market_Data!$F$21:$F$613,MATCH($A24,Market_Data!$E$21:INDEX(Market_Data!$E$21:$E$613,COUNT(Market_Data!$E$21:$E$613)),1)),""))</f>
        <v>1623.25</v>
      </c>
      <c r="D24" s="87" vm="150">
        <f ca="1">IF($A24="","",IFERROR(INDEX(Market_Data!$I$21:$I$613,MATCH($A24,Market_Data!$H$21:INDEX(Market_Data!$H$21:$H$613,COUNT(Market_Data!$H$21:$H$613)),1)),""))</f>
        <v>843.37819999999999</v>
      </c>
      <c r="E24" s="87" vm="151">
        <f ca="1">IF($A24="","",IFERROR(INDEX(Market_Data!$L$21:$L$613,MATCH($A24,Market_Data!$K$21:INDEX(Market_Data!$K$21:$K$613,COUNT(Market_Data!$K$21:$K$613)),1)),""))</f>
        <v>3447.5</v>
      </c>
      <c r="F24" s="87" vm="152">
        <f ca="1">IF($A24="","",IFERROR(INDEX(Market_Data!$O$21:$O$613,MATCH($A24,Market_Data!$N$21:INDEX(Market_Data!$N$21:$N$613,COUNT(Market_Data!$N$21:$N$613)),1)),""))</f>
        <v>1439.5</v>
      </c>
      <c r="G24" s="87" vm="153">
        <f ca="1">IF($A24="","",IFERROR(INDEX(Market_Data!$R$21:$R$613,MATCH($A24,Market_Data!$Q$21:INDEX(Market_Data!$Q$21:$Q$613,COUNT(Market_Data!$Q$21:$Q$613)),1)),""))</f>
        <v>12916.5</v>
      </c>
      <c r="H24" s="87" vm="154">
        <f ca="1">IF($A24="","",IFERROR(INDEX(Market_Data!$U$21:$U$613,MATCH($A24,Market_Data!$T$21:INDEX(Market_Data!$T$21:$T$613,COUNT(Market_Data!$T$21:$T$613)),1)),""))</f>
        <v>1694</v>
      </c>
      <c r="I24" s="88">
        <f ca="1">IF($A24="","",IFERROR(INDEX(Query1[Close],MATCH($A24,Query1[Date],1)),""))</f>
        <v>22829.150390625</v>
      </c>
    </row>
    <row r="25" spans="1:9" x14ac:dyDescent="0.3">
      <c r="A25" s="86">
        <f t="shared" ca="1" si="0"/>
        <v>45691</v>
      </c>
      <c r="B25" s="87" vm="155">
        <f ca="1">IF($A25="","",IFERROR(INDEX(Market_Data!$C$21:$C$613,MATCH($A25,Market_Data!$B$21:INDEX(Market_Data!$B$21:$B$613,COUNT(Market_Data!$B$21:$B$613)),1)),""))</f>
        <v>1266.7</v>
      </c>
      <c r="C25" s="87" vm="156">
        <f ca="1">IF($A25="","",IFERROR(INDEX(Market_Data!$F$21:$F$613,MATCH($A25,Market_Data!$E$21:INDEX(Market_Data!$E$21:$E$613,COUNT(Market_Data!$E$21:$E$613)),1)),""))</f>
        <v>1676.75</v>
      </c>
      <c r="D25" s="87" vm="157">
        <f ca="1">IF($A25="","",IFERROR(INDEX(Market_Data!$I$21:$I$613,MATCH($A25,Market_Data!$H$21:INDEX(Market_Data!$H$21:$H$613,COUNT(Market_Data!$H$21:$H$613)),1)),""))</f>
        <v>864.22640000000001</v>
      </c>
      <c r="E25" s="87" vm="158">
        <f ca="1">IF($A25="","",IFERROR(INDEX(Market_Data!$L$21:$L$613,MATCH($A25,Market_Data!$K$21:INDEX(Market_Data!$K$21:$K$613,COUNT(Market_Data!$K$21:$K$613)),1)),""))</f>
        <v>3336.9</v>
      </c>
      <c r="F25" s="87" vm="159">
        <f ca="1">IF($A25="","",IFERROR(INDEX(Market_Data!$O$21:$O$613,MATCH($A25,Market_Data!$N$21:INDEX(Market_Data!$N$21:$N$613,COUNT(Market_Data!$N$21:$N$613)),1)),""))</f>
        <v>1472.25</v>
      </c>
      <c r="G25" s="87" vm="160">
        <f ca="1">IF($A25="","",IFERROR(INDEX(Market_Data!$R$21:$R$613,MATCH($A25,Market_Data!$Q$21:INDEX(Market_Data!$Q$21:$Q$613,COUNT(Market_Data!$Q$21:$Q$613)),1)),""))</f>
        <v>13049.5</v>
      </c>
      <c r="H25" s="87" vm="161">
        <f ca="1">IF($A25="","",IFERROR(INDEX(Market_Data!$U$21:$U$613,MATCH($A25,Market_Data!$T$21:INDEX(Market_Data!$T$21:$T$613,COUNT(Market_Data!$T$21:$T$613)),1)),""))</f>
        <v>1725.65</v>
      </c>
      <c r="I25" s="88">
        <f ca="1">IF($A25="","",IFERROR(INDEX(Query1[Close],MATCH($A25,Query1[Date],1)),""))</f>
        <v>23361.05078125</v>
      </c>
    </row>
    <row r="26" spans="1:9" x14ac:dyDescent="0.3">
      <c r="A26" s="86">
        <f t="shared" ca="1" si="0"/>
        <v>45698</v>
      </c>
      <c r="B26" s="87" vm="162">
        <f ca="1">IF($A26="","",IFERROR(INDEX(Market_Data!$C$21:$C$613,MATCH($A26,Market_Data!$B$21:INDEX(Market_Data!$B$21:$B$613,COUNT(Market_Data!$B$21:$B$613)),1)),""))</f>
        <v>1217.25</v>
      </c>
      <c r="C26" s="87" vm="163">
        <f ca="1">IF($A26="","",IFERROR(INDEX(Market_Data!$F$21:$F$613,MATCH($A26,Market_Data!$E$21:INDEX(Market_Data!$E$21:$E$613,COUNT(Market_Data!$E$21:$E$613)),1)),""))</f>
        <v>1717.05</v>
      </c>
      <c r="D26" s="87" vm="164">
        <f ca="1">IF($A26="","",IFERROR(INDEX(Market_Data!$I$21:$I$613,MATCH($A26,Market_Data!$H$21:INDEX(Market_Data!$H$21:$H$613,COUNT(Market_Data!$H$21:$H$613)),1)),""))</f>
        <v>845.32339999999999</v>
      </c>
      <c r="E26" s="87" vm="165">
        <f ca="1">IF($A26="","",IFERROR(INDEX(Market_Data!$L$21:$L$613,MATCH($A26,Market_Data!$K$21:INDEX(Market_Data!$K$21:$K$613,COUNT(Market_Data!$K$21:$K$613)),1)),""))</f>
        <v>3237.65</v>
      </c>
      <c r="F26" s="87" vm="166">
        <f ca="1">IF($A26="","",IFERROR(INDEX(Market_Data!$O$21:$O$613,MATCH($A26,Market_Data!$N$21:INDEX(Market_Data!$N$21:$N$613,COUNT(Market_Data!$N$21:$N$613)),1)),""))</f>
        <v>1459.45</v>
      </c>
      <c r="G26" s="87" vm="167">
        <f ca="1">IF($A26="","",IFERROR(INDEX(Market_Data!$R$21:$R$613,MATCH($A26,Market_Data!$Q$21:INDEX(Market_Data!$Q$21:$Q$613,COUNT(Market_Data!$Q$21:$Q$613)),1)),""))</f>
        <v>12680.25</v>
      </c>
      <c r="H26" s="87" vm="168">
        <f ca="1">IF($A26="","",IFERROR(INDEX(Market_Data!$U$21:$U$613,MATCH($A26,Market_Data!$T$21:INDEX(Market_Data!$T$21:$T$613,COUNT(Market_Data!$T$21:$T$613)),1)),""))</f>
        <v>1711.25</v>
      </c>
      <c r="I26" s="88">
        <f ca="1">IF($A26="","",IFERROR(INDEX(Query1[Close],MATCH($A26,Query1[Date],1)),""))</f>
        <v>23381.599609375</v>
      </c>
    </row>
    <row r="27" spans="1:9" x14ac:dyDescent="0.3">
      <c r="A27" s="86">
        <f t="shared" ca="1" si="0"/>
        <v>45705</v>
      </c>
      <c r="B27" s="87" vm="169">
        <f ca="1">IF($A27="","",IFERROR(INDEX(Market_Data!$C$21:$C$613,MATCH($A27,Market_Data!$B$21:INDEX(Market_Data!$B$21:$B$613,COUNT(Market_Data!$B$21:$B$613)),1)),""))</f>
        <v>1228.1500000000001</v>
      </c>
      <c r="C27" s="87" vm="170">
        <f ca="1">IF($A27="","",IFERROR(INDEX(Market_Data!$F$21:$F$613,MATCH($A27,Market_Data!$E$21:INDEX(Market_Data!$E$21:$E$613,COUNT(Market_Data!$E$21:$E$613)),1)),""))</f>
        <v>1639.25</v>
      </c>
      <c r="D27" s="87" vm="171">
        <f ca="1">IF($A27="","",IFERROR(INDEX(Market_Data!$I$21:$I$613,MATCH($A27,Market_Data!$H$21:INDEX(Market_Data!$H$21:$H$613,COUNT(Market_Data!$H$21:$H$613)),1)),""))</f>
        <v>844.15129999999999</v>
      </c>
      <c r="E27" s="87" vm="172">
        <f ca="1">IF($A27="","",IFERROR(INDEX(Market_Data!$L$21:$L$613,MATCH($A27,Market_Data!$K$21:INDEX(Market_Data!$K$21:$K$613,COUNT(Market_Data!$K$21:$K$613)),1)),""))</f>
        <v>3315.1</v>
      </c>
      <c r="F27" s="87" vm="173">
        <f ca="1">IF($A27="","",IFERROR(INDEX(Market_Data!$O$21:$O$613,MATCH($A27,Market_Data!$N$21:INDEX(Market_Data!$N$21:$N$613,COUNT(Market_Data!$N$21:$N$613)),1)),""))</f>
        <v>1475.75</v>
      </c>
      <c r="G27" s="87" vm="174">
        <f ca="1">IF($A27="","",IFERROR(INDEX(Market_Data!$R$21:$R$613,MATCH($A27,Market_Data!$Q$21:INDEX(Market_Data!$Q$21:$Q$613,COUNT(Market_Data!$Q$21:$Q$613)),1)),""))</f>
        <v>12323.45</v>
      </c>
      <c r="H27" s="87" vm="175">
        <f ca="1">IF($A27="","",IFERROR(INDEX(Market_Data!$U$21:$U$613,MATCH($A27,Market_Data!$T$21:INDEX(Market_Data!$T$21:$T$613,COUNT(Market_Data!$T$21:$T$613)),1)),""))</f>
        <v>1700.7</v>
      </c>
      <c r="I27" s="88">
        <f ca="1">IF($A27="","",IFERROR(INDEX(Query1[Close],MATCH($A27,Query1[Date],1)),""))</f>
        <v>22959.5</v>
      </c>
    </row>
    <row r="28" spans="1:9" x14ac:dyDescent="0.3">
      <c r="A28" s="86">
        <f t="shared" ca="1" si="0"/>
        <v>45712</v>
      </c>
      <c r="B28" s="87" vm="176">
        <f ca="1">IF($A28="","",IFERROR(INDEX(Market_Data!$C$21:$C$613,MATCH($A28,Market_Data!$B$21:INDEX(Market_Data!$B$21:$B$613,COUNT(Market_Data!$B$21:$B$613)),1)),""))</f>
        <v>1200.0999999999999</v>
      </c>
      <c r="C28" s="87" vm="177">
        <f ca="1">IF($A28="","",IFERROR(INDEX(Market_Data!$F$21:$F$613,MATCH($A28,Market_Data!$E$21:INDEX(Market_Data!$E$21:$E$613,COUNT(Market_Data!$E$21:$E$613)),1)),""))</f>
        <v>1570.2</v>
      </c>
      <c r="D28" s="87" vm="178">
        <f ca="1">IF($A28="","",IFERROR(INDEX(Market_Data!$I$21:$I$613,MATCH($A28,Market_Data!$H$21:INDEX(Market_Data!$H$21:$H$613,COUNT(Market_Data!$H$21:$H$613)),1)),""))</f>
        <v>864.05179999999996</v>
      </c>
      <c r="E28" s="87" vm="179">
        <f ca="1">IF($A28="","",IFERROR(INDEX(Market_Data!$L$21:$L$613,MATCH($A28,Market_Data!$K$21:INDEX(Market_Data!$K$21:$K$613,COUNT(Market_Data!$K$21:$K$613)),1)),""))</f>
        <v>3163.85</v>
      </c>
      <c r="F28" s="87" vm="180">
        <f ca="1">IF($A28="","",IFERROR(INDEX(Market_Data!$O$21:$O$613,MATCH($A28,Market_Data!$N$21:INDEX(Market_Data!$N$21:$N$613,COUNT(Market_Data!$N$21:$N$613)),1)),""))</f>
        <v>1407.5</v>
      </c>
      <c r="G28" s="87" vm="181">
        <f ca="1">IF($A28="","",IFERROR(INDEX(Market_Data!$R$21:$R$613,MATCH($A28,Market_Data!$Q$21:INDEX(Market_Data!$Q$21:$Q$613,COUNT(Market_Data!$Q$21:$Q$613)),1)),""))</f>
        <v>11945.85</v>
      </c>
      <c r="H28" s="87" vm="182">
        <f ca="1">IF($A28="","",IFERROR(INDEX(Market_Data!$U$21:$U$613,MATCH($A28,Market_Data!$T$21:INDEX(Market_Data!$T$21:$T$613,COUNT(Market_Data!$T$21:$T$613)),1)),""))</f>
        <v>1575.05</v>
      </c>
      <c r="I28" s="88">
        <f ca="1">IF($A28="","",IFERROR(INDEX(Query1[Close],MATCH($A28,Query1[Date],1)),""))</f>
        <v>22553.349609375</v>
      </c>
    </row>
    <row r="29" spans="1:9" x14ac:dyDescent="0.3">
      <c r="A29" s="86">
        <f t="shared" ca="1" si="0"/>
        <v>45719</v>
      </c>
      <c r="B29" s="87" vm="183">
        <f ca="1">IF($A29="","",IFERROR(INDEX(Market_Data!$C$21:$C$613,MATCH($A29,Market_Data!$B$21:INDEX(Market_Data!$B$21:$B$613,COUNT(Market_Data!$B$21:$B$613)),1)),""))</f>
        <v>1249.8</v>
      </c>
      <c r="C29" s="87" vm="184">
        <f ca="1">IF($A29="","",IFERROR(INDEX(Market_Data!$F$21:$F$613,MATCH($A29,Market_Data!$E$21:INDEX(Market_Data!$E$21:$E$613,COUNT(Market_Data!$E$21:$E$613)),1)),""))</f>
        <v>1630.7</v>
      </c>
      <c r="D29" s="87" vm="185">
        <f ca="1">IF($A29="","",IFERROR(INDEX(Market_Data!$I$21:$I$613,MATCH($A29,Market_Data!$H$21:INDEX(Market_Data!$H$21:$H$613,COUNT(Market_Data!$H$21:$H$613)),1)),""))</f>
        <v>842.53030000000001</v>
      </c>
      <c r="E29" s="87" vm="186">
        <f ca="1">IF($A29="","",IFERROR(INDEX(Market_Data!$L$21:$L$613,MATCH($A29,Market_Data!$K$21:INDEX(Market_Data!$K$21:$K$613,COUNT(Market_Data!$K$21:$K$613)),1)),""))</f>
        <v>3244.7</v>
      </c>
      <c r="F29" s="87" vm="187">
        <f ca="1">IF($A29="","",IFERROR(INDEX(Market_Data!$O$21:$O$613,MATCH($A29,Market_Data!$N$21:INDEX(Market_Data!$N$21:$N$613,COUNT(Market_Data!$N$21:$N$613)),1)),""))</f>
        <v>1458.45</v>
      </c>
      <c r="G29" s="87" vm="188">
        <f ca="1">IF($A29="","",IFERROR(INDEX(Market_Data!$R$21:$R$613,MATCH($A29,Market_Data!$Q$21:INDEX(Market_Data!$Q$21:$Q$613,COUNT(Market_Data!$Q$21:$Q$613)),1)),""))</f>
        <v>11664.15</v>
      </c>
      <c r="H29" s="87" vm="189">
        <f ca="1">IF($A29="","",IFERROR(INDEX(Market_Data!$U$21:$U$613,MATCH($A29,Market_Data!$T$21:INDEX(Market_Data!$T$21:$T$613,COUNT(Market_Data!$T$21:$T$613)),1)),""))</f>
        <v>1557.95</v>
      </c>
      <c r="I29" s="88">
        <f ca="1">IF($A29="","",IFERROR(INDEX(Query1[Close],MATCH($A29,Query1[Date],1)),""))</f>
        <v>22119.30078125</v>
      </c>
    </row>
    <row r="30" spans="1:9" x14ac:dyDescent="0.3">
      <c r="A30" s="86">
        <f t="shared" ca="1" si="0"/>
        <v>45726</v>
      </c>
      <c r="B30" s="87" vm="190">
        <f ca="1">IF($A30="","",IFERROR(INDEX(Market_Data!$C$21:$C$613,MATCH($A30,Market_Data!$B$21:INDEX(Market_Data!$B$21:$B$613,COUNT(Market_Data!$B$21:$B$613)),1)),""))</f>
        <v>1247.9000000000001</v>
      </c>
      <c r="C30" s="87" vm="191">
        <f ca="1">IF($A30="","",IFERROR(INDEX(Market_Data!$F$21:$F$613,MATCH($A30,Market_Data!$E$21:INDEX(Market_Data!$E$21:$E$613,COUNT(Market_Data!$E$21:$E$613)),1)),""))</f>
        <v>1632.5</v>
      </c>
      <c r="D30" s="87" vm="192">
        <f ca="1">IF($A30="","",IFERROR(INDEX(Market_Data!$I$21:$I$613,MATCH($A30,Market_Data!$H$21:INDEX(Market_Data!$H$21:$H$613,COUNT(Market_Data!$H$21:$H$613)),1)),""))</f>
        <v>851.18380000000002</v>
      </c>
      <c r="E30" s="87" vm="193">
        <f ca="1">IF($A30="","",IFERROR(INDEX(Market_Data!$L$21:$L$613,MATCH($A30,Market_Data!$K$21:INDEX(Market_Data!$K$21:$K$613,COUNT(Market_Data!$K$21:$K$613)),1)),""))</f>
        <v>3187.3</v>
      </c>
      <c r="F30" s="87" vm="194">
        <f ca="1">IF($A30="","",IFERROR(INDEX(Market_Data!$O$21:$O$613,MATCH($A30,Market_Data!$N$21:INDEX(Market_Data!$N$21:$N$613,COUNT(Market_Data!$N$21:$N$613)),1)),""))</f>
        <v>1461.9</v>
      </c>
      <c r="G30" s="87" vm="195">
        <f ca="1">IF($A30="","",IFERROR(INDEX(Market_Data!$R$21:$R$613,MATCH($A30,Market_Data!$Q$21:INDEX(Market_Data!$Q$21:$Q$613,COUNT(Market_Data!$Q$21:$Q$613)),1)),""))</f>
        <v>11513.8</v>
      </c>
      <c r="H30" s="87" vm="196">
        <f ca="1">IF($A30="","",IFERROR(INDEX(Market_Data!$U$21:$U$613,MATCH($A30,Market_Data!$T$21:INDEX(Market_Data!$T$21:$T$613,COUNT(Market_Data!$T$21:$T$613)),1)),""))</f>
        <v>1534.75</v>
      </c>
      <c r="I30" s="88">
        <f ca="1">IF($A30="","",IFERROR(INDEX(Query1[Close],MATCH($A30,Query1[Date],1)),""))</f>
        <v>22460.30078125</v>
      </c>
    </row>
    <row r="31" spans="1:9" x14ac:dyDescent="0.3">
      <c r="A31" s="86">
        <f t="shared" ca="1" si="0"/>
        <v>45733</v>
      </c>
      <c r="B31" s="87" vm="197">
        <f ca="1">IF($A31="","",IFERROR(INDEX(Market_Data!$C$21:$C$613,MATCH($A31,Market_Data!$B$21:INDEX(Market_Data!$B$21:$B$613,COUNT(Market_Data!$B$21:$B$613)),1)),""))</f>
        <v>1276.3499999999999</v>
      </c>
      <c r="C31" s="87" vm="198">
        <f ca="1">IF($A31="","",IFERROR(INDEX(Market_Data!$F$21:$F$613,MATCH($A31,Market_Data!$E$21:INDEX(Market_Data!$E$21:$E$613,COUNT(Market_Data!$E$21:$E$613)),1)),""))</f>
        <v>1725.8</v>
      </c>
      <c r="D31" s="87" vm="199">
        <f ca="1">IF($A31="","",IFERROR(INDEX(Market_Data!$I$21:$I$613,MATCH($A31,Market_Data!$H$21:INDEX(Market_Data!$H$21:$H$613,COUNT(Market_Data!$H$21:$H$613)),1)),""))</f>
        <v>882.97979999999995</v>
      </c>
      <c r="E31" s="87" vm="200">
        <f ca="1">IF($A31="","",IFERROR(INDEX(Market_Data!$L$21:$L$613,MATCH($A31,Market_Data!$K$21:INDEX(Market_Data!$K$21:$K$613,COUNT(Market_Data!$K$21:$K$613)),1)),""))</f>
        <v>3415.95</v>
      </c>
      <c r="F31" s="87" vm="201">
        <f ca="1">IF($A31="","",IFERROR(INDEX(Market_Data!$O$21:$O$613,MATCH($A31,Market_Data!$N$21:INDEX(Market_Data!$N$21:$N$613,COUNT(Market_Data!$N$21:$N$613)),1)),""))</f>
        <v>1523.85</v>
      </c>
      <c r="G31" s="87" vm="202">
        <f ca="1">IF($A31="","",IFERROR(INDEX(Market_Data!$R$21:$R$613,MATCH($A31,Market_Data!$Q$21:INDEX(Market_Data!$Q$21:$Q$613,COUNT(Market_Data!$Q$21:$Q$613)),1)),""))</f>
        <v>11732.8</v>
      </c>
      <c r="H31" s="87" vm="203">
        <f ca="1">IF($A31="","",IFERROR(INDEX(Market_Data!$U$21:$U$613,MATCH($A31,Market_Data!$T$21:INDEX(Market_Data!$T$21:$T$613,COUNT(Market_Data!$T$21:$T$613)),1)),""))</f>
        <v>1566.7</v>
      </c>
      <c r="I31" s="88">
        <f ca="1">IF($A31="","",IFERROR(INDEX(Query1[Close],MATCH($A31,Query1[Date],1)),""))</f>
        <v>22508.75</v>
      </c>
    </row>
    <row r="32" spans="1:9" x14ac:dyDescent="0.3">
      <c r="A32" s="86">
        <f t="shared" ca="1" si="0"/>
        <v>45740</v>
      </c>
      <c r="B32" s="87" vm="204">
        <f ca="1">IF($A32="","",IFERROR(INDEX(Market_Data!$C$21:$C$613,MATCH($A32,Market_Data!$B$21:INDEX(Market_Data!$B$21:$B$613,COUNT(Market_Data!$B$21:$B$613)),1)),""))</f>
        <v>1275.0999999999999</v>
      </c>
      <c r="C32" s="87" vm="205">
        <f ca="1">IF($A32="","",IFERROR(INDEX(Market_Data!$F$21:$F$613,MATCH($A32,Market_Data!$E$21:INDEX(Market_Data!$E$21:$E$613,COUNT(Market_Data!$E$21:$E$613)),1)),""))</f>
        <v>1733.4</v>
      </c>
      <c r="D32" s="87" vm="206">
        <f ca="1">IF($A32="","",IFERROR(INDEX(Market_Data!$I$21:$I$613,MATCH($A32,Market_Data!$H$21:INDEX(Market_Data!$H$21:$H$613,COUNT(Market_Data!$H$21:$H$613)),1)),""))</f>
        <v>911.83299999999997</v>
      </c>
      <c r="E32" s="87" vm="207">
        <f ca="1">IF($A32="","",IFERROR(INDEX(Market_Data!$L$21:$L$613,MATCH($A32,Market_Data!$K$21:INDEX(Market_Data!$K$21:$K$613,COUNT(Market_Data!$K$21:$K$613)),1)),""))</f>
        <v>3492.3</v>
      </c>
      <c r="F32" s="87" vm="208">
        <f ca="1">IF($A32="","",IFERROR(INDEX(Market_Data!$O$21:$O$613,MATCH($A32,Market_Data!$N$21:INDEX(Market_Data!$N$21:$N$613,COUNT(Market_Data!$N$21:$N$613)),1)),""))</f>
        <v>1442.2</v>
      </c>
      <c r="G32" s="87" vm="209">
        <f ca="1">IF($A32="","",IFERROR(INDEX(Market_Data!$R$21:$R$613,MATCH($A32,Market_Data!$Q$21:INDEX(Market_Data!$Q$21:$Q$613,COUNT(Market_Data!$Q$21:$Q$613)),1)),""))</f>
        <v>11522.15</v>
      </c>
      <c r="H32" s="87" vm="210">
        <f ca="1">IF($A32="","",IFERROR(INDEX(Market_Data!$U$21:$U$613,MATCH($A32,Market_Data!$T$21:INDEX(Market_Data!$T$21:$T$613,COUNT(Market_Data!$T$21:$T$613)),1)),""))</f>
        <v>1592.5</v>
      </c>
      <c r="I32" s="88">
        <f ca="1">IF($A32="","",IFERROR(INDEX(Query1[Close],MATCH($A32,Query1[Date],1)),""))</f>
        <v>23658.349609375</v>
      </c>
    </row>
    <row r="33" spans="1:9" x14ac:dyDescent="0.3">
      <c r="A33" s="86">
        <f t="shared" ca="1" si="0"/>
        <v>45747</v>
      </c>
      <c r="B33" s="87" vm="204">
        <f ca="1">IF($A33="","",IFERROR(INDEX(Market_Data!$C$21:$C$613,MATCH($A33,Market_Data!$B$21:INDEX(Market_Data!$B$21:$B$613,COUNT(Market_Data!$B$21:$B$613)),1)),""))</f>
        <v>1275.0999999999999</v>
      </c>
      <c r="C33" s="87" vm="205">
        <f ca="1">IF($A33="","",IFERROR(INDEX(Market_Data!$F$21:$F$613,MATCH($A33,Market_Data!$E$21:INDEX(Market_Data!$E$21:$E$613,COUNT(Market_Data!$E$21:$E$613)),1)),""))</f>
        <v>1733.4</v>
      </c>
      <c r="D33" s="87" vm="206">
        <f ca="1">IF($A33="","",IFERROR(INDEX(Market_Data!$I$21:$I$613,MATCH($A33,Market_Data!$H$21:INDEX(Market_Data!$H$21:$H$613,COUNT(Market_Data!$H$21:$H$613)),1)),""))</f>
        <v>911.83299999999997</v>
      </c>
      <c r="E33" s="87" vm="207">
        <f ca="1">IF($A33="","",IFERROR(INDEX(Market_Data!$L$21:$L$613,MATCH($A33,Market_Data!$K$21:INDEX(Market_Data!$K$21:$K$613,COUNT(Market_Data!$K$21:$K$613)),1)),""))</f>
        <v>3492.3</v>
      </c>
      <c r="F33" s="87" vm="208">
        <f ca="1">IF($A33="","",IFERROR(INDEX(Market_Data!$O$21:$O$613,MATCH($A33,Market_Data!$N$21:INDEX(Market_Data!$N$21:$N$613,COUNT(Market_Data!$N$21:$N$613)),1)),""))</f>
        <v>1442.2</v>
      </c>
      <c r="G33" s="87" vm="209">
        <f ca="1">IF($A33="","",IFERROR(INDEX(Market_Data!$R$21:$R$613,MATCH($A33,Market_Data!$Q$21:INDEX(Market_Data!$Q$21:$Q$613,COUNT(Market_Data!$Q$21:$Q$613)),1)),""))</f>
        <v>11522.15</v>
      </c>
      <c r="H33" s="87" vm="210">
        <f ca="1">IF($A33="","",IFERROR(INDEX(Market_Data!$U$21:$U$613,MATCH($A33,Market_Data!$T$21:INDEX(Market_Data!$T$21:$T$613,COUNT(Market_Data!$T$21:$T$613)),1)),""))</f>
        <v>1592.5</v>
      </c>
      <c r="I33" s="88">
        <f ca="1">IF($A33="","",IFERROR(INDEX(Query1[Close],MATCH($A33,Query1[Date],1)),""))</f>
        <v>23165.69921875</v>
      </c>
    </row>
    <row r="34" spans="1:9" x14ac:dyDescent="0.3">
      <c r="A34" s="86">
        <f t="shared" ca="1" si="0"/>
        <v>45754</v>
      </c>
      <c r="B34" s="87" vm="211">
        <f ca="1">IF($A34="","",IFERROR(INDEX(Market_Data!$C$21:$C$613,MATCH($A34,Market_Data!$B$21:INDEX(Market_Data!$B$21:$B$613,COUNT(Market_Data!$B$21:$B$613)),1)),""))</f>
        <v>1218.95</v>
      </c>
      <c r="C34" s="87" vm="212">
        <f ca="1">IF($A34="","",IFERROR(INDEX(Market_Data!$F$21:$F$613,MATCH($A34,Market_Data!$E$21:INDEX(Market_Data!$E$21:$E$613,COUNT(Market_Data!$E$21:$E$613)),1)),""))</f>
        <v>1756.6</v>
      </c>
      <c r="D34" s="87" vm="213">
        <f ca="1">IF($A34="","",IFERROR(INDEX(Market_Data!$I$21:$I$613,MATCH($A34,Market_Data!$H$21:INDEX(Market_Data!$H$21:$H$613,COUNT(Market_Data!$H$21:$H$613)),1)),""))</f>
        <v>901.13459999999998</v>
      </c>
      <c r="E34" s="87" vm="214">
        <f ca="1">IF($A34="","",IFERROR(INDEX(Market_Data!$L$21:$L$613,MATCH($A34,Market_Data!$K$21:INDEX(Market_Data!$K$21:$K$613,COUNT(Market_Data!$K$21:$K$613)),1)),""))</f>
        <v>3115.95</v>
      </c>
      <c r="F34" s="87" vm="215">
        <f ca="1">IF($A34="","",IFERROR(INDEX(Market_Data!$O$21:$O$613,MATCH($A34,Market_Data!$N$21:INDEX(Market_Data!$N$21:$N$613,COUNT(Market_Data!$N$21:$N$613)),1)),""))</f>
        <v>1463.05</v>
      </c>
      <c r="G34" s="87" vm="216">
        <f ca="1">IF($A34="","",IFERROR(INDEX(Market_Data!$R$21:$R$613,MATCH($A34,Market_Data!$Q$21:INDEX(Market_Data!$Q$21:$Q$613,COUNT(Market_Data!$Q$21:$Q$613)),1)),""))</f>
        <v>11599.05</v>
      </c>
      <c r="H34" s="87" vm="217">
        <f ca="1">IF($A34="","",IFERROR(INDEX(Market_Data!$U$21:$U$613,MATCH($A34,Market_Data!$T$21:INDEX(Market_Data!$T$21:$T$613,COUNT(Market_Data!$T$21:$T$613)),1)),""))</f>
        <v>1390.55</v>
      </c>
      <c r="I34" s="88">
        <f ca="1">IF($A34="","",IFERROR(INDEX(Query1[Close],MATCH($A34,Query1[Date],1)),""))</f>
        <v>22161.599609375</v>
      </c>
    </row>
    <row r="35" spans="1:9" x14ac:dyDescent="0.3">
      <c r="A35" s="86">
        <f t="shared" ca="1" si="0"/>
        <v>45761</v>
      </c>
      <c r="B35" s="87" vm="211">
        <f ca="1">IF($A35="","",IFERROR(INDEX(Market_Data!$C$21:$C$613,MATCH($A35,Market_Data!$B$21:INDEX(Market_Data!$B$21:$B$613,COUNT(Market_Data!$B$21:$B$613)),1)),""))</f>
        <v>1218.95</v>
      </c>
      <c r="C35" s="87" vm="212">
        <f ca="1">IF($A35="","",IFERROR(INDEX(Market_Data!$F$21:$F$613,MATCH($A35,Market_Data!$E$21:INDEX(Market_Data!$E$21:$E$613,COUNT(Market_Data!$E$21:$E$613)),1)),""))</f>
        <v>1756.6</v>
      </c>
      <c r="D35" s="87" vm="213">
        <f ca="1">IF($A35="","",IFERROR(INDEX(Market_Data!$I$21:$I$613,MATCH($A35,Market_Data!$H$21:INDEX(Market_Data!$H$21:$H$613,COUNT(Market_Data!$H$21:$H$613)),1)),""))</f>
        <v>901.13459999999998</v>
      </c>
      <c r="E35" s="87" vm="214">
        <f ca="1">IF($A35="","",IFERROR(INDEX(Market_Data!$L$21:$L$613,MATCH($A35,Market_Data!$K$21:INDEX(Market_Data!$K$21:$K$613,COUNT(Market_Data!$K$21:$K$613)),1)),""))</f>
        <v>3115.95</v>
      </c>
      <c r="F35" s="87" vm="215">
        <f ca="1">IF($A35="","",IFERROR(INDEX(Market_Data!$O$21:$O$613,MATCH($A35,Market_Data!$N$21:INDEX(Market_Data!$N$21:$N$613,COUNT(Market_Data!$N$21:$N$613)),1)),""))</f>
        <v>1463.05</v>
      </c>
      <c r="G35" s="87" vm="216">
        <f ca="1">IF($A35="","",IFERROR(INDEX(Market_Data!$R$21:$R$613,MATCH($A35,Market_Data!$Q$21:INDEX(Market_Data!$Q$21:$Q$613,COUNT(Market_Data!$Q$21:$Q$613)),1)),""))</f>
        <v>11599.05</v>
      </c>
      <c r="H35" s="87" vm="217">
        <f ca="1">IF($A35="","",IFERROR(INDEX(Market_Data!$U$21:$U$613,MATCH($A35,Market_Data!$T$21:INDEX(Market_Data!$T$21:$T$613,COUNT(Market_Data!$T$21:$T$613)),1)),""))</f>
        <v>1390.55</v>
      </c>
      <c r="I35" s="88">
        <f ca="1">IF($A35="","",IFERROR(INDEX(Query1[Close],MATCH($A35,Query1[Date],1)),""))</f>
        <v>23328.55078125</v>
      </c>
    </row>
    <row r="36" spans="1:9" x14ac:dyDescent="0.3">
      <c r="A36" s="86">
        <f t="shared" ca="1" si="0"/>
        <v>45768</v>
      </c>
      <c r="B36" s="87" vm="218">
        <f ca="1">IF($A36="","",IFERROR(INDEX(Market_Data!$C$21:$C$613,MATCH($A36,Market_Data!$B$21:INDEX(Market_Data!$B$21:$B$613,COUNT(Market_Data!$B$21:$B$613)),1)),""))</f>
        <v>1300.4000000000001</v>
      </c>
      <c r="C36" s="87" vm="219">
        <f ca="1">IF($A36="","",IFERROR(INDEX(Market_Data!$F$21:$F$613,MATCH($A36,Market_Data!$E$21:INDEX(Market_Data!$E$21:$E$613,COUNT(Market_Data!$E$21:$E$613)),1)),""))</f>
        <v>1817.2</v>
      </c>
      <c r="D36" s="87" vm="220">
        <f ca="1">IF($A36="","",IFERROR(INDEX(Market_Data!$I$21:$I$613,MATCH($A36,Market_Data!$H$21:INDEX(Market_Data!$H$21:$H$613,COUNT(Market_Data!$H$21:$H$613)),1)),""))</f>
        <v>953.23009999999999</v>
      </c>
      <c r="E36" s="87" vm="221">
        <f ca="1">IF($A36="","",IFERROR(INDEX(Market_Data!$L$21:$L$613,MATCH($A36,Market_Data!$K$21:INDEX(Market_Data!$K$21:$K$613,COUNT(Market_Data!$K$21:$K$613)),1)),""))</f>
        <v>3272.1</v>
      </c>
      <c r="F36" s="87" vm="222">
        <f ca="1">IF($A36="","",IFERROR(INDEX(Market_Data!$O$21:$O$613,MATCH($A36,Market_Data!$N$21:INDEX(Market_Data!$N$21:$N$613,COUNT(Market_Data!$N$21:$N$613)),1)),""))</f>
        <v>1525.9</v>
      </c>
      <c r="G36" s="87" vm="223">
        <f ca="1">IF($A36="","",IFERROR(INDEX(Market_Data!$R$21:$R$613,MATCH($A36,Market_Data!$Q$21:INDEX(Market_Data!$Q$21:$Q$613,COUNT(Market_Data!$Q$21:$Q$613)),1)),""))</f>
        <v>11698</v>
      </c>
      <c r="H36" s="87" vm="224">
        <f ca="1">IF($A36="","",IFERROR(INDEX(Market_Data!$U$21:$U$613,MATCH($A36,Market_Data!$T$21:INDEX(Market_Data!$T$21:$T$613,COUNT(Market_Data!$T$21:$T$613)),1)),""))</f>
        <v>1578.2</v>
      </c>
      <c r="I36" s="88">
        <f ca="1">IF($A36="","",IFERROR(INDEX(Query1[Close],MATCH($A36,Query1[Date],1)),""))</f>
        <v>24125.55078125</v>
      </c>
    </row>
    <row r="37" spans="1:9" x14ac:dyDescent="0.3">
      <c r="A37" s="86">
        <f t="shared" ref="A37:A68" ca="1" si="1">IF($A36="","",IF($A36+7&lt;=TODAY(),$A36+7,""))</f>
        <v>45775</v>
      </c>
      <c r="B37" s="87" vm="225">
        <f ca="1">IF($A37="","",IFERROR(INDEX(Market_Data!$C$21:$C$613,MATCH($A37,Market_Data!$B$21:INDEX(Market_Data!$B$21:$B$613,COUNT(Market_Data!$B$21:$B$613)),1)),""))</f>
        <v>1422.4</v>
      </c>
      <c r="C37" s="87" vm="226">
        <f ca="1">IF($A37="","",IFERROR(INDEX(Market_Data!$F$21:$F$613,MATCH($A37,Market_Data!$E$21:INDEX(Market_Data!$E$21:$E$613,COUNT(Market_Data!$E$21:$E$613)),1)),""))</f>
        <v>1851.9</v>
      </c>
      <c r="D37" s="87" vm="227">
        <f ca="1">IF($A37="","",IFERROR(INDEX(Market_Data!$I$21:$I$613,MATCH($A37,Market_Data!$H$21:INDEX(Market_Data!$H$21:$H$613,COUNT(Market_Data!$H$21:$H$613)),1)),""))</f>
        <v>960.11300000000006</v>
      </c>
      <c r="E37" s="87" vm="228">
        <f ca="1">IF($A37="","",IFERROR(INDEX(Market_Data!$L$21:$L$613,MATCH($A37,Market_Data!$K$21:INDEX(Market_Data!$K$21:$K$613,COUNT(Market_Data!$K$21:$K$613)),1)),""))</f>
        <v>3329.8</v>
      </c>
      <c r="F37" s="87" vm="229">
        <f ca="1">IF($A37="","",IFERROR(INDEX(Market_Data!$O$21:$O$613,MATCH($A37,Market_Data!$N$21:INDEX(Market_Data!$N$21:$N$613,COUNT(Market_Data!$N$21:$N$613)),1)),""))</f>
        <v>1525.6</v>
      </c>
      <c r="G37" s="87" vm="230">
        <f ca="1">IF($A37="","",IFERROR(INDEX(Market_Data!$R$21:$R$613,MATCH($A37,Market_Data!$Q$21:INDEX(Market_Data!$Q$21:$Q$613,COUNT(Market_Data!$Q$21:$Q$613)),1)),""))</f>
        <v>12406</v>
      </c>
      <c r="H37" s="87" vm="231">
        <f ca="1">IF($A37="","",IFERROR(INDEX(Market_Data!$U$21:$U$613,MATCH($A37,Market_Data!$T$21:INDEX(Market_Data!$T$21:$T$613,COUNT(Market_Data!$T$21:$T$613)),1)),""))</f>
        <v>1576.5</v>
      </c>
      <c r="I37" s="88">
        <f ca="1">IF($A37="","",IFERROR(INDEX(Query1[Close],MATCH($A37,Query1[Date],1)),""))</f>
        <v>24328.5</v>
      </c>
    </row>
    <row r="38" spans="1:9" x14ac:dyDescent="0.3">
      <c r="A38" s="86">
        <f t="shared" ca="1" si="1"/>
        <v>45782</v>
      </c>
      <c r="B38" s="87" vm="232">
        <f ca="1">IF($A38="","",IFERROR(INDEX(Market_Data!$C$21:$C$613,MATCH($A38,Market_Data!$B$21:INDEX(Market_Data!$B$21:$B$613,COUNT(Market_Data!$B$21:$B$613)),1)),""))</f>
        <v>1377.2</v>
      </c>
      <c r="C38" s="87" vm="233">
        <f ca="1">IF($A38="","",IFERROR(INDEX(Market_Data!$F$21:$F$613,MATCH($A38,Market_Data!$E$21:INDEX(Market_Data!$E$21:$E$613,COUNT(Market_Data!$E$21:$E$613)),1)),""))</f>
        <v>1848.4</v>
      </c>
      <c r="D38" s="87" vm="234">
        <f ca="1">IF($A38="","",IFERROR(INDEX(Market_Data!$I$21:$I$613,MATCH($A38,Market_Data!$H$21:INDEX(Market_Data!$H$21:$H$613,COUNT(Market_Data!$H$21:$H$613)),1)),""))</f>
        <v>942.5068</v>
      </c>
      <c r="E38" s="87" vm="235">
        <f ca="1">IF($A38="","",IFERROR(INDEX(Market_Data!$L$21:$L$613,MATCH($A38,Market_Data!$K$21:INDEX(Market_Data!$K$21:$K$613,COUNT(Market_Data!$K$21:$K$613)),1)),""))</f>
        <v>3443.9</v>
      </c>
      <c r="F38" s="87" vm="236">
        <f ca="1">IF($A38="","",IFERROR(INDEX(Market_Data!$O$21:$O$613,MATCH($A38,Market_Data!$N$21:INDEX(Market_Data!$N$21:$N$613,COUNT(Market_Data!$N$21:$N$613)),1)),""))</f>
        <v>1480</v>
      </c>
      <c r="G38" s="87" vm="237">
        <f ca="1">IF($A38="","",IFERROR(INDEX(Market_Data!$R$21:$R$613,MATCH($A38,Market_Data!$Q$21:INDEX(Market_Data!$Q$21:$Q$613,COUNT(Market_Data!$Q$21:$Q$613)),1)),""))</f>
        <v>12250</v>
      </c>
      <c r="H38" s="87" vm="238">
        <f ca="1">IF($A38="","",IFERROR(INDEX(Market_Data!$U$21:$U$613,MATCH($A38,Market_Data!$T$21:INDEX(Market_Data!$T$21:$T$613,COUNT(Market_Data!$T$21:$T$613)),1)),""))</f>
        <v>1569.4</v>
      </c>
      <c r="I38" s="88">
        <f ca="1">IF($A38="","",IFERROR(INDEX(Query1[Close],MATCH($A38,Query1[Date],1)),""))</f>
        <v>24461.150390625</v>
      </c>
    </row>
    <row r="39" spans="1:9" x14ac:dyDescent="0.3">
      <c r="A39" s="86">
        <f t="shared" ca="1" si="1"/>
        <v>45789</v>
      </c>
      <c r="B39" s="87" vm="239">
        <f ca="1">IF($A39="","",IFERROR(INDEX(Market_Data!$C$21:$C$613,MATCH($A39,Market_Data!$B$21:INDEX(Market_Data!$B$21:$B$613,COUNT(Market_Data!$B$21:$B$613)),1)),""))</f>
        <v>1456.4</v>
      </c>
      <c r="C39" s="87" vm="240">
        <f ca="1">IF($A39="","",IFERROR(INDEX(Market_Data!$F$21:$F$613,MATCH($A39,Market_Data!$E$21:INDEX(Market_Data!$E$21:$E$613,COUNT(Market_Data!$E$21:$E$613)),1)),""))</f>
        <v>1814</v>
      </c>
      <c r="D39" s="87" vm="241">
        <f ca="1">IF($A39="","",IFERROR(INDEX(Market_Data!$I$21:$I$613,MATCH($A39,Market_Data!$H$21:INDEX(Market_Data!$H$21:$H$613,COUNT(Market_Data!$H$21:$H$613)),1)),""))</f>
        <v>964.95100000000002</v>
      </c>
      <c r="E39" s="87" vm="242">
        <f ca="1">IF($A39="","",IFERROR(INDEX(Market_Data!$L$21:$L$613,MATCH($A39,Market_Data!$K$21:INDEX(Market_Data!$K$21:$K$613,COUNT(Market_Data!$K$21:$K$613)),1)),""))</f>
        <v>3604.7</v>
      </c>
      <c r="F39" s="87" vm="243">
        <f ca="1">IF($A39="","",IFERROR(INDEX(Market_Data!$O$21:$O$613,MATCH($A39,Market_Data!$N$21:INDEX(Market_Data!$N$21:$N$613,COUNT(Market_Data!$N$21:$N$613)),1)),""))</f>
        <v>1499.9</v>
      </c>
      <c r="G39" s="87" vm="244">
        <f ca="1">IF($A39="","",IFERROR(INDEX(Market_Data!$R$21:$R$613,MATCH($A39,Market_Data!$Q$21:INDEX(Market_Data!$Q$21:$Q$613,COUNT(Market_Data!$Q$21:$Q$613)),1)),""))</f>
        <v>12995</v>
      </c>
      <c r="H39" s="87" vm="245">
        <f ca="1">IF($A39="","",IFERROR(INDEX(Market_Data!$U$21:$U$613,MATCH($A39,Market_Data!$T$21:INDEX(Market_Data!$T$21:$T$613,COUNT(Market_Data!$T$21:$T$613)),1)),""))</f>
        <v>1659.9</v>
      </c>
      <c r="I39" s="88">
        <f ca="1">IF($A39="","",IFERROR(INDEX(Query1[Close],MATCH($A39,Query1[Date],1)),""))</f>
        <v>24924.69921875</v>
      </c>
    </row>
    <row r="40" spans="1:9" x14ac:dyDescent="0.3">
      <c r="A40" s="86">
        <f t="shared" ca="1" si="1"/>
        <v>45796</v>
      </c>
      <c r="B40" s="87" vm="246">
        <f ca="1">IF($A40="","",IFERROR(INDEX(Market_Data!$C$21:$C$613,MATCH($A40,Market_Data!$B$21:INDEX(Market_Data!$B$21:$B$613,COUNT(Market_Data!$B$21:$B$613)),1)),""))</f>
        <v>1426.8</v>
      </c>
      <c r="C40" s="87" vm="247">
        <f ca="1">IF($A40="","",IFERROR(INDEX(Market_Data!$F$21:$F$613,MATCH($A40,Market_Data!$E$21:INDEX(Market_Data!$E$21:$E$613,COUNT(Market_Data!$E$21:$E$613)),1)),""))</f>
        <v>1831.7</v>
      </c>
      <c r="D40" s="87" vm="248">
        <f ca="1">IF($A40="","",IFERROR(INDEX(Market_Data!$I$21:$I$613,MATCH($A40,Market_Data!$H$21:INDEX(Market_Data!$H$21:$H$613,COUNT(Market_Data!$H$21:$H$613)),1)),""))</f>
        <v>964.40229999999997</v>
      </c>
      <c r="E40" s="87" vm="249">
        <f ca="1">IF($A40="","",IFERROR(INDEX(Market_Data!$L$21:$L$613,MATCH($A40,Market_Data!$K$21:INDEX(Market_Data!$K$21:$K$613,COUNT(Market_Data!$K$21:$K$613)),1)),""))</f>
        <v>3599.9</v>
      </c>
      <c r="F40" s="87" vm="250">
        <f ca="1">IF($A40="","",IFERROR(INDEX(Market_Data!$O$21:$O$613,MATCH($A40,Market_Data!$N$21:INDEX(Market_Data!$N$21:$N$613,COUNT(Market_Data!$N$21:$N$613)),1)),""))</f>
        <v>1484.2</v>
      </c>
      <c r="G40" s="87" vm="251">
        <f ca="1">IF($A40="","",IFERROR(INDEX(Market_Data!$R$21:$R$613,MATCH($A40,Market_Data!$Q$21:INDEX(Market_Data!$Q$21:$Q$613,COUNT(Market_Data!$Q$21:$Q$613)),1)),""))</f>
        <v>12453</v>
      </c>
      <c r="H40" s="87" vm="252">
        <f ca="1">IF($A40="","",IFERROR(INDEX(Market_Data!$U$21:$U$613,MATCH($A40,Market_Data!$T$21:INDEX(Market_Data!$T$21:$T$613,COUNT(Market_Data!$T$21:$T$613)),1)),""))</f>
        <v>1648.2</v>
      </c>
      <c r="I40" s="88">
        <f ca="1">IF($A40="","",IFERROR(INDEX(Query1[Close],MATCH($A40,Query1[Date],1)),""))</f>
        <v>24945.44921875</v>
      </c>
    </row>
    <row r="41" spans="1:9" x14ac:dyDescent="0.3">
      <c r="A41" s="86">
        <f t="shared" ca="1" si="1"/>
        <v>45803</v>
      </c>
      <c r="B41" s="87" vm="253">
        <f ca="1">IF($A41="","",IFERROR(INDEX(Market_Data!$C$21:$C$613,MATCH($A41,Market_Data!$B$21:INDEX(Market_Data!$B$21:$B$613,COUNT(Market_Data!$B$21:$B$613)),1)),""))</f>
        <v>1420.9</v>
      </c>
      <c r="C41" s="87" vm="254">
        <f ca="1">IF($A41="","",IFERROR(INDEX(Market_Data!$F$21:$F$613,MATCH($A41,Market_Data!$E$21:INDEX(Market_Data!$E$21:$E$613,COUNT(Market_Data!$E$21:$E$613)),1)),""))</f>
        <v>1856.2</v>
      </c>
      <c r="D41" s="87" vm="255">
        <f ca="1">IF($A41="","",IFERROR(INDEX(Market_Data!$I$21:$I$613,MATCH($A41,Market_Data!$H$21:INDEX(Market_Data!$H$21:$H$613,COUNT(Market_Data!$H$21:$H$613)),1)),""))</f>
        <v>970.03830000000005</v>
      </c>
      <c r="E41" s="87" vm="256">
        <f ca="1">IF($A41="","",IFERROR(INDEX(Market_Data!$L$21:$L$613,MATCH($A41,Market_Data!$K$21:INDEX(Market_Data!$K$21:$K$613,COUNT(Market_Data!$K$21:$K$613)),1)),""))</f>
        <v>3675.1</v>
      </c>
      <c r="F41" s="87" vm="257">
        <f ca="1">IF($A41="","",IFERROR(INDEX(Market_Data!$O$21:$O$613,MATCH($A41,Market_Data!$N$21:INDEX(Market_Data!$N$21:$N$613,COUNT(Market_Data!$N$21:$N$613)),1)),""))</f>
        <v>1465.7</v>
      </c>
      <c r="G41" s="87" vm="258">
        <f ca="1">IF($A41="","",IFERROR(INDEX(Market_Data!$R$21:$R$613,MATCH($A41,Market_Data!$Q$21:INDEX(Market_Data!$Q$21:$Q$613,COUNT(Market_Data!$Q$21:$Q$613)),1)),""))</f>
        <v>12319</v>
      </c>
      <c r="H41" s="87" vm="259">
        <f ca="1">IF($A41="","",IFERROR(INDEX(Market_Data!$U$21:$U$613,MATCH($A41,Market_Data!$T$21:INDEX(Market_Data!$T$21:$T$613,COUNT(Market_Data!$T$21:$T$613)),1)),""))</f>
        <v>1636.6</v>
      </c>
      <c r="I41" s="88">
        <f ca="1">IF($A41="","",IFERROR(INDEX(Query1[Close],MATCH($A41,Query1[Date],1)),""))</f>
        <v>25001.150390625</v>
      </c>
    </row>
    <row r="42" spans="1:9" x14ac:dyDescent="0.3">
      <c r="A42" s="86">
        <f t="shared" ca="1" si="1"/>
        <v>45810</v>
      </c>
      <c r="B42" s="87" vm="260">
        <f ca="1">IF($A42="","",IFERROR(INDEX(Market_Data!$C$21:$C$613,MATCH($A42,Market_Data!$B$21:INDEX(Market_Data!$B$21:$B$613,COUNT(Market_Data!$B$21:$B$613)),1)),""))</f>
        <v>1443.5</v>
      </c>
      <c r="C42" s="87" vm="261">
        <f ca="1">IF($A42="","",IFERROR(INDEX(Market_Data!$F$21:$F$613,MATCH($A42,Market_Data!$E$21:INDEX(Market_Data!$E$21:$E$613,COUNT(Market_Data!$E$21:$E$613)),1)),""))</f>
        <v>1870.2</v>
      </c>
      <c r="D42" s="87" vm="262">
        <f ca="1">IF($A42="","",IFERROR(INDEX(Market_Data!$I$21:$I$613,MATCH($A42,Market_Data!$H$21:INDEX(Market_Data!$H$21:$H$613,COUNT(Market_Data!$H$21:$H$613)),1)),""))</f>
        <v>986.89639999999997</v>
      </c>
      <c r="E42" s="87" vm="263">
        <f ca="1">IF($A42="","",IFERROR(INDEX(Market_Data!$L$21:$L$613,MATCH($A42,Market_Data!$K$21:INDEX(Market_Data!$K$21:$K$613,COUNT(Market_Data!$K$21:$K$613)),1)),""))</f>
        <v>3656.3</v>
      </c>
      <c r="F42" s="87" vm="264">
        <f ca="1">IF($A42="","",IFERROR(INDEX(Market_Data!$O$21:$O$613,MATCH($A42,Market_Data!$N$21:INDEX(Market_Data!$N$21:$N$613,COUNT(Market_Data!$N$21:$N$613)),1)),""))</f>
        <v>1504.2</v>
      </c>
      <c r="G42" s="87" vm="265">
        <f ca="1">IF($A42="","",IFERROR(INDEX(Market_Data!$R$21:$R$613,MATCH($A42,Market_Data!$Q$21:INDEX(Market_Data!$Q$21:$Q$613,COUNT(Market_Data!$Q$21:$Q$613)),1)),""))</f>
        <v>12462</v>
      </c>
      <c r="H42" s="87" vm="266">
        <f ca="1">IF($A42="","",IFERROR(INDEX(Market_Data!$U$21:$U$613,MATCH($A42,Market_Data!$T$21:INDEX(Market_Data!$T$21:$T$613,COUNT(Market_Data!$T$21:$T$613)),1)),""))</f>
        <v>1637.7</v>
      </c>
      <c r="I42" s="88">
        <f ca="1">IF($A42="","",IFERROR(INDEX(Query1[Close],MATCH($A42,Query1[Date],1)),""))</f>
        <v>24716.599609375</v>
      </c>
    </row>
    <row r="43" spans="1:9" x14ac:dyDescent="0.3">
      <c r="A43" s="86">
        <f t="shared" ca="1" si="1"/>
        <v>45817</v>
      </c>
      <c r="B43" s="87" vm="267">
        <f ca="1">IF($A43="","",IFERROR(INDEX(Market_Data!$C$21:$C$613,MATCH($A43,Market_Data!$B$21:INDEX(Market_Data!$B$21:$B$613,COUNT(Market_Data!$B$21:$B$613)),1)),""))</f>
        <v>1427.9</v>
      </c>
      <c r="C43" s="87" vm="268">
        <f ca="1">IF($A43="","",IFERROR(INDEX(Market_Data!$F$21:$F$613,MATCH($A43,Market_Data!$E$21:INDEX(Market_Data!$E$21:$E$613,COUNT(Market_Data!$E$21:$E$613)),1)),""))</f>
        <v>1840.4</v>
      </c>
      <c r="D43" s="87" vm="269">
        <f ca="1">IF($A43="","",IFERROR(INDEX(Market_Data!$I$21:$I$613,MATCH($A43,Market_Data!$H$21:INDEX(Market_Data!$H$21:$H$613,COUNT(Market_Data!$H$21:$H$613)),1)),""))</f>
        <v>956.42219999999998</v>
      </c>
      <c r="E43" s="87" vm="270">
        <f ca="1">IF($A43="","",IFERROR(INDEX(Market_Data!$L$21:$L$613,MATCH($A43,Market_Data!$K$21:INDEX(Market_Data!$K$21:$K$613,COUNT(Market_Data!$K$21:$K$613)),1)),""))</f>
        <v>3587.4</v>
      </c>
      <c r="F43" s="87" vm="271">
        <f ca="1">IF($A43="","",IFERROR(INDEX(Market_Data!$O$21:$O$613,MATCH($A43,Market_Data!$N$21:INDEX(Market_Data!$N$21:$N$613,COUNT(Market_Data!$N$21:$N$613)),1)),""))</f>
        <v>1505.2</v>
      </c>
      <c r="G43" s="87" vm="272">
        <f ca="1">IF($A43="","",IFERROR(INDEX(Market_Data!$R$21:$R$613,MATCH($A43,Market_Data!$Q$21:INDEX(Market_Data!$Q$21:$Q$613,COUNT(Market_Data!$Q$21:$Q$613)),1)),""))</f>
        <v>12408</v>
      </c>
      <c r="H43" s="87" vm="273">
        <f ca="1">IF($A43="","",IFERROR(INDEX(Market_Data!$U$21:$U$613,MATCH($A43,Market_Data!$T$21:INDEX(Market_Data!$T$21:$T$613,COUNT(Market_Data!$T$21:$T$613)),1)),""))</f>
        <v>1695.3</v>
      </c>
      <c r="I43" s="88">
        <f ca="1">IF($A43="","",IFERROR(INDEX(Query1[Close],MATCH($A43,Query1[Date],1)),""))</f>
        <v>25103.19921875</v>
      </c>
    </row>
    <row r="44" spans="1:9" x14ac:dyDescent="0.3">
      <c r="A44" s="86">
        <f t="shared" ca="1" si="1"/>
        <v>45824</v>
      </c>
      <c r="B44" s="87" vm="274">
        <f ca="1">IF($A44="","",IFERROR(INDEX(Market_Data!$C$21:$C$613,MATCH($A44,Market_Data!$B$21:INDEX(Market_Data!$B$21:$B$613,COUNT(Market_Data!$B$21:$B$613)),1)),""))</f>
        <v>1466.2</v>
      </c>
      <c r="C44" s="87" vm="275">
        <f ca="1">IF($A44="","",IFERROR(INDEX(Market_Data!$F$21:$F$613,MATCH($A44,Market_Data!$E$21:INDEX(Market_Data!$E$21:$E$613,COUNT(Market_Data!$E$21:$E$613)),1)),""))</f>
        <v>1936.7</v>
      </c>
      <c r="D44" s="87" vm="276">
        <f ca="1">IF($A44="","",IFERROR(INDEX(Market_Data!$I$21:$I$613,MATCH($A44,Market_Data!$H$21:INDEX(Market_Data!$H$21:$H$613,COUNT(Market_Data!$H$21:$H$613)),1)),""))</f>
        <v>979.91380000000004</v>
      </c>
      <c r="E44" s="87" vm="277">
        <f ca="1">IF($A44="","",IFERROR(INDEX(Market_Data!$L$21:$L$613,MATCH($A44,Market_Data!$K$21:INDEX(Market_Data!$K$21:$K$613,COUNT(Market_Data!$K$21:$K$613)),1)),""))</f>
        <v>3662</v>
      </c>
      <c r="F44" s="87" vm="278">
        <f ca="1">IF($A44="","",IFERROR(INDEX(Market_Data!$O$21:$O$613,MATCH($A44,Market_Data!$N$21:INDEX(Market_Data!$N$21:$N$613,COUNT(Market_Data!$N$21:$N$613)),1)),""))</f>
        <v>1499.7</v>
      </c>
      <c r="G44" s="87" vm="279">
        <f ca="1">IF($A44="","",IFERROR(INDEX(Market_Data!$R$21:$R$613,MATCH($A44,Market_Data!$Q$21:INDEX(Market_Data!$Q$21:$Q$613,COUNT(Market_Data!$Q$21:$Q$613)),1)),""))</f>
        <v>12791</v>
      </c>
      <c r="H44" s="87" vm="280">
        <f ca="1">IF($A44="","",IFERROR(INDEX(Market_Data!$U$21:$U$613,MATCH($A44,Market_Data!$T$21:INDEX(Market_Data!$T$21:$T$613,COUNT(Market_Data!$T$21:$T$613)),1)),""))</f>
        <v>1739.9</v>
      </c>
      <c r="I44" s="88">
        <f ca="1">IF($A44="","",IFERROR(INDEX(Query1[Close],MATCH($A44,Query1[Date],1)),""))</f>
        <v>24946.5</v>
      </c>
    </row>
    <row r="45" spans="1:9" x14ac:dyDescent="0.3">
      <c r="A45" s="86">
        <f t="shared" ca="1" si="1"/>
        <v>45831</v>
      </c>
      <c r="B45" s="87" vm="281">
        <f ca="1">IF($A45="","",IFERROR(INDEX(Market_Data!$C$21:$C$613,MATCH($A45,Market_Data!$B$21:INDEX(Market_Data!$B$21:$B$613,COUNT(Market_Data!$B$21:$B$613)),1)),""))</f>
        <v>1515.4</v>
      </c>
      <c r="C45" s="87" vm="282">
        <f ca="1">IF($A45="","",IFERROR(INDEX(Market_Data!$F$21:$F$613,MATCH($A45,Market_Data!$E$21:INDEX(Market_Data!$E$21:$E$613,COUNT(Market_Data!$E$21:$E$613)),1)),""))</f>
        <v>2027.1</v>
      </c>
      <c r="D45" s="87" vm="283">
        <f ca="1">IF($A45="","",IFERROR(INDEX(Market_Data!$I$21:$I$613,MATCH($A45,Market_Data!$H$21:INDEX(Market_Data!$H$21:$H$613,COUNT(Market_Data!$H$21:$H$613)),1)),""))</f>
        <v>1004.9515</v>
      </c>
      <c r="E45" s="87" vm="284">
        <f ca="1">IF($A45="","",IFERROR(INDEX(Market_Data!$L$21:$L$613,MATCH($A45,Market_Data!$K$21:INDEX(Market_Data!$K$21:$K$613,COUNT(Market_Data!$K$21:$K$613)),1)),""))</f>
        <v>3679.2</v>
      </c>
      <c r="F45" s="87" vm="285">
        <f ca="1">IF($A45="","",IFERROR(INDEX(Market_Data!$O$21:$O$613,MATCH($A45,Market_Data!$N$21:INDEX(Market_Data!$N$21:$N$613,COUNT(Market_Data!$N$21:$N$613)),1)),""))</f>
        <v>1502.4</v>
      </c>
      <c r="G45" s="87" vm="286">
        <f ca="1">IF($A45="","",IFERROR(INDEX(Market_Data!$R$21:$R$613,MATCH($A45,Market_Data!$Q$21:INDEX(Market_Data!$Q$21:$Q$613,COUNT(Market_Data!$Q$21:$Q$613)),1)),""))</f>
        <v>12642</v>
      </c>
      <c r="H45" s="87" vm="287">
        <f ca="1">IF($A45="","",IFERROR(INDEX(Market_Data!$U$21:$U$613,MATCH($A45,Market_Data!$T$21:INDEX(Market_Data!$T$21:$T$613,COUNT(Market_Data!$T$21:$T$613)),1)),""))</f>
        <v>1723.3</v>
      </c>
      <c r="I45" s="88">
        <f ca="1">IF($A45="","",IFERROR(INDEX(Query1[Close],MATCH($A45,Query1[Date],1)),""))</f>
        <v>24971.900390625</v>
      </c>
    </row>
    <row r="46" spans="1:9" x14ac:dyDescent="0.3">
      <c r="A46" s="86">
        <f t="shared" ca="1" si="1"/>
        <v>45838</v>
      </c>
      <c r="B46" s="87" vm="288">
        <f ca="1">IF($A46="","",IFERROR(INDEX(Market_Data!$C$21:$C$613,MATCH($A46,Market_Data!$B$21:INDEX(Market_Data!$B$21:$B$613,COUNT(Market_Data!$B$21:$B$613)),1)),""))</f>
        <v>1527.3</v>
      </c>
      <c r="C46" s="87" vm="289">
        <f ca="1">IF($A46="","",IFERROR(INDEX(Market_Data!$F$21:$F$613,MATCH($A46,Market_Data!$E$21:INDEX(Market_Data!$E$21:$E$613,COUNT(Market_Data!$E$21:$E$613)),1)),""))</f>
        <v>2017.2</v>
      </c>
      <c r="D46" s="87" vm="290">
        <f ca="1">IF($A46="","",IFERROR(INDEX(Market_Data!$I$21:$I$613,MATCH($A46,Market_Data!$H$21:INDEX(Market_Data!$H$21:$H$613,COUNT(Market_Data!$H$21:$H$613)),1)),""))</f>
        <v>992.18330000000003</v>
      </c>
      <c r="E46" s="87" vm="291">
        <f ca="1">IF($A46="","",IFERROR(INDEX(Market_Data!$L$21:$L$613,MATCH($A46,Market_Data!$K$21:INDEX(Market_Data!$K$21:$K$613,COUNT(Market_Data!$K$21:$K$613)),1)),""))</f>
        <v>3594.6</v>
      </c>
      <c r="F46" s="87" vm="292">
        <f ca="1">IF($A46="","",IFERROR(INDEX(Market_Data!$O$21:$O$613,MATCH($A46,Market_Data!$N$21:INDEX(Market_Data!$N$21:$N$613,COUNT(Market_Data!$N$21:$N$613)),1)),""))</f>
        <v>1513.3</v>
      </c>
      <c r="G46" s="87" vm="293">
        <f ca="1">IF($A46="","",IFERROR(INDEX(Market_Data!$R$21:$R$613,MATCH($A46,Market_Data!$Q$21:INDEX(Market_Data!$Q$21:$Q$613,COUNT(Market_Data!$Q$21:$Q$613)),1)),""))</f>
        <v>12646</v>
      </c>
      <c r="H46" s="87" vm="294">
        <f ca="1">IF($A46="","",IFERROR(INDEX(Market_Data!$U$21:$U$613,MATCH($A46,Market_Data!$T$21:INDEX(Market_Data!$T$21:$T$613,COUNT(Market_Data!$T$21:$T$613)),1)),""))</f>
        <v>1725.9</v>
      </c>
      <c r="I46" s="88">
        <f ca="1">IF($A46="","",IFERROR(INDEX(Query1[Close],MATCH($A46,Query1[Date],1)),""))</f>
        <v>25517.05078125</v>
      </c>
    </row>
    <row r="47" spans="1:9" x14ac:dyDescent="0.3">
      <c r="A47" s="86">
        <f t="shared" ca="1" si="1"/>
        <v>45845</v>
      </c>
      <c r="B47" s="87" vm="295">
        <f ca="1">IF($A47="","",IFERROR(INDEX(Market_Data!$C$21:$C$613,MATCH($A47,Market_Data!$B$21:INDEX(Market_Data!$B$21:$B$613,COUNT(Market_Data!$B$21:$B$613)),1)),""))</f>
        <v>1495.2</v>
      </c>
      <c r="C47" s="87" vm="296">
        <f ca="1">IF($A47="","",IFERROR(INDEX(Market_Data!$F$21:$F$613,MATCH($A47,Market_Data!$E$21:INDEX(Market_Data!$E$21:$E$613,COUNT(Market_Data!$E$21:$E$613)),1)),""))</f>
        <v>1921.9</v>
      </c>
      <c r="D47" s="87" vm="297">
        <f ca="1">IF($A47="","",IFERROR(INDEX(Market_Data!$I$21:$I$613,MATCH($A47,Market_Data!$H$21:INDEX(Market_Data!$H$21:$H$613,COUNT(Market_Data!$H$21:$H$613)),1)),""))</f>
        <v>989.39020000000005</v>
      </c>
      <c r="E47" s="87" vm="298">
        <f ca="1">IF($A47="","",IFERROR(INDEX(Market_Data!$L$21:$L$613,MATCH($A47,Market_Data!$K$21:INDEX(Market_Data!$K$21:$K$613,COUNT(Market_Data!$K$21:$K$613)),1)),""))</f>
        <v>3540.6</v>
      </c>
      <c r="F47" s="87" vm="299">
        <f ca="1">IF($A47="","",IFERROR(INDEX(Market_Data!$O$21:$O$613,MATCH($A47,Market_Data!$N$21:INDEX(Market_Data!$N$21:$N$613,COUNT(Market_Data!$N$21:$N$613)),1)),""))</f>
        <v>1485</v>
      </c>
      <c r="G47" s="87" vm="300">
        <f ca="1">IF($A47="","",IFERROR(INDEX(Market_Data!$R$21:$R$613,MATCH($A47,Market_Data!$Q$21:INDEX(Market_Data!$Q$21:$Q$613,COUNT(Market_Data!$Q$21:$Q$613)),1)),""))</f>
        <v>12574</v>
      </c>
      <c r="H47" s="87" vm="301">
        <f ca="1">IF($A47="","",IFERROR(INDEX(Market_Data!$U$21:$U$613,MATCH($A47,Market_Data!$T$21:INDEX(Market_Data!$T$21:$T$613,COUNT(Market_Data!$T$21:$T$613)),1)),""))</f>
        <v>1638.3</v>
      </c>
      <c r="I47" s="88">
        <f ca="1">IF($A47="","",IFERROR(INDEX(Query1[Close],MATCH($A47,Query1[Date],1)),""))</f>
        <v>25461.30078125</v>
      </c>
    </row>
    <row r="48" spans="1:9" x14ac:dyDescent="0.3">
      <c r="A48" s="86">
        <f t="shared" ca="1" si="1"/>
        <v>45852</v>
      </c>
      <c r="B48" s="87" vm="302">
        <f ca="1">IF($A48="","",IFERROR(INDEX(Market_Data!$C$21:$C$613,MATCH($A48,Market_Data!$B$21:INDEX(Market_Data!$B$21:$B$613,COUNT(Market_Data!$B$21:$B$613)),1)),""))</f>
        <v>1476</v>
      </c>
      <c r="C48" s="87" vm="303">
        <f ca="1">IF($A48="","",IFERROR(INDEX(Market_Data!$F$21:$F$613,MATCH($A48,Market_Data!$E$21:INDEX(Market_Data!$E$21:$E$613,COUNT(Market_Data!$E$21:$E$613)),1)),""))</f>
        <v>1901</v>
      </c>
      <c r="D48" s="87" vm="304">
        <f ca="1">IF($A48="","",IFERROR(INDEX(Market_Data!$I$21:$I$613,MATCH($A48,Market_Data!$H$21:INDEX(Market_Data!$H$21:$H$613,COUNT(Market_Data!$H$21:$H$613)),1)),""))</f>
        <v>976.27279999999996</v>
      </c>
      <c r="E48" s="87" vm="305">
        <f ca="1">IF($A48="","",IFERROR(INDEX(Market_Data!$L$21:$L$613,MATCH($A48,Market_Data!$K$21:INDEX(Market_Data!$K$21:$K$613,COUNT(Market_Data!$K$21:$K$613)),1)),""))</f>
        <v>3464.8</v>
      </c>
      <c r="F48" s="87" vm="306">
        <f ca="1">IF($A48="","",IFERROR(INDEX(Market_Data!$O$21:$O$613,MATCH($A48,Market_Data!$N$21:INDEX(Market_Data!$N$21:$N$613,COUNT(Market_Data!$N$21:$N$613)),1)),""))</f>
        <v>1482.3</v>
      </c>
      <c r="G48" s="87" vm="307">
        <f ca="1">IF($A48="","",IFERROR(INDEX(Market_Data!$R$21:$R$613,MATCH($A48,Market_Data!$Q$21:INDEX(Market_Data!$Q$21:$Q$613,COUNT(Market_Data!$Q$21:$Q$613)),1)),""))</f>
        <v>12419</v>
      </c>
      <c r="H48" s="87" vm="308">
        <f ca="1">IF($A48="","",IFERROR(INDEX(Market_Data!$U$21:$U$613,MATCH($A48,Market_Data!$T$21:INDEX(Market_Data!$T$21:$T$613,COUNT(Market_Data!$T$21:$T$613)),1)),""))</f>
        <v>1548.8</v>
      </c>
      <c r="I48" s="88">
        <f ca="1">IF($A48="","",IFERROR(INDEX(Query1[Close],MATCH($A48,Query1[Date],1)),""))</f>
        <v>25082.30078125</v>
      </c>
    </row>
    <row r="49" spans="1:9" x14ac:dyDescent="0.3">
      <c r="A49" s="86">
        <f t="shared" ca="1" si="1"/>
        <v>45859</v>
      </c>
      <c r="B49" s="87" vm="309">
        <f ca="1">IF($A49="","",IFERROR(INDEX(Market_Data!$C$21:$C$613,MATCH($A49,Market_Data!$B$21:INDEX(Market_Data!$B$21:$B$613,COUNT(Market_Data!$B$21:$B$613)),1)),""))</f>
        <v>1391.7</v>
      </c>
      <c r="C49" s="87" vm="310">
        <f ca="1">IF($A49="","",IFERROR(INDEX(Market_Data!$F$21:$F$613,MATCH($A49,Market_Data!$E$21:INDEX(Market_Data!$E$21:$E$613,COUNT(Market_Data!$E$21:$E$613)),1)),""))</f>
        <v>1937.9</v>
      </c>
      <c r="D49" s="87" vm="311">
        <f ca="1">IF($A49="","",IFERROR(INDEX(Market_Data!$I$21:$I$613,MATCH($A49,Market_Data!$H$21:INDEX(Market_Data!$H$21:$H$613,COUNT(Market_Data!$H$21:$H$613)),1)),""))</f>
        <v>1002.3</v>
      </c>
      <c r="E49" s="87" vm="312">
        <f ca="1">IF($A49="","",IFERROR(INDEX(Market_Data!$L$21:$L$613,MATCH($A49,Market_Data!$K$21:INDEX(Market_Data!$K$21:$K$613,COUNT(Market_Data!$K$21:$K$613)),1)),""))</f>
        <v>3442.9</v>
      </c>
      <c r="F49" s="87" vm="313">
        <f ca="1">IF($A49="","",IFERROR(INDEX(Market_Data!$O$21:$O$613,MATCH($A49,Market_Data!$N$21:INDEX(Market_Data!$N$21:$N$613,COUNT(Market_Data!$N$21:$N$613)),1)),""))</f>
        <v>1532.5</v>
      </c>
      <c r="G49" s="87" vm="314">
        <f ca="1">IF($A49="","",IFERROR(INDEX(Market_Data!$R$21:$R$613,MATCH($A49,Market_Data!$Q$21:INDEX(Market_Data!$Q$21:$Q$613,COUNT(Market_Data!$Q$21:$Q$613)),1)),""))</f>
        <v>12404</v>
      </c>
      <c r="H49" s="87" vm="315">
        <f ca="1">IF($A49="","",IFERROR(INDEX(Market_Data!$U$21:$U$613,MATCH($A49,Market_Data!$T$21:INDEX(Market_Data!$T$21:$T$613,COUNT(Market_Data!$T$21:$T$613)),1)),""))</f>
        <v>1490.1</v>
      </c>
      <c r="I49" s="88">
        <f ca="1">IF($A49="","",IFERROR(INDEX(Query1[Close],MATCH($A49,Query1[Date],1)),""))</f>
        <v>25090.69921875</v>
      </c>
    </row>
    <row r="50" spans="1:9" x14ac:dyDescent="0.3">
      <c r="A50" s="86">
        <f t="shared" ca="1" si="1"/>
        <v>45866</v>
      </c>
      <c r="B50" s="87" vm="316">
        <f ca="1">IF($A50="","",IFERROR(INDEX(Market_Data!$C$21:$C$613,MATCH($A50,Market_Data!$B$21:INDEX(Market_Data!$B$21:$B$613,COUNT(Market_Data!$B$21:$B$613)),1)),""))</f>
        <v>1393.7</v>
      </c>
      <c r="C50" s="87" vm="317">
        <f ca="1">IF($A50="","",IFERROR(INDEX(Market_Data!$F$21:$F$613,MATCH($A50,Market_Data!$E$21:INDEX(Market_Data!$E$21:$E$613,COUNT(Market_Data!$E$21:$E$613)),1)),""))</f>
        <v>1884.4</v>
      </c>
      <c r="D50" s="87" vm="318">
        <f ca="1">IF($A50="","",IFERROR(INDEX(Market_Data!$I$21:$I$613,MATCH($A50,Market_Data!$H$21:INDEX(Market_Data!$H$21:$H$613,COUNT(Market_Data!$H$21:$H$613)),1)),""))</f>
        <v>1006.1</v>
      </c>
      <c r="E50" s="87" vm="319">
        <f ca="1">IF($A50="","",IFERROR(INDEX(Market_Data!$L$21:$L$613,MATCH($A50,Market_Data!$K$21:INDEX(Market_Data!$K$21:$K$613,COUNT(Market_Data!$K$21:$K$613)),1)),""))</f>
        <v>3587.3</v>
      </c>
      <c r="F50" s="87" vm="320">
        <f ca="1">IF($A50="","",IFERROR(INDEX(Market_Data!$O$21:$O$613,MATCH($A50,Market_Data!$N$21:INDEX(Market_Data!$N$21:$N$613,COUNT(Market_Data!$N$21:$N$613)),1)),""))</f>
        <v>1502.8</v>
      </c>
      <c r="G50" s="87" vm="321">
        <f ca="1">IF($A50="","",IFERROR(INDEX(Market_Data!$R$21:$R$613,MATCH($A50,Market_Data!$Q$21:INDEX(Market_Data!$Q$21:$Q$613,COUNT(Market_Data!$Q$21:$Q$613)),1)),""))</f>
        <v>12302</v>
      </c>
      <c r="H50" s="87" vm="322">
        <f ca="1">IF($A50="","",IFERROR(INDEX(Market_Data!$U$21:$U$613,MATCH($A50,Market_Data!$T$21:INDEX(Market_Data!$T$21:$T$613,COUNT(Market_Data!$T$21:$T$613)),1)),""))</f>
        <v>1452.1</v>
      </c>
      <c r="I50" s="88">
        <f ca="1">IF($A50="","",IFERROR(INDEX(Query1[Close],MATCH($A50,Query1[Date],1)),""))</f>
        <v>24680.900390625</v>
      </c>
    </row>
    <row r="51" spans="1:9" x14ac:dyDescent="0.3">
      <c r="A51" s="86">
        <f t="shared" ca="1" si="1"/>
        <v>45873</v>
      </c>
      <c r="B51" s="87" vm="323">
        <f ca="1">IF($A51="","",IFERROR(INDEX(Market_Data!$C$21:$C$613,MATCH($A51,Market_Data!$B$21:INDEX(Market_Data!$B$21:$B$613,COUNT(Market_Data!$B$21:$B$613)),1)),""))</f>
        <v>1367.8</v>
      </c>
      <c r="C51" s="87" vm="324">
        <f ca="1">IF($A51="","",IFERROR(INDEX(Market_Data!$F$21:$F$613,MATCH($A51,Market_Data!$E$21:INDEX(Market_Data!$E$21:$E$613,COUNT(Market_Data!$E$21:$E$613)),1)),""))</f>
        <v>1858.6</v>
      </c>
      <c r="D51" s="87" vm="325">
        <f ca="1">IF($A51="","",IFERROR(INDEX(Market_Data!$I$21:$I$613,MATCH($A51,Market_Data!$H$21:INDEX(Market_Data!$H$21:$H$613,COUNT(Market_Data!$H$21:$H$613)),1)),""))</f>
        <v>986.95</v>
      </c>
      <c r="E51" s="87" vm="326">
        <f ca="1">IF($A51="","",IFERROR(INDEX(Market_Data!$L$21:$L$613,MATCH($A51,Market_Data!$K$21:INDEX(Market_Data!$K$21:$K$613,COUNT(Market_Data!$K$21:$K$613)),1)),""))</f>
        <v>3607.6</v>
      </c>
      <c r="F51" s="87" vm="327">
        <f ca="1">IF($A51="","",IFERROR(INDEX(Market_Data!$O$21:$O$613,MATCH($A51,Market_Data!$N$21:INDEX(Market_Data!$N$21:$N$613,COUNT(Market_Data!$N$21:$N$613)),1)),""))</f>
        <v>1485.8</v>
      </c>
      <c r="G51" s="87" vm="328">
        <f ca="1">IF($A51="","",IFERROR(INDEX(Market_Data!$R$21:$R$613,MATCH($A51,Market_Data!$Q$21:INDEX(Market_Data!$Q$21:$Q$613,COUNT(Market_Data!$Q$21:$Q$613)),1)),""))</f>
        <v>12590</v>
      </c>
      <c r="H51" s="87" vm="329">
        <f ca="1">IF($A51="","",IFERROR(INDEX(Market_Data!$U$21:$U$613,MATCH($A51,Market_Data!$T$21:INDEX(Market_Data!$T$21:$T$613,COUNT(Market_Data!$T$21:$T$613)),1)),""))</f>
        <v>1475.7</v>
      </c>
      <c r="I51" s="88">
        <f ca="1">IF($A51="","",IFERROR(INDEX(Query1[Close],MATCH($A51,Query1[Date],1)),""))</f>
        <v>24722.75</v>
      </c>
    </row>
    <row r="52" spans="1:9" x14ac:dyDescent="0.3">
      <c r="A52" s="86">
        <f t="shared" ca="1" si="1"/>
        <v>45880</v>
      </c>
      <c r="B52" s="87" vm="330">
        <f ca="1">IF($A52="","",IFERROR(INDEX(Market_Data!$C$21:$C$613,MATCH($A52,Market_Data!$B$21:INDEX(Market_Data!$B$21:$B$613,COUNT(Market_Data!$B$21:$B$613)),1)),""))</f>
        <v>1373.8</v>
      </c>
      <c r="C52" s="87" vm="331">
        <f ca="1">IF($A52="","",IFERROR(INDEX(Market_Data!$F$21:$F$613,MATCH($A52,Market_Data!$E$21:INDEX(Market_Data!$E$21:$E$613,COUNT(Market_Data!$E$21:$E$613)),1)),""))</f>
        <v>1873.8</v>
      </c>
      <c r="D52" s="87" vm="332">
        <f ca="1">IF($A52="","",IFERROR(INDEX(Market_Data!$I$21:$I$613,MATCH($A52,Market_Data!$H$21:INDEX(Market_Data!$H$21:$H$613,COUNT(Market_Data!$H$21:$H$613)),1)),""))</f>
        <v>995.55</v>
      </c>
      <c r="E52" s="87" vm="333">
        <f ca="1">IF($A52="","",IFERROR(INDEX(Market_Data!$L$21:$L$613,MATCH($A52,Market_Data!$K$21:INDEX(Market_Data!$K$21:$K$613,COUNT(Market_Data!$K$21:$K$613)),1)),""))</f>
        <v>3677</v>
      </c>
      <c r="F52" s="87" vm="334">
        <f ca="1">IF($A52="","",IFERROR(INDEX(Market_Data!$O$21:$O$613,MATCH($A52,Market_Data!$N$21:INDEX(Market_Data!$N$21:$N$613,COUNT(Market_Data!$N$21:$N$613)),1)),""))</f>
        <v>1564</v>
      </c>
      <c r="G52" s="87" vm="335">
        <f ca="1">IF($A52="","",IFERROR(INDEX(Market_Data!$R$21:$R$613,MATCH($A52,Market_Data!$Q$21:INDEX(Market_Data!$Q$21:$Q$613,COUNT(Market_Data!$Q$21:$Q$613)),1)),""))</f>
        <v>12936</v>
      </c>
      <c r="H52" s="87" vm="336">
        <f ca="1">IF($A52="","",IFERROR(INDEX(Market_Data!$U$21:$U$613,MATCH($A52,Market_Data!$T$21:INDEX(Market_Data!$T$21:$T$613,COUNT(Market_Data!$T$21:$T$613)),1)),""))</f>
        <v>1489.8</v>
      </c>
      <c r="I52" s="88">
        <f ca="1">IF($A52="","",IFERROR(INDEX(Query1[Close],MATCH($A52,Query1[Date],1)),""))</f>
        <v>24585.05078125</v>
      </c>
    </row>
    <row r="53" spans="1:9" x14ac:dyDescent="0.3">
      <c r="A53" s="86">
        <f t="shared" ca="1" si="1"/>
        <v>45887</v>
      </c>
      <c r="B53" s="87" vm="337">
        <f ca="1">IF($A53="","",IFERROR(INDEX(Market_Data!$C$21:$C$613,MATCH($A53,Market_Data!$B$21:INDEX(Market_Data!$B$21:$B$613,COUNT(Market_Data!$B$21:$B$613)),1)),""))</f>
        <v>1409.2</v>
      </c>
      <c r="C53" s="87" vm="338">
        <f ca="1">IF($A53="","",IFERROR(INDEX(Market_Data!$F$21:$F$613,MATCH($A53,Market_Data!$E$21:INDEX(Market_Data!$E$21:$E$613,COUNT(Market_Data!$E$21:$E$613)),1)),""))</f>
        <v>1933.3</v>
      </c>
      <c r="D53" s="87" vm="339">
        <f ca="1">IF($A53="","",IFERROR(INDEX(Market_Data!$I$21:$I$613,MATCH($A53,Market_Data!$H$21:INDEX(Market_Data!$H$21:$H$613,COUNT(Market_Data!$H$21:$H$613)),1)),""))</f>
        <v>982.3</v>
      </c>
      <c r="E53" s="87" vm="340">
        <f ca="1">IF($A53="","",IFERROR(INDEX(Market_Data!$L$21:$L$613,MATCH($A53,Market_Data!$K$21:INDEX(Market_Data!$K$21:$K$613,COUNT(Market_Data!$K$21:$K$613)),1)),""))</f>
        <v>3595.8</v>
      </c>
      <c r="F53" s="87" vm="341">
        <f ca="1">IF($A53="","",IFERROR(INDEX(Market_Data!$O$21:$O$613,MATCH($A53,Market_Data!$N$21:INDEX(Market_Data!$N$21:$N$613,COUNT(Market_Data!$N$21:$N$613)),1)),""))</f>
        <v>1592.8</v>
      </c>
      <c r="G53" s="87" vm="342">
        <f ca="1">IF($A53="","",IFERROR(INDEX(Market_Data!$R$21:$R$613,MATCH($A53,Market_Data!$Q$21:INDEX(Market_Data!$Q$21:$Q$613,COUNT(Market_Data!$Q$21:$Q$613)),1)),""))</f>
        <v>14349</v>
      </c>
      <c r="H53" s="87" vm="343">
        <f ca="1">IF($A53="","",IFERROR(INDEX(Market_Data!$U$21:$U$613,MATCH($A53,Market_Data!$T$21:INDEX(Market_Data!$T$21:$T$613,COUNT(Market_Data!$T$21:$T$613)),1)),""))</f>
        <v>1466.3</v>
      </c>
      <c r="I53" s="88">
        <f ca="1">IF($A53="","",IFERROR(INDEX(Query1[Close],MATCH($A53,Query1[Date],1)),""))</f>
        <v>24876.94921875</v>
      </c>
    </row>
    <row r="54" spans="1:9" x14ac:dyDescent="0.3">
      <c r="A54" s="86">
        <f t="shared" ca="1" si="1"/>
        <v>45894</v>
      </c>
      <c r="B54" s="87" vm="344">
        <f ca="1">IF($A54="","",IFERROR(INDEX(Market_Data!$C$21:$C$613,MATCH($A54,Market_Data!$B$21:INDEX(Market_Data!$B$21:$B$613,COUNT(Market_Data!$B$21:$B$613)),1)),""))</f>
        <v>1357.2</v>
      </c>
      <c r="C54" s="87" vm="345">
        <f ca="1">IF($A54="","",IFERROR(INDEX(Market_Data!$F$21:$F$613,MATCH($A54,Market_Data!$E$21:INDEX(Market_Data!$E$21:$E$613,COUNT(Market_Data!$E$21:$E$613)),1)),""))</f>
        <v>1888.8</v>
      </c>
      <c r="D54" s="87" vm="346">
        <f ca="1">IF($A54="","",IFERROR(INDEX(Market_Data!$I$21:$I$613,MATCH($A54,Market_Data!$H$21:INDEX(Market_Data!$H$21:$H$613,COUNT(Market_Data!$H$21:$H$613)),1)),""))</f>
        <v>951.6</v>
      </c>
      <c r="E54" s="87" vm="347">
        <f ca="1">IF($A54="","",IFERROR(INDEX(Market_Data!$L$21:$L$613,MATCH($A54,Market_Data!$K$21:INDEX(Market_Data!$K$21:$K$613,COUNT(Market_Data!$K$21:$K$613)),1)),""))</f>
        <v>3601</v>
      </c>
      <c r="F54" s="87" vm="348">
        <f ca="1">IF($A54="","",IFERROR(INDEX(Market_Data!$O$21:$O$613,MATCH($A54,Market_Data!$N$21:INDEX(Market_Data!$N$21:$N$613,COUNT(Market_Data!$N$21:$N$613)),1)),""))</f>
        <v>1589.4</v>
      </c>
      <c r="G54" s="87" vm="349">
        <f ca="1">IF($A54="","",IFERROR(INDEX(Market_Data!$R$21:$R$613,MATCH($A54,Market_Data!$Q$21:INDEX(Market_Data!$Q$21:$Q$613,COUNT(Market_Data!$Q$21:$Q$613)),1)),""))</f>
        <v>14791</v>
      </c>
      <c r="H54" s="87" vm="350">
        <f ca="1">IF($A54="","",IFERROR(INDEX(Market_Data!$U$21:$U$613,MATCH($A54,Market_Data!$T$21:INDEX(Market_Data!$T$21:$T$613,COUNT(Market_Data!$T$21:$T$613)),1)),""))</f>
        <v>1454.8</v>
      </c>
      <c r="I54" s="88">
        <f ca="1">IF($A54="","",IFERROR(INDEX(Query1[Close],MATCH($A54,Query1[Date],1)),""))</f>
        <v>24967.75</v>
      </c>
    </row>
    <row r="55" spans="1:9" x14ac:dyDescent="0.3">
      <c r="A55" s="86">
        <f t="shared" ca="1" si="1"/>
        <v>45901</v>
      </c>
      <c r="B55" s="87" vm="351">
        <f ca="1">IF($A55="","",IFERROR(INDEX(Market_Data!$C$21:$C$613,MATCH($A55,Market_Data!$B$21:INDEX(Market_Data!$B$21:$B$613,COUNT(Market_Data!$B$21:$B$613)),1)),""))</f>
        <v>1375</v>
      </c>
      <c r="C55" s="87" vm="352">
        <f ca="1">IF($A55="","",IFERROR(INDEX(Market_Data!$F$21:$F$613,MATCH($A55,Market_Data!$E$21:INDEX(Market_Data!$E$21:$E$613,COUNT(Market_Data!$E$21:$E$613)),1)),""))</f>
        <v>1895.3</v>
      </c>
      <c r="D55" s="87" vm="353">
        <f ca="1">IF($A55="","",IFERROR(INDEX(Market_Data!$I$21:$I$613,MATCH($A55,Market_Data!$H$21:INDEX(Market_Data!$H$21:$H$613,COUNT(Market_Data!$H$21:$H$613)),1)),""))</f>
        <v>963.4</v>
      </c>
      <c r="E55" s="87" vm="354">
        <f ca="1">IF($A55="","",IFERROR(INDEX(Market_Data!$L$21:$L$613,MATCH($A55,Market_Data!$K$21:INDEX(Market_Data!$K$21:$K$613,COUNT(Market_Data!$K$21:$K$613)),1)),""))</f>
        <v>3553.6</v>
      </c>
      <c r="F55" s="87" vm="355">
        <f ca="1">IF($A55="","",IFERROR(INDEX(Market_Data!$O$21:$O$613,MATCH($A55,Market_Data!$N$21:INDEX(Market_Data!$N$21:$N$613,COUNT(Market_Data!$N$21:$N$613)),1)),""))</f>
        <v>1553.4</v>
      </c>
      <c r="G55" s="87" vm="356">
        <f ca="1">IF($A55="","",IFERROR(INDEX(Market_Data!$R$21:$R$613,MATCH($A55,Market_Data!$Q$21:INDEX(Market_Data!$Q$21:$Q$613,COUNT(Market_Data!$Q$21:$Q$613)),1)),""))</f>
        <v>14895</v>
      </c>
      <c r="H55" s="87" vm="357">
        <f ca="1">IF($A55="","",IFERROR(INDEX(Market_Data!$U$21:$U$613,MATCH($A55,Market_Data!$T$21:INDEX(Market_Data!$T$21:$T$613,COUNT(Market_Data!$T$21:$T$613)),1)),""))</f>
        <v>1419</v>
      </c>
      <c r="I55" s="88">
        <f ca="1">IF($A55="","",IFERROR(INDEX(Query1[Close],MATCH($A55,Query1[Date],1)),""))</f>
        <v>24625.05078125</v>
      </c>
    </row>
    <row r="56" spans="1:9" x14ac:dyDescent="0.3">
      <c r="A56" s="86">
        <f t="shared" ca="1" si="1"/>
        <v>45908</v>
      </c>
      <c r="B56" s="87" vm="5">
        <f ca="1">IF($A56="","",IFERROR(INDEX(Market_Data!$C$21:$C$613,MATCH($A56,Market_Data!$B$21:INDEX(Market_Data!$B$21:$B$613,COUNT(Market_Data!$B$21:$B$613)),1)),""))</f>
        <v>1395</v>
      </c>
      <c r="C56" s="87" vm="358">
        <f ca="1">IF($A56="","",IFERROR(INDEX(Market_Data!$F$21:$F$613,MATCH($A56,Market_Data!$E$21:INDEX(Market_Data!$E$21:$E$613,COUNT(Market_Data!$E$21:$E$613)),1)),""))</f>
        <v>1902.6</v>
      </c>
      <c r="D56" s="87" vm="359">
        <f ca="1">IF($A56="","",IFERROR(INDEX(Market_Data!$I$21:$I$613,MATCH($A56,Market_Data!$H$21:INDEX(Market_Data!$H$21:$H$613,COUNT(Market_Data!$H$21:$H$613)),1)),""))</f>
        <v>967.3</v>
      </c>
      <c r="E56" s="87" vm="360">
        <f ca="1">IF($A56="","",IFERROR(INDEX(Market_Data!$L$21:$L$613,MATCH($A56,Market_Data!$K$21:INDEX(Market_Data!$K$21:$K$613,COUNT(Market_Data!$K$21:$K$613)),1)),""))</f>
        <v>3579.8</v>
      </c>
      <c r="F56" s="87" vm="361">
        <f ca="1">IF($A56="","",IFERROR(INDEX(Market_Data!$O$21:$O$613,MATCH($A56,Market_Data!$N$21:INDEX(Market_Data!$N$21:$N$613,COUNT(Market_Data!$N$21:$N$613)),1)),""))</f>
        <v>1574.6</v>
      </c>
      <c r="G56" s="87" vm="362">
        <f ca="1">IF($A56="","",IFERROR(INDEX(Market_Data!$R$21:$R$613,MATCH($A56,Market_Data!$Q$21:INDEX(Market_Data!$Q$21:$Q$613,COUNT(Market_Data!$Q$21:$Q$613)),1)),""))</f>
        <v>15325</v>
      </c>
      <c r="H56" s="87" vm="363">
        <f ca="1">IF($A56="","",IFERROR(INDEX(Market_Data!$U$21:$U$613,MATCH($A56,Market_Data!$T$21:INDEX(Market_Data!$T$21:$T$613,COUNT(Market_Data!$T$21:$T$613)),1)),""))</f>
        <v>1467.2</v>
      </c>
      <c r="I56" s="88">
        <f ca="1">IF($A56="","",IFERROR(INDEX(Query1[Close],MATCH($A56,Query1[Date],1)),""))</f>
        <v>24773.150390625</v>
      </c>
    </row>
    <row r="57" spans="1:9" x14ac:dyDescent="0.3">
      <c r="A57" s="86">
        <f t="shared" ca="1" si="1"/>
        <v>45915</v>
      </c>
      <c r="B57" s="87" vm="364">
        <f ca="1">IF($A57="","",IFERROR(INDEX(Market_Data!$C$21:$C$613,MATCH($A57,Market_Data!$B$21:INDEX(Market_Data!$B$21:$B$613,COUNT(Market_Data!$B$21:$B$613)),1)),""))</f>
        <v>1407.4</v>
      </c>
      <c r="C57" s="87" vm="365">
        <f ca="1">IF($A57="","",IFERROR(INDEX(Market_Data!$F$21:$F$613,MATCH($A57,Market_Data!$E$21:INDEX(Market_Data!$E$21:$E$613,COUNT(Market_Data!$E$21:$E$613)),1)),""))</f>
        <v>1962.4</v>
      </c>
      <c r="D57" s="87" vm="366">
        <f ca="1">IF($A57="","",IFERROR(INDEX(Market_Data!$I$21:$I$613,MATCH($A57,Market_Data!$H$21:INDEX(Market_Data!$H$21:$H$613,COUNT(Market_Data!$H$21:$H$613)),1)),""))</f>
        <v>966.9</v>
      </c>
      <c r="E57" s="87" vm="367">
        <f ca="1">IF($A57="","",IFERROR(INDEX(Market_Data!$L$21:$L$613,MATCH($A57,Market_Data!$K$21:INDEX(Market_Data!$K$21:$K$613,COUNT(Market_Data!$K$21:$K$613)),1)),""))</f>
        <v>3675.4</v>
      </c>
      <c r="F57" s="87" vm="368">
        <f ca="1">IF($A57="","",IFERROR(INDEX(Market_Data!$O$21:$O$613,MATCH($A57,Market_Data!$N$21:INDEX(Market_Data!$N$21:$N$613,COUNT(Market_Data!$N$21:$N$613)),1)),""))</f>
        <v>1575.8</v>
      </c>
      <c r="G57" s="87" vm="369">
        <f ca="1">IF($A57="","",IFERROR(INDEX(Market_Data!$R$21:$R$613,MATCH($A57,Market_Data!$Q$21:INDEX(Market_Data!$Q$21:$Q$613,COUNT(Market_Data!$Q$21:$Q$613)),1)),""))</f>
        <v>15864</v>
      </c>
      <c r="H57" s="87" vm="370">
        <f ca="1">IF($A57="","",IFERROR(INDEX(Market_Data!$U$21:$U$613,MATCH($A57,Market_Data!$T$21:INDEX(Market_Data!$T$21:$T$613,COUNT(Market_Data!$T$21:$T$613)),1)),""))</f>
        <v>1467.4</v>
      </c>
      <c r="I57" s="88">
        <f ca="1">IF($A57="","",IFERROR(INDEX(Query1[Close],MATCH($A57,Query1[Date],1)),""))</f>
        <v>25069.19921875</v>
      </c>
    </row>
    <row r="58" spans="1:9" x14ac:dyDescent="0.3">
      <c r="A58" s="86">
        <f t="shared" ca="1" si="1"/>
        <v>45922</v>
      </c>
      <c r="B58" s="87" vm="371">
        <f ca="1">IF($A58="","",IFERROR(INDEX(Market_Data!$C$21:$C$613,MATCH($A58,Market_Data!$B$21:INDEX(Market_Data!$B$21:$B$613,COUNT(Market_Data!$B$21:$B$613)),1)),""))</f>
        <v>1377.6</v>
      </c>
      <c r="C58" s="87" vm="372">
        <f ca="1">IF($A58="","",IFERROR(INDEX(Market_Data!$F$21:$F$613,MATCH($A58,Market_Data!$E$21:INDEX(Market_Data!$E$21:$E$613,COUNT(Market_Data!$E$21:$E$613)),1)),""))</f>
        <v>1916.6</v>
      </c>
      <c r="D58" s="87" vm="373">
        <f ca="1">IF($A58="","",IFERROR(INDEX(Market_Data!$I$21:$I$613,MATCH($A58,Market_Data!$H$21:INDEX(Market_Data!$H$21:$H$613,COUNT(Market_Data!$H$21:$H$613)),1)),""))</f>
        <v>945.05</v>
      </c>
      <c r="E58" s="87" vm="374">
        <f ca="1">IF($A58="","",IFERROR(INDEX(Market_Data!$L$21:$L$613,MATCH($A58,Market_Data!$K$21:INDEX(Market_Data!$K$21:$K$613,COUNT(Market_Data!$K$21:$K$613)),1)),""))</f>
        <v>3729.5</v>
      </c>
      <c r="F58" s="87" vm="375">
        <f ca="1">IF($A58="","",IFERROR(INDEX(Market_Data!$O$21:$O$613,MATCH($A58,Market_Data!$N$21:INDEX(Market_Data!$N$21:$N$613,COUNT(Market_Data!$N$21:$N$613)),1)),""))</f>
        <v>1499.4</v>
      </c>
      <c r="G58" s="87" vm="376">
        <f ca="1">IF($A58="","",IFERROR(INDEX(Market_Data!$R$21:$R$613,MATCH($A58,Market_Data!$Q$21:INDEX(Market_Data!$Q$21:$Q$613,COUNT(Market_Data!$Q$21:$Q$613)),1)),""))</f>
        <v>16286</v>
      </c>
      <c r="H58" s="87" vm="377">
        <f ca="1">IF($A58="","",IFERROR(INDEX(Market_Data!$U$21:$U$613,MATCH($A58,Market_Data!$T$21:INDEX(Market_Data!$T$21:$T$613,COUNT(Market_Data!$T$21:$T$613)),1)),""))</f>
        <v>1395.3</v>
      </c>
      <c r="I58" s="88">
        <f ca="1">IF($A58="","",IFERROR(INDEX(Query1[Close],MATCH($A58,Query1[Date],1)),""))</f>
        <v>25202.349609375</v>
      </c>
    </row>
    <row r="59" spans="1:9" x14ac:dyDescent="0.3">
      <c r="A59" s="86">
        <f t="shared" ca="1" si="1"/>
        <v>45929</v>
      </c>
      <c r="B59" s="87" vm="378">
        <f ca="1">IF($A59="","",IFERROR(INDEX(Market_Data!$C$21:$C$613,MATCH($A59,Market_Data!$B$21:INDEX(Market_Data!$B$21:$B$613,COUNT(Market_Data!$B$21:$B$613)),1)),""))</f>
        <v>1363.4</v>
      </c>
      <c r="C59" s="87" vm="379">
        <f ca="1">IF($A59="","",IFERROR(INDEX(Market_Data!$F$21:$F$613,MATCH($A59,Market_Data!$E$21:INDEX(Market_Data!$E$21:$E$613,COUNT(Market_Data!$E$21:$E$613)),1)),""))</f>
        <v>1896.7</v>
      </c>
      <c r="D59" s="87" vm="380">
        <f ca="1">IF($A59="","",IFERROR(INDEX(Market_Data!$I$21:$I$613,MATCH($A59,Market_Data!$H$21:INDEX(Market_Data!$H$21:$H$613,COUNT(Market_Data!$H$21:$H$613)),1)),""))</f>
        <v>965.15</v>
      </c>
      <c r="E59" s="87" vm="381">
        <f ca="1">IF($A59="","",IFERROR(INDEX(Market_Data!$L$21:$L$613,MATCH($A59,Market_Data!$K$21:INDEX(Market_Data!$K$21:$K$613,COUNT(Market_Data!$K$21:$K$613)),1)),""))</f>
        <v>3733.1</v>
      </c>
      <c r="F59" s="87" vm="382">
        <f ca="1">IF($A59="","",IFERROR(INDEX(Market_Data!$O$21:$O$613,MATCH($A59,Market_Data!$N$21:INDEX(Market_Data!$N$21:$N$613,COUNT(Market_Data!$N$21:$N$613)),1)),""))</f>
        <v>1517.7</v>
      </c>
      <c r="G59" s="87" vm="383">
        <f ca="1">IF($A59="","",IFERROR(INDEX(Market_Data!$R$21:$R$613,MATCH($A59,Market_Data!$Q$21:INDEX(Market_Data!$Q$21:$Q$613,COUNT(Market_Data!$Q$21:$Q$613)),1)),""))</f>
        <v>15806</v>
      </c>
      <c r="H59" s="87" vm="384">
        <f ca="1">IF($A59="","",IFERROR(INDEX(Market_Data!$U$21:$U$613,MATCH($A59,Market_Data!$T$21:INDEX(Market_Data!$T$21:$T$613,COUNT(Market_Data!$T$21:$T$613)),1)),""))</f>
        <v>1393.5</v>
      </c>
      <c r="I59" s="88">
        <f ca="1">IF($A59="","",IFERROR(INDEX(Query1[Close],MATCH($A59,Query1[Date],1)),""))</f>
        <v>24634.900390625</v>
      </c>
    </row>
    <row r="60" spans="1:9" x14ac:dyDescent="0.3">
      <c r="A60" s="86">
        <f t="shared" ca="1" si="1"/>
        <v>45936</v>
      </c>
      <c r="B60" s="87" vm="385">
        <f ca="1">IF($A60="","",IFERROR(INDEX(Market_Data!$C$21:$C$613,MATCH($A60,Market_Data!$B$21:INDEX(Market_Data!$B$21:$B$613,COUNT(Market_Data!$B$21:$B$613)),1)),""))</f>
        <v>1381.7</v>
      </c>
      <c r="C60" s="87" vm="386">
        <f ca="1">IF($A60="","",IFERROR(INDEX(Market_Data!$F$21:$F$613,MATCH($A60,Market_Data!$E$21:INDEX(Market_Data!$E$21:$E$613,COUNT(Market_Data!$E$21:$E$613)),1)),""))</f>
        <v>1939.9</v>
      </c>
      <c r="D60" s="87" vm="387">
        <f ca="1">IF($A60="","",IFERROR(INDEX(Market_Data!$I$21:$I$613,MATCH($A60,Market_Data!$H$21:INDEX(Market_Data!$H$21:$H$613,COUNT(Market_Data!$H$21:$H$613)),1)),""))</f>
        <v>980.9</v>
      </c>
      <c r="E60" s="87" vm="388">
        <f ca="1">IF($A60="","",IFERROR(INDEX(Market_Data!$L$21:$L$613,MATCH($A60,Market_Data!$K$21:INDEX(Market_Data!$K$21:$K$613,COUNT(Market_Data!$K$21:$K$613)),1)),""))</f>
        <v>3784</v>
      </c>
      <c r="F60" s="87" vm="389">
        <f ca="1">IF($A60="","",IFERROR(INDEX(Market_Data!$O$21:$O$613,MATCH($A60,Market_Data!$N$21:INDEX(Market_Data!$N$21:$N$613,COUNT(Market_Data!$N$21:$N$613)),1)),""))</f>
        <v>1561.8</v>
      </c>
      <c r="G60" s="87" vm="390">
        <f ca="1">IF($A60="","",IFERROR(INDEX(Market_Data!$R$21:$R$613,MATCH($A60,Market_Data!$Q$21:INDEX(Market_Data!$Q$21:$Q$613,COUNT(Market_Data!$Q$21:$Q$613)),1)),""))</f>
        <v>16265</v>
      </c>
      <c r="H60" s="87" vm="391">
        <f ca="1">IF($A60="","",IFERROR(INDEX(Market_Data!$U$21:$U$613,MATCH($A60,Market_Data!$T$21:INDEX(Market_Data!$T$21:$T$613,COUNT(Market_Data!$T$21:$T$613)),1)),""))</f>
        <v>1495.5</v>
      </c>
      <c r="I60" s="88">
        <f ca="1">IF($A60="","",IFERROR(INDEX(Query1[Close],MATCH($A60,Query1[Date],1)),""))</f>
        <v>25077.650390625</v>
      </c>
    </row>
    <row r="61" spans="1:9" x14ac:dyDescent="0.3">
      <c r="A61" s="86">
        <f t="shared" ca="1" si="1"/>
        <v>45943</v>
      </c>
      <c r="B61" s="87" vm="392">
        <f ca="1">IF($A61="","",IFERROR(INDEX(Market_Data!$C$21:$C$613,MATCH($A61,Market_Data!$B$21:INDEX(Market_Data!$B$21:$B$613,COUNT(Market_Data!$B$21:$B$613)),1)),""))</f>
        <v>1416.8</v>
      </c>
      <c r="C61" s="87" vm="393">
        <f ca="1">IF($A61="","",IFERROR(INDEX(Market_Data!$F$21:$F$613,MATCH($A61,Market_Data!$E$21:INDEX(Market_Data!$E$21:$E$613,COUNT(Market_Data!$E$21:$E$613)),1)),""))</f>
        <v>2012</v>
      </c>
      <c r="D61" s="87" vm="394">
        <f ca="1">IF($A61="","",IFERROR(INDEX(Market_Data!$I$21:$I$613,MATCH($A61,Market_Data!$H$21:INDEX(Market_Data!$H$21:$H$613,COUNT(Market_Data!$H$21:$H$613)),1)),""))</f>
        <v>1002.55</v>
      </c>
      <c r="E61" s="87" vm="395">
        <f ca="1">IF($A61="","",IFERROR(INDEX(Market_Data!$L$21:$L$613,MATCH($A61,Market_Data!$K$21:INDEX(Market_Data!$K$21:$K$613,COUNT(Market_Data!$K$21:$K$613)),1)),""))</f>
        <v>3839.4</v>
      </c>
      <c r="F61" s="87" vm="396">
        <f ca="1">IF($A61="","",IFERROR(INDEX(Market_Data!$O$21:$O$613,MATCH($A61,Market_Data!$N$21:INDEX(Market_Data!$N$21:$N$613,COUNT(Market_Data!$N$21:$N$613)),1)),""))</f>
        <v>1577.6</v>
      </c>
      <c r="G61" s="87" vm="397">
        <f ca="1">IF($A61="","",IFERROR(INDEX(Market_Data!$R$21:$R$613,MATCH($A61,Market_Data!$Q$21:INDEX(Market_Data!$Q$21:$Q$613,COUNT(Market_Data!$Q$21:$Q$613)),1)),""))</f>
        <v>16401</v>
      </c>
      <c r="H61" s="87" vm="398">
        <f ca="1">IF($A61="","",IFERROR(INDEX(Market_Data!$U$21:$U$613,MATCH($A61,Market_Data!$T$21:INDEX(Market_Data!$T$21:$T$613,COUNT(Market_Data!$T$21:$T$613)),1)),""))</f>
        <v>1486.2</v>
      </c>
      <c r="I61" s="88">
        <f ca="1">IF($A61="","",IFERROR(INDEX(Query1[Close],MATCH($A61,Query1[Date],1)),""))</f>
        <v>25227.349609375</v>
      </c>
    </row>
    <row r="62" spans="1:9" x14ac:dyDescent="0.3">
      <c r="A62" s="86">
        <f t="shared" ca="1" si="1"/>
        <v>45950</v>
      </c>
      <c r="B62" s="87" vm="399">
        <f ca="1">IF($A62="","",IFERROR(INDEX(Market_Data!$C$21:$C$613,MATCH($A62,Market_Data!$B$21:INDEX(Market_Data!$B$21:$B$613,COUNT(Market_Data!$B$21:$B$613)),1)),""))</f>
        <v>1451.6</v>
      </c>
      <c r="C62" s="87" vm="400">
        <f ca="1">IF($A62="","",IFERROR(INDEX(Market_Data!$F$21:$F$613,MATCH($A62,Market_Data!$E$21:INDEX(Market_Data!$E$21:$E$613,COUNT(Market_Data!$E$21:$E$613)),1)),""))</f>
        <v>2029.3</v>
      </c>
      <c r="D62" s="87" vm="401">
        <f ca="1">IF($A62="","",IFERROR(INDEX(Market_Data!$I$21:$I$613,MATCH($A62,Market_Data!$H$21:INDEX(Market_Data!$H$21:$H$613,COUNT(Market_Data!$H$21:$H$613)),1)),""))</f>
        <v>994.75</v>
      </c>
      <c r="E62" s="87" vm="402">
        <f ca="1">IF($A62="","",IFERROR(INDEX(Market_Data!$L$21:$L$613,MATCH($A62,Market_Data!$K$21:INDEX(Market_Data!$K$21:$K$613,COUNT(Market_Data!$K$21:$K$613)),1)),""))</f>
        <v>3904.9</v>
      </c>
      <c r="F62" s="87" vm="403">
        <f ca="1">IF($A62="","",IFERROR(INDEX(Market_Data!$O$21:$O$613,MATCH($A62,Market_Data!$N$21:INDEX(Market_Data!$N$21:$N$613,COUNT(Market_Data!$N$21:$N$613)),1)),""))</f>
        <v>1584.4</v>
      </c>
      <c r="G62" s="87" vm="404">
        <f ca="1">IF($A62="","",IFERROR(INDEX(Market_Data!$R$21:$R$613,MATCH($A62,Market_Data!$Q$21:INDEX(Market_Data!$Q$21:$Q$613,COUNT(Market_Data!$Q$21:$Q$613)),1)),""))</f>
        <v>16274</v>
      </c>
      <c r="H62" s="87" vm="405">
        <f ca="1">IF($A62="","",IFERROR(INDEX(Market_Data!$U$21:$U$613,MATCH($A62,Market_Data!$T$21:INDEX(Market_Data!$T$21:$T$613,COUNT(Market_Data!$T$21:$T$613)),1)),""))</f>
        <v>1523.8</v>
      </c>
      <c r="I62" s="88">
        <f ca="1">IF($A62="","",IFERROR(INDEX(Query1[Close],MATCH($A62,Query1[Date],1)),""))</f>
        <v>25843.150390625</v>
      </c>
    </row>
    <row r="63" spans="1:9" x14ac:dyDescent="0.3">
      <c r="A63" s="86">
        <f t="shared" ca="1" si="1"/>
        <v>45957</v>
      </c>
      <c r="B63" s="87" vm="406">
        <f ca="1">IF($A63="","",IFERROR(INDEX(Market_Data!$C$21:$C$613,MATCH($A63,Market_Data!$B$21:INDEX(Market_Data!$B$21:$B$613,COUNT(Market_Data!$B$21:$B$613)),1)),""))</f>
        <v>1486.4</v>
      </c>
      <c r="C63" s="87" vm="407">
        <f ca="1">IF($A63="","",IFERROR(INDEX(Market_Data!$F$21:$F$613,MATCH($A63,Market_Data!$E$21:INDEX(Market_Data!$E$21:$E$613,COUNT(Market_Data!$E$21:$E$613)),1)),""))</f>
        <v>2054.5</v>
      </c>
      <c r="D63" s="87" vm="408">
        <f ca="1">IF($A63="","",IFERROR(INDEX(Market_Data!$I$21:$I$613,MATCH($A63,Market_Data!$H$21:INDEX(Market_Data!$H$21:$H$613,COUNT(Market_Data!$H$21:$H$613)),1)),""))</f>
        <v>987.3</v>
      </c>
      <c r="E63" s="87" vm="409">
        <f ca="1">IF($A63="","",IFERROR(INDEX(Market_Data!$L$21:$L$613,MATCH($A63,Market_Data!$K$21:INDEX(Market_Data!$K$21:$K$613,COUNT(Market_Data!$K$21:$K$613)),1)),""))</f>
        <v>4030.9</v>
      </c>
      <c r="F63" s="87" vm="410">
        <f ca="1">IF($A63="","",IFERROR(INDEX(Market_Data!$O$21:$O$613,MATCH($A63,Market_Data!$N$21:INDEX(Market_Data!$N$21:$N$613,COUNT(Market_Data!$N$21:$N$613)),1)),""))</f>
        <v>1501.3</v>
      </c>
      <c r="G63" s="87" vm="411">
        <f ca="1">IF($A63="","",IFERROR(INDEX(Market_Data!$R$21:$R$613,MATCH($A63,Market_Data!$Q$21:INDEX(Market_Data!$Q$21:$Q$613,COUNT(Market_Data!$Q$21:$Q$613)),1)),""))</f>
        <v>16186</v>
      </c>
      <c r="H63" s="87" vm="412">
        <f ca="1">IF($A63="","",IFERROR(INDEX(Market_Data!$U$21:$U$613,MATCH($A63,Market_Data!$T$21:INDEX(Market_Data!$T$21:$T$613,COUNT(Market_Data!$T$21:$T$613)),1)),""))</f>
        <v>1541.5</v>
      </c>
      <c r="I63" s="88">
        <f ca="1">IF($A63="","",IFERROR(INDEX(Query1[Close],MATCH($A63,Query1[Date],1)),""))</f>
        <v>25966.05078125</v>
      </c>
    </row>
    <row r="64" spans="1:9" x14ac:dyDescent="0.3">
      <c r="A64" s="86">
        <f t="shared" ca="1" si="1"/>
        <v>45964</v>
      </c>
      <c r="B64" s="87" vm="413">
        <f ca="1">IF($A64="","",IFERROR(INDEX(Market_Data!$C$21:$C$613,MATCH($A64,Market_Data!$B$21:INDEX(Market_Data!$B$21:$B$613,COUNT(Market_Data!$B$21:$B$613)),1)),""))</f>
        <v>1478</v>
      </c>
      <c r="C64" s="87" vm="414">
        <f ca="1">IF($A64="","",IFERROR(INDEX(Market_Data!$F$21:$F$613,MATCH($A64,Market_Data!$E$21:INDEX(Market_Data!$E$21:$E$613,COUNT(Market_Data!$E$21:$E$613)),1)),""))</f>
        <v>2001.2</v>
      </c>
      <c r="D64" s="87" vm="339">
        <f ca="1">IF($A64="","",IFERROR(INDEX(Market_Data!$I$21:$I$613,MATCH($A64,Market_Data!$H$21:INDEX(Market_Data!$H$21:$H$613,COUNT(Market_Data!$H$21:$H$613)),1)),""))</f>
        <v>982.3</v>
      </c>
      <c r="E64" s="87" vm="415">
        <f ca="1">IF($A64="","",IFERROR(INDEX(Market_Data!$L$21:$L$613,MATCH($A64,Market_Data!$K$21:INDEX(Market_Data!$K$21:$K$613,COUNT(Market_Data!$K$21:$K$613)),1)),""))</f>
        <v>3882.5</v>
      </c>
      <c r="F64" s="87" vm="416">
        <f ca="1">IF($A64="","",IFERROR(INDEX(Market_Data!$O$21:$O$613,MATCH($A64,Market_Data!$N$21:INDEX(Market_Data!$N$21:$N$613,COUNT(Market_Data!$N$21:$N$613)),1)),""))</f>
        <v>1505.7</v>
      </c>
      <c r="G64" s="87" vm="417">
        <f ca="1">IF($A64="","",IFERROR(INDEX(Market_Data!$R$21:$R$613,MATCH($A64,Market_Data!$Q$21:INDEX(Market_Data!$Q$21:$Q$613,COUNT(Market_Data!$Q$21:$Q$613)),1)),""))</f>
        <v>15479</v>
      </c>
      <c r="H64" s="87" vm="418">
        <f ca="1">IF($A64="","",IFERROR(INDEX(Market_Data!$U$21:$U$613,MATCH($A64,Market_Data!$T$21:INDEX(Market_Data!$T$21:$T$613,COUNT(Market_Data!$T$21:$T$613)),1)),""))</f>
        <v>1512.4</v>
      </c>
      <c r="I64" s="88">
        <f ca="1">IF($A64="","",IFERROR(INDEX(Query1[Close],MATCH($A64,Query1[Date],1)),""))</f>
        <v>25763.349609375</v>
      </c>
    </row>
    <row r="65" spans="1:9" x14ac:dyDescent="0.3">
      <c r="A65" s="86">
        <f t="shared" ca="1" si="1"/>
        <v>45971</v>
      </c>
      <c r="B65" s="87" vm="419">
        <f ca="1">IF($A65="","",IFERROR(INDEX(Market_Data!$C$21:$C$613,MATCH($A65,Market_Data!$B$21:INDEX(Market_Data!$B$21:$B$613,COUNT(Market_Data!$B$21:$B$613)),1)),""))</f>
        <v>1518.9</v>
      </c>
      <c r="C65" s="87" vm="420">
        <f ca="1">IF($A65="","",IFERROR(INDEX(Market_Data!$F$21:$F$613,MATCH($A65,Market_Data!$E$21:INDEX(Market_Data!$E$21:$E$613,COUNT(Market_Data!$E$21:$E$613)),1)),""))</f>
        <v>2100.6999999999998</v>
      </c>
      <c r="D65" s="87" vm="421">
        <f ca="1">IF($A65="","",IFERROR(INDEX(Market_Data!$I$21:$I$613,MATCH($A65,Market_Data!$H$21:INDEX(Market_Data!$H$21:$H$613,COUNT(Market_Data!$H$21:$H$613)),1)),""))</f>
        <v>989.6</v>
      </c>
      <c r="E65" s="87" vm="422">
        <f ca="1">IF($A65="","",IFERROR(INDEX(Market_Data!$L$21:$L$613,MATCH($A65,Market_Data!$K$21:INDEX(Market_Data!$K$21:$K$613,COUNT(Market_Data!$K$21:$K$613)),1)),""))</f>
        <v>4004.4</v>
      </c>
      <c r="F65" s="87" vm="423">
        <f ca="1">IF($A65="","",IFERROR(INDEX(Market_Data!$O$21:$O$613,MATCH($A65,Market_Data!$N$21:INDEX(Market_Data!$N$21:$N$613,COUNT(Market_Data!$N$21:$N$613)),1)),""))</f>
        <v>1532.1</v>
      </c>
      <c r="G65" s="87" vm="424">
        <f ca="1">IF($A65="","",IFERROR(INDEX(Market_Data!$R$21:$R$613,MATCH($A65,Market_Data!$Q$21:INDEX(Market_Data!$Q$21:$Q$613,COUNT(Market_Data!$Q$21:$Q$613)),1)),""))</f>
        <v>15684</v>
      </c>
      <c r="H65" s="87" vm="425">
        <f ca="1">IF($A65="","",IFERROR(INDEX(Market_Data!$U$21:$U$613,MATCH($A65,Market_Data!$T$21:INDEX(Market_Data!$T$21:$T$613,COUNT(Market_Data!$T$21:$T$613)),1)),""))</f>
        <v>1594.6</v>
      </c>
      <c r="I65" s="88">
        <f ca="1">IF($A65="","",IFERROR(INDEX(Query1[Close],MATCH($A65,Query1[Date],1)),""))</f>
        <v>25574.349609375</v>
      </c>
    </row>
    <row r="66" spans="1:9" x14ac:dyDescent="0.3">
      <c r="A66" s="86">
        <f t="shared" ca="1" si="1"/>
        <v>45978</v>
      </c>
      <c r="B66" s="87" vm="426">
        <f ca="1">IF($A66="","",IFERROR(INDEX(Market_Data!$C$21:$C$613,MATCH($A66,Market_Data!$B$21:INDEX(Market_Data!$B$21:$B$613,COUNT(Market_Data!$B$21:$B$613)),1)),""))</f>
        <v>1546.6</v>
      </c>
      <c r="C66" s="87" vm="427">
        <f ca="1">IF($A66="","",IFERROR(INDEX(Market_Data!$F$21:$F$613,MATCH($A66,Market_Data!$E$21:INDEX(Market_Data!$E$21:$E$613,COUNT(Market_Data!$E$21:$E$613)),1)),""))</f>
        <v>2162.6999999999998</v>
      </c>
      <c r="D66" s="87" vm="428">
        <f ca="1">IF($A66="","",IFERROR(INDEX(Market_Data!$I$21:$I$613,MATCH($A66,Market_Data!$H$21:INDEX(Market_Data!$H$21:$H$613,COUNT(Market_Data!$H$21:$H$613)),1)),""))</f>
        <v>998.05</v>
      </c>
      <c r="E66" s="87" vm="429">
        <f ca="1">IF($A66="","",IFERROR(INDEX(Market_Data!$L$21:$L$613,MATCH($A66,Market_Data!$K$21:INDEX(Market_Data!$K$21:$K$613,COUNT(Market_Data!$K$21:$K$613)),1)),""))</f>
        <v>4024.9</v>
      </c>
      <c r="F66" s="87" vm="430">
        <f ca="1">IF($A66="","",IFERROR(INDEX(Market_Data!$O$21:$O$613,MATCH($A66,Market_Data!$N$21:INDEX(Market_Data!$N$21:$N$613,COUNT(Market_Data!$N$21:$N$613)),1)),""))</f>
        <v>1511.8</v>
      </c>
      <c r="G66" s="87" vm="431">
        <f ca="1">IF($A66="","",IFERROR(INDEX(Market_Data!$R$21:$R$613,MATCH($A66,Market_Data!$Q$21:INDEX(Market_Data!$Q$21:$Q$613,COUNT(Market_Data!$Q$21:$Q$613)),1)),""))</f>
        <v>15977</v>
      </c>
      <c r="H66" s="87" vm="432">
        <f ca="1">IF($A66="","",IFERROR(INDEX(Market_Data!$U$21:$U$613,MATCH($A66,Market_Data!$T$21:INDEX(Market_Data!$T$21:$T$613,COUNT(Market_Data!$T$21:$T$613)),1)),""))</f>
        <v>1608</v>
      </c>
      <c r="I66" s="88">
        <f ca="1">IF($A66="","",IFERROR(INDEX(Query1[Close],MATCH($A66,Query1[Date],1)),""))</f>
        <v>26013.44921875</v>
      </c>
    </row>
    <row r="67" spans="1:9" x14ac:dyDescent="0.3">
      <c r="A67" s="86">
        <f t="shared" ca="1" si="1"/>
        <v>45985</v>
      </c>
      <c r="B67" s="87" vm="433">
        <f ca="1">IF($A67="","",IFERROR(INDEX(Market_Data!$C$21:$C$613,MATCH($A67,Market_Data!$B$21:INDEX(Market_Data!$B$21:$B$613,COUNT(Market_Data!$B$21:$B$613)),1)),""))</f>
        <v>1567.5</v>
      </c>
      <c r="C67" s="87" vm="434">
        <f ca="1">IF($A67="","",IFERROR(INDEX(Market_Data!$F$21:$F$613,MATCH($A67,Market_Data!$E$21:INDEX(Market_Data!$E$21:$E$613,COUNT(Market_Data!$E$21:$E$613)),1)),""))</f>
        <v>2101.6</v>
      </c>
      <c r="D67" s="87" vm="435">
        <f ca="1">IF($A67="","",IFERROR(INDEX(Market_Data!$I$21:$I$613,MATCH($A67,Market_Data!$H$21:INDEX(Market_Data!$H$21:$H$613,COUNT(Market_Data!$H$21:$H$613)),1)),""))</f>
        <v>1007.6</v>
      </c>
      <c r="E67" s="87" vm="436">
        <f ca="1">IF($A67="","",IFERROR(INDEX(Market_Data!$L$21:$L$613,MATCH($A67,Market_Data!$K$21:INDEX(Market_Data!$K$21:$K$613,COUNT(Market_Data!$K$21:$K$613)),1)),""))</f>
        <v>4069.6</v>
      </c>
      <c r="F67" s="87" vm="437">
        <f ca="1">IF($A67="","",IFERROR(INDEX(Market_Data!$O$21:$O$613,MATCH($A67,Market_Data!$N$21:INDEX(Market_Data!$N$21:$N$613,COUNT(Market_Data!$N$21:$N$613)),1)),""))</f>
        <v>1531.3</v>
      </c>
      <c r="G67" s="87" vm="438">
        <f ca="1">IF($A67="","",IFERROR(INDEX(Market_Data!$R$21:$R$613,MATCH($A67,Market_Data!$Q$21:INDEX(Market_Data!$Q$21:$Q$613,COUNT(Market_Data!$Q$21:$Q$613)),1)),""))</f>
        <v>15900</v>
      </c>
      <c r="H67" s="87" vm="439">
        <f ca="1">IF($A67="","",IFERROR(INDEX(Market_Data!$U$21:$U$613,MATCH($A67,Market_Data!$T$21:INDEX(Market_Data!$T$21:$T$613,COUNT(Market_Data!$T$21:$T$613)),1)),""))</f>
        <v>1624.2</v>
      </c>
      <c r="I67" s="88">
        <f ca="1">IF($A67="","",IFERROR(INDEX(Query1[Close],MATCH($A67,Query1[Date],1)),""))</f>
        <v>25959.5</v>
      </c>
    </row>
    <row r="68" spans="1:9" x14ac:dyDescent="0.3">
      <c r="A68" s="86">
        <f t="shared" ca="1" si="1"/>
        <v>45992</v>
      </c>
      <c r="B68" s="87" vm="440">
        <f ca="1">IF($A68="","",IFERROR(INDEX(Market_Data!$C$21:$C$613,MATCH($A68,Market_Data!$B$21:INDEX(Market_Data!$B$21:$B$613,COUNT(Market_Data!$B$21:$B$613)),1)),""))</f>
        <v>1540.6</v>
      </c>
      <c r="C68" s="87" vm="441">
        <f ca="1">IF($A68="","",IFERROR(INDEX(Market_Data!$F$21:$F$613,MATCH($A68,Market_Data!$E$21:INDEX(Market_Data!$E$21:$E$613,COUNT(Market_Data!$E$21:$E$613)),1)),""))</f>
        <v>2108.8000000000002</v>
      </c>
      <c r="D68" s="87" vm="442">
        <f ca="1">IF($A68="","",IFERROR(INDEX(Market_Data!$I$21:$I$613,MATCH($A68,Market_Data!$H$21:INDEX(Market_Data!$H$21:$H$613,COUNT(Market_Data!$H$21:$H$613)),1)),""))</f>
        <v>1003.3</v>
      </c>
      <c r="E68" s="87" vm="443">
        <f ca="1">IF($A68="","",IFERROR(INDEX(Market_Data!$L$21:$L$613,MATCH($A68,Market_Data!$K$21:INDEX(Market_Data!$K$21:$K$613,COUNT(Market_Data!$K$21:$K$613)),1)),""))</f>
        <v>4038.2</v>
      </c>
      <c r="F68" s="87" vm="444">
        <f ca="1">IF($A68="","",IFERROR(INDEX(Market_Data!$O$21:$O$613,MATCH($A68,Market_Data!$N$21:INDEX(Market_Data!$N$21:$N$613,COUNT(Market_Data!$N$21:$N$613)),1)),""))</f>
        <v>1520.8</v>
      </c>
      <c r="G68" s="87" vm="445">
        <f ca="1">IF($A68="","",IFERROR(INDEX(Market_Data!$R$21:$R$613,MATCH($A68,Market_Data!$Q$21:INDEX(Market_Data!$Q$21:$Q$613,COUNT(Market_Data!$Q$21:$Q$613)),1)),""))</f>
        <v>16282</v>
      </c>
      <c r="H68" s="87" vm="446">
        <f ca="1">IF($A68="","",IFERROR(INDEX(Market_Data!$U$21:$U$613,MATCH($A68,Market_Data!$T$21:INDEX(Market_Data!$T$21:$T$613,COUNT(Market_Data!$T$21:$T$613)),1)),""))</f>
        <v>1683</v>
      </c>
      <c r="I68" s="88">
        <f ca="1">IF($A68="","",IFERROR(INDEX(Query1[Close],MATCH($A68,Query1[Date],1)),""))</f>
        <v>26175.75</v>
      </c>
    </row>
    <row r="69" spans="1:9" x14ac:dyDescent="0.3">
      <c r="A69" s="86">
        <f t="shared" ref="A69:A100" ca="1" si="2">IF($A68="","",IF($A68+7&lt;=TODAY(),$A68+7,""))</f>
        <v>45999</v>
      </c>
      <c r="B69" s="87" vm="447">
        <f ca="1">IF($A69="","",IFERROR(INDEX(Market_Data!$C$21:$C$613,MATCH($A69,Market_Data!$B$21:INDEX(Market_Data!$B$21:$B$613,COUNT(Market_Data!$B$21:$B$613)),1)),""))</f>
        <v>1556.5</v>
      </c>
      <c r="C69" s="87" vm="448">
        <f ca="1">IF($A69="","",IFERROR(INDEX(Market_Data!$F$21:$F$613,MATCH($A69,Market_Data!$E$21:INDEX(Market_Data!$E$21:$E$613,COUNT(Market_Data!$E$21:$E$613)),1)),""))</f>
        <v>2083.4</v>
      </c>
      <c r="D69" s="87" vm="449">
        <f ca="1">IF($A69="","",IFERROR(INDEX(Market_Data!$I$21:$I$613,MATCH($A69,Market_Data!$H$21:INDEX(Market_Data!$H$21:$H$613,COUNT(Market_Data!$H$21:$H$613)),1)),""))</f>
        <v>1001.5</v>
      </c>
      <c r="E69" s="87" vm="450">
        <f ca="1">IF($A69="","",IFERROR(INDEX(Market_Data!$L$21:$L$613,MATCH($A69,Market_Data!$K$21:INDEX(Market_Data!$K$21:$K$613,COUNT(Market_Data!$K$21:$K$613)),1)),""))</f>
        <v>4074.1</v>
      </c>
      <c r="F69" s="87" vm="451">
        <f ca="1">IF($A69="","",IFERROR(INDEX(Market_Data!$O$21:$O$613,MATCH($A69,Market_Data!$N$21:INDEX(Market_Data!$N$21:$N$613,COUNT(Market_Data!$N$21:$N$613)),1)),""))</f>
        <v>1517.4</v>
      </c>
      <c r="G69" s="87" vm="452">
        <f ca="1">IF($A69="","",IFERROR(INDEX(Market_Data!$R$21:$R$613,MATCH($A69,Market_Data!$Q$21:INDEX(Market_Data!$Q$21:$Q$613,COUNT(Market_Data!$Q$21:$Q$613)),1)),""))</f>
        <v>16522</v>
      </c>
      <c r="H69" s="87" vm="453">
        <f ca="1">IF($A69="","",IFERROR(INDEX(Market_Data!$U$21:$U$613,MATCH($A69,Market_Data!$T$21:INDEX(Market_Data!$T$21:$T$613,COUNT(Market_Data!$T$21:$T$613)),1)),""))</f>
        <v>1673.2</v>
      </c>
      <c r="I69" s="88">
        <f ca="1">IF($A69="","",IFERROR(INDEX(Query1[Close],MATCH($A69,Query1[Date],1)),""))</f>
        <v>25960.55078125</v>
      </c>
    </row>
    <row r="70" spans="1:9" x14ac:dyDescent="0.3">
      <c r="A70" s="86">
        <f t="shared" ca="1" si="2"/>
        <v>46006</v>
      </c>
      <c r="B70" s="87" vm="454">
        <f ca="1">IF($A70="","",IFERROR(INDEX(Market_Data!$C$21:$C$613,MATCH($A70,Market_Data!$B$21:INDEX(Market_Data!$B$21:$B$613,COUNT(Market_Data!$B$21:$B$613)),1)),""))</f>
        <v>1565.1</v>
      </c>
      <c r="C70" s="87" vm="455">
        <f ca="1">IF($A70="","",IFERROR(INDEX(Market_Data!$F$21:$F$613,MATCH($A70,Market_Data!$E$21:INDEX(Market_Data!$E$21:$E$613,COUNT(Market_Data!$E$21:$E$613)),1)),""))</f>
        <v>2097.6999999999998</v>
      </c>
      <c r="D70" s="87" vm="456">
        <f ca="1">IF($A70="","",IFERROR(INDEX(Market_Data!$I$21:$I$613,MATCH($A70,Market_Data!$H$21:INDEX(Market_Data!$H$21:$H$613,COUNT(Market_Data!$H$21:$H$613)),1)),""))</f>
        <v>985.5</v>
      </c>
      <c r="E70" s="87" vm="457">
        <f ca="1">IF($A70="","",IFERROR(INDEX(Market_Data!$L$21:$L$613,MATCH($A70,Market_Data!$K$21:INDEX(Market_Data!$K$21:$K$613,COUNT(Market_Data!$K$21:$K$613)),1)),""))</f>
        <v>4073.5</v>
      </c>
      <c r="F70" s="87" vm="458">
        <f ca="1">IF($A70="","",IFERROR(INDEX(Market_Data!$O$21:$O$613,MATCH($A70,Market_Data!$N$21:INDEX(Market_Data!$N$21:$N$613,COUNT(Market_Data!$N$21:$N$613)),1)),""))</f>
        <v>1517.1</v>
      </c>
      <c r="G70" s="87" vm="459">
        <f ca="1">IF($A70="","",IFERROR(INDEX(Market_Data!$R$21:$R$613,MATCH($A70,Market_Data!$Q$21:INDEX(Market_Data!$Q$21:$Q$613,COUNT(Market_Data!$Q$21:$Q$613)),1)),""))</f>
        <v>16414</v>
      </c>
      <c r="H70" s="87" vm="460">
        <f ca="1">IF($A70="","",IFERROR(INDEX(Market_Data!$U$21:$U$613,MATCH($A70,Market_Data!$T$21:INDEX(Market_Data!$T$21:$T$613,COUNT(Market_Data!$T$21:$T$613)),1)),""))</f>
        <v>1642.4</v>
      </c>
      <c r="I70" s="88">
        <f ca="1">IF($A70="","",IFERROR(INDEX(Query1[Close],MATCH($A70,Query1[Date],1)),""))</f>
        <v>26027.30078125</v>
      </c>
    </row>
    <row r="71" spans="1:9" x14ac:dyDescent="0.3">
      <c r="A71" s="86">
        <f t="shared" ca="1" si="2"/>
        <v>46013</v>
      </c>
      <c r="B71" s="87" vm="461">
        <f ca="1">IF($A71="","",IFERROR(INDEX(Market_Data!$C$21:$C$613,MATCH($A71,Market_Data!$B$21:INDEX(Market_Data!$B$21:$B$613,COUNT(Market_Data!$B$21:$B$613)),1)),""))</f>
        <v>1559.2</v>
      </c>
      <c r="C71" s="87" vm="462">
        <f ca="1">IF($A71="","",IFERROR(INDEX(Market_Data!$F$21:$F$613,MATCH($A71,Market_Data!$E$21:INDEX(Market_Data!$E$21:$E$613,COUNT(Market_Data!$E$21:$E$613)),1)),""))</f>
        <v>2105.4</v>
      </c>
      <c r="D71" s="87" vm="463">
        <f ca="1">IF($A71="","",IFERROR(INDEX(Market_Data!$I$21:$I$613,MATCH($A71,Market_Data!$H$21:INDEX(Market_Data!$H$21:$H$613,COUNT(Market_Data!$H$21:$H$613)),1)),""))</f>
        <v>992.1</v>
      </c>
      <c r="E71" s="87" vm="464">
        <f ca="1">IF($A71="","",IFERROR(INDEX(Market_Data!$L$21:$L$613,MATCH($A71,Market_Data!$K$21:INDEX(Market_Data!$K$21:$K$613,COUNT(Market_Data!$K$21:$K$613)),1)),""))</f>
        <v>4047.3</v>
      </c>
      <c r="F71" s="87" vm="465">
        <f ca="1">IF($A71="","",IFERROR(INDEX(Market_Data!$O$21:$O$613,MATCH($A71,Market_Data!$N$21:INDEX(Market_Data!$N$21:$N$613,COUNT(Market_Data!$N$21:$N$613)),1)),""))</f>
        <v>1506</v>
      </c>
      <c r="G71" s="87" vm="466">
        <f ca="1">IF($A71="","",IFERROR(INDEX(Market_Data!$R$21:$R$613,MATCH($A71,Market_Data!$Q$21:INDEX(Market_Data!$Q$21:$Q$613,COUNT(Market_Data!$Q$21:$Q$613)),1)),""))</f>
        <v>16596</v>
      </c>
      <c r="H71" s="87" vm="467">
        <f ca="1">IF($A71="","",IFERROR(INDEX(Market_Data!$U$21:$U$613,MATCH($A71,Market_Data!$T$21:INDEX(Market_Data!$T$21:$T$613,COUNT(Market_Data!$T$21:$T$613)),1)),""))</f>
        <v>1660.9</v>
      </c>
      <c r="I71" s="88">
        <f ca="1">IF($A71="","",IFERROR(INDEX(Query1[Close],MATCH($A71,Query1[Date],1)),""))</f>
        <v>26172.400390625</v>
      </c>
    </row>
    <row r="72" spans="1:9" x14ac:dyDescent="0.3">
      <c r="A72" s="86">
        <f t="shared" ca="1" si="2"/>
        <v>46020</v>
      </c>
      <c r="B72" s="87" vm="468">
        <f ca="1">IF($A72="","",IFERROR(INDEX(Market_Data!$C$21:$C$613,MATCH($A72,Market_Data!$B$21:INDEX(Market_Data!$B$21:$B$613,COUNT(Market_Data!$B$21:$B$613)),1)),""))</f>
        <v>1592.3</v>
      </c>
      <c r="C72" s="87" vm="469">
        <f ca="1">IF($A72="","",IFERROR(INDEX(Market_Data!$F$21:$F$613,MATCH($A72,Market_Data!$E$21:INDEX(Market_Data!$E$21:$E$613,COUNT(Market_Data!$E$21:$E$613)),1)),""))</f>
        <v>2106.3000000000002</v>
      </c>
      <c r="D72" s="87" vm="470">
        <f ca="1">IF($A72="","",IFERROR(INDEX(Market_Data!$I$21:$I$613,MATCH($A72,Market_Data!$H$21:INDEX(Market_Data!$H$21:$H$613,COUNT(Market_Data!$H$21:$H$613)),1)),""))</f>
        <v>1001.6</v>
      </c>
      <c r="E72" s="87" vm="471">
        <f ca="1">IF($A72="","",IFERROR(INDEX(Market_Data!$L$21:$L$613,MATCH($A72,Market_Data!$K$21:INDEX(Market_Data!$K$21:$K$613,COUNT(Market_Data!$K$21:$K$613)),1)),""))</f>
        <v>4163.3999999999996</v>
      </c>
      <c r="F72" s="87" vm="472">
        <f ca="1">IF($A72="","",IFERROR(INDEX(Market_Data!$O$21:$O$613,MATCH($A72,Market_Data!$N$21:INDEX(Market_Data!$N$21:$N$613,COUNT(Market_Data!$N$21:$N$613)),1)),""))</f>
        <v>1511.6</v>
      </c>
      <c r="G72" s="87" vm="473">
        <f ca="1">IF($A72="","",IFERROR(INDEX(Market_Data!$R$21:$R$613,MATCH($A72,Market_Data!$Q$21:INDEX(Market_Data!$Q$21:$Q$613,COUNT(Market_Data!$Q$21:$Q$613)),1)),""))</f>
        <v>16960</v>
      </c>
      <c r="H72" s="87" vm="474">
        <f ca="1">IF($A72="","",IFERROR(INDEX(Market_Data!$U$21:$U$613,MATCH($A72,Market_Data!$T$21:INDEX(Market_Data!$T$21:$T$613,COUNT(Market_Data!$T$21:$T$613)),1)),""))</f>
        <v>1640.2</v>
      </c>
      <c r="I72" s="88">
        <f ca="1">IF($A72="","",IFERROR(INDEX(Query1[Close],MATCH($A72,Query1[Date],1)),""))</f>
        <v>25942.099609375</v>
      </c>
    </row>
    <row r="73" spans="1:9" x14ac:dyDescent="0.3">
      <c r="A73" s="86">
        <f t="shared" ca="1" si="2"/>
        <v>46027</v>
      </c>
      <c r="B73" s="87" vm="475">
        <f ca="1">IF($A73="","",IFERROR(INDEX(Market_Data!$C$21:$C$613,MATCH($A73,Market_Data!$B$21:INDEX(Market_Data!$B$21:$B$613,COUNT(Market_Data!$B$21:$B$613)),1)),""))</f>
        <v>1475.3</v>
      </c>
      <c r="C73" s="87" vm="282">
        <f ca="1">IF($A73="","",IFERROR(INDEX(Market_Data!$F$21:$F$613,MATCH($A73,Market_Data!$E$21:INDEX(Market_Data!$E$21:$E$613,COUNT(Market_Data!$E$21:$E$613)),1)),""))</f>
        <v>2027.1</v>
      </c>
      <c r="D73" s="87" vm="476">
        <f ca="1">IF($A73="","",IFERROR(INDEX(Market_Data!$I$21:$I$613,MATCH($A73,Market_Data!$H$21:INDEX(Market_Data!$H$21:$H$613,COUNT(Market_Data!$H$21:$H$613)),1)),""))</f>
        <v>939</v>
      </c>
      <c r="E73" s="87" vm="477">
        <f ca="1">IF($A73="","",IFERROR(INDEX(Market_Data!$L$21:$L$613,MATCH($A73,Market_Data!$K$21:INDEX(Market_Data!$K$21:$K$613,COUNT(Market_Data!$K$21:$K$613)),1)),""))</f>
        <v>4025.2</v>
      </c>
      <c r="F73" s="87" vm="257">
        <f ca="1">IF($A73="","",IFERROR(INDEX(Market_Data!$O$21:$O$613,MATCH($A73,Market_Data!$N$21:INDEX(Market_Data!$N$21:$N$613,COUNT(Market_Data!$N$21:$N$613)),1)),""))</f>
        <v>1465.7</v>
      </c>
      <c r="G73" s="87" vm="478">
        <f ca="1">IF($A73="","",IFERROR(INDEX(Market_Data!$R$21:$R$613,MATCH($A73,Market_Data!$Q$21:INDEX(Market_Data!$Q$21:$Q$613,COUNT(Market_Data!$Q$21:$Q$613)),1)),""))</f>
        <v>16501</v>
      </c>
      <c r="H73" s="87" vm="479">
        <f ca="1">IF($A73="","",IFERROR(INDEX(Market_Data!$U$21:$U$613,MATCH($A73,Market_Data!$T$21:INDEX(Market_Data!$T$21:$T$613,COUNT(Market_Data!$T$21:$T$613)),1)),""))</f>
        <v>1661.4</v>
      </c>
      <c r="I73" s="88">
        <f ca="1">IF($A73="","",IFERROR(INDEX(Query1[Close],MATCH($A73,Query1[Date],1)),""))</f>
        <v>26250.30078125</v>
      </c>
    </row>
    <row r="74" spans="1:9" x14ac:dyDescent="0.3">
      <c r="A74" s="86">
        <f t="shared" ca="1" si="2"/>
        <v>46034</v>
      </c>
      <c r="B74" s="87" vm="480">
        <f ca="1">IF($A74="","",IFERROR(INDEX(Market_Data!$C$21:$C$613,MATCH($A74,Market_Data!$B$21:INDEX(Market_Data!$B$21:$B$613,COUNT(Market_Data!$B$21:$B$613)),1)),""))</f>
        <v>1457.9</v>
      </c>
      <c r="C74" s="87" vm="481">
        <f ca="1">IF($A74="","",IFERROR(INDEX(Market_Data!$F$21:$F$613,MATCH($A74,Market_Data!$E$21:INDEX(Market_Data!$E$21:$E$613,COUNT(Market_Data!$E$21:$E$613)),1)),""))</f>
        <v>2016.4</v>
      </c>
      <c r="D74" s="87" vm="482">
        <f ca="1">IF($A74="","",IFERROR(INDEX(Market_Data!$I$21:$I$613,MATCH($A74,Market_Data!$H$21:INDEX(Market_Data!$H$21:$H$613,COUNT(Market_Data!$H$21:$H$613)),1)),""))</f>
        <v>931.1</v>
      </c>
      <c r="E74" s="87" vm="483">
        <f ca="1">IF($A74="","",IFERROR(INDEX(Market_Data!$L$21:$L$613,MATCH($A74,Market_Data!$K$21:INDEX(Market_Data!$K$21:$K$613,COUNT(Market_Data!$K$21:$K$613)),1)),""))</f>
        <v>3856.4</v>
      </c>
      <c r="F74" s="87" vm="484">
        <f ca="1">IF($A74="","",IFERROR(INDEX(Market_Data!$O$21:$O$613,MATCH($A74,Market_Data!$N$21:INDEX(Market_Data!$N$21:$N$613,COUNT(Market_Data!$N$21:$N$613)),1)),""))</f>
        <v>1397.5</v>
      </c>
      <c r="G74" s="87" vm="485">
        <f ca="1">IF($A74="","",IFERROR(INDEX(Market_Data!$R$21:$R$613,MATCH($A74,Market_Data!$Q$21:INDEX(Market_Data!$Q$21:$Q$613,COUNT(Market_Data!$Q$21:$Q$613)),1)),""))</f>
        <v>15859</v>
      </c>
      <c r="H74" s="87" vm="486">
        <f ca="1">IF($A74="","",IFERROR(INDEX(Market_Data!$U$21:$U$613,MATCH($A74,Market_Data!$T$21:INDEX(Market_Data!$T$21:$T$613,COUNT(Market_Data!$T$21:$T$613)),1)),""))</f>
        <v>1698</v>
      </c>
      <c r="I74" s="88">
        <f ca="1">IF($A74="","",IFERROR(INDEX(Query1[Close],MATCH($A74,Query1[Date],1)),""))</f>
        <v>25790.25</v>
      </c>
    </row>
    <row r="75" spans="1:9" x14ac:dyDescent="0.3">
      <c r="A75" s="86">
        <f t="shared" ca="1" si="2"/>
        <v>46041</v>
      </c>
      <c r="B75" s="87" vm="487">
        <f ca="1">IF($A75="","",IFERROR(INDEX(Market_Data!$C$21:$C$613,MATCH($A75,Market_Data!$B$21:INDEX(Market_Data!$B$21:$B$613,COUNT(Market_Data!$B$21:$B$613)),1)),""))</f>
        <v>1386.1</v>
      </c>
      <c r="C75" s="87" vm="488">
        <f ca="1">IF($A75="","",IFERROR(INDEX(Market_Data!$F$21:$F$613,MATCH($A75,Market_Data!$E$21:INDEX(Market_Data!$E$21:$E$613,COUNT(Market_Data!$E$21:$E$613)),1)),""))</f>
        <v>1984.7</v>
      </c>
      <c r="D75" s="87" vm="489">
        <f ca="1">IF($A75="","",IFERROR(INDEX(Market_Data!$I$21:$I$613,MATCH($A75,Market_Data!$H$21:INDEX(Market_Data!$H$21:$H$613,COUNT(Market_Data!$H$21:$H$613)),1)),""))</f>
        <v>916.1</v>
      </c>
      <c r="E75" s="87" vm="490">
        <f ca="1">IF($A75="","",IFERROR(INDEX(Market_Data!$L$21:$L$613,MATCH($A75,Market_Data!$K$21:INDEX(Market_Data!$K$21:$K$613,COUNT(Market_Data!$K$21:$K$613)),1)),""))</f>
        <v>3743.8</v>
      </c>
      <c r="F75" s="87" vm="491">
        <f ca="1">IF($A75="","",IFERROR(INDEX(Market_Data!$O$21:$O$613,MATCH($A75,Market_Data!$N$21:INDEX(Market_Data!$N$21:$N$613,COUNT(Market_Data!$N$21:$N$613)),1)),""))</f>
        <v>1315</v>
      </c>
      <c r="G75" s="87" vm="492">
        <f ca="1">IF($A75="","",IFERROR(INDEX(Market_Data!$R$21:$R$613,MATCH($A75,Market_Data!$Q$21:INDEX(Market_Data!$Q$21:$Q$613,COUNT(Market_Data!$Q$21:$Q$613)),1)),""))</f>
        <v>15469</v>
      </c>
      <c r="H75" s="87" vm="493">
        <f ca="1">IF($A75="","",IFERROR(INDEX(Market_Data!$U$21:$U$613,MATCH($A75,Market_Data!$T$21:INDEX(Market_Data!$T$21:$T$613,COUNT(Market_Data!$T$21:$T$613)),1)),""))</f>
        <v>1707</v>
      </c>
      <c r="I75" s="88">
        <f ca="1">IF($A75="","",IFERROR(INDEX(Query1[Close],MATCH($A75,Query1[Date],1)),""))</f>
        <v>25585.5</v>
      </c>
    </row>
    <row r="76" spans="1:9" x14ac:dyDescent="0.3">
      <c r="A76" s="86">
        <f t="shared" ca="1" si="2"/>
        <v>46048</v>
      </c>
      <c r="B76" s="87" vm="487">
        <f ca="1">IF($A76="","",IFERROR(INDEX(Market_Data!$C$21:$C$613,MATCH($A76,Market_Data!$B$21:INDEX(Market_Data!$B$21:$B$613,COUNT(Market_Data!$B$21:$B$613)),1)),""))</f>
        <v>1386.1</v>
      </c>
      <c r="C76" s="87" vm="488">
        <f ca="1">IF($A76="","",IFERROR(INDEX(Market_Data!$F$21:$F$613,MATCH($A76,Market_Data!$E$21:INDEX(Market_Data!$E$21:$E$613,COUNT(Market_Data!$E$21:$E$613)),1)),""))</f>
        <v>1984.7</v>
      </c>
      <c r="D76" s="87" vm="489">
        <f ca="1">IF($A76="","",IFERROR(INDEX(Market_Data!$I$21:$I$613,MATCH($A76,Market_Data!$H$21:INDEX(Market_Data!$H$21:$H$613,COUNT(Market_Data!$H$21:$H$613)),1)),""))</f>
        <v>916.1</v>
      </c>
      <c r="E76" s="87" vm="490">
        <f ca="1">IF($A76="","",IFERROR(INDEX(Market_Data!$L$21:$L$613,MATCH($A76,Market_Data!$K$21:INDEX(Market_Data!$K$21:$K$613,COUNT(Market_Data!$K$21:$K$613)),1)),""))</f>
        <v>3743.8</v>
      </c>
      <c r="F76" s="87" vm="491">
        <f ca="1">IF($A76="","",IFERROR(INDEX(Market_Data!$O$21:$O$613,MATCH($A76,Market_Data!$N$21:INDEX(Market_Data!$N$21:$N$613,COUNT(Market_Data!$N$21:$N$613)),1)),""))</f>
        <v>1315</v>
      </c>
      <c r="G76" s="87" vm="492">
        <f ca="1">IF($A76="","",IFERROR(INDEX(Market_Data!$R$21:$R$613,MATCH($A76,Market_Data!$Q$21:INDEX(Market_Data!$Q$21:$Q$613,COUNT(Market_Data!$Q$21:$Q$613)),1)),""))</f>
        <v>15469</v>
      </c>
      <c r="H76" s="87" vm="493">
        <f ca="1">IF($A76="","",IFERROR(INDEX(Market_Data!$U$21:$U$613,MATCH($A76,Market_Data!$T$21:INDEX(Market_Data!$T$21:$T$613,COUNT(Market_Data!$T$21:$T$613)),1)),""))</f>
        <v>1707</v>
      </c>
      <c r="I76" s="88">
        <f ca="1">IF($A76="","",IFERROR(INDEX(Query1[Close],MATCH($A76,Query1[Date],1)),""))</f>
        <v>25175.400390625</v>
      </c>
    </row>
    <row r="77" spans="1:9" x14ac:dyDescent="0.3">
      <c r="A77" s="86">
        <f t="shared" ca="1" si="2"/>
        <v>46055</v>
      </c>
      <c r="B77" s="87" vm="494">
        <f ca="1">IF($A77="","",IFERROR(INDEX(Market_Data!$C$21:$C$613,MATCH($A77,Market_Data!$B$21:INDEX(Market_Data!$B$21:$B$613,COUNT(Market_Data!$B$21:$B$613)),1)),""))</f>
        <v>1450.8</v>
      </c>
      <c r="C77" s="87" vm="495">
        <f ca="1">IF($A77="","",IFERROR(INDEX(Market_Data!$F$21:$F$613,MATCH($A77,Market_Data!$E$21:INDEX(Market_Data!$E$21:$E$613,COUNT(Market_Data!$E$21:$E$613)),1)),""))</f>
        <v>2038.4</v>
      </c>
      <c r="D77" s="87" vm="496">
        <f ca="1">IF($A77="","",IFERROR(INDEX(Market_Data!$I$21:$I$613,MATCH($A77,Market_Data!$H$21:INDEX(Market_Data!$H$21:$H$613,COUNT(Market_Data!$H$21:$H$613)),1)),""))</f>
        <v>941.1</v>
      </c>
      <c r="E77" s="87" vm="497">
        <f ca="1">IF($A77="","",IFERROR(INDEX(Market_Data!$L$21:$L$613,MATCH($A77,Market_Data!$K$21:INDEX(Market_Data!$K$21:$K$613,COUNT(Market_Data!$K$21:$K$613)),1)),""))</f>
        <v>4068.1</v>
      </c>
      <c r="F77" s="87" vm="498">
        <f ca="1">IF($A77="","",IFERROR(INDEX(Market_Data!$O$21:$O$613,MATCH($A77,Market_Data!$N$21:INDEX(Market_Data!$N$21:$N$613,COUNT(Market_Data!$N$21:$N$613)),1)),""))</f>
        <v>1330</v>
      </c>
      <c r="G77" s="87" vm="499">
        <f ca="1">IF($A77="","",IFERROR(INDEX(Market_Data!$R$21:$R$613,MATCH($A77,Market_Data!$Q$21:INDEX(Market_Data!$Q$21:$Q$613,COUNT(Market_Data!$Q$21:$Q$613)),1)),""))</f>
        <v>14997</v>
      </c>
      <c r="H77" s="87" vm="500">
        <f ca="1">IF($A77="","",IFERROR(INDEX(Market_Data!$U$21:$U$613,MATCH($A77,Market_Data!$T$21:INDEX(Market_Data!$T$21:$T$613,COUNT(Market_Data!$T$21:$T$613)),1)),""))</f>
        <v>1593.7</v>
      </c>
      <c r="I77" s="88">
        <f ca="1">IF($A77="","",IFERROR(INDEX(Query1[Close],MATCH($A77,Query1[Date],1)),""))</f>
        <v>25088.400390625</v>
      </c>
    </row>
    <row r="78" spans="1:9" x14ac:dyDescent="0.3">
      <c r="A78" s="86">
        <f t="shared" ca="1" si="2"/>
        <v>46062</v>
      </c>
      <c r="B78" s="87" vm="501">
        <f ca="1">IF($A78="","",IFERROR(INDEX(Market_Data!$C$21:$C$613,MATCH($A78,Market_Data!$B$21:INDEX(Market_Data!$B$21:$B$613,COUNT(Market_Data!$B$21:$B$613)),1)),""))</f>
        <v>1419.6</v>
      </c>
      <c r="C78" s="87" vm="502">
        <f ca="1">IF($A78="","",IFERROR(INDEX(Market_Data!$F$21:$F$613,MATCH($A78,Market_Data!$E$21:INDEX(Market_Data!$E$21:$E$613,COUNT(Market_Data!$E$21:$E$613)),1)),""))</f>
        <v>2004.7</v>
      </c>
      <c r="D78" s="87" vm="503">
        <f ca="1">IF($A78="","",IFERROR(INDEX(Market_Data!$I$21:$I$613,MATCH($A78,Market_Data!$H$21:INDEX(Market_Data!$H$21:$H$613,COUNT(Market_Data!$H$21:$H$613)),1)),""))</f>
        <v>903.9</v>
      </c>
      <c r="E78" s="87" vm="504">
        <f ca="1">IF($A78="","",IFERROR(INDEX(Market_Data!$L$21:$L$613,MATCH($A78,Market_Data!$K$21:INDEX(Market_Data!$K$21:$K$613,COUNT(Market_Data!$K$21:$K$613)),1)),""))</f>
        <v>4173.8999999999996</v>
      </c>
      <c r="F78" s="87" vm="505">
        <f ca="1">IF($A78="","",IFERROR(INDEX(Market_Data!$O$21:$O$613,MATCH($A78,Market_Data!$N$21:INDEX(Market_Data!$N$21:$N$613,COUNT(Market_Data!$N$21:$N$613)),1)),""))</f>
        <v>1331.5</v>
      </c>
      <c r="G78" s="87" vm="506">
        <f ca="1">IF($A78="","",IFERROR(INDEX(Market_Data!$R$21:$R$613,MATCH($A78,Market_Data!$Q$21:INDEX(Market_Data!$Q$21:$Q$613,COUNT(Market_Data!$Q$21:$Q$613)),1)),""))</f>
        <v>15237</v>
      </c>
      <c r="H78" s="87" vm="507">
        <f ca="1">IF($A78="","",IFERROR(INDEX(Market_Data!$U$21:$U$613,MATCH($A78,Market_Data!$T$21:INDEX(Market_Data!$T$21:$T$613,COUNT(Market_Data!$T$21:$T$613)),1)),""))</f>
        <v>1455.2</v>
      </c>
      <c r="I78" s="88">
        <f ca="1">IF($A78="","",IFERROR(INDEX(Query1[Close],MATCH($A78,Query1[Date],1)),""))</f>
        <v>25867.30078125</v>
      </c>
    </row>
    <row r="79" spans="1:9" x14ac:dyDescent="0.3">
      <c r="A79" s="86">
        <f t="shared" ca="1" si="2"/>
        <v>46069</v>
      </c>
      <c r="B79" s="87" vm="508">
        <f ca="1">IF($A79="","",IFERROR(INDEX(Market_Data!$C$21:$C$613,MATCH($A79,Market_Data!$B$21:INDEX(Market_Data!$B$21:$B$613,COUNT(Market_Data!$B$21:$B$613)),1)),""))</f>
        <v>1419.4</v>
      </c>
      <c r="C79" s="87" vm="509">
        <f ca="1">IF($A79="","",IFERROR(INDEX(Market_Data!$F$21:$F$613,MATCH($A79,Market_Data!$E$21:INDEX(Market_Data!$E$21:$E$613,COUNT(Market_Data!$E$21:$E$613)),1)),""))</f>
        <v>1977.4</v>
      </c>
      <c r="D79" s="87" vm="510">
        <f ca="1">IF($A79="","",IFERROR(INDEX(Market_Data!$I$21:$I$613,MATCH($A79,Market_Data!$H$21:INDEX(Market_Data!$H$21:$H$613,COUNT(Market_Data!$H$21:$H$613)),1)),""))</f>
        <v>911.85</v>
      </c>
      <c r="E79" s="87" vm="511">
        <f ca="1">IF($A79="","",IFERROR(INDEX(Market_Data!$L$21:$L$613,MATCH($A79,Market_Data!$K$21:INDEX(Market_Data!$K$21:$K$613,COUNT(Market_Data!$K$21:$K$613)),1)),""))</f>
        <v>4380.6000000000004</v>
      </c>
      <c r="F79" s="87" vm="512">
        <f ca="1">IF($A79="","",IFERROR(INDEX(Market_Data!$O$21:$O$613,MATCH($A79,Market_Data!$N$21:INDEX(Market_Data!$N$21:$N$613,COUNT(Market_Data!$N$21:$N$613)),1)),""))</f>
        <v>1341.1</v>
      </c>
      <c r="G79" s="87" vm="513">
        <f ca="1">IF($A79="","",IFERROR(INDEX(Market_Data!$R$21:$R$613,MATCH($A79,Market_Data!$Q$21:INDEX(Market_Data!$Q$21:$Q$613,COUNT(Market_Data!$Q$21:$Q$613)),1)),""))</f>
        <v>14977</v>
      </c>
      <c r="H79" s="87" vm="514">
        <f ca="1">IF($A79="","",IFERROR(INDEX(Market_Data!$U$21:$U$613,MATCH($A79,Market_Data!$T$21:INDEX(Market_Data!$T$21:$T$613,COUNT(Market_Data!$T$21:$T$613)),1)),""))</f>
        <v>1436.5</v>
      </c>
      <c r="I79" s="88">
        <f ca="1">IF($A79="","",IFERROR(INDEX(Query1[Close],MATCH($A79,Query1[Date],1)),""))</f>
        <v>25682.75</v>
      </c>
    </row>
    <row r="80" spans="1:9" x14ac:dyDescent="0.3">
      <c r="A80" s="86">
        <f t="shared" ca="1" si="2"/>
        <v>46076</v>
      </c>
      <c r="B80" s="87" vm="515">
        <f ca="1">IF($A80="","",IFERROR(INDEX(Market_Data!$C$21:$C$613,MATCH($A80,Market_Data!$B$21:INDEX(Market_Data!$B$21:$B$613,COUNT(Market_Data!$B$21:$B$613)),1)),""))</f>
        <v>1393.9</v>
      </c>
      <c r="C80" s="87" vm="516">
        <f ca="1">IF($A80="","",IFERROR(INDEX(Market_Data!$F$21:$F$613,MATCH($A80,Market_Data!$E$21:INDEX(Market_Data!$E$21:$E$613,COUNT(Market_Data!$E$21:$E$613)),1)),""))</f>
        <v>1879.3</v>
      </c>
      <c r="D80" s="87" vm="517">
        <f ca="1">IF($A80="","",IFERROR(INDEX(Market_Data!$I$21:$I$613,MATCH($A80,Market_Data!$H$21:INDEX(Market_Data!$H$21:$H$613,COUNT(Market_Data!$H$21:$H$613)),1)),""))</f>
        <v>887.75</v>
      </c>
      <c r="E80" s="87" vm="518">
        <f ca="1">IF($A80="","",IFERROR(INDEX(Market_Data!$L$21:$L$613,MATCH($A80,Market_Data!$K$21:INDEX(Market_Data!$K$21:$K$613,COUNT(Market_Data!$K$21:$K$613)),1)),""))</f>
        <v>4278.3</v>
      </c>
      <c r="F80" s="87" vm="519">
        <f ca="1">IF($A80="","",IFERROR(INDEX(Market_Data!$O$21:$O$613,MATCH($A80,Market_Data!$N$21:INDEX(Market_Data!$N$21:$N$613,COUNT(Market_Data!$N$21:$N$613)),1)),""))</f>
        <v>1348.2</v>
      </c>
      <c r="G80" s="87" vm="520">
        <f ca="1">IF($A80="","",IFERROR(INDEX(Market_Data!$R$21:$R$613,MATCH($A80,Market_Data!$Q$21:INDEX(Market_Data!$Q$21:$Q$613,COUNT(Market_Data!$Q$21:$Q$613)),1)),""))</f>
        <v>14857</v>
      </c>
      <c r="H80" s="87" vm="521">
        <f ca="1">IF($A80="","",IFERROR(INDEX(Market_Data!$U$21:$U$613,MATCH($A80,Market_Data!$T$21:INDEX(Market_Data!$T$21:$T$613,COUNT(Market_Data!$T$21:$T$613)),1)),""))</f>
        <v>1389.1</v>
      </c>
      <c r="I80" s="88">
        <f ca="1">IF($A80="","",IFERROR(INDEX(Query1[Close],MATCH($A80,Query1[Date],1)),""))</f>
        <v>25713</v>
      </c>
    </row>
    <row r="81" spans="1:9" x14ac:dyDescent="0.3">
      <c r="A81" s="86">
        <f t="shared" ca="1" si="2"/>
        <v>46083</v>
      </c>
      <c r="B81" s="87" vm="522">
        <f ca="1">IF($A81="","",IFERROR(INDEX(Market_Data!$C$21:$C$613,MATCH($A81,Market_Data!$B$21:INDEX(Market_Data!$B$21:$B$613,COUNT(Market_Data!$B$21:$B$613)),1)),""))</f>
        <v>1404.8</v>
      </c>
      <c r="C81" s="87" vm="523">
        <f ca="1">IF($A81="","",IFERROR(INDEX(Market_Data!$F$21:$F$613,MATCH($A81,Market_Data!$E$21:INDEX(Market_Data!$E$21:$E$613,COUNT(Market_Data!$E$21:$E$613)),1)),""))</f>
        <v>1870.8</v>
      </c>
      <c r="D81" s="87" vm="524">
        <f ca="1">IF($A81="","",IFERROR(INDEX(Market_Data!$I$21:$I$613,MATCH($A81,Market_Data!$H$21:INDEX(Market_Data!$H$21:$H$613,COUNT(Market_Data!$H$21:$H$613)),1)),""))</f>
        <v>857.05</v>
      </c>
      <c r="E81" s="87" vm="525">
        <f ca="1">IF($A81="","",IFERROR(INDEX(Market_Data!$L$21:$L$613,MATCH($A81,Market_Data!$K$21:INDEX(Market_Data!$K$21:$K$613,COUNT(Market_Data!$K$21:$K$613)),1)),""))</f>
        <v>3949.8</v>
      </c>
      <c r="F81" s="87" vm="526">
        <f ca="1">IF($A81="","",IFERROR(INDEX(Market_Data!$O$21:$O$613,MATCH($A81,Market_Data!$N$21:INDEX(Market_Data!$N$21:$N$613,COUNT(Market_Data!$N$21:$N$613)),1)),""))</f>
        <v>1321.2</v>
      </c>
      <c r="G81" s="87" vm="527">
        <f ca="1">IF($A81="","",IFERROR(INDEX(Market_Data!$R$21:$R$613,MATCH($A81,Market_Data!$Q$21:INDEX(Market_Data!$Q$21:$Q$613,COUNT(Market_Data!$Q$21:$Q$613)),1)),""))</f>
        <v>14159</v>
      </c>
      <c r="H81" s="87" vm="528">
        <f ca="1">IF($A81="","",IFERROR(INDEX(Market_Data!$U$21:$U$613,MATCH($A81,Market_Data!$T$21:INDEX(Market_Data!$T$21:$T$613,COUNT(Market_Data!$T$21:$T$613)),1)),""))</f>
        <v>1356.7</v>
      </c>
      <c r="I81" s="88">
        <f ca="1">IF($A81="","",IFERROR(INDEX(Query1[Close],MATCH($A81,Query1[Date],1)),""))</f>
        <v>24865.69921875</v>
      </c>
    </row>
    <row r="82" spans="1:9" x14ac:dyDescent="0.3">
      <c r="A82" s="86">
        <f t="shared" ca="1" si="2"/>
        <v>46090</v>
      </c>
      <c r="B82" s="87" vm="529">
        <f ca="1">IF($A82="","",IFERROR(INDEX(Market_Data!$C$21:$C$613,MATCH($A82,Market_Data!$B$21:INDEX(Market_Data!$B$21:$B$613,COUNT(Market_Data!$B$21:$B$613)),1)),""))</f>
        <v>1380.7</v>
      </c>
      <c r="C82" s="87" vm="530">
        <f ca="1">IF($A82="","",IFERROR(INDEX(Market_Data!$F$21:$F$613,MATCH($A82,Market_Data!$E$21:INDEX(Market_Data!$E$21:$E$613,COUNT(Market_Data!$E$21:$E$613)),1)),""))</f>
        <v>1803.4</v>
      </c>
      <c r="D82" s="87" vm="531">
        <f ca="1">IF($A82="","",IFERROR(INDEX(Market_Data!$I$21:$I$613,MATCH($A82,Market_Data!$H$21:INDEX(Market_Data!$H$21:$H$613,COUNT(Market_Data!$H$21:$H$613)),1)),""))</f>
        <v>817</v>
      </c>
      <c r="E82" s="87" vm="532">
        <f ca="1">IF($A82="","",IFERROR(INDEX(Market_Data!$L$21:$L$613,MATCH($A82,Market_Data!$K$21:INDEX(Market_Data!$K$21:$K$613,COUNT(Market_Data!$K$21:$K$613)),1)),""))</f>
        <v>3439</v>
      </c>
      <c r="F82" s="87" vm="533">
        <f ca="1">IF($A82="","",IFERROR(INDEX(Market_Data!$O$21:$O$613,MATCH($A82,Market_Data!$N$21:INDEX(Market_Data!$N$21:$N$613,COUNT(Market_Data!$N$21:$N$613)),1)),""))</f>
        <v>1314.7</v>
      </c>
      <c r="G82" s="87" vm="534">
        <f ca="1">IF($A82="","",IFERROR(INDEX(Market_Data!$R$21:$R$613,MATCH($A82,Market_Data!$Q$21:INDEX(Market_Data!$Q$21:$Q$613,COUNT(Market_Data!$Q$21:$Q$613)),1)),""))</f>
        <v>12591</v>
      </c>
      <c r="H82" s="87" vm="535">
        <f ca="1">IF($A82="","",IFERROR(INDEX(Market_Data!$U$21:$U$613,MATCH($A82,Market_Data!$T$21:INDEX(Market_Data!$T$21:$T$613,COUNT(Market_Data!$T$21:$T$613)),1)),""))</f>
        <v>1325.4</v>
      </c>
      <c r="I82" s="88">
        <f ca="1">IF($A82="","",IFERROR(INDEX(Query1[Close],MATCH($A82,Query1[Date],1)),""))</f>
        <v>24028.05078125</v>
      </c>
    </row>
    <row r="83" spans="1:9" x14ac:dyDescent="0.3">
      <c r="A83" s="86">
        <f t="shared" ca="1" si="2"/>
        <v>46097</v>
      </c>
      <c r="B83" s="87" vm="536">
        <f ca="1">IF($A83="","",IFERROR(INDEX(Market_Data!$C$21:$C$613,MATCH($A83,Market_Data!$B$21:INDEX(Market_Data!$B$21:$B$613,COUNT(Market_Data!$B$21:$B$613)),1)),""))</f>
        <v>1414.4</v>
      </c>
      <c r="C83" s="87" vm="537">
        <f ca="1">IF($A83="","",IFERROR(INDEX(Market_Data!$F$21:$F$613,MATCH($A83,Market_Data!$E$21:INDEX(Market_Data!$E$21:$E$613,COUNT(Market_Data!$E$21:$E$613)),1)),""))</f>
        <v>1846.1</v>
      </c>
      <c r="D83" s="87" vm="538">
        <f ca="1">IF($A83="","",IFERROR(INDEX(Market_Data!$I$21:$I$613,MATCH($A83,Market_Data!$H$21:INDEX(Market_Data!$H$21:$H$613,COUNT(Market_Data!$H$21:$H$613)),1)),""))</f>
        <v>780.45</v>
      </c>
      <c r="E83" s="87" vm="539">
        <f ca="1">IF($A83="","",IFERROR(INDEX(Market_Data!$L$21:$L$613,MATCH($A83,Market_Data!$K$21:INDEX(Market_Data!$K$21:$K$613,COUNT(Market_Data!$K$21:$K$613)),1)),""))</f>
        <v>3434.8</v>
      </c>
      <c r="F83" s="87" vm="540">
        <f ca="1">IF($A83="","",IFERROR(INDEX(Market_Data!$O$21:$O$613,MATCH($A83,Market_Data!$N$21:INDEX(Market_Data!$N$21:$N$613,COUNT(Market_Data!$N$21:$N$613)),1)),""))</f>
        <v>1256.4000000000001</v>
      </c>
      <c r="G83" s="87" vm="541">
        <f ca="1">IF($A83="","",IFERROR(INDEX(Market_Data!$R$21:$R$613,MATCH($A83,Market_Data!$Q$21:INDEX(Market_Data!$Q$21:$Q$613,COUNT(Market_Data!$Q$21:$Q$613)),1)),""))</f>
        <v>12601</v>
      </c>
      <c r="H83" s="87" vm="542">
        <f ca="1">IF($A83="","",IFERROR(INDEX(Market_Data!$U$21:$U$613,MATCH($A83,Market_Data!$T$21:INDEX(Market_Data!$T$21:$T$613,COUNT(Market_Data!$T$21:$T$613)),1)),""))</f>
        <v>1333.7</v>
      </c>
      <c r="I83" s="88">
        <f ca="1">IF($A83="","",IFERROR(INDEX(Query1[Close],MATCH($A83,Query1[Date],1)),""))</f>
        <v>23408.80078125</v>
      </c>
    </row>
    <row r="84" spans="1:9" x14ac:dyDescent="0.3">
      <c r="A84" s="86">
        <f t="shared" ca="1" si="2"/>
        <v>46104</v>
      </c>
      <c r="B84" s="87" vm="543">
        <f ca="1">IF($A84="","",IFERROR(INDEX(Market_Data!$C$21:$C$613,MATCH($A84,Market_Data!$B$21:INDEX(Market_Data!$B$21:$B$613,COUNT(Market_Data!$B$21:$B$613)),1)),""))</f>
        <v>1348.1</v>
      </c>
      <c r="C84" s="87" vm="544">
        <f ca="1">IF($A84="","",IFERROR(INDEX(Market_Data!$F$21:$F$613,MATCH($A84,Market_Data!$E$21:INDEX(Market_Data!$E$21:$E$613,COUNT(Market_Data!$E$21:$E$613)),1)),""))</f>
        <v>1843.9</v>
      </c>
      <c r="D84" s="87" vm="545">
        <f ca="1">IF($A84="","",IFERROR(INDEX(Market_Data!$I$21:$I$613,MATCH($A84,Market_Data!$H$21:INDEX(Market_Data!$H$21:$H$613,COUNT(Market_Data!$H$21:$H$613)),1)),""))</f>
        <v>756.2</v>
      </c>
      <c r="E84" s="87" vm="546">
        <f ca="1">IF($A84="","",IFERROR(INDEX(Market_Data!$L$21:$L$613,MATCH($A84,Market_Data!$K$21:INDEX(Market_Data!$K$21:$K$613,COUNT(Market_Data!$K$21:$K$613)),1)),""))</f>
        <v>3564.1</v>
      </c>
      <c r="F84" s="87" vm="547">
        <f ca="1">IF($A84="","",IFERROR(INDEX(Market_Data!$O$21:$O$613,MATCH($A84,Market_Data!$N$21:INDEX(Market_Data!$N$21:$N$613,COUNT(Market_Data!$N$21:$N$613)),1)),""))</f>
        <v>1242.3</v>
      </c>
      <c r="G84" s="87" vm="548">
        <f ca="1">IF($A84="","",IFERROR(INDEX(Market_Data!$R$21:$R$613,MATCH($A84,Market_Data!$Q$21:INDEX(Market_Data!$Q$21:$Q$613,COUNT(Market_Data!$Q$21:$Q$613)),1)),""))</f>
        <v>12389</v>
      </c>
      <c r="H84" s="87" vm="549">
        <f ca="1">IF($A84="","",IFERROR(INDEX(Market_Data!$U$21:$U$613,MATCH($A84,Market_Data!$T$21:INDEX(Market_Data!$T$21:$T$613,COUNT(Market_Data!$T$21:$T$613)),1)),""))</f>
        <v>1364.4</v>
      </c>
      <c r="I84" s="88">
        <f ca="1">IF($A84="","",IFERROR(INDEX(Query1[Close],MATCH($A84,Query1[Date],1)),""))</f>
        <v>22512.650390625</v>
      </c>
    </row>
    <row r="85" spans="1:9" x14ac:dyDescent="0.3">
      <c r="A85" s="86">
        <f t="shared" ca="1" si="2"/>
        <v>46111</v>
      </c>
      <c r="B85" s="87" vm="550">
        <f ca="1">IF($A85="","",IFERROR(INDEX(Market_Data!$C$21:$C$613,MATCH($A85,Market_Data!$B$21:INDEX(Market_Data!$B$21:$B$613,COUNT(Market_Data!$B$21:$B$613)),1)),""))</f>
        <v>1350.5</v>
      </c>
      <c r="C85" s="87" vm="551">
        <f ca="1">IF($A85="","",IFERROR(INDEX(Market_Data!$F$21:$F$613,MATCH($A85,Market_Data!$E$21:INDEX(Market_Data!$E$21:$E$613,COUNT(Market_Data!$E$21:$E$613)),1)),""))</f>
        <v>1789.7</v>
      </c>
      <c r="D85" s="87" vm="552">
        <f ca="1">IF($A85="","",IFERROR(INDEX(Market_Data!$I$21:$I$613,MATCH($A85,Market_Data!$H$21:INDEX(Market_Data!$H$21:$H$613,COUNT(Market_Data!$H$21:$H$613)),1)),""))</f>
        <v>750.9</v>
      </c>
      <c r="E85" s="87" vm="553">
        <f ca="1">IF($A85="","",IFERROR(INDEX(Market_Data!$L$21:$L$613,MATCH($A85,Market_Data!$K$21:INDEX(Market_Data!$K$21:$K$613,COUNT(Market_Data!$K$21:$K$613)),1)),""))</f>
        <v>3613.1</v>
      </c>
      <c r="F85" s="87" vm="554">
        <f ca="1">IF($A85="","",IFERROR(INDEX(Market_Data!$O$21:$O$613,MATCH($A85,Market_Data!$N$21:INDEX(Market_Data!$N$21:$N$613,COUNT(Market_Data!$N$21:$N$613)),1)),""))</f>
        <v>1192.4000000000001</v>
      </c>
      <c r="G85" s="87" vm="555">
        <f ca="1">IF($A85="","",IFERROR(INDEX(Market_Data!$R$21:$R$613,MATCH($A85,Market_Data!$Q$21:INDEX(Market_Data!$Q$21:$Q$613,COUNT(Market_Data!$Q$21:$Q$613)),1)),""))</f>
        <v>12631</v>
      </c>
      <c r="H85" s="87" vm="556">
        <f ca="1">IF($A85="","",IFERROR(INDEX(Market_Data!$U$21:$U$613,MATCH($A85,Market_Data!$T$21:INDEX(Market_Data!$T$21:$T$613,COUNT(Market_Data!$T$21:$T$613)),1)),""))</f>
        <v>1402.2</v>
      </c>
      <c r="I85" s="88">
        <f ca="1">IF($A85="","",IFERROR(INDEX(Query1[Close],MATCH($A85,Query1[Date],1)),""))</f>
        <v>22331.400390625</v>
      </c>
    </row>
    <row r="86" spans="1:9" x14ac:dyDescent="0.3">
      <c r="A86" s="86">
        <f t="shared" ca="1" si="2"/>
        <v>46118</v>
      </c>
      <c r="B86" s="87" vm="557">
        <f ca="1">IF($A86="","",IFERROR(INDEX(Market_Data!$C$21:$C$613,MATCH($A86,Market_Data!$B$21:INDEX(Market_Data!$B$21:$B$613,COUNT(Market_Data!$B$21:$B$613)),1)),""))</f>
        <v>1350.2</v>
      </c>
      <c r="C86" s="87" vm="558">
        <f ca="1">IF($A86="","",IFERROR(INDEX(Market_Data!$F$21:$F$613,MATCH($A86,Market_Data!$E$21:INDEX(Market_Data!$E$21:$E$613,COUNT(Market_Data!$E$21:$E$613)),1)),""))</f>
        <v>1870</v>
      </c>
      <c r="D86" s="87" vm="559">
        <f ca="1">IF($A86="","",IFERROR(INDEX(Market_Data!$I$21:$I$613,MATCH($A86,Market_Data!$H$21:INDEX(Market_Data!$H$21:$H$613,COUNT(Market_Data!$H$21:$H$613)),1)),""))</f>
        <v>810.3</v>
      </c>
      <c r="E86" s="87" vm="560">
        <f ca="1">IF($A86="","",IFERROR(INDEX(Market_Data!$L$21:$L$613,MATCH($A86,Market_Data!$K$21:INDEX(Market_Data!$K$21:$K$613,COUNT(Market_Data!$K$21:$K$613)),1)),""))</f>
        <v>3959.9</v>
      </c>
      <c r="F86" s="87" vm="561">
        <f ca="1">IF($A86="","",IFERROR(INDEX(Market_Data!$O$21:$O$613,MATCH($A86,Market_Data!$N$21:INDEX(Market_Data!$N$21:$N$613,COUNT(Market_Data!$N$21:$N$613)),1)),""))</f>
        <v>1229.5</v>
      </c>
      <c r="G86" s="87" vm="562">
        <f ca="1">IF($A86="","",IFERROR(INDEX(Market_Data!$R$21:$R$613,MATCH($A86,Market_Data!$Q$21:INDEX(Market_Data!$Q$21:$Q$613,COUNT(Market_Data!$Q$21:$Q$613)),1)),""))</f>
        <v>13709</v>
      </c>
      <c r="H86" s="87" vm="563">
        <f ca="1">IF($A86="","",IFERROR(INDEX(Market_Data!$U$21:$U$613,MATCH($A86,Market_Data!$T$21:INDEX(Market_Data!$T$21:$T$613,COUNT(Market_Data!$T$21:$T$613)),1)),""))</f>
        <v>1451.2</v>
      </c>
      <c r="I86" s="88">
        <f ca="1">IF($A86="","",IFERROR(INDEX(Query1[Close],MATCH($A86,Query1[Date],1)),""))</f>
        <v>22968.25</v>
      </c>
    </row>
    <row r="87" spans="1:9" x14ac:dyDescent="0.3">
      <c r="A87" s="86">
        <f t="shared" ca="1" si="2"/>
        <v>46125</v>
      </c>
      <c r="B87" s="87" vm="564">
        <f ca="1">IF($A87="","",IFERROR(INDEX(Market_Data!$C$21:$C$613,MATCH($A87,Market_Data!$B$21:INDEX(Market_Data!$B$21:$B$613,COUNT(Market_Data!$B$21:$B$613)),1)),""))</f>
        <v>1365</v>
      </c>
      <c r="C87" s="87" vm="565">
        <f ca="1">IF($A87="","",IFERROR(INDEX(Market_Data!$F$21:$F$613,MATCH($A87,Market_Data!$E$21:INDEX(Market_Data!$E$21:$E$613,COUNT(Market_Data!$E$21:$E$613)),1)),""))</f>
        <v>1846.9</v>
      </c>
      <c r="D87" s="87" vm="566">
        <f ca="1">IF($A87="","",IFERROR(INDEX(Market_Data!$I$21:$I$613,MATCH($A87,Market_Data!$H$21:INDEX(Market_Data!$H$21:$H$613,COUNT(Market_Data!$H$21:$H$613)),1)),""))</f>
        <v>799.9</v>
      </c>
      <c r="E87" s="87" vm="567">
        <f ca="1">IF($A87="","",IFERROR(INDEX(Market_Data!$L$21:$L$613,MATCH($A87,Market_Data!$K$21:INDEX(Market_Data!$K$21:$K$613,COUNT(Market_Data!$K$21:$K$613)),1)),""))</f>
        <v>4096.1000000000004</v>
      </c>
      <c r="F87" s="87" vm="568">
        <f ca="1">IF($A87="","",IFERROR(INDEX(Market_Data!$O$21:$O$613,MATCH($A87,Market_Data!$N$21:INDEX(Market_Data!$N$21:$N$613,COUNT(Market_Data!$N$21:$N$613)),1)),""))</f>
        <v>1240.8</v>
      </c>
      <c r="G87" s="87" vm="569">
        <f ca="1">IF($A87="","",IFERROR(INDEX(Market_Data!$R$21:$R$613,MATCH($A87,Market_Data!$Q$21:INDEX(Market_Data!$Q$21:$Q$613,COUNT(Market_Data!$Q$21:$Q$613)),1)),""))</f>
        <v>13453</v>
      </c>
      <c r="H87" s="87" vm="138">
        <f ca="1">IF($A87="","",IFERROR(INDEX(Market_Data!$U$21:$U$613,MATCH($A87,Market_Data!$T$21:INDEX(Market_Data!$T$21:$T$613,COUNT(Market_Data!$T$21:$T$613)),1)),""))</f>
        <v>1442.3</v>
      </c>
      <c r="I87" s="88">
        <f ca="1">IF($A87="","",IFERROR(INDEX(Query1[Close],MATCH($A87,Query1[Date],1)),""))</f>
        <v>23842.650390625</v>
      </c>
    </row>
    <row r="88" spans="1:9" x14ac:dyDescent="0.3">
      <c r="A88" s="86">
        <f t="shared" ca="1" si="2"/>
        <v>46132</v>
      </c>
      <c r="B88" s="87" vm="570">
        <f ca="1">IF($A88="","",IFERROR(INDEX(Market_Data!$C$21:$C$613,MATCH($A88,Market_Data!$B$21:INDEX(Market_Data!$B$21:$B$613,COUNT(Market_Data!$B$21:$B$613)),1)),""))</f>
        <v>1327.8</v>
      </c>
      <c r="C88" s="87" vm="571">
        <f ca="1">IF($A88="","",IFERROR(INDEX(Market_Data!$F$21:$F$613,MATCH($A88,Market_Data!$E$21:INDEX(Market_Data!$E$21:$E$613,COUNT(Market_Data!$E$21:$E$613)),1)),""))</f>
        <v>1814.5</v>
      </c>
      <c r="D88" s="87" vm="572">
        <f ca="1">IF($A88="","",IFERROR(INDEX(Market_Data!$I$21:$I$613,MATCH($A88,Market_Data!$H$21:INDEX(Market_Data!$H$21:$H$613,COUNT(Market_Data!$H$21:$H$613)),1)),""))</f>
        <v>784.85</v>
      </c>
      <c r="E88" s="87" vm="573">
        <f ca="1">IF($A88="","",IFERROR(INDEX(Market_Data!$L$21:$L$613,MATCH($A88,Market_Data!$K$21:INDEX(Market_Data!$K$21:$K$613,COUNT(Market_Data!$K$21:$K$613)),1)),""))</f>
        <v>4014.3</v>
      </c>
      <c r="F88" s="87" vm="574">
        <f ca="1">IF($A88="","",IFERROR(INDEX(Market_Data!$O$21:$O$613,MATCH($A88,Market_Data!$N$21:INDEX(Market_Data!$N$21:$N$613,COUNT(Market_Data!$N$21:$N$613)),1)),""))</f>
        <v>1295</v>
      </c>
      <c r="G88" s="87" vm="575">
        <f ca="1">IF($A88="","",IFERROR(INDEX(Market_Data!$R$21:$R$613,MATCH($A88,Market_Data!$Q$21:INDEX(Market_Data!$Q$21:$Q$613,COUNT(Market_Data!$Q$21:$Q$613)),1)),""))</f>
        <v>13048</v>
      </c>
      <c r="H88" s="87" vm="576">
        <f ca="1">IF($A88="","",IFERROR(INDEX(Market_Data!$U$21:$U$613,MATCH($A88,Market_Data!$T$21:INDEX(Market_Data!$T$21:$T$613,COUNT(Market_Data!$T$21:$T$613)),1)),""))</f>
        <v>1203.2</v>
      </c>
      <c r="I88" s="88">
        <f ca="1">IF($A88="","",IFERROR(INDEX(Query1[Close],MATCH($A88,Query1[Date],1)),""))</f>
        <v>24364.849609375</v>
      </c>
    </row>
    <row r="89" spans="1:9" x14ac:dyDescent="0.3">
      <c r="A89" s="86">
        <f t="shared" ca="1" si="2"/>
        <v>46139</v>
      </c>
      <c r="B89" s="87" vm="577">
        <f ca="1">IF($A89="","",IFERROR(INDEX(Market_Data!$C$21:$C$613,MATCH($A89,Market_Data!$B$21:INDEX(Market_Data!$B$21:$B$613,COUNT(Market_Data!$B$21:$B$613)),1)),""))</f>
        <v>1430.8</v>
      </c>
      <c r="C89" s="87" vm="578">
        <f ca="1">IF($A89="","",IFERROR(INDEX(Market_Data!$F$21:$F$613,MATCH($A89,Market_Data!$E$21:INDEX(Market_Data!$E$21:$E$613,COUNT(Market_Data!$E$21:$E$613)),1)),""))</f>
        <v>1886.8</v>
      </c>
      <c r="D89" s="87" vm="579">
        <f ca="1">IF($A89="","",IFERROR(INDEX(Market_Data!$I$21:$I$613,MATCH($A89,Market_Data!$H$21:INDEX(Market_Data!$H$21:$H$613,COUNT(Market_Data!$H$21:$H$613)),1)),""))</f>
        <v>771.7</v>
      </c>
      <c r="E89" s="87" vm="580">
        <f ca="1">IF($A89="","",IFERROR(INDEX(Market_Data!$L$21:$L$613,MATCH($A89,Market_Data!$K$21:INDEX(Market_Data!$K$21:$K$613,COUNT(Market_Data!$K$21:$K$613)),1)),""))</f>
        <v>4014</v>
      </c>
      <c r="F89" s="87" vm="581">
        <f ca="1">IF($A89="","",IFERROR(INDEX(Market_Data!$O$21:$O$613,MATCH($A89,Market_Data!$N$21:INDEX(Market_Data!$N$21:$N$613,COUNT(Market_Data!$N$21:$N$613)),1)),""))</f>
        <v>1309.5999999999999</v>
      </c>
      <c r="G89" s="87" vm="582">
        <f ca="1">IF($A89="","",IFERROR(INDEX(Market_Data!$R$21:$R$613,MATCH($A89,Market_Data!$Q$21:INDEX(Market_Data!$Q$21:$Q$613,COUNT(Market_Data!$Q$21:$Q$613)),1)),""))</f>
        <v>13314</v>
      </c>
      <c r="H89" s="87" vm="583">
        <f ca="1">IF($A89="","",IFERROR(INDEX(Market_Data!$U$21:$U$613,MATCH($A89,Market_Data!$T$21:INDEX(Market_Data!$T$21:$T$613,COUNT(Market_Data!$T$21:$T$613)),1)),""))</f>
        <v>1199.0999999999999</v>
      </c>
      <c r="I89" s="88">
        <f ca="1">IF($A89="","",IFERROR(INDEX(Query1[Close],MATCH($A89,Query1[Date],1)),""))</f>
        <v>24092.69921875</v>
      </c>
    </row>
    <row r="90" spans="1:9" x14ac:dyDescent="0.3">
      <c r="A90" s="86">
        <f t="shared" ca="1" si="2"/>
        <v>46146</v>
      </c>
      <c r="B90" s="87" vm="584">
        <f ca="1">IF($A90="","",IFERROR(INDEX(Market_Data!$C$21:$C$613,MATCH($A90,Market_Data!$B$21:INDEX(Market_Data!$B$21:$B$613,COUNT(Market_Data!$B$21:$B$613)),1)),""))</f>
        <v>1435.2</v>
      </c>
      <c r="C90" s="87" vm="585">
        <f ca="1">IF($A90="","",IFERROR(INDEX(Market_Data!$F$21:$F$613,MATCH($A90,Market_Data!$E$21:INDEX(Market_Data!$E$21:$E$613,COUNT(Market_Data!$E$21:$E$613)),1)),""))</f>
        <v>1834.5</v>
      </c>
      <c r="D90" s="87" vm="586">
        <f ca="1">IF($A90="","",IFERROR(INDEX(Market_Data!$I$21:$I$613,MATCH($A90,Market_Data!$H$21:INDEX(Market_Data!$H$21:$H$613,COUNT(Market_Data!$H$21:$H$613)),1)),""))</f>
        <v>780.85</v>
      </c>
      <c r="E90" s="87" vm="587">
        <f ca="1">IF($A90="","",IFERROR(INDEX(Market_Data!$L$21:$L$613,MATCH($A90,Market_Data!$K$21:INDEX(Market_Data!$K$21:$K$613,COUNT(Market_Data!$K$21:$K$613)),1)),""))</f>
        <v>3974.5</v>
      </c>
      <c r="F90" s="87" vm="588">
        <f ca="1">IF($A90="","",IFERROR(INDEX(Market_Data!$O$21:$O$613,MATCH($A90,Market_Data!$N$21:INDEX(Market_Data!$N$21:$N$613,COUNT(Market_Data!$N$21:$N$613)),1)),""))</f>
        <v>1347</v>
      </c>
      <c r="G90" s="87" vm="589">
        <f ca="1">IF($A90="","",IFERROR(INDEX(Market_Data!$R$21:$R$613,MATCH($A90,Market_Data!$Q$21:INDEX(Market_Data!$Q$21:$Q$613,COUNT(Market_Data!$Q$21:$Q$613)),1)),""))</f>
        <v>13726</v>
      </c>
      <c r="H90" s="87" vm="590">
        <f ca="1">IF($A90="","",IFERROR(INDEX(Market_Data!$U$21:$U$613,MATCH($A90,Market_Data!$T$21:INDEX(Market_Data!$T$21:$T$613,COUNT(Market_Data!$T$21:$T$613)),1)),""))</f>
        <v>1198.4000000000001</v>
      </c>
      <c r="I90" s="88">
        <f ca="1">IF($A90="","",IFERROR(INDEX(Query1[Close],MATCH($A90,Query1[Date],1)),""))</f>
        <v>24119.30078125</v>
      </c>
    </row>
    <row r="91" spans="1:9" x14ac:dyDescent="0.3">
      <c r="A91" s="86">
        <f t="shared" ca="1" si="2"/>
        <v>46153</v>
      </c>
      <c r="B91" s="87" vm="591">
        <f ca="1">IF($A91="","",IFERROR(INDEX(Market_Data!$C$21:$C$613,MATCH($A91,Market_Data!$B$21:INDEX(Market_Data!$B$21:$B$613,COUNT(Market_Data!$B$21:$B$613)),1)),""))</f>
        <v>1336.4</v>
      </c>
      <c r="C91" s="87" vm="592">
        <f ca="1">IF($A91="","",IFERROR(INDEX(Market_Data!$F$21:$F$613,MATCH($A91,Market_Data!$E$21:INDEX(Market_Data!$E$21:$E$613,COUNT(Market_Data!$E$21:$E$613)),1)),""))</f>
        <v>1905.4</v>
      </c>
      <c r="D91" s="87" vm="593">
        <f ca="1">IF($A91="","",IFERROR(INDEX(Market_Data!$I$21:$I$613,MATCH($A91,Market_Data!$H$21:INDEX(Market_Data!$H$21:$H$613,COUNT(Market_Data!$H$21:$H$613)),1)),""))</f>
        <v>767.5</v>
      </c>
      <c r="E91" s="87" vm="594">
        <f ca="1">IF($A91="","",IFERROR(INDEX(Market_Data!$L$21:$L$613,MATCH($A91,Market_Data!$K$21:INDEX(Market_Data!$K$21:$K$613,COUNT(Market_Data!$K$21:$K$613)),1)),""))</f>
        <v>3909</v>
      </c>
      <c r="F91" s="87" vm="595">
        <f ca="1">IF($A91="","",IFERROR(INDEX(Market_Data!$O$21:$O$613,MATCH($A91,Market_Data!$N$21:INDEX(Market_Data!$N$21:$N$613,COUNT(Market_Data!$N$21:$N$613)),1)),""))</f>
        <v>1432.1</v>
      </c>
      <c r="G91" s="87" vm="596">
        <f ca="1">IF($A91="","",IFERROR(INDEX(Market_Data!$R$21:$R$613,MATCH($A91,Market_Data!$Q$21:INDEX(Market_Data!$Q$21:$Q$613,COUNT(Market_Data!$Q$21:$Q$613)),1)),""))</f>
        <v>13221</v>
      </c>
      <c r="H91" s="87" vm="597">
        <f ca="1">IF($A91="","",IFERROR(INDEX(Market_Data!$U$21:$U$613,MATCH($A91,Market_Data!$T$21:INDEX(Market_Data!$T$21:$T$613,COUNT(Market_Data!$T$21:$T$613)),1)),""))</f>
        <v>1132.5999999999999</v>
      </c>
      <c r="I91" s="88">
        <f ca="1">IF($A91="","",IFERROR(INDEX(Query1[Close],MATCH($A91,Query1[Date],1)),""))</f>
        <v>23815.849609375</v>
      </c>
    </row>
    <row r="92" spans="1:9" x14ac:dyDescent="0.3">
      <c r="A92" s="86">
        <f t="shared" ca="1" si="2"/>
        <v>46160</v>
      </c>
      <c r="B92" s="87" vm="598">
        <f ca="1">IF($A92="","",IFERROR(INDEX(Market_Data!$C$21:$C$613,MATCH($A92,Market_Data!$B$21:INDEX(Market_Data!$B$21:$B$613,COUNT(Market_Data!$B$21:$B$613)),1)),""))</f>
        <v>1354.5</v>
      </c>
      <c r="C92" s="87" vm="599">
        <f ca="1">IF($A92="","",IFERROR(INDEX(Market_Data!$F$21:$F$613,MATCH($A92,Market_Data!$E$21:INDEX(Market_Data!$E$21:$E$613,COUNT(Market_Data!$E$21:$E$613)),1)),""))</f>
        <v>1871.4</v>
      </c>
      <c r="D92" s="87" vm="600">
        <f ca="1">IF($A92="","",IFERROR(INDEX(Market_Data!$I$21:$I$613,MATCH($A92,Market_Data!$H$21:INDEX(Market_Data!$H$21:$H$613,COUNT(Market_Data!$H$21:$H$613)),1)),""))</f>
        <v>766.8</v>
      </c>
      <c r="E92" s="87" vm="601">
        <f ca="1">IF($A92="","",IFERROR(INDEX(Market_Data!$L$21:$L$613,MATCH($A92,Market_Data!$K$21:INDEX(Market_Data!$K$21:$K$613,COUNT(Market_Data!$K$21:$K$613)),1)),""))</f>
        <v>3926.6</v>
      </c>
      <c r="F92" s="87" vm="602">
        <f ca="1">IF($A92="","",IFERROR(INDEX(Market_Data!$O$21:$O$613,MATCH($A92,Market_Data!$N$21:INDEX(Market_Data!$N$21:$N$613,COUNT(Market_Data!$N$21:$N$613)),1)),""))</f>
        <v>1399.2</v>
      </c>
      <c r="G92" s="87" vm="603">
        <f ca="1">IF($A92="","",IFERROR(INDEX(Market_Data!$R$21:$R$613,MATCH($A92,Market_Data!$Q$21:INDEX(Market_Data!$Q$21:$Q$613,COUNT(Market_Data!$Q$21:$Q$613)),1)),""))</f>
        <v>12987</v>
      </c>
      <c r="H92" s="87" vm="604">
        <f ca="1">IF($A92="","",IFERROR(INDEX(Market_Data!$U$21:$U$613,MATCH($A92,Market_Data!$T$21:INDEX(Market_Data!$T$21:$T$613,COUNT(Market_Data!$T$21:$T$613)),1)),""))</f>
        <v>1164</v>
      </c>
      <c r="I92" s="88">
        <f ca="1">IF($A92="","",IFERROR(INDEX(Query1[Close],MATCH($A92,Query1[Date],1)),""))</f>
        <v>23649.94921875</v>
      </c>
    </row>
    <row r="93" spans="1:9" x14ac:dyDescent="0.3">
      <c r="A93" s="86">
        <f t="shared" ca="1" si="2"/>
        <v>46167</v>
      </c>
      <c r="B93" s="87" vm="526">
        <f ca="1">IF($A93="","",IFERROR(INDEX(Market_Data!$C$21:$C$613,MATCH($A93,Market_Data!$B$21:INDEX(Market_Data!$B$21:$B$613,COUNT(Market_Data!$B$21:$B$613)),1)),""))</f>
        <v>1321.2</v>
      </c>
      <c r="C93" s="87" vm="605">
        <f ca="1">IF($A93="","",IFERROR(INDEX(Market_Data!$F$21:$F$613,MATCH($A93,Market_Data!$E$21:INDEX(Market_Data!$E$21:$E$613,COUNT(Market_Data!$E$21:$E$613)),1)),""))</f>
        <v>1829</v>
      </c>
      <c r="D93" s="87" vm="606">
        <f ca="1">IF($A93="","",IFERROR(INDEX(Market_Data!$I$21:$I$613,MATCH($A93,Market_Data!$H$21:INDEX(Market_Data!$H$21:$H$613,COUNT(Market_Data!$H$21:$H$613)),1)),""))</f>
        <v>744.55</v>
      </c>
      <c r="E93" s="87" vm="607">
        <f ca="1">IF($A93="","",IFERROR(INDEX(Market_Data!$L$21:$L$613,MATCH($A93,Market_Data!$K$21:INDEX(Market_Data!$K$21:$K$613,COUNT(Market_Data!$K$21:$K$613)),1)),""))</f>
        <v>4076.5</v>
      </c>
      <c r="F93" s="87" vm="608">
        <f ca="1">IF($A93="","",IFERROR(INDEX(Market_Data!$O$21:$O$613,MATCH($A93,Market_Data!$N$21:INDEX(Market_Data!$N$21:$N$613,COUNT(Market_Data!$N$21:$N$613)),1)),""))</f>
        <v>1401</v>
      </c>
      <c r="G93" s="87" vm="609">
        <f ca="1">IF($A93="","",IFERROR(INDEX(Market_Data!$R$21:$R$613,MATCH($A93,Market_Data!$Q$21:INDEX(Market_Data!$Q$21:$Q$613,COUNT(Market_Data!$Q$21:$Q$613)),1)),""))</f>
        <v>13127</v>
      </c>
      <c r="H93" s="87" vm="610">
        <f ca="1">IF($A93="","",IFERROR(INDEX(Market_Data!$U$21:$U$613,MATCH($A93,Market_Data!$T$21:INDEX(Market_Data!$T$21:$T$613,COUNT(Market_Data!$T$21:$T$613)),1)),""))</f>
        <v>1183.8</v>
      </c>
      <c r="I93" s="88">
        <f ca="1">IF($A93="","",IFERROR(INDEX(Query1[Close],MATCH($A93,Query1[Date],1)),""))</f>
        <v>24031.69921875</v>
      </c>
    </row>
    <row r="94" spans="1:9" x14ac:dyDescent="0.3">
      <c r="A94" s="86">
        <f t="shared" ca="1" si="2"/>
        <v>46174</v>
      </c>
      <c r="B94" s="87" vm="611">
        <f ca="1">IF($A94="","",IFERROR(INDEX(Market_Data!$C$21:$C$613,MATCH($A94,Market_Data!$B$21:INDEX(Market_Data!$B$21:$B$613,COUNT(Market_Data!$B$21:$B$613)),1)),""))</f>
        <v>1291</v>
      </c>
      <c r="C94" s="87" vm="612">
        <f ca="1">IF($A94="","",IFERROR(INDEX(Market_Data!$F$21:$F$613,MATCH($A94,Market_Data!$E$21:INDEX(Market_Data!$E$21:$E$613,COUNT(Market_Data!$E$21:$E$613)),1)),""))</f>
        <v>1798.2</v>
      </c>
      <c r="D94" s="87" vm="613">
        <f ca="1">IF($A94="","",IFERROR(INDEX(Market_Data!$I$21:$I$613,MATCH($A94,Market_Data!$H$21:INDEX(Market_Data!$H$21:$H$613,COUNT(Market_Data!$H$21:$H$613)),1)),""))</f>
        <v>747.05</v>
      </c>
      <c r="E94" s="87" vm="614">
        <f ca="1">IF($A94="","",IFERROR(INDEX(Market_Data!$L$21:$L$613,MATCH($A94,Market_Data!$K$21:INDEX(Market_Data!$K$21:$K$613,COUNT(Market_Data!$K$21:$K$613)),1)),""))</f>
        <v>3953.2</v>
      </c>
      <c r="F94" s="87" vm="615">
        <f ca="1">IF($A94="","",IFERROR(INDEX(Market_Data!$O$21:$O$613,MATCH($A94,Market_Data!$N$21:INDEX(Market_Data!$N$21:$N$613,COUNT(Market_Data!$N$21:$N$613)),1)),""))</f>
        <v>1401.3</v>
      </c>
      <c r="G94" s="87" vm="616">
        <f ca="1">IF($A94="","",IFERROR(INDEX(Market_Data!$R$21:$R$613,MATCH($A94,Market_Data!$Q$21:INDEX(Market_Data!$Q$21:$Q$613,COUNT(Market_Data!$Q$21:$Q$613)),1)),""))</f>
        <v>13050</v>
      </c>
      <c r="H94" s="87" vm="617">
        <f ca="1">IF($A94="","",IFERROR(INDEX(Market_Data!$U$21:$U$613,MATCH($A94,Market_Data!$T$21:INDEX(Market_Data!$T$21:$T$613,COUNT(Market_Data!$T$21:$T$613)),1)),""))</f>
        <v>1154.7</v>
      </c>
      <c r="I94" s="88">
        <f ca="1">IF($A94="","",IFERROR(INDEX(Query1[Close],MATCH($A94,Query1[Date],1)),""))</f>
        <v>23382.599609375</v>
      </c>
    </row>
    <row r="95" spans="1:9" x14ac:dyDescent="0.3">
      <c r="A95" s="86">
        <f t="shared" ca="1" si="2"/>
        <v>46181</v>
      </c>
      <c r="B95" s="87" vm="618">
        <f ca="1">IF($A95="","",IFERROR(INDEX(Market_Data!$C$21:$C$613,MATCH($A95,Market_Data!$B$21:INDEX(Market_Data!$B$21:$B$613,COUNT(Market_Data!$B$21:$B$613)),1)),""))</f>
        <v>1293</v>
      </c>
      <c r="C95" s="87" vm="619">
        <f ca="1">IF($A95="","",IFERROR(INDEX(Market_Data!$F$21:$F$613,MATCH($A95,Market_Data!$E$21:INDEX(Market_Data!$E$21:$E$613,COUNT(Market_Data!$E$21:$E$613)),1)),""))</f>
        <v>1822.5</v>
      </c>
      <c r="D95" s="87" vm="620">
        <f ca="1">IF($A95="","",IFERROR(INDEX(Market_Data!$I$21:$I$613,MATCH($A95,Market_Data!$H$21:INDEX(Market_Data!$H$21:$H$613,COUNT(Market_Data!$H$21:$H$613)),1)),""))</f>
        <v>772.45</v>
      </c>
      <c r="E95" s="87" vm="621">
        <f ca="1">IF($A95="","",IFERROR(INDEX(Market_Data!$L$21:$L$613,MATCH($A95,Market_Data!$K$21:INDEX(Market_Data!$K$21:$K$613,COUNT(Market_Data!$K$21:$K$613)),1)),""))</f>
        <v>4049.3</v>
      </c>
      <c r="F95" s="87" vm="622">
        <f ca="1">IF($A95="","",IFERROR(INDEX(Market_Data!$O$21:$O$613,MATCH($A95,Market_Data!$N$21:INDEX(Market_Data!$N$21:$N$613,COUNT(Market_Data!$N$21:$N$613)),1)),""))</f>
        <v>1389.4</v>
      </c>
      <c r="G95" s="87" vm="623">
        <f ca="1">IF($A95="","",IFERROR(INDEX(Market_Data!$R$21:$R$613,MATCH($A95,Market_Data!$Q$21:INDEX(Market_Data!$Q$21:$Q$613,COUNT(Market_Data!$Q$21:$Q$613)),1)),""))</f>
        <v>13366</v>
      </c>
      <c r="H95" s="87" vm="624">
        <f ca="1">IF($A95="","",IFERROR(INDEX(Market_Data!$U$21:$U$613,MATCH($A95,Market_Data!$T$21:INDEX(Market_Data!$T$21:$T$613,COUNT(Market_Data!$T$21:$T$613)),1)),""))</f>
        <v>1109.5999999999999</v>
      </c>
      <c r="I95" s="88">
        <f ca="1">IF($A95="","",IFERROR(INDEX(Query1[Close],MATCH($A95,Query1[Date],1)),""))</f>
        <v>23123</v>
      </c>
    </row>
    <row r="96" spans="1:9" x14ac:dyDescent="0.3">
      <c r="A96" s="86">
        <f t="shared" ca="1" si="2"/>
        <v>46188</v>
      </c>
      <c r="B96" s="87" vm="1">
        <f ca="1">IF($A96="","",IFERROR(INDEX(Market_Data!$C$21:$C$613,MATCH($A96,Market_Data!$B$21:INDEX(Market_Data!$B$21:$B$613,COUNT(Market_Data!$B$21:$B$613)),1)),""))</f>
        <v>1309.5</v>
      </c>
      <c r="C96" s="87" vm="625">
        <f ca="1">IF($A96="","",IFERROR(INDEX(Market_Data!$F$21:$F$613,MATCH($A96,Market_Data!$E$21:INDEX(Market_Data!$E$21:$E$613,COUNT(Market_Data!$E$21:$E$613)),1)),""))</f>
        <v>1910.8</v>
      </c>
      <c r="D96" s="87" vm="626">
        <f ca="1">IF($A96="","",IFERROR(INDEX(Market_Data!$I$21:$I$613,MATCH($A96,Market_Data!$H$21:INDEX(Market_Data!$H$21:$H$613,COUNT(Market_Data!$H$21:$H$613)),1)),""))</f>
        <v>779.8</v>
      </c>
      <c r="E96" s="87" vm="627">
        <f ca="1">IF($A96="","",IFERROR(INDEX(Market_Data!$L$21:$L$613,MATCH($A96,Market_Data!$K$21:INDEX(Market_Data!$K$21:$K$613,COUNT(Market_Data!$K$21:$K$613)),1)),""))</f>
        <v>4209.3999999999996</v>
      </c>
      <c r="F96" s="87" vm="628">
        <f ca="1">IF($A96="","",IFERROR(INDEX(Market_Data!$O$21:$O$613,MATCH($A96,Market_Data!$N$21:INDEX(Market_Data!$N$21:$N$613,COUNT(Market_Data!$N$21:$N$613)),1)),""))</f>
        <v>1351.8</v>
      </c>
      <c r="G96" s="87" vm="629">
        <f ca="1">IF($A96="","",IFERROR(INDEX(Market_Data!$R$21:$R$613,MATCH($A96,Market_Data!$Q$21:INDEX(Market_Data!$Q$21:$Q$613,COUNT(Market_Data!$Q$21:$Q$613)),1)),""))</f>
        <v>13395</v>
      </c>
      <c r="H96" s="87" vm="630">
        <f ca="1">IF($A96="","",IFERROR(INDEX(Market_Data!$U$21:$U$613,MATCH($A96,Market_Data!$T$21:INDEX(Market_Data!$T$21:$T$613,COUNT(Market_Data!$T$21:$T$613)),1)),""))</f>
        <v>1131.7</v>
      </c>
      <c r="I96" s="88">
        <f ca="1">IF($A96="","",IFERROR(INDEX(Query1[Close],MATCH($A96,Query1[Date],1)),""))</f>
        <v>23853.900390625</v>
      </c>
    </row>
    <row r="97" spans="1:9" x14ac:dyDescent="0.3">
      <c r="A97" s="86">
        <f t="shared" ca="1" si="2"/>
        <v>46195</v>
      </c>
      <c r="B97" s="87" vm="631">
        <f ca="1">IF($A97="","",IFERROR(INDEX(Market_Data!$C$21:$C$613,MATCH($A97,Market_Data!$B$21:INDEX(Market_Data!$B$21:$B$613,COUNT(Market_Data!$B$21:$B$613)),1)),""))</f>
        <v>1318.1</v>
      </c>
      <c r="C97" s="87" vm="632">
        <f ca="1">IF($A97="","",IFERROR(INDEX(Market_Data!$F$21:$F$613,MATCH($A97,Market_Data!$E$21:INDEX(Market_Data!$E$21:$E$613,COUNT(Market_Data!$E$21:$E$613)),1)),""))</f>
        <v>1850.7</v>
      </c>
      <c r="D97" s="87" vm="633">
        <f ca="1">IF($A97="","",IFERROR(INDEX(Market_Data!$I$21:$I$613,MATCH($A97,Market_Data!$H$21:INDEX(Market_Data!$H$21:$H$613,COUNT(Market_Data!$H$21:$H$613)),1)),""))</f>
        <v>796.3</v>
      </c>
      <c r="E97" s="87" vm="634">
        <f ca="1">IF($A97="","",IFERROR(INDEX(Market_Data!$L$21:$L$613,MATCH($A97,Market_Data!$K$21:INDEX(Market_Data!$K$21:$K$613,COUNT(Market_Data!$K$21:$K$613)),1)),""))</f>
        <v>4216.3999999999996</v>
      </c>
      <c r="F97" s="87" vm="635">
        <f ca="1">IF($A97="","",IFERROR(INDEX(Market_Data!$O$21:$O$613,MATCH($A97,Market_Data!$N$21:INDEX(Market_Data!$N$21:$N$613,COUNT(Market_Data!$N$21:$N$613)),1)),""))</f>
        <v>1440.1</v>
      </c>
      <c r="G97" s="87" vm="636">
        <f ca="1">IF($A97="","",IFERROR(INDEX(Market_Data!$R$21:$R$613,MATCH($A97,Market_Data!$Q$21:INDEX(Market_Data!$Q$21:$Q$613,COUNT(Market_Data!$Q$21:$Q$613)),1)),""))</f>
        <v>13745</v>
      </c>
      <c r="H97" s="87" vm="637">
        <f ca="1">IF($A97="","",IFERROR(INDEX(Market_Data!$U$21:$U$613,MATCH($A97,Market_Data!$T$21:INDEX(Market_Data!$T$21:$T$613,COUNT(Market_Data!$T$21:$T$613)),1)),""))</f>
        <v>1100.7</v>
      </c>
      <c r="I97" s="88">
        <f ca="1">IF($A97="","",IFERROR(INDEX(Query1[Close],MATCH($A97,Query1[Date],1)),""))</f>
        <v>24102.900390625</v>
      </c>
    </row>
    <row r="98" spans="1:9" x14ac:dyDescent="0.3">
      <c r="A98" s="86">
        <f t="shared" ca="1" si="2"/>
        <v>46202</v>
      </c>
      <c r="B98" s="87" vm="638">
        <f ca="1">IF($A98="","",IFERROR(INDEX(Market_Data!$C$21:$C$613,MATCH($A98,Market_Data!$B$21:INDEX(Market_Data!$B$21:$B$613,COUNT(Market_Data!$B$21:$B$613)),1)),""))</f>
        <v>1304</v>
      </c>
      <c r="C98" s="87" vm="639">
        <f ca="1">IF($A98="","",IFERROR(INDEX(Market_Data!$F$21:$F$613,MATCH($A98,Market_Data!$E$21:INDEX(Market_Data!$E$21:$E$613,COUNT(Market_Data!$E$21:$E$613)),1)),""))</f>
        <v>1910.4</v>
      </c>
      <c r="D98" s="87" vm="640">
        <f ca="1">IF($A98="","",IFERROR(INDEX(Market_Data!$I$21:$I$613,MATCH($A98,Market_Data!$H$21:INDEX(Market_Data!$H$21:$H$613,COUNT(Market_Data!$H$21:$H$613)),1)),""))</f>
        <v>801.05</v>
      </c>
      <c r="E98" s="87" vm="641">
        <f ca="1">IF($A98="","",IFERROR(INDEX(Market_Data!$L$21:$L$613,MATCH($A98,Market_Data!$K$21:INDEX(Market_Data!$K$21:$K$613,COUNT(Market_Data!$K$21:$K$613)),1)),""))</f>
        <v>4026.6</v>
      </c>
      <c r="F98" s="87" vm="642">
        <f ca="1">IF($A98="","",IFERROR(INDEX(Market_Data!$O$21:$O$613,MATCH($A98,Market_Data!$N$21:INDEX(Market_Data!$N$21:$N$613,COUNT(Market_Data!$N$21:$N$613)),1)),""))</f>
        <v>1458.2</v>
      </c>
      <c r="G98" s="87" vm="643">
        <f ca="1">IF($A98="","",IFERROR(INDEX(Market_Data!$R$21:$R$613,MATCH($A98,Market_Data!$Q$21:INDEX(Market_Data!$Q$21:$Q$613,COUNT(Market_Data!$Q$21:$Q$613)),1)),""))</f>
        <v>14366</v>
      </c>
      <c r="H98" s="87" vm="644">
        <f ca="1">IF($A98="","",IFERROR(INDEX(Market_Data!$U$21:$U$613,MATCH($A98,Market_Data!$T$21:INDEX(Market_Data!$T$21:$T$613,COUNT(Market_Data!$T$21:$T$613)),1)),""))</f>
        <v>1139</v>
      </c>
      <c r="I98" s="88">
        <f ca="1">IF($A98="","",IFERROR(INDEX(Query1[Close],MATCH($A98,Query1[Date],1)),""))</f>
        <v>23946.25</v>
      </c>
    </row>
    <row r="99" spans="1:9" x14ac:dyDescent="0.3">
      <c r="A99" s="86">
        <f t="shared" ca="1" si="2"/>
        <v>46209</v>
      </c>
      <c r="B99" s="87" vm="645">
        <f ca="1">IF($A99="","",IFERROR(INDEX(Market_Data!$C$21:$C$613,MATCH($A99,Market_Data!$B$21:INDEX(Market_Data!$B$21:$B$613,COUNT(Market_Data!$B$21:$B$613)),1)),""))</f>
        <v>1307.8</v>
      </c>
      <c r="C99" s="87" vm="646">
        <f ca="1">IF($A99="","",IFERROR(INDEX(Market_Data!$F$21:$F$613,MATCH($A99,Market_Data!$E$21:INDEX(Market_Data!$E$21:$E$613,COUNT(Market_Data!$E$21:$E$613)),1)),""))</f>
        <v>1920.4</v>
      </c>
      <c r="D99" s="87" vm="647">
        <f ca="1">IF($A99="","",IFERROR(INDEX(Market_Data!$I$21:$I$613,MATCH($A99,Market_Data!$H$21:INDEX(Market_Data!$H$21:$H$613,COUNT(Market_Data!$H$21:$H$613)),1)),""))</f>
        <v>824.95</v>
      </c>
      <c r="E99" s="87" vm="648">
        <f ca="1">IF($A99="","",IFERROR(INDEX(Market_Data!$L$21:$L$613,MATCH($A99,Market_Data!$K$21:INDEX(Market_Data!$K$21:$K$613,COUNT(Market_Data!$K$21:$K$613)),1)),""))</f>
        <v>3945.8</v>
      </c>
      <c r="F99" s="87" vm="649">
        <f ca="1">IF($A99="","",IFERROR(INDEX(Market_Data!$O$21:$O$613,MATCH($A99,Market_Data!$N$21:INDEX(Market_Data!$N$21:$N$613,COUNT(Market_Data!$N$21:$N$613)),1)),""))</f>
        <v>1439.4</v>
      </c>
      <c r="G99" s="87" vm="650">
        <f ca="1">IF($A99="","",IFERROR(INDEX(Market_Data!$R$21:$R$613,MATCH($A99,Market_Data!$Q$21:INDEX(Market_Data!$Q$21:$Q$613,COUNT(Market_Data!$Q$21:$Q$613)),1)),""))</f>
        <v>13854</v>
      </c>
      <c r="H99" s="87" vm="651">
        <f ca="1">IF($A99="","",IFERROR(INDEX(Market_Data!$U$21:$U$613,MATCH($A99,Market_Data!$T$21:INDEX(Market_Data!$T$21:$T$613,COUNT(Market_Data!$T$21:$T$613)),1)),""))</f>
        <v>1164.0999999999999</v>
      </c>
      <c r="I99" s="88">
        <f ca="1">IF($A99="","",IFERROR(INDEX(Query1[Close],MATCH($A99,Query1[Date],1)),""))</f>
        <v>24430.349609375</v>
      </c>
    </row>
    <row r="100" spans="1:9" x14ac:dyDescent="0.3">
      <c r="A100" s="86">
        <f t="shared" ca="1" si="2"/>
        <v>46216</v>
      </c>
      <c r="B100" s="87" vm="652">
        <f ca="1">IF($A100="","",IFERROR(INDEX(Market_Data!$C$21:$C$613,MATCH($A100,Market_Data!$B$21:INDEX(Market_Data!$B$21:$B$613,COUNT(Market_Data!$B$21:$B$613)),1)),""))</f>
        <v>1327.2</v>
      </c>
      <c r="C100" s="87" vm="653">
        <f ca="1">IF($A100="","",IFERROR(INDEX(Market_Data!$F$21:$F$613,MATCH($A100,Market_Data!$E$21:INDEX(Market_Data!$E$21:$E$613,COUNT(Market_Data!$E$21:$E$613)),1)),""))</f>
        <v>1908.8</v>
      </c>
      <c r="D100" s="87" vm="654">
        <f ca="1">IF($A100="","",IFERROR(INDEX(Market_Data!$I$21:$I$613,MATCH($A100,Market_Data!$H$21:INDEX(Market_Data!$H$21:$H$613,COUNT(Market_Data!$H$21:$H$613)),1)),""))</f>
        <v>819.6</v>
      </c>
      <c r="E100" s="87" vm="655">
        <f ca="1">IF($A100="","",IFERROR(INDEX(Market_Data!$L$21:$L$613,MATCH($A100,Market_Data!$K$21:INDEX(Market_Data!$K$21:$K$613,COUNT(Market_Data!$K$21:$K$613)),1)),""))</f>
        <v>3814.5</v>
      </c>
      <c r="F100" s="87" vm="656">
        <f ca="1">IF($A100="","",IFERROR(INDEX(Market_Data!$O$21:$O$613,MATCH($A100,Market_Data!$N$21:INDEX(Market_Data!$N$21:$N$613,COUNT(Market_Data!$N$21:$N$613)),1)),""))</f>
        <v>1418.7</v>
      </c>
      <c r="G100" s="87" vm="657">
        <f ca="1">IF($A100="","",IFERROR(INDEX(Market_Data!$R$21:$R$613,MATCH($A100,Market_Data!$Q$21:INDEX(Market_Data!$Q$21:$Q$613,COUNT(Market_Data!$Q$21:$Q$613)),1)),""))</f>
        <v>13803</v>
      </c>
      <c r="H100" s="87" vm="658">
        <f ca="1">IF($A100="","",IFERROR(INDEX(Market_Data!$U$21:$U$613,MATCH($A100,Market_Data!$T$21:INDEX(Market_Data!$T$21:$T$613,COUNT(Market_Data!$T$21:$T$613)),1)),""))</f>
        <v>1203.9000000000001</v>
      </c>
      <c r="I100" s="88">
        <f ca="1">IF($A100="","",IFERROR(INDEX(Query1[Close],MATCH($A100,Query1[Date],1)),""))</f>
        <v>24211</v>
      </c>
    </row>
    <row r="101" spans="1:9" x14ac:dyDescent="0.3">
      <c r="A101" s="86">
        <f t="shared" ref="A101:A133" ca="1" si="3">IF($A100="","",IF($A100+7&lt;=TODAY(),$A100+7,""))</f>
        <v>46223</v>
      </c>
      <c r="B101" s="87" vm="659">
        <f ca="1">IF($A101="","",IFERROR(INDEX(Market_Data!$C$21:$C$613,MATCH($A101,Market_Data!$B$21:INDEX(Market_Data!$B$21:$B$613,COUNT(Market_Data!$B$21:$B$613)),1)),""))</f>
        <v>1278</v>
      </c>
      <c r="C101" s="87" vm="660">
        <f ca="1">IF($A101="","",IFERROR(INDEX(Market_Data!$F$21:$F$613,MATCH($A101,Market_Data!$E$21:INDEX(Market_Data!$E$21:$E$613,COUNT(Market_Data!$E$21:$E$613)),1)),""))</f>
        <v>1898.2</v>
      </c>
      <c r="D101" s="87" vm="661">
        <f ca="1">IF($A101="","",IFERROR(INDEX(Market_Data!$I$21:$I$613,MATCH($A101,Market_Data!$H$21:INDEX(Market_Data!$H$21:$H$613,COUNT(Market_Data!$H$21:$H$613)),1)),""))</f>
        <v>742.8</v>
      </c>
      <c r="E101" s="87" vm="662">
        <f ca="1">IF($A101="","",IFERROR(INDEX(Market_Data!$L$21:$L$613,MATCH($A101,Market_Data!$K$21:INDEX(Market_Data!$K$21:$K$613,COUNT(Market_Data!$K$21:$K$613)),1)),""))</f>
        <v>3785.6</v>
      </c>
      <c r="F101" s="87" vm="663">
        <f ca="1">IF($A101="","",IFERROR(INDEX(Market_Data!$O$21:$O$613,MATCH($A101,Market_Data!$N$21:INDEX(Market_Data!$N$21:$N$613,COUNT(Market_Data!$N$21:$N$613)),1)),""))</f>
        <v>1410.6</v>
      </c>
      <c r="G101" s="87" vm="664">
        <f ca="1">IF($A101="","",IFERROR(INDEX(Market_Data!$R$21:$R$613,MATCH($A101,Market_Data!$Q$21:INDEX(Market_Data!$Q$21:$Q$613,COUNT(Market_Data!$Q$21:$Q$613)),1)),""))</f>
        <v>13442</v>
      </c>
      <c r="H101" s="87" vm="665">
        <f ca="1">IF($A101="","",IFERROR(INDEX(Market_Data!$U$21:$U$613,MATCH($A101,Market_Data!$T$21:INDEX(Market_Data!$T$21:$T$613,COUNT(Market_Data!$T$21:$T$613)),1)),""))</f>
        <v>1271</v>
      </c>
      <c r="I101" s="88">
        <f ca="1">IF($A101="","",IFERROR(INDEX(Query1[Close],MATCH($A101,Query1[Date],1)),""))</f>
        <v>24238.5</v>
      </c>
    </row>
    <row r="102" spans="1:9" x14ac:dyDescent="0.3">
      <c r="A102" s="86">
        <f t="shared" ca="1" si="3"/>
        <v>46230</v>
      </c>
      <c r="B102" s="87" vm="645">
        <f ca="1">IF($A102="","",IFERROR(INDEX(Market_Data!$C$21:$C$613,MATCH($A102,Market_Data!$B$21:INDEX(Market_Data!$B$21:$B$613,COUNT(Market_Data!$B$21:$B$613)),1)),""))</f>
        <v>1307.8</v>
      </c>
      <c r="C102" s="87" vm="666">
        <f ca="1">IF($A102="","",IFERROR(INDEX(Market_Data!$F$21:$F$613,MATCH($A102,Market_Data!$E$21:INDEX(Market_Data!$E$21:$E$613,COUNT(Market_Data!$E$21:$E$613)),1)),""))</f>
        <v>1972</v>
      </c>
      <c r="D102" s="87" vm="667">
        <f ca="1">IF($A102="","",IFERROR(INDEX(Market_Data!$I$21:$I$613,MATCH($A102,Market_Data!$H$21:INDEX(Market_Data!$H$21:$H$613,COUNT(Market_Data!$H$21:$H$613)),1)),""))</f>
        <v>748.15</v>
      </c>
      <c r="E102" s="87" vm="668">
        <f ca="1">IF($A102="","",IFERROR(INDEX(Market_Data!$L$21:$L$613,MATCH($A102,Market_Data!$K$21:INDEX(Market_Data!$K$21:$K$613,COUNT(Market_Data!$K$21:$K$613)),1)),""))</f>
        <v>3938.9</v>
      </c>
      <c r="F102" s="87" vm="669">
        <f ca="1">IF($A102="","",IFERROR(INDEX(Market_Data!$O$21:$O$613,MATCH($A102,Market_Data!$N$21:INDEX(Market_Data!$N$21:$N$613,COUNT(Market_Data!$N$21:$N$613)),1)),""))</f>
        <v>1473.2</v>
      </c>
      <c r="G102" s="87" vm="670">
        <f ca="1">IF($A102="","",IFERROR(INDEX(Market_Data!$R$21:$R$613,MATCH($A102,Market_Data!$Q$21:INDEX(Market_Data!$Q$21:$Q$613,COUNT(Market_Data!$Q$21:$Q$613)),1)),""))</f>
        <v>14234</v>
      </c>
      <c r="H102" s="87" vm="671">
        <f ca="1">IF($A102="","",IFERROR(INDEX(Market_Data!$U$21:$U$613,MATCH($A102,Market_Data!$T$21:INDEX(Market_Data!$T$21:$T$613,COUNT(Market_Data!$T$21:$T$613)),1)),""))</f>
        <v>1346.9</v>
      </c>
      <c r="I102" s="88">
        <f ca="1">IF($A102="","",IFERROR(INDEX(Query1[Close],MATCH($A102,Query1[Date],1)),""))</f>
        <v>23995.94921875</v>
      </c>
    </row>
    <row r="103" spans="1:9" x14ac:dyDescent="0.3">
      <c r="A103" s="86">
        <f t="shared" ca="1" si="3"/>
        <v>46237</v>
      </c>
      <c r="B103" s="87" vm="672">
        <f ca="1">IF($A103="","",IFERROR(INDEX(Market_Data!$C$21:$C$613,MATCH($A103,Market_Data!$B$21:INDEX(Market_Data!$B$21:$B$613,COUNT(Market_Data!$B$21:$B$613)),1)),""))</f>
        <v>1334.8</v>
      </c>
      <c r="C103" s="87" vm="673">
        <f ca="1">IF($A103="","",IFERROR(INDEX(Market_Data!$F$21:$F$613,MATCH($A103,Market_Data!$E$21:INDEX(Market_Data!$E$21:$E$613,COUNT(Market_Data!$E$21:$E$613)),1)),""))</f>
        <v>1959.9</v>
      </c>
      <c r="D103" s="87" vm="674">
        <f ca="1">IF($A103="","",IFERROR(INDEX(Market_Data!$I$21:$I$613,MATCH($A103,Market_Data!$H$21:INDEX(Market_Data!$H$21:$H$613,COUNT(Market_Data!$H$21:$H$613)),1)),""))</f>
        <v>731</v>
      </c>
      <c r="E103" s="87" vm="675">
        <f ca="1">IF($A103="","",IFERROR(INDEX(Market_Data!$L$21:$L$613,MATCH($A103,Market_Data!$K$21:INDEX(Market_Data!$K$21:$K$613,COUNT(Market_Data!$K$21:$K$613)),1)),""))</f>
        <v>4056</v>
      </c>
      <c r="F103" s="87" vm="676">
        <f ca="1">IF($A103="","",IFERROR(INDEX(Market_Data!$O$21:$O$613,MATCH($A103,Market_Data!$N$21:INDEX(Market_Data!$N$21:$N$613,COUNT(Market_Data!$N$21:$N$613)),1)),""))</f>
        <v>1463.8</v>
      </c>
      <c r="G103" s="87" vm="677">
        <f ca="1">IF($A103="","",IFERROR(INDEX(Market_Data!$R$21:$R$613,MATCH($A103,Market_Data!$Q$21:INDEX(Market_Data!$Q$21:$Q$613,COUNT(Market_Data!$Q$21:$Q$613)),1)),""))</f>
        <v>14037</v>
      </c>
      <c r="H103" s="87" vm="678">
        <f ca="1">IF($A103="","",IFERROR(INDEX(Market_Data!$U$21:$U$613,MATCH($A103,Market_Data!$T$21:INDEX(Market_Data!$T$21:$T$613,COUNT(Market_Data!$T$21:$T$613)),1)),""))</f>
        <v>1356.6</v>
      </c>
      <c r="I103" s="88">
        <f ca="1">IF($A103="","",IFERROR(INDEX(Query1[Close],MATCH($A103,Query1[Date],1)),""))</f>
        <v>24774.30078125</v>
      </c>
    </row>
    <row r="104" spans="1:9" x14ac:dyDescent="0.3">
      <c r="A104" s="86">
        <f t="shared" ca="1" si="3"/>
        <v>46244</v>
      </c>
      <c r="B104" s="87" vm="679">
        <f ca="1">IF($A104="","",IFERROR(INDEX(Market_Data!$C$21:$C$613,MATCH($A104,Market_Data!$B$21:INDEX(Market_Data!$B$21:$B$613,COUNT(Market_Data!$B$21:$B$613)),1)),""))</f>
        <v>1310</v>
      </c>
      <c r="C104" s="87" vm="680">
        <f ca="1">IF($A104="","",IFERROR(INDEX(Market_Data!$F$21:$F$613,MATCH($A104,Market_Data!$E$21:INDEX(Market_Data!$E$21:$E$613,COUNT(Market_Data!$E$21:$E$613)),1)),""))</f>
        <v>1992.1</v>
      </c>
      <c r="D104" s="87" vm="681">
        <f ca="1">IF($A104="","",IFERROR(INDEX(Market_Data!$I$21:$I$613,MATCH($A104,Market_Data!$H$21:INDEX(Market_Data!$H$21:$H$613,COUNT(Market_Data!$H$21:$H$613)),1)),""))</f>
        <v>727</v>
      </c>
      <c r="E104" s="87" vm="682">
        <f ca="1">IF($A104="","",IFERROR(INDEX(Market_Data!$L$21:$L$613,MATCH($A104,Market_Data!$K$21:INDEX(Market_Data!$K$21:$K$613,COUNT(Market_Data!$K$21:$K$613)),1)),""))</f>
        <v>4057</v>
      </c>
      <c r="F104" s="87" vm="683">
        <f ca="1">IF($A104="","",IFERROR(INDEX(Market_Data!$O$21:$O$613,MATCH($A104,Market_Data!$N$21:INDEX(Market_Data!$N$21:$N$613,COUNT(Market_Data!$N$21:$N$613)),1)),""))</f>
        <v>1450</v>
      </c>
      <c r="G104" s="87" vm="684">
        <f ca="1">IF($A104="","",IFERROR(INDEX(Market_Data!$R$21:$R$613,MATCH($A104,Market_Data!$Q$21:INDEX(Market_Data!$Q$21:$Q$613,COUNT(Market_Data!$Q$21:$Q$613)),1)),""))</f>
        <v>13834</v>
      </c>
      <c r="H104" s="87" vm="685">
        <f ca="1">IF($A104="","",IFERROR(INDEX(Market_Data!$U$21:$U$613,MATCH($A104,Market_Data!$T$21:INDEX(Market_Data!$T$21:$T$613,COUNT(Market_Data!$T$21:$T$613)),1)),""))</f>
        <v>1360</v>
      </c>
      <c r="I104" s="88">
        <f ca="1">IF($A104="","",IFERROR(INDEX(Query1[Close],MATCH($A104,Query1[Date],1)),""))</f>
        <v>24583.80078125</v>
      </c>
    </row>
    <row r="105" spans="1:9" x14ac:dyDescent="0.3">
      <c r="A105" s="86">
        <f t="shared" ca="1" si="3"/>
        <v>46251</v>
      </c>
      <c r="B105" s="87" vm="686">
        <f ca="1">IF($A105="","",IFERROR(INDEX(Market_Data!$C$21:$C$613,MATCH($A105,Market_Data!$B$21:INDEX(Market_Data!$B$21:$B$613,COUNT(Market_Data!$B$21:$B$613)),1)),""))</f>
        <v>1316</v>
      </c>
      <c r="C105" s="87" vm="687">
        <f ca="1">IF($A105="","",IFERROR(INDEX(Market_Data!$F$21:$F$613,MATCH($A105,Market_Data!$E$21:INDEX(Market_Data!$E$21:$E$613,COUNT(Market_Data!$E$21:$E$613)),1)),""))</f>
        <v>1946</v>
      </c>
      <c r="D105" s="87" vm="688">
        <f ca="1">IF($A105="","",IFERROR(INDEX(Market_Data!$I$21:$I$613,MATCH($A105,Market_Data!$H$21:INDEX(Market_Data!$H$21:$H$613,COUNT(Market_Data!$H$21:$H$613)),1)),""))</f>
        <v>726.95</v>
      </c>
      <c r="E105" s="87" vm="689">
        <f ca="1">IF($A105="","",IFERROR(INDEX(Market_Data!$L$21:$L$613,MATCH($A105,Market_Data!$K$21:INDEX(Market_Data!$K$21:$K$613,COUNT(Market_Data!$K$21:$K$613)),1)),""))</f>
        <v>4093</v>
      </c>
      <c r="F105" s="87" vm="690">
        <f ca="1">IF($A105="","",IFERROR(INDEX(Market_Data!$O$21:$O$613,MATCH($A105,Market_Data!$N$21:INDEX(Market_Data!$N$21:$N$613,COUNT(Market_Data!$N$21:$N$613)),1)),""))</f>
        <v>1432.2</v>
      </c>
      <c r="G105" s="87" vm="691">
        <f ca="1">IF($A105="","",IFERROR(INDEX(Market_Data!$R$21:$R$613,MATCH($A105,Market_Data!$Q$21:INDEX(Market_Data!$Q$21:$Q$613,COUNT(Market_Data!$Q$21:$Q$613)),1)),""))</f>
        <v>13565</v>
      </c>
      <c r="H105" s="87" vm="692">
        <f ca="1">IF($A105="","",IFERROR(INDEX(Market_Data!$U$21:$U$613,MATCH($A105,Market_Data!$T$21:INDEX(Market_Data!$T$21:$T$613,COUNT(Market_Data!$T$21:$T$613)),1)),""))</f>
        <v>1302.5</v>
      </c>
      <c r="I105" s="88">
        <f ca="1">IF($A105="","",IFERROR(INDEX(Query1[Close],MATCH($A105,Query1[Date],1)),""))</f>
        <v>24287.650390625</v>
      </c>
    </row>
    <row r="106" spans="1:9" x14ac:dyDescent="0.3">
      <c r="A106" s="86">
        <f t="shared" ca="1" si="3"/>
        <v>46258</v>
      </c>
      <c r="B106" s="87" vm="693">
        <f ca="1">IF($A106="","",IFERROR(INDEX(Market_Data!$C$21:$C$613,MATCH($A106,Market_Data!$B$21:INDEX(Market_Data!$B$21:$B$613,COUNT(Market_Data!$B$21:$B$613)),1)),""))</f>
        <v>1287</v>
      </c>
      <c r="C106" s="87" vm="694">
        <f ca="1">IF($A106="","",IFERROR(INDEX(Market_Data!$F$21:$F$613,MATCH($A106,Market_Data!$E$21:INDEX(Market_Data!$E$21:$E$613,COUNT(Market_Data!$E$21:$E$613)),1)),""))</f>
        <v>1882.4</v>
      </c>
      <c r="D106" s="87" vm="695">
        <f ca="1">IF($A106="","",IFERROR(INDEX(Market_Data!$I$21:$I$613,MATCH($A106,Market_Data!$H$21:INDEX(Market_Data!$H$21:$H$613,COUNT(Market_Data!$H$21:$H$613)),1)),""))</f>
        <v>720.3</v>
      </c>
      <c r="E106" s="87" vm="696">
        <f ca="1">IF($A106="","",IFERROR(INDEX(Market_Data!$L$21:$L$613,MATCH($A106,Market_Data!$K$21:INDEX(Market_Data!$K$21:$K$613,COUNT(Market_Data!$K$21:$K$613)),1)),""))</f>
        <v>4045.8</v>
      </c>
      <c r="F106" s="87" vm="697">
        <f ca="1">IF($A106="","",IFERROR(INDEX(Market_Data!$O$21:$O$613,MATCH($A106,Market_Data!$N$21:INDEX(Market_Data!$N$21:$N$613,COUNT(Market_Data!$N$21:$N$613)),1)),""))</f>
        <v>1423.5</v>
      </c>
      <c r="G106" s="87" vm="698">
        <f ca="1">IF($A106="","",IFERROR(INDEX(Market_Data!$R$21:$R$613,MATCH($A106,Market_Data!$Q$21:INDEX(Market_Data!$Q$21:$Q$613,COUNT(Market_Data!$Q$21:$Q$613)),1)),""))</f>
        <v>13376</v>
      </c>
      <c r="H106" s="87" vm="699">
        <f ca="1">IF($A106="","",IFERROR(INDEX(Market_Data!$U$21:$U$613,MATCH($A106,Market_Data!$T$21:INDEX(Market_Data!$T$21:$T$613,COUNT(Market_Data!$T$21:$T$613)),1)),""))</f>
        <v>1316.1</v>
      </c>
      <c r="I106" s="88">
        <f ca="1">IF($A106="","",IFERROR(INDEX(Query1[Close],MATCH($A106,Query1[Date],1)),""))</f>
        <v>24219.05078125</v>
      </c>
    </row>
    <row r="107" spans="1:9" x14ac:dyDescent="0.3">
      <c r="A107" s="86">
        <f t="shared" ca="1" si="3"/>
        <v>46265</v>
      </c>
      <c r="B107" s="87" vm="700">
        <f ca="1">IF($A107="","",IFERROR(INDEX(Market_Data!$C$21:$C$613,MATCH($A107,Market_Data!$B$21:INDEX(Market_Data!$B$21:$B$613,COUNT(Market_Data!$B$21:$B$613)),1)),""))</f>
        <v>1322</v>
      </c>
      <c r="C107" s="87" vm="701">
        <f ca="1">IF($A107="","",IFERROR(INDEX(Market_Data!$F$21:$F$613,MATCH($A107,Market_Data!$E$21:INDEX(Market_Data!$E$21:$E$613,COUNT(Market_Data!$E$21:$E$613)),1)),""))</f>
        <v>1840</v>
      </c>
      <c r="D107" s="87" vm="702">
        <f ca="1">IF($A107="","",IFERROR(INDEX(Market_Data!$I$21:$I$613,MATCH($A107,Market_Data!$H$21:INDEX(Market_Data!$H$21:$H$613,COUNT(Market_Data!$H$21:$H$613)),1)),""))</f>
        <v>712.1</v>
      </c>
      <c r="E107" s="87" vm="703">
        <f ca="1">IF($A107="","",IFERROR(INDEX(Market_Data!$L$21:$L$613,MATCH($A107,Market_Data!$K$21:INDEX(Market_Data!$K$21:$K$613,COUNT(Market_Data!$K$21:$K$613)),1)),""))</f>
        <v>3964.1</v>
      </c>
      <c r="F107" s="87" vm="704">
        <f ca="1">IF($A107="","",IFERROR(INDEX(Market_Data!$O$21:$O$613,MATCH($A107,Market_Data!$N$21:INDEX(Market_Data!$N$21:$N$613,COUNT(Market_Data!$N$21:$N$613)),1)),""))</f>
        <v>1385</v>
      </c>
      <c r="G107" s="87" vm="705">
        <f ca="1">IF($A107="","",IFERROR(INDEX(Market_Data!$R$21:$R$613,MATCH($A107,Market_Data!$Q$21:INDEX(Market_Data!$Q$21:$Q$613,COUNT(Market_Data!$Q$21:$Q$613)),1)),""))</f>
        <v>12694</v>
      </c>
      <c r="H107" s="87" vm="706">
        <f ca="1">IF($A107="","",IFERROR(INDEX(Market_Data!$U$21:$U$613,MATCH($A107,Market_Data!$T$21:INDEX(Market_Data!$T$21:$T$613,COUNT(Market_Data!$T$21:$T$613)),1)),""))</f>
        <v>1293.4000000000001</v>
      </c>
      <c r="I107" s="88">
        <f ca="1">IF($A107="","",IFERROR(INDEX(Query1[Close],MATCH($A107,Query1[Date],1)),""))</f>
        <v>24080.400390625</v>
      </c>
    </row>
    <row r="108" spans="1:9" x14ac:dyDescent="0.3">
      <c r="A108" s="86">
        <f t="shared" ca="1" si="3"/>
        <v>46272</v>
      </c>
      <c r="B108" s="87" vm="1">
        <f ca="1">IF($A108="","",IFERROR(INDEX(Market_Data!$C$21:$C$613,MATCH($A108,Market_Data!$B$21:INDEX(Market_Data!$B$21:$B$613,COUNT(Market_Data!$B$21:$B$613)),1)),""))</f>
        <v>1309.5</v>
      </c>
      <c r="C108" s="87" vm="2">
        <f ca="1">IF($A108="","",IFERROR(INDEX(Market_Data!$F$21:$F$613,MATCH($A108,Market_Data!$E$21:INDEX(Market_Data!$E$21:$E$613,COUNT(Market_Data!$E$21:$E$613)),1)),""))</f>
        <v>1854</v>
      </c>
      <c r="D108" s="87" vm="3">
        <f ca="1">IF($A108="","",IFERROR(INDEX(Market_Data!$I$21:$I$613,MATCH($A108,Market_Data!$H$21:INDEX(Market_Data!$H$21:$H$613,COUNT(Market_Data!$H$21:$H$613)),1)),""))</f>
        <v>710.5</v>
      </c>
      <c r="E108" s="87" vm="4">
        <f ca="1">IF($A108="","",IFERROR(INDEX(Market_Data!$L$21:$L$613,MATCH($A108,Market_Data!$K$21:INDEX(Market_Data!$K$21:$K$613,COUNT(Market_Data!$K$21:$K$613)),1)),""))</f>
        <v>3999</v>
      </c>
      <c r="F108" s="87" vm="5">
        <f ca="1">IF($A108="","",IFERROR(INDEX(Market_Data!$O$21:$O$613,MATCH($A108,Market_Data!$N$21:INDEX(Market_Data!$N$21:$N$613,COUNT(Market_Data!$N$21:$N$613)),1)),""))</f>
        <v>1395</v>
      </c>
      <c r="G108" s="87" vm="6">
        <f ca="1">IF($A108="","",IFERROR(INDEX(Market_Data!$R$21:$R$613,MATCH($A108,Market_Data!$Q$21:INDEX(Market_Data!$Q$21:$Q$613,COUNT(Market_Data!$Q$21:$Q$613)),1)),""))</f>
        <v>12760</v>
      </c>
      <c r="H108" s="87" vm="7">
        <f ca="1">IF($A108="","",IFERROR(INDEX(Market_Data!$U$21:$U$613,MATCH($A108,Market_Data!$T$21:INDEX(Market_Data!$T$21:$T$613,COUNT(Market_Data!$T$21:$T$613)),1)),""))</f>
        <v>1282.8</v>
      </c>
      <c r="I108" s="88">
        <f ca="1">IF($A108="","",IFERROR(INDEX(Query1[Close],MATCH($A108,Query1[Date],1)),""))</f>
        <v>23779.150390625</v>
      </c>
    </row>
    <row r="109" spans="1:9" x14ac:dyDescent="0.3">
      <c r="A109" s="86" t="str">
        <f ca="1">IF($A108="","",IF($A108+7&lt;=TODAY(),$A108+7,""))</f>
        <v/>
      </c>
      <c r="B109" s="87" t="str">
        <f ca="1">IF($A109="","",IFERROR(INDEX(Market_Data!$C$21:$C$613,MATCH($A109,Market_Data!$B$21:INDEX(Market_Data!$B$21:$B$613,COUNT(Market_Data!$B$21:$B$613)),1)),""))</f>
        <v/>
      </c>
      <c r="C109" s="87" t="str">
        <f ca="1">IF($A109="","",IFERROR(INDEX(Market_Data!$F$21:$F$613,MATCH($A109,Market_Data!$E$21:INDEX(Market_Data!$E$21:$E$613,COUNT(Market_Data!$E$21:$E$613)),1)),""))</f>
        <v/>
      </c>
      <c r="D109" s="87" t="str">
        <f ca="1">IF($A109="","",IFERROR(INDEX(Market_Data!$I$21:$I$613,MATCH($A109,Market_Data!$H$21:INDEX(Market_Data!$H$21:$H$613,COUNT(Market_Data!$H$21:$H$613)),1)),""))</f>
        <v/>
      </c>
      <c r="E109" s="87" t="str">
        <f ca="1">IF($A109="","",IFERROR(INDEX(Market_Data!$L$21:$L$613,MATCH($A109,Market_Data!$K$21:INDEX(Market_Data!$K$21:$K$613,COUNT(Market_Data!$K$21:$K$613)),1)),""))</f>
        <v/>
      </c>
      <c r="F109" s="87" t="str">
        <f ca="1">IF($A109="","",IFERROR(INDEX(Market_Data!$O$21:$O$613,MATCH($A109,Market_Data!$N$21:INDEX(Market_Data!$N$21:$N$613,COUNT(Market_Data!$N$21:$N$613)),1)),""))</f>
        <v/>
      </c>
      <c r="G109" s="87" t="str">
        <f ca="1">IF($A109="","",IFERROR(INDEX(Market_Data!$R$21:$R$613,MATCH($A109,Market_Data!$Q$21:INDEX(Market_Data!$Q$21:$Q$613,COUNT(Market_Data!$Q$21:$Q$613)),1)),""))</f>
        <v/>
      </c>
      <c r="H109" s="87" t="str">
        <f ca="1">IF($A109="","",IFERROR(INDEX(Market_Data!$U$21:$U$613,MATCH($A109,Market_Data!$T$21:INDEX(Market_Data!$T$21:$T$613,COUNT(Market_Data!$T$21:$T$613)),1)),""))</f>
        <v/>
      </c>
      <c r="I109" s="88" t="str">
        <f ca="1">IF($A109="","",IFERROR(INDEX(Query1[Close],MATCH($A109,Query1[Date],1)),""))</f>
        <v/>
      </c>
    </row>
    <row r="110" spans="1:9" x14ac:dyDescent="0.3">
      <c r="A110" s="86" t="str">
        <f t="shared" ca="1" si="3"/>
        <v/>
      </c>
      <c r="B110" s="87" t="str">
        <f ca="1">IF($A110="","",IFERROR(INDEX(Market_Data!$C$21:$C$613,MATCH($A110,Market_Data!$B$21:INDEX(Market_Data!$B$21:$B$613,COUNT(Market_Data!$B$21:$B$613)),1)),""))</f>
        <v/>
      </c>
      <c r="C110" s="87" t="str">
        <f ca="1">IF($A110="","",IFERROR(INDEX(Market_Data!$F$21:$F$613,MATCH($A110,Market_Data!$E$21:INDEX(Market_Data!$E$21:$E$613,COUNT(Market_Data!$E$21:$E$613)),1)),""))</f>
        <v/>
      </c>
      <c r="D110" s="87" t="str">
        <f ca="1">IF($A110="","",IFERROR(INDEX(Market_Data!$I$21:$I$613,MATCH($A110,Market_Data!$H$21:INDEX(Market_Data!$H$21:$H$613,COUNT(Market_Data!$H$21:$H$613)),1)),""))</f>
        <v/>
      </c>
      <c r="E110" s="87" t="str">
        <f ca="1">IF($A110="","",IFERROR(INDEX(Market_Data!$L$21:$L$613,MATCH($A110,Market_Data!$K$21:INDEX(Market_Data!$K$21:$K$613,COUNT(Market_Data!$K$21:$K$613)),1)),""))</f>
        <v/>
      </c>
      <c r="F110" s="87" t="str">
        <f ca="1">IF($A110="","",IFERROR(INDEX(Market_Data!$O$21:$O$613,MATCH($A110,Market_Data!$N$21:INDEX(Market_Data!$N$21:$N$613,COUNT(Market_Data!$N$21:$N$613)),1)),""))</f>
        <v/>
      </c>
      <c r="G110" s="87" t="str">
        <f ca="1">IF($A110="","",IFERROR(INDEX(Market_Data!$R$21:$R$613,MATCH($A110,Market_Data!$Q$21:INDEX(Market_Data!$Q$21:$Q$613,COUNT(Market_Data!$Q$21:$Q$613)),1)),""))</f>
        <v/>
      </c>
      <c r="H110" s="87" t="str">
        <f ca="1">IF($A110="","",IFERROR(INDEX(Market_Data!$U$21:$U$613,MATCH($A110,Market_Data!$T$21:INDEX(Market_Data!$T$21:$T$613,COUNT(Market_Data!$T$21:$T$613)),1)),""))</f>
        <v/>
      </c>
      <c r="I110" s="88" t="str">
        <f ca="1">IF($A110="","",IFERROR(INDEX(Query1[Close],MATCH($A110,Query1[Date],1)),""))</f>
        <v/>
      </c>
    </row>
    <row r="111" spans="1:9" x14ac:dyDescent="0.3">
      <c r="A111" s="86" t="str">
        <f t="shared" ca="1" si="3"/>
        <v/>
      </c>
      <c r="B111" s="87" t="str">
        <f ca="1">IF($A111="","",IFERROR(INDEX(Market_Data!$C$21:$C$613,MATCH($A111,Market_Data!$B$21:INDEX(Market_Data!$B$21:$B$613,COUNT(Market_Data!$B$21:$B$613)),1)),""))</f>
        <v/>
      </c>
      <c r="C111" s="87" t="str">
        <f ca="1">IF($A111="","",IFERROR(INDEX(Market_Data!$F$21:$F$613,MATCH($A111,Market_Data!$E$21:INDEX(Market_Data!$E$21:$E$613,COUNT(Market_Data!$E$21:$E$613)),1)),""))</f>
        <v/>
      </c>
      <c r="D111" s="87" t="str">
        <f ca="1">IF($A111="","",IFERROR(INDEX(Market_Data!$I$21:$I$613,MATCH($A111,Market_Data!$H$21:INDEX(Market_Data!$H$21:$H$613,COUNT(Market_Data!$H$21:$H$613)),1)),""))</f>
        <v/>
      </c>
      <c r="E111" s="87" t="str">
        <f ca="1">IF($A111="","",IFERROR(INDEX(Market_Data!$L$21:$L$613,MATCH($A111,Market_Data!$K$21:INDEX(Market_Data!$K$21:$K$613,COUNT(Market_Data!$K$21:$K$613)),1)),""))</f>
        <v/>
      </c>
      <c r="F111" s="87" t="str">
        <f ca="1">IF($A111="","",IFERROR(INDEX(Market_Data!$O$21:$O$613,MATCH($A111,Market_Data!$N$21:INDEX(Market_Data!$N$21:$N$613,COUNT(Market_Data!$N$21:$N$613)),1)),""))</f>
        <v/>
      </c>
      <c r="G111" s="87" t="str">
        <f ca="1">IF($A111="","",IFERROR(INDEX(Market_Data!$R$21:$R$613,MATCH($A111,Market_Data!$Q$21:INDEX(Market_Data!$Q$21:$Q$613,COUNT(Market_Data!$Q$21:$Q$613)),1)),""))</f>
        <v/>
      </c>
      <c r="H111" s="87" t="str">
        <f ca="1">IF($A111="","",IFERROR(INDEX(Market_Data!$U$21:$U$613,MATCH($A111,Market_Data!$T$21:INDEX(Market_Data!$T$21:$T$613,COUNT(Market_Data!$T$21:$T$613)),1)),""))</f>
        <v/>
      </c>
      <c r="I111" s="88" t="str">
        <f ca="1">IF($A111="","",IFERROR(INDEX(Query1[Close],MATCH($A111,Query1[Date],1)),""))</f>
        <v/>
      </c>
    </row>
    <row r="112" spans="1:9" x14ac:dyDescent="0.3">
      <c r="A112" s="86" t="str">
        <f t="shared" ca="1" si="3"/>
        <v/>
      </c>
      <c r="B112" s="87" t="str">
        <f ca="1">IF($A112="","",IFERROR(INDEX(Market_Data!$C$21:$C$613,MATCH($A112,Market_Data!$B$21:INDEX(Market_Data!$B$21:$B$613,COUNT(Market_Data!$B$21:$B$613)),1)),""))</f>
        <v/>
      </c>
      <c r="C112" s="87" t="str">
        <f ca="1">IF($A112="","",IFERROR(INDEX(Market_Data!$F$21:$F$613,MATCH($A112,Market_Data!$E$21:INDEX(Market_Data!$E$21:$E$613,COUNT(Market_Data!$E$21:$E$613)),1)),""))</f>
        <v/>
      </c>
      <c r="D112" s="87" t="str">
        <f ca="1">IF($A112="","",IFERROR(INDEX(Market_Data!$I$21:$I$613,MATCH($A112,Market_Data!$H$21:INDEX(Market_Data!$H$21:$H$613,COUNT(Market_Data!$H$21:$H$613)),1)),""))</f>
        <v/>
      </c>
      <c r="E112" s="87" t="str">
        <f ca="1">IF($A112="","",IFERROR(INDEX(Market_Data!$L$21:$L$613,MATCH($A112,Market_Data!$K$21:INDEX(Market_Data!$K$21:$K$613,COUNT(Market_Data!$K$21:$K$613)),1)),""))</f>
        <v/>
      </c>
      <c r="F112" s="87" t="str">
        <f ca="1">IF($A112="","",IFERROR(INDEX(Market_Data!$O$21:$O$613,MATCH($A112,Market_Data!$N$21:INDEX(Market_Data!$N$21:$N$613,COUNT(Market_Data!$N$21:$N$613)),1)),""))</f>
        <v/>
      </c>
      <c r="G112" s="87" t="str">
        <f ca="1">IF($A112="","",IFERROR(INDEX(Market_Data!$R$21:$R$613,MATCH($A112,Market_Data!$Q$21:INDEX(Market_Data!$Q$21:$Q$613,COUNT(Market_Data!$Q$21:$Q$613)),1)),""))</f>
        <v/>
      </c>
      <c r="H112" s="87" t="str">
        <f ca="1">IF($A112="","",IFERROR(INDEX(Market_Data!$U$21:$U$613,MATCH($A112,Market_Data!$T$21:INDEX(Market_Data!$T$21:$T$613,COUNT(Market_Data!$T$21:$T$613)),1)),""))</f>
        <v/>
      </c>
      <c r="I112" s="88" t="str">
        <f ca="1">IF($A112="","",IFERROR(INDEX(Query1[Close],MATCH($A112,Query1[Date],1)),""))</f>
        <v/>
      </c>
    </row>
    <row r="113" spans="1:9" x14ac:dyDescent="0.3">
      <c r="A113" s="86" t="str">
        <f t="shared" ca="1" si="3"/>
        <v/>
      </c>
      <c r="B113" s="87" t="str">
        <f ca="1">IF($A113="","",IFERROR(INDEX(Market_Data!$C$21:$C$613,MATCH($A113,Market_Data!$B$21:INDEX(Market_Data!$B$21:$B$613,COUNT(Market_Data!$B$21:$B$613)),1)),""))</f>
        <v/>
      </c>
      <c r="C113" s="87" t="str">
        <f ca="1">IF($A113="","",IFERROR(INDEX(Market_Data!$F$21:$F$613,MATCH($A113,Market_Data!$E$21:INDEX(Market_Data!$E$21:$E$613,COUNT(Market_Data!$E$21:$E$613)),1)),""))</f>
        <v/>
      </c>
      <c r="D113" s="87" t="str">
        <f ca="1">IF($A113="","",IFERROR(INDEX(Market_Data!$I$21:$I$613,MATCH($A113,Market_Data!$H$21:INDEX(Market_Data!$H$21:$H$613,COUNT(Market_Data!$H$21:$H$613)),1)),""))</f>
        <v/>
      </c>
      <c r="E113" s="87" t="str">
        <f ca="1">IF($A113="","",IFERROR(INDEX(Market_Data!$L$21:$L$613,MATCH($A113,Market_Data!$K$21:INDEX(Market_Data!$K$21:$K$613,COUNT(Market_Data!$K$21:$K$613)),1)),""))</f>
        <v/>
      </c>
      <c r="F113" s="87" t="str">
        <f ca="1">IF($A113="","",IFERROR(INDEX(Market_Data!$O$21:$O$613,MATCH($A113,Market_Data!$N$21:INDEX(Market_Data!$N$21:$N$613,COUNT(Market_Data!$N$21:$N$613)),1)),""))</f>
        <v/>
      </c>
      <c r="G113" s="87" t="str">
        <f ca="1">IF($A113="","",IFERROR(INDEX(Market_Data!$R$21:$R$613,MATCH($A113,Market_Data!$Q$21:INDEX(Market_Data!$Q$21:$Q$613,COUNT(Market_Data!$Q$21:$Q$613)),1)),""))</f>
        <v/>
      </c>
      <c r="H113" s="87" t="str">
        <f ca="1">IF($A113="","",IFERROR(INDEX(Market_Data!$U$21:$U$613,MATCH($A113,Market_Data!$T$21:INDEX(Market_Data!$T$21:$T$613,COUNT(Market_Data!$T$21:$T$613)),1)),""))</f>
        <v/>
      </c>
      <c r="I113" s="88" t="str">
        <f ca="1">IF($A113="","",IFERROR(INDEX(Query1[Close],MATCH($A113,Query1[Date],1)),""))</f>
        <v/>
      </c>
    </row>
    <row r="114" spans="1:9" x14ac:dyDescent="0.3">
      <c r="A114" s="86" t="str">
        <f t="shared" ca="1" si="3"/>
        <v/>
      </c>
      <c r="B114" s="87" t="str">
        <f ca="1">IF($A114="","",IFERROR(INDEX(Market_Data!$C$21:$C$613,MATCH($A114,Market_Data!$B$21:INDEX(Market_Data!$B$21:$B$613,COUNT(Market_Data!$B$21:$B$613)),1)),""))</f>
        <v/>
      </c>
      <c r="C114" s="87" t="str">
        <f ca="1">IF($A114="","",IFERROR(INDEX(Market_Data!$F$21:$F$613,MATCH($A114,Market_Data!$E$21:INDEX(Market_Data!$E$21:$E$613,COUNT(Market_Data!$E$21:$E$613)),1)),""))</f>
        <v/>
      </c>
      <c r="D114" s="87" t="str">
        <f ca="1">IF($A114="","",IFERROR(INDEX(Market_Data!$I$21:$I$613,MATCH($A114,Market_Data!$H$21:INDEX(Market_Data!$H$21:$H$613,COUNT(Market_Data!$H$21:$H$613)),1)),""))</f>
        <v/>
      </c>
      <c r="E114" s="87" t="str">
        <f ca="1">IF($A114="","",IFERROR(INDEX(Market_Data!$L$21:$L$613,MATCH($A114,Market_Data!$K$21:INDEX(Market_Data!$K$21:$K$613,COUNT(Market_Data!$K$21:$K$613)),1)),""))</f>
        <v/>
      </c>
      <c r="F114" s="87" t="str">
        <f ca="1">IF($A114="","",IFERROR(INDEX(Market_Data!$O$21:$O$613,MATCH($A114,Market_Data!$N$21:INDEX(Market_Data!$N$21:$N$613,COUNT(Market_Data!$N$21:$N$613)),1)),""))</f>
        <v/>
      </c>
      <c r="G114" s="87" t="str">
        <f ca="1">IF($A114="","",IFERROR(INDEX(Market_Data!$R$21:$R$613,MATCH($A114,Market_Data!$Q$21:INDEX(Market_Data!$Q$21:$Q$613,COUNT(Market_Data!$Q$21:$Q$613)),1)),""))</f>
        <v/>
      </c>
      <c r="H114" s="87" t="str">
        <f ca="1">IF($A114="","",IFERROR(INDEX(Market_Data!$U$21:$U$613,MATCH($A114,Market_Data!$T$21:INDEX(Market_Data!$T$21:$T$613,COUNT(Market_Data!$T$21:$T$613)),1)),""))</f>
        <v/>
      </c>
      <c r="I114" s="88" t="str">
        <f ca="1">IF($A114="","",IFERROR(INDEX(Query1[Close],MATCH($A114,Query1[Date],1)),""))</f>
        <v/>
      </c>
    </row>
    <row r="115" spans="1:9" x14ac:dyDescent="0.3">
      <c r="A115" s="86" t="str">
        <f t="shared" ca="1" si="3"/>
        <v/>
      </c>
      <c r="B115" s="87" t="str">
        <f ca="1">IF($A115="","",IFERROR(INDEX(Market_Data!$C$21:$C$613,MATCH($A115,Market_Data!$B$21:INDEX(Market_Data!$B$21:$B$613,COUNT(Market_Data!$B$21:$B$613)),1)),""))</f>
        <v/>
      </c>
      <c r="C115" s="87" t="str">
        <f ca="1">IF($A115="","",IFERROR(INDEX(Market_Data!$F$21:$F$613,MATCH($A115,Market_Data!$E$21:INDEX(Market_Data!$E$21:$E$613,COUNT(Market_Data!$E$21:$E$613)),1)),""))</f>
        <v/>
      </c>
      <c r="D115" s="87" t="str">
        <f ca="1">IF($A115="","",IFERROR(INDEX(Market_Data!$I$21:$I$613,MATCH($A115,Market_Data!$H$21:INDEX(Market_Data!$H$21:$H$613,COUNT(Market_Data!$H$21:$H$613)),1)),""))</f>
        <v/>
      </c>
      <c r="E115" s="87" t="str">
        <f ca="1">IF($A115="","",IFERROR(INDEX(Market_Data!$L$21:$L$613,MATCH($A115,Market_Data!$K$21:INDEX(Market_Data!$K$21:$K$613,COUNT(Market_Data!$K$21:$K$613)),1)),""))</f>
        <v/>
      </c>
      <c r="F115" s="87" t="str">
        <f ca="1">IF($A115="","",IFERROR(INDEX(Market_Data!$O$21:$O$613,MATCH($A115,Market_Data!$N$21:INDEX(Market_Data!$N$21:$N$613,COUNT(Market_Data!$N$21:$N$613)),1)),""))</f>
        <v/>
      </c>
      <c r="G115" s="87" t="str">
        <f ca="1">IF($A115="","",IFERROR(INDEX(Market_Data!$R$21:$R$613,MATCH($A115,Market_Data!$Q$21:INDEX(Market_Data!$Q$21:$Q$613,COUNT(Market_Data!$Q$21:$Q$613)),1)),""))</f>
        <v/>
      </c>
      <c r="H115" s="87" t="str">
        <f ca="1">IF($A115="","",IFERROR(INDEX(Market_Data!$U$21:$U$613,MATCH($A115,Market_Data!$T$21:INDEX(Market_Data!$T$21:$T$613,COUNT(Market_Data!$T$21:$T$613)),1)),""))</f>
        <v/>
      </c>
      <c r="I115" s="88" t="str">
        <f ca="1">IF($A115="","",IFERROR(INDEX(Query1[Close],MATCH($A115,Query1[Date],1)),""))</f>
        <v/>
      </c>
    </row>
    <row r="116" spans="1:9" x14ac:dyDescent="0.3">
      <c r="A116" s="86" t="str">
        <f t="shared" ca="1" si="3"/>
        <v/>
      </c>
      <c r="B116" s="87" t="str">
        <f ca="1">IF($A116="","",IFERROR(INDEX(Market_Data!$C$21:$C$613,MATCH($A116,Market_Data!$B$21:INDEX(Market_Data!$B$21:$B$613,COUNT(Market_Data!$B$21:$B$613)),1)),""))</f>
        <v/>
      </c>
      <c r="C116" s="87" t="str">
        <f ca="1">IF($A116="","",IFERROR(INDEX(Market_Data!$F$21:$F$613,MATCH($A116,Market_Data!$E$21:INDEX(Market_Data!$E$21:$E$613,COUNT(Market_Data!$E$21:$E$613)),1)),""))</f>
        <v/>
      </c>
      <c r="D116" s="87" t="str">
        <f ca="1">IF($A116="","",IFERROR(INDEX(Market_Data!$I$21:$I$613,MATCH($A116,Market_Data!$H$21:INDEX(Market_Data!$H$21:$H$613,COUNT(Market_Data!$H$21:$H$613)),1)),""))</f>
        <v/>
      </c>
      <c r="E116" s="87" t="str">
        <f ca="1">IF($A116="","",IFERROR(INDEX(Market_Data!$L$21:$L$613,MATCH($A116,Market_Data!$K$21:INDEX(Market_Data!$K$21:$K$613,COUNT(Market_Data!$K$21:$K$613)),1)),""))</f>
        <v/>
      </c>
      <c r="F116" s="87" t="str">
        <f ca="1">IF($A116="","",IFERROR(INDEX(Market_Data!$O$21:$O$613,MATCH($A116,Market_Data!$N$21:INDEX(Market_Data!$N$21:$N$613,COUNT(Market_Data!$N$21:$N$613)),1)),""))</f>
        <v/>
      </c>
      <c r="G116" s="87" t="str">
        <f ca="1">IF($A116="","",IFERROR(INDEX(Market_Data!$R$21:$R$613,MATCH($A116,Market_Data!$Q$21:INDEX(Market_Data!$Q$21:$Q$613,COUNT(Market_Data!$Q$21:$Q$613)),1)),""))</f>
        <v/>
      </c>
      <c r="H116" s="87" t="str">
        <f ca="1">IF($A116="","",IFERROR(INDEX(Market_Data!$U$21:$U$613,MATCH($A116,Market_Data!$T$21:INDEX(Market_Data!$T$21:$T$613,COUNT(Market_Data!$T$21:$T$613)),1)),""))</f>
        <v/>
      </c>
      <c r="I116" s="88" t="str">
        <f ca="1">IF($A116="","",IFERROR(INDEX(Query1[Close],MATCH($A116,Query1[Date],1)),""))</f>
        <v/>
      </c>
    </row>
    <row r="117" spans="1:9" x14ac:dyDescent="0.3">
      <c r="A117" s="86" t="str">
        <f t="shared" ca="1" si="3"/>
        <v/>
      </c>
      <c r="B117" s="87" t="str">
        <f ca="1">IF($A117="","",IFERROR(INDEX(Market_Data!$C$21:$C$613,MATCH($A117,Market_Data!$B$21:INDEX(Market_Data!$B$21:$B$613,COUNT(Market_Data!$B$21:$B$613)),1)),""))</f>
        <v/>
      </c>
      <c r="C117" s="87" t="str">
        <f ca="1">IF($A117="","",IFERROR(INDEX(Market_Data!$F$21:$F$613,MATCH($A117,Market_Data!$E$21:INDEX(Market_Data!$E$21:$E$613,COUNT(Market_Data!$E$21:$E$613)),1)),""))</f>
        <v/>
      </c>
      <c r="D117" s="87" t="str">
        <f ca="1">IF($A117="","",IFERROR(INDEX(Market_Data!$I$21:$I$613,MATCH($A117,Market_Data!$H$21:INDEX(Market_Data!$H$21:$H$613,COUNT(Market_Data!$H$21:$H$613)),1)),""))</f>
        <v/>
      </c>
      <c r="E117" s="87" t="str">
        <f ca="1">IF($A117="","",IFERROR(INDEX(Market_Data!$L$21:$L$613,MATCH($A117,Market_Data!$K$21:INDEX(Market_Data!$K$21:$K$613,COUNT(Market_Data!$K$21:$K$613)),1)),""))</f>
        <v/>
      </c>
      <c r="F117" s="87" t="str">
        <f ca="1">IF($A117="","",IFERROR(INDEX(Market_Data!$O$21:$O$613,MATCH($A117,Market_Data!$N$21:INDEX(Market_Data!$N$21:$N$613,COUNT(Market_Data!$N$21:$N$613)),1)),""))</f>
        <v/>
      </c>
      <c r="G117" s="87" t="str">
        <f ca="1">IF($A117="","",IFERROR(INDEX(Market_Data!$R$21:$R$613,MATCH($A117,Market_Data!$Q$21:INDEX(Market_Data!$Q$21:$Q$613,COUNT(Market_Data!$Q$21:$Q$613)),1)),""))</f>
        <v/>
      </c>
      <c r="H117" s="87" t="str">
        <f ca="1">IF($A117="","",IFERROR(INDEX(Market_Data!$U$21:$U$613,MATCH($A117,Market_Data!$T$21:INDEX(Market_Data!$T$21:$T$613,COUNT(Market_Data!$T$21:$T$613)),1)),""))</f>
        <v/>
      </c>
      <c r="I117" s="88" t="str">
        <f ca="1">IF($A117="","",IFERROR(INDEX(Query1[Close],MATCH($A117,Query1[Date],1)),""))</f>
        <v/>
      </c>
    </row>
    <row r="118" spans="1:9" x14ac:dyDescent="0.3">
      <c r="A118" s="86" t="str">
        <f t="shared" ca="1" si="3"/>
        <v/>
      </c>
      <c r="B118" s="87" t="str">
        <f ca="1">IF($A118="","",IFERROR(INDEX(Market_Data!$C$21:$C$613,MATCH($A118,Market_Data!$B$21:INDEX(Market_Data!$B$21:$B$613,COUNT(Market_Data!$B$21:$B$613)),1)),""))</f>
        <v/>
      </c>
      <c r="C118" s="87" t="str">
        <f ca="1">IF($A118="","",IFERROR(INDEX(Market_Data!$F$21:$F$613,MATCH($A118,Market_Data!$E$21:INDEX(Market_Data!$E$21:$E$613,COUNT(Market_Data!$E$21:$E$613)),1)),""))</f>
        <v/>
      </c>
      <c r="D118" s="87" t="str">
        <f ca="1">IF($A118="","",IFERROR(INDEX(Market_Data!$I$21:$I$613,MATCH($A118,Market_Data!$H$21:INDEX(Market_Data!$H$21:$H$613,COUNT(Market_Data!$H$21:$H$613)),1)),""))</f>
        <v/>
      </c>
      <c r="E118" s="87" t="str">
        <f ca="1">IF($A118="","",IFERROR(INDEX(Market_Data!$L$21:$L$613,MATCH($A118,Market_Data!$K$21:INDEX(Market_Data!$K$21:$K$613,COUNT(Market_Data!$K$21:$K$613)),1)),""))</f>
        <v/>
      </c>
      <c r="F118" s="87" t="str">
        <f ca="1">IF($A118="","",IFERROR(INDEX(Market_Data!$O$21:$O$613,MATCH($A118,Market_Data!$N$21:INDEX(Market_Data!$N$21:$N$613,COUNT(Market_Data!$N$21:$N$613)),1)),""))</f>
        <v/>
      </c>
      <c r="G118" s="87" t="str">
        <f ca="1">IF($A118="","",IFERROR(INDEX(Market_Data!$R$21:$R$613,MATCH($A118,Market_Data!$Q$21:INDEX(Market_Data!$Q$21:$Q$613,COUNT(Market_Data!$Q$21:$Q$613)),1)),""))</f>
        <v/>
      </c>
      <c r="H118" s="87" t="str">
        <f ca="1">IF($A118="","",IFERROR(INDEX(Market_Data!$U$21:$U$613,MATCH($A118,Market_Data!$T$21:INDEX(Market_Data!$T$21:$T$613,COUNT(Market_Data!$T$21:$T$613)),1)),""))</f>
        <v/>
      </c>
      <c r="I118" s="88" t="str">
        <f ca="1">IF($A118="","",IFERROR(INDEX(Query1[Close],MATCH($A118,Query1[Date],1)),""))</f>
        <v/>
      </c>
    </row>
    <row r="119" spans="1:9" x14ac:dyDescent="0.3">
      <c r="A119" s="86" t="str">
        <f t="shared" ca="1" si="3"/>
        <v/>
      </c>
      <c r="B119" s="87" t="str">
        <f ca="1">IF($A119="","",IFERROR(INDEX(Market_Data!$C$21:$C$613,MATCH($A119,Market_Data!$B$21:INDEX(Market_Data!$B$21:$B$613,COUNT(Market_Data!$B$21:$B$613)),1)),""))</f>
        <v/>
      </c>
      <c r="C119" s="87" t="str">
        <f ca="1">IF($A119="","",IFERROR(INDEX(Market_Data!$F$21:$F$613,MATCH($A119,Market_Data!$E$21:INDEX(Market_Data!$E$21:$E$613,COUNT(Market_Data!$E$21:$E$613)),1)),""))</f>
        <v/>
      </c>
      <c r="D119" s="87" t="str">
        <f ca="1">IF($A119="","",IFERROR(INDEX(Market_Data!$I$21:$I$613,MATCH($A119,Market_Data!$H$21:INDEX(Market_Data!$H$21:$H$613,COUNT(Market_Data!$H$21:$H$613)),1)),""))</f>
        <v/>
      </c>
      <c r="E119" s="87" t="str">
        <f ca="1">IF($A119="","",IFERROR(INDEX(Market_Data!$L$21:$L$613,MATCH($A119,Market_Data!$K$21:INDEX(Market_Data!$K$21:$K$613,COUNT(Market_Data!$K$21:$K$613)),1)),""))</f>
        <v/>
      </c>
      <c r="F119" s="87" t="str">
        <f ca="1">IF($A119="","",IFERROR(INDEX(Market_Data!$O$21:$O$613,MATCH($A119,Market_Data!$N$21:INDEX(Market_Data!$N$21:$N$613,COUNT(Market_Data!$N$21:$N$613)),1)),""))</f>
        <v/>
      </c>
      <c r="G119" s="87" t="str">
        <f ca="1">IF($A119="","",IFERROR(INDEX(Market_Data!$R$21:$R$613,MATCH($A119,Market_Data!$Q$21:INDEX(Market_Data!$Q$21:$Q$613,COUNT(Market_Data!$Q$21:$Q$613)),1)),""))</f>
        <v/>
      </c>
      <c r="H119" s="87" t="str">
        <f ca="1">IF($A119="","",IFERROR(INDEX(Market_Data!$U$21:$U$613,MATCH($A119,Market_Data!$T$21:INDEX(Market_Data!$T$21:$T$613,COUNT(Market_Data!$T$21:$T$613)),1)),""))</f>
        <v/>
      </c>
      <c r="I119" s="88" t="str">
        <f ca="1">IF($A119="","",IFERROR(INDEX(Query1[Close],MATCH($A119,Query1[Date],1)),""))</f>
        <v/>
      </c>
    </row>
    <row r="120" spans="1:9" x14ac:dyDescent="0.3">
      <c r="A120" s="86" t="str">
        <f t="shared" ca="1" si="3"/>
        <v/>
      </c>
      <c r="B120" s="87" t="str">
        <f ca="1">IF($A120="","",IFERROR(INDEX(Market_Data!$C$21:$C$613,MATCH($A120,Market_Data!$B$21:INDEX(Market_Data!$B$21:$B$613,COUNT(Market_Data!$B$21:$B$613)),1)),""))</f>
        <v/>
      </c>
      <c r="C120" s="87" t="str">
        <f ca="1">IF($A120="","",IFERROR(INDEX(Market_Data!$F$21:$F$613,MATCH($A120,Market_Data!$E$21:INDEX(Market_Data!$E$21:$E$613,COUNT(Market_Data!$E$21:$E$613)),1)),""))</f>
        <v/>
      </c>
      <c r="D120" s="87" t="str">
        <f ca="1">IF($A120="","",IFERROR(INDEX(Market_Data!$I$21:$I$613,MATCH($A120,Market_Data!$H$21:INDEX(Market_Data!$H$21:$H$613,COUNT(Market_Data!$H$21:$H$613)),1)),""))</f>
        <v/>
      </c>
      <c r="E120" s="87" t="str">
        <f ca="1">IF($A120="","",IFERROR(INDEX(Market_Data!$L$21:$L$613,MATCH($A120,Market_Data!$K$21:INDEX(Market_Data!$K$21:$K$613,COUNT(Market_Data!$K$21:$K$613)),1)),""))</f>
        <v/>
      </c>
      <c r="F120" s="87" t="str">
        <f ca="1">IF($A120="","",IFERROR(INDEX(Market_Data!$O$21:$O$613,MATCH($A120,Market_Data!$N$21:INDEX(Market_Data!$N$21:$N$613,COUNT(Market_Data!$N$21:$N$613)),1)),""))</f>
        <v/>
      </c>
      <c r="G120" s="87" t="str">
        <f ca="1">IF($A120="","",IFERROR(INDEX(Market_Data!$R$21:$R$613,MATCH($A120,Market_Data!$Q$21:INDEX(Market_Data!$Q$21:$Q$613,COUNT(Market_Data!$Q$21:$Q$613)),1)),""))</f>
        <v/>
      </c>
      <c r="H120" s="87" t="str">
        <f ca="1">IF($A120="","",IFERROR(INDEX(Market_Data!$U$21:$U$613,MATCH($A120,Market_Data!$T$21:INDEX(Market_Data!$T$21:$T$613,COUNT(Market_Data!$T$21:$T$613)),1)),""))</f>
        <v/>
      </c>
      <c r="I120" s="88" t="str">
        <f ca="1">IF($A120="","",IFERROR(INDEX(Query1[Close],MATCH($A120,Query1[Date],1)),""))</f>
        <v/>
      </c>
    </row>
    <row r="121" spans="1:9" x14ac:dyDescent="0.3">
      <c r="A121" s="86" t="str">
        <f t="shared" ca="1" si="3"/>
        <v/>
      </c>
      <c r="B121" s="87" t="str">
        <f ca="1">IF($A121="","",IFERROR(INDEX(Market_Data!$C$21:$C$613,MATCH($A121,Market_Data!$B$21:INDEX(Market_Data!$B$21:$B$613,COUNT(Market_Data!$B$21:$B$613)),1)),""))</f>
        <v/>
      </c>
      <c r="C121" s="87" t="str">
        <f ca="1">IF($A121="","",IFERROR(INDEX(Market_Data!$F$21:$F$613,MATCH($A121,Market_Data!$E$21:INDEX(Market_Data!$E$21:$E$613,COUNT(Market_Data!$E$21:$E$613)),1)),""))</f>
        <v/>
      </c>
      <c r="D121" s="87" t="str">
        <f ca="1">IF($A121="","",IFERROR(INDEX(Market_Data!$I$21:$I$613,MATCH($A121,Market_Data!$H$21:INDEX(Market_Data!$H$21:$H$613,COUNT(Market_Data!$H$21:$H$613)),1)),""))</f>
        <v/>
      </c>
      <c r="E121" s="87" t="str">
        <f ca="1">IF($A121="","",IFERROR(INDEX(Market_Data!$L$21:$L$613,MATCH($A121,Market_Data!$K$21:INDEX(Market_Data!$K$21:$K$613,COUNT(Market_Data!$K$21:$K$613)),1)),""))</f>
        <v/>
      </c>
      <c r="F121" s="87" t="str">
        <f ca="1">IF($A121="","",IFERROR(INDEX(Market_Data!$O$21:$O$613,MATCH($A121,Market_Data!$N$21:INDEX(Market_Data!$N$21:$N$613,COUNT(Market_Data!$N$21:$N$613)),1)),""))</f>
        <v/>
      </c>
      <c r="G121" s="87" t="str">
        <f ca="1">IF($A121="","",IFERROR(INDEX(Market_Data!$R$21:$R$613,MATCH($A121,Market_Data!$Q$21:INDEX(Market_Data!$Q$21:$Q$613,COUNT(Market_Data!$Q$21:$Q$613)),1)),""))</f>
        <v/>
      </c>
      <c r="H121" s="87" t="str">
        <f ca="1">IF($A121="","",IFERROR(INDEX(Market_Data!$U$21:$U$613,MATCH($A121,Market_Data!$T$21:INDEX(Market_Data!$T$21:$T$613,COUNT(Market_Data!$T$21:$T$613)),1)),""))</f>
        <v/>
      </c>
      <c r="I121" s="88" t="str">
        <f ca="1">IF($A121="","",IFERROR(INDEX(Query1[Close],MATCH($A121,Query1[Date],1)),""))</f>
        <v/>
      </c>
    </row>
    <row r="122" spans="1:9" x14ac:dyDescent="0.3">
      <c r="A122" s="86" t="str">
        <f t="shared" ca="1" si="3"/>
        <v/>
      </c>
      <c r="B122" s="87" t="str">
        <f ca="1">IF($A122="","",IFERROR(INDEX(Market_Data!$C$21:$C$613,MATCH($A122,Market_Data!$B$21:INDEX(Market_Data!$B$21:$B$613,COUNT(Market_Data!$B$21:$B$613)),1)),""))</f>
        <v/>
      </c>
      <c r="C122" s="87" t="str">
        <f ca="1">IF($A122="","",IFERROR(INDEX(Market_Data!$F$21:$F$613,MATCH($A122,Market_Data!$E$21:INDEX(Market_Data!$E$21:$E$613,COUNT(Market_Data!$E$21:$E$613)),1)),""))</f>
        <v/>
      </c>
      <c r="D122" s="87" t="str">
        <f ca="1">IF($A122="","",IFERROR(INDEX(Market_Data!$I$21:$I$613,MATCH($A122,Market_Data!$H$21:INDEX(Market_Data!$H$21:$H$613,COUNT(Market_Data!$H$21:$H$613)),1)),""))</f>
        <v/>
      </c>
      <c r="E122" s="87" t="str">
        <f ca="1">IF($A122="","",IFERROR(INDEX(Market_Data!$L$21:$L$613,MATCH($A122,Market_Data!$K$21:INDEX(Market_Data!$K$21:$K$613,COUNT(Market_Data!$K$21:$K$613)),1)),""))</f>
        <v/>
      </c>
      <c r="F122" s="87" t="str">
        <f ca="1">IF($A122="","",IFERROR(INDEX(Market_Data!$O$21:$O$613,MATCH($A122,Market_Data!$N$21:INDEX(Market_Data!$N$21:$N$613,COUNT(Market_Data!$N$21:$N$613)),1)),""))</f>
        <v/>
      </c>
      <c r="G122" s="87" t="str">
        <f ca="1">IF($A122="","",IFERROR(INDEX(Market_Data!$R$21:$R$613,MATCH($A122,Market_Data!$Q$21:INDEX(Market_Data!$Q$21:$Q$613,COUNT(Market_Data!$Q$21:$Q$613)),1)),""))</f>
        <v/>
      </c>
      <c r="H122" s="87" t="str">
        <f ca="1">IF($A122="","",IFERROR(INDEX(Market_Data!$U$21:$U$613,MATCH($A122,Market_Data!$T$21:INDEX(Market_Data!$T$21:$T$613,COUNT(Market_Data!$T$21:$T$613)),1)),""))</f>
        <v/>
      </c>
      <c r="I122" s="88" t="str">
        <f ca="1">IF($A122="","",IFERROR(INDEX(Query1[Close],MATCH($A122,Query1[Date],1)),""))</f>
        <v/>
      </c>
    </row>
    <row r="123" spans="1:9" x14ac:dyDescent="0.3">
      <c r="A123" s="86" t="str">
        <f t="shared" ca="1" si="3"/>
        <v/>
      </c>
      <c r="B123" s="87" t="str">
        <f ca="1">IF($A123="","",IFERROR(INDEX(Market_Data!$C$21:$C$613,MATCH($A123,Market_Data!$B$21:INDEX(Market_Data!$B$21:$B$613,COUNT(Market_Data!$B$21:$B$613)),1)),""))</f>
        <v/>
      </c>
      <c r="C123" s="87" t="str">
        <f ca="1">IF($A123="","",IFERROR(INDEX(Market_Data!$F$21:$F$613,MATCH($A123,Market_Data!$E$21:INDEX(Market_Data!$E$21:$E$613,COUNT(Market_Data!$E$21:$E$613)),1)),""))</f>
        <v/>
      </c>
      <c r="D123" s="87" t="str">
        <f ca="1">IF($A123="","",IFERROR(INDEX(Market_Data!$I$21:$I$613,MATCH($A123,Market_Data!$H$21:INDEX(Market_Data!$H$21:$H$613,COUNT(Market_Data!$H$21:$H$613)),1)),""))</f>
        <v/>
      </c>
      <c r="E123" s="87" t="str">
        <f ca="1">IF($A123="","",IFERROR(INDEX(Market_Data!$L$21:$L$613,MATCH($A123,Market_Data!$K$21:INDEX(Market_Data!$K$21:$K$613,COUNT(Market_Data!$K$21:$K$613)),1)),""))</f>
        <v/>
      </c>
      <c r="F123" s="87" t="str">
        <f ca="1">IF($A123="","",IFERROR(INDEX(Market_Data!$O$21:$O$613,MATCH($A123,Market_Data!$N$21:INDEX(Market_Data!$N$21:$N$613,COUNT(Market_Data!$N$21:$N$613)),1)),""))</f>
        <v/>
      </c>
      <c r="G123" s="87" t="str">
        <f ca="1">IF($A123="","",IFERROR(INDEX(Market_Data!$R$21:$R$613,MATCH($A123,Market_Data!$Q$21:INDEX(Market_Data!$Q$21:$Q$613,COUNT(Market_Data!$Q$21:$Q$613)),1)),""))</f>
        <v/>
      </c>
      <c r="H123" s="87" t="str">
        <f ca="1">IF($A123="","",IFERROR(INDEX(Market_Data!$U$21:$U$613,MATCH($A123,Market_Data!$T$21:INDEX(Market_Data!$T$21:$T$613,COUNT(Market_Data!$T$21:$T$613)),1)),""))</f>
        <v/>
      </c>
      <c r="I123" s="88" t="str">
        <f ca="1">IF($A123="","",IFERROR(INDEX(Query1[Close],MATCH($A123,Query1[Date],1)),""))</f>
        <v/>
      </c>
    </row>
    <row r="124" spans="1:9" x14ac:dyDescent="0.3">
      <c r="A124" s="86" t="str">
        <f t="shared" ca="1" si="3"/>
        <v/>
      </c>
      <c r="B124" s="87" t="str">
        <f ca="1">IF($A124="","",IFERROR(INDEX(Market_Data!$C$21:$C$613,MATCH($A124,Market_Data!$B$21:INDEX(Market_Data!$B$21:$B$613,COUNT(Market_Data!$B$21:$B$613)),1)),""))</f>
        <v/>
      </c>
      <c r="C124" s="87" t="str">
        <f ca="1">IF($A124="","",IFERROR(INDEX(Market_Data!$F$21:$F$613,MATCH($A124,Market_Data!$E$21:INDEX(Market_Data!$E$21:$E$613,COUNT(Market_Data!$E$21:$E$613)),1)),""))</f>
        <v/>
      </c>
      <c r="D124" s="87" t="str">
        <f ca="1">IF($A124="","",IFERROR(INDEX(Market_Data!$I$21:$I$613,MATCH($A124,Market_Data!$H$21:INDEX(Market_Data!$H$21:$H$613,COUNT(Market_Data!$H$21:$H$613)),1)),""))</f>
        <v/>
      </c>
      <c r="E124" s="87" t="str">
        <f ca="1">IF($A124="","",IFERROR(INDEX(Market_Data!$L$21:$L$613,MATCH($A124,Market_Data!$K$21:INDEX(Market_Data!$K$21:$K$613,COUNT(Market_Data!$K$21:$K$613)),1)),""))</f>
        <v/>
      </c>
      <c r="F124" s="87" t="str">
        <f ca="1">IF($A124="","",IFERROR(INDEX(Market_Data!$O$21:$O$613,MATCH($A124,Market_Data!$N$21:INDEX(Market_Data!$N$21:$N$613,COUNT(Market_Data!$N$21:$N$613)),1)),""))</f>
        <v/>
      </c>
      <c r="G124" s="87" t="str">
        <f ca="1">IF($A124="","",IFERROR(INDEX(Market_Data!$R$21:$R$613,MATCH($A124,Market_Data!$Q$21:INDEX(Market_Data!$Q$21:$Q$613,COUNT(Market_Data!$Q$21:$Q$613)),1)),""))</f>
        <v/>
      </c>
      <c r="H124" s="87" t="str">
        <f ca="1">IF($A124="","",IFERROR(INDEX(Market_Data!$U$21:$U$613,MATCH($A124,Market_Data!$T$21:INDEX(Market_Data!$T$21:$T$613,COUNT(Market_Data!$T$21:$T$613)),1)),""))</f>
        <v/>
      </c>
      <c r="I124" s="88" t="str">
        <f ca="1">IF($A124="","",IFERROR(INDEX(Query1[Close],MATCH($A124,Query1[Date],1)),""))</f>
        <v/>
      </c>
    </row>
    <row r="125" spans="1:9" x14ac:dyDescent="0.3">
      <c r="A125" s="86" t="str">
        <f t="shared" ca="1" si="3"/>
        <v/>
      </c>
      <c r="B125" s="87" t="str">
        <f ca="1">IF($A125="","",IFERROR(INDEX(Market_Data!$C$21:$C$613,MATCH($A125,Market_Data!$B$21:INDEX(Market_Data!$B$21:$B$613,COUNT(Market_Data!$B$21:$B$613)),1)),""))</f>
        <v/>
      </c>
      <c r="C125" s="87" t="str">
        <f ca="1">IF($A125="","",IFERROR(INDEX(Market_Data!$F$21:$F$613,MATCH($A125,Market_Data!$E$21:INDEX(Market_Data!$E$21:$E$613,COUNT(Market_Data!$E$21:$E$613)),1)),""))</f>
        <v/>
      </c>
      <c r="D125" s="87" t="str">
        <f ca="1">IF($A125="","",IFERROR(INDEX(Market_Data!$I$21:$I$613,MATCH($A125,Market_Data!$H$21:INDEX(Market_Data!$H$21:$H$613,COUNT(Market_Data!$H$21:$H$613)),1)),""))</f>
        <v/>
      </c>
      <c r="E125" s="87" t="str">
        <f ca="1">IF($A125="","",IFERROR(INDEX(Market_Data!$L$21:$L$613,MATCH($A125,Market_Data!$K$21:INDEX(Market_Data!$K$21:$K$613,COUNT(Market_Data!$K$21:$K$613)),1)),""))</f>
        <v/>
      </c>
      <c r="F125" s="87" t="str">
        <f ca="1">IF($A125="","",IFERROR(INDEX(Market_Data!$O$21:$O$613,MATCH($A125,Market_Data!$N$21:INDEX(Market_Data!$N$21:$N$613,COUNT(Market_Data!$N$21:$N$613)),1)),""))</f>
        <v/>
      </c>
      <c r="G125" s="87" t="str">
        <f ca="1">IF($A125="","",IFERROR(INDEX(Market_Data!$R$21:$R$613,MATCH($A125,Market_Data!$Q$21:INDEX(Market_Data!$Q$21:$Q$613,COUNT(Market_Data!$Q$21:$Q$613)),1)),""))</f>
        <v/>
      </c>
      <c r="H125" s="87" t="str">
        <f ca="1">IF($A125="","",IFERROR(INDEX(Market_Data!$U$21:$U$613,MATCH($A125,Market_Data!$T$21:INDEX(Market_Data!$T$21:$T$613,COUNT(Market_Data!$T$21:$T$613)),1)),""))</f>
        <v/>
      </c>
      <c r="I125" s="88" t="str">
        <f ca="1">IF($A125="","",IFERROR(INDEX(Query1[Close],MATCH($A125,Query1[Date],1)),""))</f>
        <v/>
      </c>
    </row>
    <row r="126" spans="1:9" x14ac:dyDescent="0.3">
      <c r="A126" s="86" t="str">
        <f t="shared" ca="1" si="3"/>
        <v/>
      </c>
      <c r="B126" s="87" t="str">
        <f ca="1">IF($A126="","",IFERROR(INDEX(Market_Data!$C$21:$C$613,MATCH($A126,Market_Data!$B$21:INDEX(Market_Data!$B$21:$B$613,COUNT(Market_Data!$B$21:$B$613)),1)),""))</f>
        <v/>
      </c>
      <c r="C126" s="87" t="str">
        <f ca="1">IF($A126="","",IFERROR(INDEX(Market_Data!$F$21:$F$613,MATCH($A126,Market_Data!$E$21:INDEX(Market_Data!$E$21:$E$613,COUNT(Market_Data!$E$21:$E$613)),1)),""))</f>
        <v/>
      </c>
      <c r="D126" s="87" t="str">
        <f ca="1">IF($A126="","",IFERROR(INDEX(Market_Data!$I$21:$I$613,MATCH($A126,Market_Data!$H$21:INDEX(Market_Data!$H$21:$H$613,COUNT(Market_Data!$H$21:$H$613)),1)),""))</f>
        <v/>
      </c>
      <c r="E126" s="87" t="str">
        <f ca="1">IF($A126="","",IFERROR(INDEX(Market_Data!$L$21:$L$613,MATCH($A126,Market_Data!$K$21:INDEX(Market_Data!$K$21:$K$613,COUNT(Market_Data!$K$21:$K$613)),1)),""))</f>
        <v/>
      </c>
      <c r="F126" s="87" t="str">
        <f ca="1">IF($A126="","",IFERROR(INDEX(Market_Data!$O$21:$O$613,MATCH($A126,Market_Data!$N$21:INDEX(Market_Data!$N$21:$N$613,COUNT(Market_Data!$N$21:$N$613)),1)),""))</f>
        <v/>
      </c>
      <c r="G126" s="87" t="str">
        <f ca="1">IF($A126="","",IFERROR(INDEX(Market_Data!$R$21:$R$613,MATCH($A126,Market_Data!$Q$21:INDEX(Market_Data!$Q$21:$Q$613,COUNT(Market_Data!$Q$21:$Q$613)),1)),""))</f>
        <v/>
      </c>
      <c r="H126" s="87" t="str">
        <f ca="1">IF($A126="","",IFERROR(INDEX(Market_Data!$U$21:$U$613,MATCH($A126,Market_Data!$T$21:INDEX(Market_Data!$T$21:$T$613,COUNT(Market_Data!$T$21:$T$613)),1)),""))</f>
        <v/>
      </c>
      <c r="I126" s="88" t="str">
        <f ca="1">IF($A126="","",IFERROR(INDEX(Query1[Close],MATCH($A126,Query1[Date],1)),""))</f>
        <v/>
      </c>
    </row>
    <row r="127" spans="1:9" x14ac:dyDescent="0.3">
      <c r="A127" s="86" t="str">
        <f t="shared" ca="1" si="3"/>
        <v/>
      </c>
      <c r="B127" s="87" t="str">
        <f ca="1">IF($A127="","",IFERROR(INDEX(Market_Data!$C$21:$C$613,MATCH($A127,Market_Data!$B$21:INDEX(Market_Data!$B$21:$B$613,COUNT(Market_Data!$B$21:$B$613)),1)),""))</f>
        <v/>
      </c>
      <c r="C127" s="87" t="str">
        <f ca="1">IF($A127="","",IFERROR(INDEX(Market_Data!$F$21:$F$613,MATCH($A127,Market_Data!$E$21:INDEX(Market_Data!$E$21:$E$613,COUNT(Market_Data!$E$21:$E$613)),1)),""))</f>
        <v/>
      </c>
      <c r="D127" s="87" t="str">
        <f ca="1">IF($A127="","",IFERROR(INDEX(Market_Data!$I$21:$I$613,MATCH($A127,Market_Data!$H$21:INDEX(Market_Data!$H$21:$H$613,COUNT(Market_Data!$H$21:$H$613)),1)),""))</f>
        <v/>
      </c>
      <c r="E127" s="87" t="str">
        <f ca="1">IF($A127="","",IFERROR(INDEX(Market_Data!$L$21:$L$613,MATCH($A127,Market_Data!$K$21:INDEX(Market_Data!$K$21:$K$613,COUNT(Market_Data!$K$21:$K$613)),1)),""))</f>
        <v/>
      </c>
      <c r="F127" s="87" t="str">
        <f ca="1">IF($A127="","",IFERROR(INDEX(Market_Data!$O$21:$O$613,MATCH($A127,Market_Data!$N$21:INDEX(Market_Data!$N$21:$N$613,COUNT(Market_Data!$N$21:$N$613)),1)),""))</f>
        <v/>
      </c>
      <c r="G127" s="87" t="str">
        <f ca="1">IF($A127="","",IFERROR(INDEX(Market_Data!$R$21:$R$613,MATCH($A127,Market_Data!$Q$21:INDEX(Market_Data!$Q$21:$Q$613,COUNT(Market_Data!$Q$21:$Q$613)),1)),""))</f>
        <v/>
      </c>
      <c r="H127" s="87" t="str">
        <f ca="1">IF($A127="","",IFERROR(INDEX(Market_Data!$U$21:$U$613,MATCH($A127,Market_Data!$T$21:INDEX(Market_Data!$T$21:$T$613,COUNT(Market_Data!$T$21:$T$613)),1)),""))</f>
        <v/>
      </c>
      <c r="I127" s="88" t="str">
        <f ca="1">IF($A127="","",IFERROR(INDEX(Query1[Close],MATCH($A127,Query1[Date],1)),""))</f>
        <v/>
      </c>
    </row>
    <row r="128" spans="1:9" x14ac:dyDescent="0.3">
      <c r="A128" s="86" t="str">
        <f t="shared" ca="1" si="3"/>
        <v/>
      </c>
      <c r="B128" s="87" t="str">
        <f ca="1">IF($A128="","",IFERROR(INDEX(Market_Data!$C$21:$C$613,MATCH($A128,Market_Data!$B$21:INDEX(Market_Data!$B$21:$B$613,COUNT(Market_Data!$B$21:$B$613)),1)),""))</f>
        <v/>
      </c>
      <c r="C128" s="87" t="str">
        <f ca="1">IF($A128="","",IFERROR(INDEX(Market_Data!$F$21:$F$613,MATCH($A128,Market_Data!$E$21:INDEX(Market_Data!$E$21:$E$613,COUNT(Market_Data!$E$21:$E$613)),1)),""))</f>
        <v/>
      </c>
      <c r="D128" s="87" t="str">
        <f ca="1">IF($A128="","",IFERROR(INDEX(Market_Data!$I$21:$I$613,MATCH($A128,Market_Data!$H$21:INDEX(Market_Data!$H$21:$H$613,COUNT(Market_Data!$H$21:$H$613)),1)),""))</f>
        <v/>
      </c>
      <c r="E128" s="87" t="str">
        <f ca="1">IF($A128="","",IFERROR(INDEX(Market_Data!$L$21:$L$613,MATCH($A128,Market_Data!$K$21:INDEX(Market_Data!$K$21:$K$613,COUNT(Market_Data!$K$21:$K$613)),1)),""))</f>
        <v/>
      </c>
      <c r="F128" s="87" t="str">
        <f ca="1">IF($A128="","",IFERROR(INDEX(Market_Data!$O$21:$O$613,MATCH($A128,Market_Data!$N$21:INDEX(Market_Data!$N$21:$N$613,COUNT(Market_Data!$N$21:$N$613)),1)),""))</f>
        <v/>
      </c>
      <c r="G128" s="87" t="str">
        <f ca="1">IF($A128="","",IFERROR(INDEX(Market_Data!$R$21:$R$613,MATCH($A128,Market_Data!$Q$21:INDEX(Market_Data!$Q$21:$Q$613,COUNT(Market_Data!$Q$21:$Q$613)),1)),""))</f>
        <v/>
      </c>
      <c r="H128" s="87" t="str">
        <f ca="1">IF($A128="","",IFERROR(INDEX(Market_Data!$U$21:$U$613,MATCH($A128,Market_Data!$T$21:INDEX(Market_Data!$T$21:$T$613,COUNT(Market_Data!$T$21:$T$613)),1)),""))</f>
        <v/>
      </c>
      <c r="I128" s="88" t="str">
        <f ca="1">IF($A128="","",IFERROR(INDEX(Query1[Close],MATCH($A128,Query1[Date],1)),""))</f>
        <v/>
      </c>
    </row>
    <row r="129" spans="1:9" x14ac:dyDescent="0.3">
      <c r="A129" s="86" t="str">
        <f t="shared" ca="1" si="3"/>
        <v/>
      </c>
      <c r="B129" s="87" t="str">
        <f ca="1">IF($A129="","",IFERROR(INDEX(Market_Data!$C$21:$C$613,MATCH($A129,Market_Data!$B$21:INDEX(Market_Data!$B$21:$B$613,COUNT(Market_Data!$B$21:$B$613)),1)),""))</f>
        <v/>
      </c>
      <c r="C129" s="87" t="str">
        <f ca="1">IF($A129="","",IFERROR(INDEX(Market_Data!$F$21:$F$613,MATCH($A129,Market_Data!$E$21:INDEX(Market_Data!$E$21:$E$613,COUNT(Market_Data!$E$21:$E$613)),1)),""))</f>
        <v/>
      </c>
      <c r="D129" s="87" t="str">
        <f ca="1">IF($A129="","",IFERROR(INDEX(Market_Data!$I$21:$I$613,MATCH($A129,Market_Data!$H$21:INDEX(Market_Data!$H$21:$H$613,COUNT(Market_Data!$H$21:$H$613)),1)),""))</f>
        <v/>
      </c>
      <c r="E129" s="87" t="str">
        <f ca="1">IF($A129="","",IFERROR(INDEX(Market_Data!$L$21:$L$613,MATCH($A129,Market_Data!$K$21:INDEX(Market_Data!$K$21:$K$613,COUNT(Market_Data!$K$21:$K$613)),1)),""))</f>
        <v/>
      </c>
      <c r="F129" s="87" t="str">
        <f ca="1">IF($A129="","",IFERROR(INDEX(Market_Data!$O$21:$O$613,MATCH($A129,Market_Data!$N$21:INDEX(Market_Data!$N$21:$N$613,COUNT(Market_Data!$N$21:$N$613)),1)),""))</f>
        <v/>
      </c>
      <c r="G129" s="87" t="str">
        <f ca="1">IF($A129="","",IFERROR(INDEX(Market_Data!$R$21:$R$613,MATCH($A129,Market_Data!$Q$21:INDEX(Market_Data!$Q$21:$Q$613,COUNT(Market_Data!$Q$21:$Q$613)),1)),""))</f>
        <v/>
      </c>
      <c r="H129" s="87" t="str">
        <f ca="1">IF($A129="","",IFERROR(INDEX(Market_Data!$U$21:$U$613,MATCH($A129,Market_Data!$T$21:INDEX(Market_Data!$T$21:$T$613,COUNT(Market_Data!$T$21:$T$613)),1)),""))</f>
        <v/>
      </c>
      <c r="I129" s="88" t="str">
        <f ca="1">IF($A129="","",IFERROR(INDEX(Query1[Close],MATCH($A129,Query1[Date],1)),""))</f>
        <v/>
      </c>
    </row>
    <row r="130" spans="1:9" x14ac:dyDescent="0.3">
      <c r="A130" s="86" t="str">
        <f t="shared" ca="1" si="3"/>
        <v/>
      </c>
      <c r="B130" s="87" t="str">
        <f ca="1">IF($A130="","",IFERROR(INDEX(Market_Data!$C$21:$C$613,MATCH($A130,Market_Data!$B$21:INDEX(Market_Data!$B$21:$B$613,COUNT(Market_Data!$B$21:$B$613)),1)),""))</f>
        <v/>
      </c>
      <c r="C130" s="87" t="str">
        <f ca="1">IF($A130="","",IFERROR(INDEX(Market_Data!$F$21:$F$613,MATCH($A130,Market_Data!$E$21:INDEX(Market_Data!$E$21:$E$613,COUNT(Market_Data!$E$21:$E$613)),1)),""))</f>
        <v/>
      </c>
      <c r="D130" s="87" t="str">
        <f ca="1">IF($A130="","",IFERROR(INDEX(Market_Data!$I$21:$I$613,MATCH($A130,Market_Data!$H$21:INDEX(Market_Data!$H$21:$H$613,COUNT(Market_Data!$H$21:$H$613)),1)),""))</f>
        <v/>
      </c>
      <c r="E130" s="87" t="str">
        <f ca="1">IF($A130="","",IFERROR(INDEX(Market_Data!$L$21:$L$613,MATCH($A130,Market_Data!$K$21:INDEX(Market_Data!$K$21:$K$613,COUNT(Market_Data!$K$21:$K$613)),1)),""))</f>
        <v/>
      </c>
      <c r="F130" s="87" t="str">
        <f ca="1">IF($A130="","",IFERROR(INDEX(Market_Data!$O$21:$O$613,MATCH($A130,Market_Data!$N$21:INDEX(Market_Data!$N$21:$N$613,COUNT(Market_Data!$N$21:$N$613)),1)),""))</f>
        <v/>
      </c>
      <c r="G130" s="87" t="str">
        <f ca="1">IF($A130="","",IFERROR(INDEX(Market_Data!$R$21:$R$613,MATCH($A130,Market_Data!$Q$21:INDEX(Market_Data!$Q$21:$Q$613,COUNT(Market_Data!$Q$21:$Q$613)),1)),""))</f>
        <v/>
      </c>
      <c r="H130" s="87" t="str">
        <f ca="1">IF($A130="","",IFERROR(INDEX(Market_Data!$U$21:$U$613,MATCH($A130,Market_Data!$T$21:INDEX(Market_Data!$T$21:$T$613,COUNT(Market_Data!$T$21:$T$613)),1)),""))</f>
        <v/>
      </c>
      <c r="I130" s="88" t="str">
        <f ca="1">IF($A130="","",IFERROR(INDEX(Query1[Close],MATCH($A130,Query1[Date],1)),""))</f>
        <v/>
      </c>
    </row>
    <row r="131" spans="1:9" x14ac:dyDescent="0.3">
      <c r="A131" s="86" t="str">
        <f t="shared" ca="1" si="3"/>
        <v/>
      </c>
      <c r="B131" s="87" t="str">
        <f ca="1">IF($A131="","",IFERROR(INDEX(Market_Data!$C$21:$C$613,MATCH($A131,Market_Data!$B$21:INDEX(Market_Data!$B$21:$B$613,COUNT(Market_Data!$B$21:$B$613)),1)),""))</f>
        <v/>
      </c>
      <c r="C131" s="87" t="str">
        <f ca="1">IF($A131="","",IFERROR(INDEX(Market_Data!$F$21:$F$613,MATCH($A131,Market_Data!$E$21:INDEX(Market_Data!$E$21:$E$613,COUNT(Market_Data!$E$21:$E$613)),1)),""))</f>
        <v/>
      </c>
      <c r="D131" s="87" t="str">
        <f ca="1">IF($A131="","",IFERROR(INDEX(Market_Data!$I$21:$I$613,MATCH($A131,Market_Data!$H$21:INDEX(Market_Data!$H$21:$H$613,COUNT(Market_Data!$H$21:$H$613)),1)),""))</f>
        <v/>
      </c>
      <c r="E131" s="87" t="str">
        <f ca="1">IF($A131="","",IFERROR(INDEX(Market_Data!$L$21:$L$613,MATCH($A131,Market_Data!$K$21:INDEX(Market_Data!$K$21:$K$613,COUNT(Market_Data!$K$21:$K$613)),1)),""))</f>
        <v/>
      </c>
      <c r="F131" s="87" t="str">
        <f ca="1">IF($A131="","",IFERROR(INDEX(Market_Data!$O$21:$O$613,MATCH($A131,Market_Data!$N$21:INDEX(Market_Data!$N$21:$N$613,COUNT(Market_Data!$N$21:$N$613)),1)),""))</f>
        <v/>
      </c>
      <c r="G131" s="87" t="str">
        <f ca="1">IF($A131="","",IFERROR(INDEX(Market_Data!$R$21:$R$613,MATCH($A131,Market_Data!$Q$21:INDEX(Market_Data!$Q$21:$Q$613,COUNT(Market_Data!$Q$21:$Q$613)),1)),""))</f>
        <v/>
      </c>
      <c r="H131" s="87" t="str">
        <f ca="1">IF($A131="","",IFERROR(INDEX(Market_Data!$U$21:$U$613,MATCH($A131,Market_Data!$T$21:INDEX(Market_Data!$T$21:$T$613,COUNT(Market_Data!$T$21:$T$613)),1)),""))</f>
        <v/>
      </c>
      <c r="I131" s="88" t="str">
        <f ca="1">IF($A131="","",IFERROR(INDEX(Query1[Close],MATCH($A131,Query1[Date],1)),""))</f>
        <v/>
      </c>
    </row>
    <row r="132" spans="1:9" x14ac:dyDescent="0.3">
      <c r="A132" s="86" t="str">
        <f t="shared" ca="1" si="3"/>
        <v/>
      </c>
      <c r="B132" s="87" t="str">
        <f ca="1">IF($A132="","",IFERROR(INDEX(Market_Data!$C$21:$C$613,MATCH($A132,Market_Data!$B$21:INDEX(Market_Data!$B$21:$B$613,COUNT(Market_Data!$B$21:$B$613)),1)),""))</f>
        <v/>
      </c>
      <c r="C132" s="87" t="str">
        <f ca="1">IF($A132="","",IFERROR(INDEX(Market_Data!$F$21:$F$613,MATCH($A132,Market_Data!$E$21:INDEX(Market_Data!$E$21:$E$613,COUNT(Market_Data!$E$21:$E$613)),1)),""))</f>
        <v/>
      </c>
      <c r="D132" s="87" t="str">
        <f ca="1">IF($A132="","",IFERROR(INDEX(Market_Data!$I$21:$I$613,MATCH($A132,Market_Data!$H$21:INDEX(Market_Data!$H$21:$H$613,COUNT(Market_Data!$H$21:$H$613)),1)),""))</f>
        <v/>
      </c>
      <c r="E132" s="87" t="str">
        <f ca="1">IF($A132="","",IFERROR(INDEX(Market_Data!$L$21:$L$613,MATCH($A132,Market_Data!$K$21:INDEX(Market_Data!$K$21:$K$613,COUNT(Market_Data!$K$21:$K$613)),1)),""))</f>
        <v/>
      </c>
      <c r="F132" s="87" t="str">
        <f ca="1">IF($A132="","",IFERROR(INDEX(Market_Data!$O$21:$O$613,MATCH($A132,Market_Data!$N$21:INDEX(Market_Data!$N$21:$N$613,COUNT(Market_Data!$N$21:$N$613)),1)),""))</f>
        <v/>
      </c>
      <c r="G132" s="87" t="str">
        <f ca="1">IF($A132="","",IFERROR(INDEX(Market_Data!$R$21:$R$613,MATCH($A132,Market_Data!$Q$21:INDEX(Market_Data!$Q$21:$Q$613,COUNT(Market_Data!$Q$21:$Q$613)),1)),""))</f>
        <v/>
      </c>
      <c r="H132" s="87" t="str">
        <f ca="1">IF($A132="","",IFERROR(INDEX(Market_Data!$U$21:$U$613,MATCH($A132,Market_Data!$T$21:INDEX(Market_Data!$T$21:$T$613,COUNT(Market_Data!$T$21:$T$613)),1)),""))</f>
        <v/>
      </c>
      <c r="I132" s="88" t="str">
        <f ca="1">IF($A132="","",IFERROR(INDEX(Query1[Close],MATCH($A132,Query1[Date],1)),""))</f>
        <v/>
      </c>
    </row>
    <row r="133" spans="1:9" x14ac:dyDescent="0.3">
      <c r="A133" s="86" t="str">
        <f t="shared" ca="1" si="3"/>
        <v/>
      </c>
      <c r="B133" s="87" t="str">
        <f ca="1">IF($A133="","",IFERROR(INDEX(Market_Data!$C$21:$C$613,MATCH($A133,Market_Data!$B$21:INDEX(Market_Data!$B$21:$B$613,COUNT(Market_Data!$B$21:$B$613)),1)),""))</f>
        <v/>
      </c>
      <c r="C133" s="87" t="str">
        <f ca="1">IF($A133="","",IFERROR(INDEX(Market_Data!$F$21:$F$613,MATCH($A133,Market_Data!$E$21:INDEX(Market_Data!$E$21:$E$613,COUNT(Market_Data!$E$21:$E$613)),1)),""))</f>
        <v/>
      </c>
      <c r="D133" s="87" t="str">
        <f ca="1">IF($A133="","",IFERROR(INDEX(Market_Data!$I$21:$I$613,MATCH($A133,Market_Data!$H$21:INDEX(Market_Data!$H$21:$H$613,COUNT(Market_Data!$H$21:$H$613)),1)),""))</f>
        <v/>
      </c>
      <c r="E133" s="87" t="str">
        <f ca="1">IF($A133="","",IFERROR(INDEX(Market_Data!$L$21:$L$613,MATCH($A133,Market_Data!$K$21:INDEX(Market_Data!$K$21:$K$613,COUNT(Market_Data!$K$21:$K$613)),1)),""))</f>
        <v/>
      </c>
      <c r="F133" s="87" t="str">
        <f ca="1">IF($A133="","",IFERROR(INDEX(Market_Data!$O$21:$O$613,MATCH($A133,Market_Data!$N$21:INDEX(Market_Data!$N$21:$N$613,COUNT(Market_Data!$N$21:$N$613)),1)),""))</f>
        <v/>
      </c>
      <c r="G133" s="87" t="str">
        <f ca="1">IF($A133="","",IFERROR(INDEX(Market_Data!$R$21:$R$613,MATCH($A133,Market_Data!$Q$21:INDEX(Market_Data!$Q$21:$Q$613,COUNT(Market_Data!$Q$21:$Q$613)),1)),""))</f>
        <v/>
      </c>
      <c r="H133" s="87" t="str">
        <f ca="1">IF($A133="","",IFERROR(INDEX(Market_Data!$U$21:$U$613,MATCH($A133,Market_Data!$T$21:INDEX(Market_Data!$T$21:$T$613,COUNT(Market_Data!$T$21:$T$613)),1)),""))</f>
        <v/>
      </c>
      <c r="I133" s="88" t="str">
        <f ca="1">IF($A133="","",IFERROR(INDEX(Query1[Close],MATCH($A133,Query1[Date],1)),""))</f>
        <v/>
      </c>
    </row>
    <row r="134" spans="1:9" x14ac:dyDescent="0.3">
      <c r="A134" s="144" t="str">
        <f t="shared" ref="A134:A197" ca="1" si="4">IF($A133="","",IF($A133+7&lt;=TODAY(),$A133+7,""))</f>
        <v/>
      </c>
      <c r="B134" s="145" t="str">
        <f ca="1">IF($A134="","",IFERROR(INDEX(Market_Data!$C$21:$C$613,MATCH($A134,Market_Data!$B$21:INDEX(Market_Data!$B$21:$B$613,COUNT(Market_Data!$B$21:$B$613)),1)),""))</f>
        <v/>
      </c>
      <c r="C134" s="145" t="str">
        <f ca="1">IF($A134="","",IFERROR(INDEX(Market_Data!$F$21:$F$613,MATCH($A134,Market_Data!$E$21:INDEX(Market_Data!$E$21:$E$613,COUNT(Market_Data!$E$21:$E$613)),1)),""))</f>
        <v/>
      </c>
      <c r="D134" s="145" t="str">
        <f ca="1">IF($A134="","",IFERROR(INDEX(Market_Data!$I$21:$I$613,MATCH($A134,Market_Data!$H$21:INDEX(Market_Data!$H$21:$H$613,COUNT(Market_Data!$H$21:$H$613)),1)),""))</f>
        <v/>
      </c>
      <c r="E134" s="145" t="str">
        <f ca="1">IF($A134="","",IFERROR(INDEX(Market_Data!$L$21:$L$613,MATCH($A134,Market_Data!$K$21:INDEX(Market_Data!$K$21:$K$613,COUNT(Market_Data!$K$21:$K$613)),1)),""))</f>
        <v/>
      </c>
      <c r="F134" s="145" t="str">
        <f ca="1">IF($A134="","",IFERROR(INDEX(Market_Data!$O$21:$O$613,MATCH($A134,Market_Data!$N$21:INDEX(Market_Data!$N$21:$N$613,COUNT(Market_Data!$N$21:$N$613)),1)),""))</f>
        <v/>
      </c>
      <c r="G134" s="145" t="str">
        <f ca="1">IF($A134="","",IFERROR(INDEX(Market_Data!$R$21:$R$613,MATCH($A134,Market_Data!$Q$21:INDEX(Market_Data!$Q$21:$Q$613,COUNT(Market_Data!$Q$21:$Q$613)),1)),""))</f>
        <v/>
      </c>
      <c r="H134" s="145" t="str">
        <f ca="1">IF($A134="","",IFERROR(INDEX(Market_Data!$U$21:$U$613,MATCH($A134,Market_Data!$T$21:INDEX(Market_Data!$T$21:$T$613,COUNT(Market_Data!$T$21:$T$613)),1)),""))</f>
        <v/>
      </c>
      <c r="I134" s="146" t="str">
        <f ca="1">IF($A134="","",IFERROR(INDEX(Query1[Close],MATCH($A134,Query1[Date],1)),""))</f>
        <v/>
      </c>
    </row>
    <row r="135" spans="1:9" x14ac:dyDescent="0.3">
      <c r="A135" s="144" t="str">
        <f t="shared" ca="1" si="4"/>
        <v/>
      </c>
      <c r="B135" s="145" t="str">
        <f ca="1">IF($A135="","",IFERROR(INDEX(Market_Data!$C$21:$C$613,MATCH($A135,Market_Data!$B$21:INDEX(Market_Data!$B$21:$B$613,COUNT(Market_Data!$B$21:$B$613)),1)),""))</f>
        <v/>
      </c>
      <c r="C135" s="145" t="str">
        <f ca="1">IF($A135="","",IFERROR(INDEX(Market_Data!$F$21:$F$613,MATCH($A135,Market_Data!$E$21:INDEX(Market_Data!$E$21:$E$613,COUNT(Market_Data!$E$21:$E$613)),1)),""))</f>
        <v/>
      </c>
      <c r="D135" s="145" t="str">
        <f ca="1">IF($A135="","",IFERROR(INDEX(Market_Data!$I$21:$I$613,MATCH($A135,Market_Data!$H$21:INDEX(Market_Data!$H$21:$H$613,COUNT(Market_Data!$H$21:$H$613)),1)),""))</f>
        <v/>
      </c>
      <c r="E135" s="145" t="str">
        <f ca="1">IF($A135="","",IFERROR(INDEX(Market_Data!$L$21:$L$613,MATCH($A135,Market_Data!$K$21:INDEX(Market_Data!$K$21:$K$613,COUNT(Market_Data!$K$21:$K$613)),1)),""))</f>
        <v/>
      </c>
      <c r="F135" s="145" t="str">
        <f ca="1">IF($A135="","",IFERROR(INDEX(Market_Data!$O$21:$O$613,MATCH($A135,Market_Data!$N$21:INDEX(Market_Data!$N$21:$N$613,COUNT(Market_Data!$N$21:$N$613)),1)),""))</f>
        <v/>
      </c>
      <c r="G135" s="145" t="str">
        <f ca="1">IF($A135="","",IFERROR(INDEX(Market_Data!$R$21:$R$613,MATCH($A135,Market_Data!$Q$21:INDEX(Market_Data!$Q$21:$Q$613,COUNT(Market_Data!$Q$21:$Q$613)),1)),""))</f>
        <v/>
      </c>
      <c r="H135" s="145" t="str">
        <f ca="1">IF($A135="","",IFERROR(INDEX(Market_Data!$U$21:$U$613,MATCH($A135,Market_Data!$T$21:INDEX(Market_Data!$T$21:$T$613,COUNT(Market_Data!$T$21:$T$613)),1)),""))</f>
        <v/>
      </c>
      <c r="I135" s="146" t="str">
        <f ca="1">IF($A135="","",IFERROR(INDEX(Query1[Close],MATCH($A135,Query1[Date],1)),""))</f>
        <v/>
      </c>
    </row>
    <row r="136" spans="1:9" x14ac:dyDescent="0.3">
      <c r="A136" s="144" t="str">
        <f t="shared" ca="1" si="4"/>
        <v/>
      </c>
      <c r="B136" s="145" t="str">
        <f ca="1">IF($A136="","",IFERROR(INDEX(Market_Data!$C$21:$C$613,MATCH($A136,Market_Data!$B$21:INDEX(Market_Data!$B$21:$B$613,COUNT(Market_Data!$B$21:$B$613)),1)),""))</f>
        <v/>
      </c>
      <c r="C136" s="145" t="str">
        <f ca="1">IF($A136="","",IFERROR(INDEX(Market_Data!$F$21:$F$613,MATCH($A136,Market_Data!$E$21:INDEX(Market_Data!$E$21:$E$613,COUNT(Market_Data!$E$21:$E$613)),1)),""))</f>
        <v/>
      </c>
      <c r="D136" s="145" t="str">
        <f ca="1">IF($A136="","",IFERROR(INDEX(Market_Data!$I$21:$I$613,MATCH($A136,Market_Data!$H$21:INDEX(Market_Data!$H$21:$H$613,COUNT(Market_Data!$H$21:$H$613)),1)),""))</f>
        <v/>
      </c>
      <c r="E136" s="145" t="str">
        <f ca="1">IF($A136="","",IFERROR(INDEX(Market_Data!$L$21:$L$613,MATCH($A136,Market_Data!$K$21:INDEX(Market_Data!$K$21:$K$613,COUNT(Market_Data!$K$21:$K$613)),1)),""))</f>
        <v/>
      </c>
      <c r="F136" s="145" t="str">
        <f ca="1">IF($A136="","",IFERROR(INDEX(Market_Data!$O$21:$O$613,MATCH($A136,Market_Data!$N$21:INDEX(Market_Data!$N$21:$N$613,COUNT(Market_Data!$N$21:$N$613)),1)),""))</f>
        <v/>
      </c>
      <c r="G136" s="145" t="str">
        <f ca="1">IF($A136="","",IFERROR(INDEX(Market_Data!$R$21:$R$613,MATCH($A136,Market_Data!$Q$21:INDEX(Market_Data!$Q$21:$Q$613,COUNT(Market_Data!$Q$21:$Q$613)),1)),""))</f>
        <v/>
      </c>
      <c r="H136" s="145" t="str">
        <f ca="1">IF($A136="","",IFERROR(INDEX(Market_Data!$U$21:$U$613,MATCH($A136,Market_Data!$T$21:INDEX(Market_Data!$T$21:$T$613,COUNT(Market_Data!$T$21:$T$613)),1)),""))</f>
        <v/>
      </c>
      <c r="I136" s="146" t="str">
        <f ca="1">IF($A136="","",IFERROR(INDEX(Query1[Close],MATCH($A136,Query1[Date],1)),""))</f>
        <v/>
      </c>
    </row>
    <row r="137" spans="1:9" x14ac:dyDescent="0.3">
      <c r="A137" s="144" t="str">
        <f t="shared" ca="1" si="4"/>
        <v/>
      </c>
      <c r="B137" s="145" t="str">
        <f ca="1">IF($A137="","",IFERROR(INDEX(Market_Data!$C$21:$C$613,MATCH($A137,Market_Data!$B$21:INDEX(Market_Data!$B$21:$B$613,COUNT(Market_Data!$B$21:$B$613)),1)),""))</f>
        <v/>
      </c>
      <c r="C137" s="145" t="str">
        <f ca="1">IF($A137="","",IFERROR(INDEX(Market_Data!$F$21:$F$613,MATCH($A137,Market_Data!$E$21:INDEX(Market_Data!$E$21:$E$613,COUNT(Market_Data!$E$21:$E$613)),1)),""))</f>
        <v/>
      </c>
      <c r="D137" s="145" t="str">
        <f ca="1">IF($A137="","",IFERROR(INDEX(Market_Data!$I$21:$I$613,MATCH($A137,Market_Data!$H$21:INDEX(Market_Data!$H$21:$H$613,COUNT(Market_Data!$H$21:$H$613)),1)),""))</f>
        <v/>
      </c>
      <c r="E137" s="145" t="str">
        <f ca="1">IF($A137="","",IFERROR(INDEX(Market_Data!$L$21:$L$613,MATCH($A137,Market_Data!$K$21:INDEX(Market_Data!$K$21:$K$613,COUNT(Market_Data!$K$21:$K$613)),1)),""))</f>
        <v/>
      </c>
      <c r="F137" s="145" t="str">
        <f ca="1">IF($A137="","",IFERROR(INDEX(Market_Data!$O$21:$O$613,MATCH($A137,Market_Data!$N$21:INDEX(Market_Data!$N$21:$N$613,COUNT(Market_Data!$N$21:$N$613)),1)),""))</f>
        <v/>
      </c>
      <c r="G137" s="145" t="str">
        <f ca="1">IF($A137="","",IFERROR(INDEX(Market_Data!$R$21:$R$613,MATCH($A137,Market_Data!$Q$21:INDEX(Market_Data!$Q$21:$Q$613,COUNT(Market_Data!$Q$21:$Q$613)),1)),""))</f>
        <v/>
      </c>
      <c r="H137" s="145" t="str">
        <f ca="1">IF($A137="","",IFERROR(INDEX(Market_Data!$U$21:$U$613,MATCH($A137,Market_Data!$T$21:INDEX(Market_Data!$T$21:$T$613,COUNT(Market_Data!$T$21:$T$613)),1)),""))</f>
        <v/>
      </c>
      <c r="I137" s="146" t="str">
        <f ca="1">IF($A137="","",IFERROR(INDEX(Query1[Close],MATCH($A137,Query1[Date],1)),""))</f>
        <v/>
      </c>
    </row>
    <row r="138" spans="1:9" x14ac:dyDescent="0.3">
      <c r="A138" s="144" t="str">
        <f t="shared" ca="1" si="4"/>
        <v/>
      </c>
      <c r="B138" s="145" t="str">
        <f ca="1">IF($A138="","",IFERROR(INDEX(Market_Data!$C$21:$C$613,MATCH($A138,Market_Data!$B$21:INDEX(Market_Data!$B$21:$B$613,COUNT(Market_Data!$B$21:$B$613)),1)),""))</f>
        <v/>
      </c>
      <c r="C138" s="145" t="str">
        <f ca="1">IF($A138="","",IFERROR(INDEX(Market_Data!$F$21:$F$613,MATCH($A138,Market_Data!$E$21:INDEX(Market_Data!$E$21:$E$613,COUNT(Market_Data!$E$21:$E$613)),1)),""))</f>
        <v/>
      </c>
      <c r="D138" s="145" t="str">
        <f ca="1">IF($A138="","",IFERROR(INDEX(Market_Data!$I$21:$I$613,MATCH($A138,Market_Data!$H$21:INDEX(Market_Data!$H$21:$H$613,COUNT(Market_Data!$H$21:$H$613)),1)),""))</f>
        <v/>
      </c>
      <c r="E138" s="145" t="str">
        <f ca="1">IF($A138="","",IFERROR(INDEX(Market_Data!$L$21:$L$613,MATCH($A138,Market_Data!$K$21:INDEX(Market_Data!$K$21:$K$613,COUNT(Market_Data!$K$21:$K$613)),1)),""))</f>
        <v/>
      </c>
      <c r="F138" s="145" t="str">
        <f ca="1">IF($A138="","",IFERROR(INDEX(Market_Data!$O$21:$O$613,MATCH($A138,Market_Data!$N$21:INDEX(Market_Data!$N$21:$N$613,COUNT(Market_Data!$N$21:$N$613)),1)),""))</f>
        <v/>
      </c>
      <c r="G138" s="145" t="str">
        <f ca="1">IF($A138="","",IFERROR(INDEX(Market_Data!$R$21:$R$613,MATCH($A138,Market_Data!$Q$21:INDEX(Market_Data!$Q$21:$Q$613,COUNT(Market_Data!$Q$21:$Q$613)),1)),""))</f>
        <v/>
      </c>
      <c r="H138" s="145" t="str">
        <f ca="1">IF($A138="","",IFERROR(INDEX(Market_Data!$U$21:$U$613,MATCH($A138,Market_Data!$T$21:INDEX(Market_Data!$T$21:$T$613,COUNT(Market_Data!$T$21:$T$613)),1)),""))</f>
        <v/>
      </c>
      <c r="I138" s="146" t="str">
        <f ca="1">IF($A138="","",IFERROR(INDEX(Query1[Close],MATCH($A138,Query1[Date],1)),""))</f>
        <v/>
      </c>
    </row>
    <row r="139" spans="1:9" x14ac:dyDescent="0.3">
      <c r="A139" s="144" t="str">
        <f t="shared" ca="1" si="4"/>
        <v/>
      </c>
      <c r="B139" s="145" t="str">
        <f ca="1">IF($A139="","",IFERROR(INDEX(Market_Data!$C$21:$C$613,MATCH($A139,Market_Data!$B$21:INDEX(Market_Data!$B$21:$B$613,COUNT(Market_Data!$B$21:$B$613)),1)),""))</f>
        <v/>
      </c>
      <c r="C139" s="145" t="str">
        <f ca="1">IF($A139="","",IFERROR(INDEX(Market_Data!$F$21:$F$613,MATCH($A139,Market_Data!$E$21:INDEX(Market_Data!$E$21:$E$613,COUNT(Market_Data!$E$21:$E$613)),1)),""))</f>
        <v/>
      </c>
      <c r="D139" s="145" t="str">
        <f ca="1">IF($A139="","",IFERROR(INDEX(Market_Data!$I$21:$I$613,MATCH($A139,Market_Data!$H$21:INDEX(Market_Data!$H$21:$H$613,COUNT(Market_Data!$H$21:$H$613)),1)),""))</f>
        <v/>
      </c>
      <c r="E139" s="145" t="str">
        <f ca="1">IF($A139="","",IFERROR(INDEX(Market_Data!$L$21:$L$613,MATCH($A139,Market_Data!$K$21:INDEX(Market_Data!$K$21:$K$613,COUNT(Market_Data!$K$21:$K$613)),1)),""))</f>
        <v/>
      </c>
      <c r="F139" s="145" t="str">
        <f ca="1">IF($A139="","",IFERROR(INDEX(Market_Data!$O$21:$O$613,MATCH($A139,Market_Data!$N$21:INDEX(Market_Data!$N$21:$N$613,COUNT(Market_Data!$N$21:$N$613)),1)),""))</f>
        <v/>
      </c>
      <c r="G139" s="145" t="str">
        <f ca="1">IF($A139="","",IFERROR(INDEX(Market_Data!$R$21:$R$613,MATCH($A139,Market_Data!$Q$21:INDEX(Market_Data!$Q$21:$Q$613,COUNT(Market_Data!$Q$21:$Q$613)),1)),""))</f>
        <v/>
      </c>
      <c r="H139" s="145" t="str">
        <f ca="1">IF($A139="","",IFERROR(INDEX(Market_Data!$U$21:$U$613,MATCH($A139,Market_Data!$T$21:INDEX(Market_Data!$T$21:$T$613,COUNT(Market_Data!$T$21:$T$613)),1)),""))</f>
        <v/>
      </c>
      <c r="I139" s="146" t="str">
        <f ca="1">IF($A139="","",IFERROR(INDEX(Query1[Close],MATCH($A139,Query1[Date],1)),""))</f>
        <v/>
      </c>
    </row>
    <row r="140" spans="1:9" x14ac:dyDescent="0.3">
      <c r="A140" s="144" t="str">
        <f t="shared" ca="1" si="4"/>
        <v/>
      </c>
      <c r="B140" s="145" t="str">
        <f ca="1">IF($A140="","",IFERROR(INDEX(Market_Data!$C$21:$C$613,MATCH($A140,Market_Data!$B$21:INDEX(Market_Data!$B$21:$B$613,COUNT(Market_Data!$B$21:$B$613)),1)),""))</f>
        <v/>
      </c>
      <c r="C140" s="145" t="str">
        <f ca="1">IF($A140="","",IFERROR(INDEX(Market_Data!$F$21:$F$613,MATCH($A140,Market_Data!$E$21:INDEX(Market_Data!$E$21:$E$613,COUNT(Market_Data!$E$21:$E$613)),1)),""))</f>
        <v/>
      </c>
      <c r="D140" s="145" t="str">
        <f ca="1">IF($A140="","",IFERROR(INDEX(Market_Data!$I$21:$I$613,MATCH($A140,Market_Data!$H$21:INDEX(Market_Data!$H$21:$H$613,COUNT(Market_Data!$H$21:$H$613)),1)),""))</f>
        <v/>
      </c>
      <c r="E140" s="145" t="str">
        <f ca="1">IF($A140="","",IFERROR(INDEX(Market_Data!$L$21:$L$613,MATCH($A140,Market_Data!$K$21:INDEX(Market_Data!$K$21:$K$613,COUNT(Market_Data!$K$21:$K$613)),1)),""))</f>
        <v/>
      </c>
      <c r="F140" s="145" t="str">
        <f ca="1">IF($A140="","",IFERROR(INDEX(Market_Data!$O$21:$O$613,MATCH($A140,Market_Data!$N$21:INDEX(Market_Data!$N$21:$N$613,COUNT(Market_Data!$N$21:$N$613)),1)),""))</f>
        <v/>
      </c>
      <c r="G140" s="145" t="str">
        <f ca="1">IF($A140="","",IFERROR(INDEX(Market_Data!$R$21:$R$613,MATCH($A140,Market_Data!$Q$21:INDEX(Market_Data!$Q$21:$Q$613,COUNT(Market_Data!$Q$21:$Q$613)),1)),""))</f>
        <v/>
      </c>
      <c r="H140" s="145" t="str">
        <f ca="1">IF($A140="","",IFERROR(INDEX(Market_Data!$U$21:$U$613,MATCH($A140,Market_Data!$T$21:INDEX(Market_Data!$T$21:$T$613,COUNT(Market_Data!$T$21:$T$613)),1)),""))</f>
        <v/>
      </c>
      <c r="I140" s="146" t="str">
        <f ca="1">IF($A140="","",IFERROR(INDEX(Query1[Close],MATCH($A140,Query1[Date],1)),""))</f>
        <v/>
      </c>
    </row>
    <row r="141" spans="1:9" x14ac:dyDescent="0.3">
      <c r="A141" s="144" t="str">
        <f t="shared" ca="1" si="4"/>
        <v/>
      </c>
      <c r="B141" s="145" t="str">
        <f ca="1">IF($A141="","",IFERROR(INDEX(Market_Data!$C$21:$C$613,MATCH($A141,Market_Data!$B$21:INDEX(Market_Data!$B$21:$B$613,COUNT(Market_Data!$B$21:$B$613)),1)),""))</f>
        <v/>
      </c>
      <c r="C141" s="145" t="str">
        <f ca="1">IF($A141="","",IFERROR(INDEX(Market_Data!$F$21:$F$613,MATCH($A141,Market_Data!$E$21:INDEX(Market_Data!$E$21:$E$613,COUNT(Market_Data!$E$21:$E$613)),1)),""))</f>
        <v/>
      </c>
      <c r="D141" s="145" t="str">
        <f ca="1">IF($A141="","",IFERROR(INDEX(Market_Data!$I$21:$I$613,MATCH($A141,Market_Data!$H$21:INDEX(Market_Data!$H$21:$H$613,COUNT(Market_Data!$H$21:$H$613)),1)),""))</f>
        <v/>
      </c>
      <c r="E141" s="145" t="str">
        <f ca="1">IF($A141="","",IFERROR(INDEX(Market_Data!$L$21:$L$613,MATCH($A141,Market_Data!$K$21:INDEX(Market_Data!$K$21:$K$613,COUNT(Market_Data!$K$21:$K$613)),1)),""))</f>
        <v/>
      </c>
      <c r="F141" s="145" t="str">
        <f ca="1">IF($A141="","",IFERROR(INDEX(Market_Data!$O$21:$O$613,MATCH($A141,Market_Data!$N$21:INDEX(Market_Data!$N$21:$N$613,COUNT(Market_Data!$N$21:$N$613)),1)),""))</f>
        <v/>
      </c>
      <c r="G141" s="145" t="str">
        <f ca="1">IF($A141="","",IFERROR(INDEX(Market_Data!$R$21:$R$613,MATCH($A141,Market_Data!$Q$21:INDEX(Market_Data!$Q$21:$Q$613,COUNT(Market_Data!$Q$21:$Q$613)),1)),""))</f>
        <v/>
      </c>
      <c r="H141" s="145" t="str">
        <f ca="1">IF($A141="","",IFERROR(INDEX(Market_Data!$U$21:$U$613,MATCH($A141,Market_Data!$T$21:INDEX(Market_Data!$T$21:$T$613,COUNT(Market_Data!$T$21:$T$613)),1)),""))</f>
        <v/>
      </c>
      <c r="I141" s="146" t="str">
        <f ca="1">IF($A141="","",IFERROR(INDEX(Query1[Close],MATCH($A141,Query1[Date],1)),""))</f>
        <v/>
      </c>
    </row>
    <row r="142" spans="1:9" x14ac:dyDescent="0.3">
      <c r="A142" s="144" t="str">
        <f t="shared" ca="1" si="4"/>
        <v/>
      </c>
      <c r="B142" s="145" t="str">
        <f ca="1">IF($A142="","",IFERROR(INDEX(Market_Data!$C$21:$C$613,MATCH($A142,Market_Data!$B$21:INDEX(Market_Data!$B$21:$B$613,COUNT(Market_Data!$B$21:$B$613)),1)),""))</f>
        <v/>
      </c>
      <c r="C142" s="145" t="str">
        <f ca="1">IF($A142="","",IFERROR(INDEX(Market_Data!$F$21:$F$613,MATCH($A142,Market_Data!$E$21:INDEX(Market_Data!$E$21:$E$613,COUNT(Market_Data!$E$21:$E$613)),1)),""))</f>
        <v/>
      </c>
      <c r="D142" s="145" t="str">
        <f ca="1">IF($A142="","",IFERROR(INDEX(Market_Data!$I$21:$I$613,MATCH($A142,Market_Data!$H$21:INDEX(Market_Data!$H$21:$H$613,COUNT(Market_Data!$H$21:$H$613)),1)),""))</f>
        <v/>
      </c>
      <c r="E142" s="145" t="str">
        <f ca="1">IF($A142="","",IFERROR(INDEX(Market_Data!$L$21:$L$613,MATCH($A142,Market_Data!$K$21:INDEX(Market_Data!$K$21:$K$613,COUNT(Market_Data!$K$21:$K$613)),1)),""))</f>
        <v/>
      </c>
      <c r="F142" s="145" t="str">
        <f ca="1">IF($A142="","",IFERROR(INDEX(Market_Data!$O$21:$O$613,MATCH($A142,Market_Data!$N$21:INDEX(Market_Data!$N$21:$N$613,COUNT(Market_Data!$N$21:$N$613)),1)),""))</f>
        <v/>
      </c>
      <c r="G142" s="145" t="str">
        <f ca="1">IF($A142="","",IFERROR(INDEX(Market_Data!$R$21:$R$613,MATCH($A142,Market_Data!$Q$21:INDEX(Market_Data!$Q$21:$Q$613,COUNT(Market_Data!$Q$21:$Q$613)),1)),""))</f>
        <v/>
      </c>
      <c r="H142" s="145" t="str">
        <f ca="1">IF($A142="","",IFERROR(INDEX(Market_Data!$U$21:$U$613,MATCH($A142,Market_Data!$T$21:INDEX(Market_Data!$T$21:$T$613,COUNT(Market_Data!$T$21:$T$613)),1)),""))</f>
        <v/>
      </c>
      <c r="I142" s="146" t="str">
        <f ca="1">IF($A142="","",IFERROR(INDEX(Query1[Close],MATCH($A142,Query1[Date],1)),""))</f>
        <v/>
      </c>
    </row>
    <row r="143" spans="1:9" x14ac:dyDescent="0.3">
      <c r="A143" s="144" t="str">
        <f t="shared" ca="1" si="4"/>
        <v/>
      </c>
      <c r="B143" s="145" t="str">
        <f ca="1">IF($A143="","",IFERROR(INDEX(Market_Data!$C$21:$C$613,MATCH($A143,Market_Data!$B$21:INDEX(Market_Data!$B$21:$B$613,COUNT(Market_Data!$B$21:$B$613)),1)),""))</f>
        <v/>
      </c>
      <c r="C143" s="145" t="str">
        <f ca="1">IF($A143="","",IFERROR(INDEX(Market_Data!$F$21:$F$613,MATCH($A143,Market_Data!$E$21:INDEX(Market_Data!$E$21:$E$613,COUNT(Market_Data!$E$21:$E$613)),1)),""))</f>
        <v/>
      </c>
      <c r="D143" s="145" t="str">
        <f ca="1">IF($A143="","",IFERROR(INDEX(Market_Data!$I$21:$I$613,MATCH($A143,Market_Data!$H$21:INDEX(Market_Data!$H$21:$H$613,COUNT(Market_Data!$H$21:$H$613)),1)),""))</f>
        <v/>
      </c>
      <c r="E143" s="145" t="str">
        <f ca="1">IF($A143="","",IFERROR(INDEX(Market_Data!$L$21:$L$613,MATCH($A143,Market_Data!$K$21:INDEX(Market_Data!$K$21:$K$613,COUNT(Market_Data!$K$21:$K$613)),1)),""))</f>
        <v/>
      </c>
      <c r="F143" s="145" t="str">
        <f ca="1">IF($A143="","",IFERROR(INDEX(Market_Data!$O$21:$O$613,MATCH($A143,Market_Data!$N$21:INDEX(Market_Data!$N$21:$N$613,COUNT(Market_Data!$N$21:$N$613)),1)),""))</f>
        <v/>
      </c>
      <c r="G143" s="145" t="str">
        <f ca="1">IF($A143="","",IFERROR(INDEX(Market_Data!$R$21:$R$613,MATCH($A143,Market_Data!$Q$21:INDEX(Market_Data!$Q$21:$Q$613,COUNT(Market_Data!$Q$21:$Q$613)),1)),""))</f>
        <v/>
      </c>
      <c r="H143" s="145" t="str">
        <f ca="1">IF($A143="","",IFERROR(INDEX(Market_Data!$U$21:$U$613,MATCH($A143,Market_Data!$T$21:INDEX(Market_Data!$T$21:$T$613,COUNT(Market_Data!$T$21:$T$613)),1)),""))</f>
        <v/>
      </c>
      <c r="I143" s="146" t="str">
        <f ca="1">IF($A143="","",IFERROR(INDEX(Query1[Close],MATCH($A143,Query1[Date],1)),""))</f>
        <v/>
      </c>
    </row>
    <row r="144" spans="1:9" x14ac:dyDescent="0.3">
      <c r="A144" s="144" t="str">
        <f t="shared" ca="1" si="4"/>
        <v/>
      </c>
      <c r="B144" s="145" t="str">
        <f ca="1">IF($A144="","",IFERROR(INDEX(Market_Data!$C$21:$C$613,MATCH($A144,Market_Data!$B$21:INDEX(Market_Data!$B$21:$B$613,COUNT(Market_Data!$B$21:$B$613)),1)),""))</f>
        <v/>
      </c>
      <c r="C144" s="145" t="str">
        <f ca="1">IF($A144="","",IFERROR(INDEX(Market_Data!$F$21:$F$613,MATCH($A144,Market_Data!$E$21:INDEX(Market_Data!$E$21:$E$613,COUNT(Market_Data!$E$21:$E$613)),1)),""))</f>
        <v/>
      </c>
      <c r="D144" s="145" t="str">
        <f ca="1">IF($A144="","",IFERROR(INDEX(Market_Data!$I$21:$I$613,MATCH($A144,Market_Data!$H$21:INDEX(Market_Data!$H$21:$H$613,COUNT(Market_Data!$H$21:$H$613)),1)),""))</f>
        <v/>
      </c>
      <c r="E144" s="145" t="str">
        <f ca="1">IF($A144="","",IFERROR(INDEX(Market_Data!$L$21:$L$613,MATCH($A144,Market_Data!$K$21:INDEX(Market_Data!$K$21:$K$613,COUNT(Market_Data!$K$21:$K$613)),1)),""))</f>
        <v/>
      </c>
      <c r="F144" s="145" t="str">
        <f ca="1">IF($A144="","",IFERROR(INDEX(Market_Data!$O$21:$O$613,MATCH($A144,Market_Data!$N$21:INDEX(Market_Data!$N$21:$N$613,COUNT(Market_Data!$N$21:$N$613)),1)),""))</f>
        <v/>
      </c>
      <c r="G144" s="145" t="str">
        <f ca="1">IF($A144="","",IFERROR(INDEX(Market_Data!$R$21:$R$613,MATCH($A144,Market_Data!$Q$21:INDEX(Market_Data!$Q$21:$Q$613,COUNT(Market_Data!$Q$21:$Q$613)),1)),""))</f>
        <v/>
      </c>
      <c r="H144" s="145" t="str">
        <f ca="1">IF($A144="","",IFERROR(INDEX(Market_Data!$U$21:$U$613,MATCH($A144,Market_Data!$T$21:INDEX(Market_Data!$T$21:$T$613,COUNT(Market_Data!$T$21:$T$613)),1)),""))</f>
        <v/>
      </c>
      <c r="I144" s="146" t="str">
        <f ca="1">IF($A144="","",IFERROR(INDEX(Query1[Close],MATCH($A144,Query1[Date],1)),""))</f>
        <v/>
      </c>
    </row>
    <row r="145" spans="1:9" x14ac:dyDescent="0.3">
      <c r="A145" s="144" t="str">
        <f t="shared" ca="1" si="4"/>
        <v/>
      </c>
      <c r="B145" s="145" t="str">
        <f ca="1">IF($A145="","",IFERROR(INDEX(Market_Data!$C$21:$C$613,MATCH($A145,Market_Data!$B$21:INDEX(Market_Data!$B$21:$B$613,COUNT(Market_Data!$B$21:$B$613)),1)),""))</f>
        <v/>
      </c>
      <c r="C145" s="145" t="str">
        <f ca="1">IF($A145="","",IFERROR(INDEX(Market_Data!$F$21:$F$613,MATCH($A145,Market_Data!$E$21:INDEX(Market_Data!$E$21:$E$613,COUNT(Market_Data!$E$21:$E$613)),1)),""))</f>
        <v/>
      </c>
      <c r="D145" s="145" t="str">
        <f ca="1">IF($A145="","",IFERROR(INDEX(Market_Data!$I$21:$I$613,MATCH($A145,Market_Data!$H$21:INDEX(Market_Data!$H$21:$H$613,COUNT(Market_Data!$H$21:$H$613)),1)),""))</f>
        <v/>
      </c>
      <c r="E145" s="145" t="str">
        <f ca="1">IF($A145="","",IFERROR(INDEX(Market_Data!$L$21:$L$613,MATCH($A145,Market_Data!$K$21:INDEX(Market_Data!$K$21:$K$613,COUNT(Market_Data!$K$21:$K$613)),1)),""))</f>
        <v/>
      </c>
      <c r="F145" s="145" t="str">
        <f ca="1">IF($A145="","",IFERROR(INDEX(Market_Data!$O$21:$O$613,MATCH($A145,Market_Data!$N$21:INDEX(Market_Data!$N$21:$N$613,COUNT(Market_Data!$N$21:$N$613)),1)),""))</f>
        <v/>
      </c>
      <c r="G145" s="145" t="str">
        <f ca="1">IF($A145="","",IFERROR(INDEX(Market_Data!$R$21:$R$613,MATCH($A145,Market_Data!$Q$21:INDEX(Market_Data!$Q$21:$Q$613,COUNT(Market_Data!$Q$21:$Q$613)),1)),""))</f>
        <v/>
      </c>
      <c r="H145" s="145" t="str">
        <f ca="1">IF($A145="","",IFERROR(INDEX(Market_Data!$U$21:$U$613,MATCH($A145,Market_Data!$T$21:INDEX(Market_Data!$T$21:$T$613,COUNT(Market_Data!$T$21:$T$613)),1)),""))</f>
        <v/>
      </c>
      <c r="I145" s="146" t="str">
        <f ca="1">IF($A145="","",IFERROR(INDEX(Query1[Close],MATCH($A145,Query1[Date],1)),""))</f>
        <v/>
      </c>
    </row>
    <row r="146" spans="1:9" x14ac:dyDescent="0.3">
      <c r="A146" s="144" t="str">
        <f t="shared" ca="1" si="4"/>
        <v/>
      </c>
      <c r="B146" s="145" t="str">
        <f ca="1">IF($A146="","",IFERROR(INDEX(Market_Data!$C$21:$C$613,MATCH($A146,Market_Data!$B$21:INDEX(Market_Data!$B$21:$B$613,COUNT(Market_Data!$B$21:$B$613)),1)),""))</f>
        <v/>
      </c>
      <c r="C146" s="145" t="str">
        <f ca="1">IF($A146="","",IFERROR(INDEX(Market_Data!$F$21:$F$613,MATCH($A146,Market_Data!$E$21:INDEX(Market_Data!$E$21:$E$613,COUNT(Market_Data!$E$21:$E$613)),1)),""))</f>
        <v/>
      </c>
      <c r="D146" s="145" t="str">
        <f ca="1">IF($A146="","",IFERROR(INDEX(Market_Data!$I$21:$I$613,MATCH($A146,Market_Data!$H$21:INDEX(Market_Data!$H$21:$H$613,COUNT(Market_Data!$H$21:$H$613)),1)),""))</f>
        <v/>
      </c>
      <c r="E146" s="145" t="str">
        <f ca="1">IF($A146="","",IFERROR(INDEX(Market_Data!$L$21:$L$613,MATCH($A146,Market_Data!$K$21:INDEX(Market_Data!$K$21:$K$613,COUNT(Market_Data!$K$21:$K$613)),1)),""))</f>
        <v/>
      </c>
      <c r="F146" s="145" t="str">
        <f ca="1">IF($A146="","",IFERROR(INDEX(Market_Data!$O$21:$O$613,MATCH($A146,Market_Data!$N$21:INDEX(Market_Data!$N$21:$N$613,COUNT(Market_Data!$N$21:$N$613)),1)),""))</f>
        <v/>
      </c>
      <c r="G146" s="145" t="str">
        <f ca="1">IF($A146="","",IFERROR(INDEX(Market_Data!$R$21:$R$613,MATCH($A146,Market_Data!$Q$21:INDEX(Market_Data!$Q$21:$Q$613,COUNT(Market_Data!$Q$21:$Q$613)),1)),""))</f>
        <v/>
      </c>
      <c r="H146" s="145" t="str">
        <f ca="1">IF($A146="","",IFERROR(INDEX(Market_Data!$U$21:$U$613,MATCH($A146,Market_Data!$T$21:INDEX(Market_Data!$T$21:$T$613,COUNT(Market_Data!$T$21:$T$613)),1)),""))</f>
        <v/>
      </c>
      <c r="I146" s="146" t="str">
        <f ca="1">IF($A146="","",IFERROR(INDEX(Query1[Close],MATCH($A146,Query1[Date],1)),""))</f>
        <v/>
      </c>
    </row>
    <row r="147" spans="1:9" x14ac:dyDescent="0.3">
      <c r="A147" s="144" t="str">
        <f t="shared" ca="1" si="4"/>
        <v/>
      </c>
      <c r="B147" s="145" t="str">
        <f ca="1">IF($A147="","",IFERROR(INDEX(Market_Data!$C$21:$C$613,MATCH($A147,Market_Data!$B$21:INDEX(Market_Data!$B$21:$B$613,COUNT(Market_Data!$B$21:$B$613)),1)),""))</f>
        <v/>
      </c>
      <c r="C147" s="145" t="str">
        <f ca="1">IF($A147="","",IFERROR(INDEX(Market_Data!$F$21:$F$613,MATCH($A147,Market_Data!$E$21:INDEX(Market_Data!$E$21:$E$613,COUNT(Market_Data!$E$21:$E$613)),1)),""))</f>
        <v/>
      </c>
      <c r="D147" s="145" t="str">
        <f ca="1">IF($A147="","",IFERROR(INDEX(Market_Data!$I$21:$I$613,MATCH($A147,Market_Data!$H$21:INDEX(Market_Data!$H$21:$H$613,COUNT(Market_Data!$H$21:$H$613)),1)),""))</f>
        <v/>
      </c>
      <c r="E147" s="145" t="str">
        <f ca="1">IF($A147="","",IFERROR(INDEX(Market_Data!$L$21:$L$613,MATCH($A147,Market_Data!$K$21:INDEX(Market_Data!$K$21:$K$613,COUNT(Market_Data!$K$21:$K$613)),1)),""))</f>
        <v/>
      </c>
      <c r="F147" s="145" t="str">
        <f ca="1">IF($A147="","",IFERROR(INDEX(Market_Data!$O$21:$O$613,MATCH($A147,Market_Data!$N$21:INDEX(Market_Data!$N$21:$N$613,COUNT(Market_Data!$N$21:$N$613)),1)),""))</f>
        <v/>
      </c>
      <c r="G147" s="145" t="str">
        <f ca="1">IF($A147="","",IFERROR(INDEX(Market_Data!$R$21:$R$613,MATCH($A147,Market_Data!$Q$21:INDEX(Market_Data!$Q$21:$Q$613,COUNT(Market_Data!$Q$21:$Q$613)),1)),""))</f>
        <v/>
      </c>
      <c r="H147" s="145" t="str">
        <f ca="1">IF($A147="","",IFERROR(INDEX(Market_Data!$U$21:$U$613,MATCH($A147,Market_Data!$T$21:INDEX(Market_Data!$T$21:$T$613,COUNT(Market_Data!$T$21:$T$613)),1)),""))</f>
        <v/>
      </c>
      <c r="I147" s="146" t="str">
        <f ca="1">IF($A147="","",IFERROR(INDEX(Query1[Close],MATCH($A147,Query1[Date],1)),""))</f>
        <v/>
      </c>
    </row>
    <row r="148" spans="1:9" x14ac:dyDescent="0.3">
      <c r="A148" s="144" t="str">
        <f t="shared" ca="1" si="4"/>
        <v/>
      </c>
      <c r="B148" s="145" t="str">
        <f ca="1">IF($A148="","",IFERROR(INDEX(Market_Data!$C$21:$C$613,MATCH($A148,Market_Data!$B$21:INDEX(Market_Data!$B$21:$B$613,COUNT(Market_Data!$B$21:$B$613)),1)),""))</f>
        <v/>
      </c>
      <c r="C148" s="145" t="str">
        <f ca="1">IF($A148="","",IFERROR(INDEX(Market_Data!$F$21:$F$613,MATCH($A148,Market_Data!$E$21:INDEX(Market_Data!$E$21:$E$613,COUNT(Market_Data!$E$21:$E$613)),1)),""))</f>
        <v/>
      </c>
      <c r="D148" s="145" t="str">
        <f ca="1">IF($A148="","",IFERROR(INDEX(Market_Data!$I$21:$I$613,MATCH($A148,Market_Data!$H$21:INDEX(Market_Data!$H$21:$H$613,COUNT(Market_Data!$H$21:$H$613)),1)),""))</f>
        <v/>
      </c>
      <c r="E148" s="145" t="str">
        <f ca="1">IF($A148="","",IFERROR(INDEX(Market_Data!$L$21:$L$613,MATCH($A148,Market_Data!$K$21:INDEX(Market_Data!$K$21:$K$613,COUNT(Market_Data!$K$21:$K$613)),1)),""))</f>
        <v/>
      </c>
      <c r="F148" s="145" t="str">
        <f ca="1">IF($A148="","",IFERROR(INDEX(Market_Data!$O$21:$O$613,MATCH($A148,Market_Data!$N$21:INDEX(Market_Data!$N$21:$N$613,COUNT(Market_Data!$N$21:$N$613)),1)),""))</f>
        <v/>
      </c>
      <c r="G148" s="145" t="str">
        <f ca="1">IF($A148="","",IFERROR(INDEX(Market_Data!$R$21:$R$613,MATCH($A148,Market_Data!$Q$21:INDEX(Market_Data!$Q$21:$Q$613,COUNT(Market_Data!$Q$21:$Q$613)),1)),""))</f>
        <v/>
      </c>
      <c r="H148" s="145" t="str">
        <f ca="1">IF($A148="","",IFERROR(INDEX(Market_Data!$U$21:$U$613,MATCH($A148,Market_Data!$T$21:INDEX(Market_Data!$T$21:$T$613,COUNT(Market_Data!$T$21:$T$613)),1)),""))</f>
        <v/>
      </c>
      <c r="I148" s="146" t="str">
        <f ca="1">IF($A148="","",IFERROR(INDEX(Query1[Close],MATCH($A148,Query1[Date],1)),""))</f>
        <v/>
      </c>
    </row>
    <row r="149" spans="1:9" x14ac:dyDescent="0.3">
      <c r="A149" s="144" t="str">
        <f t="shared" ca="1" si="4"/>
        <v/>
      </c>
      <c r="B149" s="145" t="str">
        <f ca="1">IF($A149="","",IFERROR(INDEX(Market_Data!$C$21:$C$613,MATCH($A149,Market_Data!$B$21:INDEX(Market_Data!$B$21:$B$613,COUNT(Market_Data!$B$21:$B$613)),1)),""))</f>
        <v/>
      </c>
      <c r="C149" s="145" t="str">
        <f ca="1">IF($A149="","",IFERROR(INDEX(Market_Data!$F$21:$F$613,MATCH($A149,Market_Data!$E$21:INDEX(Market_Data!$E$21:$E$613,COUNT(Market_Data!$E$21:$E$613)),1)),""))</f>
        <v/>
      </c>
      <c r="D149" s="145" t="str">
        <f ca="1">IF($A149="","",IFERROR(INDEX(Market_Data!$I$21:$I$613,MATCH($A149,Market_Data!$H$21:INDEX(Market_Data!$H$21:$H$613,COUNT(Market_Data!$H$21:$H$613)),1)),""))</f>
        <v/>
      </c>
      <c r="E149" s="145" t="str">
        <f ca="1">IF($A149="","",IFERROR(INDEX(Market_Data!$L$21:$L$613,MATCH($A149,Market_Data!$K$21:INDEX(Market_Data!$K$21:$K$613,COUNT(Market_Data!$K$21:$K$613)),1)),""))</f>
        <v/>
      </c>
      <c r="F149" s="145" t="str">
        <f ca="1">IF($A149="","",IFERROR(INDEX(Market_Data!$O$21:$O$613,MATCH($A149,Market_Data!$N$21:INDEX(Market_Data!$N$21:$N$613,COUNT(Market_Data!$N$21:$N$613)),1)),""))</f>
        <v/>
      </c>
      <c r="G149" s="145" t="str">
        <f ca="1">IF($A149="","",IFERROR(INDEX(Market_Data!$R$21:$R$613,MATCH($A149,Market_Data!$Q$21:INDEX(Market_Data!$Q$21:$Q$613,COUNT(Market_Data!$Q$21:$Q$613)),1)),""))</f>
        <v/>
      </c>
      <c r="H149" s="145" t="str">
        <f ca="1">IF($A149="","",IFERROR(INDEX(Market_Data!$U$21:$U$613,MATCH($A149,Market_Data!$T$21:INDEX(Market_Data!$T$21:$T$613,COUNT(Market_Data!$T$21:$T$613)),1)),""))</f>
        <v/>
      </c>
      <c r="I149" s="146" t="str">
        <f ca="1">IF($A149="","",IFERROR(INDEX(Query1[Close],MATCH($A149,Query1[Date],1)),""))</f>
        <v/>
      </c>
    </row>
    <row r="150" spans="1:9" x14ac:dyDescent="0.3">
      <c r="A150" s="144" t="str">
        <f t="shared" ca="1" si="4"/>
        <v/>
      </c>
      <c r="B150" s="145" t="str">
        <f ca="1">IF($A150="","",IFERROR(INDEX(Market_Data!$C$21:$C$613,MATCH($A150,Market_Data!$B$21:INDEX(Market_Data!$B$21:$B$613,COUNT(Market_Data!$B$21:$B$613)),1)),""))</f>
        <v/>
      </c>
      <c r="C150" s="145" t="str">
        <f ca="1">IF($A150="","",IFERROR(INDEX(Market_Data!$F$21:$F$613,MATCH($A150,Market_Data!$E$21:INDEX(Market_Data!$E$21:$E$613,COUNT(Market_Data!$E$21:$E$613)),1)),""))</f>
        <v/>
      </c>
      <c r="D150" s="145" t="str">
        <f ca="1">IF($A150="","",IFERROR(INDEX(Market_Data!$I$21:$I$613,MATCH($A150,Market_Data!$H$21:INDEX(Market_Data!$H$21:$H$613,COUNT(Market_Data!$H$21:$H$613)),1)),""))</f>
        <v/>
      </c>
      <c r="E150" s="145" t="str">
        <f ca="1">IF($A150="","",IFERROR(INDEX(Market_Data!$L$21:$L$613,MATCH($A150,Market_Data!$K$21:INDEX(Market_Data!$K$21:$K$613,COUNT(Market_Data!$K$21:$K$613)),1)),""))</f>
        <v/>
      </c>
      <c r="F150" s="145" t="str">
        <f ca="1">IF($A150="","",IFERROR(INDEX(Market_Data!$O$21:$O$613,MATCH($A150,Market_Data!$N$21:INDEX(Market_Data!$N$21:$N$613,COUNT(Market_Data!$N$21:$N$613)),1)),""))</f>
        <v/>
      </c>
      <c r="G150" s="145" t="str">
        <f ca="1">IF($A150="","",IFERROR(INDEX(Market_Data!$R$21:$R$613,MATCH($A150,Market_Data!$Q$21:INDEX(Market_Data!$Q$21:$Q$613,COUNT(Market_Data!$Q$21:$Q$613)),1)),""))</f>
        <v/>
      </c>
      <c r="H150" s="145" t="str">
        <f ca="1">IF($A150="","",IFERROR(INDEX(Market_Data!$U$21:$U$613,MATCH($A150,Market_Data!$T$21:INDEX(Market_Data!$T$21:$T$613,COUNT(Market_Data!$T$21:$T$613)),1)),""))</f>
        <v/>
      </c>
      <c r="I150" s="146" t="str">
        <f ca="1">IF($A150="","",IFERROR(INDEX(Query1[Close],MATCH($A150,Query1[Date],1)),""))</f>
        <v/>
      </c>
    </row>
    <row r="151" spans="1:9" x14ac:dyDescent="0.3">
      <c r="A151" s="144" t="str">
        <f t="shared" ca="1" si="4"/>
        <v/>
      </c>
      <c r="B151" s="145" t="str">
        <f ca="1">IF($A151="","",IFERROR(INDEX(Market_Data!$C$21:$C$613,MATCH($A151,Market_Data!$B$21:INDEX(Market_Data!$B$21:$B$613,COUNT(Market_Data!$B$21:$B$613)),1)),""))</f>
        <v/>
      </c>
      <c r="C151" s="145" t="str">
        <f ca="1">IF($A151="","",IFERROR(INDEX(Market_Data!$F$21:$F$613,MATCH($A151,Market_Data!$E$21:INDEX(Market_Data!$E$21:$E$613,COUNT(Market_Data!$E$21:$E$613)),1)),""))</f>
        <v/>
      </c>
      <c r="D151" s="145" t="str">
        <f ca="1">IF($A151="","",IFERROR(INDEX(Market_Data!$I$21:$I$613,MATCH($A151,Market_Data!$H$21:INDEX(Market_Data!$H$21:$H$613,COUNT(Market_Data!$H$21:$H$613)),1)),""))</f>
        <v/>
      </c>
      <c r="E151" s="145" t="str">
        <f ca="1">IF($A151="","",IFERROR(INDEX(Market_Data!$L$21:$L$613,MATCH($A151,Market_Data!$K$21:INDEX(Market_Data!$K$21:$K$613,COUNT(Market_Data!$K$21:$K$613)),1)),""))</f>
        <v/>
      </c>
      <c r="F151" s="145" t="str">
        <f ca="1">IF($A151="","",IFERROR(INDEX(Market_Data!$O$21:$O$613,MATCH($A151,Market_Data!$N$21:INDEX(Market_Data!$N$21:$N$613,COUNT(Market_Data!$N$21:$N$613)),1)),""))</f>
        <v/>
      </c>
      <c r="G151" s="145" t="str">
        <f ca="1">IF($A151="","",IFERROR(INDEX(Market_Data!$R$21:$R$613,MATCH($A151,Market_Data!$Q$21:INDEX(Market_Data!$Q$21:$Q$613,COUNT(Market_Data!$Q$21:$Q$613)),1)),""))</f>
        <v/>
      </c>
      <c r="H151" s="145" t="str">
        <f ca="1">IF($A151="","",IFERROR(INDEX(Market_Data!$U$21:$U$613,MATCH($A151,Market_Data!$T$21:INDEX(Market_Data!$T$21:$T$613,COUNT(Market_Data!$T$21:$T$613)),1)),""))</f>
        <v/>
      </c>
      <c r="I151" s="146" t="str">
        <f ca="1">IF($A151="","",IFERROR(INDEX(Query1[Close],MATCH($A151,Query1[Date],1)),""))</f>
        <v/>
      </c>
    </row>
    <row r="152" spans="1:9" x14ac:dyDescent="0.3">
      <c r="A152" s="144" t="str">
        <f t="shared" ca="1" si="4"/>
        <v/>
      </c>
      <c r="B152" s="145" t="str">
        <f ca="1">IF($A152="","",IFERROR(INDEX(Market_Data!$C$21:$C$613,MATCH($A152,Market_Data!$B$21:INDEX(Market_Data!$B$21:$B$613,COUNT(Market_Data!$B$21:$B$613)),1)),""))</f>
        <v/>
      </c>
      <c r="C152" s="145" t="str">
        <f ca="1">IF($A152="","",IFERROR(INDEX(Market_Data!$F$21:$F$613,MATCH($A152,Market_Data!$E$21:INDEX(Market_Data!$E$21:$E$613,COUNT(Market_Data!$E$21:$E$613)),1)),""))</f>
        <v/>
      </c>
      <c r="D152" s="145" t="str">
        <f ca="1">IF($A152="","",IFERROR(INDEX(Market_Data!$I$21:$I$613,MATCH($A152,Market_Data!$H$21:INDEX(Market_Data!$H$21:$H$613,COUNT(Market_Data!$H$21:$H$613)),1)),""))</f>
        <v/>
      </c>
      <c r="E152" s="145" t="str">
        <f ca="1">IF($A152="","",IFERROR(INDEX(Market_Data!$L$21:$L$613,MATCH($A152,Market_Data!$K$21:INDEX(Market_Data!$K$21:$K$613,COUNT(Market_Data!$K$21:$K$613)),1)),""))</f>
        <v/>
      </c>
      <c r="F152" s="145" t="str">
        <f ca="1">IF($A152="","",IFERROR(INDEX(Market_Data!$O$21:$O$613,MATCH($A152,Market_Data!$N$21:INDEX(Market_Data!$N$21:$N$613,COUNT(Market_Data!$N$21:$N$613)),1)),""))</f>
        <v/>
      </c>
      <c r="G152" s="145" t="str">
        <f ca="1">IF($A152="","",IFERROR(INDEX(Market_Data!$R$21:$R$613,MATCH($A152,Market_Data!$Q$21:INDEX(Market_Data!$Q$21:$Q$613,COUNT(Market_Data!$Q$21:$Q$613)),1)),""))</f>
        <v/>
      </c>
      <c r="H152" s="145" t="str">
        <f ca="1">IF($A152="","",IFERROR(INDEX(Market_Data!$U$21:$U$613,MATCH($A152,Market_Data!$T$21:INDEX(Market_Data!$T$21:$T$613,COUNT(Market_Data!$T$21:$T$613)),1)),""))</f>
        <v/>
      </c>
      <c r="I152" s="146" t="str">
        <f ca="1">IF($A152="","",IFERROR(INDEX(Query1[Close],MATCH($A152,Query1[Date],1)),""))</f>
        <v/>
      </c>
    </row>
    <row r="153" spans="1:9" x14ac:dyDescent="0.3">
      <c r="A153" s="144" t="str">
        <f t="shared" ca="1" si="4"/>
        <v/>
      </c>
      <c r="B153" s="145" t="str">
        <f ca="1">IF($A153="","",IFERROR(INDEX(Market_Data!$C$21:$C$613,MATCH($A153,Market_Data!$B$21:INDEX(Market_Data!$B$21:$B$613,COUNT(Market_Data!$B$21:$B$613)),1)),""))</f>
        <v/>
      </c>
      <c r="C153" s="145" t="str">
        <f ca="1">IF($A153="","",IFERROR(INDEX(Market_Data!$F$21:$F$613,MATCH($A153,Market_Data!$E$21:INDEX(Market_Data!$E$21:$E$613,COUNT(Market_Data!$E$21:$E$613)),1)),""))</f>
        <v/>
      </c>
      <c r="D153" s="145" t="str">
        <f ca="1">IF($A153="","",IFERROR(INDEX(Market_Data!$I$21:$I$613,MATCH($A153,Market_Data!$H$21:INDEX(Market_Data!$H$21:$H$613,COUNT(Market_Data!$H$21:$H$613)),1)),""))</f>
        <v/>
      </c>
      <c r="E153" s="145" t="str">
        <f ca="1">IF($A153="","",IFERROR(INDEX(Market_Data!$L$21:$L$613,MATCH($A153,Market_Data!$K$21:INDEX(Market_Data!$K$21:$K$613,COUNT(Market_Data!$K$21:$K$613)),1)),""))</f>
        <v/>
      </c>
      <c r="F153" s="145" t="str">
        <f ca="1">IF($A153="","",IFERROR(INDEX(Market_Data!$O$21:$O$613,MATCH($A153,Market_Data!$N$21:INDEX(Market_Data!$N$21:$N$613,COUNT(Market_Data!$N$21:$N$613)),1)),""))</f>
        <v/>
      </c>
      <c r="G153" s="145" t="str">
        <f ca="1">IF($A153="","",IFERROR(INDEX(Market_Data!$R$21:$R$613,MATCH($A153,Market_Data!$Q$21:INDEX(Market_Data!$Q$21:$Q$613,COUNT(Market_Data!$Q$21:$Q$613)),1)),""))</f>
        <v/>
      </c>
      <c r="H153" s="145" t="str">
        <f ca="1">IF($A153="","",IFERROR(INDEX(Market_Data!$U$21:$U$613,MATCH($A153,Market_Data!$T$21:INDEX(Market_Data!$T$21:$T$613,COUNT(Market_Data!$T$21:$T$613)),1)),""))</f>
        <v/>
      </c>
      <c r="I153" s="146" t="str">
        <f ca="1">IF($A153="","",IFERROR(INDEX(Query1[Close],MATCH($A153,Query1[Date],1)),""))</f>
        <v/>
      </c>
    </row>
    <row r="154" spans="1:9" x14ac:dyDescent="0.3">
      <c r="A154" s="144" t="str">
        <f t="shared" ca="1" si="4"/>
        <v/>
      </c>
      <c r="B154" s="145" t="str">
        <f ca="1">IF($A154="","",IFERROR(INDEX(Market_Data!$C$21:$C$613,MATCH($A154,Market_Data!$B$21:INDEX(Market_Data!$B$21:$B$613,COUNT(Market_Data!$B$21:$B$613)),1)),""))</f>
        <v/>
      </c>
      <c r="C154" s="145" t="str">
        <f ca="1">IF($A154="","",IFERROR(INDEX(Market_Data!$F$21:$F$613,MATCH($A154,Market_Data!$E$21:INDEX(Market_Data!$E$21:$E$613,COUNT(Market_Data!$E$21:$E$613)),1)),""))</f>
        <v/>
      </c>
      <c r="D154" s="145" t="str">
        <f ca="1">IF($A154="","",IFERROR(INDEX(Market_Data!$I$21:$I$613,MATCH($A154,Market_Data!$H$21:INDEX(Market_Data!$H$21:$H$613,COUNT(Market_Data!$H$21:$H$613)),1)),""))</f>
        <v/>
      </c>
      <c r="E154" s="145" t="str">
        <f ca="1">IF($A154="","",IFERROR(INDEX(Market_Data!$L$21:$L$613,MATCH($A154,Market_Data!$K$21:INDEX(Market_Data!$K$21:$K$613,COUNT(Market_Data!$K$21:$K$613)),1)),""))</f>
        <v/>
      </c>
      <c r="F154" s="145" t="str">
        <f ca="1">IF($A154="","",IFERROR(INDEX(Market_Data!$O$21:$O$613,MATCH($A154,Market_Data!$N$21:INDEX(Market_Data!$N$21:$N$613,COUNT(Market_Data!$N$21:$N$613)),1)),""))</f>
        <v/>
      </c>
      <c r="G154" s="145" t="str">
        <f ca="1">IF($A154="","",IFERROR(INDEX(Market_Data!$R$21:$R$613,MATCH($A154,Market_Data!$Q$21:INDEX(Market_Data!$Q$21:$Q$613,COUNT(Market_Data!$Q$21:$Q$613)),1)),""))</f>
        <v/>
      </c>
      <c r="H154" s="145" t="str">
        <f ca="1">IF($A154="","",IFERROR(INDEX(Market_Data!$U$21:$U$613,MATCH($A154,Market_Data!$T$21:INDEX(Market_Data!$T$21:$T$613,COUNT(Market_Data!$T$21:$T$613)),1)),""))</f>
        <v/>
      </c>
      <c r="I154" s="146" t="str">
        <f ca="1">IF($A154="","",IFERROR(INDEX(Query1[Close],MATCH($A154,Query1[Date],1)),""))</f>
        <v/>
      </c>
    </row>
    <row r="155" spans="1:9" x14ac:dyDescent="0.3">
      <c r="A155" s="144" t="str">
        <f t="shared" ca="1" si="4"/>
        <v/>
      </c>
      <c r="B155" s="145" t="str">
        <f ca="1">IF($A155="","",IFERROR(INDEX(Market_Data!$C$21:$C$613,MATCH($A155,Market_Data!$B$21:INDEX(Market_Data!$B$21:$B$613,COUNT(Market_Data!$B$21:$B$613)),1)),""))</f>
        <v/>
      </c>
      <c r="C155" s="145" t="str">
        <f ca="1">IF($A155="","",IFERROR(INDEX(Market_Data!$F$21:$F$613,MATCH($A155,Market_Data!$E$21:INDEX(Market_Data!$E$21:$E$613,COUNT(Market_Data!$E$21:$E$613)),1)),""))</f>
        <v/>
      </c>
      <c r="D155" s="145" t="str">
        <f ca="1">IF($A155="","",IFERROR(INDEX(Market_Data!$I$21:$I$613,MATCH($A155,Market_Data!$H$21:INDEX(Market_Data!$H$21:$H$613,COUNT(Market_Data!$H$21:$H$613)),1)),""))</f>
        <v/>
      </c>
      <c r="E155" s="145" t="str">
        <f ca="1">IF($A155="","",IFERROR(INDEX(Market_Data!$L$21:$L$613,MATCH($A155,Market_Data!$K$21:INDEX(Market_Data!$K$21:$K$613,COUNT(Market_Data!$K$21:$K$613)),1)),""))</f>
        <v/>
      </c>
      <c r="F155" s="145" t="str">
        <f ca="1">IF($A155="","",IFERROR(INDEX(Market_Data!$O$21:$O$613,MATCH($A155,Market_Data!$N$21:INDEX(Market_Data!$N$21:$N$613,COUNT(Market_Data!$N$21:$N$613)),1)),""))</f>
        <v/>
      </c>
      <c r="G155" s="145" t="str">
        <f ca="1">IF($A155="","",IFERROR(INDEX(Market_Data!$R$21:$R$613,MATCH($A155,Market_Data!$Q$21:INDEX(Market_Data!$Q$21:$Q$613,COUNT(Market_Data!$Q$21:$Q$613)),1)),""))</f>
        <v/>
      </c>
      <c r="H155" s="145" t="str">
        <f ca="1">IF($A155="","",IFERROR(INDEX(Market_Data!$U$21:$U$613,MATCH($A155,Market_Data!$T$21:INDEX(Market_Data!$T$21:$T$613,COUNT(Market_Data!$T$21:$T$613)),1)),""))</f>
        <v/>
      </c>
      <c r="I155" s="146" t="str">
        <f ca="1">IF($A155="","",IFERROR(INDEX(Query1[Close],MATCH($A155,Query1[Date],1)),""))</f>
        <v/>
      </c>
    </row>
    <row r="156" spans="1:9" x14ac:dyDescent="0.3">
      <c r="A156" s="144" t="str">
        <f t="shared" ca="1" si="4"/>
        <v/>
      </c>
      <c r="B156" s="145" t="str">
        <f ca="1">IF($A156="","",IFERROR(INDEX(Market_Data!$C$21:$C$613,MATCH($A156,Market_Data!$B$21:INDEX(Market_Data!$B$21:$B$613,COUNT(Market_Data!$B$21:$B$613)),1)),""))</f>
        <v/>
      </c>
      <c r="C156" s="145" t="str">
        <f ca="1">IF($A156="","",IFERROR(INDEX(Market_Data!$F$21:$F$613,MATCH($A156,Market_Data!$E$21:INDEX(Market_Data!$E$21:$E$613,COUNT(Market_Data!$E$21:$E$613)),1)),""))</f>
        <v/>
      </c>
      <c r="D156" s="145" t="str">
        <f ca="1">IF($A156="","",IFERROR(INDEX(Market_Data!$I$21:$I$613,MATCH($A156,Market_Data!$H$21:INDEX(Market_Data!$H$21:$H$613,COUNT(Market_Data!$H$21:$H$613)),1)),""))</f>
        <v/>
      </c>
      <c r="E156" s="145" t="str">
        <f ca="1">IF($A156="","",IFERROR(INDEX(Market_Data!$L$21:$L$613,MATCH($A156,Market_Data!$K$21:INDEX(Market_Data!$K$21:$K$613,COUNT(Market_Data!$K$21:$K$613)),1)),""))</f>
        <v/>
      </c>
      <c r="F156" s="145" t="str">
        <f ca="1">IF($A156="","",IFERROR(INDEX(Market_Data!$O$21:$O$613,MATCH($A156,Market_Data!$N$21:INDEX(Market_Data!$N$21:$N$613,COUNT(Market_Data!$N$21:$N$613)),1)),""))</f>
        <v/>
      </c>
      <c r="G156" s="145" t="str">
        <f ca="1">IF($A156="","",IFERROR(INDEX(Market_Data!$R$21:$R$613,MATCH($A156,Market_Data!$Q$21:INDEX(Market_Data!$Q$21:$Q$613,COUNT(Market_Data!$Q$21:$Q$613)),1)),""))</f>
        <v/>
      </c>
      <c r="H156" s="145" t="str">
        <f ca="1">IF($A156="","",IFERROR(INDEX(Market_Data!$U$21:$U$613,MATCH($A156,Market_Data!$T$21:INDEX(Market_Data!$T$21:$T$613,COUNT(Market_Data!$T$21:$T$613)),1)),""))</f>
        <v/>
      </c>
      <c r="I156" s="146" t="str">
        <f ca="1">IF($A156="","",IFERROR(INDEX(Query1[Close],MATCH($A156,Query1[Date],1)),""))</f>
        <v/>
      </c>
    </row>
    <row r="157" spans="1:9" x14ac:dyDescent="0.3">
      <c r="A157" s="144" t="str">
        <f t="shared" ca="1" si="4"/>
        <v/>
      </c>
      <c r="B157" s="145" t="str">
        <f ca="1">IF($A157="","",IFERROR(INDEX(Market_Data!$C$21:$C$613,MATCH($A157,Market_Data!$B$21:INDEX(Market_Data!$B$21:$B$613,COUNT(Market_Data!$B$21:$B$613)),1)),""))</f>
        <v/>
      </c>
      <c r="C157" s="145" t="str">
        <f ca="1">IF($A157="","",IFERROR(INDEX(Market_Data!$F$21:$F$613,MATCH($A157,Market_Data!$E$21:INDEX(Market_Data!$E$21:$E$613,COUNT(Market_Data!$E$21:$E$613)),1)),""))</f>
        <v/>
      </c>
      <c r="D157" s="145" t="str">
        <f ca="1">IF($A157="","",IFERROR(INDEX(Market_Data!$I$21:$I$613,MATCH($A157,Market_Data!$H$21:INDEX(Market_Data!$H$21:$H$613,COUNT(Market_Data!$H$21:$H$613)),1)),""))</f>
        <v/>
      </c>
      <c r="E157" s="145" t="str">
        <f ca="1">IF($A157="","",IFERROR(INDEX(Market_Data!$L$21:$L$613,MATCH($A157,Market_Data!$K$21:INDEX(Market_Data!$K$21:$K$613,COUNT(Market_Data!$K$21:$K$613)),1)),""))</f>
        <v/>
      </c>
      <c r="F157" s="145" t="str">
        <f ca="1">IF($A157="","",IFERROR(INDEX(Market_Data!$O$21:$O$613,MATCH($A157,Market_Data!$N$21:INDEX(Market_Data!$N$21:$N$613,COUNT(Market_Data!$N$21:$N$613)),1)),""))</f>
        <v/>
      </c>
      <c r="G157" s="145" t="str">
        <f ca="1">IF($A157="","",IFERROR(INDEX(Market_Data!$R$21:$R$613,MATCH($A157,Market_Data!$Q$21:INDEX(Market_Data!$Q$21:$Q$613,COUNT(Market_Data!$Q$21:$Q$613)),1)),""))</f>
        <v/>
      </c>
      <c r="H157" s="145" t="str">
        <f ca="1">IF($A157="","",IFERROR(INDEX(Market_Data!$U$21:$U$613,MATCH($A157,Market_Data!$T$21:INDEX(Market_Data!$T$21:$T$613,COUNT(Market_Data!$T$21:$T$613)),1)),""))</f>
        <v/>
      </c>
      <c r="I157" s="146" t="str">
        <f ca="1">IF($A157="","",IFERROR(INDEX(Query1[Close],MATCH($A157,Query1[Date],1)),""))</f>
        <v/>
      </c>
    </row>
    <row r="158" spans="1:9" x14ac:dyDescent="0.3">
      <c r="A158" s="144" t="str">
        <f t="shared" ca="1" si="4"/>
        <v/>
      </c>
      <c r="B158" s="145" t="str">
        <f ca="1">IF($A158="","",IFERROR(INDEX(Market_Data!$C$21:$C$613,MATCH($A158,Market_Data!$B$21:INDEX(Market_Data!$B$21:$B$613,COUNT(Market_Data!$B$21:$B$613)),1)),""))</f>
        <v/>
      </c>
      <c r="C158" s="145" t="str">
        <f ca="1">IF($A158="","",IFERROR(INDEX(Market_Data!$F$21:$F$613,MATCH($A158,Market_Data!$E$21:INDEX(Market_Data!$E$21:$E$613,COUNT(Market_Data!$E$21:$E$613)),1)),""))</f>
        <v/>
      </c>
      <c r="D158" s="145" t="str">
        <f ca="1">IF($A158="","",IFERROR(INDEX(Market_Data!$I$21:$I$613,MATCH($A158,Market_Data!$H$21:INDEX(Market_Data!$H$21:$H$613,COUNT(Market_Data!$H$21:$H$613)),1)),""))</f>
        <v/>
      </c>
      <c r="E158" s="145" t="str">
        <f ca="1">IF($A158="","",IFERROR(INDEX(Market_Data!$L$21:$L$613,MATCH($A158,Market_Data!$K$21:INDEX(Market_Data!$K$21:$K$613,COUNT(Market_Data!$K$21:$K$613)),1)),""))</f>
        <v/>
      </c>
      <c r="F158" s="145" t="str">
        <f ca="1">IF($A158="","",IFERROR(INDEX(Market_Data!$O$21:$O$613,MATCH($A158,Market_Data!$N$21:INDEX(Market_Data!$N$21:$N$613,COUNT(Market_Data!$N$21:$N$613)),1)),""))</f>
        <v/>
      </c>
      <c r="G158" s="145" t="str">
        <f ca="1">IF($A158="","",IFERROR(INDEX(Market_Data!$R$21:$R$613,MATCH($A158,Market_Data!$Q$21:INDEX(Market_Data!$Q$21:$Q$613,COUNT(Market_Data!$Q$21:$Q$613)),1)),""))</f>
        <v/>
      </c>
      <c r="H158" s="145" t="str">
        <f ca="1">IF($A158="","",IFERROR(INDEX(Market_Data!$U$21:$U$613,MATCH($A158,Market_Data!$T$21:INDEX(Market_Data!$T$21:$T$613,COUNT(Market_Data!$T$21:$T$613)),1)),""))</f>
        <v/>
      </c>
      <c r="I158" s="146" t="str">
        <f ca="1">IF($A158="","",IFERROR(INDEX(Query1[Close],MATCH($A158,Query1[Date],1)),""))</f>
        <v/>
      </c>
    </row>
    <row r="159" spans="1:9" x14ac:dyDescent="0.3">
      <c r="A159" s="144" t="str">
        <f t="shared" ca="1" si="4"/>
        <v/>
      </c>
      <c r="B159" s="145" t="str">
        <f ca="1">IF($A159="","",IFERROR(INDEX(Market_Data!$C$21:$C$613,MATCH($A159,Market_Data!$B$21:INDEX(Market_Data!$B$21:$B$613,COUNT(Market_Data!$B$21:$B$613)),1)),""))</f>
        <v/>
      </c>
      <c r="C159" s="145" t="str">
        <f ca="1">IF($A159="","",IFERROR(INDEX(Market_Data!$F$21:$F$613,MATCH($A159,Market_Data!$E$21:INDEX(Market_Data!$E$21:$E$613,COUNT(Market_Data!$E$21:$E$613)),1)),""))</f>
        <v/>
      </c>
      <c r="D159" s="145" t="str">
        <f ca="1">IF($A159="","",IFERROR(INDEX(Market_Data!$I$21:$I$613,MATCH($A159,Market_Data!$H$21:INDEX(Market_Data!$H$21:$H$613,COUNT(Market_Data!$H$21:$H$613)),1)),""))</f>
        <v/>
      </c>
      <c r="E159" s="145" t="str">
        <f ca="1">IF($A159="","",IFERROR(INDEX(Market_Data!$L$21:$L$613,MATCH($A159,Market_Data!$K$21:INDEX(Market_Data!$K$21:$K$613,COUNT(Market_Data!$K$21:$K$613)),1)),""))</f>
        <v/>
      </c>
      <c r="F159" s="145" t="str">
        <f ca="1">IF($A159="","",IFERROR(INDEX(Market_Data!$O$21:$O$613,MATCH($A159,Market_Data!$N$21:INDEX(Market_Data!$N$21:$N$613,COUNT(Market_Data!$N$21:$N$613)),1)),""))</f>
        <v/>
      </c>
      <c r="G159" s="145" t="str">
        <f ca="1">IF($A159="","",IFERROR(INDEX(Market_Data!$R$21:$R$613,MATCH($A159,Market_Data!$Q$21:INDEX(Market_Data!$Q$21:$Q$613,COUNT(Market_Data!$Q$21:$Q$613)),1)),""))</f>
        <v/>
      </c>
      <c r="H159" s="145" t="str">
        <f ca="1">IF($A159="","",IFERROR(INDEX(Market_Data!$U$21:$U$613,MATCH($A159,Market_Data!$T$21:INDEX(Market_Data!$T$21:$T$613,COUNT(Market_Data!$T$21:$T$613)),1)),""))</f>
        <v/>
      </c>
      <c r="I159" s="146" t="str">
        <f ca="1">IF($A159="","",IFERROR(INDEX(Query1[Close],MATCH($A159,Query1[Date],1)),""))</f>
        <v/>
      </c>
    </row>
    <row r="160" spans="1:9" x14ac:dyDescent="0.3">
      <c r="A160" s="144" t="str">
        <f t="shared" ca="1" si="4"/>
        <v/>
      </c>
      <c r="B160" s="145" t="str">
        <f ca="1">IF($A160="","",IFERROR(INDEX(Market_Data!$C$21:$C$613,MATCH($A160,Market_Data!$B$21:INDEX(Market_Data!$B$21:$B$613,COUNT(Market_Data!$B$21:$B$613)),1)),""))</f>
        <v/>
      </c>
      <c r="C160" s="145" t="str">
        <f ca="1">IF($A160="","",IFERROR(INDEX(Market_Data!$F$21:$F$613,MATCH($A160,Market_Data!$E$21:INDEX(Market_Data!$E$21:$E$613,COUNT(Market_Data!$E$21:$E$613)),1)),""))</f>
        <v/>
      </c>
      <c r="D160" s="145" t="str">
        <f ca="1">IF($A160="","",IFERROR(INDEX(Market_Data!$I$21:$I$613,MATCH($A160,Market_Data!$H$21:INDEX(Market_Data!$H$21:$H$613,COUNT(Market_Data!$H$21:$H$613)),1)),""))</f>
        <v/>
      </c>
      <c r="E160" s="145" t="str">
        <f ca="1">IF($A160="","",IFERROR(INDEX(Market_Data!$L$21:$L$613,MATCH($A160,Market_Data!$K$21:INDEX(Market_Data!$K$21:$K$613,COUNT(Market_Data!$K$21:$K$613)),1)),""))</f>
        <v/>
      </c>
      <c r="F160" s="145" t="str">
        <f ca="1">IF($A160="","",IFERROR(INDEX(Market_Data!$O$21:$O$613,MATCH($A160,Market_Data!$N$21:INDEX(Market_Data!$N$21:$N$613,COUNT(Market_Data!$N$21:$N$613)),1)),""))</f>
        <v/>
      </c>
      <c r="G160" s="145" t="str">
        <f ca="1">IF($A160="","",IFERROR(INDEX(Market_Data!$R$21:$R$613,MATCH($A160,Market_Data!$Q$21:INDEX(Market_Data!$Q$21:$Q$613,COUNT(Market_Data!$Q$21:$Q$613)),1)),""))</f>
        <v/>
      </c>
      <c r="H160" s="145" t="str">
        <f ca="1">IF($A160="","",IFERROR(INDEX(Market_Data!$U$21:$U$613,MATCH($A160,Market_Data!$T$21:INDEX(Market_Data!$T$21:$T$613,COUNT(Market_Data!$T$21:$T$613)),1)),""))</f>
        <v/>
      </c>
      <c r="I160" s="146" t="str">
        <f ca="1">IF($A160="","",IFERROR(INDEX(Query1[Close],MATCH($A160,Query1[Date],1)),""))</f>
        <v/>
      </c>
    </row>
    <row r="161" spans="1:9" x14ac:dyDescent="0.3">
      <c r="A161" s="144" t="str">
        <f t="shared" ca="1" si="4"/>
        <v/>
      </c>
      <c r="B161" s="145" t="str">
        <f ca="1">IF($A161="","",IFERROR(INDEX(Market_Data!$C$21:$C$613,MATCH($A161,Market_Data!$B$21:INDEX(Market_Data!$B$21:$B$613,COUNT(Market_Data!$B$21:$B$613)),1)),""))</f>
        <v/>
      </c>
      <c r="C161" s="145" t="str">
        <f ca="1">IF($A161="","",IFERROR(INDEX(Market_Data!$F$21:$F$613,MATCH($A161,Market_Data!$E$21:INDEX(Market_Data!$E$21:$E$613,COUNT(Market_Data!$E$21:$E$613)),1)),""))</f>
        <v/>
      </c>
      <c r="D161" s="145" t="str">
        <f ca="1">IF($A161="","",IFERROR(INDEX(Market_Data!$I$21:$I$613,MATCH($A161,Market_Data!$H$21:INDEX(Market_Data!$H$21:$H$613,COUNT(Market_Data!$H$21:$H$613)),1)),""))</f>
        <v/>
      </c>
      <c r="E161" s="145" t="str">
        <f ca="1">IF($A161="","",IFERROR(INDEX(Market_Data!$L$21:$L$613,MATCH($A161,Market_Data!$K$21:INDEX(Market_Data!$K$21:$K$613,COUNT(Market_Data!$K$21:$K$613)),1)),""))</f>
        <v/>
      </c>
      <c r="F161" s="145" t="str">
        <f ca="1">IF($A161="","",IFERROR(INDEX(Market_Data!$O$21:$O$613,MATCH($A161,Market_Data!$N$21:INDEX(Market_Data!$N$21:$N$613,COUNT(Market_Data!$N$21:$N$613)),1)),""))</f>
        <v/>
      </c>
      <c r="G161" s="145" t="str">
        <f ca="1">IF($A161="","",IFERROR(INDEX(Market_Data!$R$21:$R$613,MATCH($A161,Market_Data!$Q$21:INDEX(Market_Data!$Q$21:$Q$613,COUNT(Market_Data!$Q$21:$Q$613)),1)),""))</f>
        <v/>
      </c>
      <c r="H161" s="145" t="str">
        <f ca="1">IF($A161="","",IFERROR(INDEX(Market_Data!$U$21:$U$613,MATCH($A161,Market_Data!$T$21:INDEX(Market_Data!$T$21:$T$613,COUNT(Market_Data!$T$21:$T$613)),1)),""))</f>
        <v/>
      </c>
      <c r="I161" s="146" t="str">
        <f ca="1">IF($A161="","",IFERROR(INDEX(Query1[Close],MATCH($A161,Query1[Date],1)),""))</f>
        <v/>
      </c>
    </row>
    <row r="162" spans="1:9" x14ac:dyDescent="0.3">
      <c r="A162" s="144" t="str">
        <f t="shared" ca="1" si="4"/>
        <v/>
      </c>
      <c r="B162" s="145" t="str">
        <f ca="1">IF($A162="","",IFERROR(INDEX(Market_Data!$C$21:$C$613,MATCH($A162,Market_Data!$B$21:INDEX(Market_Data!$B$21:$B$613,COUNT(Market_Data!$B$21:$B$613)),1)),""))</f>
        <v/>
      </c>
      <c r="C162" s="145" t="str">
        <f ca="1">IF($A162="","",IFERROR(INDEX(Market_Data!$F$21:$F$613,MATCH($A162,Market_Data!$E$21:INDEX(Market_Data!$E$21:$E$613,COUNT(Market_Data!$E$21:$E$613)),1)),""))</f>
        <v/>
      </c>
      <c r="D162" s="145" t="str">
        <f ca="1">IF($A162="","",IFERROR(INDEX(Market_Data!$I$21:$I$613,MATCH($A162,Market_Data!$H$21:INDEX(Market_Data!$H$21:$H$613,COUNT(Market_Data!$H$21:$H$613)),1)),""))</f>
        <v/>
      </c>
      <c r="E162" s="145" t="str">
        <f ca="1">IF($A162="","",IFERROR(INDEX(Market_Data!$L$21:$L$613,MATCH($A162,Market_Data!$K$21:INDEX(Market_Data!$K$21:$K$613,COUNT(Market_Data!$K$21:$K$613)),1)),""))</f>
        <v/>
      </c>
      <c r="F162" s="145" t="str">
        <f ca="1">IF($A162="","",IFERROR(INDEX(Market_Data!$O$21:$O$613,MATCH($A162,Market_Data!$N$21:INDEX(Market_Data!$N$21:$N$613,COUNT(Market_Data!$N$21:$N$613)),1)),""))</f>
        <v/>
      </c>
      <c r="G162" s="145" t="str">
        <f ca="1">IF($A162="","",IFERROR(INDEX(Market_Data!$R$21:$R$613,MATCH($A162,Market_Data!$Q$21:INDEX(Market_Data!$Q$21:$Q$613,COUNT(Market_Data!$Q$21:$Q$613)),1)),""))</f>
        <v/>
      </c>
      <c r="H162" s="145" t="str">
        <f ca="1">IF($A162="","",IFERROR(INDEX(Market_Data!$U$21:$U$613,MATCH($A162,Market_Data!$T$21:INDEX(Market_Data!$T$21:$T$613,COUNT(Market_Data!$T$21:$T$613)),1)),""))</f>
        <v/>
      </c>
      <c r="I162" s="146" t="str">
        <f ca="1">IF($A162="","",IFERROR(INDEX(Query1[Close],MATCH($A162,Query1[Date],1)),""))</f>
        <v/>
      </c>
    </row>
    <row r="163" spans="1:9" x14ac:dyDescent="0.3">
      <c r="A163" s="144" t="str">
        <f t="shared" ca="1" si="4"/>
        <v/>
      </c>
      <c r="B163" s="145" t="str">
        <f ca="1">IF($A163="","",IFERROR(INDEX(Market_Data!$C$21:$C$613,MATCH($A163,Market_Data!$B$21:INDEX(Market_Data!$B$21:$B$613,COUNT(Market_Data!$B$21:$B$613)),1)),""))</f>
        <v/>
      </c>
      <c r="C163" s="145" t="str">
        <f ca="1">IF($A163="","",IFERROR(INDEX(Market_Data!$F$21:$F$613,MATCH($A163,Market_Data!$E$21:INDEX(Market_Data!$E$21:$E$613,COUNT(Market_Data!$E$21:$E$613)),1)),""))</f>
        <v/>
      </c>
      <c r="D163" s="145" t="str">
        <f ca="1">IF($A163="","",IFERROR(INDEX(Market_Data!$I$21:$I$613,MATCH($A163,Market_Data!$H$21:INDEX(Market_Data!$H$21:$H$613,COUNT(Market_Data!$H$21:$H$613)),1)),""))</f>
        <v/>
      </c>
      <c r="E163" s="145" t="str">
        <f ca="1">IF($A163="","",IFERROR(INDEX(Market_Data!$L$21:$L$613,MATCH($A163,Market_Data!$K$21:INDEX(Market_Data!$K$21:$K$613,COUNT(Market_Data!$K$21:$K$613)),1)),""))</f>
        <v/>
      </c>
      <c r="F163" s="145" t="str">
        <f ca="1">IF($A163="","",IFERROR(INDEX(Market_Data!$O$21:$O$613,MATCH($A163,Market_Data!$N$21:INDEX(Market_Data!$N$21:$N$613,COUNT(Market_Data!$N$21:$N$613)),1)),""))</f>
        <v/>
      </c>
      <c r="G163" s="145" t="str">
        <f ca="1">IF($A163="","",IFERROR(INDEX(Market_Data!$R$21:$R$613,MATCH($A163,Market_Data!$Q$21:INDEX(Market_Data!$Q$21:$Q$613,COUNT(Market_Data!$Q$21:$Q$613)),1)),""))</f>
        <v/>
      </c>
      <c r="H163" s="145" t="str">
        <f ca="1">IF($A163="","",IFERROR(INDEX(Market_Data!$U$21:$U$613,MATCH($A163,Market_Data!$T$21:INDEX(Market_Data!$T$21:$T$613,COUNT(Market_Data!$T$21:$T$613)),1)),""))</f>
        <v/>
      </c>
      <c r="I163" s="146" t="str">
        <f ca="1">IF($A163="","",IFERROR(INDEX(Query1[Close],MATCH($A163,Query1[Date],1)),""))</f>
        <v/>
      </c>
    </row>
    <row r="164" spans="1:9" x14ac:dyDescent="0.3">
      <c r="A164" s="144" t="str">
        <f t="shared" ca="1" si="4"/>
        <v/>
      </c>
      <c r="B164" s="145" t="str">
        <f ca="1">IF($A164="","",IFERROR(INDEX(Market_Data!$C$21:$C$613,MATCH($A164,Market_Data!$B$21:INDEX(Market_Data!$B$21:$B$613,COUNT(Market_Data!$B$21:$B$613)),1)),""))</f>
        <v/>
      </c>
      <c r="C164" s="145" t="str">
        <f ca="1">IF($A164="","",IFERROR(INDEX(Market_Data!$F$21:$F$613,MATCH($A164,Market_Data!$E$21:INDEX(Market_Data!$E$21:$E$613,COUNT(Market_Data!$E$21:$E$613)),1)),""))</f>
        <v/>
      </c>
      <c r="D164" s="145" t="str">
        <f ca="1">IF($A164="","",IFERROR(INDEX(Market_Data!$I$21:$I$613,MATCH($A164,Market_Data!$H$21:INDEX(Market_Data!$H$21:$H$613,COUNT(Market_Data!$H$21:$H$613)),1)),""))</f>
        <v/>
      </c>
      <c r="E164" s="145" t="str">
        <f ca="1">IF($A164="","",IFERROR(INDEX(Market_Data!$L$21:$L$613,MATCH($A164,Market_Data!$K$21:INDEX(Market_Data!$K$21:$K$613,COUNT(Market_Data!$K$21:$K$613)),1)),""))</f>
        <v/>
      </c>
      <c r="F164" s="145" t="str">
        <f ca="1">IF($A164="","",IFERROR(INDEX(Market_Data!$O$21:$O$613,MATCH($A164,Market_Data!$N$21:INDEX(Market_Data!$N$21:$N$613,COUNT(Market_Data!$N$21:$N$613)),1)),""))</f>
        <v/>
      </c>
      <c r="G164" s="145" t="str">
        <f ca="1">IF($A164="","",IFERROR(INDEX(Market_Data!$R$21:$R$613,MATCH($A164,Market_Data!$Q$21:INDEX(Market_Data!$Q$21:$Q$613,COUNT(Market_Data!$Q$21:$Q$613)),1)),""))</f>
        <v/>
      </c>
      <c r="H164" s="145" t="str">
        <f ca="1">IF($A164="","",IFERROR(INDEX(Market_Data!$U$21:$U$613,MATCH($A164,Market_Data!$T$21:INDEX(Market_Data!$T$21:$T$613,COUNT(Market_Data!$T$21:$T$613)),1)),""))</f>
        <v/>
      </c>
      <c r="I164" s="146" t="str">
        <f ca="1">IF($A164="","",IFERROR(INDEX(Query1[Close],MATCH($A164,Query1[Date],1)),""))</f>
        <v/>
      </c>
    </row>
    <row r="165" spans="1:9" x14ac:dyDescent="0.3">
      <c r="A165" s="144" t="str">
        <f t="shared" ca="1" si="4"/>
        <v/>
      </c>
      <c r="B165" s="145" t="str">
        <f ca="1">IF($A165="","",IFERROR(INDEX(Market_Data!$C$21:$C$613,MATCH($A165,Market_Data!$B$21:INDEX(Market_Data!$B$21:$B$613,COUNT(Market_Data!$B$21:$B$613)),1)),""))</f>
        <v/>
      </c>
      <c r="C165" s="145" t="str">
        <f ca="1">IF($A165="","",IFERROR(INDEX(Market_Data!$F$21:$F$613,MATCH($A165,Market_Data!$E$21:INDEX(Market_Data!$E$21:$E$613,COUNT(Market_Data!$E$21:$E$613)),1)),""))</f>
        <v/>
      </c>
      <c r="D165" s="145" t="str">
        <f ca="1">IF($A165="","",IFERROR(INDEX(Market_Data!$I$21:$I$613,MATCH($A165,Market_Data!$H$21:INDEX(Market_Data!$H$21:$H$613,COUNT(Market_Data!$H$21:$H$613)),1)),""))</f>
        <v/>
      </c>
      <c r="E165" s="145" t="str">
        <f ca="1">IF($A165="","",IFERROR(INDEX(Market_Data!$L$21:$L$613,MATCH($A165,Market_Data!$K$21:INDEX(Market_Data!$K$21:$K$613,COUNT(Market_Data!$K$21:$K$613)),1)),""))</f>
        <v/>
      </c>
      <c r="F165" s="145" t="str">
        <f ca="1">IF($A165="","",IFERROR(INDEX(Market_Data!$O$21:$O$613,MATCH($A165,Market_Data!$N$21:INDEX(Market_Data!$N$21:$N$613,COUNT(Market_Data!$N$21:$N$613)),1)),""))</f>
        <v/>
      </c>
      <c r="G165" s="145" t="str">
        <f ca="1">IF($A165="","",IFERROR(INDEX(Market_Data!$R$21:$R$613,MATCH($A165,Market_Data!$Q$21:INDEX(Market_Data!$Q$21:$Q$613,COUNT(Market_Data!$Q$21:$Q$613)),1)),""))</f>
        <v/>
      </c>
      <c r="H165" s="145" t="str">
        <f ca="1">IF($A165="","",IFERROR(INDEX(Market_Data!$U$21:$U$613,MATCH($A165,Market_Data!$T$21:INDEX(Market_Data!$T$21:$T$613,COUNT(Market_Data!$T$21:$T$613)),1)),""))</f>
        <v/>
      </c>
      <c r="I165" s="146" t="str">
        <f ca="1">IF($A165="","",IFERROR(INDEX(Query1[Close],MATCH($A165,Query1[Date],1)),""))</f>
        <v/>
      </c>
    </row>
    <row r="166" spans="1:9" x14ac:dyDescent="0.3">
      <c r="A166" s="144" t="str">
        <f t="shared" ca="1" si="4"/>
        <v/>
      </c>
      <c r="B166" s="145" t="str">
        <f ca="1">IF($A166="","",IFERROR(INDEX(Market_Data!$C$21:$C$613,MATCH($A166,Market_Data!$B$21:INDEX(Market_Data!$B$21:$B$613,COUNT(Market_Data!$B$21:$B$613)),1)),""))</f>
        <v/>
      </c>
      <c r="C166" s="145" t="str">
        <f ca="1">IF($A166="","",IFERROR(INDEX(Market_Data!$F$21:$F$613,MATCH($A166,Market_Data!$E$21:INDEX(Market_Data!$E$21:$E$613,COUNT(Market_Data!$E$21:$E$613)),1)),""))</f>
        <v/>
      </c>
      <c r="D166" s="145" t="str">
        <f ca="1">IF($A166="","",IFERROR(INDEX(Market_Data!$I$21:$I$613,MATCH($A166,Market_Data!$H$21:INDEX(Market_Data!$H$21:$H$613,COUNT(Market_Data!$H$21:$H$613)),1)),""))</f>
        <v/>
      </c>
      <c r="E166" s="145" t="str">
        <f ca="1">IF($A166="","",IFERROR(INDEX(Market_Data!$L$21:$L$613,MATCH($A166,Market_Data!$K$21:INDEX(Market_Data!$K$21:$K$613,COUNT(Market_Data!$K$21:$K$613)),1)),""))</f>
        <v/>
      </c>
      <c r="F166" s="145" t="str">
        <f ca="1">IF($A166="","",IFERROR(INDEX(Market_Data!$O$21:$O$613,MATCH($A166,Market_Data!$N$21:INDEX(Market_Data!$N$21:$N$613,COUNT(Market_Data!$N$21:$N$613)),1)),""))</f>
        <v/>
      </c>
      <c r="G166" s="145" t="str">
        <f ca="1">IF($A166="","",IFERROR(INDEX(Market_Data!$R$21:$R$613,MATCH($A166,Market_Data!$Q$21:INDEX(Market_Data!$Q$21:$Q$613,COUNT(Market_Data!$Q$21:$Q$613)),1)),""))</f>
        <v/>
      </c>
      <c r="H166" s="145" t="str">
        <f ca="1">IF($A166="","",IFERROR(INDEX(Market_Data!$U$21:$U$613,MATCH($A166,Market_Data!$T$21:INDEX(Market_Data!$T$21:$T$613,COUNT(Market_Data!$T$21:$T$613)),1)),""))</f>
        <v/>
      </c>
      <c r="I166" s="146" t="str">
        <f ca="1">IF($A166="","",IFERROR(INDEX(Query1[Close],MATCH($A166,Query1[Date],1)),""))</f>
        <v/>
      </c>
    </row>
    <row r="167" spans="1:9" x14ac:dyDescent="0.3">
      <c r="A167" s="144" t="str">
        <f t="shared" ca="1" si="4"/>
        <v/>
      </c>
      <c r="B167" s="145" t="str">
        <f ca="1">IF($A167="","",IFERROR(INDEX(Market_Data!$C$21:$C$613,MATCH($A167,Market_Data!$B$21:INDEX(Market_Data!$B$21:$B$613,COUNT(Market_Data!$B$21:$B$613)),1)),""))</f>
        <v/>
      </c>
      <c r="C167" s="145" t="str">
        <f ca="1">IF($A167="","",IFERROR(INDEX(Market_Data!$F$21:$F$613,MATCH($A167,Market_Data!$E$21:INDEX(Market_Data!$E$21:$E$613,COUNT(Market_Data!$E$21:$E$613)),1)),""))</f>
        <v/>
      </c>
      <c r="D167" s="145" t="str">
        <f ca="1">IF($A167="","",IFERROR(INDEX(Market_Data!$I$21:$I$613,MATCH($A167,Market_Data!$H$21:INDEX(Market_Data!$H$21:$H$613,COUNT(Market_Data!$H$21:$H$613)),1)),""))</f>
        <v/>
      </c>
      <c r="E167" s="145" t="str">
        <f ca="1">IF($A167="","",IFERROR(INDEX(Market_Data!$L$21:$L$613,MATCH($A167,Market_Data!$K$21:INDEX(Market_Data!$K$21:$K$613,COUNT(Market_Data!$K$21:$K$613)),1)),""))</f>
        <v/>
      </c>
      <c r="F167" s="145" t="str">
        <f ca="1">IF($A167="","",IFERROR(INDEX(Market_Data!$O$21:$O$613,MATCH($A167,Market_Data!$N$21:INDEX(Market_Data!$N$21:$N$613,COUNT(Market_Data!$N$21:$N$613)),1)),""))</f>
        <v/>
      </c>
      <c r="G167" s="145" t="str">
        <f ca="1">IF($A167="","",IFERROR(INDEX(Market_Data!$R$21:$R$613,MATCH($A167,Market_Data!$Q$21:INDEX(Market_Data!$Q$21:$Q$613,COUNT(Market_Data!$Q$21:$Q$613)),1)),""))</f>
        <v/>
      </c>
      <c r="H167" s="145" t="str">
        <f ca="1">IF($A167="","",IFERROR(INDEX(Market_Data!$U$21:$U$613,MATCH($A167,Market_Data!$T$21:INDEX(Market_Data!$T$21:$T$613,COUNT(Market_Data!$T$21:$T$613)),1)),""))</f>
        <v/>
      </c>
      <c r="I167" s="146" t="str">
        <f ca="1">IF($A167="","",IFERROR(INDEX(Query1[Close],MATCH($A167,Query1[Date],1)),""))</f>
        <v/>
      </c>
    </row>
    <row r="168" spans="1:9" x14ac:dyDescent="0.3">
      <c r="A168" s="144" t="str">
        <f t="shared" ca="1" si="4"/>
        <v/>
      </c>
      <c r="B168" s="145" t="str">
        <f ca="1">IF($A168="","",IFERROR(INDEX(Market_Data!$C$21:$C$613,MATCH($A168,Market_Data!$B$21:INDEX(Market_Data!$B$21:$B$613,COUNT(Market_Data!$B$21:$B$613)),1)),""))</f>
        <v/>
      </c>
      <c r="C168" s="145" t="str">
        <f ca="1">IF($A168="","",IFERROR(INDEX(Market_Data!$F$21:$F$613,MATCH($A168,Market_Data!$E$21:INDEX(Market_Data!$E$21:$E$613,COUNT(Market_Data!$E$21:$E$613)),1)),""))</f>
        <v/>
      </c>
      <c r="D168" s="145" t="str">
        <f ca="1">IF($A168="","",IFERROR(INDEX(Market_Data!$I$21:$I$613,MATCH($A168,Market_Data!$H$21:INDEX(Market_Data!$H$21:$H$613,COUNT(Market_Data!$H$21:$H$613)),1)),""))</f>
        <v/>
      </c>
      <c r="E168" s="145" t="str">
        <f ca="1">IF($A168="","",IFERROR(INDEX(Market_Data!$L$21:$L$613,MATCH($A168,Market_Data!$K$21:INDEX(Market_Data!$K$21:$K$613,COUNT(Market_Data!$K$21:$K$613)),1)),""))</f>
        <v/>
      </c>
      <c r="F168" s="145" t="str">
        <f ca="1">IF($A168="","",IFERROR(INDEX(Market_Data!$O$21:$O$613,MATCH($A168,Market_Data!$N$21:INDEX(Market_Data!$N$21:$N$613,COUNT(Market_Data!$N$21:$N$613)),1)),""))</f>
        <v/>
      </c>
      <c r="G168" s="145" t="str">
        <f ca="1">IF($A168="","",IFERROR(INDEX(Market_Data!$R$21:$R$613,MATCH($A168,Market_Data!$Q$21:INDEX(Market_Data!$Q$21:$Q$613,COUNT(Market_Data!$Q$21:$Q$613)),1)),""))</f>
        <v/>
      </c>
      <c r="H168" s="145" t="str">
        <f ca="1">IF($A168="","",IFERROR(INDEX(Market_Data!$U$21:$U$613,MATCH($A168,Market_Data!$T$21:INDEX(Market_Data!$T$21:$T$613,COUNT(Market_Data!$T$21:$T$613)),1)),""))</f>
        <v/>
      </c>
      <c r="I168" s="146" t="str">
        <f ca="1">IF($A168="","",IFERROR(INDEX(Query1[Close],MATCH($A168,Query1[Date],1)),""))</f>
        <v/>
      </c>
    </row>
    <row r="169" spans="1:9" x14ac:dyDescent="0.3">
      <c r="A169" s="144" t="str">
        <f t="shared" ca="1" si="4"/>
        <v/>
      </c>
      <c r="B169" s="145" t="str">
        <f ca="1">IF($A169="","",IFERROR(INDEX(Market_Data!$C$21:$C$613,MATCH($A169,Market_Data!$B$21:INDEX(Market_Data!$B$21:$B$613,COUNT(Market_Data!$B$21:$B$613)),1)),""))</f>
        <v/>
      </c>
      <c r="C169" s="145" t="str">
        <f ca="1">IF($A169="","",IFERROR(INDEX(Market_Data!$F$21:$F$613,MATCH($A169,Market_Data!$E$21:INDEX(Market_Data!$E$21:$E$613,COUNT(Market_Data!$E$21:$E$613)),1)),""))</f>
        <v/>
      </c>
      <c r="D169" s="145" t="str">
        <f ca="1">IF($A169="","",IFERROR(INDEX(Market_Data!$I$21:$I$613,MATCH($A169,Market_Data!$H$21:INDEX(Market_Data!$H$21:$H$613,COUNT(Market_Data!$H$21:$H$613)),1)),""))</f>
        <v/>
      </c>
      <c r="E169" s="145" t="str">
        <f ca="1">IF($A169="","",IFERROR(INDEX(Market_Data!$L$21:$L$613,MATCH($A169,Market_Data!$K$21:INDEX(Market_Data!$K$21:$K$613,COUNT(Market_Data!$K$21:$K$613)),1)),""))</f>
        <v/>
      </c>
      <c r="F169" s="145" t="str">
        <f ca="1">IF($A169="","",IFERROR(INDEX(Market_Data!$O$21:$O$613,MATCH($A169,Market_Data!$N$21:INDEX(Market_Data!$N$21:$N$613,COUNT(Market_Data!$N$21:$N$613)),1)),""))</f>
        <v/>
      </c>
      <c r="G169" s="145" t="str">
        <f ca="1">IF($A169="","",IFERROR(INDEX(Market_Data!$R$21:$R$613,MATCH($A169,Market_Data!$Q$21:INDEX(Market_Data!$Q$21:$Q$613,COUNT(Market_Data!$Q$21:$Q$613)),1)),""))</f>
        <v/>
      </c>
      <c r="H169" s="145" t="str">
        <f ca="1">IF($A169="","",IFERROR(INDEX(Market_Data!$U$21:$U$613,MATCH($A169,Market_Data!$T$21:INDEX(Market_Data!$T$21:$T$613,COUNT(Market_Data!$T$21:$T$613)),1)),""))</f>
        <v/>
      </c>
      <c r="I169" s="146" t="str">
        <f ca="1">IF($A169="","",IFERROR(INDEX(Query1[Close],MATCH($A169,Query1[Date],1)),""))</f>
        <v/>
      </c>
    </row>
    <row r="170" spans="1:9" x14ac:dyDescent="0.3">
      <c r="A170" s="144" t="str">
        <f t="shared" ca="1" si="4"/>
        <v/>
      </c>
      <c r="B170" s="145" t="str">
        <f ca="1">IF($A170="","",IFERROR(INDEX(Market_Data!$C$21:$C$613,MATCH($A170,Market_Data!$B$21:INDEX(Market_Data!$B$21:$B$613,COUNT(Market_Data!$B$21:$B$613)),1)),""))</f>
        <v/>
      </c>
      <c r="C170" s="145" t="str">
        <f ca="1">IF($A170="","",IFERROR(INDEX(Market_Data!$F$21:$F$613,MATCH($A170,Market_Data!$E$21:INDEX(Market_Data!$E$21:$E$613,COUNT(Market_Data!$E$21:$E$613)),1)),""))</f>
        <v/>
      </c>
      <c r="D170" s="145" t="str">
        <f ca="1">IF($A170="","",IFERROR(INDEX(Market_Data!$I$21:$I$613,MATCH($A170,Market_Data!$H$21:INDEX(Market_Data!$H$21:$H$613,COUNT(Market_Data!$H$21:$H$613)),1)),""))</f>
        <v/>
      </c>
      <c r="E170" s="145" t="str">
        <f ca="1">IF($A170="","",IFERROR(INDEX(Market_Data!$L$21:$L$613,MATCH($A170,Market_Data!$K$21:INDEX(Market_Data!$K$21:$K$613,COUNT(Market_Data!$K$21:$K$613)),1)),""))</f>
        <v/>
      </c>
      <c r="F170" s="145" t="str">
        <f ca="1">IF($A170="","",IFERROR(INDEX(Market_Data!$O$21:$O$613,MATCH($A170,Market_Data!$N$21:INDEX(Market_Data!$N$21:$N$613,COUNT(Market_Data!$N$21:$N$613)),1)),""))</f>
        <v/>
      </c>
      <c r="G170" s="145" t="str">
        <f ca="1">IF($A170="","",IFERROR(INDEX(Market_Data!$R$21:$R$613,MATCH($A170,Market_Data!$Q$21:INDEX(Market_Data!$Q$21:$Q$613,COUNT(Market_Data!$Q$21:$Q$613)),1)),""))</f>
        <v/>
      </c>
      <c r="H170" s="145" t="str">
        <f ca="1">IF($A170="","",IFERROR(INDEX(Market_Data!$U$21:$U$613,MATCH($A170,Market_Data!$T$21:INDEX(Market_Data!$T$21:$T$613,COUNT(Market_Data!$T$21:$T$613)),1)),""))</f>
        <v/>
      </c>
      <c r="I170" s="146" t="str">
        <f ca="1">IF($A170="","",IFERROR(INDEX(Query1[Close],MATCH($A170,Query1[Date],1)),""))</f>
        <v/>
      </c>
    </row>
    <row r="171" spans="1:9" x14ac:dyDescent="0.3">
      <c r="A171" s="144" t="str">
        <f t="shared" ca="1" si="4"/>
        <v/>
      </c>
      <c r="B171" s="145" t="str">
        <f ca="1">IF($A171="","",IFERROR(INDEX(Market_Data!$C$21:$C$613,MATCH($A171,Market_Data!$B$21:INDEX(Market_Data!$B$21:$B$613,COUNT(Market_Data!$B$21:$B$613)),1)),""))</f>
        <v/>
      </c>
      <c r="C171" s="145" t="str">
        <f ca="1">IF($A171="","",IFERROR(INDEX(Market_Data!$F$21:$F$613,MATCH($A171,Market_Data!$E$21:INDEX(Market_Data!$E$21:$E$613,COUNT(Market_Data!$E$21:$E$613)),1)),""))</f>
        <v/>
      </c>
      <c r="D171" s="145" t="str">
        <f ca="1">IF($A171="","",IFERROR(INDEX(Market_Data!$I$21:$I$613,MATCH($A171,Market_Data!$H$21:INDEX(Market_Data!$H$21:$H$613,COUNT(Market_Data!$H$21:$H$613)),1)),""))</f>
        <v/>
      </c>
      <c r="E171" s="145" t="str">
        <f ca="1">IF($A171="","",IFERROR(INDEX(Market_Data!$L$21:$L$613,MATCH($A171,Market_Data!$K$21:INDEX(Market_Data!$K$21:$K$613,COUNT(Market_Data!$K$21:$K$613)),1)),""))</f>
        <v/>
      </c>
      <c r="F171" s="145" t="str">
        <f ca="1">IF($A171="","",IFERROR(INDEX(Market_Data!$O$21:$O$613,MATCH($A171,Market_Data!$N$21:INDEX(Market_Data!$N$21:$N$613,COUNT(Market_Data!$N$21:$N$613)),1)),""))</f>
        <v/>
      </c>
      <c r="G171" s="145" t="str">
        <f ca="1">IF($A171="","",IFERROR(INDEX(Market_Data!$R$21:$R$613,MATCH($A171,Market_Data!$Q$21:INDEX(Market_Data!$Q$21:$Q$613,COUNT(Market_Data!$Q$21:$Q$613)),1)),""))</f>
        <v/>
      </c>
      <c r="H171" s="145" t="str">
        <f ca="1">IF($A171="","",IFERROR(INDEX(Market_Data!$U$21:$U$613,MATCH($A171,Market_Data!$T$21:INDEX(Market_Data!$T$21:$T$613,COUNT(Market_Data!$T$21:$T$613)),1)),""))</f>
        <v/>
      </c>
      <c r="I171" s="146" t="str">
        <f ca="1">IF($A171="","",IFERROR(INDEX(Query1[Close],MATCH($A171,Query1[Date],1)),""))</f>
        <v/>
      </c>
    </row>
    <row r="172" spans="1:9" x14ac:dyDescent="0.3">
      <c r="A172" s="144" t="str">
        <f t="shared" ca="1" si="4"/>
        <v/>
      </c>
      <c r="B172" s="145" t="str">
        <f ca="1">IF($A172="","",IFERROR(INDEX(Market_Data!$C$21:$C$613,MATCH($A172,Market_Data!$B$21:INDEX(Market_Data!$B$21:$B$613,COUNT(Market_Data!$B$21:$B$613)),1)),""))</f>
        <v/>
      </c>
      <c r="C172" s="145" t="str">
        <f ca="1">IF($A172="","",IFERROR(INDEX(Market_Data!$F$21:$F$613,MATCH($A172,Market_Data!$E$21:INDEX(Market_Data!$E$21:$E$613,COUNT(Market_Data!$E$21:$E$613)),1)),""))</f>
        <v/>
      </c>
      <c r="D172" s="145" t="str">
        <f ca="1">IF($A172="","",IFERROR(INDEX(Market_Data!$I$21:$I$613,MATCH($A172,Market_Data!$H$21:INDEX(Market_Data!$H$21:$H$613,COUNT(Market_Data!$H$21:$H$613)),1)),""))</f>
        <v/>
      </c>
      <c r="E172" s="145" t="str">
        <f ca="1">IF($A172="","",IFERROR(INDEX(Market_Data!$L$21:$L$613,MATCH($A172,Market_Data!$K$21:INDEX(Market_Data!$K$21:$K$613,COUNT(Market_Data!$K$21:$K$613)),1)),""))</f>
        <v/>
      </c>
      <c r="F172" s="145" t="str">
        <f ca="1">IF($A172="","",IFERROR(INDEX(Market_Data!$O$21:$O$613,MATCH($A172,Market_Data!$N$21:INDEX(Market_Data!$N$21:$N$613,COUNT(Market_Data!$N$21:$N$613)),1)),""))</f>
        <v/>
      </c>
      <c r="G172" s="145" t="str">
        <f ca="1">IF($A172="","",IFERROR(INDEX(Market_Data!$R$21:$R$613,MATCH($A172,Market_Data!$Q$21:INDEX(Market_Data!$Q$21:$Q$613,COUNT(Market_Data!$Q$21:$Q$613)),1)),""))</f>
        <v/>
      </c>
      <c r="H172" s="145" t="str">
        <f ca="1">IF($A172="","",IFERROR(INDEX(Market_Data!$U$21:$U$613,MATCH($A172,Market_Data!$T$21:INDEX(Market_Data!$T$21:$T$613,COUNT(Market_Data!$T$21:$T$613)),1)),""))</f>
        <v/>
      </c>
      <c r="I172" s="146" t="str">
        <f ca="1">IF($A172="","",IFERROR(INDEX(Query1[Close],MATCH($A172,Query1[Date],1)),""))</f>
        <v/>
      </c>
    </row>
    <row r="173" spans="1:9" x14ac:dyDescent="0.3">
      <c r="A173" s="144" t="str">
        <f t="shared" ca="1" si="4"/>
        <v/>
      </c>
      <c r="B173" s="145" t="str">
        <f ca="1">IF($A173="","",IFERROR(INDEX(Market_Data!$C$21:$C$613,MATCH($A173,Market_Data!$B$21:INDEX(Market_Data!$B$21:$B$613,COUNT(Market_Data!$B$21:$B$613)),1)),""))</f>
        <v/>
      </c>
      <c r="C173" s="145" t="str">
        <f ca="1">IF($A173="","",IFERROR(INDEX(Market_Data!$F$21:$F$613,MATCH($A173,Market_Data!$E$21:INDEX(Market_Data!$E$21:$E$613,COUNT(Market_Data!$E$21:$E$613)),1)),""))</f>
        <v/>
      </c>
      <c r="D173" s="145" t="str">
        <f ca="1">IF($A173="","",IFERROR(INDEX(Market_Data!$I$21:$I$613,MATCH($A173,Market_Data!$H$21:INDEX(Market_Data!$H$21:$H$613,COUNT(Market_Data!$H$21:$H$613)),1)),""))</f>
        <v/>
      </c>
      <c r="E173" s="145" t="str">
        <f ca="1">IF($A173="","",IFERROR(INDEX(Market_Data!$L$21:$L$613,MATCH($A173,Market_Data!$K$21:INDEX(Market_Data!$K$21:$K$613,COUNT(Market_Data!$K$21:$K$613)),1)),""))</f>
        <v/>
      </c>
      <c r="F173" s="145" t="str">
        <f ca="1">IF($A173="","",IFERROR(INDEX(Market_Data!$O$21:$O$613,MATCH($A173,Market_Data!$N$21:INDEX(Market_Data!$N$21:$N$613,COUNT(Market_Data!$N$21:$N$613)),1)),""))</f>
        <v/>
      </c>
      <c r="G173" s="145" t="str">
        <f ca="1">IF($A173="","",IFERROR(INDEX(Market_Data!$R$21:$R$613,MATCH($A173,Market_Data!$Q$21:INDEX(Market_Data!$Q$21:$Q$613,COUNT(Market_Data!$Q$21:$Q$613)),1)),""))</f>
        <v/>
      </c>
      <c r="H173" s="145" t="str">
        <f ca="1">IF($A173="","",IFERROR(INDEX(Market_Data!$U$21:$U$613,MATCH($A173,Market_Data!$T$21:INDEX(Market_Data!$T$21:$T$613,COUNT(Market_Data!$T$21:$T$613)),1)),""))</f>
        <v/>
      </c>
      <c r="I173" s="146" t="str">
        <f ca="1">IF($A173="","",IFERROR(INDEX(Query1[Close],MATCH($A173,Query1[Date],1)),""))</f>
        <v/>
      </c>
    </row>
    <row r="174" spans="1:9" x14ac:dyDescent="0.3">
      <c r="A174" s="144" t="str">
        <f t="shared" ca="1" si="4"/>
        <v/>
      </c>
      <c r="B174" s="145" t="str">
        <f ca="1">IF($A174="","",IFERROR(INDEX(Market_Data!$C$21:$C$613,MATCH($A174,Market_Data!$B$21:INDEX(Market_Data!$B$21:$B$613,COUNT(Market_Data!$B$21:$B$613)),1)),""))</f>
        <v/>
      </c>
      <c r="C174" s="145" t="str">
        <f ca="1">IF($A174="","",IFERROR(INDEX(Market_Data!$F$21:$F$613,MATCH($A174,Market_Data!$E$21:INDEX(Market_Data!$E$21:$E$613,COUNT(Market_Data!$E$21:$E$613)),1)),""))</f>
        <v/>
      </c>
      <c r="D174" s="145" t="str">
        <f ca="1">IF($A174="","",IFERROR(INDEX(Market_Data!$I$21:$I$613,MATCH($A174,Market_Data!$H$21:INDEX(Market_Data!$H$21:$H$613,COUNT(Market_Data!$H$21:$H$613)),1)),""))</f>
        <v/>
      </c>
      <c r="E174" s="145" t="str">
        <f ca="1">IF($A174="","",IFERROR(INDEX(Market_Data!$L$21:$L$613,MATCH($A174,Market_Data!$K$21:INDEX(Market_Data!$K$21:$K$613,COUNT(Market_Data!$K$21:$K$613)),1)),""))</f>
        <v/>
      </c>
      <c r="F174" s="145" t="str">
        <f ca="1">IF($A174="","",IFERROR(INDEX(Market_Data!$O$21:$O$613,MATCH($A174,Market_Data!$N$21:INDEX(Market_Data!$N$21:$N$613,COUNT(Market_Data!$N$21:$N$613)),1)),""))</f>
        <v/>
      </c>
      <c r="G174" s="145" t="str">
        <f ca="1">IF($A174="","",IFERROR(INDEX(Market_Data!$R$21:$R$613,MATCH($A174,Market_Data!$Q$21:INDEX(Market_Data!$Q$21:$Q$613,COUNT(Market_Data!$Q$21:$Q$613)),1)),""))</f>
        <v/>
      </c>
      <c r="H174" s="145" t="str">
        <f ca="1">IF($A174="","",IFERROR(INDEX(Market_Data!$U$21:$U$613,MATCH($A174,Market_Data!$T$21:INDEX(Market_Data!$T$21:$T$613,COUNT(Market_Data!$T$21:$T$613)),1)),""))</f>
        <v/>
      </c>
      <c r="I174" s="146" t="str">
        <f ca="1">IF($A174="","",IFERROR(INDEX(Query1[Close],MATCH($A174,Query1[Date],1)),""))</f>
        <v/>
      </c>
    </row>
    <row r="175" spans="1:9" x14ac:dyDescent="0.3">
      <c r="A175" s="144" t="str">
        <f t="shared" ca="1" si="4"/>
        <v/>
      </c>
      <c r="B175" s="145" t="str">
        <f ca="1">IF($A175="","",IFERROR(INDEX(Market_Data!$C$21:$C$613,MATCH($A175,Market_Data!$B$21:INDEX(Market_Data!$B$21:$B$613,COUNT(Market_Data!$B$21:$B$613)),1)),""))</f>
        <v/>
      </c>
      <c r="C175" s="145" t="str">
        <f ca="1">IF($A175="","",IFERROR(INDEX(Market_Data!$F$21:$F$613,MATCH($A175,Market_Data!$E$21:INDEX(Market_Data!$E$21:$E$613,COUNT(Market_Data!$E$21:$E$613)),1)),""))</f>
        <v/>
      </c>
      <c r="D175" s="145" t="str">
        <f ca="1">IF($A175="","",IFERROR(INDEX(Market_Data!$I$21:$I$613,MATCH($A175,Market_Data!$H$21:INDEX(Market_Data!$H$21:$H$613,COUNT(Market_Data!$H$21:$H$613)),1)),""))</f>
        <v/>
      </c>
      <c r="E175" s="145" t="str">
        <f ca="1">IF($A175="","",IFERROR(INDEX(Market_Data!$L$21:$L$613,MATCH($A175,Market_Data!$K$21:INDEX(Market_Data!$K$21:$K$613,COUNT(Market_Data!$K$21:$K$613)),1)),""))</f>
        <v/>
      </c>
      <c r="F175" s="145" t="str">
        <f ca="1">IF($A175="","",IFERROR(INDEX(Market_Data!$O$21:$O$613,MATCH($A175,Market_Data!$N$21:INDEX(Market_Data!$N$21:$N$613,COUNT(Market_Data!$N$21:$N$613)),1)),""))</f>
        <v/>
      </c>
      <c r="G175" s="145" t="str">
        <f ca="1">IF($A175="","",IFERROR(INDEX(Market_Data!$R$21:$R$613,MATCH($A175,Market_Data!$Q$21:INDEX(Market_Data!$Q$21:$Q$613,COUNT(Market_Data!$Q$21:$Q$613)),1)),""))</f>
        <v/>
      </c>
      <c r="H175" s="145" t="str">
        <f ca="1">IF($A175="","",IFERROR(INDEX(Market_Data!$U$21:$U$613,MATCH($A175,Market_Data!$T$21:INDEX(Market_Data!$T$21:$T$613,COUNT(Market_Data!$T$21:$T$613)),1)),""))</f>
        <v/>
      </c>
      <c r="I175" s="146" t="str">
        <f ca="1">IF($A175="","",IFERROR(INDEX(Query1[Close],MATCH($A175,Query1[Date],1)),""))</f>
        <v/>
      </c>
    </row>
    <row r="176" spans="1:9" x14ac:dyDescent="0.3">
      <c r="A176" s="144" t="str">
        <f t="shared" ca="1" si="4"/>
        <v/>
      </c>
      <c r="B176" s="145" t="str">
        <f ca="1">IF($A176="","",IFERROR(INDEX(Market_Data!$C$21:$C$613,MATCH($A176,Market_Data!$B$21:INDEX(Market_Data!$B$21:$B$613,COUNT(Market_Data!$B$21:$B$613)),1)),""))</f>
        <v/>
      </c>
      <c r="C176" s="145" t="str">
        <f ca="1">IF($A176="","",IFERROR(INDEX(Market_Data!$F$21:$F$613,MATCH($A176,Market_Data!$E$21:INDEX(Market_Data!$E$21:$E$613,COUNT(Market_Data!$E$21:$E$613)),1)),""))</f>
        <v/>
      </c>
      <c r="D176" s="145" t="str">
        <f ca="1">IF($A176="","",IFERROR(INDEX(Market_Data!$I$21:$I$613,MATCH($A176,Market_Data!$H$21:INDEX(Market_Data!$H$21:$H$613,COUNT(Market_Data!$H$21:$H$613)),1)),""))</f>
        <v/>
      </c>
      <c r="E176" s="145" t="str">
        <f ca="1">IF($A176="","",IFERROR(INDEX(Market_Data!$L$21:$L$613,MATCH($A176,Market_Data!$K$21:INDEX(Market_Data!$K$21:$K$613,COUNT(Market_Data!$K$21:$K$613)),1)),""))</f>
        <v/>
      </c>
      <c r="F176" s="145" t="str">
        <f ca="1">IF($A176="","",IFERROR(INDEX(Market_Data!$O$21:$O$613,MATCH($A176,Market_Data!$N$21:INDEX(Market_Data!$N$21:$N$613,COUNT(Market_Data!$N$21:$N$613)),1)),""))</f>
        <v/>
      </c>
      <c r="G176" s="145" t="str">
        <f ca="1">IF($A176="","",IFERROR(INDEX(Market_Data!$R$21:$R$613,MATCH($A176,Market_Data!$Q$21:INDEX(Market_Data!$Q$21:$Q$613,COUNT(Market_Data!$Q$21:$Q$613)),1)),""))</f>
        <v/>
      </c>
      <c r="H176" s="145" t="str">
        <f ca="1">IF($A176="","",IFERROR(INDEX(Market_Data!$U$21:$U$613,MATCH($A176,Market_Data!$T$21:INDEX(Market_Data!$T$21:$T$613,COUNT(Market_Data!$T$21:$T$613)),1)),""))</f>
        <v/>
      </c>
      <c r="I176" s="146" t="str">
        <f ca="1">IF($A176="","",IFERROR(INDEX(Query1[Close],MATCH($A176,Query1[Date],1)),""))</f>
        <v/>
      </c>
    </row>
    <row r="177" spans="1:9" x14ac:dyDescent="0.3">
      <c r="A177" s="144" t="str">
        <f t="shared" ca="1" si="4"/>
        <v/>
      </c>
      <c r="B177" s="145" t="str">
        <f ca="1">IF($A177="","",IFERROR(INDEX(Market_Data!$C$21:$C$613,MATCH($A177,Market_Data!$B$21:INDEX(Market_Data!$B$21:$B$613,COUNT(Market_Data!$B$21:$B$613)),1)),""))</f>
        <v/>
      </c>
      <c r="C177" s="145" t="str">
        <f ca="1">IF($A177="","",IFERROR(INDEX(Market_Data!$F$21:$F$613,MATCH($A177,Market_Data!$E$21:INDEX(Market_Data!$E$21:$E$613,COUNT(Market_Data!$E$21:$E$613)),1)),""))</f>
        <v/>
      </c>
      <c r="D177" s="145" t="str">
        <f ca="1">IF($A177="","",IFERROR(INDEX(Market_Data!$I$21:$I$613,MATCH($A177,Market_Data!$H$21:INDEX(Market_Data!$H$21:$H$613,COUNT(Market_Data!$H$21:$H$613)),1)),""))</f>
        <v/>
      </c>
      <c r="E177" s="145" t="str">
        <f ca="1">IF($A177="","",IFERROR(INDEX(Market_Data!$L$21:$L$613,MATCH($A177,Market_Data!$K$21:INDEX(Market_Data!$K$21:$K$613,COUNT(Market_Data!$K$21:$K$613)),1)),""))</f>
        <v/>
      </c>
      <c r="F177" s="145" t="str">
        <f ca="1">IF($A177="","",IFERROR(INDEX(Market_Data!$O$21:$O$613,MATCH($A177,Market_Data!$N$21:INDEX(Market_Data!$N$21:$N$613,COUNT(Market_Data!$N$21:$N$613)),1)),""))</f>
        <v/>
      </c>
      <c r="G177" s="145" t="str">
        <f ca="1">IF($A177="","",IFERROR(INDEX(Market_Data!$R$21:$R$613,MATCH($A177,Market_Data!$Q$21:INDEX(Market_Data!$Q$21:$Q$613,COUNT(Market_Data!$Q$21:$Q$613)),1)),""))</f>
        <v/>
      </c>
      <c r="H177" s="145" t="str">
        <f ca="1">IF($A177="","",IFERROR(INDEX(Market_Data!$U$21:$U$613,MATCH($A177,Market_Data!$T$21:INDEX(Market_Data!$T$21:$T$613,COUNT(Market_Data!$T$21:$T$613)),1)),""))</f>
        <v/>
      </c>
      <c r="I177" s="146" t="str">
        <f ca="1">IF($A177="","",IFERROR(INDEX(Query1[Close],MATCH($A177,Query1[Date],1)),""))</f>
        <v/>
      </c>
    </row>
    <row r="178" spans="1:9" x14ac:dyDescent="0.3">
      <c r="A178" s="144" t="str">
        <f t="shared" ca="1" si="4"/>
        <v/>
      </c>
      <c r="B178" s="145" t="str">
        <f ca="1">IF($A178="","",IFERROR(INDEX(Market_Data!$C$21:$C$613,MATCH($A178,Market_Data!$B$21:INDEX(Market_Data!$B$21:$B$613,COUNT(Market_Data!$B$21:$B$613)),1)),""))</f>
        <v/>
      </c>
      <c r="C178" s="145" t="str">
        <f ca="1">IF($A178="","",IFERROR(INDEX(Market_Data!$F$21:$F$613,MATCH($A178,Market_Data!$E$21:INDEX(Market_Data!$E$21:$E$613,COUNT(Market_Data!$E$21:$E$613)),1)),""))</f>
        <v/>
      </c>
      <c r="D178" s="145" t="str">
        <f ca="1">IF($A178="","",IFERROR(INDEX(Market_Data!$I$21:$I$613,MATCH($A178,Market_Data!$H$21:INDEX(Market_Data!$H$21:$H$613,COUNT(Market_Data!$H$21:$H$613)),1)),""))</f>
        <v/>
      </c>
      <c r="E178" s="145" t="str">
        <f ca="1">IF($A178="","",IFERROR(INDEX(Market_Data!$L$21:$L$613,MATCH($A178,Market_Data!$K$21:INDEX(Market_Data!$K$21:$K$613,COUNT(Market_Data!$K$21:$K$613)),1)),""))</f>
        <v/>
      </c>
      <c r="F178" s="145" t="str">
        <f ca="1">IF($A178="","",IFERROR(INDEX(Market_Data!$O$21:$O$613,MATCH($A178,Market_Data!$N$21:INDEX(Market_Data!$N$21:$N$613,COUNT(Market_Data!$N$21:$N$613)),1)),""))</f>
        <v/>
      </c>
      <c r="G178" s="145" t="str">
        <f ca="1">IF($A178="","",IFERROR(INDEX(Market_Data!$R$21:$R$613,MATCH($A178,Market_Data!$Q$21:INDEX(Market_Data!$Q$21:$Q$613,COUNT(Market_Data!$Q$21:$Q$613)),1)),""))</f>
        <v/>
      </c>
      <c r="H178" s="145" t="str">
        <f ca="1">IF($A178="","",IFERROR(INDEX(Market_Data!$U$21:$U$613,MATCH($A178,Market_Data!$T$21:INDEX(Market_Data!$T$21:$T$613,COUNT(Market_Data!$T$21:$T$613)),1)),""))</f>
        <v/>
      </c>
      <c r="I178" s="146" t="str">
        <f ca="1">IF($A178="","",IFERROR(INDEX(Query1[Close],MATCH($A178,Query1[Date],1)),""))</f>
        <v/>
      </c>
    </row>
    <row r="179" spans="1:9" x14ac:dyDescent="0.3">
      <c r="A179" s="144" t="str">
        <f t="shared" ca="1" si="4"/>
        <v/>
      </c>
      <c r="B179" s="145" t="str">
        <f ca="1">IF($A179="","",IFERROR(INDEX(Market_Data!$C$21:$C$613,MATCH($A179,Market_Data!$B$21:INDEX(Market_Data!$B$21:$B$613,COUNT(Market_Data!$B$21:$B$613)),1)),""))</f>
        <v/>
      </c>
      <c r="C179" s="145" t="str">
        <f ca="1">IF($A179="","",IFERROR(INDEX(Market_Data!$F$21:$F$613,MATCH($A179,Market_Data!$E$21:INDEX(Market_Data!$E$21:$E$613,COUNT(Market_Data!$E$21:$E$613)),1)),""))</f>
        <v/>
      </c>
      <c r="D179" s="145" t="str">
        <f ca="1">IF($A179="","",IFERROR(INDEX(Market_Data!$I$21:$I$613,MATCH($A179,Market_Data!$H$21:INDEX(Market_Data!$H$21:$H$613,COUNT(Market_Data!$H$21:$H$613)),1)),""))</f>
        <v/>
      </c>
      <c r="E179" s="145" t="str">
        <f ca="1">IF($A179="","",IFERROR(INDEX(Market_Data!$L$21:$L$613,MATCH($A179,Market_Data!$K$21:INDEX(Market_Data!$K$21:$K$613,COUNT(Market_Data!$K$21:$K$613)),1)),""))</f>
        <v/>
      </c>
      <c r="F179" s="145" t="str">
        <f ca="1">IF($A179="","",IFERROR(INDEX(Market_Data!$O$21:$O$613,MATCH($A179,Market_Data!$N$21:INDEX(Market_Data!$N$21:$N$613,COUNT(Market_Data!$N$21:$N$613)),1)),""))</f>
        <v/>
      </c>
      <c r="G179" s="145" t="str">
        <f ca="1">IF($A179="","",IFERROR(INDEX(Market_Data!$R$21:$R$613,MATCH($A179,Market_Data!$Q$21:INDEX(Market_Data!$Q$21:$Q$613,COUNT(Market_Data!$Q$21:$Q$613)),1)),""))</f>
        <v/>
      </c>
      <c r="H179" s="145" t="str">
        <f ca="1">IF($A179="","",IFERROR(INDEX(Market_Data!$U$21:$U$613,MATCH($A179,Market_Data!$T$21:INDEX(Market_Data!$T$21:$T$613,COUNT(Market_Data!$T$21:$T$613)),1)),""))</f>
        <v/>
      </c>
      <c r="I179" s="146" t="str">
        <f ca="1">IF($A179="","",IFERROR(INDEX(Query1[Close],MATCH($A179,Query1[Date],1)),""))</f>
        <v/>
      </c>
    </row>
    <row r="180" spans="1:9" x14ac:dyDescent="0.3">
      <c r="A180" s="144" t="str">
        <f t="shared" ca="1" si="4"/>
        <v/>
      </c>
      <c r="B180" s="145" t="str">
        <f ca="1">IF($A180="","",IFERROR(INDEX(Market_Data!$C$21:$C$613,MATCH($A180,Market_Data!$B$21:INDEX(Market_Data!$B$21:$B$613,COUNT(Market_Data!$B$21:$B$613)),1)),""))</f>
        <v/>
      </c>
      <c r="C180" s="145" t="str">
        <f ca="1">IF($A180="","",IFERROR(INDEX(Market_Data!$F$21:$F$613,MATCH($A180,Market_Data!$E$21:INDEX(Market_Data!$E$21:$E$613,COUNT(Market_Data!$E$21:$E$613)),1)),""))</f>
        <v/>
      </c>
      <c r="D180" s="145" t="str">
        <f ca="1">IF($A180="","",IFERROR(INDEX(Market_Data!$I$21:$I$613,MATCH($A180,Market_Data!$H$21:INDEX(Market_Data!$H$21:$H$613,COUNT(Market_Data!$H$21:$H$613)),1)),""))</f>
        <v/>
      </c>
      <c r="E180" s="145" t="str">
        <f ca="1">IF($A180="","",IFERROR(INDEX(Market_Data!$L$21:$L$613,MATCH($A180,Market_Data!$K$21:INDEX(Market_Data!$K$21:$K$613,COUNT(Market_Data!$K$21:$K$613)),1)),""))</f>
        <v/>
      </c>
      <c r="F180" s="145" t="str">
        <f ca="1">IF($A180="","",IFERROR(INDEX(Market_Data!$O$21:$O$613,MATCH($A180,Market_Data!$N$21:INDEX(Market_Data!$N$21:$N$613,COUNT(Market_Data!$N$21:$N$613)),1)),""))</f>
        <v/>
      </c>
      <c r="G180" s="145" t="str">
        <f ca="1">IF($A180="","",IFERROR(INDEX(Market_Data!$R$21:$R$613,MATCH($A180,Market_Data!$Q$21:INDEX(Market_Data!$Q$21:$Q$613,COUNT(Market_Data!$Q$21:$Q$613)),1)),""))</f>
        <v/>
      </c>
      <c r="H180" s="145" t="str">
        <f ca="1">IF($A180="","",IFERROR(INDEX(Market_Data!$U$21:$U$613,MATCH($A180,Market_Data!$T$21:INDEX(Market_Data!$T$21:$T$613,COUNT(Market_Data!$T$21:$T$613)),1)),""))</f>
        <v/>
      </c>
      <c r="I180" s="146" t="str">
        <f ca="1">IF($A180="","",IFERROR(INDEX(Query1[Close],MATCH($A180,Query1[Date],1)),""))</f>
        <v/>
      </c>
    </row>
    <row r="181" spans="1:9" x14ac:dyDescent="0.3">
      <c r="A181" s="144" t="str">
        <f t="shared" ca="1" si="4"/>
        <v/>
      </c>
      <c r="B181" s="145" t="str">
        <f ca="1">IF($A181="","",IFERROR(INDEX(Market_Data!$C$21:$C$613,MATCH($A181,Market_Data!$B$21:INDEX(Market_Data!$B$21:$B$613,COUNT(Market_Data!$B$21:$B$613)),1)),""))</f>
        <v/>
      </c>
      <c r="C181" s="145" t="str">
        <f ca="1">IF($A181="","",IFERROR(INDEX(Market_Data!$F$21:$F$613,MATCH($A181,Market_Data!$E$21:INDEX(Market_Data!$E$21:$E$613,COUNT(Market_Data!$E$21:$E$613)),1)),""))</f>
        <v/>
      </c>
      <c r="D181" s="145" t="str">
        <f ca="1">IF($A181="","",IFERROR(INDEX(Market_Data!$I$21:$I$613,MATCH($A181,Market_Data!$H$21:INDEX(Market_Data!$H$21:$H$613,COUNT(Market_Data!$H$21:$H$613)),1)),""))</f>
        <v/>
      </c>
      <c r="E181" s="145" t="str">
        <f ca="1">IF($A181="","",IFERROR(INDEX(Market_Data!$L$21:$L$613,MATCH($A181,Market_Data!$K$21:INDEX(Market_Data!$K$21:$K$613,COUNT(Market_Data!$K$21:$K$613)),1)),""))</f>
        <v/>
      </c>
      <c r="F181" s="145" t="str">
        <f ca="1">IF($A181="","",IFERROR(INDEX(Market_Data!$O$21:$O$613,MATCH($A181,Market_Data!$N$21:INDEX(Market_Data!$N$21:$N$613,COUNT(Market_Data!$N$21:$N$613)),1)),""))</f>
        <v/>
      </c>
      <c r="G181" s="145" t="str">
        <f ca="1">IF($A181="","",IFERROR(INDEX(Market_Data!$R$21:$R$613,MATCH($A181,Market_Data!$Q$21:INDEX(Market_Data!$Q$21:$Q$613,COUNT(Market_Data!$Q$21:$Q$613)),1)),""))</f>
        <v/>
      </c>
      <c r="H181" s="145" t="str">
        <f ca="1">IF($A181="","",IFERROR(INDEX(Market_Data!$U$21:$U$613,MATCH($A181,Market_Data!$T$21:INDEX(Market_Data!$T$21:$T$613,COUNT(Market_Data!$T$21:$T$613)),1)),""))</f>
        <v/>
      </c>
      <c r="I181" s="146" t="str">
        <f ca="1">IF($A181="","",IFERROR(INDEX(Query1[Close],MATCH($A181,Query1[Date],1)),""))</f>
        <v/>
      </c>
    </row>
    <row r="182" spans="1:9" x14ac:dyDescent="0.3">
      <c r="A182" s="144" t="str">
        <f t="shared" ca="1" si="4"/>
        <v/>
      </c>
      <c r="B182" s="145" t="str">
        <f ca="1">IF($A182="","",IFERROR(INDEX(Market_Data!$C$21:$C$613,MATCH($A182,Market_Data!$B$21:INDEX(Market_Data!$B$21:$B$613,COUNT(Market_Data!$B$21:$B$613)),1)),""))</f>
        <v/>
      </c>
      <c r="C182" s="145" t="str">
        <f ca="1">IF($A182="","",IFERROR(INDEX(Market_Data!$F$21:$F$613,MATCH($A182,Market_Data!$E$21:INDEX(Market_Data!$E$21:$E$613,COUNT(Market_Data!$E$21:$E$613)),1)),""))</f>
        <v/>
      </c>
      <c r="D182" s="145" t="str">
        <f ca="1">IF($A182="","",IFERROR(INDEX(Market_Data!$I$21:$I$613,MATCH($A182,Market_Data!$H$21:INDEX(Market_Data!$H$21:$H$613,COUNT(Market_Data!$H$21:$H$613)),1)),""))</f>
        <v/>
      </c>
      <c r="E182" s="145" t="str">
        <f ca="1">IF($A182="","",IFERROR(INDEX(Market_Data!$L$21:$L$613,MATCH($A182,Market_Data!$K$21:INDEX(Market_Data!$K$21:$K$613,COUNT(Market_Data!$K$21:$K$613)),1)),""))</f>
        <v/>
      </c>
      <c r="F182" s="145" t="str">
        <f ca="1">IF($A182="","",IFERROR(INDEX(Market_Data!$O$21:$O$613,MATCH($A182,Market_Data!$N$21:INDEX(Market_Data!$N$21:$N$613,COUNT(Market_Data!$N$21:$N$613)),1)),""))</f>
        <v/>
      </c>
      <c r="G182" s="145" t="str">
        <f ca="1">IF($A182="","",IFERROR(INDEX(Market_Data!$R$21:$R$613,MATCH($A182,Market_Data!$Q$21:INDEX(Market_Data!$Q$21:$Q$613,COUNT(Market_Data!$Q$21:$Q$613)),1)),""))</f>
        <v/>
      </c>
      <c r="H182" s="145" t="str">
        <f ca="1">IF($A182="","",IFERROR(INDEX(Market_Data!$U$21:$U$613,MATCH($A182,Market_Data!$T$21:INDEX(Market_Data!$T$21:$T$613,COUNT(Market_Data!$T$21:$T$613)),1)),""))</f>
        <v/>
      </c>
      <c r="I182" s="146" t="str">
        <f ca="1">IF($A182="","",IFERROR(INDEX(Query1[Close],MATCH($A182,Query1[Date],1)),""))</f>
        <v/>
      </c>
    </row>
    <row r="183" spans="1:9" x14ac:dyDescent="0.3">
      <c r="A183" s="144" t="str">
        <f t="shared" ca="1" si="4"/>
        <v/>
      </c>
      <c r="B183" s="145" t="str">
        <f ca="1">IF($A183="","",IFERROR(INDEX(Market_Data!$C$21:$C$613,MATCH($A183,Market_Data!$B$21:INDEX(Market_Data!$B$21:$B$613,COUNT(Market_Data!$B$21:$B$613)),1)),""))</f>
        <v/>
      </c>
      <c r="C183" s="145" t="str">
        <f ca="1">IF($A183="","",IFERROR(INDEX(Market_Data!$F$21:$F$613,MATCH($A183,Market_Data!$E$21:INDEX(Market_Data!$E$21:$E$613,COUNT(Market_Data!$E$21:$E$613)),1)),""))</f>
        <v/>
      </c>
      <c r="D183" s="145" t="str">
        <f ca="1">IF($A183="","",IFERROR(INDEX(Market_Data!$I$21:$I$613,MATCH($A183,Market_Data!$H$21:INDEX(Market_Data!$H$21:$H$613,COUNT(Market_Data!$H$21:$H$613)),1)),""))</f>
        <v/>
      </c>
      <c r="E183" s="145" t="str">
        <f ca="1">IF($A183="","",IFERROR(INDEX(Market_Data!$L$21:$L$613,MATCH($A183,Market_Data!$K$21:INDEX(Market_Data!$K$21:$K$613,COUNT(Market_Data!$K$21:$K$613)),1)),""))</f>
        <v/>
      </c>
      <c r="F183" s="145" t="str">
        <f ca="1">IF($A183="","",IFERROR(INDEX(Market_Data!$O$21:$O$613,MATCH($A183,Market_Data!$N$21:INDEX(Market_Data!$N$21:$N$613,COUNT(Market_Data!$N$21:$N$613)),1)),""))</f>
        <v/>
      </c>
      <c r="G183" s="145" t="str">
        <f ca="1">IF($A183="","",IFERROR(INDEX(Market_Data!$R$21:$R$613,MATCH($A183,Market_Data!$Q$21:INDEX(Market_Data!$Q$21:$Q$613,COUNT(Market_Data!$Q$21:$Q$613)),1)),""))</f>
        <v/>
      </c>
      <c r="H183" s="145" t="str">
        <f ca="1">IF($A183="","",IFERROR(INDEX(Market_Data!$U$21:$U$613,MATCH($A183,Market_Data!$T$21:INDEX(Market_Data!$T$21:$T$613,COUNT(Market_Data!$T$21:$T$613)),1)),""))</f>
        <v/>
      </c>
      <c r="I183" s="146" t="str">
        <f ca="1">IF($A183="","",IFERROR(INDEX(Query1[Close],MATCH($A183,Query1[Date],1)),""))</f>
        <v/>
      </c>
    </row>
    <row r="184" spans="1:9" x14ac:dyDescent="0.3">
      <c r="A184" s="144" t="str">
        <f t="shared" ca="1" si="4"/>
        <v/>
      </c>
      <c r="B184" s="145" t="str">
        <f ca="1">IF($A184="","",IFERROR(INDEX(Market_Data!$C$21:$C$613,MATCH($A184,Market_Data!$B$21:INDEX(Market_Data!$B$21:$B$613,COUNT(Market_Data!$B$21:$B$613)),1)),""))</f>
        <v/>
      </c>
      <c r="C184" s="145" t="str">
        <f ca="1">IF($A184="","",IFERROR(INDEX(Market_Data!$F$21:$F$613,MATCH($A184,Market_Data!$E$21:INDEX(Market_Data!$E$21:$E$613,COUNT(Market_Data!$E$21:$E$613)),1)),""))</f>
        <v/>
      </c>
      <c r="D184" s="145" t="str">
        <f ca="1">IF($A184="","",IFERROR(INDEX(Market_Data!$I$21:$I$613,MATCH($A184,Market_Data!$H$21:INDEX(Market_Data!$H$21:$H$613,COUNT(Market_Data!$H$21:$H$613)),1)),""))</f>
        <v/>
      </c>
      <c r="E184" s="145" t="str">
        <f ca="1">IF($A184="","",IFERROR(INDEX(Market_Data!$L$21:$L$613,MATCH($A184,Market_Data!$K$21:INDEX(Market_Data!$K$21:$K$613,COUNT(Market_Data!$K$21:$K$613)),1)),""))</f>
        <v/>
      </c>
      <c r="F184" s="145" t="str">
        <f ca="1">IF($A184="","",IFERROR(INDEX(Market_Data!$O$21:$O$613,MATCH($A184,Market_Data!$N$21:INDEX(Market_Data!$N$21:$N$613,COUNT(Market_Data!$N$21:$N$613)),1)),""))</f>
        <v/>
      </c>
      <c r="G184" s="145" t="str">
        <f ca="1">IF($A184="","",IFERROR(INDEX(Market_Data!$R$21:$R$613,MATCH($A184,Market_Data!$Q$21:INDEX(Market_Data!$Q$21:$Q$613,COUNT(Market_Data!$Q$21:$Q$613)),1)),""))</f>
        <v/>
      </c>
      <c r="H184" s="145" t="str">
        <f ca="1">IF($A184="","",IFERROR(INDEX(Market_Data!$U$21:$U$613,MATCH($A184,Market_Data!$T$21:INDEX(Market_Data!$T$21:$T$613,COUNT(Market_Data!$T$21:$T$613)),1)),""))</f>
        <v/>
      </c>
      <c r="I184" s="146" t="str">
        <f ca="1">IF($A184="","",IFERROR(INDEX(Query1[Close],MATCH($A184,Query1[Date],1)),""))</f>
        <v/>
      </c>
    </row>
    <row r="185" spans="1:9" x14ac:dyDescent="0.3">
      <c r="A185" s="144" t="str">
        <f t="shared" ca="1" si="4"/>
        <v/>
      </c>
      <c r="B185" s="145" t="str">
        <f ca="1">IF($A185="","",IFERROR(INDEX(Market_Data!$C$21:$C$613,MATCH($A185,Market_Data!$B$21:INDEX(Market_Data!$B$21:$B$613,COUNT(Market_Data!$B$21:$B$613)),1)),""))</f>
        <v/>
      </c>
      <c r="C185" s="145" t="str">
        <f ca="1">IF($A185="","",IFERROR(INDEX(Market_Data!$F$21:$F$613,MATCH($A185,Market_Data!$E$21:INDEX(Market_Data!$E$21:$E$613,COUNT(Market_Data!$E$21:$E$613)),1)),""))</f>
        <v/>
      </c>
      <c r="D185" s="145" t="str">
        <f ca="1">IF($A185="","",IFERROR(INDEX(Market_Data!$I$21:$I$613,MATCH($A185,Market_Data!$H$21:INDEX(Market_Data!$H$21:$H$613,COUNT(Market_Data!$H$21:$H$613)),1)),""))</f>
        <v/>
      </c>
      <c r="E185" s="145" t="str">
        <f ca="1">IF($A185="","",IFERROR(INDEX(Market_Data!$L$21:$L$613,MATCH($A185,Market_Data!$K$21:INDEX(Market_Data!$K$21:$K$613,COUNT(Market_Data!$K$21:$K$613)),1)),""))</f>
        <v/>
      </c>
      <c r="F185" s="145" t="str">
        <f ca="1">IF($A185="","",IFERROR(INDEX(Market_Data!$O$21:$O$613,MATCH($A185,Market_Data!$N$21:INDEX(Market_Data!$N$21:$N$613,COUNT(Market_Data!$N$21:$N$613)),1)),""))</f>
        <v/>
      </c>
      <c r="G185" s="145" t="str">
        <f ca="1">IF($A185="","",IFERROR(INDEX(Market_Data!$R$21:$R$613,MATCH($A185,Market_Data!$Q$21:INDEX(Market_Data!$Q$21:$Q$613,COUNT(Market_Data!$Q$21:$Q$613)),1)),""))</f>
        <v/>
      </c>
      <c r="H185" s="145" t="str">
        <f ca="1">IF($A185="","",IFERROR(INDEX(Market_Data!$U$21:$U$613,MATCH($A185,Market_Data!$T$21:INDEX(Market_Data!$T$21:$T$613,COUNT(Market_Data!$T$21:$T$613)),1)),""))</f>
        <v/>
      </c>
      <c r="I185" s="146" t="str">
        <f ca="1">IF($A185="","",IFERROR(INDEX(Query1[Close],MATCH($A185,Query1[Date],1)),""))</f>
        <v/>
      </c>
    </row>
    <row r="186" spans="1:9" x14ac:dyDescent="0.3">
      <c r="A186" s="144" t="str">
        <f t="shared" ca="1" si="4"/>
        <v/>
      </c>
      <c r="B186" s="145" t="str">
        <f ca="1">IF($A186="","",IFERROR(INDEX(Market_Data!$C$21:$C$613,MATCH($A186,Market_Data!$B$21:INDEX(Market_Data!$B$21:$B$613,COUNT(Market_Data!$B$21:$B$613)),1)),""))</f>
        <v/>
      </c>
      <c r="C186" s="145" t="str">
        <f ca="1">IF($A186="","",IFERROR(INDEX(Market_Data!$F$21:$F$613,MATCH($A186,Market_Data!$E$21:INDEX(Market_Data!$E$21:$E$613,COUNT(Market_Data!$E$21:$E$613)),1)),""))</f>
        <v/>
      </c>
      <c r="D186" s="145" t="str">
        <f ca="1">IF($A186="","",IFERROR(INDEX(Market_Data!$I$21:$I$613,MATCH($A186,Market_Data!$H$21:INDEX(Market_Data!$H$21:$H$613,COUNT(Market_Data!$H$21:$H$613)),1)),""))</f>
        <v/>
      </c>
      <c r="E186" s="145" t="str">
        <f ca="1">IF($A186="","",IFERROR(INDEX(Market_Data!$L$21:$L$613,MATCH($A186,Market_Data!$K$21:INDEX(Market_Data!$K$21:$K$613,COUNT(Market_Data!$K$21:$K$613)),1)),""))</f>
        <v/>
      </c>
      <c r="F186" s="145" t="str">
        <f ca="1">IF($A186="","",IFERROR(INDEX(Market_Data!$O$21:$O$613,MATCH($A186,Market_Data!$N$21:INDEX(Market_Data!$N$21:$N$613,COUNT(Market_Data!$N$21:$N$613)),1)),""))</f>
        <v/>
      </c>
      <c r="G186" s="145" t="str">
        <f ca="1">IF($A186="","",IFERROR(INDEX(Market_Data!$R$21:$R$613,MATCH($A186,Market_Data!$Q$21:INDEX(Market_Data!$Q$21:$Q$613,COUNT(Market_Data!$Q$21:$Q$613)),1)),""))</f>
        <v/>
      </c>
      <c r="H186" s="145" t="str">
        <f ca="1">IF($A186="","",IFERROR(INDEX(Market_Data!$U$21:$U$613,MATCH($A186,Market_Data!$T$21:INDEX(Market_Data!$T$21:$T$613,COUNT(Market_Data!$T$21:$T$613)),1)),""))</f>
        <v/>
      </c>
      <c r="I186" s="146" t="str">
        <f ca="1">IF($A186="","",IFERROR(INDEX(Query1[Close],MATCH($A186,Query1[Date],1)),""))</f>
        <v/>
      </c>
    </row>
    <row r="187" spans="1:9" x14ac:dyDescent="0.3">
      <c r="A187" s="144" t="str">
        <f t="shared" ca="1" si="4"/>
        <v/>
      </c>
      <c r="B187" s="145" t="str">
        <f ca="1">IF($A187="","",IFERROR(INDEX(Market_Data!$C$21:$C$613,MATCH($A187,Market_Data!$B$21:INDEX(Market_Data!$B$21:$B$613,COUNT(Market_Data!$B$21:$B$613)),1)),""))</f>
        <v/>
      </c>
      <c r="C187" s="145" t="str">
        <f ca="1">IF($A187="","",IFERROR(INDEX(Market_Data!$F$21:$F$613,MATCH($A187,Market_Data!$E$21:INDEX(Market_Data!$E$21:$E$613,COUNT(Market_Data!$E$21:$E$613)),1)),""))</f>
        <v/>
      </c>
      <c r="D187" s="145" t="str">
        <f ca="1">IF($A187="","",IFERROR(INDEX(Market_Data!$I$21:$I$613,MATCH($A187,Market_Data!$H$21:INDEX(Market_Data!$H$21:$H$613,COUNT(Market_Data!$H$21:$H$613)),1)),""))</f>
        <v/>
      </c>
      <c r="E187" s="145" t="str">
        <f ca="1">IF($A187="","",IFERROR(INDEX(Market_Data!$L$21:$L$613,MATCH($A187,Market_Data!$K$21:INDEX(Market_Data!$K$21:$K$613,COUNT(Market_Data!$K$21:$K$613)),1)),""))</f>
        <v/>
      </c>
      <c r="F187" s="145" t="str">
        <f ca="1">IF($A187="","",IFERROR(INDEX(Market_Data!$O$21:$O$613,MATCH($A187,Market_Data!$N$21:INDEX(Market_Data!$N$21:$N$613,COUNT(Market_Data!$N$21:$N$613)),1)),""))</f>
        <v/>
      </c>
      <c r="G187" s="145" t="str">
        <f ca="1">IF($A187="","",IFERROR(INDEX(Market_Data!$R$21:$R$613,MATCH($A187,Market_Data!$Q$21:INDEX(Market_Data!$Q$21:$Q$613,COUNT(Market_Data!$Q$21:$Q$613)),1)),""))</f>
        <v/>
      </c>
      <c r="H187" s="145" t="str">
        <f ca="1">IF($A187="","",IFERROR(INDEX(Market_Data!$U$21:$U$613,MATCH($A187,Market_Data!$T$21:INDEX(Market_Data!$T$21:$T$613,COUNT(Market_Data!$T$21:$T$613)),1)),""))</f>
        <v/>
      </c>
      <c r="I187" s="146" t="str">
        <f ca="1">IF($A187="","",IFERROR(INDEX(Query1[Close],MATCH($A187,Query1[Date],1)),""))</f>
        <v/>
      </c>
    </row>
    <row r="188" spans="1:9" x14ac:dyDescent="0.3">
      <c r="A188" s="144" t="str">
        <f t="shared" ca="1" si="4"/>
        <v/>
      </c>
      <c r="B188" s="145" t="str">
        <f ca="1">IF($A188="","",IFERROR(INDEX(Market_Data!$C$21:$C$613,MATCH($A188,Market_Data!$B$21:INDEX(Market_Data!$B$21:$B$613,COUNT(Market_Data!$B$21:$B$613)),1)),""))</f>
        <v/>
      </c>
      <c r="C188" s="145" t="str">
        <f ca="1">IF($A188="","",IFERROR(INDEX(Market_Data!$F$21:$F$613,MATCH($A188,Market_Data!$E$21:INDEX(Market_Data!$E$21:$E$613,COUNT(Market_Data!$E$21:$E$613)),1)),""))</f>
        <v/>
      </c>
      <c r="D188" s="145" t="str">
        <f ca="1">IF($A188="","",IFERROR(INDEX(Market_Data!$I$21:$I$613,MATCH($A188,Market_Data!$H$21:INDEX(Market_Data!$H$21:$H$613,COUNT(Market_Data!$H$21:$H$613)),1)),""))</f>
        <v/>
      </c>
      <c r="E188" s="145" t="str">
        <f ca="1">IF($A188="","",IFERROR(INDEX(Market_Data!$L$21:$L$613,MATCH($A188,Market_Data!$K$21:INDEX(Market_Data!$K$21:$K$613,COUNT(Market_Data!$K$21:$K$613)),1)),""))</f>
        <v/>
      </c>
      <c r="F188" s="145" t="str">
        <f ca="1">IF($A188="","",IFERROR(INDEX(Market_Data!$O$21:$O$613,MATCH($A188,Market_Data!$N$21:INDEX(Market_Data!$N$21:$N$613,COUNT(Market_Data!$N$21:$N$613)),1)),""))</f>
        <v/>
      </c>
      <c r="G188" s="145" t="str">
        <f ca="1">IF($A188="","",IFERROR(INDEX(Market_Data!$R$21:$R$613,MATCH($A188,Market_Data!$Q$21:INDEX(Market_Data!$Q$21:$Q$613,COUNT(Market_Data!$Q$21:$Q$613)),1)),""))</f>
        <v/>
      </c>
      <c r="H188" s="145" t="str">
        <f ca="1">IF($A188="","",IFERROR(INDEX(Market_Data!$U$21:$U$613,MATCH($A188,Market_Data!$T$21:INDEX(Market_Data!$T$21:$T$613,COUNT(Market_Data!$T$21:$T$613)),1)),""))</f>
        <v/>
      </c>
      <c r="I188" s="146" t="str">
        <f ca="1">IF($A188="","",IFERROR(INDEX(Query1[Close],MATCH($A188,Query1[Date],1)),""))</f>
        <v/>
      </c>
    </row>
    <row r="189" spans="1:9" x14ac:dyDescent="0.3">
      <c r="A189" s="144" t="str">
        <f t="shared" ca="1" si="4"/>
        <v/>
      </c>
      <c r="B189" s="145" t="str">
        <f ca="1">IF($A189="","",IFERROR(INDEX(Market_Data!$C$21:$C$613,MATCH($A189,Market_Data!$B$21:INDEX(Market_Data!$B$21:$B$613,COUNT(Market_Data!$B$21:$B$613)),1)),""))</f>
        <v/>
      </c>
      <c r="C189" s="145" t="str">
        <f ca="1">IF($A189="","",IFERROR(INDEX(Market_Data!$F$21:$F$613,MATCH($A189,Market_Data!$E$21:INDEX(Market_Data!$E$21:$E$613,COUNT(Market_Data!$E$21:$E$613)),1)),""))</f>
        <v/>
      </c>
      <c r="D189" s="145" t="str">
        <f ca="1">IF($A189="","",IFERROR(INDEX(Market_Data!$I$21:$I$613,MATCH($A189,Market_Data!$H$21:INDEX(Market_Data!$H$21:$H$613,COUNT(Market_Data!$H$21:$H$613)),1)),""))</f>
        <v/>
      </c>
      <c r="E189" s="145" t="str">
        <f ca="1">IF($A189="","",IFERROR(INDEX(Market_Data!$L$21:$L$613,MATCH($A189,Market_Data!$K$21:INDEX(Market_Data!$K$21:$K$613,COUNT(Market_Data!$K$21:$K$613)),1)),""))</f>
        <v/>
      </c>
      <c r="F189" s="145" t="str">
        <f ca="1">IF($A189="","",IFERROR(INDEX(Market_Data!$O$21:$O$613,MATCH($A189,Market_Data!$N$21:INDEX(Market_Data!$N$21:$N$613,COUNT(Market_Data!$N$21:$N$613)),1)),""))</f>
        <v/>
      </c>
      <c r="G189" s="145" t="str">
        <f ca="1">IF($A189="","",IFERROR(INDEX(Market_Data!$R$21:$R$613,MATCH($A189,Market_Data!$Q$21:INDEX(Market_Data!$Q$21:$Q$613,COUNT(Market_Data!$Q$21:$Q$613)),1)),""))</f>
        <v/>
      </c>
      <c r="H189" s="145" t="str">
        <f ca="1">IF($A189="","",IFERROR(INDEX(Market_Data!$U$21:$U$613,MATCH($A189,Market_Data!$T$21:INDEX(Market_Data!$T$21:$T$613,COUNT(Market_Data!$T$21:$T$613)),1)),""))</f>
        <v/>
      </c>
      <c r="I189" s="146" t="str">
        <f ca="1">IF($A189="","",IFERROR(INDEX(Query1[Close],MATCH($A189,Query1[Date],1)),""))</f>
        <v/>
      </c>
    </row>
    <row r="190" spans="1:9" x14ac:dyDescent="0.3">
      <c r="A190" s="144" t="str">
        <f t="shared" ca="1" si="4"/>
        <v/>
      </c>
      <c r="B190" s="145" t="str">
        <f ca="1">IF($A190="","",IFERROR(INDEX(Market_Data!$C$21:$C$613,MATCH($A190,Market_Data!$B$21:INDEX(Market_Data!$B$21:$B$613,COUNT(Market_Data!$B$21:$B$613)),1)),""))</f>
        <v/>
      </c>
      <c r="C190" s="145" t="str">
        <f ca="1">IF($A190="","",IFERROR(INDEX(Market_Data!$F$21:$F$613,MATCH($A190,Market_Data!$E$21:INDEX(Market_Data!$E$21:$E$613,COUNT(Market_Data!$E$21:$E$613)),1)),""))</f>
        <v/>
      </c>
      <c r="D190" s="145" t="str">
        <f ca="1">IF($A190="","",IFERROR(INDEX(Market_Data!$I$21:$I$613,MATCH($A190,Market_Data!$H$21:INDEX(Market_Data!$H$21:$H$613,COUNT(Market_Data!$H$21:$H$613)),1)),""))</f>
        <v/>
      </c>
      <c r="E190" s="145" t="str">
        <f ca="1">IF($A190="","",IFERROR(INDEX(Market_Data!$L$21:$L$613,MATCH($A190,Market_Data!$K$21:INDEX(Market_Data!$K$21:$K$613,COUNT(Market_Data!$K$21:$K$613)),1)),""))</f>
        <v/>
      </c>
      <c r="F190" s="145" t="str">
        <f ca="1">IF($A190="","",IFERROR(INDEX(Market_Data!$O$21:$O$613,MATCH($A190,Market_Data!$N$21:INDEX(Market_Data!$N$21:$N$613,COUNT(Market_Data!$N$21:$N$613)),1)),""))</f>
        <v/>
      </c>
      <c r="G190" s="145" t="str">
        <f ca="1">IF($A190="","",IFERROR(INDEX(Market_Data!$R$21:$R$613,MATCH($A190,Market_Data!$Q$21:INDEX(Market_Data!$Q$21:$Q$613,COUNT(Market_Data!$Q$21:$Q$613)),1)),""))</f>
        <v/>
      </c>
      <c r="H190" s="145" t="str">
        <f ca="1">IF($A190="","",IFERROR(INDEX(Market_Data!$U$21:$U$613,MATCH($A190,Market_Data!$T$21:INDEX(Market_Data!$T$21:$T$613,COUNT(Market_Data!$T$21:$T$613)),1)),""))</f>
        <v/>
      </c>
      <c r="I190" s="146" t="str">
        <f ca="1">IF($A190="","",IFERROR(INDEX(Query1[Close],MATCH($A190,Query1[Date],1)),""))</f>
        <v/>
      </c>
    </row>
    <row r="191" spans="1:9" x14ac:dyDescent="0.3">
      <c r="A191" s="144" t="str">
        <f t="shared" ca="1" si="4"/>
        <v/>
      </c>
      <c r="B191" s="145" t="str">
        <f ca="1">IF($A191="","",IFERROR(INDEX(Market_Data!$C$21:$C$613,MATCH($A191,Market_Data!$B$21:INDEX(Market_Data!$B$21:$B$613,COUNT(Market_Data!$B$21:$B$613)),1)),""))</f>
        <v/>
      </c>
      <c r="C191" s="145" t="str">
        <f ca="1">IF($A191="","",IFERROR(INDEX(Market_Data!$F$21:$F$613,MATCH($A191,Market_Data!$E$21:INDEX(Market_Data!$E$21:$E$613,COUNT(Market_Data!$E$21:$E$613)),1)),""))</f>
        <v/>
      </c>
      <c r="D191" s="145" t="str">
        <f ca="1">IF($A191="","",IFERROR(INDEX(Market_Data!$I$21:$I$613,MATCH($A191,Market_Data!$H$21:INDEX(Market_Data!$H$21:$H$613,COUNT(Market_Data!$H$21:$H$613)),1)),""))</f>
        <v/>
      </c>
      <c r="E191" s="145" t="str">
        <f ca="1">IF($A191="","",IFERROR(INDEX(Market_Data!$L$21:$L$613,MATCH($A191,Market_Data!$K$21:INDEX(Market_Data!$K$21:$K$613,COUNT(Market_Data!$K$21:$K$613)),1)),""))</f>
        <v/>
      </c>
      <c r="F191" s="145" t="str">
        <f ca="1">IF($A191="","",IFERROR(INDEX(Market_Data!$O$21:$O$613,MATCH($A191,Market_Data!$N$21:INDEX(Market_Data!$N$21:$N$613,COUNT(Market_Data!$N$21:$N$613)),1)),""))</f>
        <v/>
      </c>
      <c r="G191" s="145" t="str">
        <f ca="1">IF($A191="","",IFERROR(INDEX(Market_Data!$R$21:$R$613,MATCH($A191,Market_Data!$Q$21:INDEX(Market_Data!$Q$21:$Q$613,COUNT(Market_Data!$Q$21:$Q$613)),1)),""))</f>
        <v/>
      </c>
      <c r="H191" s="145" t="str">
        <f ca="1">IF($A191="","",IFERROR(INDEX(Market_Data!$U$21:$U$613,MATCH($A191,Market_Data!$T$21:INDEX(Market_Data!$T$21:$T$613,COUNT(Market_Data!$T$21:$T$613)),1)),""))</f>
        <v/>
      </c>
      <c r="I191" s="146" t="str">
        <f ca="1">IF($A191="","",IFERROR(INDEX(Query1[Close],MATCH($A191,Query1[Date],1)),""))</f>
        <v/>
      </c>
    </row>
    <row r="192" spans="1:9" x14ac:dyDescent="0.3">
      <c r="A192" s="144" t="str">
        <f t="shared" ca="1" si="4"/>
        <v/>
      </c>
      <c r="B192" s="145" t="str">
        <f ca="1">IF($A192="","",IFERROR(INDEX(Market_Data!$C$21:$C$613,MATCH($A192,Market_Data!$B$21:INDEX(Market_Data!$B$21:$B$613,COUNT(Market_Data!$B$21:$B$613)),1)),""))</f>
        <v/>
      </c>
      <c r="C192" s="145" t="str">
        <f ca="1">IF($A192="","",IFERROR(INDEX(Market_Data!$F$21:$F$613,MATCH($A192,Market_Data!$E$21:INDEX(Market_Data!$E$21:$E$613,COUNT(Market_Data!$E$21:$E$613)),1)),""))</f>
        <v/>
      </c>
      <c r="D192" s="145" t="str">
        <f ca="1">IF($A192="","",IFERROR(INDEX(Market_Data!$I$21:$I$613,MATCH($A192,Market_Data!$H$21:INDEX(Market_Data!$H$21:$H$613,COUNT(Market_Data!$H$21:$H$613)),1)),""))</f>
        <v/>
      </c>
      <c r="E192" s="145" t="str">
        <f ca="1">IF($A192="","",IFERROR(INDEX(Market_Data!$L$21:$L$613,MATCH($A192,Market_Data!$K$21:INDEX(Market_Data!$K$21:$K$613,COUNT(Market_Data!$K$21:$K$613)),1)),""))</f>
        <v/>
      </c>
      <c r="F192" s="145" t="str">
        <f ca="1">IF($A192="","",IFERROR(INDEX(Market_Data!$O$21:$O$613,MATCH($A192,Market_Data!$N$21:INDEX(Market_Data!$N$21:$N$613,COUNT(Market_Data!$N$21:$N$613)),1)),""))</f>
        <v/>
      </c>
      <c r="G192" s="145" t="str">
        <f ca="1">IF($A192="","",IFERROR(INDEX(Market_Data!$R$21:$R$613,MATCH($A192,Market_Data!$Q$21:INDEX(Market_Data!$Q$21:$Q$613,COUNT(Market_Data!$Q$21:$Q$613)),1)),""))</f>
        <v/>
      </c>
      <c r="H192" s="145" t="str">
        <f ca="1">IF($A192="","",IFERROR(INDEX(Market_Data!$U$21:$U$613,MATCH($A192,Market_Data!$T$21:INDEX(Market_Data!$T$21:$T$613,COUNT(Market_Data!$T$21:$T$613)),1)),""))</f>
        <v/>
      </c>
      <c r="I192" s="146" t="str">
        <f ca="1">IF($A192="","",IFERROR(INDEX(Query1[Close],MATCH($A192,Query1[Date],1)),""))</f>
        <v/>
      </c>
    </row>
    <row r="193" spans="1:9" x14ac:dyDescent="0.3">
      <c r="A193" s="144" t="str">
        <f t="shared" ca="1" si="4"/>
        <v/>
      </c>
      <c r="B193" s="145" t="str">
        <f ca="1">IF($A193="","",IFERROR(INDEX(Market_Data!$C$21:$C$613,MATCH($A193,Market_Data!$B$21:INDEX(Market_Data!$B$21:$B$613,COUNT(Market_Data!$B$21:$B$613)),1)),""))</f>
        <v/>
      </c>
      <c r="C193" s="145" t="str">
        <f ca="1">IF($A193="","",IFERROR(INDEX(Market_Data!$F$21:$F$613,MATCH($A193,Market_Data!$E$21:INDEX(Market_Data!$E$21:$E$613,COUNT(Market_Data!$E$21:$E$613)),1)),""))</f>
        <v/>
      </c>
      <c r="D193" s="145" t="str">
        <f ca="1">IF($A193="","",IFERROR(INDEX(Market_Data!$I$21:$I$613,MATCH($A193,Market_Data!$H$21:INDEX(Market_Data!$H$21:$H$613,COUNT(Market_Data!$H$21:$H$613)),1)),""))</f>
        <v/>
      </c>
      <c r="E193" s="145" t="str">
        <f ca="1">IF($A193="","",IFERROR(INDEX(Market_Data!$L$21:$L$613,MATCH($A193,Market_Data!$K$21:INDEX(Market_Data!$K$21:$K$613,COUNT(Market_Data!$K$21:$K$613)),1)),""))</f>
        <v/>
      </c>
      <c r="F193" s="145" t="str">
        <f ca="1">IF($A193="","",IFERROR(INDEX(Market_Data!$O$21:$O$613,MATCH($A193,Market_Data!$N$21:INDEX(Market_Data!$N$21:$N$613,COUNT(Market_Data!$N$21:$N$613)),1)),""))</f>
        <v/>
      </c>
      <c r="G193" s="145" t="str">
        <f ca="1">IF($A193="","",IFERROR(INDEX(Market_Data!$R$21:$R$613,MATCH($A193,Market_Data!$Q$21:INDEX(Market_Data!$Q$21:$Q$613,COUNT(Market_Data!$Q$21:$Q$613)),1)),""))</f>
        <v/>
      </c>
      <c r="H193" s="145" t="str">
        <f ca="1">IF($A193="","",IFERROR(INDEX(Market_Data!$U$21:$U$613,MATCH($A193,Market_Data!$T$21:INDEX(Market_Data!$T$21:$T$613,COUNT(Market_Data!$T$21:$T$613)),1)),""))</f>
        <v/>
      </c>
      <c r="I193" s="146" t="str">
        <f ca="1">IF($A193="","",IFERROR(INDEX(Query1[Close],MATCH($A193,Query1[Date],1)),""))</f>
        <v/>
      </c>
    </row>
    <row r="194" spans="1:9" x14ac:dyDescent="0.3">
      <c r="A194" s="144" t="str">
        <f t="shared" ca="1" si="4"/>
        <v/>
      </c>
      <c r="B194" s="145" t="str">
        <f ca="1">IF($A194="","",IFERROR(INDEX(Market_Data!$C$21:$C$613,MATCH($A194,Market_Data!$B$21:INDEX(Market_Data!$B$21:$B$613,COUNT(Market_Data!$B$21:$B$613)),1)),""))</f>
        <v/>
      </c>
      <c r="C194" s="145" t="str">
        <f ca="1">IF($A194="","",IFERROR(INDEX(Market_Data!$F$21:$F$613,MATCH($A194,Market_Data!$E$21:INDEX(Market_Data!$E$21:$E$613,COUNT(Market_Data!$E$21:$E$613)),1)),""))</f>
        <v/>
      </c>
      <c r="D194" s="145" t="str">
        <f ca="1">IF($A194="","",IFERROR(INDEX(Market_Data!$I$21:$I$613,MATCH($A194,Market_Data!$H$21:INDEX(Market_Data!$H$21:$H$613,COUNT(Market_Data!$H$21:$H$613)),1)),""))</f>
        <v/>
      </c>
      <c r="E194" s="145" t="str">
        <f ca="1">IF($A194="","",IFERROR(INDEX(Market_Data!$L$21:$L$613,MATCH($A194,Market_Data!$K$21:INDEX(Market_Data!$K$21:$K$613,COUNT(Market_Data!$K$21:$K$613)),1)),""))</f>
        <v/>
      </c>
      <c r="F194" s="145" t="str">
        <f ca="1">IF($A194="","",IFERROR(INDEX(Market_Data!$O$21:$O$613,MATCH($A194,Market_Data!$N$21:INDEX(Market_Data!$N$21:$N$613,COUNT(Market_Data!$N$21:$N$613)),1)),""))</f>
        <v/>
      </c>
      <c r="G194" s="145" t="str">
        <f ca="1">IF($A194="","",IFERROR(INDEX(Market_Data!$R$21:$R$613,MATCH($A194,Market_Data!$Q$21:INDEX(Market_Data!$Q$21:$Q$613,COUNT(Market_Data!$Q$21:$Q$613)),1)),""))</f>
        <v/>
      </c>
      <c r="H194" s="145" t="str">
        <f ca="1">IF($A194="","",IFERROR(INDEX(Market_Data!$U$21:$U$613,MATCH($A194,Market_Data!$T$21:INDEX(Market_Data!$T$21:$T$613,COUNT(Market_Data!$T$21:$T$613)),1)),""))</f>
        <v/>
      </c>
      <c r="I194" s="146" t="str">
        <f ca="1">IF($A194="","",IFERROR(INDEX(Query1[Close],MATCH($A194,Query1[Date],1)),""))</f>
        <v/>
      </c>
    </row>
    <row r="195" spans="1:9" x14ac:dyDescent="0.3">
      <c r="A195" s="144" t="str">
        <f t="shared" ca="1" si="4"/>
        <v/>
      </c>
      <c r="B195" s="145" t="str">
        <f ca="1">IF($A195="","",IFERROR(INDEX(Market_Data!$C$21:$C$613,MATCH($A195,Market_Data!$B$21:INDEX(Market_Data!$B$21:$B$613,COUNT(Market_Data!$B$21:$B$613)),1)),""))</f>
        <v/>
      </c>
      <c r="C195" s="145" t="str">
        <f ca="1">IF($A195="","",IFERROR(INDEX(Market_Data!$F$21:$F$613,MATCH($A195,Market_Data!$E$21:INDEX(Market_Data!$E$21:$E$613,COUNT(Market_Data!$E$21:$E$613)),1)),""))</f>
        <v/>
      </c>
      <c r="D195" s="145" t="str">
        <f ca="1">IF($A195="","",IFERROR(INDEX(Market_Data!$I$21:$I$613,MATCH($A195,Market_Data!$H$21:INDEX(Market_Data!$H$21:$H$613,COUNT(Market_Data!$H$21:$H$613)),1)),""))</f>
        <v/>
      </c>
      <c r="E195" s="145" t="str">
        <f ca="1">IF($A195="","",IFERROR(INDEX(Market_Data!$L$21:$L$613,MATCH($A195,Market_Data!$K$21:INDEX(Market_Data!$K$21:$K$613,COUNT(Market_Data!$K$21:$K$613)),1)),""))</f>
        <v/>
      </c>
      <c r="F195" s="145" t="str">
        <f ca="1">IF($A195="","",IFERROR(INDEX(Market_Data!$O$21:$O$613,MATCH($A195,Market_Data!$N$21:INDEX(Market_Data!$N$21:$N$613,COUNT(Market_Data!$N$21:$N$613)),1)),""))</f>
        <v/>
      </c>
      <c r="G195" s="145" t="str">
        <f ca="1">IF($A195="","",IFERROR(INDEX(Market_Data!$R$21:$R$613,MATCH($A195,Market_Data!$Q$21:INDEX(Market_Data!$Q$21:$Q$613,COUNT(Market_Data!$Q$21:$Q$613)),1)),""))</f>
        <v/>
      </c>
      <c r="H195" s="145" t="str">
        <f ca="1">IF($A195="","",IFERROR(INDEX(Market_Data!$U$21:$U$613,MATCH($A195,Market_Data!$T$21:INDEX(Market_Data!$T$21:$T$613,COUNT(Market_Data!$T$21:$T$613)),1)),""))</f>
        <v/>
      </c>
      <c r="I195" s="146" t="str">
        <f ca="1">IF($A195="","",IFERROR(INDEX(Query1[Close],MATCH($A195,Query1[Date],1)),""))</f>
        <v/>
      </c>
    </row>
    <row r="196" spans="1:9" x14ac:dyDescent="0.3">
      <c r="A196" s="144" t="str">
        <f t="shared" ca="1" si="4"/>
        <v/>
      </c>
      <c r="B196" s="145" t="str">
        <f ca="1">IF($A196="","",IFERROR(INDEX(Market_Data!$C$21:$C$613,MATCH($A196,Market_Data!$B$21:INDEX(Market_Data!$B$21:$B$613,COUNT(Market_Data!$B$21:$B$613)),1)),""))</f>
        <v/>
      </c>
      <c r="C196" s="145" t="str">
        <f ca="1">IF($A196="","",IFERROR(INDEX(Market_Data!$F$21:$F$613,MATCH($A196,Market_Data!$E$21:INDEX(Market_Data!$E$21:$E$613,COUNT(Market_Data!$E$21:$E$613)),1)),""))</f>
        <v/>
      </c>
      <c r="D196" s="145" t="str">
        <f ca="1">IF($A196="","",IFERROR(INDEX(Market_Data!$I$21:$I$613,MATCH($A196,Market_Data!$H$21:INDEX(Market_Data!$H$21:$H$613,COUNT(Market_Data!$H$21:$H$613)),1)),""))</f>
        <v/>
      </c>
      <c r="E196" s="145" t="str">
        <f ca="1">IF($A196="","",IFERROR(INDEX(Market_Data!$L$21:$L$613,MATCH($A196,Market_Data!$K$21:INDEX(Market_Data!$K$21:$K$613,COUNT(Market_Data!$K$21:$K$613)),1)),""))</f>
        <v/>
      </c>
      <c r="F196" s="145" t="str">
        <f ca="1">IF($A196="","",IFERROR(INDEX(Market_Data!$O$21:$O$613,MATCH($A196,Market_Data!$N$21:INDEX(Market_Data!$N$21:$N$613,COUNT(Market_Data!$N$21:$N$613)),1)),""))</f>
        <v/>
      </c>
      <c r="G196" s="145" t="str">
        <f ca="1">IF($A196="","",IFERROR(INDEX(Market_Data!$R$21:$R$613,MATCH($A196,Market_Data!$Q$21:INDEX(Market_Data!$Q$21:$Q$613,COUNT(Market_Data!$Q$21:$Q$613)),1)),""))</f>
        <v/>
      </c>
      <c r="H196" s="145" t="str">
        <f ca="1">IF($A196="","",IFERROR(INDEX(Market_Data!$U$21:$U$613,MATCH($A196,Market_Data!$T$21:INDEX(Market_Data!$T$21:$T$613,COUNT(Market_Data!$T$21:$T$613)),1)),""))</f>
        <v/>
      </c>
      <c r="I196" s="146" t="str">
        <f ca="1">IF($A196="","",IFERROR(INDEX(Query1[Close],MATCH($A196,Query1[Date],1)),""))</f>
        <v/>
      </c>
    </row>
    <row r="197" spans="1:9" x14ac:dyDescent="0.3">
      <c r="A197" s="144" t="str">
        <f t="shared" ca="1" si="4"/>
        <v/>
      </c>
      <c r="B197" s="145" t="str">
        <f ca="1">IF($A197="","",IFERROR(INDEX(Market_Data!$C$21:$C$613,MATCH($A197,Market_Data!$B$21:INDEX(Market_Data!$B$21:$B$613,COUNT(Market_Data!$B$21:$B$613)),1)),""))</f>
        <v/>
      </c>
      <c r="C197" s="145" t="str">
        <f ca="1">IF($A197="","",IFERROR(INDEX(Market_Data!$F$21:$F$613,MATCH($A197,Market_Data!$E$21:INDEX(Market_Data!$E$21:$E$613,COUNT(Market_Data!$E$21:$E$613)),1)),""))</f>
        <v/>
      </c>
      <c r="D197" s="145" t="str">
        <f ca="1">IF($A197="","",IFERROR(INDEX(Market_Data!$I$21:$I$613,MATCH($A197,Market_Data!$H$21:INDEX(Market_Data!$H$21:$H$613,COUNT(Market_Data!$H$21:$H$613)),1)),""))</f>
        <v/>
      </c>
      <c r="E197" s="145" t="str">
        <f ca="1">IF($A197="","",IFERROR(INDEX(Market_Data!$L$21:$L$613,MATCH($A197,Market_Data!$K$21:INDEX(Market_Data!$K$21:$K$613,COUNT(Market_Data!$K$21:$K$613)),1)),""))</f>
        <v/>
      </c>
      <c r="F197" s="145" t="str">
        <f ca="1">IF($A197="","",IFERROR(INDEX(Market_Data!$O$21:$O$613,MATCH($A197,Market_Data!$N$21:INDEX(Market_Data!$N$21:$N$613,COUNT(Market_Data!$N$21:$N$613)),1)),""))</f>
        <v/>
      </c>
      <c r="G197" s="145" t="str">
        <f ca="1">IF($A197="","",IFERROR(INDEX(Market_Data!$R$21:$R$613,MATCH($A197,Market_Data!$Q$21:INDEX(Market_Data!$Q$21:$Q$613,COUNT(Market_Data!$Q$21:$Q$613)),1)),""))</f>
        <v/>
      </c>
      <c r="H197" s="145" t="str">
        <f ca="1">IF($A197="","",IFERROR(INDEX(Market_Data!$U$21:$U$613,MATCH($A197,Market_Data!$T$21:INDEX(Market_Data!$T$21:$T$613,COUNT(Market_Data!$T$21:$T$613)),1)),""))</f>
        <v/>
      </c>
      <c r="I197" s="146" t="str">
        <f ca="1">IF($A197="","",IFERROR(INDEX(Query1[Close],MATCH($A197,Query1[Date],1)),""))</f>
        <v/>
      </c>
    </row>
    <row r="198" spans="1:9" x14ac:dyDescent="0.3">
      <c r="A198" s="144" t="str">
        <f t="shared" ref="A198:A261" ca="1" si="5">IF($A197="","",IF($A197+7&lt;=TODAY(),$A197+7,""))</f>
        <v/>
      </c>
      <c r="B198" s="145" t="str">
        <f ca="1">IF($A198="","",IFERROR(INDEX(Market_Data!$C$21:$C$613,MATCH($A198,Market_Data!$B$21:INDEX(Market_Data!$B$21:$B$613,COUNT(Market_Data!$B$21:$B$613)),1)),""))</f>
        <v/>
      </c>
      <c r="C198" s="145" t="str">
        <f ca="1">IF($A198="","",IFERROR(INDEX(Market_Data!$F$21:$F$613,MATCH($A198,Market_Data!$E$21:INDEX(Market_Data!$E$21:$E$613,COUNT(Market_Data!$E$21:$E$613)),1)),""))</f>
        <v/>
      </c>
      <c r="D198" s="145" t="str">
        <f ca="1">IF($A198="","",IFERROR(INDEX(Market_Data!$I$21:$I$613,MATCH($A198,Market_Data!$H$21:INDEX(Market_Data!$H$21:$H$613,COUNT(Market_Data!$H$21:$H$613)),1)),""))</f>
        <v/>
      </c>
      <c r="E198" s="145" t="str">
        <f ca="1">IF($A198="","",IFERROR(INDEX(Market_Data!$L$21:$L$613,MATCH($A198,Market_Data!$K$21:INDEX(Market_Data!$K$21:$K$613,COUNT(Market_Data!$K$21:$K$613)),1)),""))</f>
        <v/>
      </c>
      <c r="F198" s="145" t="str">
        <f ca="1">IF($A198="","",IFERROR(INDEX(Market_Data!$O$21:$O$613,MATCH($A198,Market_Data!$N$21:INDEX(Market_Data!$N$21:$N$613,COUNT(Market_Data!$N$21:$N$613)),1)),""))</f>
        <v/>
      </c>
      <c r="G198" s="145" t="str">
        <f ca="1">IF($A198="","",IFERROR(INDEX(Market_Data!$R$21:$R$613,MATCH($A198,Market_Data!$Q$21:INDEX(Market_Data!$Q$21:$Q$613,COUNT(Market_Data!$Q$21:$Q$613)),1)),""))</f>
        <v/>
      </c>
      <c r="H198" s="145" t="str">
        <f ca="1">IF($A198="","",IFERROR(INDEX(Market_Data!$U$21:$U$613,MATCH($A198,Market_Data!$T$21:INDEX(Market_Data!$T$21:$T$613,COUNT(Market_Data!$T$21:$T$613)),1)),""))</f>
        <v/>
      </c>
      <c r="I198" s="146" t="str">
        <f ca="1">IF($A198="","",IFERROR(INDEX(Query1[Close],MATCH($A198,Query1[Date],1)),""))</f>
        <v/>
      </c>
    </row>
    <row r="199" spans="1:9" x14ac:dyDescent="0.3">
      <c r="A199" s="144" t="str">
        <f t="shared" ca="1" si="5"/>
        <v/>
      </c>
      <c r="B199" s="145" t="str">
        <f ca="1">IF($A199="","",IFERROR(INDEX(Market_Data!$C$21:$C$613,MATCH($A199,Market_Data!$B$21:INDEX(Market_Data!$B$21:$B$613,COUNT(Market_Data!$B$21:$B$613)),1)),""))</f>
        <v/>
      </c>
      <c r="C199" s="145" t="str">
        <f ca="1">IF($A199="","",IFERROR(INDEX(Market_Data!$F$21:$F$613,MATCH($A199,Market_Data!$E$21:INDEX(Market_Data!$E$21:$E$613,COUNT(Market_Data!$E$21:$E$613)),1)),""))</f>
        <v/>
      </c>
      <c r="D199" s="145" t="str">
        <f ca="1">IF($A199="","",IFERROR(INDEX(Market_Data!$I$21:$I$613,MATCH($A199,Market_Data!$H$21:INDEX(Market_Data!$H$21:$H$613,COUNT(Market_Data!$H$21:$H$613)),1)),""))</f>
        <v/>
      </c>
      <c r="E199" s="145" t="str">
        <f ca="1">IF($A199="","",IFERROR(INDEX(Market_Data!$L$21:$L$613,MATCH($A199,Market_Data!$K$21:INDEX(Market_Data!$K$21:$K$613,COUNT(Market_Data!$K$21:$K$613)),1)),""))</f>
        <v/>
      </c>
      <c r="F199" s="145" t="str">
        <f ca="1">IF($A199="","",IFERROR(INDEX(Market_Data!$O$21:$O$613,MATCH($A199,Market_Data!$N$21:INDEX(Market_Data!$N$21:$N$613,COUNT(Market_Data!$N$21:$N$613)),1)),""))</f>
        <v/>
      </c>
      <c r="G199" s="145" t="str">
        <f ca="1">IF($A199="","",IFERROR(INDEX(Market_Data!$R$21:$R$613,MATCH($A199,Market_Data!$Q$21:INDEX(Market_Data!$Q$21:$Q$613,COUNT(Market_Data!$Q$21:$Q$613)),1)),""))</f>
        <v/>
      </c>
      <c r="H199" s="145" t="str">
        <f ca="1">IF($A199="","",IFERROR(INDEX(Market_Data!$U$21:$U$613,MATCH($A199,Market_Data!$T$21:INDEX(Market_Data!$T$21:$T$613,COUNT(Market_Data!$T$21:$T$613)),1)),""))</f>
        <v/>
      </c>
      <c r="I199" s="146" t="str">
        <f ca="1">IF($A199="","",IFERROR(INDEX(Query1[Close],MATCH($A199,Query1[Date],1)),""))</f>
        <v/>
      </c>
    </row>
    <row r="200" spans="1:9" x14ac:dyDescent="0.3">
      <c r="A200" s="144" t="str">
        <f t="shared" ca="1" si="5"/>
        <v/>
      </c>
      <c r="B200" s="145" t="str">
        <f ca="1">IF($A200="","",IFERROR(INDEX(Market_Data!$C$21:$C$613,MATCH($A200,Market_Data!$B$21:INDEX(Market_Data!$B$21:$B$613,COUNT(Market_Data!$B$21:$B$613)),1)),""))</f>
        <v/>
      </c>
      <c r="C200" s="145" t="str">
        <f ca="1">IF($A200="","",IFERROR(INDEX(Market_Data!$F$21:$F$613,MATCH($A200,Market_Data!$E$21:INDEX(Market_Data!$E$21:$E$613,COUNT(Market_Data!$E$21:$E$613)),1)),""))</f>
        <v/>
      </c>
      <c r="D200" s="145" t="str">
        <f ca="1">IF($A200="","",IFERROR(INDEX(Market_Data!$I$21:$I$613,MATCH($A200,Market_Data!$H$21:INDEX(Market_Data!$H$21:$H$613,COUNT(Market_Data!$H$21:$H$613)),1)),""))</f>
        <v/>
      </c>
      <c r="E200" s="145" t="str">
        <f ca="1">IF($A200="","",IFERROR(INDEX(Market_Data!$L$21:$L$613,MATCH($A200,Market_Data!$K$21:INDEX(Market_Data!$K$21:$K$613,COUNT(Market_Data!$K$21:$K$613)),1)),""))</f>
        <v/>
      </c>
      <c r="F200" s="145" t="str">
        <f ca="1">IF($A200="","",IFERROR(INDEX(Market_Data!$O$21:$O$613,MATCH($A200,Market_Data!$N$21:INDEX(Market_Data!$N$21:$N$613,COUNT(Market_Data!$N$21:$N$613)),1)),""))</f>
        <v/>
      </c>
      <c r="G200" s="145" t="str">
        <f ca="1">IF($A200="","",IFERROR(INDEX(Market_Data!$R$21:$R$613,MATCH($A200,Market_Data!$Q$21:INDEX(Market_Data!$Q$21:$Q$613,COUNT(Market_Data!$Q$21:$Q$613)),1)),""))</f>
        <v/>
      </c>
      <c r="H200" s="145" t="str">
        <f ca="1">IF($A200="","",IFERROR(INDEX(Market_Data!$U$21:$U$613,MATCH($A200,Market_Data!$T$21:INDEX(Market_Data!$T$21:$T$613,COUNT(Market_Data!$T$21:$T$613)),1)),""))</f>
        <v/>
      </c>
      <c r="I200" s="146" t="str">
        <f ca="1">IF($A200="","",IFERROR(INDEX(Query1[Close],MATCH($A200,Query1[Date],1)),""))</f>
        <v/>
      </c>
    </row>
    <row r="201" spans="1:9" x14ac:dyDescent="0.3">
      <c r="A201" s="144" t="str">
        <f t="shared" ca="1" si="5"/>
        <v/>
      </c>
      <c r="B201" s="145" t="str">
        <f ca="1">IF($A201="","",IFERROR(INDEX(Market_Data!$C$21:$C$613,MATCH($A201,Market_Data!$B$21:INDEX(Market_Data!$B$21:$B$613,COUNT(Market_Data!$B$21:$B$613)),1)),""))</f>
        <v/>
      </c>
      <c r="C201" s="145" t="str">
        <f ca="1">IF($A201="","",IFERROR(INDEX(Market_Data!$F$21:$F$613,MATCH($A201,Market_Data!$E$21:INDEX(Market_Data!$E$21:$E$613,COUNT(Market_Data!$E$21:$E$613)),1)),""))</f>
        <v/>
      </c>
      <c r="D201" s="145" t="str">
        <f ca="1">IF($A201="","",IFERROR(INDEX(Market_Data!$I$21:$I$613,MATCH($A201,Market_Data!$H$21:INDEX(Market_Data!$H$21:$H$613,COUNT(Market_Data!$H$21:$H$613)),1)),""))</f>
        <v/>
      </c>
      <c r="E201" s="145" t="str">
        <f ca="1">IF($A201="","",IFERROR(INDEX(Market_Data!$L$21:$L$613,MATCH($A201,Market_Data!$K$21:INDEX(Market_Data!$K$21:$K$613,COUNT(Market_Data!$K$21:$K$613)),1)),""))</f>
        <v/>
      </c>
      <c r="F201" s="145" t="str">
        <f ca="1">IF($A201="","",IFERROR(INDEX(Market_Data!$O$21:$O$613,MATCH($A201,Market_Data!$N$21:INDEX(Market_Data!$N$21:$N$613,COUNT(Market_Data!$N$21:$N$613)),1)),""))</f>
        <v/>
      </c>
      <c r="G201" s="145" t="str">
        <f ca="1">IF($A201="","",IFERROR(INDEX(Market_Data!$R$21:$R$613,MATCH($A201,Market_Data!$Q$21:INDEX(Market_Data!$Q$21:$Q$613,COUNT(Market_Data!$Q$21:$Q$613)),1)),""))</f>
        <v/>
      </c>
      <c r="H201" s="145" t="str">
        <f ca="1">IF($A201="","",IFERROR(INDEX(Market_Data!$U$21:$U$613,MATCH($A201,Market_Data!$T$21:INDEX(Market_Data!$T$21:$T$613,COUNT(Market_Data!$T$21:$T$613)),1)),""))</f>
        <v/>
      </c>
      <c r="I201" s="146" t="str">
        <f ca="1">IF($A201="","",IFERROR(INDEX(Query1[Close],MATCH($A201,Query1[Date],1)),""))</f>
        <v/>
      </c>
    </row>
    <row r="202" spans="1:9" x14ac:dyDescent="0.3">
      <c r="A202" s="144" t="str">
        <f t="shared" ca="1" si="5"/>
        <v/>
      </c>
      <c r="B202" s="145" t="str">
        <f ca="1">IF($A202="","",IFERROR(INDEX(Market_Data!$C$21:$C$613,MATCH($A202,Market_Data!$B$21:INDEX(Market_Data!$B$21:$B$613,COUNT(Market_Data!$B$21:$B$613)),1)),""))</f>
        <v/>
      </c>
      <c r="C202" s="145" t="str">
        <f ca="1">IF($A202="","",IFERROR(INDEX(Market_Data!$F$21:$F$613,MATCH($A202,Market_Data!$E$21:INDEX(Market_Data!$E$21:$E$613,COUNT(Market_Data!$E$21:$E$613)),1)),""))</f>
        <v/>
      </c>
      <c r="D202" s="145" t="str">
        <f ca="1">IF($A202="","",IFERROR(INDEX(Market_Data!$I$21:$I$613,MATCH($A202,Market_Data!$H$21:INDEX(Market_Data!$H$21:$H$613,COUNT(Market_Data!$H$21:$H$613)),1)),""))</f>
        <v/>
      </c>
      <c r="E202" s="145" t="str">
        <f ca="1">IF($A202="","",IFERROR(INDEX(Market_Data!$L$21:$L$613,MATCH($A202,Market_Data!$K$21:INDEX(Market_Data!$K$21:$K$613,COUNT(Market_Data!$K$21:$K$613)),1)),""))</f>
        <v/>
      </c>
      <c r="F202" s="145" t="str">
        <f ca="1">IF($A202="","",IFERROR(INDEX(Market_Data!$O$21:$O$613,MATCH($A202,Market_Data!$N$21:INDEX(Market_Data!$N$21:$N$613,COUNT(Market_Data!$N$21:$N$613)),1)),""))</f>
        <v/>
      </c>
      <c r="G202" s="145" t="str">
        <f ca="1">IF($A202="","",IFERROR(INDEX(Market_Data!$R$21:$R$613,MATCH($A202,Market_Data!$Q$21:INDEX(Market_Data!$Q$21:$Q$613,COUNT(Market_Data!$Q$21:$Q$613)),1)),""))</f>
        <v/>
      </c>
      <c r="H202" s="145" t="str">
        <f ca="1">IF($A202="","",IFERROR(INDEX(Market_Data!$U$21:$U$613,MATCH($A202,Market_Data!$T$21:INDEX(Market_Data!$T$21:$T$613,COUNT(Market_Data!$T$21:$T$613)),1)),""))</f>
        <v/>
      </c>
      <c r="I202" s="146" t="str">
        <f ca="1">IF($A202="","",IFERROR(INDEX(Query1[Close],MATCH($A202,Query1[Date],1)),""))</f>
        <v/>
      </c>
    </row>
    <row r="203" spans="1:9" x14ac:dyDescent="0.3">
      <c r="A203" s="144" t="str">
        <f t="shared" ca="1" si="5"/>
        <v/>
      </c>
      <c r="B203" s="145" t="str">
        <f ca="1">IF($A203="","",IFERROR(INDEX(Market_Data!$C$21:$C$613,MATCH($A203,Market_Data!$B$21:INDEX(Market_Data!$B$21:$B$613,COUNT(Market_Data!$B$21:$B$613)),1)),""))</f>
        <v/>
      </c>
      <c r="C203" s="145" t="str">
        <f ca="1">IF($A203="","",IFERROR(INDEX(Market_Data!$F$21:$F$613,MATCH($A203,Market_Data!$E$21:INDEX(Market_Data!$E$21:$E$613,COUNT(Market_Data!$E$21:$E$613)),1)),""))</f>
        <v/>
      </c>
      <c r="D203" s="145" t="str">
        <f ca="1">IF($A203="","",IFERROR(INDEX(Market_Data!$I$21:$I$613,MATCH($A203,Market_Data!$H$21:INDEX(Market_Data!$H$21:$H$613,COUNT(Market_Data!$H$21:$H$613)),1)),""))</f>
        <v/>
      </c>
      <c r="E203" s="145" t="str">
        <f ca="1">IF($A203="","",IFERROR(INDEX(Market_Data!$L$21:$L$613,MATCH($A203,Market_Data!$K$21:INDEX(Market_Data!$K$21:$K$613,COUNT(Market_Data!$K$21:$K$613)),1)),""))</f>
        <v/>
      </c>
      <c r="F203" s="145" t="str">
        <f ca="1">IF($A203="","",IFERROR(INDEX(Market_Data!$O$21:$O$613,MATCH($A203,Market_Data!$N$21:INDEX(Market_Data!$N$21:$N$613,COUNT(Market_Data!$N$21:$N$613)),1)),""))</f>
        <v/>
      </c>
      <c r="G203" s="145" t="str">
        <f ca="1">IF($A203="","",IFERROR(INDEX(Market_Data!$R$21:$R$613,MATCH($A203,Market_Data!$Q$21:INDEX(Market_Data!$Q$21:$Q$613,COUNT(Market_Data!$Q$21:$Q$613)),1)),""))</f>
        <v/>
      </c>
      <c r="H203" s="145" t="str">
        <f ca="1">IF($A203="","",IFERROR(INDEX(Market_Data!$U$21:$U$613,MATCH($A203,Market_Data!$T$21:INDEX(Market_Data!$T$21:$T$613,COUNT(Market_Data!$T$21:$T$613)),1)),""))</f>
        <v/>
      </c>
      <c r="I203" s="146" t="str">
        <f ca="1">IF($A203="","",IFERROR(INDEX(Query1[Close],MATCH($A203,Query1[Date],1)),""))</f>
        <v/>
      </c>
    </row>
    <row r="204" spans="1:9" x14ac:dyDescent="0.3">
      <c r="A204" s="144" t="str">
        <f t="shared" ca="1" si="5"/>
        <v/>
      </c>
      <c r="B204" s="145" t="str">
        <f ca="1">IF($A204="","",IFERROR(INDEX(Market_Data!$C$21:$C$613,MATCH($A204,Market_Data!$B$21:INDEX(Market_Data!$B$21:$B$613,COUNT(Market_Data!$B$21:$B$613)),1)),""))</f>
        <v/>
      </c>
      <c r="C204" s="145" t="str">
        <f ca="1">IF($A204="","",IFERROR(INDEX(Market_Data!$F$21:$F$613,MATCH($A204,Market_Data!$E$21:INDEX(Market_Data!$E$21:$E$613,COUNT(Market_Data!$E$21:$E$613)),1)),""))</f>
        <v/>
      </c>
      <c r="D204" s="145" t="str">
        <f ca="1">IF($A204="","",IFERROR(INDEX(Market_Data!$I$21:$I$613,MATCH($A204,Market_Data!$H$21:INDEX(Market_Data!$H$21:$H$613,COUNT(Market_Data!$H$21:$H$613)),1)),""))</f>
        <v/>
      </c>
      <c r="E204" s="145" t="str">
        <f ca="1">IF($A204="","",IFERROR(INDEX(Market_Data!$L$21:$L$613,MATCH($A204,Market_Data!$K$21:INDEX(Market_Data!$K$21:$K$613,COUNT(Market_Data!$K$21:$K$613)),1)),""))</f>
        <v/>
      </c>
      <c r="F204" s="145" t="str">
        <f ca="1">IF($A204="","",IFERROR(INDEX(Market_Data!$O$21:$O$613,MATCH($A204,Market_Data!$N$21:INDEX(Market_Data!$N$21:$N$613,COUNT(Market_Data!$N$21:$N$613)),1)),""))</f>
        <v/>
      </c>
      <c r="G204" s="145" t="str">
        <f ca="1">IF($A204="","",IFERROR(INDEX(Market_Data!$R$21:$R$613,MATCH($A204,Market_Data!$Q$21:INDEX(Market_Data!$Q$21:$Q$613,COUNT(Market_Data!$Q$21:$Q$613)),1)),""))</f>
        <v/>
      </c>
      <c r="H204" s="145" t="str">
        <f ca="1">IF($A204="","",IFERROR(INDEX(Market_Data!$U$21:$U$613,MATCH($A204,Market_Data!$T$21:INDEX(Market_Data!$T$21:$T$613,COUNT(Market_Data!$T$21:$T$613)),1)),""))</f>
        <v/>
      </c>
      <c r="I204" s="146" t="str">
        <f ca="1">IF($A204="","",IFERROR(INDEX(Query1[Close],MATCH($A204,Query1[Date],1)),""))</f>
        <v/>
      </c>
    </row>
    <row r="205" spans="1:9" x14ac:dyDescent="0.3">
      <c r="A205" s="144" t="str">
        <f t="shared" ca="1" si="5"/>
        <v/>
      </c>
      <c r="B205" s="145" t="str">
        <f ca="1">IF($A205="","",IFERROR(INDEX(Market_Data!$C$21:$C$613,MATCH($A205,Market_Data!$B$21:INDEX(Market_Data!$B$21:$B$613,COUNT(Market_Data!$B$21:$B$613)),1)),""))</f>
        <v/>
      </c>
      <c r="C205" s="145" t="str">
        <f ca="1">IF($A205="","",IFERROR(INDEX(Market_Data!$F$21:$F$613,MATCH($A205,Market_Data!$E$21:INDEX(Market_Data!$E$21:$E$613,COUNT(Market_Data!$E$21:$E$613)),1)),""))</f>
        <v/>
      </c>
      <c r="D205" s="145" t="str">
        <f ca="1">IF($A205="","",IFERROR(INDEX(Market_Data!$I$21:$I$613,MATCH($A205,Market_Data!$H$21:INDEX(Market_Data!$H$21:$H$613,COUNT(Market_Data!$H$21:$H$613)),1)),""))</f>
        <v/>
      </c>
      <c r="E205" s="145" t="str">
        <f ca="1">IF($A205="","",IFERROR(INDEX(Market_Data!$L$21:$L$613,MATCH($A205,Market_Data!$K$21:INDEX(Market_Data!$K$21:$K$613,COUNT(Market_Data!$K$21:$K$613)),1)),""))</f>
        <v/>
      </c>
      <c r="F205" s="145" t="str">
        <f ca="1">IF($A205="","",IFERROR(INDEX(Market_Data!$O$21:$O$613,MATCH($A205,Market_Data!$N$21:INDEX(Market_Data!$N$21:$N$613,COUNT(Market_Data!$N$21:$N$613)),1)),""))</f>
        <v/>
      </c>
      <c r="G205" s="145" t="str">
        <f ca="1">IF($A205="","",IFERROR(INDEX(Market_Data!$R$21:$R$613,MATCH($A205,Market_Data!$Q$21:INDEX(Market_Data!$Q$21:$Q$613,COUNT(Market_Data!$Q$21:$Q$613)),1)),""))</f>
        <v/>
      </c>
      <c r="H205" s="145" t="str">
        <f ca="1">IF($A205="","",IFERROR(INDEX(Market_Data!$U$21:$U$613,MATCH($A205,Market_Data!$T$21:INDEX(Market_Data!$T$21:$T$613,COUNT(Market_Data!$T$21:$T$613)),1)),""))</f>
        <v/>
      </c>
      <c r="I205" s="146" t="str">
        <f ca="1">IF($A205="","",IFERROR(INDEX(Query1[Close],MATCH($A205,Query1[Date],1)),""))</f>
        <v/>
      </c>
    </row>
    <row r="206" spans="1:9" x14ac:dyDescent="0.3">
      <c r="A206" s="144" t="str">
        <f t="shared" ca="1" si="5"/>
        <v/>
      </c>
      <c r="B206" s="145" t="str">
        <f ca="1">IF($A206="","",IFERROR(INDEX(Market_Data!$C$21:$C$613,MATCH($A206,Market_Data!$B$21:INDEX(Market_Data!$B$21:$B$613,COUNT(Market_Data!$B$21:$B$613)),1)),""))</f>
        <v/>
      </c>
      <c r="C206" s="145" t="str">
        <f ca="1">IF($A206="","",IFERROR(INDEX(Market_Data!$F$21:$F$613,MATCH($A206,Market_Data!$E$21:INDEX(Market_Data!$E$21:$E$613,COUNT(Market_Data!$E$21:$E$613)),1)),""))</f>
        <v/>
      </c>
      <c r="D206" s="145" t="str">
        <f ca="1">IF($A206="","",IFERROR(INDEX(Market_Data!$I$21:$I$613,MATCH($A206,Market_Data!$H$21:INDEX(Market_Data!$H$21:$H$613,COUNT(Market_Data!$H$21:$H$613)),1)),""))</f>
        <v/>
      </c>
      <c r="E206" s="145" t="str">
        <f ca="1">IF($A206="","",IFERROR(INDEX(Market_Data!$L$21:$L$613,MATCH($A206,Market_Data!$K$21:INDEX(Market_Data!$K$21:$K$613,COUNT(Market_Data!$K$21:$K$613)),1)),""))</f>
        <v/>
      </c>
      <c r="F206" s="145" t="str">
        <f ca="1">IF($A206="","",IFERROR(INDEX(Market_Data!$O$21:$O$613,MATCH($A206,Market_Data!$N$21:INDEX(Market_Data!$N$21:$N$613,COUNT(Market_Data!$N$21:$N$613)),1)),""))</f>
        <v/>
      </c>
      <c r="G206" s="145" t="str">
        <f ca="1">IF($A206="","",IFERROR(INDEX(Market_Data!$R$21:$R$613,MATCH($A206,Market_Data!$Q$21:INDEX(Market_Data!$Q$21:$Q$613,COUNT(Market_Data!$Q$21:$Q$613)),1)),""))</f>
        <v/>
      </c>
      <c r="H206" s="145" t="str">
        <f ca="1">IF($A206="","",IFERROR(INDEX(Market_Data!$U$21:$U$613,MATCH($A206,Market_Data!$T$21:INDEX(Market_Data!$T$21:$T$613,COUNT(Market_Data!$T$21:$T$613)),1)),""))</f>
        <v/>
      </c>
      <c r="I206" s="146" t="str">
        <f ca="1">IF($A206="","",IFERROR(INDEX(Query1[Close],MATCH($A206,Query1[Date],1)),""))</f>
        <v/>
      </c>
    </row>
    <row r="207" spans="1:9" x14ac:dyDescent="0.3">
      <c r="A207" s="144" t="str">
        <f t="shared" ca="1" si="5"/>
        <v/>
      </c>
      <c r="B207" s="145" t="str">
        <f ca="1">IF($A207="","",IFERROR(INDEX(Market_Data!$C$21:$C$613,MATCH($A207,Market_Data!$B$21:INDEX(Market_Data!$B$21:$B$613,COUNT(Market_Data!$B$21:$B$613)),1)),""))</f>
        <v/>
      </c>
      <c r="C207" s="145" t="str">
        <f ca="1">IF($A207="","",IFERROR(INDEX(Market_Data!$F$21:$F$613,MATCH($A207,Market_Data!$E$21:INDEX(Market_Data!$E$21:$E$613,COUNT(Market_Data!$E$21:$E$613)),1)),""))</f>
        <v/>
      </c>
      <c r="D207" s="145" t="str">
        <f ca="1">IF($A207="","",IFERROR(INDEX(Market_Data!$I$21:$I$613,MATCH($A207,Market_Data!$H$21:INDEX(Market_Data!$H$21:$H$613,COUNT(Market_Data!$H$21:$H$613)),1)),""))</f>
        <v/>
      </c>
      <c r="E207" s="145" t="str">
        <f ca="1">IF($A207="","",IFERROR(INDEX(Market_Data!$L$21:$L$613,MATCH($A207,Market_Data!$K$21:INDEX(Market_Data!$K$21:$K$613,COUNT(Market_Data!$K$21:$K$613)),1)),""))</f>
        <v/>
      </c>
      <c r="F207" s="145" t="str">
        <f ca="1">IF($A207="","",IFERROR(INDEX(Market_Data!$O$21:$O$613,MATCH($A207,Market_Data!$N$21:INDEX(Market_Data!$N$21:$N$613,COUNT(Market_Data!$N$21:$N$613)),1)),""))</f>
        <v/>
      </c>
      <c r="G207" s="145" t="str">
        <f ca="1">IF($A207="","",IFERROR(INDEX(Market_Data!$R$21:$R$613,MATCH($A207,Market_Data!$Q$21:INDEX(Market_Data!$Q$21:$Q$613,COUNT(Market_Data!$Q$21:$Q$613)),1)),""))</f>
        <v/>
      </c>
      <c r="H207" s="145" t="str">
        <f ca="1">IF($A207="","",IFERROR(INDEX(Market_Data!$U$21:$U$613,MATCH($A207,Market_Data!$T$21:INDEX(Market_Data!$T$21:$T$613,COUNT(Market_Data!$T$21:$T$613)),1)),""))</f>
        <v/>
      </c>
      <c r="I207" s="146" t="str">
        <f ca="1">IF($A207="","",IFERROR(INDEX(Query1[Close],MATCH($A207,Query1[Date],1)),""))</f>
        <v/>
      </c>
    </row>
    <row r="208" spans="1:9" x14ac:dyDescent="0.3">
      <c r="A208" s="144" t="str">
        <f t="shared" ca="1" si="5"/>
        <v/>
      </c>
      <c r="B208" s="145" t="str">
        <f ca="1">IF($A208="","",IFERROR(INDEX(Market_Data!$C$21:$C$613,MATCH($A208,Market_Data!$B$21:INDEX(Market_Data!$B$21:$B$613,COUNT(Market_Data!$B$21:$B$613)),1)),""))</f>
        <v/>
      </c>
      <c r="C208" s="145" t="str">
        <f ca="1">IF($A208="","",IFERROR(INDEX(Market_Data!$F$21:$F$613,MATCH($A208,Market_Data!$E$21:INDEX(Market_Data!$E$21:$E$613,COUNT(Market_Data!$E$21:$E$613)),1)),""))</f>
        <v/>
      </c>
      <c r="D208" s="145" t="str">
        <f ca="1">IF($A208="","",IFERROR(INDEX(Market_Data!$I$21:$I$613,MATCH($A208,Market_Data!$H$21:INDEX(Market_Data!$H$21:$H$613,COUNT(Market_Data!$H$21:$H$613)),1)),""))</f>
        <v/>
      </c>
      <c r="E208" s="145" t="str">
        <f ca="1">IF($A208="","",IFERROR(INDEX(Market_Data!$L$21:$L$613,MATCH($A208,Market_Data!$K$21:INDEX(Market_Data!$K$21:$K$613,COUNT(Market_Data!$K$21:$K$613)),1)),""))</f>
        <v/>
      </c>
      <c r="F208" s="145" t="str">
        <f ca="1">IF($A208="","",IFERROR(INDEX(Market_Data!$O$21:$O$613,MATCH($A208,Market_Data!$N$21:INDEX(Market_Data!$N$21:$N$613,COUNT(Market_Data!$N$21:$N$613)),1)),""))</f>
        <v/>
      </c>
      <c r="G208" s="145" t="str">
        <f ca="1">IF($A208="","",IFERROR(INDEX(Market_Data!$R$21:$R$613,MATCH($A208,Market_Data!$Q$21:INDEX(Market_Data!$Q$21:$Q$613,COUNT(Market_Data!$Q$21:$Q$613)),1)),""))</f>
        <v/>
      </c>
      <c r="H208" s="145" t="str">
        <f ca="1">IF($A208="","",IFERROR(INDEX(Market_Data!$U$21:$U$613,MATCH($A208,Market_Data!$T$21:INDEX(Market_Data!$T$21:$T$613,COUNT(Market_Data!$T$21:$T$613)),1)),""))</f>
        <v/>
      </c>
      <c r="I208" s="146" t="str">
        <f ca="1">IF($A208="","",IFERROR(INDEX(Query1[Close],MATCH($A208,Query1[Date],1)),""))</f>
        <v/>
      </c>
    </row>
    <row r="209" spans="1:9" x14ac:dyDescent="0.3">
      <c r="A209" s="144" t="str">
        <f t="shared" ca="1" si="5"/>
        <v/>
      </c>
      <c r="B209" s="145" t="str">
        <f ca="1">IF($A209="","",IFERROR(INDEX(Market_Data!$C$21:$C$613,MATCH($A209,Market_Data!$B$21:INDEX(Market_Data!$B$21:$B$613,COUNT(Market_Data!$B$21:$B$613)),1)),""))</f>
        <v/>
      </c>
      <c r="C209" s="145" t="str">
        <f ca="1">IF($A209="","",IFERROR(INDEX(Market_Data!$F$21:$F$613,MATCH($A209,Market_Data!$E$21:INDEX(Market_Data!$E$21:$E$613,COUNT(Market_Data!$E$21:$E$613)),1)),""))</f>
        <v/>
      </c>
      <c r="D209" s="145" t="str">
        <f ca="1">IF($A209="","",IFERROR(INDEX(Market_Data!$I$21:$I$613,MATCH($A209,Market_Data!$H$21:INDEX(Market_Data!$H$21:$H$613,COUNT(Market_Data!$H$21:$H$613)),1)),""))</f>
        <v/>
      </c>
      <c r="E209" s="145" t="str">
        <f ca="1">IF($A209="","",IFERROR(INDEX(Market_Data!$L$21:$L$613,MATCH($A209,Market_Data!$K$21:INDEX(Market_Data!$K$21:$K$613,COUNT(Market_Data!$K$21:$K$613)),1)),""))</f>
        <v/>
      </c>
      <c r="F209" s="145" t="str">
        <f ca="1">IF($A209="","",IFERROR(INDEX(Market_Data!$O$21:$O$613,MATCH($A209,Market_Data!$N$21:INDEX(Market_Data!$N$21:$N$613,COUNT(Market_Data!$N$21:$N$613)),1)),""))</f>
        <v/>
      </c>
      <c r="G209" s="145" t="str">
        <f ca="1">IF($A209="","",IFERROR(INDEX(Market_Data!$R$21:$R$613,MATCH($A209,Market_Data!$Q$21:INDEX(Market_Data!$Q$21:$Q$613,COUNT(Market_Data!$Q$21:$Q$613)),1)),""))</f>
        <v/>
      </c>
      <c r="H209" s="145" t="str">
        <f ca="1">IF($A209="","",IFERROR(INDEX(Market_Data!$U$21:$U$613,MATCH($A209,Market_Data!$T$21:INDEX(Market_Data!$T$21:$T$613,COUNT(Market_Data!$T$21:$T$613)),1)),""))</f>
        <v/>
      </c>
      <c r="I209" s="146" t="str">
        <f ca="1">IF($A209="","",IFERROR(INDEX(Query1[Close],MATCH($A209,Query1[Date],1)),""))</f>
        <v/>
      </c>
    </row>
    <row r="210" spans="1:9" x14ac:dyDescent="0.3">
      <c r="A210" s="144" t="str">
        <f t="shared" ca="1" si="5"/>
        <v/>
      </c>
      <c r="B210" s="145" t="str">
        <f ca="1">IF($A210="","",IFERROR(INDEX(Market_Data!$C$21:$C$613,MATCH($A210,Market_Data!$B$21:INDEX(Market_Data!$B$21:$B$613,COUNT(Market_Data!$B$21:$B$613)),1)),""))</f>
        <v/>
      </c>
      <c r="C210" s="145" t="str">
        <f ca="1">IF($A210="","",IFERROR(INDEX(Market_Data!$F$21:$F$613,MATCH($A210,Market_Data!$E$21:INDEX(Market_Data!$E$21:$E$613,COUNT(Market_Data!$E$21:$E$613)),1)),""))</f>
        <v/>
      </c>
      <c r="D210" s="145" t="str">
        <f ca="1">IF($A210="","",IFERROR(INDEX(Market_Data!$I$21:$I$613,MATCH($A210,Market_Data!$H$21:INDEX(Market_Data!$H$21:$H$613,COUNT(Market_Data!$H$21:$H$613)),1)),""))</f>
        <v/>
      </c>
      <c r="E210" s="145" t="str">
        <f ca="1">IF($A210="","",IFERROR(INDEX(Market_Data!$L$21:$L$613,MATCH($A210,Market_Data!$K$21:INDEX(Market_Data!$K$21:$K$613,COUNT(Market_Data!$K$21:$K$613)),1)),""))</f>
        <v/>
      </c>
      <c r="F210" s="145" t="str">
        <f ca="1">IF($A210="","",IFERROR(INDEX(Market_Data!$O$21:$O$613,MATCH($A210,Market_Data!$N$21:INDEX(Market_Data!$N$21:$N$613,COUNT(Market_Data!$N$21:$N$613)),1)),""))</f>
        <v/>
      </c>
      <c r="G210" s="145" t="str">
        <f ca="1">IF($A210="","",IFERROR(INDEX(Market_Data!$R$21:$R$613,MATCH($A210,Market_Data!$Q$21:INDEX(Market_Data!$Q$21:$Q$613,COUNT(Market_Data!$Q$21:$Q$613)),1)),""))</f>
        <v/>
      </c>
      <c r="H210" s="145" t="str">
        <f ca="1">IF($A210="","",IFERROR(INDEX(Market_Data!$U$21:$U$613,MATCH($A210,Market_Data!$T$21:INDEX(Market_Data!$T$21:$T$613,COUNT(Market_Data!$T$21:$T$613)),1)),""))</f>
        <v/>
      </c>
      <c r="I210" s="146" t="str">
        <f ca="1">IF($A210="","",IFERROR(INDEX(Query1[Close],MATCH($A210,Query1[Date],1)),""))</f>
        <v/>
      </c>
    </row>
    <row r="211" spans="1:9" x14ac:dyDescent="0.3">
      <c r="A211" s="144" t="str">
        <f t="shared" ca="1" si="5"/>
        <v/>
      </c>
      <c r="B211" s="145" t="str">
        <f ca="1">IF($A211="","",IFERROR(INDEX(Market_Data!$C$21:$C$613,MATCH($A211,Market_Data!$B$21:INDEX(Market_Data!$B$21:$B$613,COUNT(Market_Data!$B$21:$B$613)),1)),""))</f>
        <v/>
      </c>
      <c r="C211" s="145" t="str">
        <f ca="1">IF($A211="","",IFERROR(INDEX(Market_Data!$F$21:$F$613,MATCH($A211,Market_Data!$E$21:INDEX(Market_Data!$E$21:$E$613,COUNT(Market_Data!$E$21:$E$613)),1)),""))</f>
        <v/>
      </c>
      <c r="D211" s="145" t="str">
        <f ca="1">IF($A211="","",IFERROR(INDEX(Market_Data!$I$21:$I$613,MATCH($A211,Market_Data!$H$21:INDEX(Market_Data!$H$21:$H$613,COUNT(Market_Data!$H$21:$H$613)),1)),""))</f>
        <v/>
      </c>
      <c r="E211" s="145" t="str">
        <f ca="1">IF($A211="","",IFERROR(INDEX(Market_Data!$L$21:$L$613,MATCH($A211,Market_Data!$K$21:INDEX(Market_Data!$K$21:$K$613,COUNT(Market_Data!$K$21:$K$613)),1)),""))</f>
        <v/>
      </c>
      <c r="F211" s="145" t="str">
        <f ca="1">IF($A211="","",IFERROR(INDEX(Market_Data!$O$21:$O$613,MATCH($A211,Market_Data!$N$21:INDEX(Market_Data!$N$21:$N$613,COUNT(Market_Data!$N$21:$N$613)),1)),""))</f>
        <v/>
      </c>
      <c r="G211" s="145" t="str">
        <f ca="1">IF($A211="","",IFERROR(INDEX(Market_Data!$R$21:$R$613,MATCH($A211,Market_Data!$Q$21:INDEX(Market_Data!$Q$21:$Q$613,COUNT(Market_Data!$Q$21:$Q$613)),1)),""))</f>
        <v/>
      </c>
      <c r="H211" s="145" t="str">
        <f ca="1">IF($A211="","",IFERROR(INDEX(Market_Data!$U$21:$U$613,MATCH($A211,Market_Data!$T$21:INDEX(Market_Data!$T$21:$T$613,COUNT(Market_Data!$T$21:$T$613)),1)),""))</f>
        <v/>
      </c>
      <c r="I211" s="146" t="str">
        <f ca="1">IF($A211="","",IFERROR(INDEX(Query1[Close],MATCH($A211,Query1[Date],1)),""))</f>
        <v/>
      </c>
    </row>
    <row r="212" spans="1:9" x14ac:dyDescent="0.3">
      <c r="A212" s="144" t="str">
        <f t="shared" ca="1" si="5"/>
        <v/>
      </c>
      <c r="B212" s="145" t="str">
        <f ca="1">IF($A212="","",IFERROR(INDEX(Market_Data!$C$21:$C$613,MATCH($A212,Market_Data!$B$21:INDEX(Market_Data!$B$21:$B$613,COUNT(Market_Data!$B$21:$B$613)),1)),""))</f>
        <v/>
      </c>
      <c r="C212" s="145" t="str">
        <f ca="1">IF($A212="","",IFERROR(INDEX(Market_Data!$F$21:$F$613,MATCH($A212,Market_Data!$E$21:INDEX(Market_Data!$E$21:$E$613,COUNT(Market_Data!$E$21:$E$613)),1)),""))</f>
        <v/>
      </c>
      <c r="D212" s="145" t="str">
        <f ca="1">IF($A212="","",IFERROR(INDEX(Market_Data!$I$21:$I$613,MATCH($A212,Market_Data!$H$21:INDEX(Market_Data!$H$21:$H$613,COUNT(Market_Data!$H$21:$H$613)),1)),""))</f>
        <v/>
      </c>
      <c r="E212" s="145" t="str">
        <f ca="1">IF($A212="","",IFERROR(INDEX(Market_Data!$L$21:$L$613,MATCH($A212,Market_Data!$K$21:INDEX(Market_Data!$K$21:$K$613,COUNT(Market_Data!$K$21:$K$613)),1)),""))</f>
        <v/>
      </c>
      <c r="F212" s="145" t="str">
        <f ca="1">IF($A212="","",IFERROR(INDEX(Market_Data!$O$21:$O$613,MATCH($A212,Market_Data!$N$21:INDEX(Market_Data!$N$21:$N$613,COUNT(Market_Data!$N$21:$N$613)),1)),""))</f>
        <v/>
      </c>
      <c r="G212" s="145" t="str">
        <f ca="1">IF($A212="","",IFERROR(INDEX(Market_Data!$R$21:$R$613,MATCH($A212,Market_Data!$Q$21:INDEX(Market_Data!$Q$21:$Q$613,COUNT(Market_Data!$Q$21:$Q$613)),1)),""))</f>
        <v/>
      </c>
      <c r="H212" s="145" t="str">
        <f ca="1">IF($A212="","",IFERROR(INDEX(Market_Data!$U$21:$U$613,MATCH($A212,Market_Data!$T$21:INDEX(Market_Data!$T$21:$T$613,COUNT(Market_Data!$T$21:$T$613)),1)),""))</f>
        <v/>
      </c>
      <c r="I212" s="146" t="str">
        <f ca="1">IF($A212="","",IFERROR(INDEX(Query1[Close],MATCH($A212,Query1[Date],1)),""))</f>
        <v/>
      </c>
    </row>
    <row r="213" spans="1:9" x14ac:dyDescent="0.3">
      <c r="A213" s="144" t="str">
        <f t="shared" ca="1" si="5"/>
        <v/>
      </c>
      <c r="B213" s="145" t="str">
        <f ca="1">IF($A213="","",IFERROR(INDEX(Market_Data!$C$21:$C$613,MATCH($A213,Market_Data!$B$21:INDEX(Market_Data!$B$21:$B$613,COUNT(Market_Data!$B$21:$B$613)),1)),""))</f>
        <v/>
      </c>
      <c r="C213" s="145" t="str">
        <f ca="1">IF($A213="","",IFERROR(INDEX(Market_Data!$F$21:$F$613,MATCH($A213,Market_Data!$E$21:INDEX(Market_Data!$E$21:$E$613,COUNT(Market_Data!$E$21:$E$613)),1)),""))</f>
        <v/>
      </c>
      <c r="D213" s="145" t="str">
        <f ca="1">IF($A213="","",IFERROR(INDEX(Market_Data!$I$21:$I$613,MATCH($A213,Market_Data!$H$21:INDEX(Market_Data!$H$21:$H$613,COUNT(Market_Data!$H$21:$H$613)),1)),""))</f>
        <v/>
      </c>
      <c r="E213" s="145" t="str">
        <f ca="1">IF($A213="","",IFERROR(INDEX(Market_Data!$L$21:$L$613,MATCH($A213,Market_Data!$K$21:INDEX(Market_Data!$K$21:$K$613,COUNT(Market_Data!$K$21:$K$613)),1)),""))</f>
        <v/>
      </c>
      <c r="F213" s="145" t="str">
        <f ca="1">IF($A213="","",IFERROR(INDEX(Market_Data!$O$21:$O$613,MATCH($A213,Market_Data!$N$21:INDEX(Market_Data!$N$21:$N$613,COUNT(Market_Data!$N$21:$N$613)),1)),""))</f>
        <v/>
      </c>
      <c r="G213" s="145" t="str">
        <f ca="1">IF($A213="","",IFERROR(INDEX(Market_Data!$R$21:$R$613,MATCH($A213,Market_Data!$Q$21:INDEX(Market_Data!$Q$21:$Q$613,COUNT(Market_Data!$Q$21:$Q$613)),1)),""))</f>
        <v/>
      </c>
      <c r="H213" s="145" t="str">
        <f ca="1">IF($A213="","",IFERROR(INDEX(Market_Data!$U$21:$U$613,MATCH($A213,Market_Data!$T$21:INDEX(Market_Data!$T$21:$T$613,COUNT(Market_Data!$T$21:$T$613)),1)),""))</f>
        <v/>
      </c>
      <c r="I213" s="146" t="str">
        <f ca="1">IF($A213="","",IFERROR(INDEX(Query1[Close],MATCH($A213,Query1[Date],1)),""))</f>
        <v/>
      </c>
    </row>
    <row r="214" spans="1:9" x14ac:dyDescent="0.3">
      <c r="A214" s="144" t="str">
        <f t="shared" ca="1" si="5"/>
        <v/>
      </c>
      <c r="B214" s="145" t="str">
        <f ca="1">IF($A214="","",IFERROR(INDEX(Market_Data!$C$21:$C$613,MATCH($A214,Market_Data!$B$21:INDEX(Market_Data!$B$21:$B$613,COUNT(Market_Data!$B$21:$B$613)),1)),""))</f>
        <v/>
      </c>
      <c r="C214" s="145" t="str">
        <f ca="1">IF($A214="","",IFERROR(INDEX(Market_Data!$F$21:$F$613,MATCH($A214,Market_Data!$E$21:INDEX(Market_Data!$E$21:$E$613,COUNT(Market_Data!$E$21:$E$613)),1)),""))</f>
        <v/>
      </c>
      <c r="D214" s="145" t="str">
        <f ca="1">IF($A214="","",IFERROR(INDEX(Market_Data!$I$21:$I$613,MATCH($A214,Market_Data!$H$21:INDEX(Market_Data!$H$21:$H$613,COUNT(Market_Data!$H$21:$H$613)),1)),""))</f>
        <v/>
      </c>
      <c r="E214" s="145" t="str">
        <f ca="1">IF($A214="","",IFERROR(INDEX(Market_Data!$L$21:$L$613,MATCH($A214,Market_Data!$K$21:INDEX(Market_Data!$K$21:$K$613,COUNT(Market_Data!$K$21:$K$613)),1)),""))</f>
        <v/>
      </c>
      <c r="F214" s="145" t="str">
        <f ca="1">IF($A214="","",IFERROR(INDEX(Market_Data!$O$21:$O$613,MATCH($A214,Market_Data!$N$21:INDEX(Market_Data!$N$21:$N$613,COUNT(Market_Data!$N$21:$N$613)),1)),""))</f>
        <v/>
      </c>
      <c r="G214" s="145" t="str">
        <f ca="1">IF($A214="","",IFERROR(INDEX(Market_Data!$R$21:$R$613,MATCH($A214,Market_Data!$Q$21:INDEX(Market_Data!$Q$21:$Q$613,COUNT(Market_Data!$Q$21:$Q$613)),1)),""))</f>
        <v/>
      </c>
      <c r="H214" s="145" t="str">
        <f ca="1">IF($A214="","",IFERROR(INDEX(Market_Data!$U$21:$U$613,MATCH($A214,Market_Data!$T$21:INDEX(Market_Data!$T$21:$T$613,COUNT(Market_Data!$T$21:$T$613)),1)),""))</f>
        <v/>
      </c>
      <c r="I214" s="146" t="str">
        <f ca="1">IF($A214="","",IFERROR(INDEX(Query1[Close],MATCH($A214,Query1[Date],1)),""))</f>
        <v/>
      </c>
    </row>
    <row r="215" spans="1:9" x14ac:dyDescent="0.3">
      <c r="A215" s="144" t="str">
        <f t="shared" ca="1" si="5"/>
        <v/>
      </c>
      <c r="B215" s="145" t="str">
        <f ca="1">IF($A215="","",IFERROR(INDEX(Market_Data!$C$21:$C$613,MATCH($A215,Market_Data!$B$21:INDEX(Market_Data!$B$21:$B$613,COUNT(Market_Data!$B$21:$B$613)),1)),""))</f>
        <v/>
      </c>
      <c r="C215" s="145" t="str">
        <f ca="1">IF($A215="","",IFERROR(INDEX(Market_Data!$F$21:$F$613,MATCH($A215,Market_Data!$E$21:INDEX(Market_Data!$E$21:$E$613,COUNT(Market_Data!$E$21:$E$613)),1)),""))</f>
        <v/>
      </c>
      <c r="D215" s="145" t="str">
        <f ca="1">IF($A215="","",IFERROR(INDEX(Market_Data!$I$21:$I$613,MATCH($A215,Market_Data!$H$21:INDEX(Market_Data!$H$21:$H$613,COUNT(Market_Data!$H$21:$H$613)),1)),""))</f>
        <v/>
      </c>
      <c r="E215" s="145" t="str">
        <f ca="1">IF($A215="","",IFERROR(INDEX(Market_Data!$L$21:$L$613,MATCH($A215,Market_Data!$K$21:INDEX(Market_Data!$K$21:$K$613,COUNT(Market_Data!$K$21:$K$613)),1)),""))</f>
        <v/>
      </c>
      <c r="F215" s="145" t="str">
        <f ca="1">IF($A215="","",IFERROR(INDEX(Market_Data!$O$21:$O$613,MATCH($A215,Market_Data!$N$21:INDEX(Market_Data!$N$21:$N$613,COUNT(Market_Data!$N$21:$N$613)),1)),""))</f>
        <v/>
      </c>
      <c r="G215" s="145" t="str">
        <f ca="1">IF($A215="","",IFERROR(INDEX(Market_Data!$R$21:$R$613,MATCH($A215,Market_Data!$Q$21:INDEX(Market_Data!$Q$21:$Q$613,COUNT(Market_Data!$Q$21:$Q$613)),1)),""))</f>
        <v/>
      </c>
      <c r="H215" s="145" t="str">
        <f ca="1">IF($A215="","",IFERROR(INDEX(Market_Data!$U$21:$U$613,MATCH($A215,Market_Data!$T$21:INDEX(Market_Data!$T$21:$T$613,COUNT(Market_Data!$T$21:$T$613)),1)),""))</f>
        <v/>
      </c>
      <c r="I215" s="146" t="str">
        <f ca="1">IF($A215="","",IFERROR(INDEX(Query1[Close],MATCH($A215,Query1[Date],1)),""))</f>
        <v/>
      </c>
    </row>
    <row r="216" spans="1:9" x14ac:dyDescent="0.3">
      <c r="A216" s="144" t="str">
        <f t="shared" ca="1" si="5"/>
        <v/>
      </c>
      <c r="B216" s="145" t="str">
        <f ca="1">IF($A216="","",IFERROR(INDEX(Market_Data!$C$21:$C$613,MATCH($A216,Market_Data!$B$21:INDEX(Market_Data!$B$21:$B$613,COUNT(Market_Data!$B$21:$B$613)),1)),""))</f>
        <v/>
      </c>
      <c r="C216" s="145" t="str">
        <f ca="1">IF($A216="","",IFERROR(INDEX(Market_Data!$F$21:$F$613,MATCH($A216,Market_Data!$E$21:INDEX(Market_Data!$E$21:$E$613,COUNT(Market_Data!$E$21:$E$613)),1)),""))</f>
        <v/>
      </c>
      <c r="D216" s="145" t="str">
        <f ca="1">IF($A216="","",IFERROR(INDEX(Market_Data!$I$21:$I$613,MATCH($A216,Market_Data!$H$21:INDEX(Market_Data!$H$21:$H$613,COUNT(Market_Data!$H$21:$H$613)),1)),""))</f>
        <v/>
      </c>
      <c r="E216" s="145" t="str">
        <f ca="1">IF($A216="","",IFERROR(INDEX(Market_Data!$L$21:$L$613,MATCH($A216,Market_Data!$K$21:INDEX(Market_Data!$K$21:$K$613,COUNT(Market_Data!$K$21:$K$613)),1)),""))</f>
        <v/>
      </c>
      <c r="F216" s="145" t="str">
        <f ca="1">IF($A216="","",IFERROR(INDEX(Market_Data!$O$21:$O$613,MATCH($A216,Market_Data!$N$21:INDEX(Market_Data!$N$21:$N$613,COUNT(Market_Data!$N$21:$N$613)),1)),""))</f>
        <v/>
      </c>
      <c r="G216" s="145" t="str">
        <f ca="1">IF($A216="","",IFERROR(INDEX(Market_Data!$R$21:$R$613,MATCH($A216,Market_Data!$Q$21:INDEX(Market_Data!$Q$21:$Q$613,COUNT(Market_Data!$Q$21:$Q$613)),1)),""))</f>
        <v/>
      </c>
      <c r="H216" s="145" t="str">
        <f ca="1">IF($A216="","",IFERROR(INDEX(Market_Data!$U$21:$U$613,MATCH($A216,Market_Data!$T$21:INDEX(Market_Data!$T$21:$T$613,COUNT(Market_Data!$T$21:$T$613)),1)),""))</f>
        <v/>
      </c>
      <c r="I216" s="146" t="str">
        <f ca="1">IF($A216="","",IFERROR(INDEX(Query1[Close],MATCH($A216,Query1[Date],1)),""))</f>
        <v/>
      </c>
    </row>
    <row r="217" spans="1:9" x14ac:dyDescent="0.3">
      <c r="A217" s="144" t="str">
        <f t="shared" ca="1" si="5"/>
        <v/>
      </c>
      <c r="B217" s="145" t="str">
        <f ca="1">IF($A217="","",IFERROR(INDEX(Market_Data!$C$21:$C$613,MATCH($A217,Market_Data!$B$21:INDEX(Market_Data!$B$21:$B$613,COUNT(Market_Data!$B$21:$B$613)),1)),""))</f>
        <v/>
      </c>
      <c r="C217" s="145" t="str">
        <f ca="1">IF($A217="","",IFERROR(INDEX(Market_Data!$F$21:$F$613,MATCH($A217,Market_Data!$E$21:INDEX(Market_Data!$E$21:$E$613,COUNT(Market_Data!$E$21:$E$613)),1)),""))</f>
        <v/>
      </c>
      <c r="D217" s="145" t="str">
        <f ca="1">IF($A217="","",IFERROR(INDEX(Market_Data!$I$21:$I$613,MATCH($A217,Market_Data!$H$21:INDEX(Market_Data!$H$21:$H$613,COUNT(Market_Data!$H$21:$H$613)),1)),""))</f>
        <v/>
      </c>
      <c r="E217" s="145" t="str">
        <f ca="1">IF($A217="","",IFERROR(INDEX(Market_Data!$L$21:$L$613,MATCH($A217,Market_Data!$K$21:INDEX(Market_Data!$K$21:$K$613,COUNT(Market_Data!$K$21:$K$613)),1)),""))</f>
        <v/>
      </c>
      <c r="F217" s="145" t="str">
        <f ca="1">IF($A217="","",IFERROR(INDEX(Market_Data!$O$21:$O$613,MATCH($A217,Market_Data!$N$21:INDEX(Market_Data!$N$21:$N$613,COUNT(Market_Data!$N$21:$N$613)),1)),""))</f>
        <v/>
      </c>
      <c r="G217" s="145" t="str">
        <f ca="1">IF($A217="","",IFERROR(INDEX(Market_Data!$R$21:$R$613,MATCH($A217,Market_Data!$Q$21:INDEX(Market_Data!$Q$21:$Q$613,COUNT(Market_Data!$Q$21:$Q$613)),1)),""))</f>
        <v/>
      </c>
      <c r="H217" s="145" t="str">
        <f ca="1">IF($A217="","",IFERROR(INDEX(Market_Data!$U$21:$U$613,MATCH($A217,Market_Data!$T$21:INDEX(Market_Data!$T$21:$T$613,COUNT(Market_Data!$T$21:$T$613)),1)),""))</f>
        <v/>
      </c>
      <c r="I217" s="146" t="str">
        <f ca="1">IF($A217="","",IFERROR(INDEX(Query1[Close],MATCH($A217,Query1[Date],1)),""))</f>
        <v/>
      </c>
    </row>
    <row r="218" spans="1:9" x14ac:dyDescent="0.3">
      <c r="A218" s="144" t="str">
        <f t="shared" ca="1" si="5"/>
        <v/>
      </c>
      <c r="B218" s="145" t="str">
        <f ca="1">IF($A218="","",IFERROR(INDEX(Market_Data!$C$21:$C$613,MATCH($A218,Market_Data!$B$21:INDEX(Market_Data!$B$21:$B$613,COUNT(Market_Data!$B$21:$B$613)),1)),""))</f>
        <v/>
      </c>
      <c r="C218" s="145" t="str">
        <f ca="1">IF($A218="","",IFERROR(INDEX(Market_Data!$F$21:$F$613,MATCH($A218,Market_Data!$E$21:INDEX(Market_Data!$E$21:$E$613,COUNT(Market_Data!$E$21:$E$613)),1)),""))</f>
        <v/>
      </c>
      <c r="D218" s="145" t="str">
        <f ca="1">IF($A218="","",IFERROR(INDEX(Market_Data!$I$21:$I$613,MATCH($A218,Market_Data!$H$21:INDEX(Market_Data!$H$21:$H$613,COUNT(Market_Data!$H$21:$H$613)),1)),""))</f>
        <v/>
      </c>
      <c r="E218" s="145" t="str">
        <f ca="1">IF($A218="","",IFERROR(INDEX(Market_Data!$L$21:$L$613,MATCH($A218,Market_Data!$K$21:INDEX(Market_Data!$K$21:$K$613,COUNT(Market_Data!$K$21:$K$613)),1)),""))</f>
        <v/>
      </c>
      <c r="F218" s="145" t="str">
        <f ca="1">IF($A218="","",IFERROR(INDEX(Market_Data!$O$21:$O$613,MATCH($A218,Market_Data!$N$21:INDEX(Market_Data!$N$21:$N$613,COUNT(Market_Data!$N$21:$N$613)),1)),""))</f>
        <v/>
      </c>
      <c r="G218" s="145" t="str">
        <f ca="1">IF($A218="","",IFERROR(INDEX(Market_Data!$R$21:$R$613,MATCH($A218,Market_Data!$Q$21:INDEX(Market_Data!$Q$21:$Q$613,COUNT(Market_Data!$Q$21:$Q$613)),1)),""))</f>
        <v/>
      </c>
      <c r="H218" s="145" t="str">
        <f ca="1">IF($A218="","",IFERROR(INDEX(Market_Data!$U$21:$U$613,MATCH($A218,Market_Data!$T$21:INDEX(Market_Data!$T$21:$T$613,COUNT(Market_Data!$T$21:$T$613)),1)),""))</f>
        <v/>
      </c>
      <c r="I218" s="146" t="str">
        <f ca="1">IF($A218="","",IFERROR(INDEX(Query1[Close],MATCH($A218,Query1[Date],1)),""))</f>
        <v/>
      </c>
    </row>
    <row r="219" spans="1:9" x14ac:dyDescent="0.3">
      <c r="A219" s="144" t="str">
        <f t="shared" ca="1" si="5"/>
        <v/>
      </c>
      <c r="B219" s="145" t="str">
        <f ca="1">IF($A219="","",IFERROR(INDEX(Market_Data!$C$21:$C$613,MATCH($A219,Market_Data!$B$21:INDEX(Market_Data!$B$21:$B$613,COUNT(Market_Data!$B$21:$B$613)),1)),""))</f>
        <v/>
      </c>
      <c r="C219" s="145" t="str">
        <f ca="1">IF($A219="","",IFERROR(INDEX(Market_Data!$F$21:$F$613,MATCH($A219,Market_Data!$E$21:INDEX(Market_Data!$E$21:$E$613,COUNT(Market_Data!$E$21:$E$613)),1)),""))</f>
        <v/>
      </c>
      <c r="D219" s="145" t="str">
        <f ca="1">IF($A219="","",IFERROR(INDEX(Market_Data!$I$21:$I$613,MATCH($A219,Market_Data!$H$21:INDEX(Market_Data!$H$21:$H$613,COUNT(Market_Data!$H$21:$H$613)),1)),""))</f>
        <v/>
      </c>
      <c r="E219" s="145" t="str">
        <f ca="1">IF($A219="","",IFERROR(INDEX(Market_Data!$L$21:$L$613,MATCH($A219,Market_Data!$K$21:INDEX(Market_Data!$K$21:$K$613,COUNT(Market_Data!$K$21:$K$613)),1)),""))</f>
        <v/>
      </c>
      <c r="F219" s="145" t="str">
        <f ca="1">IF($A219="","",IFERROR(INDEX(Market_Data!$O$21:$O$613,MATCH($A219,Market_Data!$N$21:INDEX(Market_Data!$N$21:$N$613,COUNT(Market_Data!$N$21:$N$613)),1)),""))</f>
        <v/>
      </c>
      <c r="G219" s="145" t="str">
        <f ca="1">IF($A219="","",IFERROR(INDEX(Market_Data!$R$21:$R$613,MATCH($A219,Market_Data!$Q$21:INDEX(Market_Data!$Q$21:$Q$613,COUNT(Market_Data!$Q$21:$Q$613)),1)),""))</f>
        <v/>
      </c>
      <c r="H219" s="145" t="str">
        <f ca="1">IF($A219="","",IFERROR(INDEX(Market_Data!$U$21:$U$613,MATCH($A219,Market_Data!$T$21:INDEX(Market_Data!$T$21:$T$613,COUNT(Market_Data!$T$21:$T$613)),1)),""))</f>
        <v/>
      </c>
      <c r="I219" s="146" t="str">
        <f ca="1">IF($A219="","",IFERROR(INDEX(Query1[Close],MATCH($A219,Query1[Date],1)),""))</f>
        <v/>
      </c>
    </row>
    <row r="220" spans="1:9" x14ac:dyDescent="0.3">
      <c r="A220" s="144" t="str">
        <f t="shared" ca="1" si="5"/>
        <v/>
      </c>
      <c r="B220" s="145" t="str">
        <f ca="1">IF($A220="","",IFERROR(INDEX(Market_Data!$C$21:$C$613,MATCH($A220,Market_Data!$B$21:INDEX(Market_Data!$B$21:$B$613,COUNT(Market_Data!$B$21:$B$613)),1)),""))</f>
        <v/>
      </c>
      <c r="C220" s="145" t="str">
        <f ca="1">IF($A220="","",IFERROR(INDEX(Market_Data!$F$21:$F$613,MATCH($A220,Market_Data!$E$21:INDEX(Market_Data!$E$21:$E$613,COUNT(Market_Data!$E$21:$E$613)),1)),""))</f>
        <v/>
      </c>
      <c r="D220" s="145" t="str">
        <f ca="1">IF($A220="","",IFERROR(INDEX(Market_Data!$I$21:$I$613,MATCH($A220,Market_Data!$H$21:INDEX(Market_Data!$H$21:$H$613,COUNT(Market_Data!$H$21:$H$613)),1)),""))</f>
        <v/>
      </c>
      <c r="E220" s="145" t="str">
        <f ca="1">IF($A220="","",IFERROR(INDEX(Market_Data!$L$21:$L$613,MATCH($A220,Market_Data!$K$21:INDEX(Market_Data!$K$21:$K$613,COUNT(Market_Data!$K$21:$K$613)),1)),""))</f>
        <v/>
      </c>
      <c r="F220" s="145" t="str">
        <f ca="1">IF($A220="","",IFERROR(INDEX(Market_Data!$O$21:$O$613,MATCH($A220,Market_Data!$N$21:INDEX(Market_Data!$N$21:$N$613,COUNT(Market_Data!$N$21:$N$613)),1)),""))</f>
        <v/>
      </c>
      <c r="G220" s="145" t="str">
        <f ca="1">IF($A220="","",IFERROR(INDEX(Market_Data!$R$21:$R$613,MATCH($A220,Market_Data!$Q$21:INDEX(Market_Data!$Q$21:$Q$613,COUNT(Market_Data!$Q$21:$Q$613)),1)),""))</f>
        <v/>
      </c>
      <c r="H220" s="145" t="str">
        <f ca="1">IF($A220="","",IFERROR(INDEX(Market_Data!$U$21:$U$613,MATCH($A220,Market_Data!$T$21:INDEX(Market_Data!$T$21:$T$613,COUNT(Market_Data!$T$21:$T$613)),1)),""))</f>
        <v/>
      </c>
      <c r="I220" s="146" t="str">
        <f ca="1">IF($A220="","",IFERROR(INDEX(Query1[Close],MATCH($A220,Query1[Date],1)),""))</f>
        <v/>
      </c>
    </row>
    <row r="221" spans="1:9" x14ac:dyDescent="0.3">
      <c r="A221" s="144" t="str">
        <f t="shared" ca="1" si="5"/>
        <v/>
      </c>
      <c r="B221" s="145" t="str">
        <f ca="1">IF($A221="","",IFERROR(INDEX(Market_Data!$C$21:$C$613,MATCH($A221,Market_Data!$B$21:INDEX(Market_Data!$B$21:$B$613,COUNT(Market_Data!$B$21:$B$613)),1)),""))</f>
        <v/>
      </c>
      <c r="C221" s="145" t="str">
        <f ca="1">IF($A221="","",IFERROR(INDEX(Market_Data!$F$21:$F$613,MATCH($A221,Market_Data!$E$21:INDEX(Market_Data!$E$21:$E$613,COUNT(Market_Data!$E$21:$E$613)),1)),""))</f>
        <v/>
      </c>
      <c r="D221" s="145" t="str">
        <f ca="1">IF($A221="","",IFERROR(INDEX(Market_Data!$I$21:$I$613,MATCH($A221,Market_Data!$H$21:INDEX(Market_Data!$H$21:$H$613,COUNT(Market_Data!$H$21:$H$613)),1)),""))</f>
        <v/>
      </c>
      <c r="E221" s="145" t="str">
        <f ca="1">IF($A221="","",IFERROR(INDEX(Market_Data!$L$21:$L$613,MATCH($A221,Market_Data!$K$21:INDEX(Market_Data!$K$21:$K$613,COUNT(Market_Data!$K$21:$K$613)),1)),""))</f>
        <v/>
      </c>
      <c r="F221" s="145" t="str">
        <f ca="1">IF($A221="","",IFERROR(INDEX(Market_Data!$O$21:$O$613,MATCH($A221,Market_Data!$N$21:INDEX(Market_Data!$N$21:$N$613,COUNT(Market_Data!$N$21:$N$613)),1)),""))</f>
        <v/>
      </c>
      <c r="G221" s="145" t="str">
        <f ca="1">IF($A221="","",IFERROR(INDEX(Market_Data!$R$21:$R$613,MATCH($A221,Market_Data!$Q$21:INDEX(Market_Data!$Q$21:$Q$613,COUNT(Market_Data!$Q$21:$Q$613)),1)),""))</f>
        <v/>
      </c>
      <c r="H221" s="145" t="str">
        <f ca="1">IF($A221="","",IFERROR(INDEX(Market_Data!$U$21:$U$613,MATCH($A221,Market_Data!$T$21:INDEX(Market_Data!$T$21:$T$613,COUNT(Market_Data!$T$21:$T$613)),1)),""))</f>
        <v/>
      </c>
      <c r="I221" s="146" t="str">
        <f ca="1">IF($A221="","",IFERROR(INDEX(Query1[Close],MATCH($A221,Query1[Date],1)),""))</f>
        <v/>
      </c>
    </row>
    <row r="222" spans="1:9" x14ac:dyDescent="0.3">
      <c r="A222" s="144" t="str">
        <f t="shared" ca="1" si="5"/>
        <v/>
      </c>
      <c r="B222" s="145" t="str">
        <f ca="1">IF($A222="","",IFERROR(INDEX(Market_Data!$C$21:$C$613,MATCH($A222,Market_Data!$B$21:INDEX(Market_Data!$B$21:$B$613,COUNT(Market_Data!$B$21:$B$613)),1)),""))</f>
        <v/>
      </c>
      <c r="C222" s="145" t="str">
        <f ca="1">IF($A222="","",IFERROR(INDEX(Market_Data!$F$21:$F$613,MATCH($A222,Market_Data!$E$21:INDEX(Market_Data!$E$21:$E$613,COUNT(Market_Data!$E$21:$E$613)),1)),""))</f>
        <v/>
      </c>
      <c r="D222" s="145" t="str">
        <f ca="1">IF($A222="","",IFERROR(INDEX(Market_Data!$I$21:$I$613,MATCH($A222,Market_Data!$H$21:INDEX(Market_Data!$H$21:$H$613,COUNT(Market_Data!$H$21:$H$613)),1)),""))</f>
        <v/>
      </c>
      <c r="E222" s="145" t="str">
        <f ca="1">IF($A222="","",IFERROR(INDEX(Market_Data!$L$21:$L$613,MATCH($A222,Market_Data!$K$21:INDEX(Market_Data!$K$21:$K$613,COUNT(Market_Data!$K$21:$K$613)),1)),""))</f>
        <v/>
      </c>
      <c r="F222" s="145" t="str">
        <f ca="1">IF($A222="","",IFERROR(INDEX(Market_Data!$O$21:$O$613,MATCH($A222,Market_Data!$N$21:INDEX(Market_Data!$N$21:$N$613,COUNT(Market_Data!$N$21:$N$613)),1)),""))</f>
        <v/>
      </c>
      <c r="G222" s="145" t="str">
        <f ca="1">IF($A222="","",IFERROR(INDEX(Market_Data!$R$21:$R$613,MATCH($A222,Market_Data!$Q$21:INDEX(Market_Data!$Q$21:$Q$613,COUNT(Market_Data!$Q$21:$Q$613)),1)),""))</f>
        <v/>
      </c>
      <c r="H222" s="145" t="str">
        <f ca="1">IF($A222="","",IFERROR(INDEX(Market_Data!$U$21:$U$613,MATCH($A222,Market_Data!$T$21:INDEX(Market_Data!$T$21:$T$613,COUNT(Market_Data!$T$21:$T$613)),1)),""))</f>
        <v/>
      </c>
      <c r="I222" s="146" t="str">
        <f ca="1">IF($A222="","",IFERROR(INDEX(Query1[Close],MATCH($A222,Query1[Date],1)),""))</f>
        <v/>
      </c>
    </row>
    <row r="223" spans="1:9" x14ac:dyDescent="0.3">
      <c r="A223" s="144" t="str">
        <f t="shared" ca="1" si="5"/>
        <v/>
      </c>
      <c r="B223" s="145" t="str">
        <f ca="1">IF($A223="","",IFERROR(INDEX(Market_Data!$C$21:$C$613,MATCH($A223,Market_Data!$B$21:INDEX(Market_Data!$B$21:$B$613,COUNT(Market_Data!$B$21:$B$613)),1)),""))</f>
        <v/>
      </c>
      <c r="C223" s="145" t="str">
        <f ca="1">IF($A223="","",IFERROR(INDEX(Market_Data!$F$21:$F$613,MATCH($A223,Market_Data!$E$21:INDEX(Market_Data!$E$21:$E$613,COUNT(Market_Data!$E$21:$E$613)),1)),""))</f>
        <v/>
      </c>
      <c r="D223" s="145" t="str">
        <f ca="1">IF($A223="","",IFERROR(INDEX(Market_Data!$I$21:$I$613,MATCH($A223,Market_Data!$H$21:INDEX(Market_Data!$H$21:$H$613,COUNT(Market_Data!$H$21:$H$613)),1)),""))</f>
        <v/>
      </c>
      <c r="E223" s="145" t="str">
        <f ca="1">IF($A223="","",IFERROR(INDEX(Market_Data!$L$21:$L$613,MATCH($A223,Market_Data!$K$21:INDEX(Market_Data!$K$21:$K$613,COUNT(Market_Data!$K$21:$K$613)),1)),""))</f>
        <v/>
      </c>
      <c r="F223" s="145" t="str">
        <f ca="1">IF($A223="","",IFERROR(INDEX(Market_Data!$O$21:$O$613,MATCH($A223,Market_Data!$N$21:INDEX(Market_Data!$N$21:$N$613,COUNT(Market_Data!$N$21:$N$613)),1)),""))</f>
        <v/>
      </c>
      <c r="G223" s="145" t="str">
        <f ca="1">IF($A223="","",IFERROR(INDEX(Market_Data!$R$21:$R$613,MATCH($A223,Market_Data!$Q$21:INDEX(Market_Data!$Q$21:$Q$613,COUNT(Market_Data!$Q$21:$Q$613)),1)),""))</f>
        <v/>
      </c>
      <c r="H223" s="145" t="str">
        <f ca="1">IF($A223="","",IFERROR(INDEX(Market_Data!$U$21:$U$613,MATCH($A223,Market_Data!$T$21:INDEX(Market_Data!$T$21:$T$613,COUNT(Market_Data!$T$21:$T$613)),1)),""))</f>
        <v/>
      </c>
      <c r="I223" s="146" t="str">
        <f ca="1">IF($A223="","",IFERROR(INDEX(Query1[Close],MATCH($A223,Query1[Date],1)),""))</f>
        <v/>
      </c>
    </row>
    <row r="224" spans="1:9" x14ac:dyDescent="0.3">
      <c r="A224" s="144" t="str">
        <f t="shared" ca="1" si="5"/>
        <v/>
      </c>
      <c r="B224" s="145" t="str">
        <f ca="1">IF($A224="","",IFERROR(INDEX(Market_Data!$C$21:$C$613,MATCH($A224,Market_Data!$B$21:INDEX(Market_Data!$B$21:$B$613,COUNT(Market_Data!$B$21:$B$613)),1)),""))</f>
        <v/>
      </c>
      <c r="C224" s="145" t="str">
        <f ca="1">IF($A224="","",IFERROR(INDEX(Market_Data!$F$21:$F$613,MATCH($A224,Market_Data!$E$21:INDEX(Market_Data!$E$21:$E$613,COUNT(Market_Data!$E$21:$E$613)),1)),""))</f>
        <v/>
      </c>
      <c r="D224" s="145" t="str">
        <f ca="1">IF($A224="","",IFERROR(INDEX(Market_Data!$I$21:$I$613,MATCH($A224,Market_Data!$H$21:INDEX(Market_Data!$H$21:$H$613,COUNT(Market_Data!$H$21:$H$613)),1)),""))</f>
        <v/>
      </c>
      <c r="E224" s="145" t="str">
        <f ca="1">IF($A224="","",IFERROR(INDEX(Market_Data!$L$21:$L$613,MATCH($A224,Market_Data!$K$21:INDEX(Market_Data!$K$21:$K$613,COUNT(Market_Data!$K$21:$K$613)),1)),""))</f>
        <v/>
      </c>
      <c r="F224" s="145" t="str">
        <f ca="1">IF($A224="","",IFERROR(INDEX(Market_Data!$O$21:$O$613,MATCH($A224,Market_Data!$N$21:INDEX(Market_Data!$N$21:$N$613,COUNT(Market_Data!$N$21:$N$613)),1)),""))</f>
        <v/>
      </c>
      <c r="G224" s="145" t="str">
        <f ca="1">IF($A224="","",IFERROR(INDEX(Market_Data!$R$21:$R$613,MATCH($A224,Market_Data!$Q$21:INDEX(Market_Data!$Q$21:$Q$613,COUNT(Market_Data!$Q$21:$Q$613)),1)),""))</f>
        <v/>
      </c>
      <c r="H224" s="145" t="str">
        <f ca="1">IF($A224="","",IFERROR(INDEX(Market_Data!$U$21:$U$613,MATCH($A224,Market_Data!$T$21:INDEX(Market_Data!$T$21:$T$613,COUNT(Market_Data!$T$21:$T$613)),1)),""))</f>
        <v/>
      </c>
      <c r="I224" s="146" t="str">
        <f ca="1">IF($A224="","",IFERROR(INDEX(Query1[Close],MATCH($A224,Query1[Date],1)),""))</f>
        <v/>
      </c>
    </row>
    <row r="225" spans="1:9" x14ac:dyDescent="0.3">
      <c r="A225" s="144" t="str">
        <f t="shared" ca="1" si="5"/>
        <v/>
      </c>
      <c r="B225" s="145" t="str">
        <f ca="1">IF($A225="","",IFERROR(INDEX(Market_Data!$C$21:$C$613,MATCH($A225,Market_Data!$B$21:INDEX(Market_Data!$B$21:$B$613,COUNT(Market_Data!$B$21:$B$613)),1)),""))</f>
        <v/>
      </c>
      <c r="C225" s="145" t="str">
        <f ca="1">IF($A225="","",IFERROR(INDEX(Market_Data!$F$21:$F$613,MATCH($A225,Market_Data!$E$21:INDEX(Market_Data!$E$21:$E$613,COUNT(Market_Data!$E$21:$E$613)),1)),""))</f>
        <v/>
      </c>
      <c r="D225" s="145" t="str">
        <f ca="1">IF($A225="","",IFERROR(INDEX(Market_Data!$I$21:$I$613,MATCH($A225,Market_Data!$H$21:INDEX(Market_Data!$H$21:$H$613,COUNT(Market_Data!$H$21:$H$613)),1)),""))</f>
        <v/>
      </c>
      <c r="E225" s="145" t="str">
        <f ca="1">IF($A225="","",IFERROR(INDEX(Market_Data!$L$21:$L$613,MATCH($A225,Market_Data!$K$21:INDEX(Market_Data!$K$21:$K$613,COUNT(Market_Data!$K$21:$K$613)),1)),""))</f>
        <v/>
      </c>
      <c r="F225" s="145" t="str">
        <f ca="1">IF($A225="","",IFERROR(INDEX(Market_Data!$O$21:$O$613,MATCH($A225,Market_Data!$N$21:INDEX(Market_Data!$N$21:$N$613,COUNT(Market_Data!$N$21:$N$613)),1)),""))</f>
        <v/>
      </c>
      <c r="G225" s="145" t="str">
        <f ca="1">IF($A225="","",IFERROR(INDEX(Market_Data!$R$21:$R$613,MATCH($A225,Market_Data!$Q$21:INDEX(Market_Data!$Q$21:$Q$613,COUNT(Market_Data!$Q$21:$Q$613)),1)),""))</f>
        <v/>
      </c>
      <c r="H225" s="145" t="str">
        <f ca="1">IF($A225="","",IFERROR(INDEX(Market_Data!$U$21:$U$613,MATCH($A225,Market_Data!$T$21:INDEX(Market_Data!$T$21:$T$613,COUNT(Market_Data!$T$21:$T$613)),1)),""))</f>
        <v/>
      </c>
      <c r="I225" s="146" t="str">
        <f ca="1">IF($A225="","",IFERROR(INDEX(Query1[Close],MATCH($A225,Query1[Date],1)),""))</f>
        <v/>
      </c>
    </row>
    <row r="226" spans="1:9" x14ac:dyDescent="0.3">
      <c r="A226" s="144" t="str">
        <f t="shared" ca="1" si="5"/>
        <v/>
      </c>
      <c r="B226" s="145" t="str">
        <f ca="1">IF($A226="","",IFERROR(INDEX(Market_Data!$C$21:$C$613,MATCH($A226,Market_Data!$B$21:INDEX(Market_Data!$B$21:$B$613,COUNT(Market_Data!$B$21:$B$613)),1)),""))</f>
        <v/>
      </c>
      <c r="C226" s="145" t="str">
        <f ca="1">IF($A226="","",IFERROR(INDEX(Market_Data!$F$21:$F$613,MATCH($A226,Market_Data!$E$21:INDEX(Market_Data!$E$21:$E$613,COUNT(Market_Data!$E$21:$E$613)),1)),""))</f>
        <v/>
      </c>
      <c r="D226" s="145" t="str">
        <f ca="1">IF($A226="","",IFERROR(INDEX(Market_Data!$I$21:$I$613,MATCH($A226,Market_Data!$H$21:INDEX(Market_Data!$H$21:$H$613,COUNT(Market_Data!$H$21:$H$613)),1)),""))</f>
        <v/>
      </c>
      <c r="E226" s="145" t="str">
        <f ca="1">IF($A226="","",IFERROR(INDEX(Market_Data!$L$21:$L$613,MATCH($A226,Market_Data!$K$21:INDEX(Market_Data!$K$21:$K$613,COUNT(Market_Data!$K$21:$K$613)),1)),""))</f>
        <v/>
      </c>
      <c r="F226" s="145" t="str">
        <f ca="1">IF($A226="","",IFERROR(INDEX(Market_Data!$O$21:$O$613,MATCH($A226,Market_Data!$N$21:INDEX(Market_Data!$N$21:$N$613,COUNT(Market_Data!$N$21:$N$613)),1)),""))</f>
        <v/>
      </c>
      <c r="G226" s="145" t="str">
        <f ca="1">IF($A226="","",IFERROR(INDEX(Market_Data!$R$21:$R$613,MATCH($A226,Market_Data!$Q$21:INDEX(Market_Data!$Q$21:$Q$613,COUNT(Market_Data!$Q$21:$Q$613)),1)),""))</f>
        <v/>
      </c>
      <c r="H226" s="145" t="str">
        <f ca="1">IF($A226="","",IFERROR(INDEX(Market_Data!$U$21:$U$613,MATCH($A226,Market_Data!$T$21:INDEX(Market_Data!$T$21:$T$613,COUNT(Market_Data!$T$21:$T$613)),1)),""))</f>
        <v/>
      </c>
      <c r="I226" s="146" t="str">
        <f ca="1">IF($A226="","",IFERROR(INDEX(Query1[Close],MATCH($A226,Query1[Date],1)),""))</f>
        <v/>
      </c>
    </row>
    <row r="227" spans="1:9" x14ac:dyDescent="0.3">
      <c r="A227" s="144" t="str">
        <f t="shared" ca="1" si="5"/>
        <v/>
      </c>
      <c r="B227" s="145" t="str">
        <f ca="1">IF($A227="","",IFERROR(INDEX(Market_Data!$C$21:$C$613,MATCH($A227,Market_Data!$B$21:INDEX(Market_Data!$B$21:$B$613,COUNT(Market_Data!$B$21:$B$613)),1)),""))</f>
        <v/>
      </c>
      <c r="C227" s="145" t="str">
        <f ca="1">IF($A227="","",IFERROR(INDEX(Market_Data!$F$21:$F$613,MATCH($A227,Market_Data!$E$21:INDEX(Market_Data!$E$21:$E$613,COUNT(Market_Data!$E$21:$E$613)),1)),""))</f>
        <v/>
      </c>
      <c r="D227" s="145" t="str">
        <f ca="1">IF($A227="","",IFERROR(INDEX(Market_Data!$I$21:$I$613,MATCH($A227,Market_Data!$H$21:INDEX(Market_Data!$H$21:$H$613,COUNT(Market_Data!$H$21:$H$613)),1)),""))</f>
        <v/>
      </c>
      <c r="E227" s="145" t="str">
        <f ca="1">IF($A227="","",IFERROR(INDEX(Market_Data!$L$21:$L$613,MATCH($A227,Market_Data!$K$21:INDEX(Market_Data!$K$21:$K$613,COUNT(Market_Data!$K$21:$K$613)),1)),""))</f>
        <v/>
      </c>
      <c r="F227" s="145" t="str">
        <f ca="1">IF($A227="","",IFERROR(INDEX(Market_Data!$O$21:$O$613,MATCH($A227,Market_Data!$N$21:INDEX(Market_Data!$N$21:$N$613,COUNT(Market_Data!$N$21:$N$613)),1)),""))</f>
        <v/>
      </c>
      <c r="G227" s="145" t="str">
        <f ca="1">IF($A227="","",IFERROR(INDEX(Market_Data!$R$21:$R$613,MATCH($A227,Market_Data!$Q$21:INDEX(Market_Data!$Q$21:$Q$613,COUNT(Market_Data!$Q$21:$Q$613)),1)),""))</f>
        <v/>
      </c>
      <c r="H227" s="145" t="str">
        <f ca="1">IF($A227="","",IFERROR(INDEX(Market_Data!$U$21:$U$613,MATCH($A227,Market_Data!$T$21:INDEX(Market_Data!$T$21:$T$613,COUNT(Market_Data!$T$21:$T$613)),1)),""))</f>
        <v/>
      </c>
      <c r="I227" s="146" t="str">
        <f ca="1">IF($A227="","",IFERROR(INDEX(Query1[Close],MATCH($A227,Query1[Date],1)),""))</f>
        <v/>
      </c>
    </row>
    <row r="228" spans="1:9" x14ac:dyDescent="0.3">
      <c r="A228" s="144" t="str">
        <f t="shared" ca="1" si="5"/>
        <v/>
      </c>
      <c r="B228" s="145" t="str">
        <f ca="1">IF($A228="","",IFERROR(INDEX(Market_Data!$C$21:$C$613,MATCH($A228,Market_Data!$B$21:INDEX(Market_Data!$B$21:$B$613,COUNT(Market_Data!$B$21:$B$613)),1)),""))</f>
        <v/>
      </c>
      <c r="C228" s="145" t="str">
        <f ca="1">IF($A228="","",IFERROR(INDEX(Market_Data!$F$21:$F$613,MATCH($A228,Market_Data!$E$21:INDEX(Market_Data!$E$21:$E$613,COUNT(Market_Data!$E$21:$E$613)),1)),""))</f>
        <v/>
      </c>
      <c r="D228" s="145" t="str">
        <f ca="1">IF($A228="","",IFERROR(INDEX(Market_Data!$I$21:$I$613,MATCH($A228,Market_Data!$H$21:INDEX(Market_Data!$H$21:$H$613,COUNT(Market_Data!$H$21:$H$613)),1)),""))</f>
        <v/>
      </c>
      <c r="E228" s="145" t="str">
        <f ca="1">IF($A228="","",IFERROR(INDEX(Market_Data!$L$21:$L$613,MATCH($A228,Market_Data!$K$21:INDEX(Market_Data!$K$21:$K$613,COUNT(Market_Data!$K$21:$K$613)),1)),""))</f>
        <v/>
      </c>
      <c r="F228" s="145" t="str">
        <f ca="1">IF($A228="","",IFERROR(INDEX(Market_Data!$O$21:$O$613,MATCH($A228,Market_Data!$N$21:INDEX(Market_Data!$N$21:$N$613,COUNT(Market_Data!$N$21:$N$613)),1)),""))</f>
        <v/>
      </c>
      <c r="G228" s="145" t="str">
        <f ca="1">IF($A228="","",IFERROR(INDEX(Market_Data!$R$21:$R$613,MATCH($A228,Market_Data!$Q$21:INDEX(Market_Data!$Q$21:$Q$613,COUNT(Market_Data!$Q$21:$Q$613)),1)),""))</f>
        <v/>
      </c>
      <c r="H228" s="145" t="str">
        <f ca="1">IF($A228="","",IFERROR(INDEX(Market_Data!$U$21:$U$613,MATCH($A228,Market_Data!$T$21:INDEX(Market_Data!$T$21:$T$613,COUNT(Market_Data!$T$21:$T$613)),1)),""))</f>
        <v/>
      </c>
      <c r="I228" s="146" t="str">
        <f ca="1">IF($A228="","",IFERROR(INDEX(Query1[Close],MATCH($A228,Query1[Date],1)),""))</f>
        <v/>
      </c>
    </row>
    <row r="229" spans="1:9" x14ac:dyDescent="0.3">
      <c r="A229" s="144" t="str">
        <f t="shared" ca="1" si="5"/>
        <v/>
      </c>
      <c r="B229" s="145" t="str">
        <f ca="1">IF($A229="","",IFERROR(INDEX(Market_Data!$C$21:$C$613,MATCH($A229,Market_Data!$B$21:INDEX(Market_Data!$B$21:$B$613,COUNT(Market_Data!$B$21:$B$613)),1)),""))</f>
        <v/>
      </c>
      <c r="C229" s="145" t="str">
        <f ca="1">IF($A229="","",IFERROR(INDEX(Market_Data!$F$21:$F$613,MATCH($A229,Market_Data!$E$21:INDEX(Market_Data!$E$21:$E$613,COUNT(Market_Data!$E$21:$E$613)),1)),""))</f>
        <v/>
      </c>
      <c r="D229" s="145" t="str">
        <f ca="1">IF($A229="","",IFERROR(INDEX(Market_Data!$I$21:$I$613,MATCH($A229,Market_Data!$H$21:INDEX(Market_Data!$H$21:$H$613,COUNT(Market_Data!$H$21:$H$613)),1)),""))</f>
        <v/>
      </c>
      <c r="E229" s="145" t="str">
        <f ca="1">IF($A229="","",IFERROR(INDEX(Market_Data!$L$21:$L$613,MATCH($A229,Market_Data!$K$21:INDEX(Market_Data!$K$21:$K$613,COUNT(Market_Data!$K$21:$K$613)),1)),""))</f>
        <v/>
      </c>
      <c r="F229" s="145" t="str">
        <f ca="1">IF($A229="","",IFERROR(INDEX(Market_Data!$O$21:$O$613,MATCH($A229,Market_Data!$N$21:INDEX(Market_Data!$N$21:$N$613,COUNT(Market_Data!$N$21:$N$613)),1)),""))</f>
        <v/>
      </c>
      <c r="G229" s="145" t="str">
        <f ca="1">IF($A229="","",IFERROR(INDEX(Market_Data!$R$21:$R$613,MATCH($A229,Market_Data!$Q$21:INDEX(Market_Data!$Q$21:$Q$613,COUNT(Market_Data!$Q$21:$Q$613)),1)),""))</f>
        <v/>
      </c>
      <c r="H229" s="145" t="str">
        <f ca="1">IF($A229="","",IFERROR(INDEX(Market_Data!$U$21:$U$613,MATCH($A229,Market_Data!$T$21:INDEX(Market_Data!$T$21:$T$613,COUNT(Market_Data!$T$21:$T$613)),1)),""))</f>
        <v/>
      </c>
      <c r="I229" s="146" t="str">
        <f ca="1">IF($A229="","",IFERROR(INDEX(Query1[Close],MATCH($A229,Query1[Date],1)),""))</f>
        <v/>
      </c>
    </row>
    <row r="230" spans="1:9" x14ac:dyDescent="0.3">
      <c r="A230" s="144" t="str">
        <f t="shared" ca="1" si="5"/>
        <v/>
      </c>
      <c r="B230" s="145" t="str">
        <f ca="1">IF($A230="","",IFERROR(INDEX(Market_Data!$C$21:$C$613,MATCH($A230,Market_Data!$B$21:INDEX(Market_Data!$B$21:$B$613,COUNT(Market_Data!$B$21:$B$613)),1)),""))</f>
        <v/>
      </c>
      <c r="C230" s="145" t="str">
        <f ca="1">IF($A230="","",IFERROR(INDEX(Market_Data!$F$21:$F$613,MATCH($A230,Market_Data!$E$21:INDEX(Market_Data!$E$21:$E$613,COUNT(Market_Data!$E$21:$E$613)),1)),""))</f>
        <v/>
      </c>
      <c r="D230" s="145" t="str">
        <f ca="1">IF($A230="","",IFERROR(INDEX(Market_Data!$I$21:$I$613,MATCH($A230,Market_Data!$H$21:INDEX(Market_Data!$H$21:$H$613,COUNT(Market_Data!$H$21:$H$613)),1)),""))</f>
        <v/>
      </c>
      <c r="E230" s="145" t="str">
        <f ca="1">IF($A230="","",IFERROR(INDEX(Market_Data!$L$21:$L$613,MATCH($A230,Market_Data!$K$21:INDEX(Market_Data!$K$21:$K$613,COUNT(Market_Data!$K$21:$K$613)),1)),""))</f>
        <v/>
      </c>
      <c r="F230" s="145" t="str">
        <f ca="1">IF($A230="","",IFERROR(INDEX(Market_Data!$O$21:$O$613,MATCH($A230,Market_Data!$N$21:INDEX(Market_Data!$N$21:$N$613,COUNT(Market_Data!$N$21:$N$613)),1)),""))</f>
        <v/>
      </c>
      <c r="G230" s="145" t="str">
        <f ca="1">IF($A230="","",IFERROR(INDEX(Market_Data!$R$21:$R$613,MATCH($A230,Market_Data!$Q$21:INDEX(Market_Data!$Q$21:$Q$613,COUNT(Market_Data!$Q$21:$Q$613)),1)),""))</f>
        <v/>
      </c>
      <c r="H230" s="145" t="str">
        <f ca="1">IF($A230="","",IFERROR(INDEX(Market_Data!$U$21:$U$613,MATCH($A230,Market_Data!$T$21:INDEX(Market_Data!$T$21:$T$613,COUNT(Market_Data!$T$21:$T$613)),1)),""))</f>
        <v/>
      </c>
      <c r="I230" s="146" t="str">
        <f ca="1">IF($A230="","",IFERROR(INDEX(Query1[Close],MATCH($A230,Query1[Date],1)),""))</f>
        <v/>
      </c>
    </row>
    <row r="231" spans="1:9" x14ac:dyDescent="0.3">
      <c r="A231" s="144" t="str">
        <f t="shared" ca="1" si="5"/>
        <v/>
      </c>
      <c r="B231" s="145" t="str">
        <f ca="1">IF($A231="","",IFERROR(INDEX(Market_Data!$C$21:$C$613,MATCH($A231,Market_Data!$B$21:INDEX(Market_Data!$B$21:$B$613,COUNT(Market_Data!$B$21:$B$613)),1)),""))</f>
        <v/>
      </c>
      <c r="C231" s="145" t="str">
        <f ca="1">IF($A231="","",IFERROR(INDEX(Market_Data!$F$21:$F$613,MATCH($A231,Market_Data!$E$21:INDEX(Market_Data!$E$21:$E$613,COUNT(Market_Data!$E$21:$E$613)),1)),""))</f>
        <v/>
      </c>
      <c r="D231" s="145" t="str">
        <f ca="1">IF($A231="","",IFERROR(INDEX(Market_Data!$I$21:$I$613,MATCH($A231,Market_Data!$H$21:INDEX(Market_Data!$H$21:$H$613,COUNT(Market_Data!$H$21:$H$613)),1)),""))</f>
        <v/>
      </c>
      <c r="E231" s="145" t="str">
        <f ca="1">IF($A231="","",IFERROR(INDEX(Market_Data!$L$21:$L$613,MATCH($A231,Market_Data!$K$21:INDEX(Market_Data!$K$21:$K$613,COUNT(Market_Data!$K$21:$K$613)),1)),""))</f>
        <v/>
      </c>
      <c r="F231" s="145" t="str">
        <f ca="1">IF($A231="","",IFERROR(INDEX(Market_Data!$O$21:$O$613,MATCH($A231,Market_Data!$N$21:INDEX(Market_Data!$N$21:$N$613,COUNT(Market_Data!$N$21:$N$613)),1)),""))</f>
        <v/>
      </c>
      <c r="G231" s="145" t="str">
        <f ca="1">IF($A231="","",IFERROR(INDEX(Market_Data!$R$21:$R$613,MATCH($A231,Market_Data!$Q$21:INDEX(Market_Data!$Q$21:$Q$613,COUNT(Market_Data!$Q$21:$Q$613)),1)),""))</f>
        <v/>
      </c>
      <c r="H231" s="145" t="str">
        <f ca="1">IF($A231="","",IFERROR(INDEX(Market_Data!$U$21:$U$613,MATCH($A231,Market_Data!$T$21:INDEX(Market_Data!$T$21:$T$613,COUNT(Market_Data!$T$21:$T$613)),1)),""))</f>
        <v/>
      </c>
      <c r="I231" s="146" t="str">
        <f ca="1">IF($A231="","",IFERROR(INDEX(Query1[Close],MATCH($A231,Query1[Date],1)),""))</f>
        <v/>
      </c>
    </row>
    <row r="232" spans="1:9" x14ac:dyDescent="0.3">
      <c r="A232" s="144" t="str">
        <f t="shared" ca="1" si="5"/>
        <v/>
      </c>
      <c r="B232" s="145" t="str">
        <f ca="1">IF($A232="","",IFERROR(INDEX(Market_Data!$C$21:$C$613,MATCH($A232,Market_Data!$B$21:INDEX(Market_Data!$B$21:$B$613,COUNT(Market_Data!$B$21:$B$613)),1)),""))</f>
        <v/>
      </c>
      <c r="C232" s="145" t="str">
        <f ca="1">IF($A232="","",IFERROR(INDEX(Market_Data!$F$21:$F$613,MATCH($A232,Market_Data!$E$21:INDEX(Market_Data!$E$21:$E$613,COUNT(Market_Data!$E$21:$E$613)),1)),""))</f>
        <v/>
      </c>
      <c r="D232" s="145" t="str">
        <f ca="1">IF($A232="","",IFERROR(INDEX(Market_Data!$I$21:$I$613,MATCH($A232,Market_Data!$H$21:INDEX(Market_Data!$H$21:$H$613,COUNT(Market_Data!$H$21:$H$613)),1)),""))</f>
        <v/>
      </c>
      <c r="E232" s="145" t="str">
        <f ca="1">IF($A232="","",IFERROR(INDEX(Market_Data!$L$21:$L$613,MATCH($A232,Market_Data!$K$21:INDEX(Market_Data!$K$21:$K$613,COUNT(Market_Data!$K$21:$K$613)),1)),""))</f>
        <v/>
      </c>
      <c r="F232" s="145" t="str">
        <f ca="1">IF($A232="","",IFERROR(INDEX(Market_Data!$O$21:$O$613,MATCH($A232,Market_Data!$N$21:INDEX(Market_Data!$N$21:$N$613,COUNT(Market_Data!$N$21:$N$613)),1)),""))</f>
        <v/>
      </c>
      <c r="G232" s="145" t="str">
        <f ca="1">IF($A232="","",IFERROR(INDEX(Market_Data!$R$21:$R$613,MATCH($A232,Market_Data!$Q$21:INDEX(Market_Data!$Q$21:$Q$613,COUNT(Market_Data!$Q$21:$Q$613)),1)),""))</f>
        <v/>
      </c>
      <c r="H232" s="145" t="str">
        <f ca="1">IF($A232="","",IFERROR(INDEX(Market_Data!$U$21:$U$613,MATCH($A232,Market_Data!$T$21:INDEX(Market_Data!$T$21:$T$613,COUNT(Market_Data!$T$21:$T$613)),1)),""))</f>
        <v/>
      </c>
      <c r="I232" s="146" t="str">
        <f ca="1">IF($A232="","",IFERROR(INDEX(Query1[Close],MATCH($A232,Query1[Date],1)),""))</f>
        <v/>
      </c>
    </row>
    <row r="233" spans="1:9" x14ac:dyDescent="0.3">
      <c r="A233" s="144" t="str">
        <f t="shared" ca="1" si="5"/>
        <v/>
      </c>
      <c r="B233" s="145" t="str">
        <f ca="1">IF($A233="","",IFERROR(INDEX(Market_Data!$C$21:$C$613,MATCH($A233,Market_Data!$B$21:INDEX(Market_Data!$B$21:$B$613,COUNT(Market_Data!$B$21:$B$613)),1)),""))</f>
        <v/>
      </c>
      <c r="C233" s="145" t="str">
        <f ca="1">IF($A233="","",IFERROR(INDEX(Market_Data!$F$21:$F$613,MATCH($A233,Market_Data!$E$21:INDEX(Market_Data!$E$21:$E$613,COUNT(Market_Data!$E$21:$E$613)),1)),""))</f>
        <v/>
      </c>
      <c r="D233" s="145" t="str">
        <f ca="1">IF($A233="","",IFERROR(INDEX(Market_Data!$I$21:$I$613,MATCH($A233,Market_Data!$H$21:INDEX(Market_Data!$H$21:$H$613,COUNT(Market_Data!$H$21:$H$613)),1)),""))</f>
        <v/>
      </c>
      <c r="E233" s="145" t="str">
        <f ca="1">IF($A233="","",IFERROR(INDEX(Market_Data!$L$21:$L$613,MATCH($A233,Market_Data!$K$21:INDEX(Market_Data!$K$21:$K$613,COUNT(Market_Data!$K$21:$K$613)),1)),""))</f>
        <v/>
      </c>
      <c r="F233" s="145" t="str">
        <f ca="1">IF($A233="","",IFERROR(INDEX(Market_Data!$O$21:$O$613,MATCH($A233,Market_Data!$N$21:INDEX(Market_Data!$N$21:$N$613,COUNT(Market_Data!$N$21:$N$613)),1)),""))</f>
        <v/>
      </c>
      <c r="G233" s="145" t="str">
        <f ca="1">IF($A233="","",IFERROR(INDEX(Market_Data!$R$21:$R$613,MATCH($A233,Market_Data!$Q$21:INDEX(Market_Data!$Q$21:$Q$613,COUNT(Market_Data!$Q$21:$Q$613)),1)),""))</f>
        <v/>
      </c>
      <c r="H233" s="145" t="str">
        <f ca="1">IF($A233="","",IFERROR(INDEX(Market_Data!$U$21:$U$613,MATCH($A233,Market_Data!$T$21:INDEX(Market_Data!$T$21:$T$613,COUNT(Market_Data!$T$21:$T$613)),1)),""))</f>
        <v/>
      </c>
      <c r="I233" s="146" t="str">
        <f ca="1">IF($A233="","",IFERROR(INDEX(Query1[Close],MATCH($A233,Query1[Date],1)),""))</f>
        <v/>
      </c>
    </row>
    <row r="234" spans="1:9" x14ac:dyDescent="0.3">
      <c r="A234" s="144" t="str">
        <f t="shared" ca="1" si="5"/>
        <v/>
      </c>
      <c r="B234" s="145" t="str">
        <f ca="1">IF($A234="","",IFERROR(INDEX(Market_Data!$C$21:$C$613,MATCH($A234,Market_Data!$B$21:INDEX(Market_Data!$B$21:$B$613,COUNT(Market_Data!$B$21:$B$613)),1)),""))</f>
        <v/>
      </c>
      <c r="C234" s="145" t="str">
        <f ca="1">IF($A234="","",IFERROR(INDEX(Market_Data!$F$21:$F$613,MATCH($A234,Market_Data!$E$21:INDEX(Market_Data!$E$21:$E$613,COUNT(Market_Data!$E$21:$E$613)),1)),""))</f>
        <v/>
      </c>
      <c r="D234" s="145" t="str">
        <f ca="1">IF($A234="","",IFERROR(INDEX(Market_Data!$I$21:$I$613,MATCH($A234,Market_Data!$H$21:INDEX(Market_Data!$H$21:$H$613,COUNT(Market_Data!$H$21:$H$613)),1)),""))</f>
        <v/>
      </c>
      <c r="E234" s="145" t="str">
        <f ca="1">IF($A234="","",IFERROR(INDEX(Market_Data!$L$21:$L$613,MATCH($A234,Market_Data!$K$21:INDEX(Market_Data!$K$21:$K$613,COUNT(Market_Data!$K$21:$K$613)),1)),""))</f>
        <v/>
      </c>
      <c r="F234" s="145" t="str">
        <f ca="1">IF($A234="","",IFERROR(INDEX(Market_Data!$O$21:$O$613,MATCH($A234,Market_Data!$N$21:INDEX(Market_Data!$N$21:$N$613,COUNT(Market_Data!$N$21:$N$613)),1)),""))</f>
        <v/>
      </c>
      <c r="G234" s="145" t="str">
        <f ca="1">IF($A234="","",IFERROR(INDEX(Market_Data!$R$21:$R$613,MATCH($A234,Market_Data!$Q$21:INDEX(Market_Data!$Q$21:$Q$613,COUNT(Market_Data!$Q$21:$Q$613)),1)),""))</f>
        <v/>
      </c>
      <c r="H234" s="145" t="str">
        <f ca="1">IF($A234="","",IFERROR(INDEX(Market_Data!$U$21:$U$613,MATCH($A234,Market_Data!$T$21:INDEX(Market_Data!$T$21:$T$613,COUNT(Market_Data!$T$21:$T$613)),1)),""))</f>
        <v/>
      </c>
      <c r="I234" s="146" t="str">
        <f ca="1">IF($A234="","",IFERROR(INDEX(Query1[Close],MATCH($A234,Query1[Date],1)),""))</f>
        <v/>
      </c>
    </row>
    <row r="235" spans="1:9" x14ac:dyDescent="0.3">
      <c r="A235" s="144" t="str">
        <f t="shared" ca="1" si="5"/>
        <v/>
      </c>
      <c r="B235" s="145" t="str">
        <f ca="1">IF($A235="","",IFERROR(INDEX(Market_Data!$C$21:$C$613,MATCH($A235,Market_Data!$B$21:INDEX(Market_Data!$B$21:$B$613,COUNT(Market_Data!$B$21:$B$613)),1)),""))</f>
        <v/>
      </c>
      <c r="C235" s="145" t="str">
        <f ca="1">IF($A235="","",IFERROR(INDEX(Market_Data!$F$21:$F$613,MATCH($A235,Market_Data!$E$21:INDEX(Market_Data!$E$21:$E$613,COUNT(Market_Data!$E$21:$E$613)),1)),""))</f>
        <v/>
      </c>
      <c r="D235" s="145" t="str">
        <f ca="1">IF($A235="","",IFERROR(INDEX(Market_Data!$I$21:$I$613,MATCH($A235,Market_Data!$H$21:INDEX(Market_Data!$H$21:$H$613,COUNT(Market_Data!$H$21:$H$613)),1)),""))</f>
        <v/>
      </c>
      <c r="E235" s="145" t="str">
        <f ca="1">IF($A235="","",IFERROR(INDEX(Market_Data!$L$21:$L$613,MATCH($A235,Market_Data!$K$21:INDEX(Market_Data!$K$21:$K$613,COUNT(Market_Data!$K$21:$K$613)),1)),""))</f>
        <v/>
      </c>
      <c r="F235" s="145" t="str">
        <f ca="1">IF($A235="","",IFERROR(INDEX(Market_Data!$O$21:$O$613,MATCH($A235,Market_Data!$N$21:INDEX(Market_Data!$N$21:$N$613,COUNT(Market_Data!$N$21:$N$613)),1)),""))</f>
        <v/>
      </c>
      <c r="G235" s="145" t="str">
        <f ca="1">IF($A235="","",IFERROR(INDEX(Market_Data!$R$21:$R$613,MATCH($A235,Market_Data!$Q$21:INDEX(Market_Data!$Q$21:$Q$613,COUNT(Market_Data!$Q$21:$Q$613)),1)),""))</f>
        <v/>
      </c>
      <c r="H235" s="145" t="str">
        <f ca="1">IF($A235="","",IFERROR(INDEX(Market_Data!$U$21:$U$613,MATCH($A235,Market_Data!$T$21:INDEX(Market_Data!$T$21:$T$613,COUNT(Market_Data!$T$21:$T$613)),1)),""))</f>
        <v/>
      </c>
      <c r="I235" s="146" t="str">
        <f ca="1">IF($A235="","",IFERROR(INDEX(Query1[Close],MATCH($A235,Query1[Date],1)),""))</f>
        <v/>
      </c>
    </row>
    <row r="236" spans="1:9" x14ac:dyDescent="0.3">
      <c r="A236" s="144" t="str">
        <f t="shared" ca="1" si="5"/>
        <v/>
      </c>
      <c r="B236" s="145" t="str">
        <f ca="1">IF($A236="","",IFERROR(INDEX(Market_Data!$C$21:$C$613,MATCH($A236,Market_Data!$B$21:INDEX(Market_Data!$B$21:$B$613,COUNT(Market_Data!$B$21:$B$613)),1)),""))</f>
        <v/>
      </c>
      <c r="C236" s="145" t="str">
        <f ca="1">IF($A236="","",IFERROR(INDEX(Market_Data!$F$21:$F$613,MATCH($A236,Market_Data!$E$21:INDEX(Market_Data!$E$21:$E$613,COUNT(Market_Data!$E$21:$E$613)),1)),""))</f>
        <v/>
      </c>
      <c r="D236" s="145" t="str">
        <f ca="1">IF($A236="","",IFERROR(INDEX(Market_Data!$I$21:$I$613,MATCH($A236,Market_Data!$H$21:INDEX(Market_Data!$H$21:$H$613,COUNT(Market_Data!$H$21:$H$613)),1)),""))</f>
        <v/>
      </c>
      <c r="E236" s="145" t="str">
        <f ca="1">IF($A236="","",IFERROR(INDEX(Market_Data!$L$21:$L$613,MATCH($A236,Market_Data!$K$21:INDEX(Market_Data!$K$21:$K$613,COUNT(Market_Data!$K$21:$K$613)),1)),""))</f>
        <v/>
      </c>
      <c r="F236" s="145" t="str">
        <f ca="1">IF($A236="","",IFERROR(INDEX(Market_Data!$O$21:$O$613,MATCH($A236,Market_Data!$N$21:INDEX(Market_Data!$N$21:$N$613,COUNT(Market_Data!$N$21:$N$613)),1)),""))</f>
        <v/>
      </c>
      <c r="G236" s="145" t="str">
        <f ca="1">IF($A236="","",IFERROR(INDEX(Market_Data!$R$21:$R$613,MATCH($A236,Market_Data!$Q$21:INDEX(Market_Data!$Q$21:$Q$613,COUNT(Market_Data!$Q$21:$Q$613)),1)),""))</f>
        <v/>
      </c>
      <c r="H236" s="145" t="str">
        <f ca="1">IF($A236="","",IFERROR(INDEX(Market_Data!$U$21:$U$613,MATCH($A236,Market_Data!$T$21:INDEX(Market_Data!$T$21:$T$613,COUNT(Market_Data!$T$21:$T$613)),1)),""))</f>
        <v/>
      </c>
      <c r="I236" s="146" t="str">
        <f ca="1">IF($A236="","",IFERROR(INDEX(Query1[Close],MATCH($A236,Query1[Date],1)),""))</f>
        <v/>
      </c>
    </row>
    <row r="237" spans="1:9" x14ac:dyDescent="0.3">
      <c r="A237" s="144" t="str">
        <f t="shared" ca="1" si="5"/>
        <v/>
      </c>
      <c r="B237" s="145" t="str">
        <f ca="1">IF($A237="","",IFERROR(INDEX(Market_Data!$C$21:$C$613,MATCH($A237,Market_Data!$B$21:INDEX(Market_Data!$B$21:$B$613,COUNT(Market_Data!$B$21:$B$613)),1)),""))</f>
        <v/>
      </c>
      <c r="C237" s="145" t="str">
        <f ca="1">IF($A237="","",IFERROR(INDEX(Market_Data!$F$21:$F$613,MATCH($A237,Market_Data!$E$21:INDEX(Market_Data!$E$21:$E$613,COUNT(Market_Data!$E$21:$E$613)),1)),""))</f>
        <v/>
      </c>
      <c r="D237" s="145" t="str">
        <f ca="1">IF($A237="","",IFERROR(INDEX(Market_Data!$I$21:$I$613,MATCH($A237,Market_Data!$H$21:INDEX(Market_Data!$H$21:$H$613,COUNT(Market_Data!$H$21:$H$613)),1)),""))</f>
        <v/>
      </c>
      <c r="E237" s="145" t="str">
        <f ca="1">IF($A237="","",IFERROR(INDEX(Market_Data!$L$21:$L$613,MATCH($A237,Market_Data!$K$21:INDEX(Market_Data!$K$21:$K$613,COUNT(Market_Data!$K$21:$K$613)),1)),""))</f>
        <v/>
      </c>
      <c r="F237" s="145" t="str">
        <f ca="1">IF($A237="","",IFERROR(INDEX(Market_Data!$O$21:$O$613,MATCH($A237,Market_Data!$N$21:INDEX(Market_Data!$N$21:$N$613,COUNT(Market_Data!$N$21:$N$613)),1)),""))</f>
        <v/>
      </c>
      <c r="G237" s="145" t="str">
        <f ca="1">IF($A237="","",IFERROR(INDEX(Market_Data!$R$21:$R$613,MATCH($A237,Market_Data!$Q$21:INDEX(Market_Data!$Q$21:$Q$613,COUNT(Market_Data!$Q$21:$Q$613)),1)),""))</f>
        <v/>
      </c>
      <c r="H237" s="145" t="str">
        <f ca="1">IF($A237="","",IFERROR(INDEX(Market_Data!$U$21:$U$613,MATCH($A237,Market_Data!$T$21:INDEX(Market_Data!$T$21:$T$613,COUNT(Market_Data!$T$21:$T$613)),1)),""))</f>
        <v/>
      </c>
      <c r="I237" s="146" t="str">
        <f ca="1">IF($A237="","",IFERROR(INDEX(Query1[Close],MATCH($A237,Query1[Date],1)),""))</f>
        <v/>
      </c>
    </row>
    <row r="238" spans="1:9" x14ac:dyDescent="0.3">
      <c r="A238" s="144" t="str">
        <f t="shared" ca="1" si="5"/>
        <v/>
      </c>
      <c r="B238" s="145" t="str">
        <f ca="1">IF($A238="","",IFERROR(INDEX(Market_Data!$C$21:$C$613,MATCH($A238,Market_Data!$B$21:INDEX(Market_Data!$B$21:$B$613,COUNT(Market_Data!$B$21:$B$613)),1)),""))</f>
        <v/>
      </c>
      <c r="C238" s="145" t="str">
        <f ca="1">IF($A238="","",IFERROR(INDEX(Market_Data!$F$21:$F$613,MATCH($A238,Market_Data!$E$21:INDEX(Market_Data!$E$21:$E$613,COUNT(Market_Data!$E$21:$E$613)),1)),""))</f>
        <v/>
      </c>
      <c r="D238" s="145" t="str">
        <f ca="1">IF($A238="","",IFERROR(INDEX(Market_Data!$I$21:$I$613,MATCH($A238,Market_Data!$H$21:INDEX(Market_Data!$H$21:$H$613,COUNT(Market_Data!$H$21:$H$613)),1)),""))</f>
        <v/>
      </c>
      <c r="E238" s="145" t="str">
        <f ca="1">IF($A238="","",IFERROR(INDEX(Market_Data!$L$21:$L$613,MATCH($A238,Market_Data!$K$21:INDEX(Market_Data!$K$21:$K$613,COUNT(Market_Data!$K$21:$K$613)),1)),""))</f>
        <v/>
      </c>
      <c r="F238" s="145" t="str">
        <f ca="1">IF($A238="","",IFERROR(INDEX(Market_Data!$O$21:$O$613,MATCH($A238,Market_Data!$N$21:INDEX(Market_Data!$N$21:$N$613,COUNT(Market_Data!$N$21:$N$613)),1)),""))</f>
        <v/>
      </c>
      <c r="G238" s="145" t="str">
        <f ca="1">IF($A238="","",IFERROR(INDEX(Market_Data!$R$21:$R$613,MATCH($A238,Market_Data!$Q$21:INDEX(Market_Data!$Q$21:$Q$613,COUNT(Market_Data!$Q$21:$Q$613)),1)),""))</f>
        <v/>
      </c>
      <c r="H238" s="145" t="str">
        <f ca="1">IF($A238="","",IFERROR(INDEX(Market_Data!$U$21:$U$613,MATCH($A238,Market_Data!$T$21:INDEX(Market_Data!$T$21:$T$613,COUNT(Market_Data!$T$21:$T$613)),1)),""))</f>
        <v/>
      </c>
      <c r="I238" s="146" t="str">
        <f ca="1">IF($A238="","",IFERROR(INDEX(Query1[Close],MATCH($A238,Query1[Date],1)),""))</f>
        <v/>
      </c>
    </row>
    <row r="239" spans="1:9" x14ac:dyDescent="0.3">
      <c r="A239" s="144" t="str">
        <f t="shared" ca="1" si="5"/>
        <v/>
      </c>
      <c r="B239" s="145" t="str">
        <f ca="1">IF($A239="","",IFERROR(INDEX(Market_Data!$C$21:$C$613,MATCH($A239,Market_Data!$B$21:INDEX(Market_Data!$B$21:$B$613,COUNT(Market_Data!$B$21:$B$613)),1)),""))</f>
        <v/>
      </c>
      <c r="C239" s="145" t="str">
        <f ca="1">IF($A239="","",IFERROR(INDEX(Market_Data!$F$21:$F$613,MATCH($A239,Market_Data!$E$21:INDEX(Market_Data!$E$21:$E$613,COUNT(Market_Data!$E$21:$E$613)),1)),""))</f>
        <v/>
      </c>
      <c r="D239" s="145" t="str">
        <f ca="1">IF($A239="","",IFERROR(INDEX(Market_Data!$I$21:$I$613,MATCH($A239,Market_Data!$H$21:INDEX(Market_Data!$H$21:$H$613,COUNT(Market_Data!$H$21:$H$613)),1)),""))</f>
        <v/>
      </c>
      <c r="E239" s="145" t="str">
        <f ca="1">IF($A239="","",IFERROR(INDEX(Market_Data!$L$21:$L$613,MATCH($A239,Market_Data!$K$21:INDEX(Market_Data!$K$21:$K$613,COUNT(Market_Data!$K$21:$K$613)),1)),""))</f>
        <v/>
      </c>
      <c r="F239" s="145" t="str">
        <f ca="1">IF($A239="","",IFERROR(INDEX(Market_Data!$O$21:$O$613,MATCH($A239,Market_Data!$N$21:INDEX(Market_Data!$N$21:$N$613,COUNT(Market_Data!$N$21:$N$613)),1)),""))</f>
        <v/>
      </c>
      <c r="G239" s="145" t="str">
        <f ca="1">IF($A239="","",IFERROR(INDEX(Market_Data!$R$21:$R$613,MATCH($A239,Market_Data!$Q$21:INDEX(Market_Data!$Q$21:$Q$613,COUNT(Market_Data!$Q$21:$Q$613)),1)),""))</f>
        <v/>
      </c>
      <c r="H239" s="145" t="str">
        <f ca="1">IF($A239="","",IFERROR(INDEX(Market_Data!$U$21:$U$613,MATCH($A239,Market_Data!$T$21:INDEX(Market_Data!$T$21:$T$613,COUNT(Market_Data!$T$21:$T$613)),1)),""))</f>
        <v/>
      </c>
      <c r="I239" s="146" t="str">
        <f ca="1">IF($A239="","",IFERROR(INDEX(Query1[Close],MATCH($A239,Query1[Date],1)),""))</f>
        <v/>
      </c>
    </row>
    <row r="240" spans="1:9" x14ac:dyDescent="0.3">
      <c r="A240" s="144" t="str">
        <f t="shared" ca="1" si="5"/>
        <v/>
      </c>
      <c r="B240" s="145" t="str">
        <f ca="1">IF($A240="","",IFERROR(INDEX(Market_Data!$C$21:$C$613,MATCH($A240,Market_Data!$B$21:INDEX(Market_Data!$B$21:$B$613,COUNT(Market_Data!$B$21:$B$613)),1)),""))</f>
        <v/>
      </c>
      <c r="C240" s="145" t="str">
        <f ca="1">IF($A240="","",IFERROR(INDEX(Market_Data!$F$21:$F$613,MATCH($A240,Market_Data!$E$21:INDEX(Market_Data!$E$21:$E$613,COUNT(Market_Data!$E$21:$E$613)),1)),""))</f>
        <v/>
      </c>
      <c r="D240" s="145" t="str">
        <f ca="1">IF($A240="","",IFERROR(INDEX(Market_Data!$I$21:$I$613,MATCH($A240,Market_Data!$H$21:INDEX(Market_Data!$H$21:$H$613,COUNT(Market_Data!$H$21:$H$613)),1)),""))</f>
        <v/>
      </c>
      <c r="E240" s="145" t="str">
        <f ca="1">IF($A240="","",IFERROR(INDEX(Market_Data!$L$21:$L$613,MATCH($A240,Market_Data!$K$21:INDEX(Market_Data!$K$21:$K$613,COUNT(Market_Data!$K$21:$K$613)),1)),""))</f>
        <v/>
      </c>
      <c r="F240" s="145" t="str">
        <f ca="1">IF($A240="","",IFERROR(INDEX(Market_Data!$O$21:$O$613,MATCH($A240,Market_Data!$N$21:INDEX(Market_Data!$N$21:$N$613,COUNT(Market_Data!$N$21:$N$613)),1)),""))</f>
        <v/>
      </c>
      <c r="G240" s="145" t="str">
        <f ca="1">IF($A240="","",IFERROR(INDEX(Market_Data!$R$21:$R$613,MATCH($A240,Market_Data!$Q$21:INDEX(Market_Data!$Q$21:$Q$613,COUNT(Market_Data!$Q$21:$Q$613)),1)),""))</f>
        <v/>
      </c>
      <c r="H240" s="145" t="str">
        <f ca="1">IF($A240="","",IFERROR(INDEX(Market_Data!$U$21:$U$613,MATCH($A240,Market_Data!$T$21:INDEX(Market_Data!$T$21:$T$613,COUNT(Market_Data!$T$21:$T$613)),1)),""))</f>
        <v/>
      </c>
      <c r="I240" s="146" t="str">
        <f ca="1">IF($A240="","",IFERROR(INDEX(Query1[Close],MATCH($A240,Query1[Date],1)),""))</f>
        <v/>
      </c>
    </row>
    <row r="241" spans="1:9" x14ac:dyDescent="0.3">
      <c r="A241" s="144" t="str">
        <f t="shared" ca="1" si="5"/>
        <v/>
      </c>
      <c r="B241" s="145" t="str">
        <f ca="1">IF($A241="","",IFERROR(INDEX(Market_Data!$C$21:$C$613,MATCH($A241,Market_Data!$B$21:INDEX(Market_Data!$B$21:$B$613,COUNT(Market_Data!$B$21:$B$613)),1)),""))</f>
        <v/>
      </c>
      <c r="C241" s="145" t="str">
        <f ca="1">IF($A241="","",IFERROR(INDEX(Market_Data!$F$21:$F$613,MATCH($A241,Market_Data!$E$21:INDEX(Market_Data!$E$21:$E$613,COUNT(Market_Data!$E$21:$E$613)),1)),""))</f>
        <v/>
      </c>
      <c r="D241" s="145" t="str">
        <f ca="1">IF($A241="","",IFERROR(INDEX(Market_Data!$I$21:$I$613,MATCH($A241,Market_Data!$H$21:INDEX(Market_Data!$H$21:$H$613,COUNT(Market_Data!$H$21:$H$613)),1)),""))</f>
        <v/>
      </c>
      <c r="E241" s="145" t="str">
        <f ca="1">IF($A241="","",IFERROR(INDEX(Market_Data!$L$21:$L$613,MATCH($A241,Market_Data!$K$21:INDEX(Market_Data!$K$21:$K$613,COUNT(Market_Data!$K$21:$K$613)),1)),""))</f>
        <v/>
      </c>
      <c r="F241" s="145" t="str">
        <f ca="1">IF($A241="","",IFERROR(INDEX(Market_Data!$O$21:$O$613,MATCH($A241,Market_Data!$N$21:INDEX(Market_Data!$N$21:$N$613,COUNT(Market_Data!$N$21:$N$613)),1)),""))</f>
        <v/>
      </c>
      <c r="G241" s="145" t="str">
        <f ca="1">IF($A241="","",IFERROR(INDEX(Market_Data!$R$21:$R$613,MATCH($A241,Market_Data!$Q$21:INDEX(Market_Data!$Q$21:$Q$613,COUNT(Market_Data!$Q$21:$Q$613)),1)),""))</f>
        <v/>
      </c>
      <c r="H241" s="145" t="str">
        <f ca="1">IF($A241="","",IFERROR(INDEX(Market_Data!$U$21:$U$613,MATCH($A241,Market_Data!$T$21:INDEX(Market_Data!$T$21:$T$613,COUNT(Market_Data!$T$21:$T$613)),1)),""))</f>
        <v/>
      </c>
      <c r="I241" s="146" t="str">
        <f ca="1">IF($A241="","",IFERROR(INDEX(Query1[Close],MATCH($A241,Query1[Date],1)),""))</f>
        <v/>
      </c>
    </row>
    <row r="242" spans="1:9" x14ac:dyDescent="0.3">
      <c r="A242" s="144" t="str">
        <f t="shared" ca="1" si="5"/>
        <v/>
      </c>
      <c r="B242" s="145" t="str">
        <f ca="1">IF($A242="","",IFERROR(INDEX(Market_Data!$C$21:$C$613,MATCH($A242,Market_Data!$B$21:INDEX(Market_Data!$B$21:$B$613,COUNT(Market_Data!$B$21:$B$613)),1)),""))</f>
        <v/>
      </c>
      <c r="C242" s="145" t="str">
        <f ca="1">IF($A242="","",IFERROR(INDEX(Market_Data!$F$21:$F$613,MATCH($A242,Market_Data!$E$21:INDEX(Market_Data!$E$21:$E$613,COUNT(Market_Data!$E$21:$E$613)),1)),""))</f>
        <v/>
      </c>
      <c r="D242" s="145" t="str">
        <f ca="1">IF($A242="","",IFERROR(INDEX(Market_Data!$I$21:$I$613,MATCH($A242,Market_Data!$H$21:INDEX(Market_Data!$H$21:$H$613,COUNT(Market_Data!$H$21:$H$613)),1)),""))</f>
        <v/>
      </c>
      <c r="E242" s="145" t="str">
        <f ca="1">IF($A242="","",IFERROR(INDEX(Market_Data!$L$21:$L$613,MATCH($A242,Market_Data!$K$21:INDEX(Market_Data!$K$21:$K$613,COUNT(Market_Data!$K$21:$K$613)),1)),""))</f>
        <v/>
      </c>
      <c r="F242" s="145" t="str">
        <f ca="1">IF($A242="","",IFERROR(INDEX(Market_Data!$O$21:$O$613,MATCH($A242,Market_Data!$N$21:INDEX(Market_Data!$N$21:$N$613,COUNT(Market_Data!$N$21:$N$613)),1)),""))</f>
        <v/>
      </c>
      <c r="G242" s="145" t="str">
        <f ca="1">IF($A242="","",IFERROR(INDEX(Market_Data!$R$21:$R$613,MATCH($A242,Market_Data!$Q$21:INDEX(Market_Data!$Q$21:$Q$613,COUNT(Market_Data!$Q$21:$Q$613)),1)),""))</f>
        <v/>
      </c>
      <c r="H242" s="145" t="str">
        <f ca="1">IF($A242="","",IFERROR(INDEX(Market_Data!$U$21:$U$613,MATCH($A242,Market_Data!$T$21:INDEX(Market_Data!$T$21:$T$613,COUNT(Market_Data!$T$21:$T$613)),1)),""))</f>
        <v/>
      </c>
      <c r="I242" s="146" t="str">
        <f ca="1">IF($A242="","",IFERROR(INDEX(Query1[Close],MATCH($A242,Query1[Date],1)),""))</f>
        <v/>
      </c>
    </row>
    <row r="243" spans="1:9" x14ac:dyDescent="0.3">
      <c r="A243" s="144" t="str">
        <f t="shared" ca="1" si="5"/>
        <v/>
      </c>
      <c r="B243" s="145" t="str">
        <f ca="1">IF($A243="","",IFERROR(INDEX(Market_Data!$C$21:$C$613,MATCH($A243,Market_Data!$B$21:INDEX(Market_Data!$B$21:$B$613,COUNT(Market_Data!$B$21:$B$613)),1)),""))</f>
        <v/>
      </c>
      <c r="C243" s="145" t="str">
        <f ca="1">IF($A243="","",IFERROR(INDEX(Market_Data!$F$21:$F$613,MATCH($A243,Market_Data!$E$21:INDEX(Market_Data!$E$21:$E$613,COUNT(Market_Data!$E$21:$E$613)),1)),""))</f>
        <v/>
      </c>
      <c r="D243" s="145" t="str">
        <f ca="1">IF($A243="","",IFERROR(INDEX(Market_Data!$I$21:$I$613,MATCH($A243,Market_Data!$H$21:INDEX(Market_Data!$H$21:$H$613,COUNT(Market_Data!$H$21:$H$613)),1)),""))</f>
        <v/>
      </c>
      <c r="E243" s="145" t="str">
        <f ca="1">IF($A243="","",IFERROR(INDEX(Market_Data!$L$21:$L$613,MATCH($A243,Market_Data!$K$21:INDEX(Market_Data!$K$21:$K$613,COUNT(Market_Data!$K$21:$K$613)),1)),""))</f>
        <v/>
      </c>
      <c r="F243" s="145" t="str">
        <f ca="1">IF($A243="","",IFERROR(INDEX(Market_Data!$O$21:$O$613,MATCH($A243,Market_Data!$N$21:INDEX(Market_Data!$N$21:$N$613,COUNT(Market_Data!$N$21:$N$613)),1)),""))</f>
        <v/>
      </c>
      <c r="G243" s="145" t="str">
        <f ca="1">IF($A243="","",IFERROR(INDEX(Market_Data!$R$21:$R$613,MATCH($A243,Market_Data!$Q$21:INDEX(Market_Data!$Q$21:$Q$613,COUNT(Market_Data!$Q$21:$Q$613)),1)),""))</f>
        <v/>
      </c>
      <c r="H243" s="145" t="str">
        <f ca="1">IF($A243="","",IFERROR(INDEX(Market_Data!$U$21:$U$613,MATCH($A243,Market_Data!$T$21:INDEX(Market_Data!$T$21:$T$613,COUNT(Market_Data!$T$21:$T$613)),1)),""))</f>
        <v/>
      </c>
      <c r="I243" s="146" t="str">
        <f ca="1">IF($A243="","",IFERROR(INDEX(Query1[Close],MATCH($A243,Query1[Date],1)),""))</f>
        <v/>
      </c>
    </row>
    <row r="244" spans="1:9" x14ac:dyDescent="0.3">
      <c r="A244" s="144" t="str">
        <f t="shared" ca="1" si="5"/>
        <v/>
      </c>
      <c r="B244" s="145" t="str">
        <f ca="1">IF($A244="","",IFERROR(INDEX(Market_Data!$C$21:$C$613,MATCH($A244,Market_Data!$B$21:INDEX(Market_Data!$B$21:$B$613,COUNT(Market_Data!$B$21:$B$613)),1)),""))</f>
        <v/>
      </c>
      <c r="C244" s="145" t="str">
        <f ca="1">IF($A244="","",IFERROR(INDEX(Market_Data!$F$21:$F$613,MATCH($A244,Market_Data!$E$21:INDEX(Market_Data!$E$21:$E$613,COUNT(Market_Data!$E$21:$E$613)),1)),""))</f>
        <v/>
      </c>
      <c r="D244" s="145" t="str">
        <f ca="1">IF($A244="","",IFERROR(INDEX(Market_Data!$I$21:$I$613,MATCH($A244,Market_Data!$H$21:INDEX(Market_Data!$H$21:$H$613,COUNT(Market_Data!$H$21:$H$613)),1)),""))</f>
        <v/>
      </c>
      <c r="E244" s="145" t="str">
        <f ca="1">IF($A244="","",IFERROR(INDEX(Market_Data!$L$21:$L$613,MATCH($A244,Market_Data!$K$21:INDEX(Market_Data!$K$21:$K$613,COUNT(Market_Data!$K$21:$K$613)),1)),""))</f>
        <v/>
      </c>
      <c r="F244" s="145" t="str">
        <f ca="1">IF($A244="","",IFERROR(INDEX(Market_Data!$O$21:$O$613,MATCH($A244,Market_Data!$N$21:INDEX(Market_Data!$N$21:$N$613,COUNT(Market_Data!$N$21:$N$613)),1)),""))</f>
        <v/>
      </c>
      <c r="G244" s="145" t="str">
        <f ca="1">IF($A244="","",IFERROR(INDEX(Market_Data!$R$21:$R$613,MATCH($A244,Market_Data!$Q$21:INDEX(Market_Data!$Q$21:$Q$613,COUNT(Market_Data!$Q$21:$Q$613)),1)),""))</f>
        <v/>
      </c>
      <c r="H244" s="145" t="str">
        <f ca="1">IF($A244="","",IFERROR(INDEX(Market_Data!$U$21:$U$613,MATCH($A244,Market_Data!$T$21:INDEX(Market_Data!$T$21:$T$613,COUNT(Market_Data!$T$21:$T$613)),1)),""))</f>
        <v/>
      </c>
      <c r="I244" s="146" t="str">
        <f ca="1">IF($A244="","",IFERROR(INDEX(Query1[Close],MATCH($A244,Query1[Date],1)),""))</f>
        <v/>
      </c>
    </row>
    <row r="245" spans="1:9" x14ac:dyDescent="0.3">
      <c r="A245" s="144" t="str">
        <f t="shared" ca="1" si="5"/>
        <v/>
      </c>
      <c r="B245" s="145" t="str">
        <f ca="1">IF($A245="","",IFERROR(INDEX(Market_Data!$C$21:$C$613,MATCH($A245,Market_Data!$B$21:INDEX(Market_Data!$B$21:$B$613,COUNT(Market_Data!$B$21:$B$613)),1)),""))</f>
        <v/>
      </c>
      <c r="C245" s="145" t="str">
        <f ca="1">IF($A245="","",IFERROR(INDEX(Market_Data!$F$21:$F$613,MATCH($A245,Market_Data!$E$21:INDEX(Market_Data!$E$21:$E$613,COUNT(Market_Data!$E$21:$E$613)),1)),""))</f>
        <v/>
      </c>
      <c r="D245" s="145" t="str">
        <f ca="1">IF($A245="","",IFERROR(INDEX(Market_Data!$I$21:$I$613,MATCH($A245,Market_Data!$H$21:INDEX(Market_Data!$H$21:$H$613,COUNT(Market_Data!$H$21:$H$613)),1)),""))</f>
        <v/>
      </c>
      <c r="E245" s="145" t="str">
        <f ca="1">IF($A245="","",IFERROR(INDEX(Market_Data!$L$21:$L$613,MATCH($A245,Market_Data!$K$21:INDEX(Market_Data!$K$21:$K$613,COUNT(Market_Data!$K$21:$K$613)),1)),""))</f>
        <v/>
      </c>
      <c r="F245" s="145" t="str">
        <f ca="1">IF($A245="","",IFERROR(INDEX(Market_Data!$O$21:$O$613,MATCH($A245,Market_Data!$N$21:INDEX(Market_Data!$N$21:$N$613,COUNT(Market_Data!$N$21:$N$613)),1)),""))</f>
        <v/>
      </c>
      <c r="G245" s="145" t="str">
        <f ca="1">IF($A245="","",IFERROR(INDEX(Market_Data!$R$21:$R$613,MATCH($A245,Market_Data!$Q$21:INDEX(Market_Data!$Q$21:$Q$613,COUNT(Market_Data!$Q$21:$Q$613)),1)),""))</f>
        <v/>
      </c>
      <c r="H245" s="145" t="str">
        <f ca="1">IF($A245="","",IFERROR(INDEX(Market_Data!$U$21:$U$613,MATCH($A245,Market_Data!$T$21:INDEX(Market_Data!$T$21:$T$613,COUNT(Market_Data!$T$21:$T$613)),1)),""))</f>
        <v/>
      </c>
      <c r="I245" s="146" t="str">
        <f ca="1">IF($A245="","",IFERROR(INDEX(Query1[Close],MATCH($A245,Query1[Date],1)),""))</f>
        <v/>
      </c>
    </row>
    <row r="246" spans="1:9" x14ac:dyDescent="0.3">
      <c r="A246" s="144" t="str">
        <f t="shared" ca="1" si="5"/>
        <v/>
      </c>
      <c r="B246" s="145" t="str">
        <f ca="1">IF($A246="","",IFERROR(INDEX(Market_Data!$C$21:$C$613,MATCH($A246,Market_Data!$B$21:INDEX(Market_Data!$B$21:$B$613,COUNT(Market_Data!$B$21:$B$613)),1)),""))</f>
        <v/>
      </c>
      <c r="C246" s="145" t="str">
        <f ca="1">IF($A246="","",IFERROR(INDEX(Market_Data!$F$21:$F$613,MATCH($A246,Market_Data!$E$21:INDEX(Market_Data!$E$21:$E$613,COUNT(Market_Data!$E$21:$E$613)),1)),""))</f>
        <v/>
      </c>
      <c r="D246" s="145" t="str">
        <f ca="1">IF($A246="","",IFERROR(INDEX(Market_Data!$I$21:$I$613,MATCH($A246,Market_Data!$H$21:INDEX(Market_Data!$H$21:$H$613,COUNT(Market_Data!$H$21:$H$613)),1)),""))</f>
        <v/>
      </c>
      <c r="E246" s="145" t="str">
        <f ca="1">IF($A246="","",IFERROR(INDEX(Market_Data!$L$21:$L$613,MATCH($A246,Market_Data!$K$21:INDEX(Market_Data!$K$21:$K$613,COUNT(Market_Data!$K$21:$K$613)),1)),""))</f>
        <v/>
      </c>
      <c r="F246" s="145" t="str">
        <f ca="1">IF($A246="","",IFERROR(INDEX(Market_Data!$O$21:$O$613,MATCH($A246,Market_Data!$N$21:INDEX(Market_Data!$N$21:$N$613,COUNT(Market_Data!$N$21:$N$613)),1)),""))</f>
        <v/>
      </c>
      <c r="G246" s="145" t="str">
        <f ca="1">IF($A246="","",IFERROR(INDEX(Market_Data!$R$21:$R$613,MATCH($A246,Market_Data!$Q$21:INDEX(Market_Data!$Q$21:$Q$613,COUNT(Market_Data!$Q$21:$Q$613)),1)),""))</f>
        <v/>
      </c>
      <c r="H246" s="145" t="str">
        <f ca="1">IF($A246="","",IFERROR(INDEX(Market_Data!$U$21:$U$613,MATCH($A246,Market_Data!$T$21:INDEX(Market_Data!$T$21:$T$613,COUNT(Market_Data!$T$21:$T$613)),1)),""))</f>
        <v/>
      </c>
      <c r="I246" s="146" t="str">
        <f ca="1">IF($A246="","",IFERROR(INDEX(Query1[Close],MATCH($A246,Query1[Date],1)),""))</f>
        <v/>
      </c>
    </row>
    <row r="247" spans="1:9" x14ac:dyDescent="0.3">
      <c r="A247" s="144" t="str">
        <f t="shared" ca="1" si="5"/>
        <v/>
      </c>
      <c r="B247" s="145" t="str">
        <f ca="1">IF($A247="","",IFERROR(INDEX(Market_Data!$C$21:$C$613,MATCH($A247,Market_Data!$B$21:INDEX(Market_Data!$B$21:$B$613,COUNT(Market_Data!$B$21:$B$613)),1)),""))</f>
        <v/>
      </c>
      <c r="C247" s="145" t="str">
        <f ca="1">IF($A247="","",IFERROR(INDEX(Market_Data!$F$21:$F$613,MATCH($A247,Market_Data!$E$21:INDEX(Market_Data!$E$21:$E$613,COUNT(Market_Data!$E$21:$E$613)),1)),""))</f>
        <v/>
      </c>
      <c r="D247" s="145" t="str">
        <f ca="1">IF($A247="","",IFERROR(INDEX(Market_Data!$I$21:$I$613,MATCH($A247,Market_Data!$H$21:INDEX(Market_Data!$H$21:$H$613,COUNT(Market_Data!$H$21:$H$613)),1)),""))</f>
        <v/>
      </c>
      <c r="E247" s="145" t="str">
        <f ca="1">IF($A247="","",IFERROR(INDEX(Market_Data!$L$21:$L$613,MATCH($A247,Market_Data!$K$21:INDEX(Market_Data!$K$21:$K$613,COUNT(Market_Data!$K$21:$K$613)),1)),""))</f>
        <v/>
      </c>
      <c r="F247" s="145" t="str">
        <f ca="1">IF($A247="","",IFERROR(INDEX(Market_Data!$O$21:$O$613,MATCH($A247,Market_Data!$N$21:INDEX(Market_Data!$N$21:$N$613,COUNT(Market_Data!$N$21:$N$613)),1)),""))</f>
        <v/>
      </c>
      <c r="G247" s="145" t="str">
        <f ca="1">IF($A247="","",IFERROR(INDEX(Market_Data!$R$21:$R$613,MATCH($A247,Market_Data!$Q$21:INDEX(Market_Data!$Q$21:$Q$613,COUNT(Market_Data!$Q$21:$Q$613)),1)),""))</f>
        <v/>
      </c>
      <c r="H247" s="145" t="str">
        <f ca="1">IF($A247="","",IFERROR(INDEX(Market_Data!$U$21:$U$613,MATCH($A247,Market_Data!$T$21:INDEX(Market_Data!$T$21:$T$613,COUNT(Market_Data!$T$21:$T$613)),1)),""))</f>
        <v/>
      </c>
      <c r="I247" s="146" t="str">
        <f ca="1">IF($A247="","",IFERROR(INDEX(Query1[Close],MATCH($A247,Query1[Date],1)),""))</f>
        <v/>
      </c>
    </row>
    <row r="248" spans="1:9" x14ac:dyDescent="0.3">
      <c r="A248" s="144" t="str">
        <f t="shared" ca="1" si="5"/>
        <v/>
      </c>
      <c r="B248" s="145" t="str">
        <f ca="1">IF($A248="","",IFERROR(INDEX(Market_Data!$C$21:$C$613,MATCH($A248,Market_Data!$B$21:INDEX(Market_Data!$B$21:$B$613,COUNT(Market_Data!$B$21:$B$613)),1)),""))</f>
        <v/>
      </c>
      <c r="C248" s="145" t="str">
        <f ca="1">IF($A248="","",IFERROR(INDEX(Market_Data!$F$21:$F$613,MATCH($A248,Market_Data!$E$21:INDEX(Market_Data!$E$21:$E$613,COUNT(Market_Data!$E$21:$E$613)),1)),""))</f>
        <v/>
      </c>
      <c r="D248" s="145" t="str">
        <f ca="1">IF($A248="","",IFERROR(INDEX(Market_Data!$I$21:$I$613,MATCH($A248,Market_Data!$H$21:INDEX(Market_Data!$H$21:$H$613,COUNT(Market_Data!$H$21:$H$613)),1)),""))</f>
        <v/>
      </c>
      <c r="E248" s="145" t="str">
        <f ca="1">IF($A248="","",IFERROR(INDEX(Market_Data!$L$21:$L$613,MATCH($A248,Market_Data!$K$21:INDEX(Market_Data!$K$21:$K$613,COUNT(Market_Data!$K$21:$K$613)),1)),""))</f>
        <v/>
      </c>
      <c r="F248" s="145" t="str">
        <f ca="1">IF($A248="","",IFERROR(INDEX(Market_Data!$O$21:$O$613,MATCH($A248,Market_Data!$N$21:INDEX(Market_Data!$N$21:$N$613,COUNT(Market_Data!$N$21:$N$613)),1)),""))</f>
        <v/>
      </c>
      <c r="G248" s="145" t="str">
        <f ca="1">IF($A248="","",IFERROR(INDEX(Market_Data!$R$21:$R$613,MATCH($A248,Market_Data!$Q$21:INDEX(Market_Data!$Q$21:$Q$613,COUNT(Market_Data!$Q$21:$Q$613)),1)),""))</f>
        <v/>
      </c>
      <c r="H248" s="145" t="str">
        <f ca="1">IF($A248="","",IFERROR(INDEX(Market_Data!$U$21:$U$613,MATCH($A248,Market_Data!$T$21:INDEX(Market_Data!$T$21:$T$613,COUNT(Market_Data!$T$21:$T$613)),1)),""))</f>
        <v/>
      </c>
      <c r="I248" s="146" t="str">
        <f ca="1">IF($A248="","",IFERROR(INDEX(Query1[Close],MATCH($A248,Query1[Date],1)),""))</f>
        <v/>
      </c>
    </row>
    <row r="249" spans="1:9" x14ac:dyDescent="0.3">
      <c r="A249" s="144" t="str">
        <f t="shared" ca="1" si="5"/>
        <v/>
      </c>
      <c r="B249" s="145" t="str">
        <f ca="1">IF($A249="","",IFERROR(INDEX(Market_Data!$C$21:$C$613,MATCH($A249,Market_Data!$B$21:INDEX(Market_Data!$B$21:$B$613,COUNT(Market_Data!$B$21:$B$613)),1)),""))</f>
        <v/>
      </c>
      <c r="C249" s="145" t="str">
        <f ca="1">IF($A249="","",IFERROR(INDEX(Market_Data!$F$21:$F$613,MATCH($A249,Market_Data!$E$21:INDEX(Market_Data!$E$21:$E$613,COUNT(Market_Data!$E$21:$E$613)),1)),""))</f>
        <v/>
      </c>
      <c r="D249" s="145" t="str">
        <f ca="1">IF($A249="","",IFERROR(INDEX(Market_Data!$I$21:$I$613,MATCH($A249,Market_Data!$H$21:INDEX(Market_Data!$H$21:$H$613,COUNT(Market_Data!$H$21:$H$613)),1)),""))</f>
        <v/>
      </c>
      <c r="E249" s="145" t="str">
        <f ca="1">IF($A249="","",IFERROR(INDEX(Market_Data!$L$21:$L$613,MATCH($A249,Market_Data!$K$21:INDEX(Market_Data!$K$21:$K$613,COUNT(Market_Data!$K$21:$K$613)),1)),""))</f>
        <v/>
      </c>
      <c r="F249" s="145" t="str">
        <f ca="1">IF($A249="","",IFERROR(INDEX(Market_Data!$O$21:$O$613,MATCH($A249,Market_Data!$N$21:INDEX(Market_Data!$N$21:$N$613,COUNT(Market_Data!$N$21:$N$613)),1)),""))</f>
        <v/>
      </c>
      <c r="G249" s="145" t="str">
        <f ca="1">IF($A249="","",IFERROR(INDEX(Market_Data!$R$21:$R$613,MATCH($A249,Market_Data!$Q$21:INDEX(Market_Data!$Q$21:$Q$613,COUNT(Market_Data!$Q$21:$Q$613)),1)),""))</f>
        <v/>
      </c>
      <c r="H249" s="145" t="str">
        <f ca="1">IF($A249="","",IFERROR(INDEX(Market_Data!$U$21:$U$613,MATCH($A249,Market_Data!$T$21:INDEX(Market_Data!$T$21:$T$613,COUNT(Market_Data!$T$21:$T$613)),1)),""))</f>
        <v/>
      </c>
      <c r="I249" s="146" t="str">
        <f ca="1">IF($A249="","",IFERROR(INDEX(Query1[Close],MATCH($A249,Query1[Date],1)),""))</f>
        <v/>
      </c>
    </row>
    <row r="250" spans="1:9" x14ac:dyDescent="0.3">
      <c r="A250" s="144" t="str">
        <f t="shared" ca="1" si="5"/>
        <v/>
      </c>
      <c r="B250" s="145" t="str">
        <f ca="1">IF($A250="","",IFERROR(INDEX(Market_Data!$C$21:$C$613,MATCH($A250,Market_Data!$B$21:INDEX(Market_Data!$B$21:$B$613,COUNT(Market_Data!$B$21:$B$613)),1)),""))</f>
        <v/>
      </c>
      <c r="C250" s="145" t="str">
        <f ca="1">IF($A250="","",IFERROR(INDEX(Market_Data!$F$21:$F$613,MATCH($A250,Market_Data!$E$21:INDEX(Market_Data!$E$21:$E$613,COUNT(Market_Data!$E$21:$E$613)),1)),""))</f>
        <v/>
      </c>
      <c r="D250" s="145" t="str">
        <f ca="1">IF($A250="","",IFERROR(INDEX(Market_Data!$I$21:$I$613,MATCH($A250,Market_Data!$H$21:INDEX(Market_Data!$H$21:$H$613,COUNT(Market_Data!$H$21:$H$613)),1)),""))</f>
        <v/>
      </c>
      <c r="E250" s="145" t="str">
        <f ca="1">IF($A250="","",IFERROR(INDEX(Market_Data!$L$21:$L$613,MATCH($A250,Market_Data!$K$21:INDEX(Market_Data!$K$21:$K$613,COUNT(Market_Data!$K$21:$K$613)),1)),""))</f>
        <v/>
      </c>
      <c r="F250" s="145" t="str">
        <f ca="1">IF($A250="","",IFERROR(INDEX(Market_Data!$O$21:$O$613,MATCH($A250,Market_Data!$N$21:INDEX(Market_Data!$N$21:$N$613,COUNT(Market_Data!$N$21:$N$613)),1)),""))</f>
        <v/>
      </c>
      <c r="G250" s="145" t="str">
        <f ca="1">IF($A250="","",IFERROR(INDEX(Market_Data!$R$21:$R$613,MATCH($A250,Market_Data!$Q$21:INDEX(Market_Data!$Q$21:$Q$613,COUNT(Market_Data!$Q$21:$Q$613)),1)),""))</f>
        <v/>
      </c>
      <c r="H250" s="145" t="str">
        <f ca="1">IF($A250="","",IFERROR(INDEX(Market_Data!$U$21:$U$613,MATCH($A250,Market_Data!$T$21:INDEX(Market_Data!$T$21:$T$613,COUNT(Market_Data!$T$21:$T$613)),1)),""))</f>
        <v/>
      </c>
      <c r="I250" s="146" t="str">
        <f ca="1">IF($A250="","",IFERROR(INDEX(Query1[Close],MATCH($A250,Query1[Date],1)),""))</f>
        <v/>
      </c>
    </row>
    <row r="251" spans="1:9" x14ac:dyDescent="0.3">
      <c r="A251" s="144" t="str">
        <f t="shared" ca="1" si="5"/>
        <v/>
      </c>
      <c r="B251" s="145" t="str">
        <f ca="1">IF($A251="","",IFERROR(INDEX(Market_Data!$C$21:$C$613,MATCH($A251,Market_Data!$B$21:INDEX(Market_Data!$B$21:$B$613,COUNT(Market_Data!$B$21:$B$613)),1)),""))</f>
        <v/>
      </c>
      <c r="C251" s="145" t="str">
        <f ca="1">IF($A251="","",IFERROR(INDEX(Market_Data!$F$21:$F$613,MATCH($A251,Market_Data!$E$21:INDEX(Market_Data!$E$21:$E$613,COUNT(Market_Data!$E$21:$E$613)),1)),""))</f>
        <v/>
      </c>
      <c r="D251" s="145" t="str">
        <f ca="1">IF($A251="","",IFERROR(INDEX(Market_Data!$I$21:$I$613,MATCH($A251,Market_Data!$H$21:INDEX(Market_Data!$H$21:$H$613,COUNT(Market_Data!$H$21:$H$613)),1)),""))</f>
        <v/>
      </c>
      <c r="E251" s="145" t="str">
        <f ca="1">IF($A251="","",IFERROR(INDEX(Market_Data!$L$21:$L$613,MATCH($A251,Market_Data!$K$21:INDEX(Market_Data!$K$21:$K$613,COUNT(Market_Data!$K$21:$K$613)),1)),""))</f>
        <v/>
      </c>
      <c r="F251" s="145" t="str">
        <f ca="1">IF($A251="","",IFERROR(INDEX(Market_Data!$O$21:$O$613,MATCH($A251,Market_Data!$N$21:INDEX(Market_Data!$N$21:$N$613,COUNT(Market_Data!$N$21:$N$613)),1)),""))</f>
        <v/>
      </c>
      <c r="G251" s="145" t="str">
        <f ca="1">IF($A251="","",IFERROR(INDEX(Market_Data!$R$21:$R$613,MATCH($A251,Market_Data!$Q$21:INDEX(Market_Data!$Q$21:$Q$613,COUNT(Market_Data!$Q$21:$Q$613)),1)),""))</f>
        <v/>
      </c>
      <c r="H251" s="145" t="str">
        <f ca="1">IF($A251="","",IFERROR(INDEX(Market_Data!$U$21:$U$613,MATCH($A251,Market_Data!$T$21:INDEX(Market_Data!$T$21:$T$613,COUNT(Market_Data!$T$21:$T$613)),1)),""))</f>
        <v/>
      </c>
      <c r="I251" s="146" t="str">
        <f ca="1">IF($A251="","",IFERROR(INDEX(Query1[Close],MATCH($A251,Query1[Date],1)),""))</f>
        <v/>
      </c>
    </row>
    <row r="252" spans="1:9" x14ac:dyDescent="0.3">
      <c r="A252" s="144" t="str">
        <f t="shared" ca="1" si="5"/>
        <v/>
      </c>
      <c r="B252" s="145" t="str">
        <f ca="1">IF($A252="","",IFERROR(INDEX(Market_Data!$C$21:$C$613,MATCH($A252,Market_Data!$B$21:INDEX(Market_Data!$B$21:$B$613,COUNT(Market_Data!$B$21:$B$613)),1)),""))</f>
        <v/>
      </c>
      <c r="C252" s="145" t="str">
        <f ca="1">IF($A252="","",IFERROR(INDEX(Market_Data!$F$21:$F$613,MATCH($A252,Market_Data!$E$21:INDEX(Market_Data!$E$21:$E$613,COUNT(Market_Data!$E$21:$E$613)),1)),""))</f>
        <v/>
      </c>
      <c r="D252" s="145" t="str">
        <f ca="1">IF($A252="","",IFERROR(INDEX(Market_Data!$I$21:$I$613,MATCH($A252,Market_Data!$H$21:INDEX(Market_Data!$H$21:$H$613,COUNT(Market_Data!$H$21:$H$613)),1)),""))</f>
        <v/>
      </c>
      <c r="E252" s="145" t="str">
        <f ca="1">IF($A252="","",IFERROR(INDEX(Market_Data!$L$21:$L$613,MATCH($A252,Market_Data!$K$21:INDEX(Market_Data!$K$21:$K$613,COUNT(Market_Data!$K$21:$K$613)),1)),""))</f>
        <v/>
      </c>
      <c r="F252" s="145" t="str">
        <f ca="1">IF($A252="","",IFERROR(INDEX(Market_Data!$O$21:$O$613,MATCH($A252,Market_Data!$N$21:INDEX(Market_Data!$N$21:$N$613,COUNT(Market_Data!$N$21:$N$613)),1)),""))</f>
        <v/>
      </c>
      <c r="G252" s="145" t="str">
        <f ca="1">IF($A252="","",IFERROR(INDEX(Market_Data!$R$21:$R$613,MATCH($A252,Market_Data!$Q$21:INDEX(Market_Data!$Q$21:$Q$613,COUNT(Market_Data!$Q$21:$Q$613)),1)),""))</f>
        <v/>
      </c>
      <c r="H252" s="145" t="str">
        <f ca="1">IF($A252="","",IFERROR(INDEX(Market_Data!$U$21:$U$613,MATCH($A252,Market_Data!$T$21:INDEX(Market_Data!$T$21:$T$613,COUNT(Market_Data!$T$21:$T$613)),1)),""))</f>
        <v/>
      </c>
      <c r="I252" s="146" t="str">
        <f ca="1">IF($A252="","",IFERROR(INDEX(Query1[Close],MATCH($A252,Query1[Date],1)),""))</f>
        <v/>
      </c>
    </row>
    <row r="253" spans="1:9" x14ac:dyDescent="0.3">
      <c r="A253" s="144" t="str">
        <f t="shared" ca="1" si="5"/>
        <v/>
      </c>
      <c r="B253" s="145" t="str">
        <f ca="1">IF($A253="","",IFERROR(INDEX(Market_Data!$C$21:$C$613,MATCH($A253,Market_Data!$B$21:INDEX(Market_Data!$B$21:$B$613,COUNT(Market_Data!$B$21:$B$613)),1)),""))</f>
        <v/>
      </c>
      <c r="C253" s="145" t="str">
        <f ca="1">IF($A253="","",IFERROR(INDEX(Market_Data!$F$21:$F$613,MATCH($A253,Market_Data!$E$21:INDEX(Market_Data!$E$21:$E$613,COUNT(Market_Data!$E$21:$E$613)),1)),""))</f>
        <v/>
      </c>
      <c r="D253" s="145" t="str">
        <f ca="1">IF($A253="","",IFERROR(INDEX(Market_Data!$I$21:$I$613,MATCH($A253,Market_Data!$H$21:INDEX(Market_Data!$H$21:$H$613,COUNT(Market_Data!$H$21:$H$613)),1)),""))</f>
        <v/>
      </c>
      <c r="E253" s="145" t="str">
        <f ca="1">IF($A253="","",IFERROR(INDEX(Market_Data!$L$21:$L$613,MATCH($A253,Market_Data!$K$21:INDEX(Market_Data!$K$21:$K$613,COUNT(Market_Data!$K$21:$K$613)),1)),""))</f>
        <v/>
      </c>
      <c r="F253" s="145" t="str">
        <f ca="1">IF($A253="","",IFERROR(INDEX(Market_Data!$O$21:$O$613,MATCH($A253,Market_Data!$N$21:INDEX(Market_Data!$N$21:$N$613,COUNT(Market_Data!$N$21:$N$613)),1)),""))</f>
        <v/>
      </c>
      <c r="G253" s="145" t="str">
        <f ca="1">IF($A253="","",IFERROR(INDEX(Market_Data!$R$21:$R$613,MATCH($A253,Market_Data!$Q$21:INDEX(Market_Data!$Q$21:$Q$613,COUNT(Market_Data!$Q$21:$Q$613)),1)),""))</f>
        <v/>
      </c>
      <c r="H253" s="145" t="str">
        <f ca="1">IF($A253="","",IFERROR(INDEX(Market_Data!$U$21:$U$613,MATCH($A253,Market_Data!$T$21:INDEX(Market_Data!$T$21:$T$613,COUNT(Market_Data!$T$21:$T$613)),1)),""))</f>
        <v/>
      </c>
      <c r="I253" s="146" t="str">
        <f ca="1">IF($A253="","",IFERROR(INDEX(Query1[Close],MATCH($A253,Query1[Date],1)),""))</f>
        <v/>
      </c>
    </row>
    <row r="254" spans="1:9" x14ac:dyDescent="0.3">
      <c r="A254" s="144" t="str">
        <f t="shared" ca="1" si="5"/>
        <v/>
      </c>
      <c r="B254" s="145" t="str">
        <f ca="1">IF($A254="","",IFERROR(INDEX(Market_Data!$C$21:$C$613,MATCH($A254,Market_Data!$B$21:INDEX(Market_Data!$B$21:$B$613,COUNT(Market_Data!$B$21:$B$613)),1)),""))</f>
        <v/>
      </c>
      <c r="C254" s="145" t="str">
        <f ca="1">IF($A254="","",IFERROR(INDEX(Market_Data!$F$21:$F$613,MATCH($A254,Market_Data!$E$21:INDEX(Market_Data!$E$21:$E$613,COUNT(Market_Data!$E$21:$E$613)),1)),""))</f>
        <v/>
      </c>
      <c r="D254" s="145" t="str">
        <f ca="1">IF($A254="","",IFERROR(INDEX(Market_Data!$I$21:$I$613,MATCH($A254,Market_Data!$H$21:INDEX(Market_Data!$H$21:$H$613,COUNT(Market_Data!$H$21:$H$613)),1)),""))</f>
        <v/>
      </c>
      <c r="E254" s="145" t="str">
        <f ca="1">IF($A254="","",IFERROR(INDEX(Market_Data!$L$21:$L$613,MATCH($A254,Market_Data!$K$21:INDEX(Market_Data!$K$21:$K$613,COUNT(Market_Data!$K$21:$K$613)),1)),""))</f>
        <v/>
      </c>
      <c r="F254" s="145" t="str">
        <f ca="1">IF($A254="","",IFERROR(INDEX(Market_Data!$O$21:$O$613,MATCH($A254,Market_Data!$N$21:INDEX(Market_Data!$N$21:$N$613,COUNT(Market_Data!$N$21:$N$613)),1)),""))</f>
        <v/>
      </c>
      <c r="G254" s="145" t="str">
        <f ca="1">IF($A254="","",IFERROR(INDEX(Market_Data!$R$21:$R$613,MATCH($A254,Market_Data!$Q$21:INDEX(Market_Data!$Q$21:$Q$613,COUNT(Market_Data!$Q$21:$Q$613)),1)),""))</f>
        <v/>
      </c>
      <c r="H254" s="145" t="str">
        <f ca="1">IF($A254="","",IFERROR(INDEX(Market_Data!$U$21:$U$613,MATCH($A254,Market_Data!$T$21:INDEX(Market_Data!$T$21:$T$613,COUNT(Market_Data!$T$21:$T$613)),1)),""))</f>
        <v/>
      </c>
      <c r="I254" s="146" t="str">
        <f ca="1">IF($A254="","",IFERROR(INDEX(Query1[Close],MATCH($A254,Query1[Date],1)),""))</f>
        <v/>
      </c>
    </row>
    <row r="255" spans="1:9" x14ac:dyDescent="0.3">
      <c r="A255" s="144" t="str">
        <f t="shared" ca="1" si="5"/>
        <v/>
      </c>
      <c r="B255" s="145" t="str">
        <f ca="1">IF($A255="","",IFERROR(INDEX(Market_Data!$C$21:$C$613,MATCH($A255,Market_Data!$B$21:INDEX(Market_Data!$B$21:$B$613,COUNT(Market_Data!$B$21:$B$613)),1)),""))</f>
        <v/>
      </c>
      <c r="C255" s="145" t="str">
        <f ca="1">IF($A255="","",IFERROR(INDEX(Market_Data!$F$21:$F$613,MATCH($A255,Market_Data!$E$21:INDEX(Market_Data!$E$21:$E$613,COUNT(Market_Data!$E$21:$E$613)),1)),""))</f>
        <v/>
      </c>
      <c r="D255" s="145" t="str">
        <f ca="1">IF($A255="","",IFERROR(INDEX(Market_Data!$I$21:$I$613,MATCH($A255,Market_Data!$H$21:INDEX(Market_Data!$H$21:$H$613,COUNT(Market_Data!$H$21:$H$613)),1)),""))</f>
        <v/>
      </c>
      <c r="E255" s="145" t="str">
        <f ca="1">IF($A255="","",IFERROR(INDEX(Market_Data!$L$21:$L$613,MATCH($A255,Market_Data!$K$21:INDEX(Market_Data!$K$21:$K$613,COUNT(Market_Data!$K$21:$K$613)),1)),""))</f>
        <v/>
      </c>
      <c r="F255" s="145" t="str">
        <f ca="1">IF($A255="","",IFERROR(INDEX(Market_Data!$O$21:$O$613,MATCH($A255,Market_Data!$N$21:INDEX(Market_Data!$N$21:$N$613,COUNT(Market_Data!$N$21:$N$613)),1)),""))</f>
        <v/>
      </c>
      <c r="G255" s="145" t="str">
        <f ca="1">IF($A255="","",IFERROR(INDEX(Market_Data!$R$21:$R$613,MATCH($A255,Market_Data!$Q$21:INDEX(Market_Data!$Q$21:$Q$613,COUNT(Market_Data!$Q$21:$Q$613)),1)),""))</f>
        <v/>
      </c>
      <c r="H255" s="145" t="str">
        <f ca="1">IF($A255="","",IFERROR(INDEX(Market_Data!$U$21:$U$613,MATCH($A255,Market_Data!$T$21:INDEX(Market_Data!$T$21:$T$613,COUNT(Market_Data!$T$21:$T$613)),1)),""))</f>
        <v/>
      </c>
      <c r="I255" s="146" t="str">
        <f ca="1">IF($A255="","",IFERROR(INDEX(Query1[Close],MATCH($A255,Query1[Date],1)),""))</f>
        <v/>
      </c>
    </row>
    <row r="256" spans="1:9" x14ac:dyDescent="0.3">
      <c r="A256" s="144" t="str">
        <f t="shared" ca="1" si="5"/>
        <v/>
      </c>
      <c r="B256" s="145" t="str">
        <f ca="1">IF($A256="","",IFERROR(INDEX(Market_Data!$C$21:$C$613,MATCH($A256,Market_Data!$B$21:INDEX(Market_Data!$B$21:$B$613,COUNT(Market_Data!$B$21:$B$613)),1)),""))</f>
        <v/>
      </c>
      <c r="C256" s="145" t="str">
        <f ca="1">IF($A256="","",IFERROR(INDEX(Market_Data!$F$21:$F$613,MATCH($A256,Market_Data!$E$21:INDEX(Market_Data!$E$21:$E$613,COUNT(Market_Data!$E$21:$E$613)),1)),""))</f>
        <v/>
      </c>
      <c r="D256" s="145" t="str">
        <f ca="1">IF($A256="","",IFERROR(INDEX(Market_Data!$I$21:$I$613,MATCH($A256,Market_Data!$H$21:INDEX(Market_Data!$H$21:$H$613,COUNT(Market_Data!$H$21:$H$613)),1)),""))</f>
        <v/>
      </c>
      <c r="E256" s="145" t="str">
        <f ca="1">IF($A256="","",IFERROR(INDEX(Market_Data!$L$21:$L$613,MATCH($A256,Market_Data!$K$21:INDEX(Market_Data!$K$21:$K$613,COUNT(Market_Data!$K$21:$K$613)),1)),""))</f>
        <v/>
      </c>
      <c r="F256" s="145" t="str">
        <f ca="1">IF($A256="","",IFERROR(INDEX(Market_Data!$O$21:$O$613,MATCH($A256,Market_Data!$N$21:INDEX(Market_Data!$N$21:$N$613,COUNT(Market_Data!$N$21:$N$613)),1)),""))</f>
        <v/>
      </c>
      <c r="G256" s="145" t="str">
        <f ca="1">IF($A256="","",IFERROR(INDEX(Market_Data!$R$21:$R$613,MATCH($A256,Market_Data!$Q$21:INDEX(Market_Data!$Q$21:$Q$613,COUNT(Market_Data!$Q$21:$Q$613)),1)),""))</f>
        <v/>
      </c>
      <c r="H256" s="145" t="str">
        <f ca="1">IF($A256="","",IFERROR(INDEX(Market_Data!$U$21:$U$613,MATCH($A256,Market_Data!$T$21:INDEX(Market_Data!$T$21:$T$613,COUNT(Market_Data!$T$21:$T$613)),1)),""))</f>
        <v/>
      </c>
      <c r="I256" s="146" t="str">
        <f ca="1">IF($A256="","",IFERROR(INDEX(Query1[Close],MATCH($A256,Query1[Date],1)),""))</f>
        <v/>
      </c>
    </row>
    <row r="257" spans="1:9" x14ac:dyDescent="0.3">
      <c r="A257" s="144" t="str">
        <f t="shared" ca="1" si="5"/>
        <v/>
      </c>
      <c r="B257" s="145" t="str">
        <f ca="1">IF($A257="","",IFERROR(INDEX(Market_Data!$C$21:$C$613,MATCH($A257,Market_Data!$B$21:INDEX(Market_Data!$B$21:$B$613,COUNT(Market_Data!$B$21:$B$613)),1)),""))</f>
        <v/>
      </c>
      <c r="C257" s="145" t="str">
        <f ca="1">IF($A257="","",IFERROR(INDEX(Market_Data!$F$21:$F$613,MATCH($A257,Market_Data!$E$21:INDEX(Market_Data!$E$21:$E$613,COUNT(Market_Data!$E$21:$E$613)),1)),""))</f>
        <v/>
      </c>
      <c r="D257" s="145" t="str">
        <f ca="1">IF($A257="","",IFERROR(INDEX(Market_Data!$I$21:$I$613,MATCH($A257,Market_Data!$H$21:INDEX(Market_Data!$H$21:$H$613,COUNT(Market_Data!$H$21:$H$613)),1)),""))</f>
        <v/>
      </c>
      <c r="E257" s="145" t="str">
        <f ca="1">IF($A257="","",IFERROR(INDEX(Market_Data!$L$21:$L$613,MATCH($A257,Market_Data!$K$21:INDEX(Market_Data!$K$21:$K$613,COUNT(Market_Data!$K$21:$K$613)),1)),""))</f>
        <v/>
      </c>
      <c r="F257" s="145" t="str">
        <f ca="1">IF($A257="","",IFERROR(INDEX(Market_Data!$O$21:$O$613,MATCH($A257,Market_Data!$N$21:INDEX(Market_Data!$N$21:$N$613,COUNT(Market_Data!$N$21:$N$613)),1)),""))</f>
        <v/>
      </c>
      <c r="G257" s="145" t="str">
        <f ca="1">IF($A257="","",IFERROR(INDEX(Market_Data!$R$21:$R$613,MATCH($A257,Market_Data!$Q$21:INDEX(Market_Data!$Q$21:$Q$613,COUNT(Market_Data!$Q$21:$Q$613)),1)),""))</f>
        <v/>
      </c>
      <c r="H257" s="145" t="str">
        <f ca="1">IF($A257="","",IFERROR(INDEX(Market_Data!$U$21:$U$613,MATCH($A257,Market_Data!$T$21:INDEX(Market_Data!$T$21:$T$613,COUNT(Market_Data!$T$21:$T$613)),1)),""))</f>
        <v/>
      </c>
      <c r="I257" s="146" t="str">
        <f ca="1">IF($A257="","",IFERROR(INDEX(Query1[Close],MATCH($A257,Query1[Date],1)),""))</f>
        <v/>
      </c>
    </row>
    <row r="258" spans="1:9" x14ac:dyDescent="0.3">
      <c r="A258" s="144" t="str">
        <f t="shared" ca="1" si="5"/>
        <v/>
      </c>
      <c r="B258" s="145" t="str">
        <f ca="1">IF($A258="","",IFERROR(INDEX(Market_Data!$C$21:$C$613,MATCH($A258,Market_Data!$B$21:INDEX(Market_Data!$B$21:$B$613,COUNT(Market_Data!$B$21:$B$613)),1)),""))</f>
        <v/>
      </c>
      <c r="C258" s="145" t="str">
        <f ca="1">IF($A258="","",IFERROR(INDEX(Market_Data!$F$21:$F$613,MATCH($A258,Market_Data!$E$21:INDEX(Market_Data!$E$21:$E$613,COUNT(Market_Data!$E$21:$E$613)),1)),""))</f>
        <v/>
      </c>
      <c r="D258" s="145" t="str">
        <f ca="1">IF($A258="","",IFERROR(INDEX(Market_Data!$I$21:$I$613,MATCH($A258,Market_Data!$H$21:INDEX(Market_Data!$H$21:$H$613,COUNT(Market_Data!$H$21:$H$613)),1)),""))</f>
        <v/>
      </c>
      <c r="E258" s="145" t="str">
        <f ca="1">IF($A258="","",IFERROR(INDEX(Market_Data!$L$21:$L$613,MATCH($A258,Market_Data!$K$21:INDEX(Market_Data!$K$21:$K$613,COUNT(Market_Data!$K$21:$K$613)),1)),""))</f>
        <v/>
      </c>
      <c r="F258" s="145" t="str">
        <f ca="1">IF($A258="","",IFERROR(INDEX(Market_Data!$O$21:$O$613,MATCH($A258,Market_Data!$N$21:INDEX(Market_Data!$N$21:$N$613,COUNT(Market_Data!$N$21:$N$613)),1)),""))</f>
        <v/>
      </c>
      <c r="G258" s="145" t="str">
        <f ca="1">IF($A258="","",IFERROR(INDEX(Market_Data!$R$21:$R$613,MATCH($A258,Market_Data!$Q$21:INDEX(Market_Data!$Q$21:$Q$613,COUNT(Market_Data!$Q$21:$Q$613)),1)),""))</f>
        <v/>
      </c>
      <c r="H258" s="145" t="str">
        <f ca="1">IF($A258="","",IFERROR(INDEX(Market_Data!$U$21:$U$613,MATCH($A258,Market_Data!$T$21:INDEX(Market_Data!$T$21:$T$613,COUNT(Market_Data!$T$21:$T$613)),1)),""))</f>
        <v/>
      </c>
      <c r="I258" s="146" t="str">
        <f ca="1">IF($A258="","",IFERROR(INDEX(Query1[Close],MATCH($A258,Query1[Date],1)),""))</f>
        <v/>
      </c>
    </row>
    <row r="259" spans="1:9" x14ac:dyDescent="0.3">
      <c r="A259" s="144" t="str">
        <f t="shared" ca="1" si="5"/>
        <v/>
      </c>
      <c r="B259" s="145" t="str">
        <f ca="1">IF($A259="","",IFERROR(INDEX(Market_Data!$C$21:$C$613,MATCH($A259,Market_Data!$B$21:INDEX(Market_Data!$B$21:$B$613,COUNT(Market_Data!$B$21:$B$613)),1)),""))</f>
        <v/>
      </c>
      <c r="C259" s="145" t="str">
        <f ca="1">IF($A259="","",IFERROR(INDEX(Market_Data!$F$21:$F$613,MATCH($A259,Market_Data!$E$21:INDEX(Market_Data!$E$21:$E$613,COUNT(Market_Data!$E$21:$E$613)),1)),""))</f>
        <v/>
      </c>
      <c r="D259" s="145" t="str">
        <f ca="1">IF($A259="","",IFERROR(INDEX(Market_Data!$I$21:$I$613,MATCH($A259,Market_Data!$H$21:INDEX(Market_Data!$H$21:$H$613,COUNT(Market_Data!$H$21:$H$613)),1)),""))</f>
        <v/>
      </c>
      <c r="E259" s="145" t="str">
        <f ca="1">IF($A259="","",IFERROR(INDEX(Market_Data!$L$21:$L$613,MATCH($A259,Market_Data!$K$21:INDEX(Market_Data!$K$21:$K$613,COUNT(Market_Data!$K$21:$K$613)),1)),""))</f>
        <v/>
      </c>
      <c r="F259" s="145" t="str">
        <f ca="1">IF($A259="","",IFERROR(INDEX(Market_Data!$O$21:$O$613,MATCH($A259,Market_Data!$N$21:INDEX(Market_Data!$N$21:$N$613,COUNT(Market_Data!$N$21:$N$613)),1)),""))</f>
        <v/>
      </c>
      <c r="G259" s="145" t="str">
        <f ca="1">IF($A259="","",IFERROR(INDEX(Market_Data!$R$21:$R$613,MATCH($A259,Market_Data!$Q$21:INDEX(Market_Data!$Q$21:$Q$613,COUNT(Market_Data!$Q$21:$Q$613)),1)),""))</f>
        <v/>
      </c>
      <c r="H259" s="145" t="str">
        <f ca="1">IF($A259="","",IFERROR(INDEX(Market_Data!$U$21:$U$613,MATCH($A259,Market_Data!$T$21:INDEX(Market_Data!$T$21:$T$613,COUNT(Market_Data!$T$21:$T$613)),1)),""))</f>
        <v/>
      </c>
      <c r="I259" s="146" t="str">
        <f ca="1">IF($A259="","",IFERROR(INDEX(Query1[Close],MATCH($A259,Query1[Date],1)),""))</f>
        <v/>
      </c>
    </row>
    <row r="260" spans="1:9" x14ac:dyDescent="0.3">
      <c r="A260" s="144" t="str">
        <f t="shared" ca="1" si="5"/>
        <v/>
      </c>
      <c r="B260" s="145" t="str">
        <f ca="1">IF($A260="","",IFERROR(INDEX(Market_Data!$C$21:$C$613,MATCH($A260,Market_Data!$B$21:INDEX(Market_Data!$B$21:$B$613,COUNT(Market_Data!$B$21:$B$613)),1)),""))</f>
        <v/>
      </c>
      <c r="C260" s="145" t="str">
        <f ca="1">IF($A260="","",IFERROR(INDEX(Market_Data!$F$21:$F$613,MATCH($A260,Market_Data!$E$21:INDEX(Market_Data!$E$21:$E$613,COUNT(Market_Data!$E$21:$E$613)),1)),""))</f>
        <v/>
      </c>
      <c r="D260" s="145" t="str">
        <f ca="1">IF($A260="","",IFERROR(INDEX(Market_Data!$I$21:$I$613,MATCH($A260,Market_Data!$H$21:INDEX(Market_Data!$H$21:$H$613,COUNT(Market_Data!$H$21:$H$613)),1)),""))</f>
        <v/>
      </c>
      <c r="E260" s="145" t="str">
        <f ca="1">IF($A260="","",IFERROR(INDEX(Market_Data!$L$21:$L$613,MATCH($A260,Market_Data!$K$21:INDEX(Market_Data!$K$21:$K$613,COUNT(Market_Data!$K$21:$K$613)),1)),""))</f>
        <v/>
      </c>
      <c r="F260" s="145" t="str">
        <f ca="1">IF($A260="","",IFERROR(INDEX(Market_Data!$O$21:$O$613,MATCH($A260,Market_Data!$N$21:INDEX(Market_Data!$N$21:$N$613,COUNT(Market_Data!$N$21:$N$613)),1)),""))</f>
        <v/>
      </c>
      <c r="G260" s="145" t="str">
        <f ca="1">IF($A260="","",IFERROR(INDEX(Market_Data!$R$21:$R$613,MATCH($A260,Market_Data!$Q$21:INDEX(Market_Data!$Q$21:$Q$613,COUNT(Market_Data!$Q$21:$Q$613)),1)),""))</f>
        <v/>
      </c>
      <c r="H260" s="145" t="str">
        <f ca="1">IF($A260="","",IFERROR(INDEX(Market_Data!$U$21:$U$613,MATCH($A260,Market_Data!$T$21:INDEX(Market_Data!$T$21:$T$613,COUNT(Market_Data!$T$21:$T$613)),1)),""))</f>
        <v/>
      </c>
      <c r="I260" s="146" t="str">
        <f ca="1">IF($A260="","",IFERROR(INDEX(Query1[Close],MATCH($A260,Query1[Date],1)),""))</f>
        <v/>
      </c>
    </row>
    <row r="261" spans="1:9" x14ac:dyDescent="0.3">
      <c r="A261" s="144" t="str">
        <f t="shared" ca="1" si="5"/>
        <v/>
      </c>
      <c r="B261" s="145" t="str">
        <f ca="1">IF($A261="","",IFERROR(INDEX(Market_Data!$C$21:$C$613,MATCH($A261,Market_Data!$B$21:INDEX(Market_Data!$B$21:$B$613,COUNT(Market_Data!$B$21:$B$613)),1)),""))</f>
        <v/>
      </c>
      <c r="C261" s="145" t="str">
        <f ca="1">IF($A261="","",IFERROR(INDEX(Market_Data!$F$21:$F$613,MATCH($A261,Market_Data!$E$21:INDEX(Market_Data!$E$21:$E$613,COUNT(Market_Data!$E$21:$E$613)),1)),""))</f>
        <v/>
      </c>
      <c r="D261" s="145" t="str">
        <f ca="1">IF($A261="","",IFERROR(INDEX(Market_Data!$I$21:$I$613,MATCH($A261,Market_Data!$H$21:INDEX(Market_Data!$H$21:$H$613,COUNT(Market_Data!$H$21:$H$613)),1)),""))</f>
        <v/>
      </c>
      <c r="E261" s="145" t="str">
        <f ca="1">IF($A261="","",IFERROR(INDEX(Market_Data!$L$21:$L$613,MATCH($A261,Market_Data!$K$21:INDEX(Market_Data!$K$21:$K$613,COUNT(Market_Data!$K$21:$K$613)),1)),""))</f>
        <v/>
      </c>
      <c r="F261" s="145" t="str">
        <f ca="1">IF($A261="","",IFERROR(INDEX(Market_Data!$O$21:$O$613,MATCH($A261,Market_Data!$N$21:INDEX(Market_Data!$N$21:$N$613,COUNT(Market_Data!$N$21:$N$613)),1)),""))</f>
        <v/>
      </c>
      <c r="G261" s="145" t="str">
        <f ca="1">IF($A261="","",IFERROR(INDEX(Market_Data!$R$21:$R$613,MATCH($A261,Market_Data!$Q$21:INDEX(Market_Data!$Q$21:$Q$613,COUNT(Market_Data!$Q$21:$Q$613)),1)),""))</f>
        <v/>
      </c>
      <c r="H261" s="145" t="str">
        <f ca="1">IF($A261="","",IFERROR(INDEX(Market_Data!$U$21:$U$613,MATCH($A261,Market_Data!$T$21:INDEX(Market_Data!$T$21:$T$613,COUNT(Market_Data!$T$21:$T$613)),1)),""))</f>
        <v/>
      </c>
      <c r="I261" s="146" t="str">
        <f ca="1">IF($A261="","",IFERROR(INDEX(Query1[Close],MATCH($A261,Query1[Date],1)),""))</f>
        <v/>
      </c>
    </row>
    <row r="262" spans="1:9" x14ac:dyDescent="0.3">
      <c r="A262" s="144" t="str">
        <f t="shared" ref="A262:A325" ca="1" si="6">IF($A261="","",IF($A261+7&lt;=TODAY(),$A261+7,""))</f>
        <v/>
      </c>
      <c r="B262" s="145" t="str">
        <f ca="1">IF($A262="","",IFERROR(INDEX(Market_Data!$C$21:$C$613,MATCH($A262,Market_Data!$B$21:INDEX(Market_Data!$B$21:$B$613,COUNT(Market_Data!$B$21:$B$613)),1)),""))</f>
        <v/>
      </c>
      <c r="C262" s="145" t="str">
        <f ca="1">IF($A262="","",IFERROR(INDEX(Market_Data!$F$21:$F$613,MATCH($A262,Market_Data!$E$21:INDEX(Market_Data!$E$21:$E$613,COUNT(Market_Data!$E$21:$E$613)),1)),""))</f>
        <v/>
      </c>
      <c r="D262" s="145" t="str">
        <f ca="1">IF($A262="","",IFERROR(INDEX(Market_Data!$I$21:$I$613,MATCH($A262,Market_Data!$H$21:INDEX(Market_Data!$H$21:$H$613,COUNT(Market_Data!$H$21:$H$613)),1)),""))</f>
        <v/>
      </c>
      <c r="E262" s="145" t="str">
        <f ca="1">IF($A262="","",IFERROR(INDEX(Market_Data!$L$21:$L$613,MATCH($A262,Market_Data!$K$21:INDEX(Market_Data!$K$21:$K$613,COUNT(Market_Data!$K$21:$K$613)),1)),""))</f>
        <v/>
      </c>
      <c r="F262" s="145" t="str">
        <f ca="1">IF($A262="","",IFERROR(INDEX(Market_Data!$O$21:$O$613,MATCH($A262,Market_Data!$N$21:INDEX(Market_Data!$N$21:$N$613,COUNT(Market_Data!$N$21:$N$613)),1)),""))</f>
        <v/>
      </c>
      <c r="G262" s="145" t="str">
        <f ca="1">IF($A262="","",IFERROR(INDEX(Market_Data!$R$21:$R$613,MATCH($A262,Market_Data!$Q$21:INDEX(Market_Data!$Q$21:$Q$613,COUNT(Market_Data!$Q$21:$Q$613)),1)),""))</f>
        <v/>
      </c>
      <c r="H262" s="145" t="str">
        <f ca="1">IF($A262="","",IFERROR(INDEX(Market_Data!$U$21:$U$613,MATCH($A262,Market_Data!$T$21:INDEX(Market_Data!$T$21:$T$613,COUNT(Market_Data!$T$21:$T$613)),1)),""))</f>
        <v/>
      </c>
      <c r="I262" s="146" t="str">
        <f ca="1">IF($A262="","",IFERROR(INDEX(Query1[Close],MATCH($A262,Query1[Date],1)),""))</f>
        <v/>
      </c>
    </row>
    <row r="263" spans="1:9" x14ac:dyDescent="0.3">
      <c r="A263" s="144" t="str">
        <f t="shared" ca="1" si="6"/>
        <v/>
      </c>
      <c r="B263" s="145" t="str">
        <f ca="1">IF($A263="","",IFERROR(INDEX(Market_Data!$C$21:$C$613,MATCH($A263,Market_Data!$B$21:INDEX(Market_Data!$B$21:$B$613,COUNT(Market_Data!$B$21:$B$613)),1)),""))</f>
        <v/>
      </c>
      <c r="C263" s="145" t="str">
        <f ca="1">IF($A263="","",IFERROR(INDEX(Market_Data!$F$21:$F$613,MATCH($A263,Market_Data!$E$21:INDEX(Market_Data!$E$21:$E$613,COUNT(Market_Data!$E$21:$E$613)),1)),""))</f>
        <v/>
      </c>
      <c r="D263" s="145" t="str">
        <f ca="1">IF($A263="","",IFERROR(INDEX(Market_Data!$I$21:$I$613,MATCH($A263,Market_Data!$H$21:INDEX(Market_Data!$H$21:$H$613,COUNT(Market_Data!$H$21:$H$613)),1)),""))</f>
        <v/>
      </c>
      <c r="E263" s="145" t="str">
        <f ca="1">IF($A263="","",IFERROR(INDEX(Market_Data!$L$21:$L$613,MATCH($A263,Market_Data!$K$21:INDEX(Market_Data!$K$21:$K$613,COUNT(Market_Data!$K$21:$K$613)),1)),""))</f>
        <v/>
      </c>
      <c r="F263" s="145" t="str">
        <f ca="1">IF($A263="","",IFERROR(INDEX(Market_Data!$O$21:$O$613,MATCH($A263,Market_Data!$N$21:INDEX(Market_Data!$N$21:$N$613,COUNT(Market_Data!$N$21:$N$613)),1)),""))</f>
        <v/>
      </c>
      <c r="G263" s="145" t="str">
        <f ca="1">IF($A263="","",IFERROR(INDEX(Market_Data!$R$21:$R$613,MATCH($A263,Market_Data!$Q$21:INDEX(Market_Data!$Q$21:$Q$613,COUNT(Market_Data!$Q$21:$Q$613)),1)),""))</f>
        <v/>
      </c>
      <c r="H263" s="145" t="str">
        <f ca="1">IF($A263="","",IFERROR(INDEX(Market_Data!$U$21:$U$613,MATCH($A263,Market_Data!$T$21:INDEX(Market_Data!$T$21:$T$613,COUNT(Market_Data!$T$21:$T$613)),1)),""))</f>
        <v/>
      </c>
      <c r="I263" s="146" t="str">
        <f ca="1">IF($A263="","",IFERROR(INDEX(Query1[Close],MATCH($A263,Query1[Date],1)),""))</f>
        <v/>
      </c>
    </row>
    <row r="264" spans="1:9" x14ac:dyDescent="0.3">
      <c r="A264" s="144" t="str">
        <f t="shared" ca="1" si="6"/>
        <v/>
      </c>
      <c r="B264" s="145" t="str">
        <f ca="1">IF($A264="","",IFERROR(INDEX(Market_Data!$C$21:$C$613,MATCH($A264,Market_Data!$B$21:INDEX(Market_Data!$B$21:$B$613,COUNT(Market_Data!$B$21:$B$613)),1)),""))</f>
        <v/>
      </c>
      <c r="C264" s="145" t="str">
        <f ca="1">IF($A264="","",IFERROR(INDEX(Market_Data!$F$21:$F$613,MATCH($A264,Market_Data!$E$21:INDEX(Market_Data!$E$21:$E$613,COUNT(Market_Data!$E$21:$E$613)),1)),""))</f>
        <v/>
      </c>
      <c r="D264" s="145" t="str">
        <f ca="1">IF($A264="","",IFERROR(INDEX(Market_Data!$I$21:$I$613,MATCH($A264,Market_Data!$H$21:INDEX(Market_Data!$H$21:$H$613,COUNT(Market_Data!$H$21:$H$613)),1)),""))</f>
        <v/>
      </c>
      <c r="E264" s="145" t="str">
        <f ca="1">IF($A264="","",IFERROR(INDEX(Market_Data!$L$21:$L$613,MATCH($A264,Market_Data!$K$21:INDEX(Market_Data!$K$21:$K$613,COUNT(Market_Data!$K$21:$K$613)),1)),""))</f>
        <v/>
      </c>
      <c r="F264" s="145" t="str">
        <f ca="1">IF($A264="","",IFERROR(INDEX(Market_Data!$O$21:$O$613,MATCH($A264,Market_Data!$N$21:INDEX(Market_Data!$N$21:$N$613,COUNT(Market_Data!$N$21:$N$613)),1)),""))</f>
        <v/>
      </c>
      <c r="G264" s="145" t="str">
        <f ca="1">IF($A264="","",IFERROR(INDEX(Market_Data!$R$21:$R$613,MATCH($A264,Market_Data!$Q$21:INDEX(Market_Data!$Q$21:$Q$613,COUNT(Market_Data!$Q$21:$Q$613)),1)),""))</f>
        <v/>
      </c>
      <c r="H264" s="145" t="str">
        <f ca="1">IF($A264="","",IFERROR(INDEX(Market_Data!$U$21:$U$613,MATCH($A264,Market_Data!$T$21:INDEX(Market_Data!$T$21:$T$613,COUNT(Market_Data!$T$21:$T$613)),1)),""))</f>
        <v/>
      </c>
      <c r="I264" s="146" t="str">
        <f ca="1">IF($A264="","",IFERROR(INDEX(Query1[Close],MATCH($A264,Query1[Date],1)),""))</f>
        <v/>
      </c>
    </row>
    <row r="265" spans="1:9" x14ac:dyDescent="0.3">
      <c r="A265" s="144" t="str">
        <f t="shared" ca="1" si="6"/>
        <v/>
      </c>
      <c r="B265" s="145" t="str">
        <f ca="1">IF($A265="","",IFERROR(INDEX(Market_Data!$C$21:$C$613,MATCH($A265,Market_Data!$B$21:INDEX(Market_Data!$B$21:$B$613,COUNT(Market_Data!$B$21:$B$613)),1)),""))</f>
        <v/>
      </c>
      <c r="C265" s="145" t="str">
        <f ca="1">IF($A265="","",IFERROR(INDEX(Market_Data!$F$21:$F$613,MATCH($A265,Market_Data!$E$21:INDEX(Market_Data!$E$21:$E$613,COUNT(Market_Data!$E$21:$E$613)),1)),""))</f>
        <v/>
      </c>
      <c r="D265" s="145" t="str">
        <f ca="1">IF($A265="","",IFERROR(INDEX(Market_Data!$I$21:$I$613,MATCH($A265,Market_Data!$H$21:INDEX(Market_Data!$H$21:$H$613,COUNT(Market_Data!$H$21:$H$613)),1)),""))</f>
        <v/>
      </c>
      <c r="E265" s="145" t="str">
        <f ca="1">IF($A265="","",IFERROR(INDEX(Market_Data!$L$21:$L$613,MATCH($A265,Market_Data!$K$21:INDEX(Market_Data!$K$21:$K$613,COUNT(Market_Data!$K$21:$K$613)),1)),""))</f>
        <v/>
      </c>
      <c r="F265" s="145" t="str">
        <f ca="1">IF($A265="","",IFERROR(INDEX(Market_Data!$O$21:$O$613,MATCH($A265,Market_Data!$N$21:INDEX(Market_Data!$N$21:$N$613,COUNT(Market_Data!$N$21:$N$613)),1)),""))</f>
        <v/>
      </c>
      <c r="G265" s="145" t="str">
        <f ca="1">IF($A265="","",IFERROR(INDEX(Market_Data!$R$21:$R$613,MATCH($A265,Market_Data!$Q$21:INDEX(Market_Data!$Q$21:$Q$613,COUNT(Market_Data!$Q$21:$Q$613)),1)),""))</f>
        <v/>
      </c>
      <c r="H265" s="145" t="str">
        <f ca="1">IF($A265="","",IFERROR(INDEX(Market_Data!$U$21:$U$613,MATCH($A265,Market_Data!$T$21:INDEX(Market_Data!$T$21:$T$613,COUNT(Market_Data!$T$21:$T$613)),1)),""))</f>
        <v/>
      </c>
      <c r="I265" s="146" t="str">
        <f ca="1">IF($A265="","",IFERROR(INDEX(Query1[Close],MATCH($A265,Query1[Date],1)),""))</f>
        <v/>
      </c>
    </row>
    <row r="266" spans="1:9" x14ac:dyDescent="0.3">
      <c r="A266" s="144" t="str">
        <f t="shared" ca="1" si="6"/>
        <v/>
      </c>
      <c r="B266" s="145" t="str">
        <f ca="1">IF($A266="","",IFERROR(INDEX(Market_Data!$C$21:$C$613,MATCH($A266,Market_Data!$B$21:INDEX(Market_Data!$B$21:$B$613,COUNT(Market_Data!$B$21:$B$613)),1)),""))</f>
        <v/>
      </c>
      <c r="C266" s="145" t="str">
        <f ca="1">IF($A266="","",IFERROR(INDEX(Market_Data!$F$21:$F$613,MATCH($A266,Market_Data!$E$21:INDEX(Market_Data!$E$21:$E$613,COUNT(Market_Data!$E$21:$E$613)),1)),""))</f>
        <v/>
      </c>
      <c r="D266" s="145" t="str">
        <f ca="1">IF($A266="","",IFERROR(INDEX(Market_Data!$I$21:$I$613,MATCH($A266,Market_Data!$H$21:INDEX(Market_Data!$H$21:$H$613,COUNT(Market_Data!$H$21:$H$613)),1)),""))</f>
        <v/>
      </c>
      <c r="E266" s="145" t="str">
        <f ca="1">IF($A266="","",IFERROR(INDEX(Market_Data!$L$21:$L$613,MATCH($A266,Market_Data!$K$21:INDEX(Market_Data!$K$21:$K$613,COUNT(Market_Data!$K$21:$K$613)),1)),""))</f>
        <v/>
      </c>
      <c r="F266" s="145" t="str">
        <f ca="1">IF($A266="","",IFERROR(INDEX(Market_Data!$O$21:$O$613,MATCH($A266,Market_Data!$N$21:INDEX(Market_Data!$N$21:$N$613,COUNT(Market_Data!$N$21:$N$613)),1)),""))</f>
        <v/>
      </c>
      <c r="G266" s="145" t="str">
        <f ca="1">IF($A266="","",IFERROR(INDEX(Market_Data!$R$21:$R$613,MATCH($A266,Market_Data!$Q$21:INDEX(Market_Data!$Q$21:$Q$613,COUNT(Market_Data!$Q$21:$Q$613)),1)),""))</f>
        <v/>
      </c>
      <c r="H266" s="145" t="str">
        <f ca="1">IF($A266="","",IFERROR(INDEX(Market_Data!$U$21:$U$613,MATCH($A266,Market_Data!$T$21:INDEX(Market_Data!$T$21:$T$613,COUNT(Market_Data!$T$21:$T$613)),1)),""))</f>
        <v/>
      </c>
      <c r="I266" s="146" t="str">
        <f ca="1">IF($A266="","",IFERROR(INDEX(Query1[Close],MATCH($A266,Query1[Date],1)),""))</f>
        <v/>
      </c>
    </row>
    <row r="267" spans="1:9" x14ac:dyDescent="0.3">
      <c r="A267" s="144" t="str">
        <f t="shared" ca="1" si="6"/>
        <v/>
      </c>
      <c r="B267" s="145" t="str">
        <f ca="1">IF($A267="","",IFERROR(INDEX(Market_Data!$C$21:$C$613,MATCH($A267,Market_Data!$B$21:INDEX(Market_Data!$B$21:$B$613,COUNT(Market_Data!$B$21:$B$613)),1)),""))</f>
        <v/>
      </c>
      <c r="C267" s="145" t="str">
        <f ca="1">IF($A267="","",IFERROR(INDEX(Market_Data!$F$21:$F$613,MATCH($A267,Market_Data!$E$21:INDEX(Market_Data!$E$21:$E$613,COUNT(Market_Data!$E$21:$E$613)),1)),""))</f>
        <v/>
      </c>
      <c r="D267" s="145" t="str">
        <f ca="1">IF($A267="","",IFERROR(INDEX(Market_Data!$I$21:$I$613,MATCH($A267,Market_Data!$H$21:INDEX(Market_Data!$H$21:$H$613,COUNT(Market_Data!$H$21:$H$613)),1)),""))</f>
        <v/>
      </c>
      <c r="E267" s="145" t="str">
        <f ca="1">IF($A267="","",IFERROR(INDEX(Market_Data!$L$21:$L$613,MATCH($A267,Market_Data!$K$21:INDEX(Market_Data!$K$21:$K$613,COUNT(Market_Data!$K$21:$K$613)),1)),""))</f>
        <v/>
      </c>
      <c r="F267" s="145" t="str">
        <f ca="1">IF($A267="","",IFERROR(INDEX(Market_Data!$O$21:$O$613,MATCH($A267,Market_Data!$N$21:INDEX(Market_Data!$N$21:$N$613,COUNT(Market_Data!$N$21:$N$613)),1)),""))</f>
        <v/>
      </c>
      <c r="G267" s="145" t="str">
        <f ca="1">IF($A267="","",IFERROR(INDEX(Market_Data!$R$21:$R$613,MATCH($A267,Market_Data!$Q$21:INDEX(Market_Data!$Q$21:$Q$613,COUNT(Market_Data!$Q$21:$Q$613)),1)),""))</f>
        <v/>
      </c>
      <c r="H267" s="145" t="str">
        <f ca="1">IF($A267="","",IFERROR(INDEX(Market_Data!$U$21:$U$613,MATCH($A267,Market_Data!$T$21:INDEX(Market_Data!$T$21:$T$613,COUNT(Market_Data!$T$21:$T$613)),1)),""))</f>
        <v/>
      </c>
      <c r="I267" s="146" t="str">
        <f ca="1">IF($A267="","",IFERROR(INDEX(Query1[Close],MATCH($A267,Query1[Date],1)),""))</f>
        <v/>
      </c>
    </row>
    <row r="268" spans="1:9" x14ac:dyDescent="0.3">
      <c r="A268" s="144" t="str">
        <f t="shared" ca="1" si="6"/>
        <v/>
      </c>
      <c r="B268" s="145" t="str">
        <f ca="1">IF($A268="","",IFERROR(INDEX(Market_Data!$C$21:$C$613,MATCH($A268,Market_Data!$B$21:INDEX(Market_Data!$B$21:$B$613,COUNT(Market_Data!$B$21:$B$613)),1)),""))</f>
        <v/>
      </c>
      <c r="C268" s="145" t="str">
        <f ca="1">IF($A268="","",IFERROR(INDEX(Market_Data!$F$21:$F$613,MATCH($A268,Market_Data!$E$21:INDEX(Market_Data!$E$21:$E$613,COUNT(Market_Data!$E$21:$E$613)),1)),""))</f>
        <v/>
      </c>
      <c r="D268" s="145" t="str">
        <f ca="1">IF($A268="","",IFERROR(INDEX(Market_Data!$I$21:$I$613,MATCH($A268,Market_Data!$H$21:INDEX(Market_Data!$H$21:$H$613,COUNT(Market_Data!$H$21:$H$613)),1)),""))</f>
        <v/>
      </c>
      <c r="E268" s="145" t="str">
        <f ca="1">IF($A268="","",IFERROR(INDEX(Market_Data!$L$21:$L$613,MATCH($A268,Market_Data!$K$21:INDEX(Market_Data!$K$21:$K$613,COUNT(Market_Data!$K$21:$K$613)),1)),""))</f>
        <v/>
      </c>
      <c r="F268" s="145" t="str">
        <f ca="1">IF($A268="","",IFERROR(INDEX(Market_Data!$O$21:$O$613,MATCH($A268,Market_Data!$N$21:INDEX(Market_Data!$N$21:$N$613,COUNT(Market_Data!$N$21:$N$613)),1)),""))</f>
        <v/>
      </c>
      <c r="G268" s="145" t="str">
        <f ca="1">IF($A268="","",IFERROR(INDEX(Market_Data!$R$21:$R$613,MATCH($A268,Market_Data!$Q$21:INDEX(Market_Data!$Q$21:$Q$613,COUNT(Market_Data!$Q$21:$Q$613)),1)),""))</f>
        <v/>
      </c>
      <c r="H268" s="145" t="str">
        <f ca="1">IF($A268="","",IFERROR(INDEX(Market_Data!$U$21:$U$613,MATCH($A268,Market_Data!$T$21:INDEX(Market_Data!$T$21:$T$613,COUNT(Market_Data!$T$21:$T$613)),1)),""))</f>
        <v/>
      </c>
      <c r="I268" s="146" t="str">
        <f ca="1">IF($A268="","",IFERROR(INDEX(Query1[Close],MATCH($A268,Query1[Date],1)),""))</f>
        <v/>
      </c>
    </row>
    <row r="269" spans="1:9" x14ac:dyDescent="0.3">
      <c r="A269" s="144" t="str">
        <f t="shared" ca="1" si="6"/>
        <v/>
      </c>
      <c r="B269" s="145" t="str">
        <f ca="1">IF($A269="","",IFERROR(INDEX(Market_Data!$C$21:$C$613,MATCH($A269,Market_Data!$B$21:INDEX(Market_Data!$B$21:$B$613,COUNT(Market_Data!$B$21:$B$613)),1)),""))</f>
        <v/>
      </c>
      <c r="C269" s="145" t="str">
        <f ca="1">IF($A269="","",IFERROR(INDEX(Market_Data!$F$21:$F$613,MATCH($A269,Market_Data!$E$21:INDEX(Market_Data!$E$21:$E$613,COUNT(Market_Data!$E$21:$E$613)),1)),""))</f>
        <v/>
      </c>
      <c r="D269" s="145" t="str">
        <f ca="1">IF($A269="","",IFERROR(INDEX(Market_Data!$I$21:$I$613,MATCH($A269,Market_Data!$H$21:INDEX(Market_Data!$H$21:$H$613,COUNT(Market_Data!$H$21:$H$613)),1)),""))</f>
        <v/>
      </c>
      <c r="E269" s="145" t="str">
        <f ca="1">IF($A269="","",IFERROR(INDEX(Market_Data!$L$21:$L$613,MATCH($A269,Market_Data!$K$21:INDEX(Market_Data!$K$21:$K$613,COUNT(Market_Data!$K$21:$K$613)),1)),""))</f>
        <v/>
      </c>
      <c r="F269" s="145" t="str">
        <f ca="1">IF($A269="","",IFERROR(INDEX(Market_Data!$O$21:$O$613,MATCH($A269,Market_Data!$N$21:INDEX(Market_Data!$N$21:$N$613,COUNT(Market_Data!$N$21:$N$613)),1)),""))</f>
        <v/>
      </c>
      <c r="G269" s="145" t="str">
        <f ca="1">IF($A269="","",IFERROR(INDEX(Market_Data!$R$21:$R$613,MATCH($A269,Market_Data!$Q$21:INDEX(Market_Data!$Q$21:$Q$613,COUNT(Market_Data!$Q$21:$Q$613)),1)),""))</f>
        <v/>
      </c>
      <c r="H269" s="145" t="str">
        <f ca="1">IF($A269="","",IFERROR(INDEX(Market_Data!$U$21:$U$613,MATCH($A269,Market_Data!$T$21:INDEX(Market_Data!$T$21:$T$613,COUNT(Market_Data!$T$21:$T$613)),1)),""))</f>
        <v/>
      </c>
      <c r="I269" s="146" t="str">
        <f ca="1">IF($A269="","",IFERROR(INDEX(Query1[Close],MATCH($A269,Query1[Date],1)),""))</f>
        <v/>
      </c>
    </row>
    <row r="270" spans="1:9" x14ac:dyDescent="0.3">
      <c r="A270" s="144" t="str">
        <f t="shared" ca="1" si="6"/>
        <v/>
      </c>
      <c r="B270" s="145" t="str">
        <f ca="1">IF($A270="","",IFERROR(INDEX(Market_Data!$C$21:$C$613,MATCH($A270,Market_Data!$B$21:INDEX(Market_Data!$B$21:$B$613,COUNT(Market_Data!$B$21:$B$613)),1)),""))</f>
        <v/>
      </c>
      <c r="C270" s="145" t="str">
        <f ca="1">IF($A270="","",IFERROR(INDEX(Market_Data!$F$21:$F$613,MATCH($A270,Market_Data!$E$21:INDEX(Market_Data!$E$21:$E$613,COUNT(Market_Data!$E$21:$E$613)),1)),""))</f>
        <v/>
      </c>
      <c r="D270" s="145" t="str">
        <f ca="1">IF($A270="","",IFERROR(INDEX(Market_Data!$I$21:$I$613,MATCH($A270,Market_Data!$H$21:INDEX(Market_Data!$H$21:$H$613,COUNT(Market_Data!$H$21:$H$613)),1)),""))</f>
        <v/>
      </c>
      <c r="E270" s="145" t="str">
        <f ca="1">IF($A270="","",IFERROR(INDEX(Market_Data!$L$21:$L$613,MATCH($A270,Market_Data!$K$21:INDEX(Market_Data!$K$21:$K$613,COUNT(Market_Data!$K$21:$K$613)),1)),""))</f>
        <v/>
      </c>
      <c r="F270" s="145" t="str">
        <f ca="1">IF($A270="","",IFERROR(INDEX(Market_Data!$O$21:$O$613,MATCH($A270,Market_Data!$N$21:INDEX(Market_Data!$N$21:$N$613,COUNT(Market_Data!$N$21:$N$613)),1)),""))</f>
        <v/>
      </c>
      <c r="G270" s="145" t="str">
        <f ca="1">IF($A270="","",IFERROR(INDEX(Market_Data!$R$21:$R$613,MATCH($A270,Market_Data!$Q$21:INDEX(Market_Data!$Q$21:$Q$613,COUNT(Market_Data!$Q$21:$Q$613)),1)),""))</f>
        <v/>
      </c>
      <c r="H270" s="145" t="str">
        <f ca="1">IF($A270="","",IFERROR(INDEX(Market_Data!$U$21:$U$613,MATCH($A270,Market_Data!$T$21:INDEX(Market_Data!$T$21:$T$613,COUNT(Market_Data!$T$21:$T$613)),1)),""))</f>
        <v/>
      </c>
      <c r="I270" s="146" t="str">
        <f ca="1">IF($A270="","",IFERROR(INDEX(Query1[Close],MATCH($A270,Query1[Date],1)),""))</f>
        <v/>
      </c>
    </row>
    <row r="271" spans="1:9" x14ac:dyDescent="0.3">
      <c r="A271" s="144" t="str">
        <f t="shared" ca="1" si="6"/>
        <v/>
      </c>
      <c r="B271" s="145" t="str">
        <f ca="1">IF($A271="","",IFERROR(INDEX(Market_Data!$C$21:$C$613,MATCH($A271,Market_Data!$B$21:INDEX(Market_Data!$B$21:$B$613,COUNT(Market_Data!$B$21:$B$613)),1)),""))</f>
        <v/>
      </c>
      <c r="C271" s="145" t="str">
        <f ca="1">IF($A271="","",IFERROR(INDEX(Market_Data!$F$21:$F$613,MATCH($A271,Market_Data!$E$21:INDEX(Market_Data!$E$21:$E$613,COUNT(Market_Data!$E$21:$E$613)),1)),""))</f>
        <v/>
      </c>
      <c r="D271" s="145" t="str">
        <f ca="1">IF($A271="","",IFERROR(INDEX(Market_Data!$I$21:$I$613,MATCH($A271,Market_Data!$H$21:INDEX(Market_Data!$H$21:$H$613,COUNT(Market_Data!$H$21:$H$613)),1)),""))</f>
        <v/>
      </c>
      <c r="E271" s="145" t="str">
        <f ca="1">IF($A271="","",IFERROR(INDEX(Market_Data!$L$21:$L$613,MATCH($A271,Market_Data!$K$21:INDEX(Market_Data!$K$21:$K$613,COUNT(Market_Data!$K$21:$K$613)),1)),""))</f>
        <v/>
      </c>
      <c r="F271" s="145" t="str">
        <f ca="1">IF($A271="","",IFERROR(INDEX(Market_Data!$O$21:$O$613,MATCH($A271,Market_Data!$N$21:INDEX(Market_Data!$N$21:$N$613,COUNT(Market_Data!$N$21:$N$613)),1)),""))</f>
        <v/>
      </c>
      <c r="G271" s="145" t="str">
        <f ca="1">IF($A271="","",IFERROR(INDEX(Market_Data!$R$21:$R$613,MATCH($A271,Market_Data!$Q$21:INDEX(Market_Data!$Q$21:$Q$613,COUNT(Market_Data!$Q$21:$Q$613)),1)),""))</f>
        <v/>
      </c>
      <c r="H271" s="145" t="str">
        <f ca="1">IF($A271="","",IFERROR(INDEX(Market_Data!$U$21:$U$613,MATCH($A271,Market_Data!$T$21:INDEX(Market_Data!$T$21:$T$613,COUNT(Market_Data!$T$21:$T$613)),1)),""))</f>
        <v/>
      </c>
      <c r="I271" s="146" t="str">
        <f ca="1">IF($A271="","",IFERROR(INDEX(Query1[Close],MATCH($A271,Query1[Date],1)),""))</f>
        <v/>
      </c>
    </row>
    <row r="272" spans="1:9" x14ac:dyDescent="0.3">
      <c r="A272" s="144" t="str">
        <f t="shared" ca="1" si="6"/>
        <v/>
      </c>
      <c r="B272" s="145" t="str">
        <f ca="1">IF($A272="","",IFERROR(INDEX(Market_Data!$C$21:$C$613,MATCH($A272,Market_Data!$B$21:INDEX(Market_Data!$B$21:$B$613,COUNT(Market_Data!$B$21:$B$613)),1)),""))</f>
        <v/>
      </c>
      <c r="C272" s="145" t="str">
        <f ca="1">IF($A272="","",IFERROR(INDEX(Market_Data!$F$21:$F$613,MATCH($A272,Market_Data!$E$21:INDEX(Market_Data!$E$21:$E$613,COUNT(Market_Data!$E$21:$E$613)),1)),""))</f>
        <v/>
      </c>
      <c r="D272" s="145" t="str">
        <f ca="1">IF($A272="","",IFERROR(INDEX(Market_Data!$I$21:$I$613,MATCH($A272,Market_Data!$H$21:INDEX(Market_Data!$H$21:$H$613,COUNT(Market_Data!$H$21:$H$613)),1)),""))</f>
        <v/>
      </c>
      <c r="E272" s="145" t="str">
        <f ca="1">IF($A272="","",IFERROR(INDEX(Market_Data!$L$21:$L$613,MATCH($A272,Market_Data!$K$21:INDEX(Market_Data!$K$21:$K$613,COUNT(Market_Data!$K$21:$K$613)),1)),""))</f>
        <v/>
      </c>
      <c r="F272" s="145" t="str">
        <f ca="1">IF($A272="","",IFERROR(INDEX(Market_Data!$O$21:$O$613,MATCH($A272,Market_Data!$N$21:INDEX(Market_Data!$N$21:$N$613,COUNT(Market_Data!$N$21:$N$613)),1)),""))</f>
        <v/>
      </c>
      <c r="G272" s="145" t="str">
        <f ca="1">IF($A272="","",IFERROR(INDEX(Market_Data!$R$21:$R$613,MATCH($A272,Market_Data!$Q$21:INDEX(Market_Data!$Q$21:$Q$613,COUNT(Market_Data!$Q$21:$Q$613)),1)),""))</f>
        <v/>
      </c>
      <c r="H272" s="145" t="str">
        <f ca="1">IF($A272="","",IFERROR(INDEX(Market_Data!$U$21:$U$613,MATCH($A272,Market_Data!$T$21:INDEX(Market_Data!$T$21:$T$613,COUNT(Market_Data!$T$21:$T$613)),1)),""))</f>
        <v/>
      </c>
      <c r="I272" s="146" t="str">
        <f ca="1">IF($A272="","",IFERROR(INDEX(Query1[Close],MATCH($A272,Query1[Date],1)),""))</f>
        <v/>
      </c>
    </row>
    <row r="273" spans="1:9" x14ac:dyDescent="0.3">
      <c r="A273" s="144" t="str">
        <f t="shared" ca="1" si="6"/>
        <v/>
      </c>
      <c r="B273" s="145" t="str">
        <f ca="1">IF($A273="","",IFERROR(INDEX(Market_Data!$C$21:$C$613,MATCH($A273,Market_Data!$B$21:INDEX(Market_Data!$B$21:$B$613,COUNT(Market_Data!$B$21:$B$613)),1)),""))</f>
        <v/>
      </c>
      <c r="C273" s="145" t="str">
        <f ca="1">IF($A273="","",IFERROR(INDEX(Market_Data!$F$21:$F$613,MATCH($A273,Market_Data!$E$21:INDEX(Market_Data!$E$21:$E$613,COUNT(Market_Data!$E$21:$E$613)),1)),""))</f>
        <v/>
      </c>
      <c r="D273" s="145" t="str">
        <f ca="1">IF($A273="","",IFERROR(INDEX(Market_Data!$I$21:$I$613,MATCH($A273,Market_Data!$H$21:INDEX(Market_Data!$H$21:$H$613,COUNT(Market_Data!$H$21:$H$613)),1)),""))</f>
        <v/>
      </c>
      <c r="E273" s="145" t="str">
        <f ca="1">IF($A273="","",IFERROR(INDEX(Market_Data!$L$21:$L$613,MATCH($A273,Market_Data!$K$21:INDEX(Market_Data!$K$21:$K$613,COUNT(Market_Data!$K$21:$K$613)),1)),""))</f>
        <v/>
      </c>
      <c r="F273" s="145" t="str">
        <f ca="1">IF($A273="","",IFERROR(INDEX(Market_Data!$O$21:$O$613,MATCH($A273,Market_Data!$N$21:INDEX(Market_Data!$N$21:$N$613,COUNT(Market_Data!$N$21:$N$613)),1)),""))</f>
        <v/>
      </c>
      <c r="G273" s="145" t="str">
        <f ca="1">IF($A273="","",IFERROR(INDEX(Market_Data!$R$21:$R$613,MATCH($A273,Market_Data!$Q$21:INDEX(Market_Data!$Q$21:$Q$613,COUNT(Market_Data!$Q$21:$Q$613)),1)),""))</f>
        <v/>
      </c>
      <c r="H273" s="145" t="str">
        <f ca="1">IF($A273="","",IFERROR(INDEX(Market_Data!$U$21:$U$613,MATCH($A273,Market_Data!$T$21:INDEX(Market_Data!$T$21:$T$613,COUNT(Market_Data!$T$21:$T$613)),1)),""))</f>
        <v/>
      </c>
      <c r="I273" s="146" t="str">
        <f ca="1">IF($A273="","",IFERROR(INDEX(Query1[Close],MATCH($A273,Query1[Date],1)),""))</f>
        <v/>
      </c>
    </row>
    <row r="274" spans="1:9" x14ac:dyDescent="0.3">
      <c r="A274" s="144" t="str">
        <f t="shared" ca="1" si="6"/>
        <v/>
      </c>
      <c r="B274" s="145" t="str">
        <f ca="1">IF($A274="","",IFERROR(INDEX(Market_Data!$C$21:$C$613,MATCH($A274,Market_Data!$B$21:INDEX(Market_Data!$B$21:$B$613,COUNT(Market_Data!$B$21:$B$613)),1)),""))</f>
        <v/>
      </c>
      <c r="C274" s="145" t="str">
        <f ca="1">IF($A274="","",IFERROR(INDEX(Market_Data!$F$21:$F$613,MATCH($A274,Market_Data!$E$21:INDEX(Market_Data!$E$21:$E$613,COUNT(Market_Data!$E$21:$E$613)),1)),""))</f>
        <v/>
      </c>
      <c r="D274" s="145" t="str">
        <f ca="1">IF($A274="","",IFERROR(INDEX(Market_Data!$I$21:$I$613,MATCH($A274,Market_Data!$H$21:INDEX(Market_Data!$H$21:$H$613,COUNT(Market_Data!$H$21:$H$613)),1)),""))</f>
        <v/>
      </c>
      <c r="E274" s="145" t="str">
        <f ca="1">IF($A274="","",IFERROR(INDEX(Market_Data!$L$21:$L$613,MATCH($A274,Market_Data!$K$21:INDEX(Market_Data!$K$21:$K$613,COUNT(Market_Data!$K$21:$K$613)),1)),""))</f>
        <v/>
      </c>
      <c r="F274" s="145" t="str">
        <f ca="1">IF($A274="","",IFERROR(INDEX(Market_Data!$O$21:$O$613,MATCH($A274,Market_Data!$N$21:INDEX(Market_Data!$N$21:$N$613,COUNT(Market_Data!$N$21:$N$613)),1)),""))</f>
        <v/>
      </c>
      <c r="G274" s="145" t="str">
        <f ca="1">IF($A274="","",IFERROR(INDEX(Market_Data!$R$21:$R$613,MATCH($A274,Market_Data!$Q$21:INDEX(Market_Data!$Q$21:$Q$613,COUNT(Market_Data!$Q$21:$Q$613)),1)),""))</f>
        <v/>
      </c>
      <c r="H274" s="145" t="str">
        <f ca="1">IF($A274="","",IFERROR(INDEX(Market_Data!$U$21:$U$613,MATCH($A274,Market_Data!$T$21:INDEX(Market_Data!$T$21:$T$613,COUNT(Market_Data!$T$21:$T$613)),1)),""))</f>
        <v/>
      </c>
      <c r="I274" s="146" t="str">
        <f ca="1">IF($A274="","",IFERROR(INDEX(Query1[Close],MATCH($A274,Query1[Date],1)),""))</f>
        <v/>
      </c>
    </row>
    <row r="275" spans="1:9" x14ac:dyDescent="0.3">
      <c r="A275" s="144" t="str">
        <f t="shared" ca="1" si="6"/>
        <v/>
      </c>
      <c r="B275" s="145" t="str">
        <f ca="1">IF($A275="","",IFERROR(INDEX(Market_Data!$C$21:$C$613,MATCH($A275,Market_Data!$B$21:INDEX(Market_Data!$B$21:$B$613,COUNT(Market_Data!$B$21:$B$613)),1)),""))</f>
        <v/>
      </c>
      <c r="C275" s="145" t="str">
        <f ca="1">IF($A275="","",IFERROR(INDEX(Market_Data!$F$21:$F$613,MATCH($A275,Market_Data!$E$21:INDEX(Market_Data!$E$21:$E$613,COUNT(Market_Data!$E$21:$E$613)),1)),""))</f>
        <v/>
      </c>
      <c r="D275" s="145" t="str">
        <f ca="1">IF($A275="","",IFERROR(INDEX(Market_Data!$I$21:$I$613,MATCH($A275,Market_Data!$H$21:INDEX(Market_Data!$H$21:$H$613,COUNT(Market_Data!$H$21:$H$613)),1)),""))</f>
        <v/>
      </c>
      <c r="E275" s="145" t="str">
        <f ca="1">IF($A275="","",IFERROR(INDEX(Market_Data!$L$21:$L$613,MATCH($A275,Market_Data!$K$21:INDEX(Market_Data!$K$21:$K$613,COUNT(Market_Data!$K$21:$K$613)),1)),""))</f>
        <v/>
      </c>
      <c r="F275" s="145" t="str">
        <f ca="1">IF($A275="","",IFERROR(INDEX(Market_Data!$O$21:$O$613,MATCH($A275,Market_Data!$N$21:INDEX(Market_Data!$N$21:$N$613,COUNT(Market_Data!$N$21:$N$613)),1)),""))</f>
        <v/>
      </c>
      <c r="G275" s="145" t="str">
        <f ca="1">IF($A275="","",IFERROR(INDEX(Market_Data!$R$21:$R$613,MATCH($A275,Market_Data!$Q$21:INDEX(Market_Data!$Q$21:$Q$613,COUNT(Market_Data!$Q$21:$Q$613)),1)),""))</f>
        <v/>
      </c>
      <c r="H275" s="145" t="str">
        <f ca="1">IF($A275="","",IFERROR(INDEX(Market_Data!$U$21:$U$613,MATCH($A275,Market_Data!$T$21:INDEX(Market_Data!$T$21:$T$613,COUNT(Market_Data!$T$21:$T$613)),1)),""))</f>
        <v/>
      </c>
      <c r="I275" s="146" t="str">
        <f ca="1">IF($A275="","",IFERROR(INDEX(Query1[Close],MATCH($A275,Query1[Date],1)),""))</f>
        <v/>
      </c>
    </row>
    <row r="276" spans="1:9" x14ac:dyDescent="0.3">
      <c r="A276" s="144" t="str">
        <f t="shared" ca="1" si="6"/>
        <v/>
      </c>
      <c r="B276" s="145" t="str">
        <f ca="1">IF($A276="","",IFERROR(INDEX(Market_Data!$C$21:$C$613,MATCH($A276,Market_Data!$B$21:INDEX(Market_Data!$B$21:$B$613,COUNT(Market_Data!$B$21:$B$613)),1)),""))</f>
        <v/>
      </c>
      <c r="C276" s="145" t="str">
        <f ca="1">IF($A276="","",IFERROR(INDEX(Market_Data!$F$21:$F$613,MATCH($A276,Market_Data!$E$21:INDEX(Market_Data!$E$21:$E$613,COUNT(Market_Data!$E$21:$E$613)),1)),""))</f>
        <v/>
      </c>
      <c r="D276" s="145" t="str">
        <f ca="1">IF($A276="","",IFERROR(INDEX(Market_Data!$I$21:$I$613,MATCH($A276,Market_Data!$H$21:INDEX(Market_Data!$H$21:$H$613,COUNT(Market_Data!$H$21:$H$613)),1)),""))</f>
        <v/>
      </c>
      <c r="E276" s="145" t="str">
        <f ca="1">IF($A276="","",IFERROR(INDEX(Market_Data!$L$21:$L$613,MATCH($A276,Market_Data!$K$21:INDEX(Market_Data!$K$21:$K$613,COUNT(Market_Data!$K$21:$K$613)),1)),""))</f>
        <v/>
      </c>
      <c r="F276" s="145" t="str">
        <f ca="1">IF($A276="","",IFERROR(INDEX(Market_Data!$O$21:$O$613,MATCH($A276,Market_Data!$N$21:INDEX(Market_Data!$N$21:$N$613,COUNT(Market_Data!$N$21:$N$613)),1)),""))</f>
        <v/>
      </c>
      <c r="G276" s="145" t="str">
        <f ca="1">IF($A276="","",IFERROR(INDEX(Market_Data!$R$21:$R$613,MATCH($A276,Market_Data!$Q$21:INDEX(Market_Data!$Q$21:$Q$613,COUNT(Market_Data!$Q$21:$Q$613)),1)),""))</f>
        <v/>
      </c>
      <c r="H276" s="145" t="str">
        <f ca="1">IF($A276="","",IFERROR(INDEX(Market_Data!$U$21:$U$613,MATCH($A276,Market_Data!$T$21:INDEX(Market_Data!$T$21:$T$613,COUNT(Market_Data!$T$21:$T$613)),1)),""))</f>
        <v/>
      </c>
      <c r="I276" s="146" t="str">
        <f ca="1">IF($A276="","",IFERROR(INDEX(Query1[Close],MATCH($A276,Query1[Date],1)),""))</f>
        <v/>
      </c>
    </row>
    <row r="277" spans="1:9" x14ac:dyDescent="0.3">
      <c r="A277" s="144" t="str">
        <f t="shared" ca="1" si="6"/>
        <v/>
      </c>
      <c r="B277" s="145" t="str">
        <f ca="1">IF($A277="","",IFERROR(INDEX(Market_Data!$C$21:$C$613,MATCH($A277,Market_Data!$B$21:INDEX(Market_Data!$B$21:$B$613,COUNT(Market_Data!$B$21:$B$613)),1)),""))</f>
        <v/>
      </c>
      <c r="C277" s="145" t="str">
        <f ca="1">IF($A277="","",IFERROR(INDEX(Market_Data!$F$21:$F$613,MATCH($A277,Market_Data!$E$21:INDEX(Market_Data!$E$21:$E$613,COUNT(Market_Data!$E$21:$E$613)),1)),""))</f>
        <v/>
      </c>
      <c r="D277" s="145" t="str">
        <f ca="1">IF($A277="","",IFERROR(INDEX(Market_Data!$I$21:$I$613,MATCH($A277,Market_Data!$H$21:INDEX(Market_Data!$H$21:$H$613,COUNT(Market_Data!$H$21:$H$613)),1)),""))</f>
        <v/>
      </c>
      <c r="E277" s="145" t="str">
        <f ca="1">IF($A277="","",IFERROR(INDEX(Market_Data!$L$21:$L$613,MATCH($A277,Market_Data!$K$21:INDEX(Market_Data!$K$21:$K$613,COUNT(Market_Data!$K$21:$K$613)),1)),""))</f>
        <v/>
      </c>
      <c r="F277" s="145" t="str">
        <f ca="1">IF($A277="","",IFERROR(INDEX(Market_Data!$O$21:$O$613,MATCH($A277,Market_Data!$N$21:INDEX(Market_Data!$N$21:$N$613,COUNT(Market_Data!$N$21:$N$613)),1)),""))</f>
        <v/>
      </c>
      <c r="G277" s="145" t="str">
        <f ca="1">IF($A277="","",IFERROR(INDEX(Market_Data!$R$21:$R$613,MATCH($A277,Market_Data!$Q$21:INDEX(Market_Data!$Q$21:$Q$613,COUNT(Market_Data!$Q$21:$Q$613)),1)),""))</f>
        <v/>
      </c>
      <c r="H277" s="145" t="str">
        <f ca="1">IF($A277="","",IFERROR(INDEX(Market_Data!$U$21:$U$613,MATCH($A277,Market_Data!$T$21:INDEX(Market_Data!$T$21:$T$613,COUNT(Market_Data!$T$21:$T$613)),1)),""))</f>
        <v/>
      </c>
      <c r="I277" s="146" t="str">
        <f ca="1">IF($A277="","",IFERROR(INDEX(Query1[Close],MATCH($A277,Query1[Date],1)),""))</f>
        <v/>
      </c>
    </row>
    <row r="278" spans="1:9" x14ac:dyDescent="0.3">
      <c r="A278" s="144" t="str">
        <f t="shared" ca="1" si="6"/>
        <v/>
      </c>
      <c r="B278" s="145" t="str">
        <f ca="1">IF($A278="","",IFERROR(INDEX(Market_Data!$C$21:$C$613,MATCH($A278,Market_Data!$B$21:INDEX(Market_Data!$B$21:$B$613,COUNT(Market_Data!$B$21:$B$613)),1)),""))</f>
        <v/>
      </c>
      <c r="C278" s="145" t="str">
        <f ca="1">IF($A278="","",IFERROR(INDEX(Market_Data!$F$21:$F$613,MATCH($A278,Market_Data!$E$21:INDEX(Market_Data!$E$21:$E$613,COUNT(Market_Data!$E$21:$E$613)),1)),""))</f>
        <v/>
      </c>
      <c r="D278" s="145" t="str">
        <f ca="1">IF($A278="","",IFERROR(INDEX(Market_Data!$I$21:$I$613,MATCH($A278,Market_Data!$H$21:INDEX(Market_Data!$H$21:$H$613,COUNT(Market_Data!$H$21:$H$613)),1)),""))</f>
        <v/>
      </c>
      <c r="E278" s="145" t="str">
        <f ca="1">IF($A278="","",IFERROR(INDEX(Market_Data!$L$21:$L$613,MATCH($A278,Market_Data!$K$21:INDEX(Market_Data!$K$21:$K$613,COUNT(Market_Data!$K$21:$K$613)),1)),""))</f>
        <v/>
      </c>
      <c r="F278" s="145" t="str">
        <f ca="1">IF($A278="","",IFERROR(INDEX(Market_Data!$O$21:$O$613,MATCH($A278,Market_Data!$N$21:INDEX(Market_Data!$N$21:$N$613,COUNT(Market_Data!$N$21:$N$613)),1)),""))</f>
        <v/>
      </c>
      <c r="G278" s="145" t="str">
        <f ca="1">IF($A278="","",IFERROR(INDEX(Market_Data!$R$21:$R$613,MATCH($A278,Market_Data!$Q$21:INDEX(Market_Data!$Q$21:$Q$613,COUNT(Market_Data!$Q$21:$Q$613)),1)),""))</f>
        <v/>
      </c>
      <c r="H278" s="145" t="str">
        <f ca="1">IF($A278="","",IFERROR(INDEX(Market_Data!$U$21:$U$613,MATCH($A278,Market_Data!$T$21:INDEX(Market_Data!$T$21:$T$613,COUNT(Market_Data!$T$21:$T$613)),1)),""))</f>
        <v/>
      </c>
      <c r="I278" s="146" t="str">
        <f ca="1">IF($A278="","",IFERROR(INDEX(Query1[Close],MATCH($A278,Query1[Date],1)),""))</f>
        <v/>
      </c>
    </row>
    <row r="279" spans="1:9" x14ac:dyDescent="0.3">
      <c r="A279" s="144" t="str">
        <f t="shared" ca="1" si="6"/>
        <v/>
      </c>
      <c r="B279" s="145" t="str">
        <f ca="1">IF($A279="","",IFERROR(INDEX(Market_Data!$C$21:$C$613,MATCH($A279,Market_Data!$B$21:INDEX(Market_Data!$B$21:$B$613,COUNT(Market_Data!$B$21:$B$613)),1)),""))</f>
        <v/>
      </c>
      <c r="C279" s="145" t="str">
        <f ca="1">IF($A279="","",IFERROR(INDEX(Market_Data!$F$21:$F$613,MATCH($A279,Market_Data!$E$21:INDEX(Market_Data!$E$21:$E$613,COUNT(Market_Data!$E$21:$E$613)),1)),""))</f>
        <v/>
      </c>
      <c r="D279" s="145" t="str">
        <f ca="1">IF($A279="","",IFERROR(INDEX(Market_Data!$I$21:$I$613,MATCH($A279,Market_Data!$H$21:INDEX(Market_Data!$H$21:$H$613,COUNT(Market_Data!$H$21:$H$613)),1)),""))</f>
        <v/>
      </c>
      <c r="E279" s="145" t="str">
        <f ca="1">IF($A279="","",IFERROR(INDEX(Market_Data!$L$21:$L$613,MATCH($A279,Market_Data!$K$21:INDEX(Market_Data!$K$21:$K$613,COUNT(Market_Data!$K$21:$K$613)),1)),""))</f>
        <v/>
      </c>
      <c r="F279" s="145" t="str">
        <f ca="1">IF($A279="","",IFERROR(INDEX(Market_Data!$O$21:$O$613,MATCH($A279,Market_Data!$N$21:INDEX(Market_Data!$N$21:$N$613,COUNT(Market_Data!$N$21:$N$613)),1)),""))</f>
        <v/>
      </c>
      <c r="G279" s="145" t="str">
        <f ca="1">IF($A279="","",IFERROR(INDEX(Market_Data!$R$21:$R$613,MATCH($A279,Market_Data!$Q$21:INDEX(Market_Data!$Q$21:$Q$613,COUNT(Market_Data!$Q$21:$Q$613)),1)),""))</f>
        <v/>
      </c>
      <c r="H279" s="145" t="str">
        <f ca="1">IF($A279="","",IFERROR(INDEX(Market_Data!$U$21:$U$613,MATCH($A279,Market_Data!$T$21:INDEX(Market_Data!$T$21:$T$613,COUNT(Market_Data!$T$21:$T$613)),1)),""))</f>
        <v/>
      </c>
      <c r="I279" s="146" t="str">
        <f ca="1">IF($A279="","",IFERROR(INDEX(Query1[Close],MATCH($A279,Query1[Date],1)),""))</f>
        <v/>
      </c>
    </row>
    <row r="280" spans="1:9" x14ac:dyDescent="0.3">
      <c r="A280" s="144" t="str">
        <f t="shared" ca="1" si="6"/>
        <v/>
      </c>
      <c r="B280" s="145" t="str">
        <f ca="1">IF($A280="","",IFERROR(INDEX(Market_Data!$C$21:$C$613,MATCH($A280,Market_Data!$B$21:INDEX(Market_Data!$B$21:$B$613,COUNT(Market_Data!$B$21:$B$613)),1)),""))</f>
        <v/>
      </c>
      <c r="C280" s="145" t="str">
        <f ca="1">IF($A280="","",IFERROR(INDEX(Market_Data!$F$21:$F$613,MATCH($A280,Market_Data!$E$21:INDEX(Market_Data!$E$21:$E$613,COUNT(Market_Data!$E$21:$E$613)),1)),""))</f>
        <v/>
      </c>
      <c r="D280" s="145" t="str">
        <f ca="1">IF($A280="","",IFERROR(INDEX(Market_Data!$I$21:$I$613,MATCH($A280,Market_Data!$H$21:INDEX(Market_Data!$H$21:$H$613,COUNT(Market_Data!$H$21:$H$613)),1)),""))</f>
        <v/>
      </c>
      <c r="E280" s="145" t="str">
        <f ca="1">IF($A280="","",IFERROR(INDEX(Market_Data!$L$21:$L$613,MATCH($A280,Market_Data!$K$21:INDEX(Market_Data!$K$21:$K$613,COUNT(Market_Data!$K$21:$K$613)),1)),""))</f>
        <v/>
      </c>
      <c r="F280" s="145" t="str">
        <f ca="1">IF($A280="","",IFERROR(INDEX(Market_Data!$O$21:$O$613,MATCH($A280,Market_Data!$N$21:INDEX(Market_Data!$N$21:$N$613,COUNT(Market_Data!$N$21:$N$613)),1)),""))</f>
        <v/>
      </c>
      <c r="G280" s="145" t="str">
        <f ca="1">IF($A280="","",IFERROR(INDEX(Market_Data!$R$21:$R$613,MATCH($A280,Market_Data!$Q$21:INDEX(Market_Data!$Q$21:$Q$613,COUNT(Market_Data!$Q$21:$Q$613)),1)),""))</f>
        <v/>
      </c>
      <c r="H280" s="145" t="str">
        <f ca="1">IF($A280="","",IFERROR(INDEX(Market_Data!$U$21:$U$613,MATCH($A280,Market_Data!$T$21:INDEX(Market_Data!$T$21:$T$613,COUNT(Market_Data!$T$21:$T$613)),1)),""))</f>
        <v/>
      </c>
      <c r="I280" s="146" t="str">
        <f ca="1">IF($A280="","",IFERROR(INDEX(Query1[Close],MATCH($A280,Query1[Date],1)),""))</f>
        <v/>
      </c>
    </row>
    <row r="281" spans="1:9" x14ac:dyDescent="0.3">
      <c r="A281" s="144" t="str">
        <f t="shared" ca="1" si="6"/>
        <v/>
      </c>
      <c r="B281" s="145" t="str">
        <f ca="1">IF($A281="","",IFERROR(INDEX(Market_Data!$C$21:$C$613,MATCH($A281,Market_Data!$B$21:INDEX(Market_Data!$B$21:$B$613,COUNT(Market_Data!$B$21:$B$613)),1)),""))</f>
        <v/>
      </c>
      <c r="C281" s="145" t="str">
        <f ca="1">IF($A281="","",IFERROR(INDEX(Market_Data!$F$21:$F$613,MATCH($A281,Market_Data!$E$21:INDEX(Market_Data!$E$21:$E$613,COUNT(Market_Data!$E$21:$E$613)),1)),""))</f>
        <v/>
      </c>
      <c r="D281" s="145" t="str">
        <f ca="1">IF($A281="","",IFERROR(INDEX(Market_Data!$I$21:$I$613,MATCH($A281,Market_Data!$H$21:INDEX(Market_Data!$H$21:$H$613,COUNT(Market_Data!$H$21:$H$613)),1)),""))</f>
        <v/>
      </c>
      <c r="E281" s="145" t="str">
        <f ca="1">IF($A281="","",IFERROR(INDEX(Market_Data!$L$21:$L$613,MATCH($A281,Market_Data!$K$21:INDEX(Market_Data!$K$21:$K$613,COUNT(Market_Data!$K$21:$K$613)),1)),""))</f>
        <v/>
      </c>
      <c r="F281" s="145" t="str">
        <f ca="1">IF($A281="","",IFERROR(INDEX(Market_Data!$O$21:$O$613,MATCH($A281,Market_Data!$N$21:INDEX(Market_Data!$N$21:$N$613,COUNT(Market_Data!$N$21:$N$613)),1)),""))</f>
        <v/>
      </c>
      <c r="G281" s="145" t="str">
        <f ca="1">IF($A281="","",IFERROR(INDEX(Market_Data!$R$21:$R$613,MATCH($A281,Market_Data!$Q$21:INDEX(Market_Data!$Q$21:$Q$613,COUNT(Market_Data!$Q$21:$Q$613)),1)),""))</f>
        <v/>
      </c>
      <c r="H281" s="145" t="str">
        <f ca="1">IF($A281="","",IFERROR(INDEX(Market_Data!$U$21:$U$613,MATCH($A281,Market_Data!$T$21:INDEX(Market_Data!$T$21:$T$613,COUNT(Market_Data!$T$21:$T$613)),1)),""))</f>
        <v/>
      </c>
      <c r="I281" s="146" t="str">
        <f ca="1">IF($A281="","",IFERROR(INDEX(Query1[Close],MATCH($A281,Query1[Date],1)),""))</f>
        <v/>
      </c>
    </row>
    <row r="282" spans="1:9" x14ac:dyDescent="0.3">
      <c r="A282" s="144" t="str">
        <f t="shared" ca="1" si="6"/>
        <v/>
      </c>
      <c r="B282" s="145" t="str">
        <f ca="1">IF($A282="","",IFERROR(INDEX(Market_Data!$C$21:$C$613,MATCH($A282,Market_Data!$B$21:INDEX(Market_Data!$B$21:$B$613,COUNT(Market_Data!$B$21:$B$613)),1)),""))</f>
        <v/>
      </c>
      <c r="C282" s="145" t="str">
        <f ca="1">IF($A282="","",IFERROR(INDEX(Market_Data!$F$21:$F$613,MATCH($A282,Market_Data!$E$21:INDEX(Market_Data!$E$21:$E$613,COUNT(Market_Data!$E$21:$E$613)),1)),""))</f>
        <v/>
      </c>
      <c r="D282" s="145" t="str">
        <f ca="1">IF($A282="","",IFERROR(INDEX(Market_Data!$I$21:$I$613,MATCH($A282,Market_Data!$H$21:INDEX(Market_Data!$H$21:$H$613,COUNT(Market_Data!$H$21:$H$613)),1)),""))</f>
        <v/>
      </c>
      <c r="E282" s="145" t="str">
        <f ca="1">IF($A282="","",IFERROR(INDEX(Market_Data!$L$21:$L$613,MATCH($A282,Market_Data!$K$21:INDEX(Market_Data!$K$21:$K$613,COUNT(Market_Data!$K$21:$K$613)),1)),""))</f>
        <v/>
      </c>
      <c r="F282" s="145" t="str">
        <f ca="1">IF($A282="","",IFERROR(INDEX(Market_Data!$O$21:$O$613,MATCH($A282,Market_Data!$N$21:INDEX(Market_Data!$N$21:$N$613,COUNT(Market_Data!$N$21:$N$613)),1)),""))</f>
        <v/>
      </c>
      <c r="G282" s="145" t="str">
        <f ca="1">IF($A282="","",IFERROR(INDEX(Market_Data!$R$21:$R$613,MATCH($A282,Market_Data!$Q$21:INDEX(Market_Data!$Q$21:$Q$613,COUNT(Market_Data!$Q$21:$Q$613)),1)),""))</f>
        <v/>
      </c>
      <c r="H282" s="145" t="str">
        <f ca="1">IF($A282="","",IFERROR(INDEX(Market_Data!$U$21:$U$613,MATCH($A282,Market_Data!$T$21:INDEX(Market_Data!$T$21:$T$613,COUNT(Market_Data!$T$21:$T$613)),1)),""))</f>
        <v/>
      </c>
      <c r="I282" s="146" t="str">
        <f ca="1">IF($A282="","",IFERROR(INDEX(Query1[Close],MATCH($A282,Query1[Date],1)),""))</f>
        <v/>
      </c>
    </row>
    <row r="283" spans="1:9" x14ac:dyDescent="0.3">
      <c r="A283" s="144" t="str">
        <f t="shared" ca="1" si="6"/>
        <v/>
      </c>
      <c r="B283" s="145" t="str">
        <f ca="1">IF($A283="","",IFERROR(INDEX(Market_Data!$C$21:$C$613,MATCH($A283,Market_Data!$B$21:INDEX(Market_Data!$B$21:$B$613,COUNT(Market_Data!$B$21:$B$613)),1)),""))</f>
        <v/>
      </c>
      <c r="C283" s="145" t="str">
        <f ca="1">IF($A283="","",IFERROR(INDEX(Market_Data!$F$21:$F$613,MATCH($A283,Market_Data!$E$21:INDEX(Market_Data!$E$21:$E$613,COUNT(Market_Data!$E$21:$E$613)),1)),""))</f>
        <v/>
      </c>
      <c r="D283" s="145" t="str">
        <f ca="1">IF($A283="","",IFERROR(INDEX(Market_Data!$I$21:$I$613,MATCH($A283,Market_Data!$H$21:INDEX(Market_Data!$H$21:$H$613,COUNT(Market_Data!$H$21:$H$613)),1)),""))</f>
        <v/>
      </c>
      <c r="E283" s="145" t="str">
        <f ca="1">IF($A283="","",IFERROR(INDEX(Market_Data!$L$21:$L$613,MATCH($A283,Market_Data!$K$21:INDEX(Market_Data!$K$21:$K$613,COUNT(Market_Data!$K$21:$K$613)),1)),""))</f>
        <v/>
      </c>
      <c r="F283" s="145" t="str">
        <f ca="1">IF($A283="","",IFERROR(INDEX(Market_Data!$O$21:$O$613,MATCH($A283,Market_Data!$N$21:INDEX(Market_Data!$N$21:$N$613,COUNT(Market_Data!$N$21:$N$613)),1)),""))</f>
        <v/>
      </c>
      <c r="G283" s="145" t="str">
        <f ca="1">IF($A283="","",IFERROR(INDEX(Market_Data!$R$21:$R$613,MATCH($A283,Market_Data!$Q$21:INDEX(Market_Data!$Q$21:$Q$613,COUNT(Market_Data!$Q$21:$Q$613)),1)),""))</f>
        <v/>
      </c>
      <c r="H283" s="145" t="str">
        <f ca="1">IF($A283="","",IFERROR(INDEX(Market_Data!$U$21:$U$613,MATCH($A283,Market_Data!$T$21:INDEX(Market_Data!$T$21:$T$613,COUNT(Market_Data!$T$21:$T$613)),1)),""))</f>
        <v/>
      </c>
      <c r="I283" s="146" t="str">
        <f ca="1">IF($A283="","",IFERROR(INDEX(Query1[Close],MATCH($A283,Query1[Date],1)),""))</f>
        <v/>
      </c>
    </row>
    <row r="284" spans="1:9" x14ac:dyDescent="0.3">
      <c r="A284" s="144" t="str">
        <f t="shared" ca="1" si="6"/>
        <v/>
      </c>
      <c r="B284" s="145" t="str">
        <f ca="1">IF($A284="","",IFERROR(INDEX(Market_Data!$C$21:$C$613,MATCH($A284,Market_Data!$B$21:INDEX(Market_Data!$B$21:$B$613,COUNT(Market_Data!$B$21:$B$613)),1)),""))</f>
        <v/>
      </c>
      <c r="C284" s="145" t="str">
        <f ca="1">IF($A284="","",IFERROR(INDEX(Market_Data!$F$21:$F$613,MATCH($A284,Market_Data!$E$21:INDEX(Market_Data!$E$21:$E$613,COUNT(Market_Data!$E$21:$E$613)),1)),""))</f>
        <v/>
      </c>
      <c r="D284" s="145" t="str">
        <f ca="1">IF($A284="","",IFERROR(INDEX(Market_Data!$I$21:$I$613,MATCH($A284,Market_Data!$H$21:INDEX(Market_Data!$H$21:$H$613,COUNT(Market_Data!$H$21:$H$613)),1)),""))</f>
        <v/>
      </c>
      <c r="E284" s="145" t="str">
        <f ca="1">IF($A284="","",IFERROR(INDEX(Market_Data!$L$21:$L$613,MATCH($A284,Market_Data!$K$21:INDEX(Market_Data!$K$21:$K$613,COUNT(Market_Data!$K$21:$K$613)),1)),""))</f>
        <v/>
      </c>
      <c r="F284" s="145" t="str">
        <f ca="1">IF($A284="","",IFERROR(INDEX(Market_Data!$O$21:$O$613,MATCH($A284,Market_Data!$N$21:INDEX(Market_Data!$N$21:$N$613,COUNT(Market_Data!$N$21:$N$613)),1)),""))</f>
        <v/>
      </c>
      <c r="G284" s="145" t="str">
        <f ca="1">IF($A284="","",IFERROR(INDEX(Market_Data!$R$21:$R$613,MATCH($A284,Market_Data!$Q$21:INDEX(Market_Data!$Q$21:$Q$613,COUNT(Market_Data!$Q$21:$Q$613)),1)),""))</f>
        <v/>
      </c>
      <c r="H284" s="145" t="str">
        <f ca="1">IF($A284="","",IFERROR(INDEX(Market_Data!$U$21:$U$613,MATCH($A284,Market_Data!$T$21:INDEX(Market_Data!$T$21:$T$613,COUNT(Market_Data!$T$21:$T$613)),1)),""))</f>
        <v/>
      </c>
      <c r="I284" s="146" t="str">
        <f ca="1">IF($A284="","",IFERROR(INDEX(Query1[Close],MATCH($A284,Query1[Date],1)),""))</f>
        <v/>
      </c>
    </row>
    <row r="285" spans="1:9" x14ac:dyDescent="0.3">
      <c r="A285" s="144" t="str">
        <f t="shared" ca="1" si="6"/>
        <v/>
      </c>
      <c r="B285" s="145" t="str">
        <f ca="1">IF($A285="","",IFERROR(INDEX(Market_Data!$C$21:$C$613,MATCH($A285,Market_Data!$B$21:INDEX(Market_Data!$B$21:$B$613,COUNT(Market_Data!$B$21:$B$613)),1)),""))</f>
        <v/>
      </c>
      <c r="C285" s="145" t="str">
        <f ca="1">IF($A285="","",IFERROR(INDEX(Market_Data!$F$21:$F$613,MATCH($A285,Market_Data!$E$21:INDEX(Market_Data!$E$21:$E$613,COUNT(Market_Data!$E$21:$E$613)),1)),""))</f>
        <v/>
      </c>
      <c r="D285" s="145" t="str">
        <f ca="1">IF($A285="","",IFERROR(INDEX(Market_Data!$I$21:$I$613,MATCH($A285,Market_Data!$H$21:INDEX(Market_Data!$H$21:$H$613,COUNT(Market_Data!$H$21:$H$613)),1)),""))</f>
        <v/>
      </c>
      <c r="E285" s="145" t="str">
        <f ca="1">IF($A285="","",IFERROR(INDEX(Market_Data!$L$21:$L$613,MATCH($A285,Market_Data!$K$21:INDEX(Market_Data!$K$21:$K$613,COUNT(Market_Data!$K$21:$K$613)),1)),""))</f>
        <v/>
      </c>
      <c r="F285" s="145" t="str">
        <f ca="1">IF($A285="","",IFERROR(INDEX(Market_Data!$O$21:$O$613,MATCH($A285,Market_Data!$N$21:INDEX(Market_Data!$N$21:$N$613,COUNT(Market_Data!$N$21:$N$613)),1)),""))</f>
        <v/>
      </c>
      <c r="G285" s="145" t="str">
        <f ca="1">IF($A285="","",IFERROR(INDEX(Market_Data!$R$21:$R$613,MATCH($A285,Market_Data!$Q$21:INDEX(Market_Data!$Q$21:$Q$613,COUNT(Market_Data!$Q$21:$Q$613)),1)),""))</f>
        <v/>
      </c>
      <c r="H285" s="145" t="str">
        <f ca="1">IF($A285="","",IFERROR(INDEX(Market_Data!$U$21:$U$613,MATCH($A285,Market_Data!$T$21:INDEX(Market_Data!$T$21:$T$613,COUNT(Market_Data!$T$21:$T$613)),1)),""))</f>
        <v/>
      </c>
      <c r="I285" s="146" t="str">
        <f ca="1">IF($A285="","",IFERROR(INDEX(Query1[Close],MATCH($A285,Query1[Date],1)),""))</f>
        <v/>
      </c>
    </row>
    <row r="286" spans="1:9" x14ac:dyDescent="0.3">
      <c r="A286" s="144" t="str">
        <f t="shared" ca="1" si="6"/>
        <v/>
      </c>
      <c r="B286" s="145" t="str">
        <f ca="1">IF($A286="","",IFERROR(INDEX(Market_Data!$C$21:$C$613,MATCH($A286,Market_Data!$B$21:INDEX(Market_Data!$B$21:$B$613,COUNT(Market_Data!$B$21:$B$613)),1)),""))</f>
        <v/>
      </c>
      <c r="C286" s="145" t="str">
        <f ca="1">IF($A286="","",IFERROR(INDEX(Market_Data!$F$21:$F$613,MATCH($A286,Market_Data!$E$21:INDEX(Market_Data!$E$21:$E$613,COUNT(Market_Data!$E$21:$E$613)),1)),""))</f>
        <v/>
      </c>
      <c r="D286" s="145" t="str">
        <f ca="1">IF($A286="","",IFERROR(INDEX(Market_Data!$I$21:$I$613,MATCH($A286,Market_Data!$H$21:INDEX(Market_Data!$H$21:$H$613,COUNT(Market_Data!$H$21:$H$613)),1)),""))</f>
        <v/>
      </c>
      <c r="E286" s="145" t="str">
        <f ca="1">IF($A286="","",IFERROR(INDEX(Market_Data!$L$21:$L$613,MATCH($A286,Market_Data!$K$21:INDEX(Market_Data!$K$21:$K$613,COUNT(Market_Data!$K$21:$K$613)),1)),""))</f>
        <v/>
      </c>
      <c r="F286" s="145" t="str">
        <f ca="1">IF($A286="","",IFERROR(INDEX(Market_Data!$O$21:$O$613,MATCH($A286,Market_Data!$N$21:INDEX(Market_Data!$N$21:$N$613,COUNT(Market_Data!$N$21:$N$613)),1)),""))</f>
        <v/>
      </c>
      <c r="G286" s="145" t="str">
        <f ca="1">IF($A286="","",IFERROR(INDEX(Market_Data!$R$21:$R$613,MATCH($A286,Market_Data!$Q$21:INDEX(Market_Data!$Q$21:$Q$613,COUNT(Market_Data!$Q$21:$Q$613)),1)),""))</f>
        <v/>
      </c>
      <c r="H286" s="145" t="str">
        <f ca="1">IF($A286="","",IFERROR(INDEX(Market_Data!$U$21:$U$613,MATCH($A286,Market_Data!$T$21:INDEX(Market_Data!$T$21:$T$613,COUNT(Market_Data!$T$21:$T$613)),1)),""))</f>
        <v/>
      </c>
      <c r="I286" s="146" t="str">
        <f ca="1">IF($A286="","",IFERROR(INDEX(Query1[Close],MATCH($A286,Query1[Date],1)),""))</f>
        <v/>
      </c>
    </row>
    <row r="287" spans="1:9" x14ac:dyDescent="0.3">
      <c r="A287" s="144" t="str">
        <f t="shared" ca="1" si="6"/>
        <v/>
      </c>
      <c r="B287" s="145" t="str">
        <f ca="1">IF($A287="","",IFERROR(INDEX(Market_Data!$C$21:$C$613,MATCH($A287,Market_Data!$B$21:INDEX(Market_Data!$B$21:$B$613,COUNT(Market_Data!$B$21:$B$613)),1)),""))</f>
        <v/>
      </c>
      <c r="C287" s="145" t="str">
        <f ca="1">IF($A287="","",IFERROR(INDEX(Market_Data!$F$21:$F$613,MATCH($A287,Market_Data!$E$21:INDEX(Market_Data!$E$21:$E$613,COUNT(Market_Data!$E$21:$E$613)),1)),""))</f>
        <v/>
      </c>
      <c r="D287" s="145" t="str">
        <f ca="1">IF($A287="","",IFERROR(INDEX(Market_Data!$I$21:$I$613,MATCH($A287,Market_Data!$H$21:INDEX(Market_Data!$H$21:$H$613,COUNT(Market_Data!$H$21:$H$613)),1)),""))</f>
        <v/>
      </c>
      <c r="E287" s="145" t="str">
        <f ca="1">IF($A287="","",IFERROR(INDEX(Market_Data!$L$21:$L$613,MATCH($A287,Market_Data!$K$21:INDEX(Market_Data!$K$21:$K$613,COUNT(Market_Data!$K$21:$K$613)),1)),""))</f>
        <v/>
      </c>
      <c r="F287" s="145" t="str">
        <f ca="1">IF($A287="","",IFERROR(INDEX(Market_Data!$O$21:$O$613,MATCH($A287,Market_Data!$N$21:INDEX(Market_Data!$N$21:$N$613,COUNT(Market_Data!$N$21:$N$613)),1)),""))</f>
        <v/>
      </c>
      <c r="G287" s="145" t="str">
        <f ca="1">IF($A287="","",IFERROR(INDEX(Market_Data!$R$21:$R$613,MATCH($A287,Market_Data!$Q$21:INDEX(Market_Data!$Q$21:$Q$613,COUNT(Market_Data!$Q$21:$Q$613)),1)),""))</f>
        <v/>
      </c>
      <c r="H287" s="145" t="str">
        <f ca="1">IF($A287="","",IFERROR(INDEX(Market_Data!$U$21:$U$613,MATCH($A287,Market_Data!$T$21:INDEX(Market_Data!$T$21:$T$613,COUNT(Market_Data!$T$21:$T$613)),1)),""))</f>
        <v/>
      </c>
      <c r="I287" s="146" t="str">
        <f ca="1">IF($A287="","",IFERROR(INDEX(Query1[Close],MATCH($A287,Query1[Date],1)),""))</f>
        <v/>
      </c>
    </row>
    <row r="288" spans="1:9" x14ac:dyDescent="0.3">
      <c r="A288" s="144" t="str">
        <f t="shared" ca="1" si="6"/>
        <v/>
      </c>
      <c r="B288" s="145" t="str">
        <f ca="1">IF($A288="","",IFERROR(INDEX(Market_Data!$C$21:$C$613,MATCH($A288,Market_Data!$B$21:INDEX(Market_Data!$B$21:$B$613,COUNT(Market_Data!$B$21:$B$613)),1)),""))</f>
        <v/>
      </c>
      <c r="C288" s="145" t="str">
        <f ca="1">IF($A288="","",IFERROR(INDEX(Market_Data!$F$21:$F$613,MATCH($A288,Market_Data!$E$21:INDEX(Market_Data!$E$21:$E$613,COUNT(Market_Data!$E$21:$E$613)),1)),""))</f>
        <v/>
      </c>
      <c r="D288" s="145" t="str">
        <f ca="1">IF($A288="","",IFERROR(INDEX(Market_Data!$I$21:$I$613,MATCH($A288,Market_Data!$H$21:INDEX(Market_Data!$H$21:$H$613,COUNT(Market_Data!$H$21:$H$613)),1)),""))</f>
        <v/>
      </c>
      <c r="E288" s="145" t="str">
        <f ca="1">IF($A288="","",IFERROR(INDEX(Market_Data!$L$21:$L$613,MATCH($A288,Market_Data!$K$21:INDEX(Market_Data!$K$21:$K$613,COUNT(Market_Data!$K$21:$K$613)),1)),""))</f>
        <v/>
      </c>
      <c r="F288" s="145" t="str">
        <f ca="1">IF($A288="","",IFERROR(INDEX(Market_Data!$O$21:$O$613,MATCH($A288,Market_Data!$N$21:INDEX(Market_Data!$N$21:$N$613,COUNT(Market_Data!$N$21:$N$613)),1)),""))</f>
        <v/>
      </c>
      <c r="G288" s="145" t="str">
        <f ca="1">IF($A288="","",IFERROR(INDEX(Market_Data!$R$21:$R$613,MATCH($A288,Market_Data!$Q$21:INDEX(Market_Data!$Q$21:$Q$613,COUNT(Market_Data!$Q$21:$Q$613)),1)),""))</f>
        <v/>
      </c>
      <c r="H288" s="145" t="str">
        <f ca="1">IF($A288="","",IFERROR(INDEX(Market_Data!$U$21:$U$613,MATCH($A288,Market_Data!$T$21:INDEX(Market_Data!$T$21:$T$613,COUNT(Market_Data!$T$21:$T$613)),1)),""))</f>
        <v/>
      </c>
      <c r="I288" s="146" t="str">
        <f ca="1">IF($A288="","",IFERROR(INDEX(Query1[Close],MATCH($A288,Query1[Date],1)),""))</f>
        <v/>
      </c>
    </row>
    <row r="289" spans="1:9" x14ac:dyDescent="0.3">
      <c r="A289" s="144" t="str">
        <f t="shared" ca="1" si="6"/>
        <v/>
      </c>
      <c r="B289" s="145" t="str">
        <f ca="1">IF($A289="","",IFERROR(INDEX(Market_Data!$C$21:$C$613,MATCH($A289,Market_Data!$B$21:INDEX(Market_Data!$B$21:$B$613,COUNT(Market_Data!$B$21:$B$613)),1)),""))</f>
        <v/>
      </c>
      <c r="C289" s="145" t="str">
        <f ca="1">IF($A289="","",IFERROR(INDEX(Market_Data!$F$21:$F$613,MATCH($A289,Market_Data!$E$21:INDEX(Market_Data!$E$21:$E$613,COUNT(Market_Data!$E$21:$E$613)),1)),""))</f>
        <v/>
      </c>
      <c r="D289" s="145" t="str">
        <f ca="1">IF($A289="","",IFERROR(INDEX(Market_Data!$I$21:$I$613,MATCH($A289,Market_Data!$H$21:INDEX(Market_Data!$H$21:$H$613,COUNT(Market_Data!$H$21:$H$613)),1)),""))</f>
        <v/>
      </c>
      <c r="E289" s="145" t="str">
        <f ca="1">IF($A289="","",IFERROR(INDEX(Market_Data!$L$21:$L$613,MATCH($A289,Market_Data!$K$21:INDEX(Market_Data!$K$21:$K$613,COUNT(Market_Data!$K$21:$K$613)),1)),""))</f>
        <v/>
      </c>
      <c r="F289" s="145" t="str">
        <f ca="1">IF($A289="","",IFERROR(INDEX(Market_Data!$O$21:$O$613,MATCH($A289,Market_Data!$N$21:INDEX(Market_Data!$N$21:$N$613,COUNT(Market_Data!$N$21:$N$613)),1)),""))</f>
        <v/>
      </c>
      <c r="G289" s="145" t="str">
        <f ca="1">IF($A289="","",IFERROR(INDEX(Market_Data!$R$21:$R$613,MATCH($A289,Market_Data!$Q$21:INDEX(Market_Data!$Q$21:$Q$613,COUNT(Market_Data!$Q$21:$Q$613)),1)),""))</f>
        <v/>
      </c>
      <c r="H289" s="145" t="str">
        <f ca="1">IF($A289="","",IFERROR(INDEX(Market_Data!$U$21:$U$613,MATCH($A289,Market_Data!$T$21:INDEX(Market_Data!$T$21:$T$613,COUNT(Market_Data!$T$21:$T$613)),1)),""))</f>
        <v/>
      </c>
      <c r="I289" s="146" t="str">
        <f ca="1">IF($A289="","",IFERROR(INDEX(Query1[Close],MATCH($A289,Query1[Date],1)),""))</f>
        <v/>
      </c>
    </row>
    <row r="290" spans="1:9" x14ac:dyDescent="0.3">
      <c r="A290" s="144" t="str">
        <f t="shared" ca="1" si="6"/>
        <v/>
      </c>
      <c r="B290" s="145" t="str">
        <f ca="1">IF($A290="","",IFERROR(INDEX(Market_Data!$C$21:$C$613,MATCH($A290,Market_Data!$B$21:INDEX(Market_Data!$B$21:$B$613,COUNT(Market_Data!$B$21:$B$613)),1)),""))</f>
        <v/>
      </c>
      <c r="C290" s="145" t="str">
        <f ca="1">IF($A290="","",IFERROR(INDEX(Market_Data!$F$21:$F$613,MATCH($A290,Market_Data!$E$21:INDEX(Market_Data!$E$21:$E$613,COUNT(Market_Data!$E$21:$E$613)),1)),""))</f>
        <v/>
      </c>
      <c r="D290" s="145" t="str">
        <f ca="1">IF($A290="","",IFERROR(INDEX(Market_Data!$I$21:$I$613,MATCH($A290,Market_Data!$H$21:INDEX(Market_Data!$H$21:$H$613,COUNT(Market_Data!$H$21:$H$613)),1)),""))</f>
        <v/>
      </c>
      <c r="E290" s="145" t="str">
        <f ca="1">IF($A290="","",IFERROR(INDEX(Market_Data!$L$21:$L$613,MATCH($A290,Market_Data!$K$21:INDEX(Market_Data!$K$21:$K$613,COUNT(Market_Data!$K$21:$K$613)),1)),""))</f>
        <v/>
      </c>
      <c r="F290" s="145" t="str">
        <f ca="1">IF($A290="","",IFERROR(INDEX(Market_Data!$O$21:$O$613,MATCH($A290,Market_Data!$N$21:INDEX(Market_Data!$N$21:$N$613,COUNT(Market_Data!$N$21:$N$613)),1)),""))</f>
        <v/>
      </c>
      <c r="G290" s="145" t="str">
        <f ca="1">IF($A290="","",IFERROR(INDEX(Market_Data!$R$21:$R$613,MATCH($A290,Market_Data!$Q$21:INDEX(Market_Data!$Q$21:$Q$613,COUNT(Market_Data!$Q$21:$Q$613)),1)),""))</f>
        <v/>
      </c>
      <c r="H290" s="145" t="str">
        <f ca="1">IF($A290="","",IFERROR(INDEX(Market_Data!$U$21:$U$613,MATCH($A290,Market_Data!$T$21:INDEX(Market_Data!$T$21:$T$613,COUNT(Market_Data!$T$21:$T$613)),1)),""))</f>
        <v/>
      </c>
      <c r="I290" s="146" t="str">
        <f ca="1">IF($A290="","",IFERROR(INDEX(Query1[Close],MATCH($A290,Query1[Date],1)),""))</f>
        <v/>
      </c>
    </row>
    <row r="291" spans="1:9" x14ac:dyDescent="0.3">
      <c r="A291" s="144" t="str">
        <f t="shared" ca="1" si="6"/>
        <v/>
      </c>
      <c r="B291" s="145" t="str">
        <f ca="1">IF($A291="","",IFERROR(INDEX(Market_Data!$C$21:$C$613,MATCH($A291,Market_Data!$B$21:INDEX(Market_Data!$B$21:$B$613,COUNT(Market_Data!$B$21:$B$613)),1)),""))</f>
        <v/>
      </c>
      <c r="C291" s="145" t="str">
        <f ca="1">IF($A291="","",IFERROR(INDEX(Market_Data!$F$21:$F$613,MATCH($A291,Market_Data!$E$21:INDEX(Market_Data!$E$21:$E$613,COUNT(Market_Data!$E$21:$E$613)),1)),""))</f>
        <v/>
      </c>
      <c r="D291" s="145" t="str">
        <f ca="1">IF($A291="","",IFERROR(INDEX(Market_Data!$I$21:$I$613,MATCH($A291,Market_Data!$H$21:INDEX(Market_Data!$H$21:$H$613,COUNT(Market_Data!$H$21:$H$613)),1)),""))</f>
        <v/>
      </c>
      <c r="E291" s="145" t="str">
        <f ca="1">IF($A291="","",IFERROR(INDEX(Market_Data!$L$21:$L$613,MATCH($A291,Market_Data!$K$21:INDEX(Market_Data!$K$21:$K$613,COUNT(Market_Data!$K$21:$K$613)),1)),""))</f>
        <v/>
      </c>
      <c r="F291" s="145" t="str">
        <f ca="1">IF($A291="","",IFERROR(INDEX(Market_Data!$O$21:$O$613,MATCH($A291,Market_Data!$N$21:INDEX(Market_Data!$N$21:$N$613,COUNT(Market_Data!$N$21:$N$613)),1)),""))</f>
        <v/>
      </c>
      <c r="G291" s="145" t="str">
        <f ca="1">IF($A291="","",IFERROR(INDEX(Market_Data!$R$21:$R$613,MATCH($A291,Market_Data!$Q$21:INDEX(Market_Data!$Q$21:$Q$613,COUNT(Market_Data!$Q$21:$Q$613)),1)),""))</f>
        <v/>
      </c>
      <c r="H291" s="145" t="str">
        <f ca="1">IF($A291="","",IFERROR(INDEX(Market_Data!$U$21:$U$613,MATCH($A291,Market_Data!$T$21:INDEX(Market_Data!$T$21:$T$613,COUNT(Market_Data!$T$21:$T$613)),1)),""))</f>
        <v/>
      </c>
      <c r="I291" s="146" t="str">
        <f ca="1">IF($A291="","",IFERROR(INDEX(Query1[Close],MATCH($A291,Query1[Date],1)),""))</f>
        <v/>
      </c>
    </row>
    <row r="292" spans="1:9" x14ac:dyDescent="0.3">
      <c r="A292" s="144" t="str">
        <f t="shared" ca="1" si="6"/>
        <v/>
      </c>
      <c r="B292" s="145" t="str">
        <f ca="1">IF($A292="","",IFERROR(INDEX(Market_Data!$C$21:$C$613,MATCH($A292,Market_Data!$B$21:INDEX(Market_Data!$B$21:$B$613,COUNT(Market_Data!$B$21:$B$613)),1)),""))</f>
        <v/>
      </c>
      <c r="C292" s="145" t="str">
        <f ca="1">IF($A292="","",IFERROR(INDEX(Market_Data!$F$21:$F$613,MATCH($A292,Market_Data!$E$21:INDEX(Market_Data!$E$21:$E$613,COUNT(Market_Data!$E$21:$E$613)),1)),""))</f>
        <v/>
      </c>
      <c r="D292" s="145" t="str">
        <f ca="1">IF($A292="","",IFERROR(INDEX(Market_Data!$I$21:$I$613,MATCH($A292,Market_Data!$H$21:INDEX(Market_Data!$H$21:$H$613,COUNT(Market_Data!$H$21:$H$613)),1)),""))</f>
        <v/>
      </c>
      <c r="E292" s="145" t="str">
        <f ca="1">IF($A292="","",IFERROR(INDEX(Market_Data!$L$21:$L$613,MATCH($A292,Market_Data!$K$21:INDEX(Market_Data!$K$21:$K$613,COUNT(Market_Data!$K$21:$K$613)),1)),""))</f>
        <v/>
      </c>
      <c r="F292" s="145" t="str">
        <f ca="1">IF($A292="","",IFERROR(INDEX(Market_Data!$O$21:$O$613,MATCH($A292,Market_Data!$N$21:INDEX(Market_Data!$N$21:$N$613,COUNT(Market_Data!$N$21:$N$613)),1)),""))</f>
        <v/>
      </c>
      <c r="G292" s="145" t="str">
        <f ca="1">IF($A292="","",IFERROR(INDEX(Market_Data!$R$21:$R$613,MATCH($A292,Market_Data!$Q$21:INDEX(Market_Data!$Q$21:$Q$613,COUNT(Market_Data!$Q$21:$Q$613)),1)),""))</f>
        <v/>
      </c>
      <c r="H292" s="145" t="str">
        <f ca="1">IF($A292="","",IFERROR(INDEX(Market_Data!$U$21:$U$613,MATCH($A292,Market_Data!$T$21:INDEX(Market_Data!$T$21:$T$613,COUNT(Market_Data!$T$21:$T$613)),1)),""))</f>
        <v/>
      </c>
      <c r="I292" s="146" t="str">
        <f ca="1">IF($A292="","",IFERROR(INDEX(Query1[Close],MATCH($A292,Query1[Date],1)),""))</f>
        <v/>
      </c>
    </row>
    <row r="293" spans="1:9" x14ac:dyDescent="0.3">
      <c r="A293" s="144" t="str">
        <f t="shared" ca="1" si="6"/>
        <v/>
      </c>
      <c r="B293" s="145" t="str">
        <f ca="1">IF($A293="","",IFERROR(INDEX(Market_Data!$C$21:$C$613,MATCH($A293,Market_Data!$B$21:INDEX(Market_Data!$B$21:$B$613,COUNT(Market_Data!$B$21:$B$613)),1)),""))</f>
        <v/>
      </c>
      <c r="C293" s="145" t="str">
        <f ca="1">IF($A293="","",IFERROR(INDEX(Market_Data!$F$21:$F$613,MATCH($A293,Market_Data!$E$21:INDEX(Market_Data!$E$21:$E$613,COUNT(Market_Data!$E$21:$E$613)),1)),""))</f>
        <v/>
      </c>
      <c r="D293" s="145" t="str">
        <f ca="1">IF($A293="","",IFERROR(INDEX(Market_Data!$I$21:$I$613,MATCH($A293,Market_Data!$H$21:INDEX(Market_Data!$H$21:$H$613,COUNT(Market_Data!$H$21:$H$613)),1)),""))</f>
        <v/>
      </c>
      <c r="E293" s="145" t="str">
        <f ca="1">IF($A293="","",IFERROR(INDEX(Market_Data!$L$21:$L$613,MATCH($A293,Market_Data!$K$21:INDEX(Market_Data!$K$21:$K$613,COUNT(Market_Data!$K$21:$K$613)),1)),""))</f>
        <v/>
      </c>
      <c r="F293" s="145" t="str">
        <f ca="1">IF($A293="","",IFERROR(INDEX(Market_Data!$O$21:$O$613,MATCH($A293,Market_Data!$N$21:INDEX(Market_Data!$N$21:$N$613,COUNT(Market_Data!$N$21:$N$613)),1)),""))</f>
        <v/>
      </c>
      <c r="G293" s="145" t="str">
        <f ca="1">IF($A293="","",IFERROR(INDEX(Market_Data!$R$21:$R$613,MATCH($A293,Market_Data!$Q$21:INDEX(Market_Data!$Q$21:$Q$613,COUNT(Market_Data!$Q$21:$Q$613)),1)),""))</f>
        <v/>
      </c>
      <c r="H293" s="145" t="str">
        <f ca="1">IF($A293="","",IFERROR(INDEX(Market_Data!$U$21:$U$613,MATCH($A293,Market_Data!$T$21:INDEX(Market_Data!$T$21:$T$613,COUNT(Market_Data!$T$21:$T$613)),1)),""))</f>
        <v/>
      </c>
      <c r="I293" s="146" t="str">
        <f ca="1">IF($A293="","",IFERROR(INDEX(Query1[Close],MATCH($A293,Query1[Date],1)),""))</f>
        <v/>
      </c>
    </row>
    <row r="294" spans="1:9" x14ac:dyDescent="0.3">
      <c r="A294" s="144" t="str">
        <f t="shared" ca="1" si="6"/>
        <v/>
      </c>
      <c r="B294" s="145" t="str">
        <f ca="1">IF($A294="","",IFERROR(INDEX(Market_Data!$C$21:$C$613,MATCH($A294,Market_Data!$B$21:INDEX(Market_Data!$B$21:$B$613,COUNT(Market_Data!$B$21:$B$613)),1)),""))</f>
        <v/>
      </c>
      <c r="C294" s="145" t="str">
        <f ca="1">IF($A294="","",IFERROR(INDEX(Market_Data!$F$21:$F$613,MATCH($A294,Market_Data!$E$21:INDEX(Market_Data!$E$21:$E$613,COUNT(Market_Data!$E$21:$E$613)),1)),""))</f>
        <v/>
      </c>
      <c r="D294" s="145" t="str">
        <f ca="1">IF($A294="","",IFERROR(INDEX(Market_Data!$I$21:$I$613,MATCH($A294,Market_Data!$H$21:INDEX(Market_Data!$H$21:$H$613,COUNT(Market_Data!$H$21:$H$613)),1)),""))</f>
        <v/>
      </c>
      <c r="E294" s="145" t="str">
        <f ca="1">IF($A294="","",IFERROR(INDEX(Market_Data!$L$21:$L$613,MATCH($A294,Market_Data!$K$21:INDEX(Market_Data!$K$21:$K$613,COUNT(Market_Data!$K$21:$K$613)),1)),""))</f>
        <v/>
      </c>
      <c r="F294" s="145" t="str">
        <f ca="1">IF($A294="","",IFERROR(INDEX(Market_Data!$O$21:$O$613,MATCH($A294,Market_Data!$N$21:INDEX(Market_Data!$N$21:$N$613,COUNT(Market_Data!$N$21:$N$613)),1)),""))</f>
        <v/>
      </c>
      <c r="G294" s="145" t="str">
        <f ca="1">IF($A294="","",IFERROR(INDEX(Market_Data!$R$21:$R$613,MATCH($A294,Market_Data!$Q$21:INDEX(Market_Data!$Q$21:$Q$613,COUNT(Market_Data!$Q$21:$Q$613)),1)),""))</f>
        <v/>
      </c>
      <c r="H294" s="145" t="str">
        <f ca="1">IF($A294="","",IFERROR(INDEX(Market_Data!$U$21:$U$613,MATCH($A294,Market_Data!$T$21:INDEX(Market_Data!$T$21:$T$613,COUNT(Market_Data!$T$21:$T$613)),1)),""))</f>
        <v/>
      </c>
      <c r="I294" s="146" t="str">
        <f ca="1">IF($A294="","",IFERROR(INDEX(Query1[Close],MATCH($A294,Query1[Date],1)),""))</f>
        <v/>
      </c>
    </row>
    <row r="295" spans="1:9" x14ac:dyDescent="0.3">
      <c r="A295" s="144" t="str">
        <f t="shared" ca="1" si="6"/>
        <v/>
      </c>
      <c r="B295" s="145" t="str">
        <f ca="1">IF($A295="","",IFERROR(INDEX(Market_Data!$C$21:$C$613,MATCH($A295,Market_Data!$B$21:INDEX(Market_Data!$B$21:$B$613,COUNT(Market_Data!$B$21:$B$613)),1)),""))</f>
        <v/>
      </c>
      <c r="C295" s="145" t="str">
        <f ca="1">IF($A295="","",IFERROR(INDEX(Market_Data!$F$21:$F$613,MATCH($A295,Market_Data!$E$21:INDEX(Market_Data!$E$21:$E$613,COUNT(Market_Data!$E$21:$E$613)),1)),""))</f>
        <v/>
      </c>
      <c r="D295" s="145" t="str">
        <f ca="1">IF($A295="","",IFERROR(INDEX(Market_Data!$I$21:$I$613,MATCH($A295,Market_Data!$H$21:INDEX(Market_Data!$H$21:$H$613,COUNT(Market_Data!$H$21:$H$613)),1)),""))</f>
        <v/>
      </c>
      <c r="E295" s="145" t="str">
        <f ca="1">IF($A295="","",IFERROR(INDEX(Market_Data!$L$21:$L$613,MATCH($A295,Market_Data!$K$21:INDEX(Market_Data!$K$21:$K$613,COUNT(Market_Data!$K$21:$K$613)),1)),""))</f>
        <v/>
      </c>
      <c r="F295" s="145" t="str">
        <f ca="1">IF($A295="","",IFERROR(INDEX(Market_Data!$O$21:$O$613,MATCH($A295,Market_Data!$N$21:INDEX(Market_Data!$N$21:$N$613,COUNT(Market_Data!$N$21:$N$613)),1)),""))</f>
        <v/>
      </c>
      <c r="G295" s="145" t="str">
        <f ca="1">IF($A295="","",IFERROR(INDEX(Market_Data!$R$21:$R$613,MATCH($A295,Market_Data!$Q$21:INDEX(Market_Data!$Q$21:$Q$613,COUNT(Market_Data!$Q$21:$Q$613)),1)),""))</f>
        <v/>
      </c>
      <c r="H295" s="145" t="str">
        <f ca="1">IF($A295="","",IFERROR(INDEX(Market_Data!$U$21:$U$613,MATCH($A295,Market_Data!$T$21:INDEX(Market_Data!$T$21:$T$613,COUNT(Market_Data!$T$21:$T$613)),1)),""))</f>
        <v/>
      </c>
      <c r="I295" s="146" t="str">
        <f ca="1">IF($A295="","",IFERROR(INDEX(Query1[Close],MATCH($A295,Query1[Date],1)),""))</f>
        <v/>
      </c>
    </row>
    <row r="296" spans="1:9" x14ac:dyDescent="0.3">
      <c r="A296" s="144" t="str">
        <f t="shared" ca="1" si="6"/>
        <v/>
      </c>
      <c r="B296" s="145" t="str">
        <f ca="1">IF($A296="","",IFERROR(INDEX(Market_Data!$C$21:$C$613,MATCH($A296,Market_Data!$B$21:INDEX(Market_Data!$B$21:$B$613,COUNT(Market_Data!$B$21:$B$613)),1)),""))</f>
        <v/>
      </c>
      <c r="C296" s="145" t="str">
        <f ca="1">IF($A296="","",IFERROR(INDEX(Market_Data!$F$21:$F$613,MATCH($A296,Market_Data!$E$21:INDEX(Market_Data!$E$21:$E$613,COUNT(Market_Data!$E$21:$E$613)),1)),""))</f>
        <v/>
      </c>
      <c r="D296" s="145" t="str">
        <f ca="1">IF($A296="","",IFERROR(INDEX(Market_Data!$I$21:$I$613,MATCH($A296,Market_Data!$H$21:INDEX(Market_Data!$H$21:$H$613,COUNT(Market_Data!$H$21:$H$613)),1)),""))</f>
        <v/>
      </c>
      <c r="E296" s="145" t="str">
        <f ca="1">IF($A296="","",IFERROR(INDEX(Market_Data!$L$21:$L$613,MATCH($A296,Market_Data!$K$21:INDEX(Market_Data!$K$21:$K$613,COUNT(Market_Data!$K$21:$K$613)),1)),""))</f>
        <v/>
      </c>
      <c r="F296" s="145" t="str">
        <f ca="1">IF($A296="","",IFERROR(INDEX(Market_Data!$O$21:$O$613,MATCH($A296,Market_Data!$N$21:INDEX(Market_Data!$N$21:$N$613,COUNT(Market_Data!$N$21:$N$613)),1)),""))</f>
        <v/>
      </c>
      <c r="G296" s="145" t="str">
        <f ca="1">IF($A296="","",IFERROR(INDEX(Market_Data!$R$21:$R$613,MATCH($A296,Market_Data!$Q$21:INDEX(Market_Data!$Q$21:$Q$613,COUNT(Market_Data!$Q$21:$Q$613)),1)),""))</f>
        <v/>
      </c>
      <c r="H296" s="145" t="str">
        <f ca="1">IF($A296="","",IFERROR(INDEX(Market_Data!$U$21:$U$613,MATCH($A296,Market_Data!$T$21:INDEX(Market_Data!$T$21:$T$613,COUNT(Market_Data!$T$21:$T$613)),1)),""))</f>
        <v/>
      </c>
      <c r="I296" s="146" t="str">
        <f ca="1">IF($A296="","",IFERROR(INDEX(Query1[Close],MATCH($A296,Query1[Date],1)),""))</f>
        <v/>
      </c>
    </row>
    <row r="297" spans="1:9" x14ac:dyDescent="0.3">
      <c r="A297" s="144" t="str">
        <f t="shared" ca="1" si="6"/>
        <v/>
      </c>
      <c r="B297" s="145" t="str">
        <f ca="1">IF($A297="","",IFERROR(INDEX(Market_Data!$C$21:$C$613,MATCH($A297,Market_Data!$B$21:INDEX(Market_Data!$B$21:$B$613,COUNT(Market_Data!$B$21:$B$613)),1)),""))</f>
        <v/>
      </c>
      <c r="C297" s="145" t="str">
        <f ca="1">IF($A297="","",IFERROR(INDEX(Market_Data!$F$21:$F$613,MATCH($A297,Market_Data!$E$21:INDEX(Market_Data!$E$21:$E$613,COUNT(Market_Data!$E$21:$E$613)),1)),""))</f>
        <v/>
      </c>
      <c r="D297" s="145" t="str">
        <f ca="1">IF($A297="","",IFERROR(INDEX(Market_Data!$I$21:$I$613,MATCH($A297,Market_Data!$H$21:INDEX(Market_Data!$H$21:$H$613,COUNT(Market_Data!$H$21:$H$613)),1)),""))</f>
        <v/>
      </c>
      <c r="E297" s="145" t="str">
        <f ca="1">IF($A297="","",IFERROR(INDEX(Market_Data!$L$21:$L$613,MATCH($A297,Market_Data!$K$21:INDEX(Market_Data!$K$21:$K$613,COUNT(Market_Data!$K$21:$K$613)),1)),""))</f>
        <v/>
      </c>
      <c r="F297" s="145" t="str">
        <f ca="1">IF($A297="","",IFERROR(INDEX(Market_Data!$O$21:$O$613,MATCH($A297,Market_Data!$N$21:INDEX(Market_Data!$N$21:$N$613,COUNT(Market_Data!$N$21:$N$613)),1)),""))</f>
        <v/>
      </c>
      <c r="G297" s="145" t="str">
        <f ca="1">IF($A297="","",IFERROR(INDEX(Market_Data!$R$21:$R$613,MATCH($A297,Market_Data!$Q$21:INDEX(Market_Data!$Q$21:$Q$613,COUNT(Market_Data!$Q$21:$Q$613)),1)),""))</f>
        <v/>
      </c>
      <c r="H297" s="145" t="str">
        <f ca="1">IF($A297="","",IFERROR(INDEX(Market_Data!$U$21:$U$613,MATCH($A297,Market_Data!$T$21:INDEX(Market_Data!$T$21:$T$613,COUNT(Market_Data!$T$21:$T$613)),1)),""))</f>
        <v/>
      </c>
      <c r="I297" s="146" t="str">
        <f ca="1">IF($A297="","",IFERROR(INDEX(Query1[Close],MATCH($A297,Query1[Date],1)),""))</f>
        <v/>
      </c>
    </row>
    <row r="298" spans="1:9" x14ac:dyDescent="0.3">
      <c r="A298" s="144" t="str">
        <f t="shared" ca="1" si="6"/>
        <v/>
      </c>
      <c r="B298" s="145" t="str">
        <f ca="1">IF($A298="","",IFERROR(INDEX(Market_Data!$C$21:$C$613,MATCH($A298,Market_Data!$B$21:INDEX(Market_Data!$B$21:$B$613,COUNT(Market_Data!$B$21:$B$613)),1)),""))</f>
        <v/>
      </c>
      <c r="C298" s="145" t="str">
        <f ca="1">IF($A298="","",IFERROR(INDEX(Market_Data!$F$21:$F$613,MATCH($A298,Market_Data!$E$21:INDEX(Market_Data!$E$21:$E$613,COUNT(Market_Data!$E$21:$E$613)),1)),""))</f>
        <v/>
      </c>
      <c r="D298" s="145" t="str">
        <f ca="1">IF($A298="","",IFERROR(INDEX(Market_Data!$I$21:$I$613,MATCH($A298,Market_Data!$H$21:INDEX(Market_Data!$H$21:$H$613,COUNT(Market_Data!$H$21:$H$613)),1)),""))</f>
        <v/>
      </c>
      <c r="E298" s="145" t="str">
        <f ca="1">IF($A298="","",IFERROR(INDEX(Market_Data!$L$21:$L$613,MATCH($A298,Market_Data!$K$21:INDEX(Market_Data!$K$21:$K$613,COUNT(Market_Data!$K$21:$K$613)),1)),""))</f>
        <v/>
      </c>
      <c r="F298" s="145" t="str">
        <f ca="1">IF($A298="","",IFERROR(INDEX(Market_Data!$O$21:$O$613,MATCH($A298,Market_Data!$N$21:INDEX(Market_Data!$N$21:$N$613,COUNT(Market_Data!$N$21:$N$613)),1)),""))</f>
        <v/>
      </c>
      <c r="G298" s="145" t="str">
        <f ca="1">IF($A298="","",IFERROR(INDEX(Market_Data!$R$21:$R$613,MATCH($A298,Market_Data!$Q$21:INDEX(Market_Data!$Q$21:$Q$613,COUNT(Market_Data!$Q$21:$Q$613)),1)),""))</f>
        <v/>
      </c>
      <c r="H298" s="145" t="str">
        <f ca="1">IF($A298="","",IFERROR(INDEX(Market_Data!$U$21:$U$613,MATCH($A298,Market_Data!$T$21:INDEX(Market_Data!$T$21:$T$613,COUNT(Market_Data!$T$21:$T$613)),1)),""))</f>
        <v/>
      </c>
      <c r="I298" s="146" t="str">
        <f ca="1">IF($A298="","",IFERROR(INDEX(Query1[Close],MATCH($A298,Query1[Date],1)),""))</f>
        <v/>
      </c>
    </row>
    <row r="299" spans="1:9" x14ac:dyDescent="0.3">
      <c r="A299" s="144" t="str">
        <f t="shared" ca="1" si="6"/>
        <v/>
      </c>
      <c r="B299" s="145" t="str">
        <f ca="1">IF($A299="","",IFERROR(INDEX(Market_Data!$C$21:$C$613,MATCH($A299,Market_Data!$B$21:INDEX(Market_Data!$B$21:$B$613,COUNT(Market_Data!$B$21:$B$613)),1)),""))</f>
        <v/>
      </c>
      <c r="C299" s="145" t="str">
        <f ca="1">IF($A299="","",IFERROR(INDEX(Market_Data!$F$21:$F$613,MATCH($A299,Market_Data!$E$21:INDEX(Market_Data!$E$21:$E$613,COUNT(Market_Data!$E$21:$E$613)),1)),""))</f>
        <v/>
      </c>
      <c r="D299" s="145" t="str">
        <f ca="1">IF($A299="","",IFERROR(INDEX(Market_Data!$I$21:$I$613,MATCH($A299,Market_Data!$H$21:INDEX(Market_Data!$H$21:$H$613,COUNT(Market_Data!$H$21:$H$613)),1)),""))</f>
        <v/>
      </c>
      <c r="E299" s="145" t="str">
        <f ca="1">IF($A299="","",IFERROR(INDEX(Market_Data!$L$21:$L$613,MATCH($A299,Market_Data!$K$21:INDEX(Market_Data!$K$21:$K$613,COUNT(Market_Data!$K$21:$K$613)),1)),""))</f>
        <v/>
      </c>
      <c r="F299" s="145" t="str">
        <f ca="1">IF($A299="","",IFERROR(INDEX(Market_Data!$O$21:$O$613,MATCH($A299,Market_Data!$N$21:INDEX(Market_Data!$N$21:$N$613,COUNT(Market_Data!$N$21:$N$613)),1)),""))</f>
        <v/>
      </c>
      <c r="G299" s="145" t="str">
        <f ca="1">IF($A299="","",IFERROR(INDEX(Market_Data!$R$21:$R$613,MATCH($A299,Market_Data!$Q$21:INDEX(Market_Data!$Q$21:$Q$613,COUNT(Market_Data!$Q$21:$Q$613)),1)),""))</f>
        <v/>
      </c>
      <c r="H299" s="145" t="str">
        <f ca="1">IF($A299="","",IFERROR(INDEX(Market_Data!$U$21:$U$613,MATCH($A299,Market_Data!$T$21:INDEX(Market_Data!$T$21:$T$613,COUNT(Market_Data!$T$21:$T$613)),1)),""))</f>
        <v/>
      </c>
      <c r="I299" s="146" t="str">
        <f ca="1">IF($A299="","",IFERROR(INDEX(Query1[Close],MATCH($A299,Query1[Date],1)),""))</f>
        <v/>
      </c>
    </row>
    <row r="300" spans="1:9" x14ac:dyDescent="0.3">
      <c r="A300" s="144" t="str">
        <f t="shared" ca="1" si="6"/>
        <v/>
      </c>
      <c r="B300" s="145" t="str">
        <f ca="1">IF($A300="","",IFERROR(INDEX(Market_Data!$C$21:$C$613,MATCH($A300,Market_Data!$B$21:INDEX(Market_Data!$B$21:$B$613,COUNT(Market_Data!$B$21:$B$613)),1)),""))</f>
        <v/>
      </c>
      <c r="C300" s="145" t="str">
        <f ca="1">IF($A300="","",IFERROR(INDEX(Market_Data!$F$21:$F$613,MATCH($A300,Market_Data!$E$21:INDEX(Market_Data!$E$21:$E$613,COUNT(Market_Data!$E$21:$E$613)),1)),""))</f>
        <v/>
      </c>
      <c r="D300" s="145" t="str">
        <f ca="1">IF($A300="","",IFERROR(INDEX(Market_Data!$I$21:$I$613,MATCH($A300,Market_Data!$H$21:INDEX(Market_Data!$H$21:$H$613,COUNT(Market_Data!$H$21:$H$613)),1)),""))</f>
        <v/>
      </c>
      <c r="E300" s="145" t="str">
        <f ca="1">IF($A300="","",IFERROR(INDEX(Market_Data!$L$21:$L$613,MATCH($A300,Market_Data!$K$21:INDEX(Market_Data!$K$21:$K$613,COUNT(Market_Data!$K$21:$K$613)),1)),""))</f>
        <v/>
      </c>
      <c r="F300" s="145" t="str">
        <f ca="1">IF($A300="","",IFERROR(INDEX(Market_Data!$O$21:$O$613,MATCH($A300,Market_Data!$N$21:INDEX(Market_Data!$N$21:$N$613,COUNT(Market_Data!$N$21:$N$613)),1)),""))</f>
        <v/>
      </c>
      <c r="G300" s="145" t="str">
        <f ca="1">IF($A300="","",IFERROR(INDEX(Market_Data!$R$21:$R$613,MATCH($A300,Market_Data!$Q$21:INDEX(Market_Data!$Q$21:$Q$613,COUNT(Market_Data!$Q$21:$Q$613)),1)),""))</f>
        <v/>
      </c>
      <c r="H300" s="145" t="str">
        <f ca="1">IF($A300="","",IFERROR(INDEX(Market_Data!$U$21:$U$613,MATCH($A300,Market_Data!$T$21:INDEX(Market_Data!$T$21:$T$613,COUNT(Market_Data!$T$21:$T$613)),1)),""))</f>
        <v/>
      </c>
      <c r="I300" s="146" t="str">
        <f ca="1">IF($A300="","",IFERROR(INDEX(Query1[Close],MATCH($A300,Query1[Date],1)),""))</f>
        <v/>
      </c>
    </row>
    <row r="301" spans="1:9" x14ac:dyDescent="0.3">
      <c r="A301" s="144" t="str">
        <f t="shared" ca="1" si="6"/>
        <v/>
      </c>
      <c r="B301" s="145" t="str">
        <f ca="1">IF($A301="","",IFERROR(INDEX(Market_Data!$C$21:$C$613,MATCH($A301,Market_Data!$B$21:INDEX(Market_Data!$B$21:$B$613,COUNT(Market_Data!$B$21:$B$613)),1)),""))</f>
        <v/>
      </c>
      <c r="C301" s="145" t="str">
        <f ca="1">IF($A301="","",IFERROR(INDEX(Market_Data!$F$21:$F$613,MATCH($A301,Market_Data!$E$21:INDEX(Market_Data!$E$21:$E$613,COUNT(Market_Data!$E$21:$E$613)),1)),""))</f>
        <v/>
      </c>
      <c r="D301" s="145" t="str">
        <f ca="1">IF($A301="","",IFERROR(INDEX(Market_Data!$I$21:$I$613,MATCH($A301,Market_Data!$H$21:INDEX(Market_Data!$H$21:$H$613,COUNT(Market_Data!$H$21:$H$613)),1)),""))</f>
        <v/>
      </c>
      <c r="E301" s="145" t="str">
        <f ca="1">IF($A301="","",IFERROR(INDEX(Market_Data!$L$21:$L$613,MATCH($A301,Market_Data!$K$21:INDEX(Market_Data!$K$21:$K$613,COUNT(Market_Data!$K$21:$K$613)),1)),""))</f>
        <v/>
      </c>
      <c r="F301" s="145" t="str">
        <f ca="1">IF($A301="","",IFERROR(INDEX(Market_Data!$O$21:$O$613,MATCH($A301,Market_Data!$N$21:INDEX(Market_Data!$N$21:$N$613,COUNT(Market_Data!$N$21:$N$613)),1)),""))</f>
        <v/>
      </c>
      <c r="G301" s="145" t="str">
        <f ca="1">IF($A301="","",IFERROR(INDEX(Market_Data!$R$21:$R$613,MATCH($A301,Market_Data!$Q$21:INDEX(Market_Data!$Q$21:$Q$613,COUNT(Market_Data!$Q$21:$Q$613)),1)),""))</f>
        <v/>
      </c>
      <c r="H301" s="145" t="str">
        <f ca="1">IF($A301="","",IFERROR(INDEX(Market_Data!$U$21:$U$613,MATCH($A301,Market_Data!$T$21:INDEX(Market_Data!$T$21:$T$613,COUNT(Market_Data!$T$21:$T$613)),1)),""))</f>
        <v/>
      </c>
      <c r="I301" s="146" t="str">
        <f ca="1">IF($A301="","",IFERROR(INDEX(Query1[Close],MATCH($A301,Query1[Date],1)),""))</f>
        <v/>
      </c>
    </row>
    <row r="302" spans="1:9" x14ac:dyDescent="0.3">
      <c r="A302" s="144" t="str">
        <f t="shared" ca="1" si="6"/>
        <v/>
      </c>
      <c r="B302" s="145" t="str">
        <f ca="1">IF($A302="","",IFERROR(INDEX(Market_Data!$C$21:$C$613,MATCH($A302,Market_Data!$B$21:INDEX(Market_Data!$B$21:$B$613,COUNT(Market_Data!$B$21:$B$613)),1)),""))</f>
        <v/>
      </c>
      <c r="C302" s="145" t="str">
        <f ca="1">IF($A302="","",IFERROR(INDEX(Market_Data!$F$21:$F$613,MATCH($A302,Market_Data!$E$21:INDEX(Market_Data!$E$21:$E$613,COUNT(Market_Data!$E$21:$E$613)),1)),""))</f>
        <v/>
      </c>
      <c r="D302" s="145" t="str">
        <f ca="1">IF($A302="","",IFERROR(INDEX(Market_Data!$I$21:$I$613,MATCH($A302,Market_Data!$H$21:INDEX(Market_Data!$H$21:$H$613,COUNT(Market_Data!$H$21:$H$613)),1)),""))</f>
        <v/>
      </c>
      <c r="E302" s="145" t="str">
        <f ca="1">IF($A302="","",IFERROR(INDEX(Market_Data!$L$21:$L$613,MATCH($A302,Market_Data!$K$21:INDEX(Market_Data!$K$21:$K$613,COUNT(Market_Data!$K$21:$K$613)),1)),""))</f>
        <v/>
      </c>
      <c r="F302" s="145" t="str">
        <f ca="1">IF($A302="","",IFERROR(INDEX(Market_Data!$O$21:$O$613,MATCH($A302,Market_Data!$N$21:INDEX(Market_Data!$N$21:$N$613,COUNT(Market_Data!$N$21:$N$613)),1)),""))</f>
        <v/>
      </c>
      <c r="G302" s="145" t="str">
        <f ca="1">IF($A302="","",IFERROR(INDEX(Market_Data!$R$21:$R$613,MATCH($A302,Market_Data!$Q$21:INDEX(Market_Data!$Q$21:$Q$613,COUNT(Market_Data!$Q$21:$Q$613)),1)),""))</f>
        <v/>
      </c>
      <c r="H302" s="145" t="str">
        <f ca="1">IF($A302="","",IFERROR(INDEX(Market_Data!$U$21:$U$613,MATCH($A302,Market_Data!$T$21:INDEX(Market_Data!$T$21:$T$613,COUNT(Market_Data!$T$21:$T$613)),1)),""))</f>
        <v/>
      </c>
      <c r="I302" s="146" t="str">
        <f ca="1">IF($A302="","",IFERROR(INDEX(Query1[Close],MATCH($A302,Query1[Date],1)),""))</f>
        <v/>
      </c>
    </row>
    <row r="303" spans="1:9" x14ac:dyDescent="0.3">
      <c r="A303" s="144" t="str">
        <f t="shared" ca="1" si="6"/>
        <v/>
      </c>
      <c r="B303" s="145" t="str">
        <f ca="1">IF($A303="","",IFERROR(INDEX(Market_Data!$C$21:$C$613,MATCH($A303,Market_Data!$B$21:INDEX(Market_Data!$B$21:$B$613,COUNT(Market_Data!$B$21:$B$613)),1)),""))</f>
        <v/>
      </c>
      <c r="C303" s="145" t="str">
        <f ca="1">IF($A303="","",IFERROR(INDEX(Market_Data!$F$21:$F$613,MATCH($A303,Market_Data!$E$21:INDEX(Market_Data!$E$21:$E$613,COUNT(Market_Data!$E$21:$E$613)),1)),""))</f>
        <v/>
      </c>
      <c r="D303" s="145" t="str">
        <f ca="1">IF($A303="","",IFERROR(INDEX(Market_Data!$I$21:$I$613,MATCH($A303,Market_Data!$H$21:INDEX(Market_Data!$H$21:$H$613,COUNT(Market_Data!$H$21:$H$613)),1)),""))</f>
        <v/>
      </c>
      <c r="E303" s="145" t="str">
        <f ca="1">IF($A303="","",IFERROR(INDEX(Market_Data!$L$21:$L$613,MATCH($A303,Market_Data!$K$21:INDEX(Market_Data!$K$21:$K$613,COUNT(Market_Data!$K$21:$K$613)),1)),""))</f>
        <v/>
      </c>
      <c r="F303" s="145" t="str">
        <f ca="1">IF($A303="","",IFERROR(INDEX(Market_Data!$O$21:$O$613,MATCH($A303,Market_Data!$N$21:INDEX(Market_Data!$N$21:$N$613,COUNT(Market_Data!$N$21:$N$613)),1)),""))</f>
        <v/>
      </c>
      <c r="G303" s="145" t="str">
        <f ca="1">IF($A303="","",IFERROR(INDEX(Market_Data!$R$21:$R$613,MATCH($A303,Market_Data!$Q$21:INDEX(Market_Data!$Q$21:$Q$613,COUNT(Market_Data!$Q$21:$Q$613)),1)),""))</f>
        <v/>
      </c>
      <c r="H303" s="145" t="str">
        <f ca="1">IF($A303="","",IFERROR(INDEX(Market_Data!$U$21:$U$613,MATCH($A303,Market_Data!$T$21:INDEX(Market_Data!$T$21:$T$613,COUNT(Market_Data!$T$21:$T$613)),1)),""))</f>
        <v/>
      </c>
      <c r="I303" s="146" t="str">
        <f ca="1">IF($A303="","",IFERROR(INDEX(Query1[Close],MATCH($A303,Query1[Date],1)),""))</f>
        <v/>
      </c>
    </row>
    <row r="304" spans="1:9" x14ac:dyDescent="0.3">
      <c r="A304" s="144" t="str">
        <f t="shared" ca="1" si="6"/>
        <v/>
      </c>
      <c r="B304" s="145" t="str">
        <f ca="1">IF($A304="","",IFERROR(INDEX(Market_Data!$C$21:$C$613,MATCH($A304,Market_Data!$B$21:INDEX(Market_Data!$B$21:$B$613,COUNT(Market_Data!$B$21:$B$613)),1)),""))</f>
        <v/>
      </c>
      <c r="C304" s="145" t="str">
        <f ca="1">IF($A304="","",IFERROR(INDEX(Market_Data!$F$21:$F$613,MATCH($A304,Market_Data!$E$21:INDEX(Market_Data!$E$21:$E$613,COUNT(Market_Data!$E$21:$E$613)),1)),""))</f>
        <v/>
      </c>
      <c r="D304" s="145" t="str">
        <f ca="1">IF($A304="","",IFERROR(INDEX(Market_Data!$I$21:$I$613,MATCH($A304,Market_Data!$H$21:INDEX(Market_Data!$H$21:$H$613,COUNT(Market_Data!$H$21:$H$613)),1)),""))</f>
        <v/>
      </c>
      <c r="E304" s="145" t="str">
        <f ca="1">IF($A304="","",IFERROR(INDEX(Market_Data!$L$21:$L$613,MATCH($A304,Market_Data!$K$21:INDEX(Market_Data!$K$21:$K$613,COUNT(Market_Data!$K$21:$K$613)),1)),""))</f>
        <v/>
      </c>
      <c r="F304" s="145" t="str">
        <f ca="1">IF($A304="","",IFERROR(INDEX(Market_Data!$O$21:$O$613,MATCH($A304,Market_Data!$N$21:INDEX(Market_Data!$N$21:$N$613,COUNT(Market_Data!$N$21:$N$613)),1)),""))</f>
        <v/>
      </c>
      <c r="G304" s="145" t="str">
        <f ca="1">IF($A304="","",IFERROR(INDEX(Market_Data!$R$21:$R$613,MATCH($A304,Market_Data!$Q$21:INDEX(Market_Data!$Q$21:$Q$613,COUNT(Market_Data!$Q$21:$Q$613)),1)),""))</f>
        <v/>
      </c>
      <c r="H304" s="145" t="str">
        <f ca="1">IF($A304="","",IFERROR(INDEX(Market_Data!$U$21:$U$613,MATCH($A304,Market_Data!$T$21:INDEX(Market_Data!$T$21:$T$613,COUNT(Market_Data!$T$21:$T$613)),1)),""))</f>
        <v/>
      </c>
      <c r="I304" s="146" t="str">
        <f ca="1">IF($A304="","",IFERROR(INDEX(Query1[Close],MATCH($A304,Query1[Date],1)),""))</f>
        <v/>
      </c>
    </row>
    <row r="305" spans="1:9" x14ac:dyDescent="0.3">
      <c r="A305" s="144" t="str">
        <f t="shared" ca="1" si="6"/>
        <v/>
      </c>
      <c r="B305" s="145" t="str">
        <f ca="1">IF($A305="","",IFERROR(INDEX(Market_Data!$C$21:$C$613,MATCH($A305,Market_Data!$B$21:INDEX(Market_Data!$B$21:$B$613,COUNT(Market_Data!$B$21:$B$613)),1)),""))</f>
        <v/>
      </c>
      <c r="C305" s="145" t="str">
        <f ca="1">IF($A305="","",IFERROR(INDEX(Market_Data!$F$21:$F$613,MATCH($A305,Market_Data!$E$21:INDEX(Market_Data!$E$21:$E$613,COUNT(Market_Data!$E$21:$E$613)),1)),""))</f>
        <v/>
      </c>
      <c r="D305" s="145" t="str">
        <f ca="1">IF($A305="","",IFERROR(INDEX(Market_Data!$I$21:$I$613,MATCH($A305,Market_Data!$H$21:INDEX(Market_Data!$H$21:$H$613,COUNT(Market_Data!$H$21:$H$613)),1)),""))</f>
        <v/>
      </c>
      <c r="E305" s="145" t="str">
        <f ca="1">IF($A305="","",IFERROR(INDEX(Market_Data!$L$21:$L$613,MATCH($A305,Market_Data!$K$21:INDEX(Market_Data!$K$21:$K$613,COUNT(Market_Data!$K$21:$K$613)),1)),""))</f>
        <v/>
      </c>
      <c r="F305" s="145" t="str">
        <f ca="1">IF($A305="","",IFERROR(INDEX(Market_Data!$O$21:$O$613,MATCH($A305,Market_Data!$N$21:INDEX(Market_Data!$N$21:$N$613,COUNT(Market_Data!$N$21:$N$613)),1)),""))</f>
        <v/>
      </c>
      <c r="G305" s="145" t="str">
        <f ca="1">IF($A305="","",IFERROR(INDEX(Market_Data!$R$21:$R$613,MATCH($A305,Market_Data!$Q$21:INDEX(Market_Data!$Q$21:$Q$613,COUNT(Market_Data!$Q$21:$Q$613)),1)),""))</f>
        <v/>
      </c>
      <c r="H305" s="145" t="str">
        <f ca="1">IF($A305="","",IFERROR(INDEX(Market_Data!$U$21:$U$613,MATCH($A305,Market_Data!$T$21:INDEX(Market_Data!$T$21:$T$613,COUNT(Market_Data!$T$21:$T$613)),1)),""))</f>
        <v/>
      </c>
      <c r="I305" s="146" t="str">
        <f ca="1">IF($A305="","",IFERROR(INDEX(Query1[Close],MATCH($A305,Query1[Date],1)),""))</f>
        <v/>
      </c>
    </row>
    <row r="306" spans="1:9" x14ac:dyDescent="0.3">
      <c r="A306" s="144" t="str">
        <f t="shared" ca="1" si="6"/>
        <v/>
      </c>
      <c r="B306" s="145" t="str">
        <f ca="1">IF($A306="","",IFERROR(INDEX(Market_Data!$C$21:$C$613,MATCH($A306,Market_Data!$B$21:INDEX(Market_Data!$B$21:$B$613,COUNT(Market_Data!$B$21:$B$613)),1)),""))</f>
        <v/>
      </c>
      <c r="C306" s="145" t="str">
        <f ca="1">IF($A306="","",IFERROR(INDEX(Market_Data!$F$21:$F$613,MATCH($A306,Market_Data!$E$21:INDEX(Market_Data!$E$21:$E$613,COUNT(Market_Data!$E$21:$E$613)),1)),""))</f>
        <v/>
      </c>
      <c r="D306" s="145" t="str">
        <f ca="1">IF($A306="","",IFERROR(INDEX(Market_Data!$I$21:$I$613,MATCH($A306,Market_Data!$H$21:INDEX(Market_Data!$H$21:$H$613,COUNT(Market_Data!$H$21:$H$613)),1)),""))</f>
        <v/>
      </c>
      <c r="E306" s="145" t="str">
        <f ca="1">IF($A306="","",IFERROR(INDEX(Market_Data!$L$21:$L$613,MATCH($A306,Market_Data!$K$21:INDEX(Market_Data!$K$21:$K$613,COUNT(Market_Data!$K$21:$K$613)),1)),""))</f>
        <v/>
      </c>
      <c r="F306" s="145" t="str">
        <f ca="1">IF($A306="","",IFERROR(INDEX(Market_Data!$O$21:$O$613,MATCH($A306,Market_Data!$N$21:INDEX(Market_Data!$N$21:$N$613,COUNT(Market_Data!$N$21:$N$613)),1)),""))</f>
        <v/>
      </c>
      <c r="G306" s="145" t="str">
        <f ca="1">IF($A306="","",IFERROR(INDEX(Market_Data!$R$21:$R$613,MATCH($A306,Market_Data!$Q$21:INDEX(Market_Data!$Q$21:$Q$613,COUNT(Market_Data!$Q$21:$Q$613)),1)),""))</f>
        <v/>
      </c>
      <c r="H306" s="145" t="str">
        <f ca="1">IF($A306="","",IFERROR(INDEX(Market_Data!$U$21:$U$613,MATCH($A306,Market_Data!$T$21:INDEX(Market_Data!$T$21:$T$613,COUNT(Market_Data!$T$21:$T$613)),1)),""))</f>
        <v/>
      </c>
      <c r="I306" s="146" t="str">
        <f ca="1">IF($A306="","",IFERROR(INDEX(Query1[Close],MATCH($A306,Query1[Date],1)),""))</f>
        <v/>
      </c>
    </row>
    <row r="307" spans="1:9" x14ac:dyDescent="0.3">
      <c r="A307" s="144" t="str">
        <f t="shared" ca="1" si="6"/>
        <v/>
      </c>
      <c r="B307" s="145" t="str">
        <f ca="1">IF($A307="","",IFERROR(INDEX(Market_Data!$C$21:$C$613,MATCH($A307,Market_Data!$B$21:INDEX(Market_Data!$B$21:$B$613,COUNT(Market_Data!$B$21:$B$613)),1)),""))</f>
        <v/>
      </c>
      <c r="C307" s="145" t="str">
        <f ca="1">IF($A307="","",IFERROR(INDEX(Market_Data!$F$21:$F$613,MATCH($A307,Market_Data!$E$21:INDEX(Market_Data!$E$21:$E$613,COUNT(Market_Data!$E$21:$E$613)),1)),""))</f>
        <v/>
      </c>
      <c r="D307" s="145" t="str">
        <f ca="1">IF($A307="","",IFERROR(INDEX(Market_Data!$I$21:$I$613,MATCH($A307,Market_Data!$H$21:INDEX(Market_Data!$H$21:$H$613,COUNT(Market_Data!$H$21:$H$613)),1)),""))</f>
        <v/>
      </c>
      <c r="E307" s="145" t="str">
        <f ca="1">IF($A307="","",IFERROR(INDEX(Market_Data!$L$21:$L$613,MATCH($A307,Market_Data!$K$21:INDEX(Market_Data!$K$21:$K$613,COUNT(Market_Data!$K$21:$K$613)),1)),""))</f>
        <v/>
      </c>
      <c r="F307" s="145" t="str">
        <f ca="1">IF($A307="","",IFERROR(INDEX(Market_Data!$O$21:$O$613,MATCH($A307,Market_Data!$N$21:INDEX(Market_Data!$N$21:$N$613,COUNT(Market_Data!$N$21:$N$613)),1)),""))</f>
        <v/>
      </c>
      <c r="G307" s="145" t="str">
        <f ca="1">IF($A307="","",IFERROR(INDEX(Market_Data!$R$21:$R$613,MATCH($A307,Market_Data!$Q$21:INDEX(Market_Data!$Q$21:$Q$613,COUNT(Market_Data!$Q$21:$Q$613)),1)),""))</f>
        <v/>
      </c>
      <c r="H307" s="145" t="str">
        <f ca="1">IF($A307="","",IFERROR(INDEX(Market_Data!$U$21:$U$613,MATCH($A307,Market_Data!$T$21:INDEX(Market_Data!$T$21:$T$613,COUNT(Market_Data!$T$21:$T$613)),1)),""))</f>
        <v/>
      </c>
      <c r="I307" s="146" t="str">
        <f ca="1">IF($A307="","",IFERROR(INDEX(Query1[Close],MATCH($A307,Query1[Date],1)),""))</f>
        <v/>
      </c>
    </row>
    <row r="308" spans="1:9" x14ac:dyDescent="0.3">
      <c r="A308" s="144" t="str">
        <f t="shared" ca="1" si="6"/>
        <v/>
      </c>
      <c r="B308" s="145" t="str">
        <f ca="1">IF($A308="","",IFERROR(INDEX(Market_Data!$C$21:$C$613,MATCH($A308,Market_Data!$B$21:INDEX(Market_Data!$B$21:$B$613,COUNT(Market_Data!$B$21:$B$613)),1)),""))</f>
        <v/>
      </c>
      <c r="C308" s="145" t="str">
        <f ca="1">IF($A308="","",IFERROR(INDEX(Market_Data!$F$21:$F$613,MATCH($A308,Market_Data!$E$21:INDEX(Market_Data!$E$21:$E$613,COUNT(Market_Data!$E$21:$E$613)),1)),""))</f>
        <v/>
      </c>
      <c r="D308" s="145" t="str">
        <f ca="1">IF($A308="","",IFERROR(INDEX(Market_Data!$I$21:$I$613,MATCH($A308,Market_Data!$H$21:INDEX(Market_Data!$H$21:$H$613,COUNT(Market_Data!$H$21:$H$613)),1)),""))</f>
        <v/>
      </c>
      <c r="E308" s="145" t="str">
        <f ca="1">IF($A308="","",IFERROR(INDEX(Market_Data!$L$21:$L$613,MATCH($A308,Market_Data!$K$21:INDEX(Market_Data!$K$21:$K$613,COUNT(Market_Data!$K$21:$K$613)),1)),""))</f>
        <v/>
      </c>
      <c r="F308" s="145" t="str">
        <f ca="1">IF($A308="","",IFERROR(INDEX(Market_Data!$O$21:$O$613,MATCH($A308,Market_Data!$N$21:INDEX(Market_Data!$N$21:$N$613,COUNT(Market_Data!$N$21:$N$613)),1)),""))</f>
        <v/>
      </c>
      <c r="G308" s="145" t="str">
        <f ca="1">IF($A308="","",IFERROR(INDEX(Market_Data!$R$21:$R$613,MATCH($A308,Market_Data!$Q$21:INDEX(Market_Data!$Q$21:$Q$613,COUNT(Market_Data!$Q$21:$Q$613)),1)),""))</f>
        <v/>
      </c>
      <c r="H308" s="145" t="str">
        <f ca="1">IF($A308="","",IFERROR(INDEX(Market_Data!$U$21:$U$613,MATCH($A308,Market_Data!$T$21:INDEX(Market_Data!$T$21:$T$613,COUNT(Market_Data!$T$21:$T$613)),1)),""))</f>
        <v/>
      </c>
      <c r="I308" s="146" t="str">
        <f ca="1">IF($A308="","",IFERROR(INDEX(Query1[Close],MATCH($A308,Query1[Date],1)),""))</f>
        <v/>
      </c>
    </row>
    <row r="309" spans="1:9" x14ac:dyDescent="0.3">
      <c r="A309" s="144" t="str">
        <f t="shared" ca="1" si="6"/>
        <v/>
      </c>
      <c r="B309" s="145" t="str">
        <f ca="1">IF($A309="","",IFERROR(INDEX(Market_Data!$C$21:$C$613,MATCH($A309,Market_Data!$B$21:INDEX(Market_Data!$B$21:$B$613,COUNT(Market_Data!$B$21:$B$613)),1)),""))</f>
        <v/>
      </c>
      <c r="C309" s="145" t="str">
        <f ca="1">IF($A309="","",IFERROR(INDEX(Market_Data!$F$21:$F$613,MATCH($A309,Market_Data!$E$21:INDEX(Market_Data!$E$21:$E$613,COUNT(Market_Data!$E$21:$E$613)),1)),""))</f>
        <v/>
      </c>
      <c r="D309" s="145" t="str">
        <f ca="1">IF($A309="","",IFERROR(INDEX(Market_Data!$I$21:$I$613,MATCH($A309,Market_Data!$H$21:INDEX(Market_Data!$H$21:$H$613,COUNT(Market_Data!$H$21:$H$613)),1)),""))</f>
        <v/>
      </c>
      <c r="E309" s="145" t="str">
        <f ca="1">IF($A309="","",IFERROR(INDEX(Market_Data!$L$21:$L$613,MATCH($A309,Market_Data!$K$21:INDEX(Market_Data!$K$21:$K$613,COUNT(Market_Data!$K$21:$K$613)),1)),""))</f>
        <v/>
      </c>
      <c r="F309" s="145" t="str">
        <f ca="1">IF($A309="","",IFERROR(INDEX(Market_Data!$O$21:$O$613,MATCH($A309,Market_Data!$N$21:INDEX(Market_Data!$N$21:$N$613,COUNT(Market_Data!$N$21:$N$613)),1)),""))</f>
        <v/>
      </c>
      <c r="G309" s="145" t="str">
        <f ca="1">IF($A309="","",IFERROR(INDEX(Market_Data!$R$21:$R$613,MATCH($A309,Market_Data!$Q$21:INDEX(Market_Data!$Q$21:$Q$613,COUNT(Market_Data!$Q$21:$Q$613)),1)),""))</f>
        <v/>
      </c>
      <c r="H309" s="145" t="str">
        <f ca="1">IF($A309="","",IFERROR(INDEX(Market_Data!$U$21:$U$613,MATCH($A309,Market_Data!$T$21:INDEX(Market_Data!$T$21:$T$613,COUNT(Market_Data!$T$21:$T$613)),1)),""))</f>
        <v/>
      </c>
      <c r="I309" s="146" t="str">
        <f ca="1">IF($A309="","",IFERROR(INDEX(Query1[Close],MATCH($A309,Query1[Date],1)),""))</f>
        <v/>
      </c>
    </row>
    <row r="310" spans="1:9" x14ac:dyDescent="0.3">
      <c r="A310" s="144" t="str">
        <f t="shared" ca="1" si="6"/>
        <v/>
      </c>
      <c r="B310" s="145" t="str">
        <f ca="1">IF($A310="","",IFERROR(INDEX(Market_Data!$C$21:$C$613,MATCH($A310,Market_Data!$B$21:INDEX(Market_Data!$B$21:$B$613,COUNT(Market_Data!$B$21:$B$613)),1)),""))</f>
        <v/>
      </c>
      <c r="C310" s="145" t="str">
        <f ca="1">IF($A310="","",IFERROR(INDEX(Market_Data!$F$21:$F$613,MATCH($A310,Market_Data!$E$21:INDEX(Market_Data!$E$21:$E$613,COUNT(Market_Data!$E$21:$E$613)),1)),""))</f>
        <v/>
      </c>
      <c r="D310" s="145" t="str">
        <f ca="1">IF($A310="","",IFERROR(INDEX(Market_Data!$I$21:$I$613,MATCH($A310,Market_Data!$H$21:INDEX(Market_Data!$H$21:$H$613,COUNT(Market_Data!$H$21:$H$613)),1)),""))</f>
        <v/>
      </c>
      <c r="E310" s="145" t="str">
        <f ca="1">IF($A310="","",IFERROR(INDEX(Market_Data!$L$21:$L$613,MATCH($A310,Market_Data!$K$21:INDEX(Market_Data!$K$21:$K$613,COUNT(Market_Data!$K$21:$K$613)),1)),""))</f>
        <v/>
      </c>
      <c r="F310" s="145" t="str">
        <f ca="1">IF($A310="","",IFERROR(INDEX(Market_Data!$O$21:$O$613,MATCH($A310,Market_Data!$N$21:INDEX(Market_Data!$N$21:$N$613,COUNT(Market_Data!$N$21:$N$613)),1)),""))</f>
        <v/>
      </c>
      <c r="G310" s="145" t="str">
        <f ca="1">IF($A310="","",IFERROR(INDEX(Market_Data!$R$21:$R$613,MATCH($A310,Market_Data!$Q$21:INDEX(Market_Data!$Q$21:$Q$613,COUNT(Market_Data!$Q$21:$Q$613)),1)),""))</f>
        <v/>
      </c>
      <c r="H310" s="145" t="str">
        <f ca="1">IF($A310="","",IFERROR(INDEX(Market_Data!$U$21:$U$613,MATCH($A310,Market_Data!$T$21:INDEX(Market_Data!$T$21:$T$613,COUNT(Market_Data!$T$21:$T$613)),1)),""))</f>
        <v/>
      </c>
      <c r="I310" s="146" t="str">
        <f ca="1">IF($A310="","",IFERROR(INDEX(Query1[Close],MATCH($A310,Query1[Date],1)),""))</f>
        <v/>
      </c>
    </row>
    <row r="311" spans="1:9" x14ac:dyDescent="0.3">
      <c r="A311" s="144" t="str">
        <f t="shared" ca="1" si="6"/>
        <v/>
      </c>
      <c r="B311" s="145" t="str">
        <f ca="1">IF($A311="","",IFERROR(INDEX(Market_Data!$C$21:$C$613,MATCH($A311,Market_Data!$B$21:INDEX(Market_Data!$B$21:$B$613,COUNT(Market_Data!$B$21:$B$613)),1)),""))</f>
        <v/>
      </c>
      <c r="C311" s="145" t="str">
        <f ca="1">IF($A311="","",IFERROR(INDEX(Market_Data!$F$21:$F$613,MATCH($A311,Market_Data!$E$21:INDEX(Market_Data!$E$21:$E$613,COUNT(Market_Data!$E$21:$E$613)),1)),""))</f>
        <v/>
      </c>
      <c r="D311" s="145" t="str">
        <f ca="1">IF($A311="","",IFERROR(INDEX(Market_Data!$I$21:$I$613,MATCH($A311,Market_Data!$H$21:INDEX(Market_Data!$H$21:$H$613,COUNT(Market_Data!$H$21:$H$613)),1)),""))</f>
        <v/>
      </c>
      <c r="E311" s="145" t="str">
        <f ca="1">IF($A311="","",IFERROR(INDEX(Market_Data!$L$21:$L$613,MATCH($A311,Market_Data!$K$21:INDEX(Market_Data!$K$21:$K$613,COUNT(Market_Data!$K$21:$K$613)),1)),""))</f>
        <v/>
      </c>
      <c r="F311" s="145" t="str">
        <f ca="1">IF($A311="","",IFERROR(INDEX(Market_Data!$O$21:$O$613,MATCH($A311,Market_Data!$N$21:INDEX(Market_Data!$N$21:$N$613,COUNT(Market_Data!$N$21:$N$613)),1)),""))</f>
        <v/>
      </c>
      <c r="G311" s="145" t="str">
        <f ca="1">IF($A311="","",IFERROR(INDEX(Market_Data!$R$21:$R$613,MATCH($A311,Market_Data!$Q$21:INDEX(Market_Data!$Q$21:$Q$613,COUNT(Market_Data!$Q$21:$Q$613)),1)),""))</f>
        <v/>
      </c>
      <c r="H311" s="145" t="str">
        <f ca="1">IF($A311="","",IFERROR(INDEX(Market_Data!$U$21:$U$613,MATCH($A311,Market_Data!$T$21:INDEX(Market_Data!$T$21:$T$613,COUNT(Market_Data!$T$21:$T$613)),1)),""))</f>
        <v/>
      </c>
      <c r="I311" s="146" t="str">
        <f ca="1">IF($A311="","",IFERROR(INDEX(Query1[Close],MATCH($A311,Query1[Date],1)),""))</f>
        <v/>
      </c>
    </row>
    <row r="312" spans="1:9" x14ac:dyDescent="0.3">
      <c r="A312" s="144" t="str">
        <f t="shared" ca="1" si="6"/>
        <v/>
      </c>
      <c r="B312" s="145" t="str">
        <f ca="1">IF($A312="","",IFERROR(INDEX(Market_Data!$C$21:$C$613,MATCH($A312,Market_Data!$B$21:INDEX(Market_Data!$B$21:$B$613,COUNT(Market_Data!$B$21:$B$613)),1)),""))</f>
        <v/>
      </c>
      <c r="C312" s="145" t="str">
        <f ca="1">IF($A312="","",IFERROR(INDEX(Market_Data!$F$21:$F$613,MATCH($A312,Market_Data!$E$21:INDEX(Market_Data!$E$21:$E$613,COUNT(Market_Data!$E$21:$E$613)),1)),""))</f>
        <v/>
      </c>
      <c r="D312" s="145" t="str">
        <f ca="1">IF($A312="","",IFERROR(INDEX(Market_Data!$I$21:$I$613,MATCH($A312,Market_Data!$H$21:INDEX(Market_Data!$H$21:$H$613,COUNT(Market_Data!$H$21:$H$613)),1)),""))</f>
        <v/>
      </c>
      <c r="E312" s="145" t="str">
        <f ca="1">IF($A312="","",IFERROR(INDEX(Market_Data!$L$21:$L$613,MATCH($A312,Market_Data!$K$21:INDEX(Market_Data!$K$21:$K$613,COUNT(Market_Data!$K$21:$K$613)),1)),""))</f>
        <v/>
      </c>
      <c r="F312" s="145" t="str">
        <f ca="1">IF($A312="","",IFERROR(INDEX(Market_Data!$O$21:$O$613,MATCH($A312,Market_Data!$N$21:INDEX(Market_Data!$N$21:$N$613,COUNT(Market_Data!$N$21:$N$613)),1)),""))</f>
        <v/>
      </c>
      <c r="G312" s="145" t="str">
        <f ca="1">IF($A312="","",IFERROR(INDEX(Market_Data!$R$21:$R$613,MATCH($A312,Market_Data!$Q$21:INDEX(Market_Data!$Q$21:$Q$613,COUNT(Market_Data!$Q$21:$Q$613)),1)),""))</f>
        <v/>
      </c>
      <c r="H312" s="145" t="str">
        <f ca="1">IF($A312="","",IFERROR(INDEX(Market_Data!$U$21:$U$613,MATCH($A312,Market_Data!$T$21:INDEX(Market_Data!$T$21:$T$613,COUNT(Market_Data!$T$21:$T$613)),1)),""))</f>
        <v/>
      </c>
      <c r="I312" s="146" t="str">
        <f ca="1">IF($A312="","",IFERROR(INDEX(Query1[Close],MATCH($A312,Query1[Date],1)),""))</f>
        <v/>
      </c>
    </row>
    <row r="313" spans="1:9" x14ac:dyDescent="0.3">
      <c r="A313" s="144" t="str">
        <f t="shared" ca="1" si="6"/>
        <v/>
      </c>
      <c r="B313" s="145" t="str">
        <f ca="1">IF($A313="","",IFERROR(INDEX(Market_Data!$C$21:$C$613,MATCH($A313,Market_Data!$B$21:INDEX(Market_Data!$B$21:$B$613,COUNT(Market_Data!$B$21:$B$613)),1)),""))</f>
        <v/>
      </c>
      <c r="C313" s="145" t="str">
        <f ca="1">IF($A313="","",IFERROR(INDEX(Market_Data!$F$21:$F$613,MATCH($A313,Market_Data!$E$21:INDEX(Market_Data!$E$21:$E$613,COUNT(Market_Data!$E$21:$E$613)),1)),""))</f>
        <v/>
      </c>
      <c r="D313" s="145" t="str">
        <f ca="1">IF($A313="","",IFERROR(INDEX(Market_Data!$I$21:$I$613,MATCH($A313,Market_Data!$H$21:INDEX(Market_Data!$H$21:$H$613,COUNT(Market_Data!$H$21:$H$613)),1)),""))</f>
        <v/>
      </c>
      <c r="E313" s="145" t="str">
        <f ca="1">IF($A313="","",IFERROR(INDEX(Market_Data!$L$21:$L$613,MATCH($A313,Market_Data!$K$21:INDEX(Market_Data!$K$21:$K$613,COUNT(Market_Data!$K$21:$K$613)),1)),""))</f>
        <v/>
      </c>
      <c r="F313" s="145" t="str">
        <f ca="1">IF($A313="","",IFERROR(INDEX(Market_Data!$O$21:$O$613,MATCH($A313,Market_Data!$N$21:INDEX(Market_Data!$N$21:$N$613,COUNT(Market_Data!$N$21:$N$613)),1)),""))</f>
        <v/>
      </c>
      <c r="G313" s="145" t="str">
        <f ca="1">IF($A313="","",IFERROR(INDEX(Market_Data!$R$21:$R$613,MATCH($A313,Market_Data!$Q$21:INDEX(Market_Data!$Q$21:$Q$613,COUNT(Market_Data!$Q$21:$Q$613)),1)),""))</f>
        <v/>
      </c>
      <c r="H313" s="145" t="str">
        <f ca="1">IF($A313="","",IFERROR(INDEX(Market_Data!$U$21:$U$613,MATCH($A313,Market_Data!$T$21:INDEX(Market_Data!$T$21:$T$613,COUNT(Market_Data!$T$21:$T$613)),1)),""))</f>
        <v/>
      </c>
      <c r="I313" s="146" t="str">
        <f ca="1">IF($A313="","",IFERROR(INDEX(Query1[Close],MATCH($A313,Query1[Date],1)),""))</f>
        <v/>
      </c>
    </row>
    <row r="314" spans="1:9" x14ac:dyDescent="0.3">
      <c r="A314" s="144" t="str">
        <f t="shared" ca="1" si="6"/>
        <v/>
      </c>
      <c r="B314" s="145" t="str">
        <f ca="1">IF($A314="","",IFERROR(INDEX(Market_Data!$C$21:$C$613,MATCH($A314,Market_Data!$B$21:INDEX(Market_Data!$B$21:$B$613,COUNT(Market_Data!$B$21:$B$613)),1)),""))</f>
        <v/>
      </c>
      <c r="C314" s="145" t="str">
        <f ca="1">IF($A314="","",IFERROR(INDEX(Market_Data!$F$21:$F$613,MATCH($A314,Market_Data!$E$21:INDEX(Market_Data!$E$21:$E$613,COUNT(Market_Data!$E$21:$E$613)),1)),""))</f>
        <v/>
      </c>
      <c r="D314" s="145" t="str">
        <f ca="1">IF($A314="","",IFERROR(INDEX(Market_Data!$I$21:$I$613,MATCH($A314,Market_Data!$H$21:INDEX(Market_Data!$H$21:$H$613,COUNT(Market_Data!$H$21:$H$613)),1)),""))</f>
        <v/>
      </c>
      <c r="E314" s="145" t="str">
        <f ca="1">IF($A314="","",IFERROR(INDEX(Market_Data!$L$21:$L$613,MATCH($A314,Market_Data!$K$21:INDEX(Market_Data!$K$21:$K$613,COUNT(Market_Data!$K$21:$K$613)),1)),""))</f>
        <v/>
      </c>
      <c r="F314" s="145" t="str">
        <f ca="1">IF($A314="","",IFERROR(INDEX(Market_Data!$O$21:$O$613,MATCH($A314,Market_Data!$N$21:INDEX(Market_Data!$N$21:$N$613,COUNT(Market_Data!$N$21:$N$613)),1)),""))</f>
        <v/>
      </c>
      <c r="G314" s="145" t="str">
        <f ca="1">IF($A314="","",IFERROR(INDEX(Market_Data!$R$21:$R$613,MATCH($A314,Market_Data!$Q$21:INDEX(Market_Data!$Q$21:$Q$613,COUNT(Market_Data!$Q$21:$Q$613)),1)),""))</f>
        <v/>
      </c>
      <c r="H314" s="145" t="str">
        <f ca="1">IF($A314="","",IFERROR(INDEX(Market_Data!$U$21:$U$613,MATCH($A314,Market_Data!$T$21:INDEX(Market_Data!$T$21:$T$613,COUNT(Market_Data!$T$21:$T$613)),1)),""))</f>
        <v/>
      </c>
      <c r="I314" s="146" t="str">
        <f ca="1">IF($A314="","",IFERROR(INDEX(Query1[Close],MATCH($A314,Query1[Date],1)),""))</f>
        <v/>
      </c>
    </row>
    <row r="315" spans="1:9" x14ac:dyDescent="0.3">
      <c r="A315" s="144" t="str">
        <f t="shared" ca="1" si="6"/>
        <v/>
      </c>
      <c r="B315" s="145" t="str">
        <f ca="1">IF($A315="","",IFERROR(INDEX(Market_Data!$C$21:$C$613,MATCH($A315,Market_Data!$B$21:INDEX(Market_Data!$B$21:$B$613,COUNT(Market_Data!$B$21:$B$613)),1)),""))</f>
        <v/>
      </c>
      <c r="C315" s="145" t="str">
        <f ca="1">IF($A315="","",IFERROR(INDEX(Market_Data!$F$21:$F$613,MATCH($A315,Market_Data!$E$21:INDEX(Market_Data!$E$21:$E$613,COUNT(Market_Data!$E$21:$E$613)),1)),""))</f>
        <v/>
      </c>
      <c r="D315" s="145" t="str">
        <f ca="1">IF($A315="","",IFERROR(INDEX(Market_Data!$I$21:$I$613,MATCH($A315,Market_Data!$H$21:INDEX(Market_Data!$H$21:$H$613,COUNT(Market_Data!$H$21:$H$613)),1)),""))</f>
        <v/>
      </c>
      <c r="E315" s="145" t="str">
        <f ca="1">IF($A315="","",IFERROR(INDEX(Market_Data!$L$21:$L$613,MATCH($A315,Market_Data!$K$21:INDEX(Market_Data!$K$21:$K$613,COUNT(Market_Data!$K$21:$K$613)),1)),""))</f>
        <v/>
      </c>
      <c r="F315" s="145" t="str">
        <f ca="1">IF($A315="","",IFERROR(INDEX(Market_Data!$O$21:$O$613,MATCH($A315,Market_Data!$N$21:INDEX(Market_Data!$N$21:$N$613,COUNT(Market_Data!$N$21:$N$613)),1)),""))</f>
        <v/>
      </c>
      <c r="G315" s="145" t="str">
        <f ca="1">IF($A315="","",IFERROR(INDEX(Market_Data!$R$21:$R$613,MATCH($A315,Market_Data!$Q$21:INDEX(Market_Data!$Q$21:$Q$613,COUNT(Market_Data!$Q$21:$Q$613)),1)),""))</f>
        <v/>
      </c>
      <c r="H315" s="145" t="str">
        <f ca="1">IF($A315="","",IFERROR(INDEX(Market_Data!$U$21:$U$613,MATCH($A315,Market_Data!$T$21:INDEX(Market_Data!$T$21:$T$613,COUNT(Market_Data!$T$21:$T$613)),1)),""))</f>
        <v/>
      </c>
      <c r="I315" s="146" t="str">
        <f ca="1">IF($A315="","",IFERROR(INDEX(Query1[Close],MATCH($A315,Query1[Date],1)),""))</f>
        <v/>
      </c>
    </row>
    <row r="316" spans="1:9" x14ac:dyDescent="0.3">
      <c r="A316" s="144" t="str">
        <f t="shared" ca="1" si="6"/>
        <v/>
      </c>
      <c r="B316" s="145" t="str">
        <f ca="1">IF($A316="","",IFERROR(INDEX(Market_Data!$C$21:$C$613,MATCH($A316,Market_Data!$B$21:INDEX(Market_Data!$B$21:$B$613,COUNT(Market_Data!$B$21:$B$613)),1)),""))</f>
        <v/>
      </c>
      <c r="C316" s="145" t="str">
        <f ca="1">IF($A316="","",IFERROR(INDEX(Market_Data!$F$21:$F$613,MATCH($A316,Market_Data!$E$21:INDEX(Market_Data!$E$21:$E$613,COUNT(Market_Data!$E$21:$E$613)),1)),""))</f>
        <v/>
      </c>
      <c r="D316" s="145" t="str">
        <f ca="1">IF($A316="","",IFERROR(INDEX(Market_Data!$I$21:$I$613,MATCH($A316,Market_Data!$H$21:INDEX(Market_Data!$H$21:$H$613,COUNT(Market_Data!$H$21:$H$613)),1)),""))</f>
        <v/>
      </c>
      <c r="E316" s="145" t="str">
        <f ca="1">IF($A316="","",IFERROR(INDEX(Market_Data!$L$21:$L$613,MATCH($A316,Market_Data!$K$21:INDEX(Market_Data!$K$21:$K$613,COUNT(Market_Data!$K$21:$K$613)),1)),""))</f>
        <v/>
      </c>
      <c r="F316" s="145" t="str">
        <f ca="1">IF($A316="","",IFERROR(INDEX(Market_Data!$O$21:$O$613,MATCH($A316,Market_Data!$N$21:INDEX(Market_Data!$N$21:$N$613,COUNT(Market_Data!$N$21:$N$613)),1)),""))</f>
        <v/>
      </c>
      <c r="G316" s="145" t="str">
        <f ca="1">IF($A316="","",IFERROR(INDEX(Market_Data!$R$21:$R$613,MATCH($A316,Market_Data!$Q$21:INDEX(Market_Data!$Q$21:$Q$613,COUNT(Market_Data!$Q$21:$Q$613)),1)),""))</f>
        <v/>
      </c>
      <c r="H316" s="145" t="str">
        <f ca="1">IF($A316="","",IFERROR(INDEX(Market_Data!$U$21:$U$613,MATCH($A316,Market_Data!$T$21:INDEX(Market_Data!$T$21:$T$613,COUNT(Market_Data!$T$21:$T$613)),1)),""))</f>
        <v/>
      </c>
      <c r="I316" s="146" t="str">
        <f ca="1">IF($A316="","",IFERROR(INDEX(Query1[Close],MATCH($A316,Query1[Date],1)),""))</f>
        <v/>
      </c>
    </row>
    <row r="317" spans="1:9" x14ac:dyDescent="0.3">
      <c r="A317" s="144" t="str">
        <f t="shared" ca="1" si="6"/>
        <v/>
      </c>
      <c r="B317" s="145" t="str">
        <f ca="1">IF($A317="","",IFERROR(INDEX(Market_Data!$C$21:$C$613,MATCH($A317,Market_Data!$B$21:INDEX(Market_Data!$B$21:$B$613,COUNT(Market_Data!$B$21:$B$613)),1)),""))</f>
        <v/>
      </c>
      <c r="C317" s="145" t="str">
        <f ca="1">IF($A317="","",IFERROR(INDEX(Market_Data!$F$21:$F$613,MATCH($A317,Market_Data!$E$21:INDEX(Market_Data!$E$21:$E$613,COUNT(Market_Data!$E$21:$E$613)),1)),""))</f>
        <v/>
      </c>
      <c r="D317" s="145" t="str">
        <f ca="1">IF($A317="","",IFERROR(INDEX(Market_Data!$I$21:$I$613,MATCH($A317,Market_Data!$H$21:INDEX(Market_Data!$H$21:$H$613,COUNT(Market_Data!$H$21:$H$613)),1)),""))</f>
        <v/>
      </c>
      <c r="E317" s="145" t="str">
        <f ca="1">IF($A317="","",IFERROR(INDEX(Market_Data!$L$21:$L$613,MATCH($A317,Market_Data!$K$21:INDEX(Market_Data!$K$21:$K$613,COUNT(Market_Data!$K$21:$K$613)),1)),""))</f>
        <v/>
      </c>
      <c r="F317" s="145" t="str">
        <f ca="1">IF($A317="","",IFERROR(INDEX(Market_Data!$O$21:$O$613,MATCH($A317,Market_Data!$N$21:INDEX(Market_Data!$N$21:$N$613,COUNT(Market_Data!$N$21:$N$613)),1)),""))</f>
        <v/>
      </c>
      <c r="G317" s="145" t="str">
        <f ca="1">IF($A317="","",IFERROR(INDEX(Market_Data!$R$21:$R$613,MATCH($A317,Market_Data!$Q$21:INDEX(Market_Data!$Q$21:$Q$613,COUNT(Market_Data!$Q$21:$Q$613)),1)),""))</f>
        <v/>
      </c>
      <c r="H317" s="145" t="str">
        <f ca="1">IF($A317="","",IFERROR(INDEX(Market_Data!$U$21:$U$613,MATCH($A317,Market_Data!$T$21:INDEX(Market_Data!$T$21:$T$613,COUNT(Market_Data!$T$21:$T$613)),1)),""))</f>
        <v/>
      </c>
      <c r="I317" s="146" t="str">
        <f ca="1">IF($A317="","",IFERROR(INDEX(Query1[Close],MATCH($A317,Query1[Date],1)),""))</f>
        <v/>
      </c>
    </row>
    <row r="318" spans="1:9" x14ac:dyDescent="0.3">
      <c r="A318" s="144" t="str">
        <f t="shared" ca="1" si="6"/>
        <v/>
      </c>
      <c r="B318" s="145" t="str">
        <f ca="1">IF($A318="","",IFERROR(INDEX(Market_Data!$C$21:$C$613,MATCH($A318,Market_Data!$B$21:INDEX(Market_Data!$B$21:$B$613,COUNT(Market_Data!$B$21:$B$613)),1)),""))</f>
        <v/>
      </c>
      <c r="C318" s="145" t="str">
        <f ca="1">IF($A318="","",IFERROR(INDEX(Market_Data!$F$21:$F$613,MATCH($A318,Market_Data!$E$21:INDEX(Market_Data!$E$21:$E$613,COUNT(Market_Data!$E$21:$E$613)),1)),""))</f>
        <v/>
      </c>
      <c r="D318" s="145" t="str">
        <f ca="1">IF($A318="","",IFERROR(INDEX(Market_Data!$I$21:$I$613,MATCH($A318,Market_Data!$H$21:INDEX(Market_Data!$H$21:$H$613,COUNT(Market_Data!$H$21:$H$613)),1)),""))</f>
        <v/>
      </c>
      <c r="E318" s="145" t="str">
        <f ca="1">IF($A318="","",IFERROR(INDEX(Market_Data!$L$21:$L$613,MATCH($A318,Market_Data!$K$21:INDEX(Market_Data!$K$21:$K$613,COUNT(Market_Data!$K$21:$K$613)),1)),""))</f>
        <v/>
      </c>
      <c r="F318" s="145" t="str">
        <f ca="1">IF($A318="","",IFERROR(INDEX(Market_Data!$O$21:$O$613,MATCH($A318,Market_Data!$N$21:INDEX(Market_Data!$N$21:$N$613,COUNT(Market_Data!$N$21:$N$613)),1)),""))</f>
        <v/>
      </c>
      <c r="G318" s="145" t="str">
        <f ca="1">IF($A318="","",IFERROR(INDEX(Market_Data!$R$21:$R$613,MATCH($A318,Market_Data!$Q$21:INDEX(Market_Data!$Q$21:$Q$613,COUNT(Market_Data!$Q$21:$Q$613)),1)),""))</f>
        <v/>
      </c>
      <c r="H318" s="145" t="str">
        <f ca="1">IF($A318="","",IFERROR(INDEX(Market_Data!$U$21:$U$613,MATCH($A318,Market_Data!$T$21:INDEX(Market_Data!$T$21:$T$613,COUNT(Market_Data!$T$21:$T$613)),1)),""))</f>
        <v/>
      </c>
      <c r="I318" s="146" t="str">
        <f ca="1">IF($A318="","",IFERROR(INDEX(Query1[Close],MATCH($A318,Query1[Date],1)),""))</f>
        <v/>
      </c>
    </row>
    <row r="319" spans="1:9" x14ac:dyDescent="0.3">
      <c r="A319" s="144" t="str">
        <f t="shared" ca="1" si="6"/>
        <v/>
      </c>
      <c r="B319" s="145" t="str">
        <f ca="1">IF($A319="","",IFERROR(INDEX(Market_Data!$C$21:$C$613,MATCH($A319,Market_Data!$B$21:INDEX(Market_Data!$B$21:$B$613,COUNT(Market_Data!$B$21:$B$613)),1)),""))</f>
        <v/>
      </c>
      <c r="C319" s="145" t="str">
        <f ca="1">IF($A319="","",IFERROR(INDEX(Market_Data!$F$21:$F$613,MATCH($A319,Market_Data!$E$21:INDEX(Market_Data!$E$21:$E$613,COUNT(Market_Data!$E$21:$E$613)),1)),""))</f>
        <v/>
      </c>
      <c r="D319" s="145" t="str">
        <f ca="1">IF($A319="","",IFERROR(INDEX(Market_Data!$I$21:$I$613,MATCH($A319,Market_Data!$H$21:INDEX(Market_Data!$H$21:$H$613,COUNT(Market_Data!$H$21:$H$613)),1)),""))</f>
        <v/>
      </c>
      <c r="E319" s="145" t="str">
        <f ca="1">IF($A319="","",IFERROR(INDEX(Market_Data!$L$21:$L$613,MATCH($A319,Market_Data!$K$21:INDEX(Market_Data!$K$21:$K$613,COUNT(Market_Data!$K$21:$K$613)),1)),""))</f>
        <v/>
      </c>
      <c r="F319" s="145" t="str">
        <f ca="1">IF($A319="","",IFERROR(INDEX(Market_Data!$O$21:$O$613,MATCH($A319,Market_Data!$N$21:INDEX(Market_Data!$N$21:$N$613,COUNT(Market_Data!$N$21:$N$613)),1)),""))</f>
        <v/>
      </c>
      <c r="G319" s="145" t="str">
        <f ca="1">IF($A319="","",IFERROR(INDEX(Market_Data!$R$21:$R$613,MATCH($A319,Market_Data!$Q$21:INDEX(Market_Data!$Q$21:$Q$613,COUNT(Market_Data!$Q$21:$Q$613)),1)),""))</f>
        <v/>
      </c>
      <c r="H319" s="145" t="str">
        <f ca="1">IF($A319="","",IFERROR(INDEX(Market_Data!$U$21:$U$613,MATCH($A319,Market_Data!$T$21:INDEX(Market_Data!$T$21:$T$613,COUNT(Market_Data!$T$21:$T$613)),1)),""))</f>
        <v/>
      </c>
      <c r="I319" s="146" t="str">
        <f ca="1">IF($A319="","",IFERROR(INDEX(Query1[Close],MATCH($A319,Query1[Date],1)),""))</f>
        <v/>
      </c>
    </row>
    <row r="320" spans="1:9" x14ac:dyDescent="0.3">
      <c r="A320" s="144" t="str">
        <f t="shared" ca="1" si="6"/>
        <v/>
      </c>
      <c r="B320" s="145" t="str">
        <f ca="1">IF($A320="","",IFERROR(INDEX(Market_Data!$C$21:$C$613,MATCH($A320,Market_Data!$B$21:INDEX(Market_Data!$B$21:$B$613,COUNT(Market_Data!$B$21:$B$613)),1)),""))</f>
        <v/>
      </c>
      <c r="C320" s="145" t="str">
        <f ca="1">IF($A320="","",IFERROR(INDEX(Market_Data!$F$21:$F$613,MATCH($A320,Market_Data!$E$21:INDEX(Market_Data!$E$21:$E$613,COUNT(Market_Data!$E$21:$E$613)),1)),""))</f>
        <v/>
      </c>
      <c r="D320" s="145" t="str">
        <f ca="1">IF($A320="","",IFERROR(INDEX(Market_Data!$I$21:$I$613,MATCH($A320,Market_Data!$H$21:INDEX(Market_Data!$H$21:$H$613,COUNT(Market_Data!$H$21:$H$613)),1)),""))</f>
        <v/>
      </c>
      <c r="E320" s="145" t="str">
        <f ca="1">IF($A320="","",IFERROR(INDEX(Market_Data!$L$21:$L$613,MATCH($A320,Market_Data!$K$21:INDEX(Market_Data!$K$21:$K$613,COUNT(Market_Data!$K$21:$K$613)),1)),""))</f>
        <v/>
      </c>
      <c r="F320" s="145" t="str">
        <f ca="1">IF($A320="","",IFERROR(INDEX(Market_Data!$O$21:$O$613,MATCH($A320,Market_Data!$N$21:INDEX(Market_Data!$N$21:$N$613,COUNT(Market_Data!$N$21:$N$613)),1)),""))</f>
        <v/>
      </c>
      <c r="G320" s="145" t="str">
        <f ca="1">IF($A320="","",IFERROR(INDEX(Market_Data!$R$21:$R$613,MATCH($A320,Market_Data!$Q$21:INDEX(Market_Data!$Q$21:$Q$613,COUNT(Market_Data!$Q$21:$Q$613)),1)),""))</f>
        <v/>
      </c>
      <c r="H320" s="145" t="str">
        <f ca="1">IF($A320="","",IFERROR(INDEX(Market_Data!$U$21:$U$613,MATCH($A320,Market_Data!$T$21:INDEX(Market_Data!$T$21:$T$613,COUNT(Market_Data!$T$21:$T$613)),1)),""))</f>
        <v/>
      </c>
      <c r="I320" s="146" t="str">
        <f ca="1">IF($A320="","",IFERROR(INDEX(Query1[Close],MATCH($A320,Query1[Date],1)),""))</f>
        <v/>
      </c>
    </row>
    <row r="321" spans="1:9" x14ac:dyDescent="0.3">
      <c r="A321" s="144" t="str">
        <f t="shared" ca="1" si="6"/>
        <v/>
      </c>
      <c r="B321" s="145" t="str">
        <f ca="1">IF($A321="","",IFERROR(INDEX(Market_Data!$C$21:$C$613,MATCH($A321,Market_Data!$B$21:INDEX(Market_Data!$B$21:$B$613,COUNT(Market_Data!$B$21:$B$613)),1)),""))</f>
        <v/>
      </c>
      <c r="C321" s="145" t="str">
        <f ca="1">IF($A321="","",IFERROR(INDEX(Market_Data!$F$21:$F$613,MATCH($A321,Market_Data!$E$21:INDEX(Market_Data!$E$21:$E$613,COUNT(Market_Data!$E$21:$E$613)),1)),""))</f>
        <v/>
      </c>
      <c r="D321" s="145" t="str">
        <f ca="1">IF($A321="","",IFERROR(INDEX(Market_Data!$I$21:$I$613,MATCH($A321,Market_Data!$H$21:INDEX(Market_Data!$H$21:$H$613,COUNT(Market_Data!$H$21:$H$613)),1)),""))</f>
        <v/>
      </c>
      <c r="E321" s="145" t="str">
        <f ca="1">IF($A321="","",IFERROR(INDEX(Market_Data!$L$21:$L$613,MATCH($A321,Market_Data!$K$21:INDEX(Market_Data!$K$21:$K$613,COUNT(Market_Data!$K$21:$K$613)),1)),""))</f>
        <v/>
      </c>
      <c r="F321" s="145" t="str">
        <f ca="1">IF($A321="","",IFERROR(INDEX(Market_Data!$O$21:$O$613,MATCH($A321,Market_Data!$N$21:INDEX(Market_Data!$N$21:$N$613,COUNT(Market_Data!$N$21:$N$613)),1)),""))</f>
        <v/>
      </c>
      <c r="G321" s="145" t="str">
        <f ca="1">IF($A321="","",IFERROR(INDEX(Market_Data!$R$21:$R$613,MATCH($A321,Market_Data!$Q$21:INDEX(Market_Data!$Q$21:$Q$613,COUNT(Market_Data!$Q$21:$Q$613)),1)),""))</f>
        <v/>
      </c>
      <c r="H321" s="145" t="str">
        <f ca="1">IF($A321="","",IFERROR(INDEX(Market_Data!$U$21:$U$613,MATCH($A321,Market_Data!$T$21:INDEX(Market_Data!$T$21:$T$613,COUNT(Market_Data!$T$21:$T$613)),1)),""))</f>
        <v/>
      </c>
      <c r="I321" s="146" t="str">
        <f ca="1">IF($A321="","",IFERROR(INDEX(Query1[Close],MATCH($A321,Query1[Date],1)),""))</f>
        <v/>
      </c>
    </row>
    <row r="322" spans="1:9" x14ac:dyDescent="0.3">
      <c r="A322" s="144" t="str">
        <f t="shared" ca="1" si="6"/>
        <v/>
      </c>
      <c r="B322" s="145" t="str">
        <f ca="1">IF($A322="","",IFERROR(INDEX(Market_Data!$C$21:$C$613,MATCH($A322,Market_Data!$B$21:INDEX(Market_Data!$B$21:$B$613,COUNT(Market_Data!$B$21:$B$613)),1)),""))</f>
        <v/>
      </c>
      <c r="C322" s="145" t="str">
        <f ca="1">IF($A322="","",IFERROR(INDEX(Market_Data!$F$21:$F$613,MATCH($A322,Market_Data!$E$21:INDEX(Market_Data!$E$21:$E$613,COUNT(Market_Data!$E$21:$E$613)),1)),""))</f>
        <v/>
      </c>
      <c r="D322" s="145" t="str">
        <f ca="1">IF($A322="","",IFERROR(INDEX(Market_Data!$I$21:$I$613,MATCH($A322,Market_Data!$H$21:INDEX(Market_Data!$H$21:$H$613,COUNT(Market_Data!$H$21:$H$613)),1)),""))</f>
        <v/>
      </c>
      <c r="E322" s="145" t="str">
        <f ca="1">IF($A322="","",IFERROR(INDEX(Market_Data!$L$21:$L$613,MATCH($A322,Market_Data!$K$21:INDEX(Market_Data!$K$21:$K$613,COUNT(Market_Data!$K$21:$K$613)),1)),""))</f>
        <v/>
      </c>
      <c r="F322" s="145" t="str">
        <f ca="1">IF($A322="","",IFERROR(INDEX(Market_Data!$O$21:$O$613,MATCH($A322,Market_Data!$N$21:INDEX(Market_Data!$N$21:$N$613,COUNT(Market_Data!$N$21:$N$613)),1)),""))</f>
        <v/>
      </c>
      <c r="G322" s="145" t="str">
        <f ca="1">IF($A322="","",IFERROR(INDEX(Market_Data!$R$21:$R$613,MATCH($A322,Market_Data!$Q$21:INDEX(Market_Data!$Q$21:$Q$613,COUNT(Market_Data!$Q$21:$Q$613)),1)),""))</f>
        <v/>
      </c>
      <c r="H322" s="145" t="str">
        <f ca="1">IF($A322="","",IFERROR(INDEX(Market_Data!$U$21:$U$613,MATCH($A322,Market_Data!$T$21:INDEX(Market_Data!$T$21:$T$613,COUNT(Market_Data!$T$21:$T$613)),1)),""))</f>
        <v/>
      </c>
      <c r="I322" s="146" t="str">
        <f ca="1">IF($A322="","",IFERROR(INDEX(Query1[Close],MATCH($A322,Query1[Date],1)),""))</f>
        <v/>
      </c>
    </row>
    <row r="323" spans="1:9" x14ac:dyDescent="0.3">
      <c r="A323" s="144" t="str">
        <f t="shared" ca="1" si="6"/>
        <v/>
      </c>
      <c r="B323" s="145" t="str">
        <f ca="1">IF($A323="","",IFERROR(INDEX(Market_Data!$C$21:$C$613,MATCH($A323,Market_Data!$B$21:INDEX(Market_Data!$B$21:$B$613,COUNT(Market_Data!$B$21:$B$613)),1)),""))</f>
        <v/>
      </c>
      <c r="C323" s="145" t="str">
        <f ca="1">IF($A323="","",IFERROR(INDEX(Market_Data!$F$21:$F$613,MATCH($A323,Market_Data!$E$21:INDEX(Market_Data!$E$21:$E$613,COUNT(Market_Data!$E$21:$E$613)),1)),""))</f>
        <v/>
      </c>
      <c r="D323" s="145" t="str">
        <f ca="1">IF($A323="","",IFERROR(INDEX(Market_Data!$I$21:$I$613,MATCH($A323,Market_Data!$H$21:INDEX(Market_Data!$H$21:$H$613,COUNT(Market_Data!$H$21:$H$613)),1)),""))</f>
        <v/>
      </c>
      <c r="E323" s="145" t="str">
        <f ca="1">IF($A323="","",IFERROR(INDEX(Market_Data!$L$21:$L$613,MATCH($A323,Market_Data!$K$21:INDEX(Market_Data!$K$21:$K$613,COUNT(Market_Data!$K$21:$K$613)),1)),""))</f>
        <v/>
      </c>
      <c r="F323" s="145" t="str">
        <f ca="1">IF($A323="","",IFERROR(INDEX(Market_Data!$O$21:$O$613,MATCH($A323,Market_Data!$N$21:INDEX(Market_Data!$N$21:$N$613,COUNT(Market_Data!$N$21:$N$613)),1)),""))</f>
        <v/>
      </c>
      <c r="G323" s="145" t="str">
        <f ca="1">IF($A323="","",IFERROR(INDEX(Market_Data!$R$21:$R$613,MATCH($A323,Market_Data!$Q$21:INDEX(Market_Data!$Q$21:$Q$613,COUNT(Market_Data!$Q$21:$Q$613)),1)),""))</f>
        <v/>
      </c>
      <c r="H323" s="145" t="str">
        <f ca="1">IF($A323="","",IFERROR(INDEX(Market_Data!$U$21:$U$613,MATCH($A323,Market_Data!$T$21:INDEX(Market_Data!$T$21:$T$613,COUNT(Market_Data!$T$21:$T$613)),1)),""))</f>
        <v/>
      </c>
      <c r="I323" s="146" t="str">
        <f ca="1">IF($A323="","",IFERROR(INDEX(Query1[Close],MATCH($A323,Query1[Date],1)),""))</f>
        <v/>
      </c>
    </row>
    <row r="324" spans="1:9" x14ac:dyDescent="0.3">
      <c r="A324" s="144" t="str">
        <f t="shared" ca="1" si="6"/>
        <v/>
      </c>
      <c r="B324" s="145" t="str">
        <f ca="1">IF($A324="","",IFERROR(INDEX(Market_Data!$C$21:$C$613,MATCH($A324,Market_Data!$B$21:INDEX(Market_Data!$B$21:$B$613,COUNT(Market_Data!$B$21:$B$613)),1)),""))</f>
        <v/>
      </c>
      <c r="C324" s="145" t="str">
        <f ca="1">IF($A324="","",IFERROR(INDEX(Market_Data!$F$21:$F$613,MATCH($A324,Market_Data!$E$21:INDEX(Market_Data!$E$21:$E$613,COUNT(Market_Data!$E$21:$E$613)),1)),""))</f>
        <v/>
      </c>
      <c r="D324" s="145" t="str">
        <f ca="1">IF($A324="","",IFERROR(INDEX(Market_Data!$I$21:$I$613,MATCH($A324,Market_Data!$H$21:INDEX(Market_Data!$H$21:$H$613,COUNT(Market_Data!$H$21:$H$613)),1)),""))</f>
        <v/>
      </c>
      <c r="E324" s="145" t="str">
        <f ca="1">IF($A324="","",IFERROR(INDEX(Market_Data!$L$21:$L$613,MATCH($A324,Market_Data!$K$21:INDEX(Market_Data!$K$21:$K$613,COUNT(Market_Data!$K$21:$K$613)),1)),""))</f>
        <v/>
      </c>
      <c r="F324" s="145" t="str">
        <f ca="1">IF($A324="","",IFERROR(INDEX(Market_Data!$O$21:$O$613,MATCH($A324,Market_Data!$N$21:INDEX(Market_Data!$N$21:$N$613,COUNT(Market_Data!$N$21:$N$613)),1)),""))</f>
        <v/>
      </c>
      <c r="G324" s="145" t="str">
        <f ca="1">IF($A324="","",IFERROR(INDEX(Market_Data!$R$21:$R$613,MATCH($A324,Market_Data!$Q$21:INDEX(Market_Data!$Q$21:$Q$613,COUNT(Market_Data!$Q$21:$Q$613)),1)),""))</f>
        <v/>
      </c>
      <c r="H324" s="145" t="str">
        <f ca="1">IF($A324="","",IFERROR(INDEX(Market_Data!$U$21:$U$613,MATCH($A324,Market_Data!$T$21:INDEX(Market_Data!$T$21:$T$613,COUNT(Market_Data!$T$21:$T$613)),1)),""))</f>
        <v/>
      </c>
      <c r="I324" s="146" t="str">
        <f ca="1">IF($A324="","",IFERROR(INDEX(Query1[Close],MATCH($A324,Query1[Date],1)),""))</f>
        <v/>
      </c>
    </row>
    <row r="325" spans="1:9" x14ac:dyDescent="0.3">
      <c r="A325" s="144" t="str">
        <f t="shared" ca="1" si="6"/>
        <v/>
      </c>
      <c r="B325" s="145" t="str">
        <f ca="1">IF($A325="","",IFERROR(INDEX(Market_Data!$C$21:$C$613,MATCH($A325,Market_Data!$B$21:INDEX(Market_Data!$B$21:$B$613,COUNT(Market_Data!$B$21:$B$613)),1)),""))</f>
        <v/>
      </c>
      <c r="C325" s="145" t="str">
        <f ca="1">IF($A325="","",IFERROR(INDEX(Market_Data!$F$21:$F$613,MATCH($A325,Market_Data!$E$21:INDEX(Market_Data!$E$21:$E$613,COUNT(Market_Data!$E$21:$E$613)),1)),""))</f>
        <v/>
      </c>
      <c r="D325" s="145" t="str">
        <f ca="1">IF($A325="","",IFERROR(INDEX(Market_Data!$I$21:$I$613,MATCH($A325,Market_Data!$H$21:INDEX(Market_Data!$H$21:$H$613,COUNT(Market_Data!$H$21:$H$613)),1)),""))</f>
        <v/>
      </c>
      <c r="E325" s="145" t="str">
        <f ca="1">IF($A325="","",IFERROR(INDEX(Market_Data!$L$21:$L$613,MATCH($A325,Market_Data!$K$21:INDEX(Market_Data!$K$21:$K$613,COUNT(Market_Data!$K$21:$K$613)),1)),""))</f>
        <v/>
      </c>
      <c r="F325" s="145" t="str">
        <f ca="1">IF($A325="","",IFERROR(INDEX(Market_Data!$O$21:$O$613,MATCH($A325,Market_Data!$N$21:INDEX(Market_Data!$N$21:$N$613,COUNT(Market_Data!$N$21:$N$613)),1)),""))</f>
        <v/>
      </c>
      <c r="G325" s="145" t="str">
        <f ca="1">IF($A325="","",IFERROR(INDEX(Market_Data!$R$21:$R$613,MATCH($A325,Market_Data!$Q$21:INDEX(Market_Data!$Q$21:$Q$613,COUNT(Market_Data!$Q$21:$Q$613)),1)),""))</f>
        <v/>
      </c>
      <c r="H325" s="145" t="str">
        <f ca="1">IF($A325="","",IFERROR(INDEX(Market_Data!$U$21:$U$613,MATCH($A325,Market_Data!$T$21:INDEX(Market_Data!$T$21:$T$613,COUNT(Market_Data!$T$21:$T$613)),1)),""))</f>
        <v/>
      </c>
      <c r="I325" s="146" t="str">
        <f ca="1">IF($A325="","",IFERROR(INDEX(Query1[Close],MATCH($A325,Query1[Date],1)),""))</f>
        <v/>
      </c>
    </row>
    <row r="326" spans="1:9" x14ac:dyDescent="0.3">
      <c r="A326" s="144" t="str">
        <f t="shared" ref="A326:A389" ca="1" si="7">IF($A325="","",IF($A325+7&lt;=TODAY(),$A325+7,""))</f>
        <v/>
      </c>
      <c r="B326" s="145" t="str">
        <f ca="1">IF($A326="","",IFERROR(INDEX(Market_Data!$C$21:$C$613,MATCH($A326,Market_Data!$B$21:INDEX(Market_Data!$B$21:$B$613,COUNT(Market_Data!$B$21:$B$613)),1)),""))</f>
        <v/>
      </c>
      <c r="C326" s="145" t="str">
        <f ca="1">IF($A326="","",IFERROR(INDEX(Market_Data!$F$21:$F$613,MATCH($A326,Market_Data!$E$21:INDEX(Market_Data!$E$21:$E$613,COUNT(Market_Data!$E$21:$E$613)),1)),""))</f>
        <v/>
      </c>
      <c r="D326" s="145" t="str">
        <f ca="1">IF($A326="","",IFERROR(INDEX(Market_Data!$I$21:$I$613,MATCH($A326,Market_Data!$H$21:INDEX(Market_Data!$H$21:$H$613,COUNT(Market_Data!$H$21:$H$613)),1)),""))</f>
        <v/>
      </c>
      <c r="E326" s="145" t="str">
        <f ca="1">IF($A326="","",IFERROR(INDEX(Market_Data!$L$21:$L$613,MATCH($A326,Market_Data!$K$21:INDEX(Market_Data!$K$21:$K$613,COUNT(Market_Data!$K$21:$K$613)),1)),""))</f>
        <v/>
      </c>
      <c r="F326" s="145" t="str">
        <f ca="1">IF($A326="","",IFERROR(INDEX(Market_Data!$O$21:$O$613,MATCH($A326,Market_Data!$N$21:INDEX(Market_Data!$N$21:$N$613,COUNT(Market_Data!$N$21:$N$613)),1)),""))</f>
        <v/>
      </c>
      <c r="G326" s="145" t="str">
        <f ca="1">IF($A326="","",IFERROR(INDEX(Market_Data!$R$21:$R$613,MATCH($A326,Market_Data!$Q$21:INDEX(Market_Data!$Q$21:$Q$613,COUNT(Market_Data!$Q$21:$Q$613)),1)),""))</f>
        <v/>
      </c>
      <c r="H326" s="145" t="str">
        <f ca="1">IF($A326="","",IFERROR(INDEX(Market_Data!$U$21:$U$613,MATCH($A326,Market_Data!$T$21:INDEX(Market_Data!$T$21:$T$613,COUNT(Market_Data!$T$21:$T$613)),1)),""))</f>
        <v/>
      </c>
      <c r="I326" s="146" t="str">
        <f ca="1">IF($A326="","",IFERROR(INDEX(Query1[Close],MATCH($A326,Query1[Date],1)),""))</f>
        <v/>
      </c>
    </row>
    <row r="327" spans="1:9" x14ac:dyDescent="0.3">
      <c r="A327" s="144" t="str">
        <f t="shared" ca="1" si="7"/>
        <v/>
      </c>
      <c r="B327" s="145" t="str">
        <f ca="1">IF($A327="","",IFERROR(INDEX(Market_Data!$C$21:$C$613,MATCH($A327,Market_Data!$B$21:INDEX(Market_Data!$B$21:$B$613,COUNT(Market_Data!$B$21:$B$613)),1)),""))</f>
        <v/>
      </c>
      <c r="C327" s="145" t="str">
        <f ca="1">IF($A327="","",IFERROR(INDEX(Market_Data!$F$21:$F$613,MATCH($A327,Market_Data!$E$21:INDEX(Market_Data!$E$21:$E$613,COUNT(Market_Data!$E$21:$E$613)),1)),""))</f>
        <v/>
      </c>
      <c r="D327" s="145" t="str">
        <f ca="1">IF($A327="","",IFERROR(INDEX(Market_Data!$I$21:$I$613,MATCH($A327,Market_Data!$H$21:INDEX(Market_Data!$H$21:$H$613,COUNT(Market_Data!$H$21:$H$613)),1)),""))</f>
        <v/>
      </c>
      <c r="E327" s="145" t="str">
        <f ca="1">IF($A327="","",IFERROR(INDEX(Market_Data!$L$21:$L$613,MATCH($A327,Market_Data!$K$21:INDEX(Market_Data!$K$21:$K$613,COUNT(Market_Data!$K$21:$K$613)),1)),""))</f>
        <v/>
      </c>
      <c r="F327" s="145" t="str">
        <f ca="1">IF($A327="","",IFERROR(INDEX(Market_Data!$O$21:$O$613,MATCH($A327,Market_Data!$N$21:INDEX(Market_Data!$N$21:$N$613,COUNT(Market_Data!$N$21:$N$613)),1)),""))</f>
        <v/>
      </c>
      <c r="G327" s="145" t="str">
        <f ca="1">IF($A327="","",IFERROR(INDEX(Market_Data!$R$21:$R$613,MATCH($A327,Market_Data!$Q$21:INDEX(Market_Data!$Q$21:$Q$613,COUNT(Market_Data!$Q$21:$Q$613)),1)),""))</f>
        <v/>
      </c>
      <c r="H327" s="145" t="str">
        <f ca="1">IF($A327="","",IFERROR(INDEX(Market_Data!$U$21:$U$613,MATCH($A327,Market_Data!$T$21:INDEX(Market_Data!$T$21:$T$613,COUNT(Market_Data!$T$21:$T$613)),1)),""))</f>
        <v/>
      </c>
      <c r="I327" s="146" t="str">
        <f ca="1">IF($A327="","",IFERROR(INDEX(Query1[Close],MATCH($A327,Query1[Date],1)),""))</f>
        <v/>
      </c>
    </row>
    <row r="328" spans="1:9" x14ac:dyDescent="0.3">
      <c r="A328" s="144" t="str">
        <f t="shared" ca="1" si="7"/>
        <v/>
      </c>
      <c r="B328" s="145" t="str">
        <f ca="1">IF($A328="","",IFERROR(INDEX(Market_Data!$C$21:$C$613,MATCH($A328,Market_Data!$B$21:INDEX(Market_Data!$B$21:$B$613,COUNT(Market_Data!$B$21:$B$613)),1)),""))</f>
        <v/>
      </c>
      <c r="C328" s="145" t="str">
        <f ca="1">IF($A328="","",IFERROR(INDEX(Market_Data!$F$21:$F$613,MATCH($A328,Market_Data!$E$21:INDEX(Market_Data!$E$21:$E$613,COUNT(Market_Data!$E$21:$E$613)),1)),""))</f>
        <v/>
      </c>
      <c r="D328" s="145" t="str">
        <f ca="1">IF($A328="","",IFERROR(INDEX(Market_Data!$I$21:$I$613,MATCH($A328,Market_Data!$H$21:INDEX(Market_Data!$H$21:$H$613,COUNT(Market_Data!$H$21:$H$613)),1)),""))</f>
        <v/>
      </c>
      <c r="E328" s="145" t="str">
        <f ca="1">IF($A328="","",IFERROR(INDEX(Market_Data!$L$21:$L$613,MATCH($A328,Market_Data!$K$21:INDEX(Market_Data!$K$21:$K$613,COUNT(Market_Data!$K$21:$K$613)),1)),""))</f>
        <v/>
      </c>
      <c r="F328" s="145" t="str">
        <f ca="1">IF($A328="","",IFERROR(INDEX(Market_Data!$O$21:$O$613,MATCH($A328,Market_Data!$N$21:INDEX(Market_Data!$N$21:$N$613,COUNT(Market_Data!$N$21:$N$613)),1)),""))</f>
        <v/>
      </c>
      <c r="G328" s="145" t="str">
        <f ca="1">IF($A328="","",IFERROR(INDEX(Market_Data!$R$21:$R$613,MATCH($A328,Market_Data!$Q$21:INDEX(Market_Data!$Q$21:$Q$613,COUNT(Market_Data!$Q$21:$Q$613)),1)),""))</f>
        <v/>
      </c>
      <c r="H328" s="145" t="str">
        <f ca="1">IF($A328="","",IFERROR(INDEX(Market_Data!$U$21:$U$613,MATCH($A328,Market_Data!$T$21:INDEX(Market_Data!$T$21:$T$613,COUNT(Market_Data!$T$21:$T$613)),1)),""))</f>
        <v/>
      </c>
      <c r="I328" s="146" t="str">
        <f ca="1">IF($A328="","",IFERROR(INDEX(Query1[Close],MATCH($A328,Query1[Date],1)),""))</f>
        <v/>
      </c>
    </row>
    <row r="329" spans="1:9" x14ac:dyDescent="0.3">
      <c r="A329" s="144" t="str">
        <f t="shared" ca="1" si="7"/>
        <v/>
      </c>
      <c r="B329" s="145" t="str">
        <f ca="1">IF($A329="","",IFERROR(INDEX(Market_Data!$C$21:$C$613,MATCH($A329,Market_Data!$B$21:INDEX(Market_Data!$B$21:$B$613,COUNT(Market_Data!$B$21:$B$613)),1)),""))</f>
        <v/>
      </c>
      <c r="C329" s="145" t="str">
        <f ca="1">IF($A329="","",IFERROR(INDEX(Market_Data!$F$21:$F$613,MATCH($A329,Market_Data!$E$21:INDEX(Market_Data!$E$21:$E$613,COUNT(Market_Data!$E$21:$E$613)),1)),""))</f>
        <v/>
      </c>
      <c r="D329" s="145" t="str">
        <f ca="1">IF($A329="","",IFERROR(INDEX(Market_Data!$I$21:$I$613,MATCH($A329,Market_Data!$H$21:INDEX(Market_Data!$H$21:$H$613,COUNT(Market_Data!$H$21:$H$613)),1)),""))</f>
        <v/>
      </c>
      <c r="E329" s="145" t="str">
        <f ca="1">IF($A329="","",IFERROR(INDEX(Market_Data!$L$21:$L$613,MATCH($A329,Market_Data!$K$21:INDEX(Market_Data!$K$21:$K$613,COUNT(Market_Data!$K$21:$K$613)),1)),""))</f>
        <v/>
      </c>
      <c r="F329" s="145" t="str">
        <f ca="1">IF($A329="","",IFERROR(INDEX(Market_Data!$O$21:$O$613,MATCH($A329,Market_Data!$N$21:INDEX(Market_Data!$N$21:$N$613,COUNT(Market_Data!$N$21:$N$613)),1)),""))</f>
        <v/>
      </c>
      <c r="G329" s="145" t="str">
        <f ca="1">IF($A329="","",IFERROR(INDEX(Market_Data!$R$21:$R$613,MATCH($A329,Market_Data!$Q$21:INDEX(Market_Data!$Q$21:$Q$613,COUNT(Market_Data!$Q$21:$Q$613)),1)),""))</f>
        <v/>
      </c>
      <c r="H329" s="145" t="str">
        <f ca="1">IF($A329="","",IFERROR(INDEX(Market_Data!$U$21:$U$613,MATCH($A329,Market_Data!$T$21:INDEX(Market_Data!$T$21:$T$613,COUNT(Market_Data!$T$21:$T$613)),1)),""))</f>
        <v/>
      </c>
      <c r="I329" s="146" t="str">
        <f ca="1">IF($A329="","",IFERROR(INDEX(Query1[Close],MATCH($A329,Query1[Date],1)),""))</f>
        <v/>
      </c>
    </row>
    <row r="330" spans="1:9" x14ac:dyDescent="0.3">
      <c r="A330" s="144" t="str">
        <f t="shared" ca="1" si="7"/>
        <v/>
      </c>
      <c r="B330" s="145" t="str">
        <f ca="1">IF($A330="","",IFERROR(INDEX(Market_Data!$C$21:$C$613,MATCH($A330,Market_Data!$B$21:INDEX(Market_Data!$B$21:$B$613,COUNT(Market_Data!$B$21:$B$613)),1)),""))</f>
        <v/>
      </c>
      <c r="C330" s="145" t="str">
        <f ca="1">IF($A330="","",IFERROR(INDEX(Market_Data!$F$21:$F$613,MATCH($A330,Market_Data!$E$21:INDEX(Market_Data!$E$21:$E$613,COUNT(Market_Data!$E$21:$E$613)),1)),""))</f>
        <v/>
      </c>
      <c r="D330" s="145" t="str">
        <f ca="1">IF($A330="","",IFERROR(INDEX(Market_Data!$I$21:$I$613,MATCH($A330,Market_Data!$H$21:INDEX(Market_Data!$H$21:$H$613,COUNT(Market_Data!$H$21:$H$613)),1)),""))</f>
        <v/>
      </c>
      <c r="E330" s="145" t="str">
        <f ca="1">IF($A330="","",IFERROR(INDEX(Market_Data!$L$21:$L$613,MATCH($A330,Market_Data!$K$21:INDEX(Market_Data!$K$21:$K$613,COUNT(Market_Data!$K$21:$K$613)),1)),""))</f>
        <v/>
      </c>
      <c r="F330" s="145" t="str">
        <f ca="1">IF($A330="","",IFERROR(INDEX(Market_Data!$O$21:$O$613,MATCH($A330,Market_Data!$N$21:INDEX(Market_Data!$N$21:$N$613,COUNT(Market_Data!$N$21:$N$613)),1)),""))</f>
        <v/>
      </c>
      <c r="G330" s="145" t="str">
        <f ca="1">IF($A330="","",IFERROR(INDEX(Market_Data!$R$21:$R$613,MATCH($A330,Market_Data!$Q$21:INDEX(Market_Data!$Q$21:$Q$613,COUNT(Market_Data!$Q$21:$Q$613)),1)),""))</f>
        <v/>
      </c>
      <c r="H330" s="145" t="str">
        <f ca="1">IF($A330="","",IFERROR(INDEX(Market_Data!$U$21:$U$613,MATCH($A330,Market_Data!$T$21:INDEX(Market_Data!$T$21:$T$613,COUNT(Market_Data!$T$21:$T$613)),1)),""))</f>
        <v/>
      </c>
      <c r="I330" s="146" t="str">
        <f ca="1">IF($A330="","",IFERROR(INDEX(Query1[Close],MATCH($A330,Query1[Date],1)),""))</f>
        <v/>
      </c>
    </row>
    <row r="331" spans="1:9" x14ac:dyDescent="0.3">
      <c r="A331" s="144" t="str">
        <f t="shared" ca="1" si="7"/>
        <v/>
      </c>
      <c r="B331" s="145" t="str">
        <f ca="1">IF($A331="","",IFERROR(INDEX(Market_Data!$C$21:$C$613,MATCH($A331,Market_Data!$B$21:INDEX(Market_Data!$B$21:$B$613,COUNT(Market_Data!$B$21:$B$613)),1)),""))</f>
        <v/>
      </c>
      <c r="C331" s="145" t="str">
        <f ca="1">IF($A331="","",IFERROR(INDEX(Market_Data!$F$21:$F$613,MATCH($A331,Market_Data!$E$21:INDEX(Market_Data!$E$21:$E$613,COUNT(Market_Data!$E$21:$E$613)),1)),""))</f>
        <v/>
      </c>
      <c r="D331" s="145" t="str">
        <f ca="1">IF($A331="","",IFERROR(INDEX(Market_Data!$I$21:$I$613,MATCH($A331,Market_Data!$H$21:INDEX(Market_Data!$H$21:$H$613,COUNT(Market_Data!$H$21:$H$613)),1)),""))</f>
        <v/>
      </c>
      <c r="E331" s="145" t="str">
        <f ca="1">IF($A331="","",IFERROR(INDEX(Market_Data!$L$21:$L$613,MATCH($A331,Market_Data!$K$21:INDEX(Market_Data!$K$21:$K$613,COUNT(Market_Data!$K$21:$K$613)),1)),""))</f>
        <v/>
      </c>
      <c r="F331" s="145" t="str">
        <f ca="1">IF($A331="","",IFERROR(INDEX(Market_Data!$O$21:$O$613,MATCH($A331,Market_Data!$N$21:INDEX(Market_Data!$N$21:$N$613,COUNT(Market_Data!$N$21:$N$613)),1)),""))</f>
        <v/>
      </c>
      <c r="G331" s="145" t="str">
        <f ca="1">IF($A331="","",IFERROR(INDEX(Market_Data!$R$21:$R$613,MATCH($A331,Market_Data!$Q$21:INDEX(Market_Data!$Q$21:$Q$613,COUNT(Market_Data!$Q$21:$Q$613)),1)),""))</f>
        <v/>
      </c>
      <c r="H331" s="145" t="str">
        <f ca="1">IF($A331="","",IFERROR(INDEX(Market_Data!$U$21:$U$613,MATCH($A331,Market_Data!$T$21:INDEX(Market_Data!$T$21:$T$613,COUNT(Market_Data!$T$21:$T$613)),1)),""))</f>
        <v/>
      </c>
      <c r="I331" s="146" t="str">
        <f ca="1">IF($A331="","",IFERROR(INDEX(Query1[Close],MATCH($A331,Query1[Date],1)),""))</f>
        <v/>
      </c>
    </row>
    <row r="332" spans="1:9" x14ac:dyDescent="0.3">
      <c r="A332" s="144" t="str">
        <f t="shared" ca="1" si="7"/>
        <v/>
      </c>
      <c r="B332" s="145" t="str">
        <f ca="1">IF($A332="","",IFERROR(INDEX(Market_Data!$C$21:$C$613,MATCH($A332,Market_Data!$B$21:INDEX(Market_Data!$B$21:$B$613,COUNT(Market_Data!$B$21:$B$613)),1)),""))</f>
        <v/>
      </c>
      <c r="C332" s="145" t="str">
        <f ca="1">IF($A332="","",IFERROR(INDEX(Market_Data!$F$21:$F$613,MATCH($A332,Market_Data!$E$21:INDEX(Market_Data!$E$21:$E$613,COUNT(Market_Data!$E$21:$E$613)),1)),""))</f>
        <v/>
      </c>
      <c r="D332" s="145" t="str">
        <f ca="1">IF($A332="","",IFERROR(INDEX(Market_Data!$I$21:$I$613,MATCH($A332,Market_Data!$H$21:INDEX(Market_Data!$H$21:$H$613,COUNT(Market_Data!$H$21:$H$613)),1)),""))</f>
        <v/>
      </c>
      <c r="E332" s="145" t="str">
        <f ca="1">IF($A332="","",IFERROR(INDEX(Market_Data!$L$21:$L$613,MATCH($A332,Market_Data!$K$21:INDEX(Market_Data!$K$21:$K$613,COUNT(Market_Data!$K$21:$K$613)),1)),""))</f>
        <v/>
      </c>
      <c r="F332" s="145" t="str">
        <f ca="1">IF($A332="","",IFERROR(INDEX(Market_Data!$O$21:$O$613,MATCH($A332,Market_Data!$N$21:INDEX(Market_Data!$N$21:$N$613,COUNT(Market_Data!$N$21:$N$613)),1)),""))</f>
        <v/>
      </c>
      <c r="G332" s="145" t="str">
        <f ca="1">IF($A332="","",IFERROR(INDEX(Market_Data!$R$21:$R$613,MATCH($A332,Market_Data!$Q$21:INDEX(Market_Data!$Q$21:$Q$613,COUNT(Market_Data!$Q$21:$Q$613)),1)),""))</f>
        <v/>
      </c>
      <c r="H332" s="145" t="str">
        <f ca="1">IF($A332="","",IFERROR(INDEX(Market_Data!$U$21:$U$613,MATCH($A332,Market_Data!$T$21:INDEX(Market_Data!$T$21:$T$613,COUNT(Market_Data!$T$21:$T$613)),1)),""))</f>
        <v/>
      </c>
      <c r="I332" s="146" t="str">
        <f ca="1">IF($A332="","",IFERROR(INDEX(Query1[Close],MATCH($A332,Query1[Date],1)),""))</f>
        <v/>
      </c>
    </row>
    <row r="333" spans="1:9" x14ac:dyDescent="0.3">
      <c r="A333" s="144" t="str">
        <f t="shared" ca="1" si="7"/>
        <v/>
      </c>
      <c r="B333" s="145" t="str">
        <f ca="1">IF($A333="","",IFERROR(INDEX(Market_Data!$C$21:$C$613,MATCH($A333,Market_Data!$B$21:INDEX(Market_Data!$B$21:$B$613,COUNT(Market_Data!$B$21:$B$613)),1)),""))</f>
        <v/>
      </c>
      <c r="C333" s="145" t="str">
        <f ca="1">IF($A333="","",IFERROR(INDEX(Market_Data!$F$21:$F$613,MATCH($A333,Market_Data!$E$21:INDEX(Market_Data!$E$21:$E$613,COUNT(Market_Data!$E$21:$E$613)),1)),""))</f>
        <v/>
      </c>
      <c r="D333" s="145" t="str">
        <f ca="1">IF($A333="","",IFERROR(INDEX(Market_Data!$I$21:$I$613,MATCH($A333,Market_Data!$H$21:INDEX(Market_Data!$H$21:$H$613,COUNT(Market_Data!$H$21:$H$613)),1)),""))</f>
        <v/>
      </c>
      <c r="E333" s="145" t="str">
        <f ca="1">IF($A333="","",IFERROR(INDEX(Market_Data!$L$21:$L$613,MATCH($A333,Market_Data!$K$21:INDEX(Market_Data!$K$21:$K$613,COUNT(Market_Data!$K$21:$K$613)),1)),""))</f>
        <v/>
      </c>
      <c r="F333" s="145" t="str">
        <f ca="1">IF($A333="","",IFERROR(INDEX(Market_Data!$O$21:$O$613,MATCH($A333,Market_Data!$N$21:INDEX(Market_Data!$N$21:$N$613,COUNT(Market_Data!$N$21:$N$613)),1)),""))</f>
        <v/>
      </c>
      <c r="G333" s="145" t="str">
        <f ca="1">IF($A333="","",IFERROR(INDEX(Market_Data!$R$21:$R$613,MATCH($A333,Market_Data!$Q$21:INDEX(Market_Data!$Q$21:$Q$613,COUNT(Market_Data!$Q$21:$Q$613)),1)),""))</f>
        <v/>
      </c>
      <c r="H333" s="145" t="str">
        <f ca="1">IF($A333="","",IFERROR(INDEX(Market_Data!$U$21:$U$613,MATCH($A333,Market_Data!$T$21:INDEX(Market_Data!$T$21:$T$613,COUNT(Market_Data!$T$21:$T$613)),1)),""))</f>
        <v/>
      </c>
      <c r="I333" s="146" t="str">
        <f ca="1">IF($A333="","",IFERROR(INDEX(Query1[Close],MATCH($A333,Query1[Date],1)),""))</f>
        <v/>
      </c>
    </row>
    <row r="334" spans="1:9" x14ac:dyDescent="0.3">
      <c r="A334" s="144" t="str">
        <f t="shared" ca="1" si="7"/>
        <v/>
      </c>
      <c r="B334" s="145" t="str">
        <f ca="1">IF($A334="","",IFERROR(INDEX(Market_Data!$C$21:$C$613,MATCH($A334,Market_Data!$B$21:INDEX(Market_Data!$B$21:$B$613,COUNT(Market_Data!$B$21:$B$613)),1)),""))</f>
        <v/>
      </c>
      <c r="C334" s="145" t="str">
        <f ca="1">IF($A334="","",IFERROR(INDEX(Market_Data!$F$21:$F$613,MATCH($A334,Market_Data!$E$21:INDEX(Market_Data!$E$21:$E$613,COUNT(Market_Data!$E$21:$E$613)),1)),""))</f>
        <v/>
      </c>
      <c r="D334" s="145" t="str">
        <f ca="1">IF($A334="","",IFERROR(INDEX(Market_Data!$I$21:$I$613,MATCH($A334,Market_Data!$H$21:INDEX(Market_Data!$H$21:$H$613,COUNT(Market_Data!$H$21:$H$613)),1)),""))</f>
        <v/>
      </c>
      <c r="E334" s="145" t="str">
        <f ca="1">IF($A334="","",IFERROR(INDEX(Market_Data!$L$21:$L$613,MATCH($A334,Market_Data!$K$21:INDEX(Market_Data!$K$21:$K$613,COUNT(Market_Data!$K$21:$K$613)),1)),""))</f>
        <v/>
      </c>
      <c r="F334" s="145" t="str">
        <f ca="1">IF($A334="","",IFERROR(INDEX(Market_Data!$O$21:$O$613,MATCH($A334,Market_Data!$N$21:INDEX(Market_Data!$N$21:$N$613,COUNT(Market_Data!$N$21:$N$613)),1)),""))</f>
        <v/>
      </c>
      <c r="G334" s="145" t="str">
        <f ca="1">IF($A334="","",IFERROR(INDEX(Market_Data!$R$21:$R$613,MATCH($A334,Market_Data!$Q$21:INDEX(Market_Data!$Q$21:$Q$613,COUNT(Market_Data!$Q$21:$Q$613)),1)),""))</f>
        <v/>
      </c>
      <c r="H334" s="145" t="str">
        <f ca="1">IF($A334="","",IFERROR(INDEX(Market_Data!$U$21:$U$613,MATCH($A334,Market_Data!$T$21:INDEX(Market_Data!$T$21:$T$613,COUNT(Market_Data!$T$21:$T$613)),1)),""))</f>
        <v/>
      </c>
      <c r="I334" s="146" t="str">
        <f ca="1">IF($A334="","",IFERROR(INDEX(Query1[Close],MATCH($A334,Query1[Date],1)),""))</f>
        <v/>
      </c>
    </row>
    <row r="335" spans="1:9" x14ac:dyDescent="0.3">
      <c r="A335" s="144" t="str">
        <f t="shared" ca="1" si="7"/>
        <v/>
      </c>
      <c r="B335" s="145" t="str">
        <f ca="1">IF($A335="","",IFERROR(INDEX(Market_Data!$C$21:$C$613,MATCH($A335,Market_Data!$B$21:INDEX(Market_Data!$B$21:$B$613,COUNT(Market_Data!$B$21:$B$613)),1)),""))</f>
        <v/>
      </c>
      <c r="C335" s="145" t="str">
        <f ca="1">IF($A335="","",IFERROR(INDEX(Market_Data!$F$21:$F$613,MATCH($A335,Market_Data!$E$21:INDEX(Market_Data!$E$21:$E$613,COUNT(Market_Data!$E$21:$E$613)),1)),""))</f>
        <v/>
      </c>
      <c r="D335" s="145" t="str">
        <f ca="1">IF($A335="","",IFERROR(INDEX(Market_Data!$I$21:$I$613,MATCH($A335,Market_Data!$H$21:INDEX(Market_Data!$H$21:$H$613,COUNT(Market_Data!$H$21:$H$613)),1)),""))</f>
        <v/>
      </c>
      <c r="E335" s="145" t="str">
        <f ca="1">IF($A335="","",IFERROR(INDEX(Market_Data!$L$21:$L$613,MATCH($A335,Market_Data!$K$21:INDEX(Market_Data!$K$21:$K$613,COUNT(Market_Data!$K$21:$K$613)),1)),""))</f>
        <v/>
      </c>
      <c r="F335" s="145" t="str">
        <f ca="1">IF($A335="","",IFERROR(INDEX(Market_Data!$O$21:$O$613,MATCH($A335,Market_Data!$N$21:INDEX(Market_Data!$N$21:$N$613,COUNT(Market_Data!$N$21:$N$613)),1)),""))</f>
        <v/>
      </c>
      <c r="G335" s="145" t="str">
        <f ca="1">IF($A335="","",IFERROR(INDEX(Market_Data!$R$21:$R$613,MATCH($A335,Market_Data!$Q$21:INDEX(Market_Data!$Q$21:$Q$613,COUNT(Market_Data!$Q$21:$Q$613)),1)),""))</f>
        <v/>
      </c>
      <c r="H335" s="145" t="str">
        <f ca="1">IF($A335="","",IFERROR(INDEX(Market_Data!$U$21:$U$613,MATCH($A335,Market_Data!$T$21:INDEX(Market_Data!$T$21:$T$613,COUNT(Market_Data!$T$21:$T$613)),1)),""))</f>
        <v/>
      </c>
      <c r="I335" s="146" t="str">
        <f ca="1">IF($A335="","",IFERROR(INDEX(Query1[Close],MATCH($A335,Query1[Date],1)),""))</f>
        <v/>
      </c>
    </row>
    <row r="336" spans="1:9" x14ac:dyDescent="0.3">
      <c r="A336" s="144" t="str">
        <f t="shared" ca="1" si="7"/>
        <v/>
      </c>
      <c r="B336" s="145" t="str">
        <f ca="1">IF($A336="","",IFERROR(INDEX(Market_Data!$C$21:$C$613,MATCH($A336,Market_Data!$B$21:INDEX(Market_Data!$B$21:$B$613,COUNT(Market_Data!$B$21:$B$613)),1)),""))</f>
        <v/>
      </c>
      <c r="C336" s="145" t="str">
        <f ca="1">IF($A336="","",IFERROR(INDEX(Market_Data!$F$21:$F$613,MATCH($A336,Market_Data!$E$21:INDEX(Market_Data!$E$21:$E$613,COUNT(Market_Data!$E$21:$E$613)),1)),""))</f>
        <v/>
      </c>
      <c r="D336" s="145" t="str">
        <f ca="1">IF($A336="","",IFERROR(INDEX(Market_Data!$I$21:$I$613,MATCH($A336,Market_Data!$H$21:INDEX(Market_Data!$H$21:$H$613,COUNT(Market_Data!$H$21:$H$613)),1)),""))</f>
        <v/>
      </c>
      <c r="E336" s="145" t="str">
        <f ca="1">IF($A336="","",IFERROR(INDEX(Market_Data!$L$21:$L$613,MATCH($A336,Market_Data!$K$21:INDEX(Market_Data!$K$21:$K$613,COUNT(Market_Data!$K$21:$K$613)),1)),""))</f>
        <v/>
      </c>
      <c r="F336" s="145" t="str">
        <f ca="1">IF($A336="","",IFERROR(INDEX(Market_Data!$O$21:$O$613,MATCH($A336,Market_Data!$N$21:INDEX(Market_Data!$N$21:$N$613,COUNT(Market_Data!$N$21:$N$613)),1)),""))</f>
        <v/>
      </c>
      <c r="G336" s="145" t="str">
        <f ca="1">IF($A336="","",IFERROR(INDEX(Market_Data!$R$21:$R$613,MATCH($A336,Market_Data!$Q$21:INDEX(Market_Data!$Q$21:$Q$613,COUNT(Market_Data!$Q$21:$Q$613)),1)),""))</f>
        <v/>
      </c>
      <c r="H336" s="145" t="str">
        <f ca="1">IF($A336="","",IFERROR(INDEX(Market_Data!$U$21:$U$613,MATCH($A336,Market_Data!$T$21:INDEX(Market_Data!$T$21:$T$613,COUNT(Market_Data!$T$21:$T$613)),1)),""))</f>
        <v/>
      </c>
      <c r="I336" s="146" t="str">
        <f ca="1">IF($A336="","",IFERROR(INDEX(Query1[Close],MATCH($A336,Query1[Date],1)),""))</f>
        <v/>
      </c>
    </row>
    <row r="337" spans="1:9" x14ac:dyDescent="0.3">
      <c r="A337" s="144" t="str">
        <f t="shared" ca="1" si="7"/>
        <v/>
      </c>
      <c r="B337" s="145" t="str">
        <f ca="1">IF($A337="","",IFERROR(INDEX(Market_Data!$C$21:$C$613,MATCH($A337,Market_Data!$B$21:INDEX(Market_Data!$B$21:$B$613,COUNT(Market_Data!$B$21:$B$613)),1)),""))</f>
        <v/>
      </c>
      <c r="C337" s="145" t="str">
        <f ca="1">IF($A337="","",IFERROR(INDEX(Market_Data!$F$21:$F$613,MATCH($A337,Market_Data!$E$21:INDEX(Market_Data!$E$21:$E$613,COUNT(Market_Data!$E$21:$E$613)),1)),""))</f>
        <v/>
      </c>
      <c r="D337" s="145" t="str">
        <f ca="1">IF($A337="","",IFERROR(INDEX(Market_Data!$I$21:$I$613,MATCH($A337,Market_Data!$H$21:INDEX(Market_Data!$H$21:$H$613,COUNT(Market_Data!$H$21:$H$613)),1)),""))</f>
        <v/>
      </c>
      <c r="E337" s="145" t="str">
        <f ca="1">IF($A337="","",IFERROR(INDEX(Market_Data!$L$21:$L$613,MATCH($A337,Market_Data!$K$21:INDEX(Market_Data!$K$21:$K$613,COUNT(Market_Data!$K$21:$K$613)),1)),""))</f>
        <v/>
      </c>
      <c r="F337" s="145" t="str">
        <f ca="1">IF($A337="","",IFERROR(INDEX(Market_Data!$O$21:$O$613,MATCH($A337,Market_Data!$N$21:INDEX(Market_Data!$N$21:$N$613,COUNT(Market_Data!$N$21:$N$613)),1)),""))</f>
        <v/>
      </c>
      <c r="G337" s="145" t="str">
        <f ca="1">IF($A337="","",IFERROR(INDEX(Market_Data!$R$21:$R$613,MATCH($A337,Market_Data!$Q$21:INDEX(Market_Data!$Q$21:$Q$613,COUNT(Market_Data!$Q$21:$Q$613)),1)),""))</f>
        <v/>
      </c>
      <c r="H337" s="145" t="str">
        <f ca="1">IF($A337="","",IFERROR(INDEX(Market_Data!$U$21:$U$613,MATCH($A337,Market_Data!$T$21:INDEX(Market_Data!$T$21:$T$613,COUNT(Market_Data!$T$21:$T$613)),1)),""))</f>
        <v/>
      </c>
      <c r="I337" s="146" t="str">
        <f ca="1">IF($A337="","",IFERROR(INDEX(Query1[Close],MATCH($A337,Query1[Date],1)),""))</f>
        <v/>
      </c>
    </row>
    <row r="338" spans="1:9" x14ac:dyDescent="0.3">
      <c r="A338" s="144" t="str">
        <f t="shared" ca="1" si="7"/>
        <v/>
      </c>
      <c r="B338" s="145" t="str">
        <f ca="1">IF($A338="","",IFERROR(INDEX(Market_Data!$C$21:$C$613,MATCH($A338,Market_Data!$B$21:INDEX(Market_Data!$B$21:$B$613,COUNT(Market_Data!$B$21:$B$613)),1)),""))</f>
        <v/>
      </c>
      <c r="C338" s="145" t="str">
        <f ca="1">IF($A338="","",IFERROR(INDEX(Market_Data!$F$21:$F$613,MATCH($A338,Market_Data!$E$21:INDEX(Market_Data!$E$21:$E$613,COUNT(Market_Data!$E$21:$E$613)),1)),""))</f>
        <v/>
      </c>
      <c r="D338" s="145" t="str">
        <f ca="1">IF($A338="","",IFERROR(INDEX(Market_Data!$I$21:$I$613,MATCH($A338,Market_Data!$H$21:INDEX(Market_Data!$H$21:$H$613,COUNT(Market_Data!$H$21:$H$613)),1)),""))</f>
        <v/>
      </c>
      <c r="E338" s="145" t="str">
        <f ca="1">IF($A338="","",IFERROR(INDEX(Market_Data!$L$21:$L$613,MATCH($A338,Market_Data!$K$21:INDEX(Market_Data!$K$21:$K$613,COUNT(Market_Data!$K$21:$K$613)),1)),""))</f>
        <v/>
      </c>
      <c r="F338" s="145" t="str">
        <f ca="1">IF($A338="","",IFERROR(INDEX(Market_Data!$O$21:$O$613,MATCH($A338,Market_Data!$N$21:INDEX(Market_Data!$N$21:$N$613,COUNT(Market_Data!$N$21:$N$613)),1)),""))</f>
        <v/>
      </c>
      <c r="G338" s="145" t="str">
        <f ca="1">IF($A338="","",IFERROR(INDEX(Market_Data!$R$21:$R$613,MATCH($A338,Market_Data!$Q$21:INDEX(Market_Data!$Q$21:$Q$613,COUNT(Market_Data!$Q$21:$Q$613)),1)),""))</f>
        <v/>
      </c>
      <c r="H338" s="145" t="str">
        <f ca="1">IF($A338="","",IFERROR(INDEX(Market_Data!$U$21:$U$613,MATCH($A338,Market_Data!$T$21:INDEX(Market_Data!$T$21:$T$613,COUNT(Market_Data!$T$21:$T$613)),1)),""))</f>
        <v/>
      </c>
      <c r="I338" s="146" t="str">
        <f ca="1">IF($A338="","",IFERROR(INDEX(Query1[Close],MATCH($A338,Query1[Date],1)),""))</f>
        <v/>
      </c>
    </row>
    <row r="339" spans="1:9" x14ac:dyDescent="0.3">
      <c r="A339" s="144" t="str">
        <f t="shared" ca="1" si="7"/>
        <v/>
      </c>
      <c r="B339" s="145" t="str">
        <f ca="1">IF($A339="","",IFERROR(INDEX(Market_Data!$C$21:$C$613,MATCH($A339,Market_Data!$B$21:INDEX(Market_Data!$B$21:$B$613,COUNT(Market_Data!$B$21:$B$613)),1)),""))</f>
        <v/>
      </c>
      <c r="C339" s="145" t="str">
        <f ca="1">IF($A339="","",IFERROR(INDEX(Market_Data!$F$21:$F$613,MATCH($A339,Market_Data!$E$21:INDEX(Market_Data!$E$21:$E$613,COUNT(Market_Data!$E$21:$E$613)),1)),""))</f>
        <v/>
      </c>
      <c r="D339" s="145" t="str">
        <f ca="1">IF($A339="","",IFERROR(INDEX(Market_Data!$I$21:$I$613,MATCH($A339,Market_Data!$H$21:INDEX(Market_Data!$H$21:$H$613,COUNT(Market_Data!$H$21:$H$613)),1)),""))</f>
        <v/>
      </c>
      <c r="E339" s="145" t="str">
        <f ca="1">IF($A339="","",IFERROR(INDEX(Market_Data!$L$21:$L$613,MATCH($A339,Market_Data!$K$21:INDEX(Market_Data!$K$21:$K$613,COUNT(Market_Data!$K$21:$K$613)),1)),""))</f>
        <v/>
      </c>
      <c r="F339" s="145" t="str">
        <f ca="1">IF($A339="","",IFERROR(INDEX(Market_Data!$O$21:$O$613,MATCH($A339,Market_Data!$N$21:INDEX(Market_Data!$N$21:$N$613,COUNT(Market_Data!$N$21:$N$613)),1)),""))</f>
        <v/>
      </c>
      <c r="G339" s="145" t="str">
        <f ca="1">IF($A339="","",IFERROR(INDEX(Market_Data!$R$21:$R$613,MATCH($A339,Market_Data!$Q$21:INDEX(Market_Data!$Q$21:$Q$613,COUNT(Market_Data!$Q$21:$Q$613)),1)),""))</f>
        <v/>
      </c>
      <c r="H339" s="145" t="str">
        <f ca="1">IF($A339="","",IFERROR(INDEX(Market_Data!$U$21:$U$613,MATCH($A339,Market_Data!$T$21:INDEX(Market_Data!$T$21:$T$613,COUNT(Market_Data!$T$21:$T$613)),1)),""))</f>
        <v/>
      </c>
      <c r="I339" s="146" t="str">
        <f ca="1">IF($A339="","",IFERROR(INDEX(Query1[Close],MATCH($A339,Query1[Date],1)),""))</f>
        <v/>
      </c>
    </row>
    <row r="340" spans="1:9" x14ac:dyDescent="0.3">
      <c r="A340" s="144" t="str">
        <f t="shared" ca="1" si="7"/>
        <v/>
      </c>
      <c r="B340" s="145" t="str">
        <f ca="1">IF($A340="","",IFERROR(INDEX(Market_Data!$C$21:$C$613,MATCH($A340,Market_Data!$B$21:INDEX(Market_Data!$B$21:$B$613,COUNT(Market_Data!$B$21:$B$613)),1)),""))</f>
        <v/>
      </c>
      <c r="C340" s="145" t="str">
        <f ca="1">IF($A340="","",IFERROR(INDEX(Market_Data!$F$21:$F$613,MATCH($A340,Market_Data!$E$21:INDEX(Market_Data!$E$21:$E$613,COUNT(Market_Data!$E$21:$E$613)),1)),""))</f>
        <v/>
      </c>
      <c r="D340" s="145" t="str">
        <f ca="1">IF($A340="","",IFERROR(INDEX(Market_Data!$I$21:$I$613,MATCH($A340,Market_Data!$H$21:INDEX(Market_Data!$H$21:$H$613,COUNT(Market_Data!$H$21:$H$613)),1)),""))</f>
        <v/>
      </c>
      <c r="E340" s="145" t="str">
        <f ca="1">IF($A340="","",IFERROR(INDEX(Market_Data!$L$21:$L$613,MATCH($A340,Market_Data!$K$21:INDEX(Market_Data!$K$21:$K$613,COUNT(Market_Data!$K$21:$K$613)),1)),""))</f>
        <v/>
      </c>
      <c r="F340" s="145" t="str">
        <f ca="1">IF($A340="","",IFERROR(INDEX(Market_Data!$O$21:$O$613,MATCH($A340,Market_Data!$N$21:INDEX(Market_Data!$N$21:$N$613,COUNT(Market_Data!$N$21:$N$613)),1)),""))</f>
        <v/>
      </c>
      <c r="G340" s="145" t="str">
        <f ca="1">IF($A340="","",IFERROR(INDEX(Market_Data!$R$21:$R$613,MATCH($A340,Market_Data!$Q$21:INDEX(Market_Data!$Q$21:$Q$613,COUNT(Market_Data!$Q$21:$Q$613)),1)),""))</f>
        <v/>
      </c>
      <c r="H340" s="145" t="str">
        <f ca="1">IF($A340="","",IFERROR(INDEX(Market_Data!$U$21:$U$613,MATCH($A340,Market_Data!$T$21:INDEX(Market_Data!$T$21:$T$613,COUNT(Market_Data!$T$21:$T$613)),1)),""))</f>
        <v/>
      </c>
      <c r="I340" s="146" t="str">
        <f ca="1">IF($A340="","",IFERROR(INDEX(Query1[Close],MATCH($A340,Query1[Date],1)),""))</f>
        <v/>
      </c>
    </row>
    <row r="341" spans="1:9" x14ac:dyDescent="0.3">
      <c r="A341" s="144" t="str">
        <f t="shared" ca="1" si="7"/>
        <v/>
      </c>
      <c r="B341" s="145" t="str">
        <f ca="1">IF($A341="","",IFERROR(INDEX(Market_Data!$C$21:$C$613,MATCH($A341,Market_Data!$B$21:INDEX(Market_Data!$B$21:$B$613,COUNT(Market_Data!$B$21:$B$613)),1)),""))</f>
        <v/>
      </c>
      <c r="C341" s="145" t="str">
        <f ca="1">IF($A341="","",IFERROR(INDEX(Market_Data!$F$21:$F$613,MATCH($A341,Market_Data!$E$21:INDEX(Market_Data!$E$21:$E$613,COUNT(Market_Data!$E$21:$E$613)),1)),""))</f>
        <v/>
      </c>
      <c r="D341" s="145" t="str">
        <f ca="1">IF($A341="","",IFERROR(INDEX(Market_Data!$I$21:$I$613,MATCH($A341,Market_Data!$H$21:INDEX(Market_Data!$H$21:$H$613,COUNT(Market_Data!$H$21:$H$613)),1)),""))</f>
        <v/>
      </c>
      <c r="E341" s="145" t="str">
        <f ca="1">IF($A341="","",IFERROR(INDEX(Market_Data!$L$21:$L$613,MATCH($A341,Market_Data!$K$21:INDEX(Market_Data!$K$21:$K$613,COUNT(Market_Data!$K$21:$K$613)),1)),""))</f>
        <v/>
      </c>
      <c r="F341" s="145" t="str">
        <f ca="1">IF($A341="","",IFERROR(INDEX(Market_Data!$O$21:$O$613,MATCH($A341,Market_Data!$N$21:INDEX(Market_Data!$N$21:$N$613,COUNT(Market_Data!$N$21:$N$613)),1)),""))</f>
        <v/>
      </c>
      <c r="G341" s="145" t="str">
        <f ca="1">IF($A341="","",IFERROR(INDEX(Market_Data!$R$21:$R$613,MATCH($A341,Market_Data!$Q$21:INDEX(Market_Data!$Q$21:$Q$613,COUNT(Market_Data!$Q$21:$Q$613)),1)),""))</f>
        <v/>
      </c>
      <c r="H341" s="145" t="str">
        <f ca="1">IF($A341="","",IFERROR(INDEX(Market_Data!$U$21:$U$613,MATCH($A341,Market_Data!$T$21:INDEX(Market_Data!$T$21:$T$613,COUNT(Market_Data!$T$21:$T$613)),1)),""))</f>
        <v/>
      </c>
      <c r="I341" s="146" t="str">
        <f ca="1">IF($A341="","",IFERROR(INDEX(Query1[Close],MATCH($A341,Query1[Date],1)),""))</f>
        <v/>
      </c>
    </row>
    <row r="342" spans="1:9" x14ac:dyDescent="0.3">
      <c r="A342" s="144" t="str">
        <f t="shared" ca="1" si="7"/>
        <v/>
      </c>
      <c r="B342" s="145" t="str">
        <f ca="1">IF($A342="","",IFERROR(INDEX(Market_Data!$C$21:$C$613,MATCH($A342,Market_Data!$B$21:INDEX(Market_Data!$B$21:$B$613,COUNT(Market_Data!$B$21:$B$613)),1)),""))</f>
        <v/>
      </c>
      <c r="C342" s="145" t="str">
        <f ca="1">IF($A342="","",IFERROR(INDEX(Market_Data!$F$21:$F$613,MATCH($A342,Market_Data!$E$21:INDEX(Market_Data!$E$21:$E$613,COUNT(Market_Data!$E$21:$E$613)),1)),""))</f>
        <v/>
      </c>
      <c r="D342" s="145" t="str">
        <f ca="1">IF($A342="","",IFERROR(INDEX(Market_Data!$I$21:$I$613,MATCH($A342,Market_Data!$H$21:INDEX(Market_Data!$H$21:$H$613,COUNT(Market_Data!$H$21:$H$613)),1)),""))</f>
        <v/>
      </c>
      <c r="E342" s="145" t="str">
        <f ca="1">IF($A342="","",IFERROR(INDEX(Market_Data!$L$21:$L$613,MATCH($A342,Market_Data!$K$21:INDEX(Market_Data!$K$21:$K$613,COUNT(Market_Data!$K$21:$K$613)),1)),""))</f>
        <v/>
      </c>
      <c r="F342" s="145" t="str">
        <f ca="1">IF($A342="","",IFERROR(INDEX(Market_Data!$O$21:$O$613,MATCH($A342,Market_Data!$N$21:INDEX(Market_Data!$N$21:$N$613,COUNT(Market_Data!$N$21:$N$613)),1)),""))</f>
        <v/>
      </c>
      <c r="G342" s="145" t="str">
        <f ca="1">IF($A342="","",IFERROR(INDEX(Market_Data!$R$21:$R$613,MATCH($A342,Market_Data!$Q$21:INDEX(Market_Data!$Q$21:$Q$613,COUNT(Market_Data!$Q$21:$Q$613)),1)),""))</f>
        <v/>
      </c>
      <c r="H342" s="145" t="str">
        <f ca="1">IF($A342="","",IFERROR(INDEX(Market_Data!$U$21:$U$613,MATCH($A342,Market_Data!$T$21:INDEX(Market_Data!$T$21:$T$613,COUNT(Market_Data!$T$21:$T$613)),1)),""))</f>
        <v/>
      </c>
      <c r="I342" s="146" t="str">
        <f ca="1">IF($A342="","",IFERROR(INDEX(Query1[Close],MATCH($A342,Query1[Date],1)),""))</f>
        <v/>
      </c>
    </row>
    <row r="343" spans="1:9" x14ac:dyDescent="0.3">
      <c r="A343" s="144" t="str">
        <f t="shared" ca="1" si="7"/>
        <v/>
      </c>
      <c r="B343" s="145" t="str">
        <f ca="1">IF($A343="","",IFERROR(INDEX(Market_Data!$C$21:$C$613,MATCH($A343,Market_Data!$B$21:INDEX(Market_Data!$B$21:$B$613,COUNT(Market_Data!$B$21:$B$613)),1)),""))</f>
        <v/>
      </c>
      <c r="C343" s="145" t="str">
        <f ca="1">IF($A343="","",IFERROR(INDEX(Market_Data!$F$21:$F$613,MATCH($A343,Market_Data!$E$21:INDEX(Market_Data!$E$21:$E$613,COUNT(Market_Data!$E$21:$E$613)),1)),""))</f>
        <v/>
      </c>
      <c r="D343" s="145" t="str">
        <f ca="1">IF($A343="","",IFERROR(INDEX(Market_Data!$I$21:$I$613,MATCH($A343,Market_Data!$H$21:INDEX(Market_Data!$H$21:$H$613,COUNT(Market_Data!$H$21:$H$613)),1)),""))</f>
        <v/>
      </c>
      <c r="E343" s="145" t="str">
        <f ca="1">IF($A343="","",IFERROR(INDEX(Market_Data!$L$21:$L$613,MATCH($A343,Market_Data!$K$21:INDEX(Market_Data!$K$21:$K$613,COUNT(Market_Data!$K$21:$K$613)),1)),""))</f>
        <v/>
      </c>
      <c r="F343" s="145" t="str">
        <f ca="1">IF($A343="","",IFERROR(INDEX(Market_Data!$O$21:$O$613,MATCH($A343,Market_Data!$N$21:INDEX(Market_Data!$N$21:$N$613,COUNT(Market_Data!$N$21:$N$613)),1)),""))</f>
        <v/>
      </c>
      <c r="G343" s="145" t="str">
        <f ca="1">IF($A343="","",IFERROR(INDEX(Market_Data!$R$21:$R$613,MATCH($A343,Market_Data!$Q$21:INDEX(Market_Data!$Q$21:$Q$613,COUNT(Market_Data!$Q$21:$Q$613)),1)),""))</f>
        <v/>
      </c>
      <c r="H343" s="145" t="str">
        <f ca="1">IF($A343="","",IFERROR(INDEX(Market_Data!$U$21:$U$613,MATCH($A343,Market_Data!$T$21:INDEX(Market_Data!$T$21:$T$613,COUNT(Market_Data!$T$21:$T$613)),1)),""))</f>
        <v/>
      </c>
      <c r="I343" s="146" t="str">
        <f ca="1">IF($A343="","",IFERROR(INDEX(Query1[Close],MATCH($A343,Query1[Date],1)),""))</f>
        <v/>
      </c>
    </row>
    <row r="344" spans="1:9" x14ac:dyDescent="0.3">
      <c r="A344" s="144" t="str">
        <f t="shared" ca="1" si="7"/>
        <v/>
      </c>
      <c r="B344" s="145" t="str">
        <f ca="1">IF($A344="","",IFERROR(INDEX(Market_Data!$C$21:$C$613,MATCH($A344,Market_Data!$B$21:INDEX(Market_Data!$B$21:$B$613,COUNT(Market_Data!$B$21:$B$613)),1)),""))</f>
        <v/>
      </c>
      <c r="C344" s="145" t="str">
        <f ca="1">IF($A344="","",IFERROR(INDEX(Market_Data!$F$21:$F$613,MATCH($A344,Market_Data!$E$21:INDEX(Market_Data!$E$21:$E$613,COUNT(Market_Data!$E$21:$E$613)),1)),""))</f>
        <v/>
      </c>
      <c r="D344" s="145" t="str">
        <f ca="1">IF($A344="","",IFERROR(INDEX(Market_Data!$I$21:$I$613,MATCH($A344,Market_Data!$H$21:INDEX(Market_Data!$H$21:$H$613,COUNT(Market_Data!$H$21:$H$613)),1)),""))</f>
        <v/>
      </c>
      <c r="E344" s="145" t="str">
        <f ca="1">IF($A344="","",IFERROR(INDEX(Market_Data!$L$21:$L$613,MATCH($A344,Market_Data!$K$21:INDEX(Market_Data!$K$21:$K$613,COUNT(Market_Data!$K$21:$K$613)),1)),""))</f>
        <v/>
      </c>
      <c r="F344" s="145" t="str">
        <f ca="1">IF($A344="","",IFERROR(INDEX(Market_Data!$O$21:$O$613,MATCH($A344,Market_Data!$N$21:INDEX(Market_Data!$N$21:$N$613,COUNT(Market_Data!$N$21:$N$613)),1)),""))</f>
        <v/>
      </c>
      <c r="G344" s="145" t="str">
        <f ca="1">IF($A344="","",IFERROR(INDEX(Market_Data!$R$21:$R$613,MATCH($A344,Market_Data!$Q$21:INDEX(Market_Data!$Q$21:$Q$613,COUNT(Market_Data!$Q$21:$Q$613)),1)),""))</f>
        <v/>
      </c>
      <c r="H344" s="145" t="str">
        <f ca="1">IF($A344="","",IFERROR(INDEX(Market_Data!$U$21:$U$613,MATCH($A344,Market_Data!$T$21:INDEX(Market_Data!$T$21:$T$613,COUNT(Market_Data!$T$21:$T$613)),1)),""))</f>
        <v/>
      </c>
      <c r="I344" s="146" t="str">
        <f ca="1">IF($A344="","",IFERROR(INDEX(Query1[Close],MATCH($A344,Query1[Date],1)),""))</f>
        <v/>
      </c>
    </row>
    <row r="345" spans="1:9" x14ac:dyDescent="0.3">
      <c r="A345" s="144" t="str">
        <f t="shared" ca="1" si="7"/>
        <v/>
      </c>
      <c r="B345" s="145" t="str">
        <f ca="1">IF($A345="","",IFERROR(INDEX(Market_Data!$C$21:$C$613,MATCH($A345,Market_Data!$B$21:INDEX(Market_Data!$B$21:$B$613,COUNT(Market_Data!$B$21:$B$613)),1)),""))</f>
        <v/>
      </c>
      <c r="C345" s="145" t="str">
        <f ca="1">IF($A345="","",IFERROR(INDEX(Market_Data!$F$21:$F$613,MATCH($A345,Market_Data!$E$21:INDEX(Market_Data!$E$21:$E$613,COUNT(Market_Data!$E$21:$E$613)),1)),""))</f>
        <v/>
      </c>
      <c r="D345" s="145" t="str">
        <f ca="1">IF($A345="","",IFERROR(INDEX(Market_Data!$I$21:$I$613,MATCH($A345,Market_Data!$H$21:INDEX(Market_Data!$H$21:$H$613,COUNT(Market_Data!$H$21:$H$613)),1)),""))</f>
        <v/>
      </c>
      <c r="E345" s="145" t="str">
        <f ca="1">IF($A345="","",IFERROR(INDEX(Market_Data!$L$21:$L$613,MATCH($A345,Market_Data!$K$21:INDEX(Market_Data!$K$21:$K$613,COUNT(Market_Data!$K$21:$K$613)),1)),""))</f>
        <v/>
      </c>
      <c r="F345" s="145" t="str">
        <f ca="1">IF($A345="","",IFERROR(INDEX(Market_Data!$O$21:$O$613,MATCH($A345,Market_Data!$N$21:INDEX(Market_Data!$N$21:$N$613,COUNT(Market_Data!$N$21:$N$613)),1)),""))</f>
        <v/>
      </c>
      <c r="G345" s="145" t="str">
        <f ca="1">IF($A345="","",IFERROR(INDEX(Market_Data!$R$21:$R$613,MATCH($A345,Market_Data!$Q$21:INDEX(Market_Data!$Q$21:$Q$613,COUNT(Market_Data!$Q$21:$Q$613)),1)),""))</f>
        <v/>
      </c>
      <c r="H345" s="145" t="str">
        <f ca="1">IF($A345="","",IFERROR(INDEX(Market_Data!$U$21:$U$613,MATCH($A345,Market_Data!$T$21:INDEX(Market_Data!$T$21:$T$613,COUNT(Market_Data!$T$21:$T$613)),1)),""))</f>
        <v/>
      </c>
      <c r="I345" s="146" t="str">
        <f ca="1">IF($A345="","",IFERROR(INDEX(Query1[Close],MATCH($A345,Query1[Date],1)),""))</f>
        <v/>
      </c>
    </row>
    <row r="346" spans="1:9" x14ac:dyDescent="0.3">
      <c r="A346" s="144" t="str">
        <f t="shared" ca="1" si="7"/>
        <v/>
      </c>
      <c r="B346" s="145" t="str">
        <f ca="1">IF($A346="","",IFERROR(INDEX(Market_Data!$C$21:$C$613,MATCH($A346,Market_Data!$B$21:INDEX(Market_Data!$B$21:$B$613,COUNT(Market_Data!$B$21:$B$613)),1)),""))</f>
        <v/>
      </c>
      <c r="C346" s="145" t="str">
        <f ca="1">IF($A346="","",IFERROR(INDEX(Market_Data!$F$21:$F$613,MATCH($A346,Market_Data!$E$21:INDEX(Market_Data!$E$21:$E$613,COUNT(Market_Data!$E$21:$E$613)),1)),""))</f>
        <v/>
      </c>
      <c r="D346" s="145" t="str">
        <f ca="1">IF($A346="","",IFERROR(INDEX(Market_Data!$I$21:$I$613,MATCH($A346,Market_Data!$H$21:INDEX(Market_Data!$H$21:$H$613,COUNT(Market_Data!$H$21:$H$613)),1)),""))</f>
        <v/>
      </c>
      <c r="E346" s="145" t="str">
        <f ca="1">IF($A346="","",IFERROR(INDEX(Market_Data!$L$21:$L$613,MATCH($A346,Market_Data!$K$21:INDEX(Market_Data!$K$21:$K$613,COUNT(Market_Data!$K$21:$K$613)),1)),""))</f>
        <v/>
      </c>
      <c r="F346" s="145" t="str">
        <f ca="1">IF($A346="","",IFERROR(INDEX(Market_Data!$O$21:$O$613,MATCH($A346,Market_Data!$N$21:INDEX(Market_Data!$N$21:$N$613,COUNT(Market_Data!$N$21:$N$613)),1)),""))</f>
        <v/>
      </c>
      <c r="G346" s="145" t="str">
        <f ca="1">IF($A346="","",IFERROR(INDEX(Market_Data!$R$21:$R$613,MATCH($A346,Market_Data!$Q$21:INDEX(Market_Data!$Q$21:$Q$613,COUNT(Market_Data!$Q$21:$Q$613)),1)),""))</f>
        <v/>
      </c>
      <c r="H346" s="145" t="str">
        <f ca="1">IF($A346="","",IFERROR(INDEX(Market_Data!$U$21:$U$613,MATCH($A346,Market_Data!$T$21:INDEX(Market_Data!$T$21:$T$613,COUNT(Market_Data!$T$21:$T$613)),1)),""))</f>
        <v/>
      </c>
      <c r="I346" s="146" t="str">
        <f ca="1">IF($A346="","",IFERROR(INDEX(Query1[Close],MATCH($A346,Query1[Date],1)),""))</f>
        <v/>
      </c>
    </row>
    <row r="347" spans="1:9" x14ac:dyDescent="0.3">
      <c r="A347" s="144" t="str">
        <f t="shared" ca="1" si="7"/>
        <v/>
      </c>
      <c r="B347" s="145" t="str">
        <f ca="1">IF($A347="","",IFERROR(INDEX(Market_Data!$C$21:$C$613,MATCH($A347,Market_Data!$B$21:INDEX(Market_Data!$B$21:$B$613,COUNT(Market_Data!$B$21:$B$613)),1)),""))</f>
        <v/>
      </c>
      <c r="C347" s="145" t="str">
        <f ca="1">IF($A347="","",IFERROR(INDEX(Market_Data!$F$21:$F$613,MATCH($A347,Market_Data!$E$21:INDEX(Market_Data!$E$21:$E$613,COUNT(Market_Data!$E$21:$E$613)),1)),""))</f>
        <v/>
      </c>
      <c r="D347" s="145" t="str">
        <f ca="1">IF($A347="","",IFERROR(INDEX(Market_Data!$I$21:$I$613,MATCH($A347,Market_Data!$H$21:INDEX(Market_Data!$H$21:$H$613,COUNT(Market_Data!$H$21:$H$613)),1)),""))</f>
        <v/>
      </c>
      <c r="E347" s="145" t="str">
        <f ca="1">IF($A347="","",IFERROR(INDEX(Market_Data!$L$21:$L$613,MATCH($A347,Market_Data!$K$21:INDEX(Market_Data!$K$21:$K$613,COUNT(Market_Data!$K$21:$K$613)),1)),""))</f>
        <v/>
      </c>
      <c r="F347" s="145" t="str">
        <f ca="1">IF($A347="","",IFERROR(INDEX(Market_Data!$O$21:$O$613,MATCH($A347,Market_Data!$N$21:INDEX(Market_Data!$N$21:$N$613,COUNT(Market_Data!$N$21:$N$613)),1)),""))</f>
        <v/>
      </c>
      <c r="G347" s="145" t="str">
        <f ca="1">IF($A347="","",IFERROR(INDEX(Market_Data!$R$21:$R$613,MATCH($A347,Market_Data!$Q$21:INDEX(Market_Data!$Q$21:$Q$613,COUNT(Market_Data!$Q$21:$Q$613)),1)),""))</f>
        <v/>
      </c>
      <c r="H347" s="145" t="str">
        <f ca="1">IF($A347="","",IFERROR(INDEX(Market_Data!$U$21:$U$613,MATCH($A347,Market_Data!$T$21:INDEX(Market_Data!$T$21:$T$613,COUNT(Market_Data!$T$21:$T$613)),1)),""))</f>
        <v/>
      </c>
      <c r="I347" s="146" t="str">
        <f ca="1">IF($A347="","",IFERROR(INDEX(Query1[Close],MATCH($A347,Query1[Date],1)),""))</f>
        <v/>
      </c>
    </row>
    <row r="348" spans="1:9" x14ac:dyDescent="0.3">
      <c r="A348" s="144" t="str">
        <f t="shared" ca="1" si="7"/>
        <v/>
      </c>
      <c r="B348" s="145" t="str">
        <f ca="1">IF($A348="","",IFERROR(INDEX(Market_Data!$C$21:$C$613,MATCH($A348,Market_Data!$B$21:INDEX(Market_Data!$B$21:$B$613,COUNT(Market_Data!$B$21:$B$613)),1)),""))</f>
        <v/>
      </c>
      <c r="C348" s="145" t="str">
        <f ca="1">IF($A348="","",IFERROR(INDEX(Market_Data!$F$21:$F$613,MATCH($A348,Market_Data!$E$21:INDEX(Market_Data!$E$21:$E$613,COUNT(Market_Data!$E$21:$E$613)),1)),""))</f>
        <v/>
      </c>
      <c r="D348" s="145" t="str">
        <f ca="1">IF($A348="","",IFERROR(INDEX(Market_Data!$I$21:$I$613,MATCH($A348,Market_Data!$H$21:INDEX(Market_Data!$H$21:$H$613,COUNT(Market_Data!$H$21:$H$613)),1)),""))</f>
        <v/>
      </c>
      <c r="E348" s="145" t="str">
        <f ca="1">IF($A348="","",IFERROR(INDEX(Market_Data!$L$21:$L$613,MATCH($A348,Market_Data!$K$21:INDEX(Market_Data!$K$21:$K$613,COUNT(Market_Data!$K$21:$K$613)),1)),""))</f>
        <v/>
      </c>
      <c r="F348" s="145" t="str">
        <f ca="1">IF($A348="","",IFERROR(INDEX(Market_Data!$O$21:$O$613,MATCH($A348,Market_Data!$N$21:INDEX(Market_Data!$N$21:$N$613,COUNT(Market_Data!$N$21:$N$613)),1)),""))</f>
        <v/>
      </c>
      <c r="G348" s="145" t="str">
        <f ca="1">IF($A348="","",IFERROR(INDEX(Market_Data!$R$21:$R$613,MATCH($A348,Market_Data!$Q$21:INDEX(Market_Data!$Q$21:$Q$613,COUNT(Market_Data!$Q$21:$Q$613)),1)),""))</f>
        <v/>
      </c>
      <c r="H348" s="145" t="str">
        <f ca="1">IF($A348="","",IFERROR(INDEX(Market_Data!$U$21:$U$613,MATCH($A348,Market_Data!$T$21:INDEX(Market_Data!$T$21:$T$613,COUNT(Market_Data!$T$21:$T$613)),1)),""))</f>
        <v/>
      </c>
      <c r="I348" s="146" t="str">
        <f ca="1">IF($A348="","",IFERROR(INDEX(Query1[Close],MATCH($A348,Query1[Date],1)),""))</f>
        <v/>
      </c>
    </row>
    <row r="349" spans="1:9" x14ac:dyDescent="0.3">
      <c r="A349" s="144" t="str">
        <f t="shared" ca="1" si="7"/>
        <v/>
      </c>
      <c r="B349" s="145" t="str">
        <f ca="1">IF($A349="","",IFERROR(INDEX(Market_Data!$C$21:$C$613,MATCH($A349,Market_Data!$B$21:INDEX(Market_Data!$B$21:$B$613,COUNT(Market_Data!$B$21:$B$613)),1)),""))</f>
        <v/>
      </c>
      <c r="C349" s="145" t="str">
        <f ca="1">IF($A349="","",IFERROR(INDEX(Market_Data!$F$21:$F$613,MATCH($A349,Market_Data!$E$21:INDEX(Market_Data!$E$21:$E$613,COUNT(Market_Data!$E$21:$E$613)),1)),""))</f>
        <v/>
      </c>
      <c r="D349" s="145" t="str">
        <f ca="1">IF($A349="","",IFERROR(INDEX(Market_Data!$I$21:$I$613,MATCH($A349,Market_Data!$H$21:INDEX(Market_Data!$H$21:$H$613,COUNT(Market_Data!$H$21:$H$613)),1)),""))</f>
        <v/>
      </c>
      <c r="E349" s="145" t="str">
        <f ca="1">IF($A349="","",IFERROR(INDEX(Market_Data!$L$21:$L$613,MATCH($A349,Market_Data!$K$21:INDEX(Market_Data!$K$21:$K$613,COUNT(Market_Data!$K$21:$K$613)),1)),""))</f>
        <v/>
      </c>
      <c r="F349" s="145" t="str">
        <f ca="1">IF($A349="","",IFERROR(INDEX(Market_Data!$O$21:$O$613,MATCH($A349,Market_Data!$N$21:INDEX(Market_Data!$N$21:$N$613,COUNT(Market_Data!$N$21:$N$613)),1)),""))</f>
        <v/>
      </c>
      <c r="G349" s="145" t="str">
        <f ca="1">IF($A349="","",IFERROR(INDEX(Market_Data!$R$21:$R$613,MATCH($A349,Market_Data!$Q$21:INDEX(Market_Data!$Q$21:$Q$613,COUNT(Market_Data!$Q$21:$Q$613)),1)),""))</f>
        <v/>
      </c>
      <c r="H349" s="145" t="str">
        <f ca="1">IF($A349="","",IFERROR(INDEX(Market_Data!$U$21:$U$613,MATCH($A349,Market_Data!$T$21:INDEX(Market_Data!$T$21:$T$613,COUNT(Market_Data!$T$21:$T$613)),1)),""))</f>
        <v/>
      </c>
      <c r="I349" s="146" t="str">
        <f ca="1">IF($A349="","",IFERROR(INDEX(Query1[Close],MATCH($A349,Query1[Date],1)),""))</f>
        <v/>
      </c>
    </row>
    <row r="350" spans="1:9" x14ac:dyDescent="0.3">
      <c r="A350" s="144" t="str">
        <f t="shared" ca="1" si="7"/>
        <v/>
      </c>
      <c r="B350" s="145" t="str">
        <f ca="1">IF($A350="","",IFERROR(INDEX(Market_Data!$C$21:$C$613,MATCH($A350,Market_Data!$B$21:INDEX(Market_Data!$B$21:$B$613,COUNT(Market_Data!$B$21:$B$613)),1)),""))</f>
        <v/>
      </c>
      <c r="C350" s="145" t="str">
        <f ca="1">IF($A350="","",IFERROR(INDEX(Market_Data!$F$21:$F$613,MATCH($A350,Market_Data!$E$21:INDEX(Market_Data!$E$21:$E$613,COUNT(Market_Data!$E$21:$E$613)),1)),""))</f>
        <v/>
      </c>
      <c r="D350" s="145" t="str">
        <f ca="1">IF($A350="","",IFERROR(INDEX(Market_Data!$I$21:$I$613,MATCH($A350,Market_Data!$H$21:INDEX(Market_Data!$H$21:$H$613,COUNT(Market_Data!$H$21:$H$613)),1)),""))</f>
        <v/>
      </c>
      <c r="E350" s="145" t="str">
        <f ca="1">IF($A350="","",IFERROR(INDEX(Market_Data!$L$21:$L$613,MATCH($A350,Market_Data!$K$21:INDEX(Market_Data!$K$21:$K$613,COUNT(Market_Data!$K$21:$K$613)),1)),""))</f>
        <v/>
      </c>
      <c r="F350" s="145" t="str">
        <f ca="1">IF($A350="","",IFERROR(INDEX(Market_Data!$O$21:$O$613,MATCH($A350,Market_Data!$N$21:INDEX(Market_Data!$N$21:$N$613,COUNT(Market_Data!$N$21:$N$613)),1)),""))</f>
        <v/>
      </c>
      <c r="G350" s="145" t="str">
        <f ca="1">IF($A350="","",IFERROR(INDEX(Market_Data!$R$21:$R$613,MATCH($A350,Market_Data!$Q$21:INDEX(Market_Data!$Q$21:$Q$613,COUNT(Market_Data!$Q$21:$Q$613)),1)),""))</f>
        <v/>
      </c>
      <c r="H350" s="145" t="str">
        <f ca="1">IF($A350="","",IFERROR(INDEX(Market_Data!$U$21:$U$613,MATCH($A350,Market_Data!$T$21:INDEX(Market_Data!$T$21:$T$613,COUNT(Market_Data!$T$21:$T$613)),1)),""))</f>
        <v/>
      </c>
      <c r="I350" s="146" t="str">
        <f ca="1">IF($A350="","",IFERROR(INDEX(Query1[Close],MATCH($A350,Query1[Date],1)),""))</f>
        <v/>
      </c>
    </row>
    <row r="351" spans="1:9" x14ac:dyDescent="0.3">
      <c r="A351" s="144" t="str">
        <f t="shared" ca="1" si="7"/>
        <v/>
      </c>
      <c r="B351" s="145" t="str">
        <f ca="1">IF($A351="","",IFERROR(INDEX(Market_Data!$C$21:$C$613,MATCH($A351,Market_Data!$B$21:INDEX(Market_Data!$B$21:$B$613,COUNT(Market_Data!$B$21:$B$613)),1)),""))</f>
        <v/>
      </c>
      <c r="C351" s="145" t="str">
        <f ca="1">IF($A351="","",IFERROR(INDEX(Market_Data!$F$21:$F$613,MATCH($A351,Market_Data!$E$21:INDEX(Market_Data!$E$21:$E$613,COUNT(Market_Data!$E$21:$E$613)),1)),""))</f>
        <v/>
      </c>
      <c r="D351" s="145" t="str">
        <f ca="1">IF($A351="","",IFERROR(INDEX(Market_Data!$I$21:$I$613,MATCH($A351,Market_Data!$H$21:INDEX(Market_Data!$H$21:$H$613,COUNT(Market_Data!$H$21:$H$613)),1)),""))</f>
        <v/>
      </c>
      <c r="E351" s="145" t="str">
        <f ca="1">IF($A351="","",IFERROR(INDEX(Market_Data!$L$21:$L$613,MATCH($A351,Market_Data!$K$21:INDEX(Market_Data!$K$21:$K$613,COUNT(Market_Data!$K$21:$K$613)),1)),""))</f>
        <v/>
      </c>
      <c r="F351" s="145" t="str">
        <f ca="1">IF($A351="","",IFERROR(INDEX(Market_Data!$O$21:$O$613,MATCH($A351,Market_Data!$N$21:INDEX(Market_Data!$N$21:$N$613,COUNT(Market_Data!$N$21:$N$613)),1)),""))</f>
        <v/>
      </c>
      <c r="G351" s="145" t="str">
        <f ca="1">IF($A351="","",IFERROR(INDEX(Market_Data!$R$21:$R$613,MATCH($A351,Market_Data!$Q$21:INDEX(Market_Data!$Q$21:$Q$613,COUNT(Market_Data!$Q$21:$Q$613)),1)),""))</f>
        <v/>
      </c>
      <c r="H351" s="145" t="str">
        <f ca="1">IF($A351="","",IFERROR(INDEX(Market_Data!$U$21:$U$613,MATCH($A351,Market_Data!$T$21:INDEX(Market_Data!$T$21:$T$613,COUNT(Market_Data!$T$21:$T$613)),1)),""))</f>
        <v/>
      </c>
      <c r="I351" s="146" t="str">
        <f ca="1">IF($A351="","",IFERROR(INDEX(Query1[Close],MATCH($A351,Query1[Date],1)),""))</f>
        <v/>
      </c>
    </row>
    <row r="352" spans="1:9" x14ac:dyDescent="0.3">
      <c r="A352" s="144" t="str">
        <f t="shared" ca="1" si="7"/>
        <v/>
      </c>
      <c r="B352" s="145" t="str">
        <f ca="1">IF($A352="","",IFERROR(INDEX(Market_Data!$C$21:$C$613,MATCH($A352,Market_Data!$B$21:INDEX(Market_Data!$B$21:$B$613,COUNT(Market_Data!$B$21:$B$613)),1)),""))</f>
        <v/>
      </c>
      <c r="C352" s="145" t="str">
        <f ca="1">IF($A352="","",IFERROR(INDEX(Market_Data!$F$21:$F$613,MATCH($A352,Market_Data!$E$21:INDEX(Market_Data!$E$21:$E$613,COUNT(Market_Data!$E$21:$E$613)),1)),""))</f>
        <v/>
      </c>
      <c r="D352" s="145" t="str">
        <f ca="1">IF($A352="","",IFERROR(INDEX(Market_Data!$I$21:$I$613,MATCH($A352,Market_Data!$H$21:INDEX(Market_Data!$H$21:$H$613,COUNT(Market_Data!$H$21:$H$613)),1)),""))</f>
        <v/>
      </c>
      <c r="E352" s="145" t="str">
        <f ca="1">IF($A352="","",IFERROR(INDEX(Market_Data!$L$21:$L$613,MATCH($A352,Market_Data!$K$21:INDEX(Market_Data!$K$21:$K$613,COUNT(Market_Data!$K$21:$K$613)),1)),""))</f>
        <v/>
      </c>
      <c r="F352" s="145" t="str">
        <f ca="1">IF($A352="","",IFERROR(INDEX(Market_Data!$O$21:$O$613,MATCH($A352,Market_Data!$N$21:INDEX(Market_Data!$N$21:$N$613,COUNT(Market_Data!$N$21:$N$613)),1)),""))</f>
        <v/>
      </c>
      <c r="G352" s="145" t="str">
        <f ca="1">IF($A352="","",IFERROR(INDEX(Market_Data!$R$21:$R$613,MATCH($A352,Market_Data!$Q$21:INDEX(Market_Data!$Q$21:$Q$613,COUNT(Market_Data!$Q$21:$Q$613)),1)),""))</f>
        <v/>
      </c>
      <c r="H352" s="145" t="str">
        <f ca="1">IF($A352="","",IFERROR(INDEX(Market_Data!$U$21:$U$613,MATCH($A352,Market_Data!$T$21:INDEX(Market_Data!$T$21:$T$613,COUNT(Market_Data!$T$21:$T$613)),1)),""))</f>
        <v/>
      </c>
      <c r="I352" s="146" t="str">
        <f ca="1">IF($A352="","",IFERROR(INDEX(Query1[Close],MATCH($A352,Query1[Date],1)),""))</f>
        <v/>
      </c>
    </row>
    <row r="353" spans="1:9" x14ac:dyDescent="0.3">
      <c r="A353" s="144" t="str">
        <f t="shared" ca="1" si="7"/>
        <v/>
      </c>
      <c r="B353" s="145" t="str">
        <f ca="1">IF($A353="","",IFERROR(INDEX(Market_Data!$C$21:$C$613,MATCH($A353,Market_Data!$B$21:INDEX(Market_Data!$B$21:$B$613,COUNT(Market_Data!$B$21:$B$613)),1)),""))</f>
        <v/>
      </c>
      <c r="C353" s="145" t="str">
        <f ca="1">IF($A353="","",IFERROR(INDEX(Market_Data!$F$21:$F$613,MATCH($A353,Market_Data!$E$21:INDEX(Market_Data!$E$21:$E$613,COUNT(Market_Data!$E$21:$E$613)),1)),""))</f>
        <v/>
      </c>
      <c r="D353" s="145" t="str">
        <f ca="1">IF($A353="","",IFERROR(INDEX(Market_Data!$I$21:$I$613,MATCH($A353,Market_Data!$H$21:INDEX(Market_Data!$H$21:$H$613,COUNT(Market_Data!$H$21:$H$613)),1)),""))</f>
        <v/>
      </c>
      <c r="E353" s="145" t="str">
        <f ca="1">IF($A353="","",IFERROR(INDEX(Market_Data!$L$21:$L$613,MATCH($A353,Market_Data!$K$21:INDEX(Market_Data!$K$21:$K$613,COUNT(Market_Data!$K$21:$K$613)),1)),""))</f>
        <v/>
      </c>
      <c r="F353" s="145" t="str">
        <f ca="1">IF($A353="","",IFERROR(INDEX(Market_Data!$O$21:$O$613,MATCH($A353,Market_Data!$N$21:INDEX(Market_Data!$N$21:$N$613,COUNT(Market_Data!$N$21:$N$613)),1)),""))</f>
        <v/>
      </c>
      <c r="G353" s="145" t="str">
        <f ca="1">IF($A353="","",IFERROR(INDEX(Market_Data!$R$21:$R$613,MATCH($A353,Market_Data!$Q$21:INDEX(Market_Data!$Q$21:$Q$613,COUNT(Market_Data!$Q$21:$Q$613)),1)),""))</f>
        <v/>
      </c>
      <c r="H353" s="145" t="str">
        <f ca="1">IF($A353="","",IFERROR(INDEX(Market_Data!$U$21:$U$613,MATCH($A353,Market_Data!$T$21:INDEX(Market_Data!$T$21:$T$613,COUNT(Market_Data!$T$21:$T$613)),1)),""))</f>
        <v/>
      </c>
      <c r="I353" s="146" t="str">
        <f ca="1">IF($A353="","",IFERROR(INDEX(Query1[Close],MATCH($A353,Query1[Date],1)),""))</f>
        <v/>
      </c>
    </row>
    <row r="354" spans="1:9" x14ac:dyDescent="0.3">
      <c r="A354" s="144" t="str">
        <f t="shared" ca="1" si="7"/>
        <v/>
      </c>
      <c r="B354" s="145" t="str">
        <f ca="1">IF($A354="","",IFERROR(INDEX(Market_Data!$C$21:$C$613,MATCH($A354,Market_Data!$B$21:INDEX(Market_Data!$B$21:$B$613,COUNT(Market_Data!$B$21:$B$613)),1)),""))</f>
        <v/>
      </c>
      <c r="C354" s="145" t="str">
        <f ca="1">IF($A354="","",IFERROR(INDEX(Market_Data!$F$21:$F$613,MATCH($A354,Market_Data!$E$21:INDEX(Market_Data!$E$21:$E$613,COUNT(Market_Data!$E$21:$E$613)),1)),""))</f>
        <v/>
      </c>
      <c r="D354" s="145" t="str">
        <f ca="1">IF($A354="","",IFERROR(INDEX(Market_Data!$I$21:$I$613,MATCH($A354,Market_Data!$H$21:INDEX(Market_Data!$H$21:$H$613,COUNT(Market_Data!$H$21:$H$613)),1)),""))</f>
        <v/>
      </c>
      <c r="E354" s="145" t="str">
        <f ca="1">IF($A354="","",IFERROR(INDEX(Market_Data!$L$21:$L$613,MATCH($A354,Market_Data!$K$21:INDEX(Market_Data!$K$21:$K$613,COUNT(Market_Data!$K$21:$K$613)),1)),""))</f>
        <v/>
      </c>
      <c r="F354" s="145" t="str">
        <f ca="1">IF($A354="","",IFERROR(INDEX(Market_Data!$O$21:$O$613,MATCH($A354,Market_Data!$N$21:INDEX(Market_Data!$N$21:$N$613,COUNT(Market_Data!$N$21:$N$613)),1)),""))</f>
        <v/>
      </c>
      <c r="G354" s="145" t="str">
        <f ca="1">IF($A354="","",IFERROR(INDEX(Market_Data!$R$21:$R$613,MATCH($A354,Market_Data!$Q$21:INDEX(Market_Data!$Q$21:$Q$613,COUNT(Market_Data!$Q$21:$Q$613)),1)),""))</f>
        <v/>
      </c>
      <c r="H354" s="145" t="str">
        <f ca="1">IF($A354="","",IFERROR(INDEX(Market_Data!$U$21:$U$613,MATCH($A354,Market_Data!$T$21:INDEX(Market_Data!$T$21:$T$613,COUNT(Market_Data!$T$21:$T$613)),1)),""))</f>
        <v/>
      </c>
      <c r="I354" s="146" t="str">
        <f ca="1">IF($A354="","",IFERROR(INDEX(Query1[Close],MATCH($A354,Query1[Date],1)),""))</f>
        <v/>
      </c>
    </row>
    <row r="355" spans="1:9" x14ac:dyDescent="0.3">
      <c r="A355" s="144" t="str">
        <f t="shared" ca="1" si="7"/>
        <v/>
      </c>
      <c r="B355" s="145" t="str">
        <f ca="1">IF($A355="","",IFERROR(INDEX(Market_Data!$C$21:$C$613,MATCH($A355,Market_Data!$B$21:INDEX(Market_Data!$B$21:$B$613,COUNT(Market_Data!$B$21:$B$613)),1)),""))</f>
        <v/>
      </c>
      <c r="C355" s="145" t="str">
        <f ca="1">IF($A355="","",IFERROR(INDEX(Market_Data!$F$21:$F$613,MATCH($A355,Market_Data!$E$21:INDEX(Market_Data!$E$21:$E$613,COUNT(Market_Data!$E$21:$E$613)),1)),""))</f>
        <v/>
      </c>
      <c r="D355" s="145" t="str">
        <f ca="1">IF($A355="","",IFERROR(INDEX(Market_Data!$I$21:$I$613,MATCH($A355,Market_Data!$H$21:INDEX(Market_Data!$H$21:$H$613,COUNT(Market_Data!$H$21:$H$613)),1)),""))</f>
        <v/>
      </c>
      <c r="E355" s="145" t="str">
        <f ca="1">IF($A355="","",IFERROR(INDEX(Market_Data!$L$21:$L$613,MATCH($A355,Market_Data!$K$21:INDEX(Market_Data!$K$21:$K$613,COUNT(Market_Data!$K$21:$K$613)),1)),""))</f>
        <v/>
      </c>
      <c r="F355" s="145" t="str">
        <f ca="1">IF($A355="","",IFERROR(INDEX(Market_Data!$O$21:$O$613,MATCH($A355,Market_Data!$N$21:INDEX(Market_Data!$N$21:$N$613,COUNT(Market_Data!$N$21:$N$613)),1)),""))</f>
        <v/>
      </c>
      <c r="G355" s="145" t="str">
        <f ca="1">IF($A355="","",IFERROR(INDEX(Market_Data!$R$21:$R$613,MATCH($A355,Market_Data!$Q$21:INDEX(Market_Data!$Q$21:$Q$613,COUNT(Market_Data!$Q$21:$Q$613)),1)),""))</f>
        <v/>
      </c>
      <c r="H355" s="145" t="str">
        <f ca="1">IF($A355="","",IFERROR(INDEX(Market_Data!$U$21:$U$613,MATCH($A355,Market_Data!$T$21:INDEX(Market_Data!$T$21:$T$613,COUNT(Market_Data!$T$21:$T$613)),1)),""))</f>
        <v/>
      </c>
      <c r="I355" s="146" t="str">
        <f ca="1">IF($A355="","",IFERROR(INDEX(Query1[Close],MATCH($A355,Query1[Date],1)),""))</f>
        <v/>
      </c>
    </row>
    <row r="356" spans="1:9" x14ac:dyDescent="0.3">
      <c r="A356" s="144" t="str">
        <f t="shared" ca="1" si="7"/>
        <v/>
      </c>
      <c r="B356" s="145" t="str">
        <f ca="1">IF($A356="","",IFERROR(INDEX(Market_Data!$C$21:$C$613,MATCH($A356,Market_Data!$B$21:INDEX(Market_Data!$B$21:$B$613,COUNT(Market_Data!$B$21:$B$613)),1)),""))</f>
        <v/>
      </c>
      <c r="C356" s="145" t="str">
        <f ca="1">IF($A356="","",IFERROR(INDEX(Market_Data!$F$21:$F$613,MATCH($A356,Market_Data!$E$21:INDEX(Market_Data!$E$21:$E$613,COUNT(Market_Data!$E$21:$E$613)),1)),""))</f>
        <v/>
      </c>
      <c r="D356" s="145" t="str">
        <f ca="1">IF($A356="","",IFERROR(INDEX(Market_Data!$I$21:$I$613,MATCH($A356,Market_Data!$H$21:INDEX(Market_Data!$H$21:$H$613,COUNT(Market_Data!$H$21:$H$613)),1)),""))</f>
        <v/>
      </c>
      <c r="E356" s="145" t="str">
        <f ca="1">IF($A356="","",IFERROR(INDEX(Market_Data!$L$21:$L$613,MATCH($A356,Market_Data!$K$21:INDEX(Market_Data!$K$21:$K$613,COUNT(Market_Data!$K$21:$K$613)),1)),""))</f>
        <v/>
      </c>
      <c r="F356" s="145" t="str">
        <f ca="1">IF($A356="","",IFERROR(INDEX(Market_Data!$O$21:$O$613,MATCH($A356,Market_Data!$N$21:INDEX(Market_Data!$N$21:$N$613,COUNT(Market_Data!$N$21:$N$613)),1)),""))</f>
        <v/>
      </c>
      <c r="G356" s="145" t="str">
        <f ca="1">IF($A356="","",IFERROR(INDEX(Market_Data!$R$21:$R$613,MATCH($A356,Market_Data!$Q$21:INDEX(Market_Data!$Q$21:$Q$613,COUNT(Market_Data!$Q$21:$Q$613)),1)),""))</f>
        <v/>
      </c>
      <c r="H356" s="145" t="str">
        <f ca="1">IF($A356="","",IFERROR(INDEX(Market_Data!$U$21:$U$613,MATCH($A356,Market_Data!$T$21:INDEX(Market_Data!$T$21:$T$613,COUNT(Market_Data!$T$21:$T$613)),1)),""))</f>
        <v/>
      </c>
      <c r="I356" s="146" t="str">
        <f ca="1">IF($A356="","",IFERROR(INDEX(Query1[Close],MATCH($A356,Query1[Date],1)),""))</f>
        <v/>
      </c>
    </row>
    <row r="357" spans="1:9" x14ac:dyDescent="0.3">
      <c r="A357" s="144" t="str">
        <f t="shared" ca="1" si="7"/>
        <v/>
      </c>
      <c r="B357" s="145" t="str">
        <f ca="1">IF($A357="","",IFERROR(INDEX(Market_Data!$C$21:$C$613,MATCH($A357,Market_Data!$B$21:INDEX(Market_Data!$B$21:$B$613,COUNT(Market_Data!$B$21:$B$613)),1)),""))</f>
        <v/>
      </c>
      <c r="C357" s="145" t="str">
        <f ca="1">IF($A357="","",IFERROR(INDEX(Market_Data!$F$21:$F$613,MATCH($A357,Market_Data!$E$21:INDEX(Market_Data!$E$21:$E$613,COUNT(Market_Data!$E$21:$E$613)),1)),""))</f>
        <v/>
      </c>
      <c r="D357" s="145" t="str">
        <f ca="1">IF($A357="","",IFERROR(INDEX(Market_Data!$I$21:$I$613,MATCH($A357,Market_Data!$H$21:INDEX(Market_Data!$H$21:$H$613,COUNT(Market_Data!$H$21:$H$613)),1)),""))</f>
        <v/>
      </c>
      <c r="E357" s="145" t="str">
        <f ca="1">IF($A357="","",IFERROR(INDEX(Market_Data!$L$21:$L$613,MATCH($A357,Market_Data!$K$21:INDEX(Market_Data!$K$21:$K$613,COUNT(Market_Data!$K$21:$K$613)),1)),""))</f>
        <v/>
      </c>
      <c r="F357" s="145" t="str">
        <f ca="1">IF($A357="","",IFERROR(INDEX(Market_Data!$O$21:$O$613,MATCH($A357,Market_Data!$N$21:INDEX(Market_Data!$N$21:$N$613,COUNT(Market_Data!$N$21:$N$613)),1)),""))</f>
        <v/>
      </c>
      <c r="G357" s="145" t="str">
        <f ca="1">IF($A357="","",IFERROR(INDEX(Market_Data!$R$21:$R$613,MATCH($A357,Market_Data!$Q$21:INDEX(Market_Data!$Q$21:$Q$613,COUNT(Market_Data!$Q$21:$Q$613)),1)),""))</f>
        <v/>
      </c>
      <c r="H357" s="145" t="str">
        <f ca="1">IF($A357="","",IFERROR(INDEX(Market_Data!$U$21:$U$613,MATCH($A357,Market_Data!$T$21:INDEX(Market_Data!$T$21:$T$613,COUNT(Market_Data!$T$21:$T$613)),1)),""))</f>
        <v/>
      </c>
      <c r="I357" s="146" t="str">
        <f ca="1">IF($A357="","",IFERROR(INDEX(Query1[Close],MATCH($A357,Query1[Date],1)),""))</f>
        <v/>
      </c>
    </row>
    <row r="358" spans="1:9" x14ac:dyDescent="0.3">
      <c r="A358" s="144" t="str">
        <f t="shared" ca="1" si="7"/>
        <v/>
      </c>
      <c r="B358" s="145" t="str">
        <f ca="1">IF($A358="","",IFERROR(INDEX(Market_Data!$C$21:$C$613,MATCH($A358,Market_Data!$B$21:INDEX(Market_Data!$B$21:$B$613,COUNT(Market_Data!$B$21:$B$613)),1)),""))</f>
        <v/>
      </c>
      <c r="C358" s="145" t="str">
        <f ca="1">IF($A358="","",IFERROR(INDEX(Market_Data!$F$21:$F$613,MATCH($A358,Market_Data!$E$21:INDEX(Market_Data!$E$21:$E$613,COUNT(Market_Data!$E$21:$E$613)),1)),""))</f>
        <v/>
      </c>
      <c r="D358" s="145" t="str">
        <f ca="1">IF($A358="","",IFERROR(INDEX(Market_Data!$I$21:$I$613,MATCH($A358,Market_Data!$H$21:INDEX(Market_Data!$H$21:$H$613,COUNT(Market_Data!$H$21:$H$613)),1)),""))</f>
        <v/>
      </c>
      <c r="E358" s="145" t="str">
        <f ca="1">IF($A358="","",IFERROR(INDEX(Market_Data!$L$21:$L$613,MATCH($A358,Market_Data!$K$21:INDEX(Market_Data!$K$21:$K$613,COUNT(Market_Data!$K$21:$K$613)),1)),""))</f>
        <v/>
      </c>
      <c r="F358" s="145" t="str">
        <f ca="1">IF($A358="","",IFERROR(INDEX(Market_Data!$O$21:$O$613,MATCH($A358,Market_Data!$N$21:INDEX(Market_Data!$N$21:$N$613,COUNT(Market_Data!$N$21:$N$613)),1)),""))</f>
        <v/>
      </c>
      <c r="G358" s="145" t="str">
        <f ca="1">IF($A358="","",IFERROR(INDEX(Market_Data!$R$21:$R$613,MATCH($A358,Market_Data!$Q$21:INDEX(Market_Data!$Q$21:$Q$613,COUNT(Market_Data!$Q$21:$Q$613)),1)),""))</f>
        <v/>
      </c>
      <c r="H358" s="145" t="str">
        <f ca="1">IF($A358="","",IFERROR(INDEX(Market_Data!$U$21:$U$613,MATCH($A358,Market_Data!$T$21:INDEX(Market_Data!$T$21:$T$613,COUNT(Market_Data!$T$21:$T$613)),1)),""))</f>
        <v/>
      </c>
      <c r="I358" s="146" t="str">
        <f ca="1">IF($A358="","",IFERROR(INDEX(Query1[Close],MATCH($A358,Query1[Date],1)),""))</f>
        <v/>
      </c>
    </row>
    <row r="359" spans="1:9" x14ac:dyDescent="0.3">
      <c r="A359" s="144" t="str">
        <f t="shared" ca="1" si="7"/>
        <v/>
      </c>
      <c r="B359" s="145" t="str">
        <f ca="1">IF($A359="","",IFERROR(INDEX(Market_Data!$C$21:$C$613,MATCH($A359,Market_Data!$B$21:INDEX(Market_Data!$B$21:$B$613,COUNT(Market_Data!$B$21:$B$613)),1)),""))</f>
        <v/>
      </c>
      <c r="C359" s="145" t="str">
        <f ca="1">IF($A359="","",IFERROR(INDEX(Market_Data!$F$21:$F$613,MATCH($A359,Market_Data!$E$21:INDEX(Market_Data!$E$21:$E$613,COUNT(Market_Data!$E$21:$E$613)),1)),""))</f>
        <v/>
      </c>
      <c r="D359" s="145" t="str">
        <f ca="1">IF($A359="","",IFERROR(INDEX(Market_Data!$I$21:$I$613,MATCH($A359,Market_Data!$H$21:INDEX(Market_Data!$H$21:$H$613,COUNT(Market_Data!$H$21:$H$613)),1)),""))</f>
        <v/>
      </c>
      <c r="E359" s="145" t="str">
        <f ca="1">IF($A359="","",IFERROR(INDEX(Market_Data!$L$21:$L$613,MATCH($A359,Market_Data!$K$21:INDEX(Market_Data!$K$21:$K$613,COUNT(Market_Data!$K$21:$K$613)),1)),""))</f>
        <v/>
      </c>
      <c r="F359" s="145" t="str">
        <f ca="1">IF($A359="","",IFERROR(INDEX(Market_Data!$O$21:$O$613,MATCH($A359,Market_Data!$N$21:INDEX(Market_Data!$N$21:$N$613,COUNT(Market_Data!$N$21:$N$613)),1)),""))</f>
        <v/>
      </c>
      <c r="G359" s="145" t="str">
        <f ca="1">IF($A359="","",IFERROR(INDEX(Market_Data!$R$21:$R$613,MATCH($A359,Market_Data!$Q$21:INDEX(Market_Data!$Q$21:$Q$613,COUNT(Market_Data!$Q$21:$Q$613)),1)),""))</f>
        <v/>
      </c>
      <c r="H359" s="145" t="str">
        <f ca="1">IF($A359="","",IFERROR(INDEX(Market_Data!$U$21:$U$613,MATCH($A359,Market_Data!$T$21:INDEX(Market_Data!$T$21:$T$613,COUNT(Market_Data!$T$21:$T$613)),1)),""))</f>
        <v/>
      </c>
      <c r="I359" s="146" t="str">
        <f ca="1">IF($A359="","",IFERROR(INDEX(Query1[Close],MATCH($A359,Query1[Date],1)),""))</f>
        <v/>
      </c>
    </row>
    <row r="360" spans="1:9" x14ac:dyDescent="0.3">
      <c r="A360" s="144" t="str">
        <f t="shared" ca="1" si="7"/>
        <v/>
      </c>
      <c r="B360" s="145" t="str">
        <f ca="1">IF($A360="","",IFERROR(INDEX(Market_Data!$C$21:$C$613,MATCH($A360,Market_Data!$B$21:INDEX(Market_Data!$B$21:$B$613,COUNT(Market_Data!$B$21:$B$613)),1)),""))</f>
        <v/>
      </c>
      <c r="C360" s="145" t="str">
        <f ca="1">IF($A360="","",IFERROR(INDEX(Market_Data!$F$21:$F$613,MATCH($A360,Market_Data!$E$21:INDEX(Market_Data!$E$21:$E$613,COUNT(Market_Data!$E$21:$E$613)),1)),""))</f>
        <v/>
      </c>
      <c r="D360" s="145" t="str">
        <f ca="1">IF($A360="","",IFERROR(INDEX(Market_Data!$I$21:$I$613,MATCH($A360,Market_Data!$H$21:INDEX(Market_Data!$H$21:$H$613,COUNT(Market_Data!$H$21:$H$613)),1)),""))</f>
        <v/>
      </c>
      <c r="E360" s="145" t="str">
        <f ca="1">IF($A360="","",IFERROR(INDEX(Market_Data!$L$21:$L$613,MATCH($A360,Market_Data!$K$21:INDEX(Market_Data!$K$21:$K$613,COUNT(Market_Data!$K$21:$K$613)),1)),""))</f>
        <v/>
      </c>
      <c r="F360" s="145" t="str">
        <f ca="1">IF($A360="","",IFERROR(INDEX(Market_Data!$O$21:$O$613,MATCH($A360,Market_Data!$N$21:INDEX(Market_Data!$N$21:$N$613,COUNT(Market_Data!$N$21:$N$613)),1)),""))</f>
        <v/>
      </c>
      <c r="G360" s="145" t="str">
        <f ca="1">IF($A360="","",IFERROR(INDEX(Market_Data!$R$21:$R$613,MATCH($A360,Market_Data!$Q$21:INDEX(Market_Data!$Q$21:$Q$613,COUNT(Market_Data!$Q$21:$Q$613)),1)),""))</f>
        <v/>
      </c>
      <c r="H360" s="145" t="str">
        <f ca="1">IF($A360="","",IFERROR(INDEX(Market_Data!$U$21:$U$613,MATCH($A360,Market_Data!$T$21:INDEX(Market_Data!$T$21:$T$613,COUNT(Market_Data!$T$21:$T$613)),1)),""))</f>
        <v/>
      </c>
      <c r="I360" s="146" t="str">
        <f ca="1">IF($A360="","",IFERROR(INDEX(Query1[Close],MATCH($A360,Query1[Date],1)),""))</f>
        <v/>
      </c>
    </row>
    <row r="361" spans="1:9" x14ac:dyDescent="0.3">
      <c r="A361" s="144" t="str">
        <f t="shared" ca="1" si="7"/>
        <v/>
      </c>
      <c r="B361" s="145" t="str">
        <f ca="1">IF($A361="","",IFERROR(INDEX(Market_Data!$C$21:$C$613,MATCH($A361,Market_Data!$B$21:INDEX(Market_Data!$B$21:$B$613,COUNT(Market_Data!$B$21:$B$613)),1)),""))</f>
        <v/>
      </c>
      <c r="C361" s="145" t="str">
        <f ca="1">IF($A361="","",IFERROR(INDEX(Market_Data!$F$21:$F$613,MATCH($A361,Market_Data!$E$21:INDEX(Market_Data!$E$21:$E$613,COUNT(Market_Data!$E$21:$E$613)),1)),""))</f>
        <v/>
      </c>
      <c r="D361" s="145" t="str">
        <f ca="1">IF($A361="","",IFERROR(INDEX(Market_Data!$I$21:$I$613,MATCH($A361,Market_Data!$H$21:INDEX(Market_Data!$H$21:$H$613,COUNT(Market_Data!$H$21:$H$613)),1)),""))</f>
        <v/>
      </c>
      <c r="E361" s="145" t="str">
        <f ca="1">IF($A361="","",IFERROR(INDEX(Market_Data!$L$21:$L$613,MATCH($A361,Market_Data!$K$21:INDEX(Market_Data!$K$21:$K$613,COUNT(Market_Data!$K$21:$K$613)),1)),""))</f>
        <v/>
      </c>
      <c r="F361" s="145" t="str">
        <f ca="1">IF($A361="","",IFERROR(INDEX(Market_Data!$O$21:$O$613,MATCH($A361,Market_Data!$N$21:INDEX(Market_Data!$N$21:$N$613,COUNT(Market_Data!$N$21:$N$613)),1)),""))</f>
        <v/>
      </c>
      <c r="G361" s="145" t="str">
        <f ca="1">IF($A361="","",IFERROR(INDEX(Market_Data!$R$21:$R$613,MATCH($A361,Market_Data!$Q$21:INDEX(Market_Data!$Q$21:$Q$613,COUNT(Market_Data!$Q$21:$Q$613)),1)),""))</f>
        <v/>
      </c>
      <c r="H361" s="145" t="str">
        <f ca="1">IF($A361="","",IFERROR(INDEX(Market_Data!$U$21:$U$613,MATCH($A361,Market_Data!$T$21:INDEX(Market_Data!$T$21:$T$613,COUNT(Market_Data!$T$21:$T$613)),1)),""))</f>
        <v/>
      </c>
      <c r="I361" s="146" t="str">
        <f ca="1">IF($A361="","",IFERROR(INDEX(Query1[Close],MATCH($A361,Query1[Date],1)),""))</f>
        <v/>
      </c>
    </row>
    <row r="362" spans="1:9" x14ac:dyDescent="0.3">
      <c r="A362" s="144" t="str">
        <f t="shared" ca="1" si="7"/>
        <v/>
      </c>
      <c r="B362" s="145" t="str">
        <f ca="1">IF($A362="","",IFERROR(INDEX(Market_Data!$C$21:$C$613,MATCH($A362,Market_Data!$B$21:INDEX(Market_Data!$B$21:$B$613,COUNT(Market_Data!$B$21:$B$613)),1)),""))</f>
        <v/>
      </c>
      <c r="C362" s="145" t="str">
        <f ca="1">IF($A362="","",IFERROR(INDEX(Market_Data!$F$21:$F$613,MATCH($A362,Market_Data!$E$21:INDEX(Market_Data!$E$21:$E$613,COUNT(Market_Data!$E$21:$E$613)),1)),""))</f>
        <v/>
      </c>
      <c r="D362" s="145" t="str">
        <f ca="1">IF($A362="","",IFERROR(INDEX(Market_Data!$I$21:$I$613,MATCH($A362,Market_Data!$H$21:INDEX(Market_Data!$H$21:$H$613,COUNT(Market_Data!$H$21:$H$613)),1)),""))</f>
        <v/>
      </c>
      <c r="E362" s="145" t="str">
        <f ca="1">IF($A362="","",IFERROR(INDEX(Market_Data!$L$21:$L$613,MATCH($A362,Market_Data!$K$21:INDEX(Market_Data!$K$21:$K$613,COUNT(Market_Data!$K$21:$K$613)),1)),""))</f>
        <v/>
      </c>
      <c r="F362" s="145" t="str">
        <f ca="1">IF($A362="","",IFERROR(INDEX(Market_Data!$O$21:$O$613,MATCH($A362,Market_Data!$N$21:INDEX(Market_Data!$N$21:$N$613,COUNT(Market_Data!$N$21:$N$613)),1)),""))</f>
        <v/>
      </c>
      <c r="G362" s="145" t="str">
        <f ca="1">IF($A362="","",IFERROR(INDEX(Market_Data!$R$21:$R$613,MATCH($A362,Market_Data!$Q$21:INDEX(Market_Data!$Q$21:$Q$613,COUNT(Market_Data!$Q$21:$Q$613)),1)),""))</f>
        <v/>
      </c>
      <c r="H362" s="145" t="str">
        <f ca="1">IF($A362="","",IFERROR(INDEX(Market_Data!$U$21:$U$613,MATCH($A362,Market_Data!$T$21:INDEX(Market_Data!$T$21:$T$613,COUNT(Market_Data!$T$21:$T$613)),1)),""))</f>
        <v/>
      </c>
      <c r="I362" s="146" t="str">
        <f ca="1">IF($A362="","",IFERROR(INDEX(Query1[Close],MATCH($A362,Query1[Date],1)),""))</f>
        <v/>
      </c>
    </row>
    <row r="363" spans="1:9" x14ac:dyDescent="0.3">
      <c r="A363" s="144" t="str">
        <f t="shared" ca="1" si="7"/>
        <v/>
      </c>
      <c r="B363" s="145" t="str">
        <f ca="1">IF($A363="","",IFERROR(INDEX(Market_Data!$C$21:$C$613,MATCH($A363,Market_Data!$B$21:INDEX(Market_Data!$B$21:$B$613,COUNT(Market_Data!$B$21:$B$613)),1)),""))</f>
        <v/>
      </c>
      <c r="C363" s="145" t="str">
        <f ca="1">IF($A363="","",IFERROR(INDEX(Market_Data!$F$21:$F$613,MATCH($A363,Market_Data!$E$21:INDEX(Market_Data!$E$21:$E$613,COUNT(Market_Data!$E$21:$E$613)),1)),""))</f>
        <v/>
      </c>
      <c r="D363" s="145" t="str">
        <f ca="1">IF($A363="","",IFERROR(INDEX(Market_Data!$I$21:$I$613,MATCH($A363,Market_Data!$H$21:INDEX(Market_Data!$H$21:$H$613,COUNT(Market_Data!$H$21:$H$613)),1)),""))</f>
        <v/>
      </c>
      <c r="E363" s="145" t="str">
        <f ca="1">IF($A363="","",IFERROR(INDEX(Market_Data!$L$21:$L$613,MATCH($A363,Market_Data!$K$21:INDEX(Market_Data!$K$21:$K$613,COUNT(Market_Data!$K$21:$K$613)),1)),""))</f>
        <v/>
      </c>
      <c r="F363" s="145" t="str">
        <f ca="1">IF($A363="","",IFERROR(INDEX(Market_Data!$O$21:$O$613,MATCH($A363,Market_Data!$N$21:INDEX(Market_Data!$N$21:$N$613,COUNT(Market_Data!$N$21:$N$613)),1)),""))</f>
        <v/>
      </c>
      <c r="G363" s="145" t="str">
        <f ca="1">IF($A363="","",IFERROR(INDEX(Market_Data!$R$21:$R$613,MATCH($A363,Market_Data!$Q$21:INDEX(Market_Data!$Q$21:$Q$613,COUNT(Market_Data!$Q$21:$Q$613)),1)),""))</f>
        <v/>
      </c>
      <c r="H363" s="145" t="str">
        <f ca="1">IF($A363="","",IFERROR(INDEX(Market_Data!$U$21:$U$613,MATCH($A363,Market_Data!$T$21:INDEX(Market_Data!$T$21:$T$613,COUNT(Market_Data!$T$21:$T$613)),1)),""))</f>
        <v/>
      </c>
      <c r="I363" s="146" t="str">
        <f ca="1">IF($A363="","",IFERROR(INDEX(Query1[Close],MATCH($A363,Query1[Date],1)),""))</f>
        <v/>
      </c>
    </row>
    <row r="364" spans="1:9" x14ac:dyDescent="0.3">
      <c r="A364" s="144" t="str">
        <f t="shared" ca="1" si="7"/>
        <v/>
      </c>
      <c r="B364" s="145" t="str">
        <f ca="1">IF($A364="","",IFERROR(INDEX(Market_Data!$C$21:$C$613,MATCH($A364,Market_Data!$B$21:INDEX(Market_Data!$B$21:$B$613,COUNT(Market_Data!$B$21:$B$613)),1)),""))</f>
        <v/>
      </c>
      <c r="C364" s="145" t="str">
        <f ca="1">IF($A364="","",IFERROR(INDEX(Market_Data!$F$21:$F$613,MATCH($A364,Market_Data!$E$21:INDEX(Market_Data!$E$21:$E$613,COUNT(Market_Data!$E$21:$E$613)),1)),""))</f>
        <v/>
      </c>
      <c r="D364" s="145" t="str">
        <f ca="1">IF($A364="","",IFERROR(INDEX(Market_Data!$I$21:$I$613,MATCH($A364,Market_Data!$H$21:INDEX(Market_Data!$H$21:$H$613,COUNT(Market_Data!$H$21:$H$613)),1)),""))</f>
        <v/>
      </c>
      <c r="E364" s="145" t="str">
        <f ca="1">IF($A364="","",IFERROR(INDEX(Market_Data!$L$21:$L$613,MATCH($A364,Market_Data!$K$21:INDEX(Market_Data!$K$21:$K$613,COUNT(Market_Data!$K$21:$K$613)),1)),""))</f>
        <v/>
      </c>
      <c r="F364" s="145" t="str">
        <f ca="1">IF($A364="","",IFERROR(INDEX(Market_Data!$O$21:$O$613,MATCH($A364,Market_Data!$N$21:INDEX(Market_Data!$N$21:$N$613,COUNT(Market_Data!$N$21:$N$613)),1)),""))</f>
        <v/>
      </c>
      <c r="G364" s="145" t="str">
        <f ca="1">IF($A364="","",IFERROR(INDEX(Market_Data!$R$21:$R$613,MATCH($A364,Market_Data!$Q$21:INDEX(Market_Data!$Q$21:$Q$613,COUNT(Market_Data!$Q$21:$Q$613)),1)),""))</f>
        <v/>
      </c>
      <c r="H364" s="145" t="str">
        <f ca="1">IF($A364="","",IFERROR(INDEX(Market_Data!$U$21:$U$613,MATCH($A364,Market_Data!$T$21:INDEX(Market_Data!$T$21:$T$613,COUNT(Market_Data!$T$21:$T$613)),1)),""))</f>
        <v/>
      </c>
      <c r="I364" s="146" t="str">
        <f ca="1">IF($A364="","",IFERROR(INDEX(Query1[Close],MATCH($A364,Query1[Date],1)),""))</f>
        <v/>
      </c>
    </row>
    <row r="365" spans="1:9" x14ac:dyDescent="0.3">
      <c r="A365" s="144" t="str">
        <f t="shared" ca="1" si="7"/>
        <v/>
      </c>
      <c r="B365" s="145" t="str">
        <f ca="1">IF($A365="","",IFERROR(INDEX(Market_Data!$C$21:$C$613,MATCH($A365,Market_Data!$B$21:INDEX(Market_Data!$B$21:$B$613,COUNT(Market_Data!$B$21:$B$613)),1)),""))</f>
        <v/>
      </c>
      <c r="C365" s="145" t="str">
        <f ca="1">IF($A365="","",IFERROR(INDEX(Market_Data!$F$21:$F$613,MATCH($A365,Market_Data!$E$21:INDEX(Market_Data!$E$21:$E$613,COUNT(Market_Data!$E$21:$E$613)),1)),""))</f>
        <v/>
      </c>
      <c r="D365" s="145" t="str">
        <f ca="1">IF($A365="","",IFERROR(INDEX(Market_Data!$I$21:$I$613,MATCH($A365,Market_Data!$H$21:INDEX(Market_Data!$H$21:$H$613,COUNT(Market_Data!$H$21:$H$613)),1)),""))</f>
        <v/>
      </c>
      <c r="E365" s="145" t="str">
        <f ca="1">IF($A365="","",IFERROR(INDEX(Market_Data!$L$21:$L$613,MATCH($A365,Market_Data!$K$21:INDEX(Market_Data!$K$21:$K$613,COUNT(Market_Data!$K$21:$K$613)),1)),""))</f>
        <v/>
      </c>
      <c r="F365" s="145" t="str">
        <f ca="1">IF($A365="","",IFERROR(INDEX(Market_Data!$O$21:$O$613,MATCH($A365,Market_Data!$N$21:INDEX(Market_Data!$N$21:$N$613,COUNT(Market_Data!$N$21:$N$613)),1)),""))</f>
        <v/>
      </c>
      <c r="G365" s="145" t="str">
        <f ca="1">IF($A365="","",IFERROR(INDEX(Market_Data!$R$21:$R$613,MATCH($A365,Market_Data!$Q$21:INDEX(Market_Data!$Q$21:$Q$613,COUNT(Market_Data!$Q$21:$Q$613)),1)),""))</f>
        <v/>
      </c>
      <c r="H365" s="145" t="str">
        <f ca="1">IF($A365="","",IFERROR(INDEX(Market_Data!$U$21:$U$613,MATCH($A365,Market_Data!$T$21:INDEX(Market_Data!$T$21:$T$613,COUNT(Market_Data!$T$21:$T$613)),1)),""))</f>
        <v/>
      </c>
      <c r="I365" s="146" t="str">
        <f ca="1">IF($A365="","",IFERROR(INDEX(Query1[Close],MATCH($A365,Query1[Date],1)),""))</f>
        <v/>
      </c>
    </row>
    <row r="366" spans="1:9" x14ac:dyDescent="0.3">
      <c r="A366" s="144" t="str">
        <f t="shared" ca="1" si="7"/>
        <v/>
      </c>
      <c r="B366" s="145" t="str">
        <f ca="1">IF($A366="","",IFERROR(INDEX(Market_Data!$C$21:$C$613,MATCH($A366,Market_Data!$B$21:INDEX(Market_Data!$B$21:$B$613,COUNT(Market_Data!$B$21:$B$613)),1)),""))</f>
        <v/>
      </c>
      <c r="C366" s="145" t="str">
        <f ca="1">IF($A366="","",IFERROR(INDEX(Market_Data!$F$21:$F$613,MATCH($A366,Market_Data!$E$21:INDEX(Market_Data!$E$21:$E$613,COUNT(Market_Data!$E$21:$E$613)),1)),""))</f>
        <v/>
      </c>
      <c r="D366" s="145" t="str">
        <f ca="1">IF($A366="","",IFERROR(INDEX(Market_Data!$I$21:$I$613,MATCH($A366,Market_Data!$H$21:INDEX(Market_Data!$H$21:$H$613,COUNT(Market_Data!$H$21:$H$613)),1)),""))</f>
        <v/>
      </c>
      <c r="E366" s="145" t="str">
        <f ca="1">IF($A366="","",IFERROR(INDEX(Market_Data!$L$21:$L$613,MATCH($A366,Market_Data!$K$21:INDEX(Market_Data!$K$21:$K$613,COUNT(Market_Data!$K$21:$K$613)),1)),""))</f>
        <v/>
      </c>
      <c r="F366" s="145" t="str">
        <f ca="1">IF($A366="","",IFERROR(INDEX(Market_Data!$O$21:$O$613,MATCH($A366,Market_Data!$N$21:INDEX(Market_Data!$N$21:$N$613,COUNT(Market_Data!$N$21:$N$613)),1)),""))</f>
        <v/>
      </c>
      <c r="G366" s="145" t="str">
        <f ca="1">IF($A366="","",IFERROR(INDEX(Market_Data!$R$21:$R$613,MATCH($A366,Market_Data!$Q$21:INDEX(Market_Data!$Q$21:$Q$613,COUNT(Market_Data!$Q$21:$Q$613)),1)),""))</f>
        <v/>
      </c>
      <c r="H366" s="145" t="str">
        <f ca="1">IF($A366="","",IFERROR(INDEX(Market_Data!$U$21:$U$613,MATCH($A366,Market_Data!$T$21:INDEX(Market_Data!$T$21:$T$613,COUNT(Market_Data!$T$21:$T$613)),1)),""))</f>
        <v/>
      </c>
      <c r="I366" s="146" t="str">
        <f ca="1">IF($A366="","",IFERROR(INDEX(Query1[Close],MATCH($A366,Query1[Date],1)),""))</f>
        <v/>
      </c>
    </row>
    <row r="367" spans="1:9" x14ac:dyDescent="0.3">
      <c r="A367" s="144" t="str">
        <f t="shared" ca="1" si="7"/>
        <v/>
      </c>
      <c r="B367" s="145" t="str">
        <f ca="1">IF($A367="","",IFERROR(INDEX(Market_Data!$C$21:$C$613,MATCH($A367,Market_Data!$B$21:INDEX(Market_Data!$B$21:$B$613,COUNT(Market_Data!$B$21:$B$613)),1)),""))</f>
        <v/>
      </c>
      <c r="C367" s="145" t="str">
        <f ca="1">IF($A367="","",IFERROR(INDEX(Market_Data!$F$21:$F$613,MATCH($A367,Market_Data!$E$21:INDEX(Market_Data!$E$21:$E$613,COUNT(Market_Data!$E$21:$E$613)),1)),""))</f>
        <v/>
      </c>
      <c r="D367" s="145" t="str">
        <f ca="1">IF($A367="","",IFERROR(INDEX(Market_Data!$I$21:$I$613,MATCH($A367,Market_Data!$H$21:INDEX(Market_Data!$H$21:$H$613,COUNT(Market_Data!$H$21:$H$613)),1)),""))</f>
        <v/>
      </c>
      <c r="E367" s="145" t="str">
        <f ca="1">IF($A367="","",IFERROR(INDEX(Market_Data!$L$21:$L$613,MATCH($A367,Market_Data!$K$21:INDEX(Market_Data!$K$21:$K$613,COUNT(Market_Data!$K$21:$K$613)),1)),""))</f>
        <v/>
      </c>
      <c r="F367" s="145" t="str">
        <f ca="1">IF($A367="","",IFERROR(INDEX(Market_Data!$O$21:$O$613,MATCH($A367,Market_Data!$N$21:INDEX(Market_Data!$N$21:$N$613,COUNT(Market_Data!$N$21:$N$613)),1)),""))</f>
        <v/>
      </c>
      <c r="G367" s="145" t="str">
        <f ca="1">IF($A367="","",IFERROR(INDEX(Market_Data!$R$21:$R$613,MATCH($A367,Market_Data!$Q$21:INDEX(Market_Data!$Q$21:$Q$613,COUNT(Market_Data!$Q$21:$Q$613)),1)),""))</f>
        <v/>
      </c>
      <c r="H367" s="145" t="str">
        <f ca="1">IF($A367="","",IFERROR(INDEX(Market_Data!$U$21:$U$613,MATCH($A367,Market_Data!$T$21:INDEX(Market_Data!$T$21:$T$613,COUNT(Market_Data!$T$21:$T$613)),1)),""))</f>
        <v/>
      </c>
      <c r="I367" s="146" t="str">
        <f ca="1">IF($A367="","",IFERROR(INDEX(Query1[Close],MATCH($A367,Query1[Date],1)),""))</f>
        <v/>
      </c>
    </row>
    <row r="368" spans="1:9" x14ac:dyDescent="0.3">
      <c r="A368" s="144" t="str">
        <f t="shared" ca="1" si="7"/>
        <v/>
      </c>
      <c r="B368" s="145" t="str">
        <f ca="1">IF($A368="","",IFERROR(INDEX(Market_Data!$C$21:$C$613,MATCH($A368,Market_Data!$B$21:INDEX(Market_Data!$B$21:$B$613,COUNT(Market_Data!$B$21:$B$613)),1)),""))</f>
        <v/>
      </c>
      <c r="C368" s="145" t="str">
        <f ca="1">IF($A368="","",IFERROR(INDEX(Market_Data!$F$21:$F$613,MATCH($A368,Market_Data!$E$21:INDEX(Market_Data!$E$21:$E$613,COUNT(Market_Data!$E$21:$E$613)),1)),""))</f>
        <v/>
      </c>
      <c r="D368" s="145" t="str">
        <f ca="1">IF($A368="","",IFERROR(INDEX(Market_Data!$I$21:$I$613,MATCH($A368,Market_Data!$H$21:INDEX(Market_Data!$H$21:$H$613,COUNT(Market_Data!$H$21:$H$613)),1)),""))</f>
        <v/>
      </c>
      <c r="E368" s="145" t="str">
        <f ca="1">IF($A368="","",IFERROR(INDEX(Market_Data!$L$21:$L$613,MATCH($A368,Market_Data!$K$21:INDEX(Market_Data!$K$21:$K$613,COUNT(Market_Data!$K$21:$K$613)),1)),""))</f>
        <v/>
      </c>
      <c r="F368" s="145" t="str">
        <f ca="1">IF($A368="","",IFERROR(INDEX(Market_Data!$O$21:$O$613,MATCH($A368,Market_Data!$N$21:INDEX(Market_Data!$N$21:$N$613,COUNT(Market_Data!$N$21:$N$613)),1)),""))</f>
        <v/>
      </c>
      <c r="G368" s="145" t="str">
        <f ca="1">IF($A368="","",IFERROR(INDEX(Market_Data!$R$21:$R$613,MATCH($A368,Market_Data!$Q$21:INDEX(Market_Data!$Q$21:$Q$613,COUNT(Market_Data!$Q$21:$Q$613)),1)),""))</f>
        <v/>
      </c>
      <c r="H368" s="145" t="str">
        <f ca="1">IF($A368="","",IFERROR(INDEX(Market_Data!$U$21:$U$613,MATCH($A368,Market_Data!$T$21:INDEX(Market_Data!$T$21:$T$613,COUNT(Market_Data!$T$21:$T$613)),1)),""))</f>
        <v/>
      </c>
      <c r="I368" s="146" t="str">
        <f ca="1">IF($A368="","",IFERROR(INDEX(Query1[Close],MATCH($A368,Query1[Date],1)),""))</f>
        <v/>
      </c>
    </row>
    <row r="369" spans="1:9" x14ac:dyDescent="0.3">
      <c r="A369" s="144" t="str">
        <f t="shared" ca="1" si="7"/>
        <v/>
      </c>
      <c r="B369" s="145" t="str">
        <f ca="1">IF($A369="","",IFERROR(INDEX(Market_Data!$C$21:$C$613,MATCH($A369,Market_Data!$B$21:INDEX(Market_Data!$B$21:$B$613,COUNT(Market_Data!$B$21:$B$613)),1)),""))</f>
        <v/>
      </c>
      <c r="C369" s="145" t="str">
        <f ca="1">IF($A369="","",IFERROR(INDEX(Market_Data!$F$21:$F$613,MATCH($A369,Market_Data!$E$21:INDEX(Market_Data!$E$21:$E$613,COUNT(Market_Data!$E$21:$E$613)),1)),""))</f>
        <v/>
      </c>
      <c r="D369" s="145" t="str">
        <f ca="1">IF($A369="","",IFERROR(INDEX(Market_Data!$I$21:$I$613,MATCH($A369,Market_Data!$H$21:INDEX(Market_Data!$H$21:$H$613,COUNT(Market_Data!$H$21:$H$613)),1)),""))</f>
        <v/>
      </c>
      <c r="E369" s="145" t="str">
        <f ca="1">IF($A369="","",IFERROR(INDEX(Market_Data!$L$21:$L$613,MATCH($A369,Market_Data!$K$21:INDEX(Market_Data!$K$21:$K$613,COUNT(Market_Data!$K$21:$K$613)),1)),""))</f>
        <v/>
      </c>
      <c r="F369" s="145" t="str">
        <f ca="1">IF($A369="","",IFERROR(INDEX(Market_Data!$O$21:$O$613,MATCH($A369,Market_Data!$N$21:INDEX(Market_Data!$N$21:$N$613,COUNT(Market_Data!$N$21:$N$613)),1)),""))</f>
        <v/>
      </c>
      <c r="G369" s="145" t="str">
        <f ca="1">IF($A369="","",IFERROR(INDEX(Market_Data!$R$21:$R$613,MATCH($A369,Market_Data!$Q$21:INDEX(Market_Data!$Q$21:$Q$613,COUNT(Market_Data!$Q$21:$Q$613)),1)),""))</f>
        <v/>
      </c>
      <c r="H369" s="145" t="str">
        <f ca="1">IF($A369="","",IFERROR(INDEX(Market_Data!$U$21:$U$613,MATCH($A369,Market_Data!$T$21:INDEX(Market_Data!$T$21:$T$613,COUNT(Market_Data!$T$21:$T$613)),1)),""))</f>
        <v/>
      </c>
      <c r="I369" s="146" t="str">
        <f ca="1">IF($A369="","",IFERROR(INDEX(Query1[Close],MATCH($A369,Query1[Date],1)),""))</f>
        <v/>
      </c>
    </row>
    <row r="370" spans="1:9" x14ac:dyDescent="0.3">
      <c r="A370" s="144" t="str">
        <f t="shared" ca="1" si="7"/>
        <v/>
      </c>
      <c r="B370" s="145" t="str">
        <f ca="1">IF($A370="","",IFERROR(INDEX(Market_Data!$C$21:$C$613,MATCH($A370,Market_Data!$B$21:INDEX(Market_Data!$B$21:$B$613,COUNT(Market_Data!$B$21:$B$613)),1)),""))</f>
        <v/>
      </c>
      <c r="C370" s="145" t="str">
        <f ca="1">IF($A370="","",IFERROR(INDEX(Market_Data!$F$21:$F$613,MATCH($A370,Market_Data!$E$21:INDEX(Market_Data!$E$21:$E$613,COUNT(Market_Data!$E$21:$E$613)),1)),""))</f>
        <v/>
      </c>
      <c r="D370" s="145" t="str">
        <f ca="1">IF($A370="","",IFERROR(INDEX(Market_Data!$I$21:$I$613,MATCH($A370,Market_Data!$H$21:INDEX(Market_Data!$H$21:$H$613,COUNT(Market_Data!$H$21:$H$613)),1)),""))</f>
        <v/>
      </c>
      <c r="E370" s="145" t="str">
        <f ca="1">IF($A370="","",IFERROR(INDEX(Market_Data!$L$21:$L$613,MATCH($A370,Market_Data!$K$21:INDEX(Market_Data!$K$21:$K$613,COUNT(Market_Data!$K$21:$K$613)),1)),""))</f>
        <v/>
      </c>
      <c r="F370" s="145" t="str">
        <f ca="1">IF($A370="","",IFERROR(INDEX(Market_Data!$O$21:$O$613,MATCH($A370,Market_Data!$N$21:INDEX(Market_Data!$N$21:$N$613,COUNT(Market_Data!$N$21:$N$613)),1)),""))</f>
        <v/>
      </c>
      <c r="G370" s="145" t="str">
        <f ca="1">IF($A370="","",IFERROR(INDEX(Market_Data!$R$21:$R$613,MATCH($A370,Market_Data!$Q$21:INDEX(Market_Data!$Q$21:$Q$613,COUNT(Market_Data!$Q$21:$Q$613)),1)),""))</f>
        <v/>
      </c>
      <c r="H370" s="145" t="str">
        <f ca="1">IF($A370="","",IFERROR(INDEX(Market_Data!$U$21:$U$613,MATCH($A370,Market_Data!$T$21:INDEX(Market_Data!$T$21:$T$613,COUNT(Market_Data!$T$21:$T$613)),1)),""))</f>
        <v/>
      </c>
      <c r="I370" s="146" t="str">
        <f ca="1">IF($A370="","",IFERROR(INDEX(Query1[Close],MATCH($A370,Query1[Date],1)),""))</f>
        <v/>
      </c>
    </row>
    <row r="371" spans="1:9" x14ac:dyDescent="0.3">
      <c r="A371" s="144" t="str">
        <f t="shared" ca="1" si="7"/>
        <v/>
      </c>
      <c r="B371" s="145" t="str">
        <f ca="1">IF($A371="","",IFERROR(INDEX(Market_Data!$C$21:$C$613,MATCH($A371,Market_Data!$B$21:INDEX(Market_Data!$B$21:$B$613,COUNT(Market_Data!$B$21:$B$613)),1)),""))</f>
        <v/>
      </c>
      <c r="C371" s="145" t="str">
        <f ca="1">IF($A371="","",IFERROR(INDEX(Market_Data!$F$21:$F$613,MATCH($A371,Market_Data!$E$21:INDEX(Market_Data!$E$21:$E$613,COUNT(Market_Data!$E$21:$E$613)),1)),""))</f>
        <v/>
      </c>
      <c r="D371" s="145" t="str">
        <f ca="1">IF($A371="","",IFERROR(INDEX(Market_Data!$I$21:$I$613,MATCH($A371,Market_Data!$H$21:INDEX(Market_Data!$H$21:$H$613,COUNT(Market_Data!$H$21:$H$613)),1)),""))</f>
        <v/>
      </c>
      <c r="E371" s="145" t="str">
        <f ca="1">IF($A371="","",IFERROR(INDEX(Market_Data!$L$21:$L$613,MATCH($A371,Market_Data!$K$21:INDEX(Market_Data!$K$21:$K$613,COUNT(Market_Data!$K$21:$K$613)),1)),""))</f>
        <v/>
      </c>
      <c r="F371" s="145" t="str">
        <f ca="1">IF($A371="","",IFERROR(INDEX(Market_Data!$O$21:$O$613,MATCH($A371,Market_Data!$N$21:INDEX(Market_Data!$N$21:$N$613,COUNT(Market_Data!$N$21:$N$613)),1)),""))</f>
        <v/>
      </c>
      <c r="G371" s="145" t="str">
        <f ca="1">IF($A371="","",IFERROR(INDEX(Market_Data!$R$21:$R$613,MATCH($A371,Market_Data!$Q$21:INDEX(Market_Data!$Q$21:$Q$613,COUNT(Market_Data!$Q$21:$Q$613)),1)),""))</f>
        <v/>
      </c>
      <c r="H371" s="145" t="str">
        <f ca="1">IF($A371="","",IFERROR(INDEX(Market_Data!$U$21:$U$613,MATCH($A371,Market_Data!$T$21:INDEX(Market_Data!$T$21:$T$613,COUNT(Market_Data!$T$21:$T$613)),1)),""))</f>
        <v/>
      </c>
      <c r="I371" s="146" t="str">
        <f ca="1">IF($A371="","",IFERROR(INDEX(Query1[Close],MATCH($A371,Query1[Date],1)),""))</f>
        <v/>
      </c>
    </row>
    <row r="372" spans="1:9" x14ac:dyDescent="0.3">
      <c r="A372" s="144" t="str">
        <f t="shared" ca="1" si="7"/>
        <v/>
      </c>
      <c r="B372" s="145" t="str">
        <f ca="1">IF($A372="","",IFERROR(INDEX(Market_Data!$C$21:$C$613,MATCH($A372,Market_Data!$B$21:INDEX(Market_Data!$B$21:$B$613,COUNT(Market_Data!$B$21:$B$613)),1)),""))</f>
        <v/>
      </c>
      <c r="C372" s="145" t="str">
        <f ca="1">IF($A372="","",IFERROR(INDEX(Market_Data!$F$21:$F$613,MATCH($A372,Market_Data!$E$21:INDEX(Market_Data!$E$21:$E$613,COUNT(Market_Data!$E$21:$E$613)),1)),""))</f>
        <v/>
      </c>
      <c r="D372" s="145" t="str">
        <f ca="1">IF($A372="","",IFERROR(INDEX(Market_Data!$I$21:$I$613,MATCH($A372,Market_Data!$H$21:INDEX(Market_Data!$H$21:$H$613,COUNT(Market_Data!$H$21:$H$613)),1)),""))</f>
        <v/>
      </c>
      <c r="E372" s="145" t="str">
        <f ca="1">IF($A372="","",IFERROR(INDEX(Market_Data!$L$21:$L$613,MATCH($A372,Market_Data!$K$21:INDEX(Market_Data!$K$21:$K$613,COUNT(Market_Data!$K$21:$K$613)),1)),""))</f>
        <v/>
      </c>
      <c r="F372" s="145" t="str">
        <f ca="1">IF($A372="","",IFERROR(INDEX(Market_Data!$O$21:$O$613,MATCH($A372,Market_Data!$N$21:INDEX(Market_Data!$N$21:$N$613,COUNT(Market_Data!$N$21:$N$613)),1)),""))</f>
        <v/>
      </c>
      <c r="G372" s="145" t="str">
        <f ca="1">IF($A372="","",IFERROR(INDEX(Market_Data!$R$21:$R$613,MATCH($A372,Market_Data!$Q$21:INDEX(Market_Data!$Q$21:$Q$613,COUNT(Market_Data!$Q$21:$Q$613)),1)),""))</f>
        <v/>
      </c>
      <c r="H372" s="145" t="str">
        <f ca="1">IF($A372="","",IFERROR(INDEX(Market_Data!$U$21:$U$613,MATCH($A372,Market_Data!$T$21:INDEX(Market_Data!$T$21:$T$613,COUNT(Market_Data!$T$21:$T$613)),1)),""))</f>
        <v/>
      </c>
      <c r="I372" s="146" t="str">
        <f ca="1">IF($A372="","",IFERROR(INDEX(Query1[Close],MATCH($A372,Query1[Date],1)),""))</f>
        <v/>
      </c>
    </row>
    <row r="373" spans="1:9" x14ac:dyDescent="0.3">
      <c r="A373" s="144" t="str">
        <f t="shared" ca="1" si="7"/>
        <v/>
      </c>
      <c r="B373" s="145" t="str">
        <f ca="1">IF($A373="","",IFERROR(INDEX(Market_Data!$C$21:$C$613,MATCH($A373,Market_Data!$B$21:INDEX(Market_Data!$B$21:$B$613,COUNT(Market_Data!$B$21:$B$613)),1)),""))</f>
        <v/>
      </c>
      <c r="C373" s="145" t="str">
        <f ca="1">IF($A373="","",IFERROR(INDEX(Market_Data!$F$21:$F$613,MATCH($A373,Market_Data!$E$21:INDEX(Market_Data!$E$21:$E$613,COUNT(Market_Data!$E$21:$E$613)),1)),""))</f>
        <v/>
      </c>
      <c r="D373" s="145" t="str">
        <f ca="1">IF($A373="","",IFERROR(INDEX(Market_Data!$I$21:$I$613,MATCH($A373,Market_Data!$H$21:INDEX(Market_Data!$H$21:$H$613,COUNT(Market_Data!$H$21:$H$613)),1)),""))</f>
        <v/>
      </c>
      <c r="E373" s="145" t="str">
        <f ca="1">IF($A373="","",IFERROR(INDEX(Market_Data!$L$21:$L$613,MATCH($A373,Market_Data!$K$21:INDEX(Market_Data!$K$21:$K$613,COUNT(Market_Data!$K$21:$K$613)),1)),""))</f>
        <v/>
      </c>
      <c r="F373" s="145" t="str">
        <f ca="1">IF($A373="","",IFERROR(INDEX(Market_Data!$O$21:$O$613,MATCH($A373,Market_Data!$N$21:INDEX(Market_Data!$N$21:$N$613,COUNT(Market_Data!$N$21:$N$613)),1)),""))</f>
        <v/>
      </c>
      <c r="G373" s="145" t="str">
        <f ca="1">IF($A373="","",IFERROR(INDEX(Market_Data!$R$21:$R$613,MATCH($A373,Market_Data!$Q$21:INDEX(Market_Data!$Q$21:$Q$613,COUNT(Market_Data!$Q$21:$Q$613)),1)),""))</f>
        <v/>
      </c>
      <c r="H373" s="145" t="str">
        <f ca="1">IF($A373="","",IFERROR(INDEX(Market_Data!$U$21:$U$613,MATCH($A373,Market_Data!$T$21:INDEX(Market_Data!$T$21:$T$613,COUNT(Market_Data!$T$21:$T$613)),1)),""))</f>
        <v/>
      </c>
      <c r="I373" s="146" t="str">
        <f ca="1">IF($A373="","",IFERROR(INDEX(Query1[Close],MATCH($A373,Query1[Date],1)),""))</f>
        <v/>
      </c>
    </row>
    <row r="374" spans="1:9" x14ac:dyDescent="0.3">
      <c r="A374" s="144" t="str">
        <f t="shared" ca="1" si="7"/>
        <v/>
      </c>
      <c r="B374" s="145" t="str">
        <f ca="1">IF($A374="","",IFERROR(INDEX(Market_Data!$C$21:$C$613,MATCH($A374,Market_Data!$B$21:INDEX(Market_Data!$B$21:$B$613,COUNT(Market_Data!$B$21:$B$613)),1)),""))</f>
        <v/>
      </c>
      <c r="C374" s="145" t="str">
        <f ca="1">IF($A374="","",IFERROR(INDEX(Market_Data!$F$21:$F$613,MATCH($A374,Market_Data!$E$21:INDEX(Market_Data!$E$21:$E$613,COUNT(Market_Data!$E$21:$E$613)),1)),""))</f>
        <v/>
      </c>
      <c r="D374" s="145" t="str">
        <f ca="1">IF($A374="","",IFERROR(INDEX(Market_Data!$I$21:$I$613,MATCH($A374,Market_Data!$H$21:INDEX(Market_Data!$H$21:$H$613,COUNT(Market_Data!$H$21:$H$613)),1)),""))</f>
        <v/>
      </c>
      <c r="E374" s="145" t="str">
        <f ca="1">IF($A374="","",IFERROR(INDEX(Market_Data!$L$21:$L$613,MATCH($A374,Market_Data!$K$21:INDEX(Market_Data!$K$21:$K$613,COUNT(Market_Data!$K$21:$K$613)),1)),""))</f>
        <v/>
      </c>
      <c r="F374" s="145" t="str">
        <f ca="1">IF($A374="","",IFERROR(INDEX(Market_Data!$O$21:$O$613,MATCH($A374,Market_Data!$N$21:INDEX(Market_Data!$N$21:$N$613,COUNT(Market_Data!$N$21:$N$613)),1)),""))</f>
        <v/>
      </c>
      <c r="G374" s="145" t="str">
        <f ca="1">IF($A374="","",IFERROR(INDEX(Market_Data!$R$21:$R$613,MATCH($A374,Market_Data!$Q$21:INDEX(Market_Data!$Q$21:$Q$613,COUNT(Market_Data!$Q$21:$Q$613)),1)),""))</f>
        <v/>
      </c>
      <c r="H374" s="145" t="str">
        <f ca="1">IF($A374="","",IFERROR(INDEX(Market_Data!$U$21:$U$613,MATCH($A374,Market_Data!$T$21:INDEX(Market_Data!$T$21:$T$613,COUNT(Market_Data!$T$21:$T$613)),1)),""))</f>
        <v/>
      </c>
      <c r="I374" s="146" t="str">
        <f ca="1">IF($A374="","",IFERROR(INDEX(Query1[Close],MATCH($A374,Query1[Date],1)),""))</f>
        <v/>
      </c>
    </row>
    <row r="375" spans="1:9" x14ac:dyDescent="0.3">
      <c r="A375" s="144" t="str">
        <f t="shared" ca="1" si="7"/>
        <v/>
      </c>
      <c r="B375" s="145" t="str">
        <f ca="1">IF($A375="","",IFERROR(INDEX(Market_Data!$C$21:$C$613,MATCH($A375,Market_Data!$B$21:INDEX(Market_Data!$B$21:$B$613,COUNT(Market_Data!$B$21:$B$613)),1)),""))</f>
        <v/>
      </c>
      <c r="C375" s="145" t="str">
        <f ca="1">IF($A375="","",IFERROR(INDEX(Market_Data!$F$21:$F$613,MATCH($A375,Market_Data!$E$21:INDEX(Market_Data!$E$21:$E$613,COUNT(Market_Data!$E$21:$E$613)),1)),""))</f>
        <v/>
      </c>
      <c r="D375" s="145" t="str">
        <f ca="1">IF($A375="","",IFERROR(INDEX(Market_Data!$I$21:$I$613,MATCH($A375,Market_Data!$H$21:INDEX(Market_Data!$H$21:$H$613,COUNT(Market_Data!$H$21:$H$613)),1)),""))</f>
        <v/>
      </c>
      <c r="E375" s="145" t="str">
        <f ca="1">IF($A375="","",IFERROR(INDEX(Market_Data!$L$21:$L$613,MATCH($A375,Market_Data!$K$21:INDEX(Market_Data!$K$21:$K$613,COUNT(Market_Data!$K$21:$K$613)),1)),""))</f>
        <v/>
      </c>
      <c r="F375" s="145" t="str">
        <f ca="1">IF($A375="","",IFERROR(INDEX(Market_Data!$O$21:$O$613,MATCH($A375,Market_Data!$N$21:INDEX(Market_Data!$N$21:$N$613,COUNT(Market_Data!$N$21:$N$613)),1)),""))</f>
        <v/>
      </c>
      <c r="G375" s="145" t="str">
        <f ca="1">IF($A375="","",IFERROR(INDEX(Market_Data!$R$21:$R$613,MATCH($A375,Market_Data!$Q$21:INDEX(Market_Data!$Q$21:$Q$613,COUNT(Market_Data!$Q$21:$Q$613)),1)),""))</f>
        <v/>
      </c>
      <c r="H375" s="145" t="str">
        <f ca="1">IF($A375="","",IFERROR(INDEX(Market_Data!$U$21:$U$613,MATCH($A375,Market_Data!$T$21:INDEX(Market_Data!$T$21:$T$613,COUNT(Market_Data!$T$21:$T$613)),1)),""))</f>
        <v/>
      </c>
      <c r="I375" s="146" t="str">
        <f ca="1">IF($A375="","",IFERROR(INDEX(Query1[Close],MATCH($A375,Query1[Date],1)),""))</f>
        <v/>
      </c>
    </row>
    <row r="376" spans="1:9" x14ac:dyDescent="0.3">
      <c r="A376" s="144" t="str">
        <f t="shared" ca="1" si="7"/>
        <v/>
      </c>
      <c r="B376" s="145" t="str">
        <f ca="1">IF($A376="","",IFERROR(INDEX(Market_Data!$C$21:$C$613,MATCH($A376,Market_Data!$B$21:INDEX(Market_Data!$B$21:$B$613,COUNT(Market_Data!$B$21:$B$613)),1)),""))</f>
        <v/>
      </c>
      <c r="C376" s="145" t="str">
        <f ca="1">IF($A376="","",IFERROR(INDEX(Market_Data!$F$21:$F$613,MATCH($A376,Market_Data!$E$21:INDEX(Market_Data!$E$21:$E$613,COUNT(Market_Data!$E$21:$E$613)),1)),""))</f>
        <v/>
      </c>
      <c r="D376" s="145" t="str">
        <f ca="1">IF($A376="","",IFERROR(INDEX(Market_Data!$I$21:$I$613,MATCH($A376,Market_Data!$H$21:INDEX(Market_Data!$H$21:$H$613,COUNT(Market_Data!$H$21:$H$613)),1)),""))</f>
        <v/>
      </c>
      <c r="E376" s="145" t="str">
        <f ca="1">IF($A376="","",IFERROR(INDEX(Market_Data!$L$21:$L$613,MATCH($A376,Market_Data!$K$21:INDEX(Market_Data!$K$21:$K$613,COUNT(Market_Data!$K$21:$K$613)),1)),""))</f>
        <v/>
      </c>
      <c r="F376" s="145" t="str">
        <f ca="1">IF($A376="","",IFERROR(INDEX(Market_Data!$O$21:$O$613,MATCH($A376,Market_Data!$N$21:INDEX(Market_Data!$N$21:$N$613,COUNT(Market_Data!$N$21:$N$613)),1)),""))</f>
        <v/>
      </c>
      <c r="G376" s="145" t="str">
        <f ca="1">IF($A376="","",IFERROR(INDEX(Market_Data!$R$21:$R$613,MATCH($A376,Market_Data!$Q$21:INDEX(Market_Data!$Q$21:$Q$613,COUNT(Market_Data!$Q$21:$Q$613)),1)),""))</f>
        <v/>
      </c>
      <c r="H376" s="145" t="str">
        <f ca="1">IF($A376="","",IFERROR(INDEX(Market_Data!$U$21:$U$613,MATCH($A376,Market_Data!$T$21:INDEX(Market_Data!$T$21:$T$613,COUNT(Market_Data!$T$21:$T$613)),1)),""))</f>
        <v/>
      </c>
      <c r="I376" s="146" t="str">
        <f ca="1">IF($A376="","",IFERROR(INDEX(Query1[Close],MATCH($A376,Query1[Date],1)),""))</f>
        <v/>
      </c>
    </row>
    <row r="377" spans="1:9" x14ac:dyDescent="0.3">
      <c r="A377" s="144" t="str">
        <f t="shared" ca="1" si="7"/>
        <v/>
      </c>
      <c r="B377" s="145" t="str">
        <f ca="1">IF($A377="","",IFERROR(INDEX(Market_Data!$C$21:$C$613,MATCH($A377,Market_Data!$B$21:INDEX(Market_Data!$B$21:$B$613,COUNT(Market_Data!$B$21:$B$613)),1)),""))</f>
        <v/>
      </c>
      <c r="C377" s="145" t="str">
        <f ca="1">IF($A377="","",IFERROR(INDEX(Market_Data!$F$21:$F$613,MATCH($A377,Market_Data!$E$21:INDEX(Market_Data!$E$21:$E$613,COUNT(Market_Data!$E$21:$E$613)),1)),""))</f>
        <v/>
      </c>
      <c r="D377" s="145" t="str">
        <f ca="1">IF($A377="","",IFERROR(INDEX(Market_Data!$I$21:$I$613,MATCH($A377,Market_Data!$H$21:INDEX(Market_Data!$H$21:$H$613,COUNT(Market_Data!$H$21:$H$613)),1)),""))</f>
        <v/>
      </c>
      <c r="E377" s="145" t="str">
        <f ca="1">IF($A377="","",IFERROR(INDEX(Market_Data!$L$21:$L$613,MATCH($A377,Market_Data!$K$21:INDEX(Market_Data!$K$21:$K$613,COUNT(Market_Data!$K$21:$K$613)),1)),""))</f>
        <v/>
      </c>
      <c r="F377" s="145" t="str">
        <f ca="1">IF($A377="","",IFERROR(INDEX(Market_Data!$O$21:$O$613,MATCH($A377,Market_Data!$N$21:INDEX(Market_Data!$N$21:$N$613,COUNT(Market_Data!$N$21:$N$613)),1)),""))</f>
        <v/>
      </c>
      <c r="G377" s="145" t="str">
        <f ca="1">IF($A377="","",IFERROR(INDEX(Market_Data!$R$21:$R$613,MATCH($A377,Market_Data!$Q$21:INDEX(Market_Data!$Q$21:$Q$613,COUNT(Market_Data!$Q$21:$Q$613)),1)),""))</f>
        <v/>
      </c>
      <c r="H377" s="145" t="str">
        <f ca="1">IF($A377="","",IFERROR(INDEX(Market_Data!$U$21:$U$613,MATCH($A377,Market_Data!$T$21:INDEX(Market_Data!$T$21:$T$613,COUNT(Market_Data!$T$21:$T$613)),1)),""))</f>
        <v/>
      </c>
      <c r="I377" s="146" t="str">
        <f ca="1">IF($A377="","",IFERROR(INDEX(Query1[Close],MATCH($A377,Query1[Date],1)),""))</f>
        <v/>
      </c>
    </row>
    <row r="378" spans="1:9" x14ac:dyDescent="0.3">
      <c r="A378" s="144" t="str">
        <f t="shared" ca="1" si="7"/>
        <v/>
      </c>
      <c r="B378" s="145" t="str">
        <f ca="1">IF($A378="","",IFERROR(INDEX(Market_Data!$C$21:$C$613,MATCH($A378,Market_Data!$B$21:INDEX(Market_Data!$B$21:$B$613,COUNT(Market_Data!$B$21:$B$613)),1)),""))</f>
        <v/>
      </c>
      <c r="C378" s="145" t="str">
        <f ca="1">IF($A378="","",IFERROR(INDEX(Market_Data!$F$21:$F$613,MATCH($A378,Market_Data!$E$21:INDEX(Market_Data!$E$21:$E$613,COUNT(Market_Data!$E$21:$E$613)),1)),""))</f>
        <v/>
      </c>
      <c r="D378" s="145" t="str">
        <f ca="1">IF($A378="","",IFERROR(INDEX(Market_Data!$I$21:$I$613,MATCH($A378,Market_Data!$H$21:INDEX(Market_Data!$H$21:$H$613,COUNT(Market_Data!$H$21:$H$613)),1)),""))</f>
        <v/>
      </c>
      <c r="E378" s="145" t="str">
        <f ca="1">IF($A378="","",IFERROR(INDEX(Market_Data!$L$21:$L$613,MATCH($A378,Market_Data!$K$21:INDEX(Market_Data!$K$21:$K$613,COUNT(Market_Data!$K$21:$K$613)),1)),""))</f>
        <v/>
      </c>
      <c r="F378" s="145" t="str">
        <f ca="1">IF($A378="","",IFERROR(INDEX(Market_Data!$O$21:$O$613,MATCH($A378,Market_Data!$N$21:INDEX(Market_Data!$N$21:$N$613,COUNT(Market_Data!$N$21:$N$613)),1)),""))</f>
        <v/>
      </c>
      <c r="G378" s="145" t="str">
        <f ca="1">IF($A378="","",IFERROR(INDEX(Market_Data!$R$21:$R$613,MATCH($A378,Market_Data!$Q$21:INDEX(Market_Data!$Q$21:$Q$613,COUNT(Market_Data!$Q$21:$Q$613)),1)),""))</f>
        <v/>
      </c>
      <c r="H378" s="145" t="str">
        <f ca="1">IF($A378="","",IFERROR(INDEX(Market_Data!$U$21:$U$613,MATCH($A378,Market_Data!$T$21:INDEX(Market_Data!$T$21:$T$613,COUNT(Market_Data!$T$21:$T$613)),1)),""))</f>
        <v/>
      </c>
      <c r="I378" s="146" t="str">
        <f ca="1">IF($A378="","",IFERROR(INDEX(Query1[Close],MATCH($A378,Query1[Date],1)),""))</f>
        <v/>
      </c>
    </row>
    <row r="379" spans="1:9" x14ac:dyDescent="0.3">
      <c r="A379" s="144" t="str">
        <f t="shared" ca="1" si="7"/>
        <v/>
      </c>
      <c r="B379" s="145" t="str">
        <f ca="1">IF($A379="","",IFERROR(INDEX(Market_Data!$C$21:$C$613,MATCH($A379,Market_Data!$B$21:INDEX(Market_Data!$B$21:$B$613,COUNT(Market_Data!$B$21:$B$613)),1)),""))</f>
        <v/>
      </c>
      <c r="C379" s="145" t="str">
        <f ca="1">IF($A379="","",IFERROR(INDEX(Market_Data!$F$21:$F$613,MATCH($A379,Market_Data!$E$21:INDEX(Market_Data!$E$21:$E$613,COUNT(Market_Data!$E$21:$E$613)),1)),""))</f>
        <v/>
      </c>
      <c r="D379" s="145" t="str">
        <f ca="1">IF($A379="","",IFERROR(INDEX(Market_Data!$I$21:$I$613,MATCH($A379,Market_Data!$H$21:INDEX(Market_Data!$H$21:$H$613,COUNT(Market_Data!$H$21:$H$613)),1)),""))</f>
        <v/>
      </c>
      <c r="E379" s="145" t="str">
        <f ca="1">IF($A379="","",IFERROR(INDEX(Market_Data!$L$21:$L$613,MATCH($A379,Market_Data!$K$21:INDEX(Market_Data!$K$21:$K$613,COUNT(Market_Data!$K$21:$K$613)),1)),""))</f>
        <v/>
      </c>
      <c r="F379" s="145" t="str">
        <f ca="1">IF($A379="","",IFERROR(INDEX(Market_Data!$O$21:$O$613,MATCH($A379,Market_Data!$N$21:INDEX(Market_Data!$N$21:$N$613,COUNT(Market_Data!$N$21:$N$613)),1)),""))</f>
        <v/>
      </c>
      <c r="G379" s="145" t="str">
        <f ca="1">IF($A379="","",IFERROR(INDEX(Market_Data!$R$21:$R$613,MATCH($A379,Market_Data!$Q$21:INDEX(Market_Data!$Q$21:$Q$613,COUNT(Market_Data!$Q$21:$Q$613)),1)),""))</f>
        <v/>
      </c>
      <c r="H379" s="145" t="str">
        <f ca="1">IF($A379="","",IFERROR(INDEX(Market_Data!$U$21:$U$613,MATCH($A379,Market_Data!$T$21:INDEX(Market_Data!$T$21:$T$613,COUNT(Market_Data!$T$21:$T$613)),1)),""))</f>
        <v/>
      </c>
      <c r="I379" s="146" t="str">
        <f ca="1">IF($A379="","",IFERROR(INDEX(Query1[Close],MATCH($A379,Query1[Date],1)),""))</f>
        <v/>
      </c>
    </row>
    <row r="380" spans="1:9" x14ac:dyDescent="0.3">
      <c r="A380" s="144" t="str">
        <f t="shared" ca="1" si="7"/>
        <v/>
      </c>
      <c r="B380" s="145" t="str">
        <f ca="1">IF($A380="","",IFERROR(INDEX(Market_Data!$C$21:$C$613,MATCH($A380,Market_Data!$B$21:INDEX(Market_Data!$B$21:$B$613,COUNT(Market_Data!$B$21:$B$613)),1)),""))</f>
        <v/>
      </c>
      <c r="C380" s="145" t="str">
        <f ca="1">IF($A380="","",IFERROR(INDEX(Market_Data!$F$21:$F$613,MATCH($A380,Market_Data!$E$21:INDEX(Market_Data!$E$21:$E$613,COUNT(Market_Data!$E$21:$E$613)),1)),""))</f>
        <v/>
      </c>
      <c r="D380" s="145" t="str">
        <f ca="1">IF($A380="","",IFERROR(INDEX(Market_Data!$I$21:$I$613,MATCH($A380,Market_Data!$H$21:INDEX(Market_Data!$H$21:$H$613,COUNT(Market_Data!$H$21:$H$613)),1)),""))</f>
        <v/>
      </c>
      <c r="E380" s="145" t="str">
        <f ca="1">IF($A380="","",IFERROR(INDEX(Market_Data!$L$21:$L$613,MATCH($A380,Market_Data!$K$21:INDEX(Market_Data!$K$21:$K$613,COUNT(Market_Data!$K$21:$K$613)),1)),""))</f>
        <v/>
      </c>
      <c r="F380" s="145" t="str">
        <f ca="1">IF($A380="","",IFERROR(INDEX(Market_Data!$O$21:$O$613,MATCH($A380,Market_Data!$N$21:INDEX(Market_Data!$N$21:$N$613,COUNT(Market_Data!$N$21:$N$613)),1)),""))</f>
        <v/>
      </c>
      <c r="G380" s="145" t="str">
        <f ca="1">IF($A380="","",IFERROR(INDEX(Market_Data!$R$21:$R$613,MATCH($A380,Market_Data!$Q$21:INDEX(Market_Data!$Q$21:$Q$613,COUNT(Market_Data!$Q$21:$Q$613)),1)),""))</f>
        <v/>
      </c>
      <c r="H380" s="145" t="str">
        <f ca="1">IF($A380="","",IFERROR(INDEX(Market_Data!$U$21:$U$613,MATCH($A380,Market_Data!$T$21:INDEX(Market_Data!$T$21:$T$613,COUNT(Market_Data!$T$21:$T$613)),1)),""))</f>
        <v/>
      </c>
      <c r="I380" s="146" t="str">
        <f ca="1">IF($A380="","",IFERROR(INDEX(Query1[Close],MATCH($A380,Query1[Date],1)),""))</f>
        <v/>
      </c>
    </row>
    <row r="381" spans="1:9" x14ac:dyDescent="0.3">
      <c r="A381" s="144" t="str">
        <f t="shared" ca="1" si="7"/>
        <v/>
      </c>
      <c r="B381" s="145" t="str">
        <f ca="1">IF($A381="","",IFERROR(INDEX(Market_Data!$C$21:$C$613,MATCH($A381,Market_Data!$B$21:INDEX(Market_Data!$B$21:$B$613,COUNT(Market_Data!$B$21:$B$613)),1)),""))</f>
        <v/>
      </c>
      <c r="C381" s="145" t="str">
        <f ca="1">IF($A381="","",IFERROR(INDEX(Market_Data!$F$21:$F$613,MATCH($A381,Market_Data!$E$21:INDEX(Market_Data!$E$21:$E$613,COUNT(Market_Data!$E$21:$E$613)),1)),""))</f>
        <v/>
      </c>
      <c r="D381" s="145" t="str">
        <f ca="1">IF($A381="","",IFERROR(INDEX(Market_Data!$I$21:$I$613,MATCH($A381,Market_Data!$H$21:INDEX(Market_Data!$H$21:$H$613,COUNT(Market_Data!$H$21:$H$613)),1)),""))</f>
        <v/>
      </c>
      <c r="E381" s="145" t="str">
        <f ca="1">IF($A381="","",IFERROR(INDEX(Market_Data!$L$21:$L$613,MATCH($A381,Market_Data!$K$21:INDEX(Market_Data!$K$21:$K$613,COUNT(Market_Data!$K$21:$K$613)),1)),""))</f>
        <v/>
      </c>
      <c r="F381" s="145" t="str">
        <f ca="1">IF($A381="","",IFERROR(INDEX(Market_Data!$O$21:$O$613,MATCH($A381,Market_Data!$N$21:INDEX(Market_Data!$N$21:$N$613,COUNT(Market_Data!$N$21:$N$613)),1)),""))</f>
        <v/>
      </c>
      <c r="G381" s="145" t="str">
        <f ca="1">IF($A381="","",IFERROR(INDEX(Market_Data!$R$21:$R$613,MATCH($A381,Market_Data!$Q$21:INDEX(Market_Data!$Q$21:$Q$613,COUNT(Market_Data!$Q$21:$Q$613)),1)),""))</f>
        <v/>
      </c>
      <c r="H381" s="145" t="str">
        <f ca="1">IF($A381="","",IFERROR(INDEX(Market_Data!$U$21:$U$613,MATCH($A381,Market_Data!$T$21:INDEX(Market_Data!$T$21:$T$613,COUNT(Market_Data!$T$21:$T$613)),1)),""))</f>
        <v/>
      </c>
      <c r="I381" s="146" t="str">
        <f ca="1">IF($A381="","",IFERROR(INDEX(Query1[Close],MATCH($A381,Query1[Date],1)),""))</f>
        <v/>
      </c>
    </row>
    <row r="382" spans="1:9" x14ac:dyDescent="0.3">
      <c r="A382" s="144" t="str">
        <f t="shared" ca="1" si="7"/>
        <v/>
      </c>
      <c r="B382" s="145" t="str">
        <f ca="1">IF($A382="","",IFERROR(INDEX(Market_Data!$C$21:$C$613,MATCH($A382,Market_Data!$B$21:INDEX(Market_Data!$B$21:$B$613,COUNT(Market_Data!$B$21:$B$613)),1)),""))</f>
        <v/>
      </c>
      <c r="C382" s="145" t="str">
        <f ca="1">IF($A382="","",IFERROR(INDEX(Market_Data!$F$21:$F$613,MATCH($A382,Market_Data!$E$21:INDEX(Market_Data!$E$21:$E$613,COUNT(Market_Data!$E$21:$E$613)),1)),""))</f>
        <v/>
      </c>
      <c r="D382" s="145" t="str">
        <f ca="1">IF($A382="","",IFERROR(INDEX(Market_Data!$I$21:$I$613,MATCH($A382,Market_Data!$H$21:INDEX(Market_Data!$H$21:$H$613,COUNT(Market_Data!$H$21:$H$613)),1)),""))</f>
        <v/>
      </c>
      <c r="E382" s="145" t="str">
        <f ca="1">IF($A382="","",IFERROR(INDEX(Market_Data!$L$21:$L$613,MATCH($A382,Market_Data!$K$21:INDEX(Market_Data!$K$21:$K$613,COUNT(Market_Data!$K$21:$K$613)),1)),""))</f>
        <v/>
      </c>
      <c r="F382" s="145" t="str">
        <f ca="1">IF($A382="","",IFERROR(INDEX(Market_Data!$O$21:$O$613,MATCH($A382,Market_Data!$N$21:INDEX(Market_Data!$N$21:$N$613,COUNT(Market_Data!$N$21:$N$613)),1)),""))</f>
        <v/>
      </c>
      <c r="G382" s="145" t="str">
        <f ca="1">IF($A382="","",IFERROR(INDEX(Market_Data!$R$21:$R$613,MATCH($A382,Market_Data!$Q$21:INDEX(Market_Data!$Q$21:$Q$613,COUNT(Market_Data!$Q$21:$Q$613)),1)),""))</f>
        <v/>
      </c>
      <c r="H382" s="145" t="str">
        <f ca="1">IF($A382="","",IFERROR(INDEX(Market_Data!$U$21:$U$613,MATCH($A382,Market_Data!$T$21:INDEX(Market_Data!$T$21:$T$613,COUNT(Market_Data!$T$21:$T$613)),1)),""))</f>
        <v/>
      </c>
      <c r="I382" s="146" t="str">
        <f ca="1">IF($A382="","",IFERROR(INDEX(Query1[Close],MATCH($A382,Query1[Date],1)),""))</f>
        <v/>
      </c>
    </row>
    <row r="383" spans="1:9" x14ac:dyDescent="0.3">
      <c r="A383" s="144" t="str">
        <f t="shared" ca="1" si="7"/>
        <v/>
      </c>
      <c r="B383" s="145" t="str">
        <f ca="1">IF($A383="","",IFERROR(INDEX(Market_Data!$C$21:$C$613,MATCH($A383,Market_Data!$B$21:INDEX(Market_Data!$B$21:$B$613,COUNT(Market_Data!$B$21:$B$613)),1)),""))</f>
        <v/>
      </c>
      <c r="C383" s="145" t="str">
        <f ca="1">IF($A383="","",IFERROR(INDEX(Market_Data!$F$21:$F$613,MATCH($A383,Market_Data!$E$21:INDEX(Market_Data!$E$21:$E$613,COUNT(Market_Data!$E$21:$E$613)),1)),""))</f>
        <v/>
      </c>
      <c r="D383" s="145" t="str">
        <f ca="1">IF($A383="","",IFERROR(INDEX(Market_Data!$I$21:$I$613,MATCH($A383,Market_Data!$H$21:INDEX(Market_Data!$H$21:$H$613,COUNT(Market_Data!$H$21:$H$613)),1)),""))</f>
        <v/>
      </c>
      <c r="E383" s="145" t="str">
        <f ca="1">IF($A383="","",IFERROR(INDEX(Market_Data!$L$21:$L$613,MATCH($A383,Market_Data!$K$21:INDEX(Market_Data!$K$21:$K$613,COUNT(Market_Data!$K$21:$K$613)),1)),""))</f>
        <v/>
      </c>
      <c r="F383" s="145" t="str">
        <f ca="1">IF($A383="","",IFERROR(INDEX(Market_Data!$O$21:$O$613,MATCH($A383,Market_Data!$N$21:INDEX(Market_Data!$N$21:$N$613,COUNT(Market_Data!$N$21:$N$613)),1)),""))</f>
        <v/>
      </c>
      <c r="G383" s="145" t="str">
        <f ca="1">IF($A383="","",IFERROR(INDEX(Market_Data!$R$21:$R$613,MATCH($A383,Market_Data!$Q$21:INDEX(Market_Data!$Q$21:$Q$613,COUNT(Market_Data!$Q$21:$Q$613)),1)),""))</f>
        <v/>
      </c>
      <c r="H383" s="145" t="str">
        <f ca="1">IF($A383="","",IFERROR(INDEX(Market_Data!$U$21:$U$613,MATCH($A383,Market_Data!$T$21:INDEX(Market_Data!$T$21:$T$613,COUNT(Market_Data!$T$21:$T$613)),1)),""))</f>
        <v/>
      </c>
      <c r="I383" s="146" t="str">
        <f ca="1">IF($A383="","",IFERROR(INDEX(Query1[Close],MATCH($A383,Query1[Date],1)),""))</f>
        <v/>
      </c>
    </row>
    <row r="384" spans="1:9" x14ac:dyDescent="0.3">
      <c r="A384" s="144" t="str">
        <f t="shared" ca="1" si="7"/>
        <v/>
      </c>
      <c r="B384" s="145" t="str">
        <f ca="1">IF($A384="","",IFERROR(INDEX(Market_Data!$C$21:$C$613,MATCH($A384,Market_Data!$B$21:INDEX(Market_Data!$B$21:$B$613,COUNT(Market_Data!$B$21:$B$613)),1)),""))</f>
        <v/>
      </c>
      <c r="C384" s="145" t="str">
        <f ca="1">IF($A384="","",IFERROR(INDEX(Market_Data!$F$21:$F$613,MATCH($A384,Market_Data!$E$21:INDEX(Market_Data!$E$21:$E$613,COUNT(Market_Data!$E$21:$E$613)),1)),""))</f>
        <v/>
      </c>
      <c r="D384" s="145" t="str">
        <f ca="1">IF($A384="","",IFERROR(INDEX(Market_Data!$I$21:$I$613,MATCH($A384,Market_Data!$H$21:INDEX(Market_Data!$H$21:$H$613,COUNT(Market_Data!$H$21:$H$613)),1)),""))</f>
        <v/>
      </c>
      <c r="E384" s="145" t="str">
        <f ca="1">IF($A384="","",IFERROR(INDEX(Market_Data!$L$21:$L$613,MATCH($A384,Market_Data!$K$21:INDEX(Market_Data!$K$21:$K$613,COUNT(Market_Data!$K$21:$K$613)),1)),""))</f>
        <v/>
      </c>
      <c r="F384" s="145" t="str">
        <f ca="1">IF($A384="","",IFERROR(INDEX(Market_Data!$O$21:$O$613,MATCH($A384,Market_Data!$N$21:INDEX(Market_Data!$N$21:$N$613,COUNT(Market_Data!$N$21:$N$613)),1)),""))</f>
        <v/>
      </c>
      <c r="G384" s="145" t="str">
        <f ca="1">IF($A384="","",IFERROR(INDEX(Market_Data!$R$21:$R$613,MATCH($A384,Market_Data!$Q$21:INDEX(Market_Data!$Q$21:$Q$613,COUNT(Market_Data!$Q$21:$Q$613)),1)),""))</f>
        <v/>
      </c>
      <c r="H384" s="145" t="str">
        <f ca="1">IF($A384="","",IFERROR(INDEX(Market_Data!$U$21:$U$613,MATCH($A384,Market_Data!$T$21:INDEX(Market_Data!$T$21:$T$613,COUNT(Market_Data!$T$21:$T$613)),1)),""))</f>
        <v/>
      </c>
      <c r="I384" s="146" t="str">
        <f ca="1">IF($A384="","",IFERROR(INDEX(Query1[Close],MATCH($A384,Query1[Date],1)),""))</f>
        <v/>
      </c>
    </row>
    <row r="385" spans="1:9" x14ac:dyDescent="0.3">
      <c r="A385" s="144" t="str">
        <f t="shared" ca="1" si="7"/>
        <v/>
      </c>
      <c r="B385" s="145" t="str">
        <f ca="1">IF($A385="","",IFERROR(INDEX(Market_Data!$C$21:$C$613,MATCH($A385,Market_Data!$B$21:INDEX(Market_Data!$B$21:$B$613,COUNT(Market_Data!$B$21:$B$613)),1)),""))</f>
        <v/>
      </c>
      <c r="C385" s="145" t="str">
        <f ca="1">IF($A385="","",IFERROR(INDEX(Market_Data!$F$21:$F$613,MATCH($A385,Market_Data!$E$21:INDEX(Market_Data!$E$21:$E$613,COUNT(Market_Data!$E$21:$E$613)),1)),""))</f>
        <v/>
      </c>
      <c r="D385" s="145" t="str">
        <f ca="1">IF($A385="","",IFERROR(INDEX(Market_Data!$I$21:$I$613,MATCH($A385,Market_Data!$H$21:INDEX(Market_Data!$H$21:$H$613,COUNT(Market_Data!$H$21:$H$613)),1)),""))</f>
        <v/>
      </c>
      <c r="E385" s="145" t="str">
        <f ca="1">IF($A385="","",IFERROR(INDEX(Market_Data!$L$21:$L$613,MATCH($A385,Market_Data!$K$21:INDEX(Market_Data!$K$21:$K$613,COUNT(Market_Data!$K$21:$K$613)),1)),""))</f>
        <v/>
      </c>
      <c r="F385" s="145" t="str">
        <f ca="1">IF($A385="","",IFERROR(INDEX(Market_Data!$O$21:$O$613,MATCH($A385,Market_Data!$N$21:INDEX(Market_Data!$N$21:$N$613,COUNT(Market_Data!$N$21:$N$613)),1)),""))</f>
        <v/>
      </c>
      <c r="G385" s="145" t="str">
        <f ca="1">IF($A385="","",IFERROR(INDEX(Market_Data!$R$21:$R$613,MATCH($A385,Market_Data!$Q$21:INDEX(Market_Data!$Q$21:$Q$613,COUNT(Market_Data!$Q$21:$Q$613)),1)),""))</f>
        <v/>
      </c>
      <c r="H385" s="145" t="str">
        <f ca="1">IF($A385="","",IFERROR(INDEX(Market_Data!$U$21:$U$613,MATCH($A385,Market_Data!$T$21:INDEX(Market_Data!$T$21:$T$613,COUNT(Market_Data!$T$21:$T$613)),1)),""))</f>
        <v/>
      </c>
      <c r="I385" s="146" t="str">
        <f ca="1">IF($A385="","",IFERROR(INDEX(Query1[Close],MATCH($A385,Query1[Date],1)),""))</f>
        <v/>
      </c>
    </row>
    <row r="386" spans="1:9" x14ac:dyDescent="0.3">
      <c r="A386" s="144" t="str">
        <f t="shared" ca="1" si="7"/>
        <v/>
      </c>
      <c r="B386" s="145" t="str">
        <f ca="1">IF($A386="","",IFERROR(INDEX(Market_Data!$C$21:$C$613,MATCH($A386,Market_Data!$B$21:INDEX(Market_Data!$B$21:$B$613,COUNT(Market_Data!$B$21:$B$613)),1)),""))</f>
        <v/>
      </c>
      <c r="C386" s="145" t="str">
        <f ca="1">IF($A386="","",IFERROR(INDEX(Market_Data!$F$21:$F$613,MATCH($A386,Market_Data!$E$21:INDEX(Market_Data!$E$21:$E$613,COUNT(Market_Data!$E$21:$E$613)),1)),""))</f>
        <v/>
      </c>
      <c r="D386" s="145" t="str">
        <f ca="1">IF($A386="","",IFERROR(INDEX(Market_Data!$I$21:$I$613,MATCH($A386,Market_Data!$H$21:INDEX(Market_Data!$H$21:$H$613,COUNT(Market_Data!$H$21:$H$613)),1)),""))</f>
        <v/>
      </c>
      <c r="E386" s="145" t="str">
        <f ca="1">IF($A386="","",IFERROR(INDEX(Market_Data!$L$21:$L$613,MATCH($A386,Market_Data!$K$21:INDEX(Market_Data!$K$21:$K$613,COUNT(Market_Data!$K$21:$K$613)),1)),""))</f>
        <v/>
      </c>
      <c r="F386" s="145" t="str">
        <f ca="1">IF($A386="","",IFERROR(INDEX(Market_Data!$O$21:$O$613,MATCH($A386,Market_Data!$N$21:INDEX(Market_Data!$N$21:$N$613,COUNT(Market_Data!$N$21:$N$613)),1)),""))</f>
        <v/>
      </c>
      <c r="G386" s="145" t="str">
        <f ca="1">IF($A386="","",IFERROR(INDEX(Market_Data!$R$21:$R$613,MATCH($A386,Market_Data!$Q$21:INDEX(Market_Data!$Q$21:$Q$613,COUNT(Market_Data!$Q$21:$Q$613)),1)),""))</f>
        <v/>
      </c>
      <c r="H386" s="145" t="str">
        <f ca="1">IF($A386="","",IFERROR(INDEX(Market_Data!$U$21:$U$613,MATCH($A386,Market_Data!$T$21:INDEX(Market_Data!$T$21:$T$613,COUNT(Market_Data!$T$21:$T$613)),1)),""))</f>
        <v/>
      </c>
      <c r="I386" s="146" t="str">
        <f ca="1">IF($A386="","",IFERROR(INDEX(Query1[Close],MATCH($A386,Query1[Date],1)),""))</f>
        <v/>
      </c>
    </row>
    <row r="387" spans="1:9" x14ac:dyDescent="0.3">
      <c r="A387" s="144" t="str">
        <f t="shared" ca="1" si="7"/>
        <v/>
      </c>
      <c r="B387" s="145" t="str">
        <f ca="1">IF($A387="","",IFERROR(INDEX(Market_Data!$C$21:$C$613,MATCH($A387,Market_Data!$B$21:INDEX(Market_Data!$B$21:$B$613,COUNT(Market_Data!$B$21:$B$613)),1)),""))</f>
        <v/>
      </c>
      <c r="C387" s="145" t="str">
        <f ca="1">IF($A387="","",IFERROR(INDEX(Market_Data!$F$21:$F$613,MATCH($A387,Market_Data!$E$21:INDEX(Market_Data!$E$21:$E$613,COUNT(Market_Data!$E$21:$E$613)),1)),""))</f>
        <v/>
      </c>
      <c r="D387" s="145" t="str">
        <f ca="1">IF($A387="","",IFERROR(INDEX(Market_Data!$I$21:$I$613,MATCH($A387,Market_Data!$H$21:INDEX(Market_Data!$H$21:$H$613,COUNT(Market_Data!$H$21:$H$613)),1)),""))</f>
        <v/>
      </c>
      <c r="E387" s="145" t="str">
        <f ca="1">IF($A387="","",IFERROR(INDEX(Market_Data!$L$21:$L$613,MATCH($A387,Market_Data!$K$21:INDEX(Market_Data!$K$21:$K$613,COUNT(Market_Data!$K$21:$K$613)),1)),""))</f>
        <v/>
      </c>
      <c r="F387" s="145" t="str">
        <f ca="1">IF($A387="","",IFERROR(INDEX(Market_Data!$O$21:$O$613,MATCH($A387,Market_Data!$N$21:INDEX(Market_Data!$N$21:$N$613,COUNT(Market_Data!$N$21:$N$613)),1)),""))</f>
        <v/>
      </c>
      <c r="G387" s="145" t="str">
        <f ca="1">IF($A387="","",IFERROR(INDEX(Market_Data!$R$21:$R$613,MATCH($A387,Market_Data!$Q$21:INDEX(Market_Data!$Q$21:$Q$613,COUNT(Market_Data!$Q$21:$Q$613)),1)),""))</f>
        <v/>
      </c>
      <c r="H387" s="145" t="str">
        <f ca="1">IF($A387="","",IFERROR(INDEX(Market_Data!$U$21:$U$613,MATCH($A387,Market_Data!$T$21:INDEX(Market_Data!$T$21:$T$613,COUNT(Market_Data!$T$21:$T$613)),1)),""))</f>
        <v/>
      </c>
      <c r="I387" s="146" t="str">
        <f ca="1">IF($A387="","",IFERROR(INDEX(Query1[Close],MATCH($A387,Query1[Date],1)),""))</f>
        <v/>
      </c>
    </row>
    <row r="388" spans="1:9" x14ac:dyDescent="0.3">
      <c r="A388" s="144" t="str">
        <f t="shared" ca="1" si="7"/>
        <v/>
      </c>
      <c r="B388" s="145" t="str">
        <f ca="1">IF($A388="","",IFERROR(INDEX(Market_Data!$C$21:$C$613,MATCH($A388,Market_Data!$B$21:INDEX(Market_Data!$B$21:$B$613,COUNT(Market_Data!$B$21:$B$613)),1)),""))</f>
        <v/>
      </c>
      <c r="C388" s="145" t="str">
        <f ca="1">IF($A388="","",IFERROR(INDEX(Market_Data!$F$21:$F$613,MATCH($A388,Market_Data!$E$21:INDEX(Market_Data!$E$21:$E$613,COUNT(Market_Data!$E$21:$E$613)),1)),""))</f>
        <v/>
      </c>
      <c r="D388" s="145" t="str">
        <f ca="1">IF($A388="","",IFERROR(INDEX(Market_Data!$I$21:$I$613,MATCH($A388,Market_Data!$H$21:INDEX(Market_Data!$H$21:$H$613,COUNT(Market_Data!$H$21:$H$613)),1)),""))</f>
        <v/>
      </c>
      <c r="E388" s="145" t="str">
        <f ca="1">IF($A388="","",IFERROR(INDEX(Market_Data!$L$21:$L$613,MATCH($A388,Market_Data!$K$21:INDEX(Market_Data!$K$21:$K$613,COUNT(Market_Data!$K$21:$K$613)),1)),""))</f>
        <v/>
      </c>
      <c r="F388" s="145" t="str">
        <f ca="1">IF($A388="","",IFERROR(INDEX(Market_Data!$O$21:$O$613,MATCH($A388,Market_Data!$N$21:INDEX(Market_Data!$N$21:$N$613,COUNT(Market_Data!$N$21:$N$613)),1)),""))</f>
        <v/>
      </c>
      <c r="G388" s="145" t="str">
        <f ca="1">IF($A388="","",IFERROR(INDEX(Market_Data!$R$21:$R$613,MATCH($A388,Market_Data!$Q$21:INDEX(Market_Data!$Q$21:$Q$613,COUNT(Market_Data!$Q$21:$Q$613)),1)),""))</f>
        <v/>
      </c>
      <c r="H388" s="145" t="str">
        <f ca="1">IF($A388="","",IFERROR(INDEX(Market_Data!$U$21:$U$613,MATCH($A388,Market_Data!$T$21:INDEX(Market_Data!$T$21:$T$613,COUNT(Market_Data!$T$21:$T$613)),1)),""))</f>
        <v/>
      </c>
      <c r="I388" s="146" t="str">
        <f ca="1">IF($A388="","",IFERROR(INDEX(Query1[Close],MATCH($A388,Query1[Date],1)),""))</f>
        <v/>
      </c>
    </row>
    <row r="389" spans="1:9" x14ac:dyDescent="0.3">
      <c r="A389" s="144" t="str">
        <f t="shared" ca="1" si="7"/>
        <v/>
      </c>
      <c r="B389" s="145" t="str">
        <f ca="1">IF($A389="","",IFERROR(INDEX(Market_Data!$C$21:$C$613,MATCH($A389,Market_Data!$B$21:INDEX(Market_Data!$B$21:$B$613,COUNT(Market_Data!$B$21:$B$613)),1)),""))</f>
        <v/>
      </c>
      <c r="C389" s="145" t="str">
        <f ca="1">IF($A389="","",IFERROR(INDEX(Market_Data!$F$21:$F$613,MATCH($A389,Market_Data!$E$21:INDEX(Market_Data!$E$21:$E$613,COUNT(Market_Data!$E$21:$E$613)),1)),""))</f>
        <v/>
      </c>
      <c r="D389" s="145" t="str">
        <f ca="1">IF($A389="","",IFERROR(INDEX(Market_Data!$I$21:$I$613,MATCH($A389,Market_Data!$H$21:INDEX(Market_Data!$H$21:$H$613,COUNT(Market_Data!$H$21:$H$613)),1)),""))</f>
        <v/>
      </c>
      <c r="E389" s="145" t="str">
        <f ca="1">IF($A389="","",IFERROR(INDEX(Market_Data!$L$21:$L$613,MATCH($A389,Market_Data!$K$21:INDEX(Market_Data!$K$21:$K$613,COUNT(Market_Data!$K$21:$K$613)),1)),""))</f>
        <v/>
      </c>
      <c r="F389" s="145" t="str">
        <f ca="1">IF($A389="","",IFERROR(INDEX(Market_Data!$O$21:$O$613,MATCH($A389,Market_Data!$N$21:INDEX(Market_Data!$N$21:$N$613,COUNT(Market_Data!$N$21:$N$613)),1)),""))</f>
        <v/>
      </c>
      <c r="G389" s="145" t="str">
        <f ca="1">IF($A389="","",IFERROR(INDEX(Market_Data!$R$21:$R$613,MATCH($A389,Market_Data!$Q$21:INDEX(Market_Data!$Q$21:$Q$613,COUNT(Market_Data!$Q$21:$Q$613)),1)),""))</f>
        <v/>
      </c>
      <c r="H389" s="145" t="str">
        <f ca="1">IF($A389="","",IFERROR(INDEX(Market_Data!$U$21:$U$613,MATCH($A389,Market_Data!$T$21:INDEX(Market_Data!$T$21:$T$613,COUNT(Market_Data!$T$21:$T$613)),1)),""))</f>
        <v/>
      </c>
      <c r="I389" s="146" t="str">
        <f ca="1">IF($A389="","",IFERROR(INDEX(Query1[Close],MATCH($A389,Query1[Date],1)),""))</f>
        <v/>
      </c>
    </row>
    <row r="390" spans="1:9" x14ac:dyDescent="0.3">
      <c r="A390" s="144" t="str">
        <f t="shared" ref="A390:A453" ca="1" si="8">IF($A389="","",IF($A389+7&lt;=TODAY(),$A389+7,""))</f>
        <v/>
      </c>
      <c r="B390" s="145" t="str">
        <f ca="1">IF($A390="","",IFERROR(INDEX(Market_Data!$C$21:$C$613,MATCH($A390,Market_Data!$B$21:INDEX(Market_Data!$B$21:$B$613,COUNT(Market_Data!$B$21:$B$613)),1)),""))</f>
        <v/>
      </c>
      <c r="C390" s="145" t="str">
        <f ca="1">IF($A390="","",IFERROR(INDEX(Market_Data!$F$21:$F$613,MATCH($A390,Market_Data!$E$21:INDEX(Market_Data!$E$21:$E$613,COUNT(Market_Data!$E$21:$E$613)),1)),""))</f>
        <v/>
      </c>
      <c r="D390" s="145" t="str">
        <f ca="1">IF($A390="","",IFERROR(INDEX(Market_Data!$I$21:$I$613,MATCH($A390,Market_Data!$H$21:INDEX(Market_Data!$H$21:$H$613,COUNT(Market_Data!$H$21:$H$613)),1)),""))</f>
        <v/>
      </c>
      <c r="E390" s="145" t="str">
        <f ca="1">IF($A390="","",IFERROR(INDEX(Market_Data!$L$21:$L$613,MATCH($A390,Market_Data!$K$21:INDEX(Market_Data!$K$21:$K$613,COUNT(Market_Data!$K$21:$K$613)),1)),""))</f>
        <v/>
      </c>
      <c r="F390" s="145" t="str">
        <f ca="1">IF($A390="","",IFERROR(INDEX(Market_Data!$O$21:$O$613,MATCH($A390,Market_Data!$N$21:INDEX(Market_Data!$N$21:$N$613,COUNT(Market_Data!$N$21:$N$613)),1)),""))</f>
        <v/>
      </c>
      <c r="G390" s="145" t="str">
        <f ca="1">IF($A390="","",IFERROR(INDEX(Market_Data!$R$21:$R$613,MATCH($A390,Market_Data!$Q$21:INDEX(Market_Data!$Q$21:$Q$613,COUNT(Market_Data!$Q$21:$Q$613)),1)),""))</f>
        <v/>
      </c>
      <c r="H390" s="145" t="str">
        <f ca="1">IF($A390="","",IFERROR(INDEX(Market_Data!$U$21:$U$613,MATCH($A390,Market_Data!$T$21:INDEX(Market_Data!$T$21:$T$613,COUNT(Market_Data!$T$21:$T$613)),1)),""))</f>
        <v/>
      </c>
      <c r="I390" s="146" t="str">
        <f ca="1">IF($A390="","",IFERROR(INDEX(Query1[Close],MATCH($A390,Query1[Date],1)),""))</f>
        <v/>
      </c>
    </row>
    <row r="391" spans="1:9" x14ac:dyDescent="0.3">
      <c r="A391" s="144" t="str">
        <f t="shared" ca="1" si="8"/>
        <v/>
      </c>
      <c r="B391" s="145" t="str">
        <f ca="1">IF($A391="","",IFERROR(INDEX(Market_Data!$C$21:$C$613,MATCH($A391,Market_Data!$B$21:INDEX(Market_Data!$B$21:$B$613,COUNT(Market_Data!$B$21:$B$613)),1)),""))</f>
        <v/>
      </c>
      <c r="C391" s="145" t="str">
        <f ca="1">IF($A391="","",IFERROR(INDEX(Market_Data!$F$21:$F$613,MATCH($A391,Market_Data!$E$21:INDEX(Market_Data!$E$21:$E$613,COUNT(Market_Data!$E$21:$E$613)),1)),""))</f>
        <v/>
      </c>
      <c r="D391" s="145" t="str">
        <f ca="1">IF($A391="","",IFERROR(INDEX(Market_Data!$I$21:$I$613,MATCH($A391,Market_Data!$H$21:INDEX(Market_Data!$H$21:$H$613,COUNT(Market_Data!$H$21:$H$613)),1)),""))</f>
        <v/>
      </c>
      <c r="E391" s="145" t="str">
        <f ca="1">IF($A391="","",IFERROR(INDEX(Market_Data!$L$21:$L$613,MATCH($A391,Market_Data!$K$21:INDEX(Market_Data!$K$21:$K$613,COUNT(Market_Data!$K$21:$K$613)),1)),""))</f>
        <v/>
      </c>
      <c r="F391" s="145" t="str">
        <f ca="1">IF($A391="","",IFERROR(INDEX(Market_Data!$O$21:$O$613,MATCH($A391,Market_Data!$N$21:INDEX(Market_Data!$N$21:$N$613,COUNT(Market_Data!$N$21:$N$613)),1)),""))</f>
        <v/>
      </c>
      <c r="G391" s="145" t="str">
        <f ca="1">IF($A391="","",IFERROR(INDEX(Market_Data!$R$21:$R$613,MATCH($A391,Market_Data!$Q$21:INDEX(Market_Data!$Q$21:$Q$613,COUNT(Market_Data!$Q$21:$Q$613)),1)),""))</f>
        <v/>
      </c>
      <c r="H391" s="145" t="str">
        <f ca="1">IF($A391="","",IFERROR(INDEX(Market_Data!$U$21:$U$613,MATCH($A391,Market_Data!$T$21:INDEX(Market_Data!$T$21:$T$613,COUNT(Market_Data!$T$21:$T$613)),1)),""))</f>
        <v/>
      </c>
      <c r="I391" s="146" t="str">
        <f ca="1">IF($A391="","",IFERROR(INDEX(Query1[Close],MATCH($A391,Query1[Date],1)),""))</f>
        <v/>
      </c>
    </row>
    <row r="392" spans="1:9" x14ac:dyDescent="0.3">
      <c r="A392" s="144" t="str">
        <f t="shared" ca="1" si="8"/>
        <v/>
      </c>
      <c r="B392" s="145" t="str">
        <f ca="1">IF($A392="","",IFERROR(INDEX(Market_Data!$C$21:$C$613,MATCH($A392,Market_Data!$B$21:INDEX(Market_Data!$B$21:$B$613,COUNT(Market_Data!$B$21:$B$613)),1)),""))</f>
        <v/>
      </c>
      <c r="C392" s="145" t="str">
        <f ca="1">IF($A392="","",IFERROR(INDEX(Market_Data!$F$21:$F$613,MATCH($A392,Market_Data!$E$21:INDEX(Market_Data!$E$21:$E$613,COUNT(Market_Data!$E$21:$E$613)),1)),""))</f>
        <v/>
      </c>
      <c r="D392" s="145" t="str">
        <f ca="1">IF($A392="","",IFERROR(INDEX(Market_Data!$I$21:$I$613,MATCH($A392,Market_Data!$H$21:INDEX(Market_Data!$H$21:$H$613,COUNT(Market_Data!$H$21:$H$613)),1)),""))</f>
        <v/>
      </c>
      <c r="E392" s="145" t="str">
        <f ca="1">IF($A392="","",IFERROR(INDEX(Market_Data!$L$21:$L$613,MATCH($A392,Market_Data!$K$21:INDEX(Market_Data!$K$21:$K$613,COUNT(Market_Data!$K$21:$K$613)),1)),""))</f>
        <v/>
      </c>
      <c r="F392" s="145" t="str">
        <f ca="1">IF($A392="","",IFERROR(INDEX(Market_Data!$O$21:$O$613,MATCH($A392,Market_Data!$N$21:INDEX(Market_Data!$N$21:$N$613,COUNT(Market_Data!$N$21:$N$613)),1)),""))</f>
        <v/>
      </c>
      <c r="G392" s="145" t="str">
        <f ca="1">IF($A392="","",IFERROR(INDEX(Market_Data!$R$21:$R$613,MATCH($A392,Market_Data!$Q$21:INDEX(Market_Data!$Q$21:$Q$613,COUNT(Market_Data!$Q$21:$Q$613)),1)),""))</f>
        <v/>
      </c>
      <c r="H392" s="145" t="str">
        <f ca="1">IF($A392="","",IFERROR(INDEX(Market_Data!$U$21:$U$613,MATCH($A392,Market_Data!$T$21:INDEX(Market_Data!$T$21:$T$613,COUNT(Market_Data!$T$21:$T$613)),1)),""))</f>
        <v/>
      </c>
      <c r="I392" s="146" t="str">
        <f ca="1">IF($A392="","",IFERROR(INDEX(Query1[Close],MATCH($A392,Query1[Date],1)),""))</f>
        <v/>
      </c>
    </row>
    <row r="393" spans="1:9" x14ac:dyDescent="0.3">
      <c r="A393" s="144" t="str">
        <f t="shared" ca="1" si="8"/>
        <v/>
      </c>
      <c r="B393" s="145" t="str">
        <f ca="1">IF($A393="","",IFERROR(INDEX(Market_Data!$C$21:$C$613,MATCH($A393,Market_Data!$B$21:INDEX(Market_Data!$B$21:$B$613,COUNT(Market_Data!$B$21:$B$613)),1)),""))</f>
        <v/>
      </c>
      <c r="C393" s="145" t="str">
        <f ca="1">IF($A393="","",IFERROR(INDEX(Market_Data!$F$21:$F$613,MATCH($A393,Market_Data!$E$21:INDEX(Market_Data!$E$21:$E$613,COUNT(Market_Data!$E$21:$E$613)),1)),""))</f>
        <v/>
      </c>
      <c r="D393" s="145" t="str">
        <f ca="1">IF($A393="","",IFERROR(INDEX(Market_Data!$I$21:$I$613,MATCH($A393,Market_Data!$H$21:INDEX(Market_Data!$H$21:$H$613,COUNT(Market_Data!$H$21:$H$613)),1)),""))</f>
        <v/>
      </c>
      <c r="E393" s="145" t="str">
        <f ca="1">IF($A393="","",IFERROR(INDEX(Market_Data!$L$21:$L$613,MATCH($A393,Market_Data!$K$21:INDEX(Market_Data!$K$21:$K$613,COUNT(Market_Data!$K$21:$K$613)),1)),""))</f>
        <v/>
      </c>
      <c r="F393" s="145" t="str">
        <f ca="1">IF($A393="","",IFERROR(INDEX(Market_Data!$O$21:$O$613,MATCH($A393,Market_Data!$N$21:INDEX(Market_Data!$N$21:$N$613,COUNT(Market_Data!$N$21:$N$613)),1)),""))</f>
        <v/>
      </c>
      <c r="G393" s="145" t="str">
        <f ca="1">IF($A393="","",IFERROR(INDEX(Market_Data!$R$21:$R$613,MATCH($A393,Market_Data!$Q$21:INDEX(Market_Data!$Q$21:$Q$613,COUNT(Market_Data!$Q$21:$Q$613)),1)),""))</f>
        <v/>
      </c>
      <c r="H393" s="145" t="str">
        <f ca="1">IF($A393="","",IFERROR(INDEX(Market_Data!$U$21:$U$613,MATCH($A393,Market_Data!$T$21:INDEX(Market_Data!$T$21:$T$613,COUNT(Market_Data!$T$21:$T$613)),1)),""))</f>
        <v/>
      </c>
      <c r="I393" s="146" t="str">
        <f ca="1">IF($A393="","",IFERROR(INDEX(Query1[Close],MATCH($A393,Query1[Date],1)),""))</f>
        <v/>
      </c>
    </row>
    <row r="394" spans="1:9" x14ac:dyDescent="0.3">
      <c r="A394" s="144" t="str">
        <f t="shared" ca="1" si="8"/>
        <v/>
      </c>
      <c r="B394" s="145" t="str">
        <f ca="1">IF($A394="","",IFERROR(INDEX(Market_Data!$C$21:$C$613,MATCH($A394,Market_Data!$B$21:INDEX(Market_Data!$B$21:$B$613,COUNT(Market_Data!$B$21:$B$613)),1)),""))</f>
        <v/>
      </c>
      <c r="C394" s="145" t="str">
        <f ca="1">IF($A394="","",IFERROR(INDEX(Market_Data!$F$21:$F$613,MATCH($A394,Market_Data!$E$21:INDEX(Market_Data!$E$21:$E$613,COUNT(Market_Data!$E$21:$E$613)),1)),""))</f>
        <v/>
      </c>
      <c r="D394" s="145" t="str">
        <f ca="1">IF($A394="","",IFERROR(INDEX(Market_Data!$I$21:$I$613,MATCH($A394,Market_Data!$H$21:INDEX(Market_Data!$H$21:$H$613,COUNT(Market_Data!$H$21:$H$613)),1)),""))</f>
        <v/>
      </c>
      <c r="E394" s="145" t="str">
        <f ca="1">IF($A394="","",IFERROR(INDEX(Market_Data!$L$21:$L$613,MATCH($A394,Market_Data!$K$21:INDEX(Market_Data!$K$21:$K$613,COUNT(Market_Data!$K$21:$K$613)),1)),""))</f>
        <v/>
      </c>
      <c r="F394" s="145" t="str">
        <f ca="1">IF($A394="","",IFERROR(INDEX(Market_Data!$O$21:$O$613,MATCH($A394,Market_Data!$N$21:INDEX(Market_Data!$N$21:$N$613,COUNT(Market_Data!$N$21:$N$613)),1)),""))</f>
        <v/>
      </c>
      <c r="G394" s="145" t="str">
        <f ca="1">IF($A394="","",IFERROR(INDEX(Market_Data!$R$21:$R$613,MATCH($A394,Market_Data!$Q$21:INDEX(Market_Data!$Q$21:$Q$613,COUNT(Market_Data!$Q$21:$Q$613)),1)),""))</f>
        <v/>
      </c>
      <c r="H394" s="145" t="str">
        <f ca="1">IF($A394="","",IFERROR(INDEX(Market_Data!$U$21:$U$613,MATCH($A394,Market_Data!$T$21:INDEX(Market_Data!$T$21:$T$613,COUNT(Market_Data!$T$21:$T$613)),1)),""))</f>
        <v/>
      </c>
      <c r="I394" s="146" t="str">
        <f ca="1">IF($A394="","",IFERROR(INDEX(Query1[Close],MATCH($A394,Query1[Date],1)),""))</f>
        <v/>
      </c>
    </row>
    <row r="395" spans="1:9" x14ac:dyDescent="0.3">
      <c r="A395" s="144" t="str">
        <f t="shared" ca="1" si="8"/>
        <v/>
      </c>
      <c r="B395" s="145" t="str">
        <f ca="1">IF($A395="","",IFERROR(INDEX(Market_Data!$C$21:$C$613,MATCH($A395,Market_Data!$B$21:INDEX(Market_Data!$B$21:$B$613,COUNT(Market_Data!$B$21:$B$613)),1)),""))</f>
        <v/>
      </c>
      <c r="C395" s="145" t="str">
        <f ca="1">IF($A395="","",IFERROR(INDEX(Market_Data!$F$21:$F$613,MATCH($A395,Market_Data!$E$21:INDEX(Market_Data!$E$21:$E$613,COUNT(Market_Data!$E$21:$E$613)),1)),""))</f>
        <v/>
      </c>
      <c r="D395" s="145" t="str">
        <f ca="1">IF($A395="","",IFERROR(INDEX(Market_Data!$I$21:$I$613,MATCH($A395,Market_Data!$H$21:INDEX(Market_Data!$H$21:$H$613,COUNT(Market_Data!$H$21:$H$613)),1)),""))</f>
        <v/>
      </c>
      <c r="E395" s="145" t="str">
        <f ca="1">IF($A395="","",IFERROR(INDEX(Market_Data!$L$21:$L$613,MATCH($A395,Market_Data!$K$21:INDEX(Market_Data!$K$21:$K$613,COUNT(Market_Data!$K$21:$K$613)),1)),""))</f>
        <v/>
      </c>
      <c r="F395" s="145" t="str">
        <f ca="1">IF($A395="","",IFERROR(INDEX(Market_Data!$O$21:$O$613,MATCH($A395,Market_Data!$N$21:INDEX(Market_Data!$N$21:$N$613,COUNT(Market_Data!$N$21:$N$613)),1)),""))</f>
        <v/>
      </c>
      <c r="G395" s="145" t="str">
        <f ca="1">IF($A395="","",IFERROR(INDEX(Market_Data!$R$21:$R$613,MATCH($A395,Market_Data!$Q$21:INDEX(Market_Data!$Q$21:$Q$613,COUNT(Market_Data!$Q$21:$Q$613)),1)),""))</f>
        <v/>
      </c>
      <c r="H395" s="145" t="str">
        <f ca="1">IF($A395="","",IFERROR(INDEX(Market_Data!$U$21:$U$613,MATCH($A395,Market_Data!$T$21:INDEX(Market_Data!$T$21:$T$613,COUNT(Market_Data!$T$21:$T$613)),1)),""))</f>
        <v/>
      </c>
      <c r="I395" s="146" t="str">
        <f ca="1">IF($A395="","",IFERROR(INDEX(Query1[Close],MATCH($A395,Query1[Date],1)),""))</f>
        <v/>
      </c>
    </row>
    <row r="396" spans="1:9" x14ac:dyDescent="0.3">
      <c r="A396" s="144" t="str">
        <f t="shared" ca="1" si="8"/>
        <v/>
      </c>
      <c r="B396" s="145" t="str">
        <f ca="1">IF($A396="","",IFERROR(INDEX(Market_Data!$C$21:$C$613,MATCH($A396,Market_Data!$B$21:INDEX(Market_Data!$B$21:$B$613,COUNT(Market_Data!$B$21:$B$613)),1)),""))</f>
        <v/>
      </c>
      <c r="C396" s="145" t="str">
        <f ca="1">IF($A396="","",IFERROR(INDEX(Market_Data!$F$21:$F$613,MATCH($A396,Market_Data!$E$21:INDEX(Market_Data!$E$21:$E$613,COUNT(Market_Data!$E$21:$E$613)),1)),""))</f>
        <v/>
      </c>
      <c r="D396" s="145" t="str">
        <f ca="1">IF($A396="","",IFERROR(INDEX(Market_Data!$I$21:$I$613,MATCH($A396,Market_Data!$H$21:INDEX(Market_Data!$H$21:$H$613,COUNT(Market_Data!$H$21:$H$613)),1)),""))</f>
        <v/>
      </c>
      <c r="E396" s="145" t="str">
        <f ca="1">IF($A396="","",IFERROR(INDEX(Market_Data!$L$21:$L$613,MATCH($A396,Market_Data!$K$21:INDEX(Market_Data!$K$21:$K$613,COUNT(Market_Data!$K$21:$K$613)),1)),""))</f>
        <v/>
      </c>
      <c r="F396" s="145" t="str">
        <f ca="1">IF($A396="","",IFERROR(INDEX(Market_Data!$O$21:$O$613,MATCH($A396,Market_Data!$N$21:INDEX(Market_Data!$N$21:$N$613,COUNT(Market_Data!$N$21:$N$613)),1)),""))</f>
        <v/>
      </c>
      <c r="G396" s="145" t="str">
        <f ca="1">IF($A396="","",IFERROR(INDEX(Market_Data!$R$21:$R$613,MATCH($A396,Market_Data!$Q$21:INDEX(Market_Data!$Q$21:$Q$613,COUNT(Market_Data!$Q$21:$Q$613)),1)),""))</f>
        <v/>
      </c>
      <c r="H396" s="145" t="str">
        <f ca="1">IF($A396="","",IFERROR(INDEX(Market_Data!$U$21:$U$613,MATCH($A396,Market_Data!$T$21:INDEX(Market_Data!$T$21:$T$613,COUNT(Market_Data!$T$21:$T$613)),1)),""))</f>
        <v/>
      </c>
      <c r="I396" s="146" t="str">
        <f ca="1">IF($A396="","",IFERROR(INDEX(Query1[Close],MATCH($A396,Query1[Date],1)),""))</f>
        <v/>
      </c>
    </row>
    <row r="397" spans="1:9" x14ac:dyDescent="0.3">
      <c r="A397" s="144" t="str">
        <f t="shared" ca="1" si="8"/>
        <v/>
      </c>
      <c r="B397" s="145" t="str">
        <f ca="1">IF($A397="","",IFERROR(INDEX(Market_Data!$C$21:$C$613,MATCH($A397,Market_Data!$B$21:INDEX(Market_Data!$B$21:$B$613,COUNT(Market_Data!$B$21:$B$613)),1)),""))</f>
        <v/>
      </c>
      <c r="C397" s="145" t="str">
        <f ca="1">IF($A397="","",IFERROR(INDEX(Market_Data!$F$21:$F$613,MATCH($A397,Market_Data!$E$21:INDEX(Market_Data!$E$21:$E$613,COUNT(Market_Data!$E$21:$E$613)),1)),""))</f>
        <v/>
      </c>
      <c r="D397" s="145" t="str">
        <f ca="1">IF($A397="","",IFERROR(INDEX(Market_Data!$I$21:$I$613,MATCH($A397,Market_Data!$H$21:INDEX(Market_Data!$H$21:$H$613,COUNT(Market_Data!$H$21:$H$613)),1)),""))</f>
        <v/>
      </c>
      <c r="E397" s="145" t="str">
        <f ca="1">IF($A397="","",IFERROR(INDEX(Market_Data!$L$21:$L$613,MATCH($A397,Market_Data!$K$21:INDEX(Market_Data!$K$21:$K$613,COUNT(Market_Data!$K$21:$K$613)),1)),""))</f>
        <v/>
      </c>
      <c r="F397" s="145" t="str">
        <f ca="1">IF($A397="","",IFERROR(INDEX(Market_Data!$O$21:$O$613,MATCH($A397,Market_Data!$N$21:INDEX(Market_Data!$N$21:$N$613,COUNT(Market_Data!$N$21:$N$613)),1)),""))</f>
        <v/>
      </c>
      <c r="G397" s="145" t="str">
        <f ca="1">IF($A397="","",IFERROR(INDEX(Market_Data!$R$21:$R$613,MATCH($A397,Market_Data!$Q$21:INDEX(Market_Data!$Q$21:$Q$613,COUNT(Market_Data!$Q$21:$Q$613)),1)),""))</f>
        <v/>
      </c>
      <c r="H397" s="145" t="str">
        <f ca="1">IF($A397="","",IFERROR(INDEX(Market_Data!$U$21:$U$613,MATCH($A397,Market_Data!$T$21:INDEX(Market_Data!$T$21:$T$613,COUNT(Market_Data!$T$21:$T$613)),1)),""))</f>
        <v/>
      </c>
      <c r="I397" s="146" t="str">
        <f ca="1">IF($A397="","",IFERROR(INDEX(Query1[Close],MATCH($A397,Query1[Date],1)),""))</f>
        <v/>
      </c>
    </row>
    <row r="398" spans="1:9" x14ac:dyDescent="0.3">
      <c r="A398" s="144" t="str">
        <f t="shared" ca="1" si="8"/>
        <v/>
      </c>
      <c r="B398" s="145" t="str">
        <f ca="1">IF($A398="","",IFERROR(INDEX(Market_Data!$C$21:$C$613,MATCH($A398,Market_Data!$B$21:INDEX(Market_Data!$B$21:$B$613,COUNT(Market_Data!$B$21:$B$613)),1)),""))</f>
        <v/>
      </c>
      <c r="C398" s="145" t="str">
        <f ca="1">IF($A398="","",IFERROR(INDEX(Market_Data!$F$21:$F$613,MATCH($A398,Market_Data!$E$21:INDEX(Market_Data!$E$21:$E$613,COUNT(Market_Data!$E$21:$E$613)),1)),""))</f>
        <v/>
      </c>
      <c r="D398" s="145" t="str">
        <f ca="1">IF($A398="","",IFERROR(INDEX(Market_Data!$I$21:$I$613,MATCH($A398,Market_Data!$H$21:INDEX(Market_Data!$H$21:$H$613,COUNT(Market_Data!$H$21:$H$613)),1)),""))</f>
        <v/>
      </c>
      <c r="E398" s="145" t="str">
        <f ca="1">IF($A398="","",IFERROR(INDEX(Market_Data!$L$21:$L$613,MATCH($A398,Market_Data!$K$21:INDEX(Market_Data!$K$21:$K$613,COUNT(Market_Data!$K$21:$K$613)),1)),""))</f>
        <v/>
      </c>
      <c r="F398" s="145" t="str">
        <f ca="1">IF($A398="","",IFERROR(INDEX(Market_Data!$O$21:$O$613,MATCH($A398,Market_Data!$N$21:INDEX(Market_Data!$N$21:$N$613,COUNT(Market_Data!$N$21:$N$613)),1)),""))</f>
        <v/>
      </c>
      <c r="G398" s="145" t="str">
        <f ca="1">IF($A398="","",IFERROR(INDEX(Market_Data!$R$21:$R$613,MATCH($A398,Market_Data!$Q$21:INDEX(Market_Data!$Q$21:$Q$613,COUNT(Market_Data!$Q$21:$Q$613)),1)),""))</f>
        <v/>
      </c>
      <c r="H398" s="145" t="str">
        <f ca="1">IF($A398="","",IFERROR(INDEX(Market_Data!$U$21:$U$613,MATCH($A398,Market_Data!$T$21:INDEX(Market_Data!$T$21:$T$613,COUNT(Market_Data!$T$21:$T$613)),1)),""))</f>
        <v/>
      </c>
      <c r="I398" s="146" t="str">
        <f ca="1">IF($A398="","",IFERROR(INDEX(Query1[Close],MATCH($A398,Query1[Date],1)),""))</f>
        <v/>
      </c>
    </row>
    <row r="399" spans="1:9" x14ac:dyDescent="0.3">
      <c r="A399" s="144" t="str">
        <f t="shared" ca="1" si="8"/>
        <v/>
      </c>
      <c r="B399" s="145" t="str">
        <f ca="1">IF($A399="","",IFERROR(INDEX(Market_Data!$C$21:$C$613,MATCH($A399,Market_Data!$B$21:INDEX(Market_Data!$B$21:$B$613,COUNT(Market_Data!$B$21:$B$613)),1)),""))</f>
        <v/>
      </c>
      <c r="C399" s="145" t="str">
        <f ca="1">IF($A399="","",IFERROR(INDEX(Market_Data!$F$21:$F$613,MATCH($A399,Market_Data!$E$21:INDEX(Market_Data!$E$21:$E$613,COUNT(Market_Data!$E$21:$E$613)),1)),""))</f>
        <v/>
      </c>
      <c r="D399" s="145" t="str">
        <f ca="1">IF($A399="","",IFERROR(INDEX(Market_Data!$I$21:$I$613,MATCH($A399,Market_Data!$H$21:INDEX(Market_Data!$H$21:$H$613,COUNT(Market_Data!$H$21:$H$613)),1)),""))</f>
        <v/>
      </c>
      <c r="E399" s="145" t="str">
        <f ca="1">IF($A399="","",IFERROR(INDEX(Market_Data!$L$21:$L$613,MATCH($A399,Market_Data!$K$21:INDEX(Market_Data!$K$21:$K$613,COUNT(Market_Data!$K$21:$K$613)),1)),""))</f>
        <v/>
      </c>
      <c r="F399" s="145" t="str">
        <f ca="1">IF($A399="","",IFERROR(INDEX(Market_Data!$O$21:$O$613,MATCH($A399,Market_Data!$N$21:INDEX(Market_Data!$N$21:$N$613,COUNT(Market_Data!$N$21:$N$613)),1)),""))</f>
        <v/>
      </c>
      <c r="G399" s="145" t="str">
        <f ca="1">IF($A399="","",IFERROR(INDEX(Market_Data!$R$21:$R$613,MATCH($A399,Market_Data!$Q$21:INDEX(Market_Data!$Q$21:$Q$613,COUNT(Market_Data!$Q$21:$Q$613)),1)),""))</f>
        <v/>
      </c>
      <c r="H399" s="145" t="str">
        <f ca="1">IF($A399="","",IFERROR(INDEX(Market_Data!$U$21:$U$613,MATCH($A399,Market_Data!$T$21:INDEX(Market_Data!$T$21:$T$613,COUNT(Market_Data!$T$21:$T$613)),1)),""))</f>
        <v/>
      </c>
      <c r="I399" s="146" t="str">
        <f ca="1">IF($A399="","",IFERROR(INDEX(Query1[Close],MATCH($A399,Query1[Date],1)),""))</f>
        <v/>
      </c>
    </row>
    <row r="400" spans="1:9" x14ac:dyDescent="0.3">
      <c r="A400" s="144" t="str">
        <f t="shared" ca="1" si="8"/>
        <v/>
      </c>
      <c r="B400" s="145" t="str">
        <f ca="1">IF($A400="","",IFERROR(INDEX(Market_Data!$C$21:$C$613,MATCH($A400,Market_Data!$B$21:INDEX(Market_Data!$B$21:$B$613,COUNT(Market_Data!$B$21:$B$613)),1)),""))</f>
        <v/>
      </c>
      <c r="C400" s="145" t="str">
        <f ca="1">IF($A400="","",IFERROR(INDEX(Market_Data!$F$21:$F$613,MATCH($A400,Market_Data!$E$21:INDEX(Market_Data!$E$21:$E$613,COUNT(Market_Data!$E$21:$E$613)),1)),""))</f>
        <v/>
      </c>
      <c r="D400" s="145" t="str">
        <f ca="1">IF($A400="","",IFERROR(INDEX(Market_Data!$I$21:$I$613,MATCH($A400,Market_Data!$H$21:INDEX(Market_Data!$H$21:$H$613,COUNT(Market_Data!$H$21:$H$613)),1)),""))</f>
        <v/>
      </c>
      <c r="E400" s="145" t="str">
        <f ca="1">IF($A400="","",IFERROR(INDEX(Market_Data!$L$21:$L$613,MATCH($A400,Market_Data!$K$21:INDEX(Market_Data!$K$21:$K$613,COUNT(Market_Data!$K$21:$K$613)),1)),""))</f>
        <v/>
      </c>
      <c r="F400" s="145" t="str">
        <f ca="1">IF($A400="","",IFERROR(INDEX(Market_Data!$O$21:$O$613,MATCH($A400,Market_Data!$N$21:INDEX(Market_Data!$N$21:$N$613,COUNT(Market_Data!$N$21:$N$613)),1)),""))</f>
        <v/>
      </c>
      <c r="G400" s="145" t="str">
        <f ca="1">IF($A400="","",IFERROR(INDEX(Market_Data!$R$21:$R$613,MATCH($A400,Market_Data!$Q$21:INDEX(Market_Data!$Q$21:$Q$613,COUNT(Market_Data!$Q$21:$Q$613)),1)),""))</f>
        <v/>
      </c>
      <c r="H400" s="145" t="str">
        <f ca="1">IF($A400="","",IFERROR(INDEX(Market_Data!$U$21:$U$613,MATCH($A400,Market_Data!$T$21:INDEX(Market_Data!$T$21:$T$613,COUNT(Market_Data!$T$21:$T$613)),1)),""))</f>
        <v/>
      </c>
      <c r="I400" s="146" t="str">
        <f ca="1">IF($A400="","",IFERROR(INDEX(Query1[Close],MATCH($A400,Query1[Date],1)),""))</f>
        <v/>
      </c>
    </row>
    <row r="401" spans="1:9" x14ac:dyDescent="0.3">
      <c r="A401" s="144" t="str">
        <f t="shared" ca="1" si="8"/>
        <v/>
      </c>
      <c r="B401" s="145" t="str">
        <f ca="1">IF($A401="","",IFERROR(INDEX(Market_Data!$C$21:$C$613,MATCH($A401,Market_Data!$B$21:INDEX(Market_Data!$B$21:$B$613,COUNT(Market_Data!$B$21:$B$613)),1)),""))</f>
        <v/>
      </c>
      <c r="C401" s="145" t="str">
        <f ca="1">IF($A401="","",IFERROR(INDEX(Market_Data!$F$21:$F$613,MATCH($A401,Market_Data!$E$21:INDEX(Market_Data!$E$21:$E$613,COUNT(Market_Data!$E$21:$E$613)),1)),""))</f>
        <v/>
      </c>
      <c r="D401" s="145" t="str">
        <f ca="1">IF($A401="","",IFERROR(INDEX(Market_Data!$I$21:$I$613,MATCH($A401,Market_Data!$H$21:INDEX(Market_Data!$H$21:$H$613,COUNT(Market_Data!$H$21:$H$613)),1)),""))</f>
        <v/>
      </c>
      <c r="E401" s="145" t="str">
        <f ca="1">IF($A401="","",IFERROR(INDEX(Market_Data!$L$21:$L$613,MATCH($A401,Market_Data!$K$21:INDEX(Market_Data!$K$21:$K$613,COUNT(Market_Data!$K$21:$K$613)),1)),""))</f>
        <v/>
      </c>
      <c r="F401" s="145" t="str">
        <f ca="1">IF($A401="","",IFERROR(INDEX(Market_Data!$O$21:$O$613,MATCH($A401,Market_Data!$N$21:INDEX(Market_Data!$N$21:$N$613,COUNT(Market_Data!$N$21:$N$613)),1)),""))</f>
        <v/>
      </c>
      <c r="G401" s="145" t="str">
        <f ca="1">IF($A401="","",IFERROR(INDEX(Market_Data!$R$21:$R$613,MATCH($A401,Market_Data!$Q$21:INDEX(Market_Data!$Q$21:$Q$613,COUNT(Market_Data!$Q$21:$Q$613)),1)),""))</f>
        <v/>
      </c>
      <c r="H401" s="145" t="str">
        <f ca="1">IF($A401="","",IFERROR(INDEX(Market_Data!$U$21:$U$613,MATCH($A401,Market_Data!$T$21:INDEX(Market_Data!$T$21:$T$613,COUNT(Market_Data!$T$21:$T$613)),1)),""))</f>
        <v/>
      </c>
      <c r="I401" s="146" t="str">
        <f ca="1">IF($A401="","",IFERROR(INDEX(Query1[Close],MATCH($A401,Query1[Date],1)),""))</f>
        <v/>
      </c>
    </row>
    <row r="402" spans="1:9" x14ac:dyDescent="0.3">
      <c r="A402" s="144" t="str">
        <f t="shared" ca="1" si="8"/>
        <v/>
      </c>
      <c r="B402" s="145" t="str">
        <f ca="1">IF($A402="","",IFERROR(INDEX(Market_Data!$C$21:$C$613,MATCH($A402,Market_Data!$B$21:INDEX(Market_Data!$B$21:$B$613,COUNT(Market_Data!$B$21:$B$613)),1)),""))</f>
        <v/>
      </c>
      <c r="C402" s="145" t="str">
        <f ca="1">IF($A402="","",IFERROR(INDEX(Market_Data!$F$21:$F$613,MATCH($A402,Market_Data!$E$21:INDEX(Market_Data!$E$21:$E$613,COUNT(Market_Data!$E$21:$E$613)),1)),""))</f>
        <v/>
      </c>
      <c r="D402" s="145" t="str">
        <f ca="1">IF($A402="","",IFERROR(INDEX(Market_Data!$I$21:$I$613,MATCH($A402,Market_Data!$H$21:INDEX(Market_Data!$H$21:$H$613,COUNT(Market_Data!$H$21:$H$613)),1)),""))</f>
        <v/>
      </c>
      <c r="E402" s="145" t="str">
        <f ca="1">IF($A402="","",IFERROR(INDEX(Market_Data!$L$21:$L$613,MATCH($A402,Market_Data!$K$21:INDEX(Market_Data!$K$21:$K$613,COUNT(Market_Data!$K$21:$K$613)),1)),""))</f>
        <v/>
      </c>
      <c r="F402" s="145" t="str">
        <f ca="1">IF($A402="","",IFERROR(INDEX(Market_Data!$O$21:$O$613,MATCH($A402,Market_Data!$N$21:INDEX(Market_Data!$N$21:$N$613,COUNT(Market_Data!$N$21:$N$613)),1)),""))</f>
        <v/>
      </c>
      <c r="G402" s="145" t="str">
        <f ca="1">IF($A402="","",IFERROR(INDEX(Market_Data!$R$21:$R$613,MATCH($A402,Market_Data!$Q$21:INDEX(Market_Data!$Q$21:$Q$613,COUNT(Market_Data!$Q$21:$Q$613)),1)),""))</f>
        <v/>
      </c>
      <c r="H402" s="145" t="str">
        <f ca="1">IF($A402="","",IFERROR(INDEX(Market_Data!$U$21:$U$613,MATCH($A402,Market_Data!$T$21:INDEX(Market_Data!$T$21:$T$613,COUNT(Market_Data!$T$21:$T$613)),1)),""))</f>
        <v/>
      </c>
      <c r="I402" s="146" t="str">
        <f ca="1">IF($A402="","",IFERROR(INDEX(Query1[Close],MATCH($A402,Query1[Date],1)),""))</f>
        <v/>
      </c>
    </row>
    <row r="403" spans="1:9" x14ac:dyDescent="0.3">
      <c r="A403" s="144" t="str">
        <f t="shared" ca="1" si="8"/>
        <v/>
      </c>
      <c r="B403" s="145" t="str">
        <f ca="1">IF($A403="","",IFERROR(INDEX(Market_Data!$C$21:$C$613,MATCH($A403,Market_Data!$B$21:INDEX(Market_Data!$B$21:$B$613,COUNT(Market_Data!$B$21:$B$613)),1)),""))</f>
        <v/>
      </c>
      <c r="C403" s="145" t="str">
        <f ca="1">IF($A403="","",IFERROR(INDEX(Market_Data!$F$21:$F$613,MATCH($A403,Market_Data!$E$21:INDEX(Market_Data!$E$21:$E$613,COUNT(Market_Data!$E$21:$E$613)),1)),""))</f>
        <v/>
      </c>
      <c r="D403" s="145" t="str">
        <f ca="1">IF($A403="","",IFERROR(INDEX(Market_Data!$I$21:$I$613,MATCH($A403,Market_Data!$H$21:INDEX(Market_Data!$H$21:$H$613,COUNT(Market_Data!$H$21:$H$613)),1)),""))</f>
        <v/>
      </c>
      <c r="E403" s="145" t="str">
        <f ca="1">IF($A403="","",IFERROR(INDEX(Market_Data!$L$21:$L$613,MATCH($A403,Market_Data!$K$21:INDEX(Market_Data!$K$21:$K$613,COUNT(Market_Data!$K$21:$K$613)),1)),""))</f>
        <v/>
      </c>
      <c r="F403" s="145" t="str">
        <f ca="1">IF($A403="","",IFERROR(INDEX(Market_Data!$O$21:$O$613,MATCH($A403,Market_Data!$N$21:INDEX(Market_Data!$N$21:$N$613,COUNT(Market_Data!$N$21:$N$613)),1)),""))</f>
        <v/>
      </c>
      <c r="G403" s="145" t="str">
        <f ca="1">IF($A403="","",IFERROR(INDEX(Market_Data!$R$21:$R$613,MATCH($A403,Market_Data!$Q$21:INDEX(Market_Data!$Q$21:$Q$613,COUNT(Market_Data!$Q$21:$Q$613)),1)),""))</f>
        <v/>
      </c>
      <c r="H403" s="145" t="str">
        <f ca="1">IF($A403="","",IFERROR(INDEX(Market_Data!$U$21:$U$613,MATCH($A403,Market_Data!$T$21:INDEX(Market_Data!$T$21:$T$613,COUNT(Market_Data!$T$21:$T$613)),1)),""))</f>
        <v/>
      </c>
      <c r="I403" s="146" t="str">
        <f ca="1">IF($A403="","",IFERROR(INDEX(Query1[Close],MATCH($A403,Query1[Date],1)),""))</f>
        <v/>
      </c>
    </row>
    <row r="404" spans="1:9" x14ac:dyDescent="0.3">
      <c r="A404" s="144" t="str">
        <f t="shared" ca="1" si="8"/>
        <v/>
      </c>
      <c r="B404" s="145" t="str">
        <f ca="1">IF($A404="","",IFERROR(INDEX(Market_Data!$C$21:$C$613,MATCH($A404,Market_Data!$B$21:INDEX(Market_Data!$B$21:$B$613,COUNT(Market_Data!$B$21:$B$613)),1)),""))</f>
        <v/>
      </c>
      <c r="C404" s="145" t="str">
        <f ca="1">IF($A404="","",IFERROR(INDEX(Market_Data!$F$21:$F$613,MATCH($A404,Market_Data!$E$21:INDEX(Market_Data!$E$21:$E$613,COUNT(Market_Data!$E$21:$E$613)),1)),""))</f>
        <v/>
      </c>
      <c r="D404" s="145" t="str">
        <f ca="1">IF($A404="","",IFERROR(INDEX(Market_Data!$I$21:$I$613,MATCH($A404,Market_Data!$H$21:INDEX(Market_Data!$H$21:$H$613,COUNT(Market_Data!$H$21:$H$613)),1)),""))</f>
        <v/>
      </c>
      <c r="E404" s="145" t="str">
        <f ca="1">IF($A404="","",IFERROR(INDEX(Market_Data!$L$21:$L$613,MATCH($A404,Market_Data!$K$21:INDEX(Market_Data!$K$21:$K$613,COUNT(Market_Data!$K$21:$K$613)),1)),""))</f>
        <v/>
      </c>
      <c r="F404" s="145" t="str">
        <f ca="1">IF($A404="","",IFERROR(INDEX(Market_Data!$O$21:$O$613,MATCH($A404,Market_Data!$N$21:INDEX(Market_Data!$N$21:$N$613,COUNT(Market_Data!$N$21:$N$613)),1)),""))</f>
        <v/>
      </c>
      <c r="G404" s="145" t="str">
        <f ca="1">IF($A404="","",IFERROR(INDEX(Market_Data!$R$21:$R$613,MATCH($A404,Market_Data!$Q$21:INDEX(Market_Data!$Q$21:$Q$613,COUNT(Market_Data!$Q$21:$Q$613)),1)),""))</f>
        <v/>
      </c>
      <c r="H404" s="145" t="str">
        <f ca="1">IF($A404="","",IFERROR(INDEX(Market_Data!$U$21:$U$613,MATCH($A404,Market_Data!$T$21:INDEX(Market_Data!$T$21:$T$613,COUNT(Market_Data!$T$21:$T$613)),1)),""))</f>
        <v/>
      </c>
      <c r="I404" s="146" t="str">
        <f ca="1">IF($A404="","",IFERROR(INDEX(Query1[Close],MATCH($A404,Query1[Date],1)),""))</f>
        <v/>
      </c>
    </row>
    <row r="405" spans="1:9" x14ac:dyDescent="0.3">
      <c r="A405" s="144" t="str">
        <f t="shared" ca="1" si="8"/>
        <v/>
      </c>
      <c r="B405" s="145" t="str">
        <f ca="1">IF($A405="","",IFERROR(INDEX(Market_Data!$C$21:$C$613,MATCH($A405,Market_Data!$B$21:INDEX(Market_Data!$B$21:$B$613,COUNT(Market_Data!$B$21:$B$613)),1)),""))</f>
        <v/>
      </c>
      <c r="C405" s="145" t="str">
        <f ca="1">IF($A405="","",IFERROR(INDEX(Market_Data!$F$21:$F$613,MATCH($A405,Market_Data!$E$21:INDEX(Market_Data!$E$21:$E$613,COUNT(Market_Data!$E$21:$E$613)),1)),""))</f>
        <v/>
      </c>
      <c r="D405" s="145" t="str">
        <f ca="1">IF($A405="","",IFERROR(INDEX(Market_Data!$I$21:$I$613,MATCH($A405,Market_Data!$H$21:INDEX(Market_Data!$H$21:$H$613,COUNT(Market_Data!$H$21:$H$613)),1)),""))</f>
        <v/>
      </c>
      <c r="E405" s="145" t="str">
        <f ca="1">IF($A405="","",IFERROR(INDEX(Market_Data!$L$21:$L$613,MATCH($A405,Market_Data!$K$21:INDEX(Market_Data!$K$21:$K$613,COUNT(Market_Data!$K$21:$K$613)),1)),""))</f>
        <v/>
      </c>
      <c r="F405" s="145" t="str">
        <f ca="1">IF($A405="","",IFERROR(INDEX(Market_Data!$O$21:$O$613,MATCH($A405,Market_Data!$N$21:INDEX(Market_Data!$N$21:$N$613,COUNT(Market_Data!$N$21:$N$613)),1)),""))</f>
        <v/>
      </c>
      <c r="G405" s="145" t="str">
        <f ca="1">IF($A405="","",IFERROR(INDEX(Market_Data!$R$21:$R$613,MATCH($A405,Market_Data!$Q$21:INDEX(Market_Data!$Q$21:$Q$613,COUNT(Market_Data!$Q$21:$Q$613)),1)),""))</f>
        <v/>
      </c>
      <c r="H405" s="145" t="str">
        <f ca="1">IF($A405="","",IFERROR(INDEX(Market_Data!$U$21:$U$613,MATCH($A405,Market_Data!$T$21:INDEX(Market_Data!$T$21:$T$613,COUNT(Market_Data!$T$21:$T$613)),1)),""))</f>
        <v/>
      </c>
      <c r="I405" s="146" t="str">
        <f ca="1">IF($A405="","",IFERROR(INDEX(Query1[Close],MATCH($A405,Query1[Date],1)),""))</f>
        <v/>
      </c>
    </row>
    <row r="406" spans="1:9" x14ac:dyDescent="0.3">
      <c r="A406" s="144" t="str">
        <f t="shared" ca="1" si="8"/>
        <v/>
      </c>
      <c r="B406" s="145" t="str">
        <f ca="1">IF($A406="","",IFERROR(INDEX(Market_Data!$C$21:$C$613,MATCH($A406,Market_Data!$B$21:INDEX(Market_Data!$B$21:$B$613,COUNT(Market_Data!$B$21:$B$613)),1)),""))</f>
        <v/>
      </c>
      <c r="C406" s="145" t="str">
        <f ca="1">IF($A406="","",IFERROR(INDEX(Market_Data!$F$21:$F$613,MATCH($A406,Market_Data!$E$21:INDEX(Market_Data!$E$21:$E$613,COUNT(Market_Data!$E$21:$E$613)),1)),""))</f>
        <v/>
      </c>
      <c r="D406" s="145" t="str">
        <f ca="1">IF($A406="","",IFERROR(INDEX(Market_Data!$I$21:$I$613,MATCH($A406,Market_Data!$H$21:INDEX(Market_Data!$H$21:$H$613,COUNT(Market_Data!$H$21:$H$613)),1)),""))</f>
        <v/>
      </c>
      <c r="E406" s="145" t="str">
        <f ca="1">IF($A406="","",IFERROR(INDEX(Market_Data!$L$21:$L$613,MATCH($A406,Market_Data!$K$21:INDEX(Market_Data!$K$21:$K$613,COUNT(Market_Data!$K$21:$K$613)),1)),""))</f>
        <v/>
      </c>
      <c r="F406" s="145" t="str">
        <f ca="1">IF($A406="","",IFERROR(INDEX(Market_Data!$O$21:$O$613,MATCH($A406,Market_Data!$N$21:INDEX(Market_Data!$N$21:$N$613,COUNT(Market_Data!$N$21:$N$613)),1)),""))</f>
        <v/>
      </c>
      <c r="G406" s="145" t="str">
        <f ca="1">IF($A406="","",IFERROR(INDEX(Market_Data!$R$21:$R$613,MATCH($A406,Market_Data!$Q$21:INDEX(Market_Data!$Q$21:$Q$613,COUNT(Market_Data!$Q$21:$Q$613)),1)),""))</f>
        <v/>
      </c>
      <c r="H406" s="145" t="str">
        <f ca="1">IF($A406="","",IFERROR(INDEX(Market_Data!$U$21:$U$613,MATCH($A406,Market_Data!$T$21:INDEX(Market_Data!$T$21:$T$613,COUNT(Market_Data!$T$21:$T$613)),1)),""))</f>
        <v/>
      </c>
      <c r="I406" s="146" t="str">
        <f ca="1">IF($A406="","",IFERROR(INDEX(Query1[Close],MATCH($A406,Query1[Date],1)),""))</f>
        <v/>
      </c>
    </row>
    <row r="407" spans="1:9" x14ac:dyDescent="0.3">
      <c r="A407" s="144" t="str">
        <f t="shared" ca="1" si="8"/>
        <v/>
      </c>
      <c r="B407" s="145" t="str">
        <f ca="1">IF($A407="","",IFERROR(INDEX(Market_Data!$C$21:$C$613,MATCH($A407,Market_Data!$B$21:INDEX(Market_Data!$B$21:$B$613,COUNT(Market_Data!$B$21:$B$613)),1)),""))</f>
        <v/>
      </c>
      <c r="C407" s="145" t="str">
        <f ca="1">IF($A407="","",IFERROR(INDEX(Market_Data!$F$21:$F$613,MATCH($A407,Market_Data!$E$21:INDEX(Market_Data!$E$21:$E$613,COUNT(Market_Data!$E$21:$E$613)),1)),""))</f>
        <v/>
      </c>
      <c r="D407" s="145" t="str">
        <f ca="1">IF($A407="","",IFERROR(INDEX(Market_Data!$I$21:$I$613,MATCH($A407,Market_Data!$H$21:INDEX(Market_Data!$H$21:$H$613,COUNT(Market_Data!$H$21:$H$613)),1)),""))</f>
        <v/>
      </c>
      <c r="E407" s="145" t="str">
        <f ca="1">IF($A407="","",IFERROR(INDEX(Market_Data!$L$21:$L$613,MATCH($A407,Market_Data!$K$21:INDEX(Market_Data!$K$21:$K$613,COUNT(Market_Data!$K$21:$K$613)),1)),""))</f>
        <v/>
      </c>
      <c r="F407" s="145" t="str">
        <f ca="1">IF($A407="","",IFERROR(INDEX(Market_Data!$O$21:$O$613,MATCH($A407,Market_Data!$N$21:INDEX(Market_Data!$N$21:$N$613,COUNT(Market_Data!$N$21:$N$613)),1)),""))</f>
        <v/>
      </c>
      <c r="G407" s="145" t="str">
        <f ca="1">IF($A407="","",IFERROR(INDEX(Market_Data!$R$21:$R$613,MATCH($A407,Market_Data!$Q$21:INDEX(Market_Data!$Q$21:$Q$613,COUNT(Market_Data!$Q$21:$Q$613)),1)),""))</f>
        <v/>
      </c>
      <c r="H407" s="145" t="str">
        <f ca="1">IF($A407="","",IFERROR(INDEX(Market_Data!$U$21:$U$613,MATCH($A407,Market_Data!$T$21:INDEX(Market_Data!$T$21:$T$613,COUNT(Market_Data!$T$21:$T$613)),1)),""))</f>
        <v/>
      </c>
      <c r="I407" s="146" t="str">
        <f ca="1">IF($A407="","",IFERROR(INDEX(Query1[Close],MATCH($A407,Query1[Date],1)),""))</f>
        <v/>
      </c>
    </row>
    <row r="408" spans="1:9" x14ac:dyDescent="0.3">
      <c r="A408" s="144" t="str">
        <f t="shared" ca="1" si="8"/>
        <v/>
      </c>
      <c r="B408" s="145" t="str">
        <f ca="1">IF($A408="","",IFERROR(INDEX(Market_Data!$C$21:$C$613,MATCH($A408,Market_Data!$B$21:INDEX(Market_Data!$B$21:$B$613,COUNT(Market_Data!$B$21:$B$613)),1)),""))</f>
        <v/>
      </c>
      <c r="C408" s="145" t="str">
        <f ca="1">IF($A408="","",IFERROR(INDEX(Market_Data!$F$21:$F$613,MATCH($A408,Market_Data!$E$21:INDEX(Market_Data!$E$21:$E$613,COUNT(Market_Data!$E$21:$E$613)),1)),""))</f>
        <v/>
      </c>
      <c r="D408" s="145" t="str">
        <f ca="1">IF($A408="","",IFERROR(INDEX(Market_Data!$I$21:$I$613,MATCH($A408,Market_Data!$H$21:INDEX(Market_Data!$H$21:$H$613,COUNT(Market_Data!$H$21:$H$613)),1)),""))</f>
        <v/>
      </c>
      <c r="E408" s="145" t="str">
        <f ca="1">IF($A408="","",IFERROR(INDEX(Market_Data!$L$21:$L$613,MATCH($A408,Market_Data!$K$21:INDEX(Market_Data!$K$21:$K$613,COUNT(Market_Data!$K$21:$K$613)),1)),""))</f>
        <v/>
      </c>
      <c r="F408" s="145" t="str">
        <f ca="1">IF($A408="","",IFERROR(INDEX(Market_Data!$O$21:$O$613,MATCH($A408,Market_Data!$N$21:INDEX(Market_Data!$N$21:$N$613,COUNT(Market_Data!$N$21:$N$613)),1)),""))</f>
        <v/>
      </c>
      <c r="G408" s="145" t="str">
        <f ca="1">IF($A408="","",IFERROR(INDEX(Market_Data!$R$21:$R$613,MATCH($A408,Market_Data!$Q$21:INDEX(Market_Data!$Q$21:$Q$613,COUNT(Market_Data!$Q$21:$Q$613)),1)),""))</f>
        <v/>
      </c>
      <c r="H408" s="145" t="str">
        <f ca="1">IF($A408="","",IFERROR(INDEX(Market_Data!$U$21:$U$613,MATCH($A408,Market_Data!$T$21:INDEX(Market_Data!$T$21:$T$613,COUNT(Market_Data!$T$21:$T$613)),1)),""))</f>
        <v/>
      </c>
      <c r="I408" s="146" t="str">
        <f ca="1">IF($A408="","",IFERROR(INDEX(Query1[Close],MATCH($A408,Query1[Date],1)),""))</f>
        <v/>
      </c>
    </row>
    <row r="409" spans="1:9" x14ac:dyDescent="0.3">
      <c r="A409" s="144" t="str">
        <f t="shared" ca="1" si="8"/>
        <v/>
      </c>
      <c r="B409" s="145" t="str">
        <f ca="1">IF($A409="","",IFERROR(INDEX(Market_Data!$C$21:$C$613,MATCH($A409,Market_Data!$B$21:INDEX(Market_Data!$B$21:$B$613,COUNT(Market_Data!$B$21:$B$613)),1)),""))</f>
        <v/>
      </c>
      <c r="C409" s="145" t="str">
        <f ca="1">IF($A409="","",IFERROR(INDEX(Market_Data!$F$21:$F$613,MATCH($A409,Market_Data!$E$21:INDEX(Market_Data!$E$21:$E$613,COUNT(Market_Data!$E$21:$E$613)),1)),""))</f>
        <v/>
      </c>
      <c r="D409" s="145" t="str">
        <f ca="1">IF($A409="","",IFERROR(INDEX(Market_Data!$I$21:$I$613,MATCH($A409,Market_Data!$H$21:INDEX(Market_Data!$H$21:$H$613,COUNT(Market_Data!$H$21:$H$613)),1)),""))</f>
        <v/>
      </c>
      <c r="E409" s="145" t="str">
        <f ca="1">IF($A409="","",IFERROR(INDEX(Market_Data!$L$21:$L$613,MATCH($A409,Market_Data!$K$21:INDEX(Market_Data!$K$21:$K$613,COUNT(Market_Data!$K$21:$K$613)),1)),""))</f>
        <v/>
      </c>
      <c r="F409" s="145" t="str">
        <f ca="1">IF($A409="","",IFERROR(INDEX(Market_Data!$O$21:$O$613,MATCH($A409,Market_Data!$N$21:INDEX(Market_Data!$N$21:$N$613,COUNT(Market_Data!$N$21:$N$613)),1)),""))</f>
        <v/>
      </c>
      <c r="G409" s="145" t="str">
        <f ca="1">IF($A409="","",IFERROR(INDEX(Market_Data!$R$21:$R$613,MATCH($A409,Market_Data!$Q$21:INDEX(Market_Data!$Q$21:$Q$613,COUNT(Market_Data!$Q$21:$Q$613)),1)),""))</f>
        <v/>
      </c>
      <c r="H409" s="145" t="str">
        <f ca="1">IF($A409="","",IFERROR(INDEX(Market_Data!$U$21:$U$613,MATCH($A409,Market_Data!$T$21:INDEX(Market_Data!$T$21:$T$613,COUNT(Market_Data!$T$21:$T$613)),1)),""))</f>
        <v/>
      </c>
      <c r="I409" s="146" t="str">
        <f ca="1">IF($A409="","",IFERROR(INDEX(Query1[Close],MATCH($A409,Query1[Date],1)),""))</f>
        <v/>
      </c>
    </row>
    <row r="410" spans="1:9" x14ac:dyDescent="0.3">
      <c r="A410" s="144" t="str">
        <f t="shared" ca="1" si="8"/>
        <v/>
      </c>
      <c r="B410" s="145" t="str">
        <f ca="1">IF($A410="","",IFERROR(INDEX(Market_Data!$C$21:$C$613,MATCH($A410,Market_Data!$B$21:INDEX(Market_Data!$B$21:$B$613,COUNT(Market_Data!$B$21:$B$613)),1)),""))</f>
        <v/>
      </c>
      <c r="C410" s="145" t="str">
        <f ca="1">IF($A410="","",IFERROR(INDEX(Market_Data!$F$21:$F$613,MATCH($A410,Market_Data!$E$21:INDEX(Market_Data!$E$21:$E$613,COUNT(Market_Data!$E$21:$E$613)),1)),""))</f>
        <v/>
      </c>
      <c r="D410" s="145" t="str">
        <f ca="1">IF($A410="","",IFERROR(INDEX(Market_Data!$I$21:$I$613,MATCH($A410,Market_Data!$H$21:INDEX(Market_Data!$H$21:$H$613,COUNT(Market_Data!$H$21:$H$613)),1)),""))</f>
        <v/>
      </c>
      <c r="E410" s="145" t="str">
        <f ca="1">IF($A410="","",IFERROR(INDEX(Market_Data!$L$21:$L$613,MATCH($A410,Market_Data!$K$21:INDEX(Market_Data!$K$21:$K$613,COUNT(Market_Data!$K$21:$K$613)),1)),""))</f>
        <v/>
      </c>
      <c r="F410" s="145" t="str">
        <f ca="1">IF($A410="","",IFERROR(INDEX(Market_Data!$O$21:$O$613,MATCH($A410,Market_Data!$N$21:INDEX(Market_Data!$N$21:$N$613,COUNT(Market_Data!$N$21:$N$613)),1)),""))</f>
        <v/>
      </c>
      <c r="G410" s="145" t="str">
        <f ca="1">IF($A410="","",IFERROR(INDEX(Market_Data!$R$21:$R$613,MATCH($A410,Market_Data!$Q$21:INDEX(Market_Data!$Q$21:$Q$613,COUNT(Market_Data!$Q$21:$Q$613)),1)),""))</f>
        <v/>
      </c>
      <c r="H410" s="145" t="str">
        <f ca="1">IF($A410="","",IFERROR(INDEX(Market_Data!$U$21:$U$613,MATCH($A410,Market_Data!$T$21:INDEX(Market_Data!$T$21:$T$613,COUNT(Market_Data!$T$21:$T$613)),1)),""))</f>
        <v/>
      </c>
      <c r="I410" s="146" t="str">
        <f ca="1">IF($A410="","",IFERROR(INDEX(Query1[Close],MATCH($A410,Query1[Date],1)),""))</f>
        <v/>
      </c>
    </row>
    <row r="411" spans="1:9" x14ac:dyDescent="0.3">
      <c r="A411" s="144" t="str">
        <f t="shared" ca="1" si="8"/>
        <v/>
      </c>
      <c r="B411" s="145" t="str">
        <f ca="1">IF($A411="","",IFERROR(INDEX(Market_Data!$C$21:$C$613,MATCH($A411,Market_Data!$B$21:INDEX(Market_Data!$B$21:$B$613,COUNT(Market_Data!$B$21:$B$613)),1)),""))</f>
        <v/>
      </c>
      <c r="C411" s="145" t="str">
        <f ca="1">IF($A411="","",IFERROR(INDEX(Market_Data!$F$21:$F$613,MATCH($A411,Market_Data!$E$21:INDEX(Market_Data!$E$21:$E$613,COUNT(Market_Data!$E$21:$E$613)),1)),""))</f>
        <v/>
      </c>
      <c r="D411" s="145" t="str">
        <f ca="1">IF($A411="","",IFERROR(INDEX(Market_Data!$I$21:$I$613,MATCH($A411,Market_Data!$H$21:INDEX(Market_Data!$H$21:$H$613,COUNT(Market_Data!$H$21:$H$613)),1)),""))</f>
        <v/>
      </c>
      <c r="E411" s="145" t="str">
        <f ca="1">IF($A411="","",IFERROR(INDEX(Market_Data!$L$21:$L$613,MATCH($A411,Market_Data!$K$21:INDEX(Market_Data!$K$21:$K$613,COUNT(Market_Data!$K$21:$K$613)),1)),""))</f>
        <v/>
      </c>
      <c r="F411" s="145" t="str">
        <f ca="1">IF($A411="","",IFERROR(INDEX(Market_Data!$O$21:$O$613,MATCH($A411,Market_Data!$N$21:INDEX(Market_Data!$N$21:$N$613,COUNT(Market_Data!$N$21:$N$613)),1)),""))</f>
        <v/>
      </c>
      <c r="G411" s="145" t="str">
        <f ca="1">IF($A411="","",IFERROR(INDEX(Market_Data!$R$21:$R$613,MATCH($A411,Market_Data!$Q$21:INDEX(Market_Data!$Q$21:$Q$613,COUNT(Market_Data!$Q$21:$Q$613)),1)),""))</f>
        <v/>
      </c>
      <c r="H411" s="145" t="str">
        <f ca="1">IF($A411="","",IFERROR(INDEX(Market_Data!$U$21:$U$613,MATCH($A411,Market_Data!$T$21:INDEX(Market_Data!$T$21:$T$613,COUNT(Market_Data!$T$21:$T$613)),1)),""))</f>
        <v/>
      </c>
      <c r="I411" s="146" t="str">
        <f ca="1">IF($A411="","",IFERROR(INDEX(Query1[Close],MATCH($A411,Query1[Date],1)),""))</f>
        <v/>
      </c>
    </row>
    <row r="412" spans="1:9" x14ac:dyDescent="0.3">
      <c r="A412" s="144" t="str">
        <f t="shared" ca="1" si="8"/>
        <v/>
      </c>
      <c r="B412" s="145" t="str">
        <f ca="1">IF($A412="","",IFERROR(INDEX(Market_Data!$C$21:$C$613,MATCH($A412,Market_Data!$B$21:INDEX(Market_Data!$B$21:$B$613,COUNT(Market_Data!$B$21:$B$613)),1)),""))</f>
        <v/>
      </c>
      <c r="C412" s="145" t="str">
        <f ca="1">IF($A412="","",IFERROR(INDEX(Market_Data!$F$21:$F$613,MATCH($A412,Market_Data!$E$21:INDEX(Market_Data!$E$21:$E$613,COUNT(Market_Data!$E$21:$E$613)),1)),""))</f>
        <v/>
      </c>
      <c r="D412" s="145" t="str">
        <f ca="1">IF($A412="","",IFERROR(INDEX(Market_Data!$I$21:$I$613,MATCH($A412,Market_Data!$H$21:INDEX(Market_Data!$H$21:$H$613,COUNT(Market_Data!$H$21:$H$613)),1)),""))</f>
        <v/>
      </c>
      <c r="E412" s="145" t="str">
        <f ca="1">IF($A412="","",IFERROR(INDEX(Market_Data!$L$21:$L$613,MATCH($A412,Market_Data!$K$21:INDEX(Market_Data!$K$21:$K$613,COUNT(Market_Data!$K$21:$K$613)),1)),""))</f>
        <v/>
      </c>
      <c r="F412" s="145" t="str">
        <f ca="1">IF($A412="","",IFERROR(INDEX(Market_Data!$O$21:$O$613,MATCH($A412,Market_Data!$N$21:INDEX(Market_Data!$N$21:$N$613,COUNT(Market_Data!$N$21:$N$613)),1)),""))</f>
        <v/>
      </c>
      <c r="G412" s="145" t="str">
        <f ca="1">IF($A412="","",IFERROR(INDEX(Market_Data!$R$21:$R$613,MATCH($A412,Market_Data!$Q$21:INDEX(Market_Data!$Q$21:$Q$613,COUNT(Market_Data!$Q$21:$Q$613)),1)),""))</f>
        <v/>
      </c>
      <c r="H412" s="145" t="str">
        <f ca="1">IF($A412="","",IFERROR(INDEX(Market_Data!$U$21:$U$613,MATCH($A412,Market_Data!$T$21:INDEX(Market_Data!$T$21:$T$613,COUNT(Market_Data!$T$21:$T$613)),1)),""))</f>
        <v/>
      </c>
      <c r="I412" s="146" t="str">
        <f ca="1">IF($A412="","",IFERROR(INDEX(Query1[Close],MATCH($A412,Query1[Date],1)),""))</f>
        <v/>
      </c>
    </row>
    <row r="413" spans="1:9" x14ac:dyDescent="0.3">
      <c r="A413" s="144" t="str">
        <f t="shared" ca="1" si="8"/>
        <v/>
      </c>
      <c r="B413" s="145" t="str">
        <f ca="1">IF($A413="","",IFERROR(INDEX(Market_Data!$C$21:$C$613,MATCH($A413,Market_Data!$B$21:INDEX(Market_Data!$B$21:$B$613,COUNT(Market_Data!$B$21:$B$613)),1)),""))</f>
        <v/>
      </c>
      <c r="C413" s="145" t="str">
        <f ca="1">IF($A413="","",IFERROR(INDEX(Market_Data!$F$21:$F$613,MATCH($A413,Market_Data!$E$21:INDEX(Market_Data!$E$21:$E$613,COUNT(Market_Data!$E$21:$E$613)),1)),""))</f>
        <v/>
      </c>
      <c r="D413" s="145" t="str">
        <f ca="1">IF($A413="","",IFERROR(INDEX(Market_Data!$I$21:$I$613,MATCH($A413,Market_Data!$H$21:INDEX(Market_Data!$H$21:$H$613,COUNT(Market_Data!$H$21:$H$613)),1)),""))</f>
        <v/>
      </c>
      <c r="E413" s="145" t="str">
        <f ca="1">IF($A413="","",IFERROR(INDEX(Market_Data!$L$21:$L$613,MATCH($A413,Market_Data!$K$21:INDEX(Market_Data!$K$21:$K$613,COUNT(Market_Data!$K$21:$K$613)),1)),""))</f>
        <v/>
      </c>
      <c r="F413" s="145" t="str">
        <f ca="1">IF($A413="","",IFERROR(INDEX(Market_Data!$O$21:$O$613,MATCH($A413,Market_Data!$N$21:INDEX(Market_Data!$N$21:$N$613,COUNT(Market_Data!$N$21:$N$613)),1)),""))</f>
        <v/>
      </c>
      <c r="G413" s="145" t="str">
        <f ca="1">IF($A413="","",IFERROR(INDEX(Market_Data!$R$21:$R$613,MATCH($A413,Market_Data!$Q$21:INDEX(Market_Data!$Q$21:$Q$613,COUNT(Market_Data!$Q$21:$Q$613)),1)),""))</f>
        <v/>
      </c>
      <c r="H413" s="145" t="str">
        <f ca="1">IF($A413="","",IFERROR(INDEX(Market_Data!$U$21:$U$613,MATCH($A413,Market_Data!$T$21:INDEX(Market_Data!$T$21:$T$613,COUNT(Market_Data!$T$21:$T$613)),1)),""))</f>
        <v/>
      </c>
      <c r="I413" s="146" t="str">
        <f ca="1">IF($A413="","",IFERROR(INDEX(Query1[Close],MATCH($A413,Query1[Date],1)),""))</f>
        <v/>
      </c>
    </row>
    <row r="414" spans="1:9" x14ac:dyDescent="0.3">
      <c r="A414" s="144" t="str">
        <f t="shared" ca="1" si="8"/>
        <v/>
      </c>
      <c r="B414" s="145" t="str">
        <f ca="1">IF($A414="","",IFERROR(INDEX(Market_Data!$C$21:$C$613,MATCH($A414,Market_Data!$B$21:INDEX(Market_Data!$B$21:$B$613,COUNT(Market_Data!$B$21:$B$613)),1)),""))</f>
        <v/>
      </c>
      <c r="C414" s="145" t="str">
        <f ca="1">IF($A414="","",IFERROR(INDEX(Market_Data!$F$21:$F$613,MATCH($A414,Market_Data!$E$21:INDEX(Market_Data!$E$21:$E$613,COUNT(Market_Data!$E$21:$E$613)),1)),""))</f>
        <v/>
      </c>
      <c r="D414" s="145" t="str">
        <f ca="1">IF($A414="","",IFERROR(INDEX(Market_Data!$I$21:$I$613,MATCH($A414,Market_Data!$H$21:INDEX(Market_Data!$H$21:$H$613,COUNT(Market_Data!$H$21:$H$613)),1)),""))</f>
        <v/>
      </c>
      <c r="E414" s="145" t="str">
        <f ca="1">IF($A414="","",IFERROR(INDEX(Market_Data!$L$21:$L$613,MATCH($A414,Market_Data!$K$21:INDEX(Market_Data!$K$21:$K$613,COUNT(Market_Data!$K$21:$K$613)),1)),""))</f>
        <v/>
      </c>
      <c r="F414" s="145" t="str">
        <f ca="1">IF($A414="","",IFERROR(INDEX(Market_Data!$O$21:$O$613,MATCH($A414,Market_Data!$N$21:INDEX(Market_Data!$N$21:$N$613,COUNT(Market_Data!$N$21:$N$613)),1)),""))</f>
        <v/>
      </c>
      <c r="G414" s="145" t="str">
        <f ca="1">IF($A414="","",IFERROR(INDEX(Market_Data!$R$21:$R$613,MATCH($A414,Market_Data!$Q$21:INDEX(Market_Data!$Q$21:$Q$613,COUNT(Market_Data!$Q$21:$Q$613)),1)),""))</f>
        <v/>
      </c>
      <c r="H414" s="145" t="str">
        <f ca="1">IF($A414="","",IFERROR(INDEX(Market_Data!$U$21:$U$613,MATCH($A414,Market_Data!$T$21:INDEX(Market_Data!$T$21:$T$613,COUNT(Market_Data!$T$21:$T$613)),1)),""))</f>
        <v/>
      </c>
      <c r="I414" s="146" t="str">
        <f ca="1">IF($A414="","",IFERROR(INDEX(Query1[Close],MATCH($A414,Query1[Date],1)),""))</f>
        <v/>
      </c>
    </row>
    <row r="415" spans="1:9" x14ac:dyDescent="0.3">
      <c r="A415" s="144" t="str">
        <f t="shared" ca="1" si="8"/>
        <v/>
      </c>
      <c r="B415" s="145" t="str">
        <f ca="1">IF($A415="","",IFERROR(INDEX(Market_Data!$C$21:$C$613,MATCH($A415,Market_Data!$B$21:INDEX(Market_Data!$B$21:$B$613,COUNT(Market_Data!$B$21:$B$613)),1)),""))</f>
        <v/>
      </c>
      <c r="C415" s="145" t="str">
        <f ca="1">IF($A415="","",IFERROR(INDEX(Market_Data!$F$21:$F$613,MATCH($A415,Market_Data!$E$21:INDEX(Market_Data!$E$21:$E$613,COUNT(Market_Data!$E$21:$E$613)),1)),""))</f>
        <v/>
      </c>
      <c r="D415" s="145" t="str">
        <f ca="1">IF($A415="","",IFERROR(INDEX(Market_Data!$I$21:$I$613,MATCH($A415,Market_Data!$H$21:INDEX(Market_Data!$H$21:$H$613,COUNT(Market_Data!$H$21:$H$613)),1)),""))</f>
        <v/>
      </c>
      <c r="E415" s="145" t="str">
        <f ca="1">IF($A415="","",IFERROR(INDEX(Market_Data!$L$21:$L$613,MATCH($A415,Market_Data!$K$21:INDEX(Market_Data!$K$21:$K$613,COUNT(Market_Data!$K$21:$K$613)),1)),""))</f>
        <v/>
      </c>
      <c r="F415" s="145" t="str">
        <f ca="1">IF($A415="","",IFERROR(INDEX(Market_Data!$O$21:$O$613,MATCH($A415,Market_Data!$N$21:INDEX(Market_Data!$N$21:$N$613,COUNT(Market_Data!$N$21:$N$613)),1)),""))</f>
        <v/>
      </c>
      <c r="G415" s="145" t="str">
        <f ca="1">IF($A415="","",IFERROR(INDEX(Market_Data!$R$21:$R$613,MATCH($A415,Market_Data!$Q$21:INDEX(Market_Data!$Q$21:$Q$613,COUNT(Market_Data!$Q$21:$Q$613)),1)),""))</f>
        <v/>
      </c>
      <c r="H415" s="145" t="str">
        <f ca="1">IF($A415="","",IFERROR(INDEX(Market_Data!$U$21:$U$613,MATCH($A415,Market_Data!$T$21:INDEX(Market_Data!$T$21:$T$613,COUNT(Market_Data!$T$21:$T$613)),1)),""))</f>
        <v/>
      </c>
      <c r="I415" s="146" t="str">
        <f ca="1">IF($A415="","",IFERROR(INDEX(Query1[Close],MATCH($A415,Query1[Date],1)),""))</f>
        <v/>
      </c>
    </row>
    <row r="416" spans="1:9" x14ac:dyDescent="0.3">
      <c r="A416" s="144" t="str">
        <f t="shared" ca="1" si="8"/>
        <v/>
      </c>
      <c r="B416" s="145" t="str">
        <f ca="1">IF($A416="","",IFERROR(INDEX(Market_Data!$C$21:$C$613,MATCH($A416,Market_Data!$B$21:INDEX(Market_Data!$B$21:$B$613,COUNT(Market_Data!$B$21:$B$613)),1)),""))</f>
        <v/>
      </c>
      <c r="C416" s="145" t="str">
        <f ca="1">IF($A416="","",IFERROR(INDEX(Market_Data!$F$21:$F$613,MATCH($A416,Market_Data!$E$21:INDEX(Market_Data!$E$21:$E$613,COUNT(Market_Data!$E$21:$E$613)),1)),""))</f>
        <v/>
      </c>
      <c r="D416" s="145" t="str">
        <f ca="1">IF($A416="","",IFERROR(INDEX(Market_Data!$I$21:$I$613,MATCH($A416,Market_Data!$H$21:INDEX(Market_Data!$H$21:$H$613,COUNT(Market_Data!$H$21:$H$613)),1)),""))</f>
        <v/>
      </c>
      <c r="E416" s="145" t="str">
        <f ca="1">IF($A416="","",IFERROR(INDEX(Market_Data!$L$21:$L$613,MATCH($A416,Market_Data!$K$21:INDEX(Market_Data!$K$21:$K$613,COUNT(Market_Data!$K$21:$K$613)),1)),""))</f>
        <v/>
      </c>
      <c r="F416" s="145" t="str">
        <f ca="1">IF($A416="","",IFERROR(INDEX(Market_Data!$O$21:$O$613,MATCH($A416,Market_Data!$N$21:INDEX(Market_Data!$N$21:$N$613,COUNT(Market_Data!$N$21:$N$613)),1)),""))</f>
        <v/>
      </c>
      <c r="G416" s="145" t="str">
        <f ca="1">IF($A416="","",IFERROR(INDEX(Market_Data!$R$21:$R$613,MATCH($A416,Market_Data!$Q$21:INDEX(Market_Data!$Q$21:$Q$613,COUNT(Market_Data!$Q$21:$Q$613)),1)),""))</f>
        <v/>
      </c>
      <c r="H416" s="145" t="str">
        <f ca="1">IF($A416="","",IFERROR(INDEX(Market_Data!$U$21:$U$613,MATCH($A416,Market_Data!$T$21:INDEX(Market_Data!$T$21:$T$613,COUNT(Market_Data!$T$21:$T$613)),1)),""))</f>
        <v/>
      </c>
      <c r="I416" s="146" t="str">
        <f ca="1">IF($A416="","",IFERROR(INDEX(Query1[Close],MATCH($A416,Query1[Date],1)),""))</f>
        <v/>
      </c>
    </row>
    <row r="417" spans="1:9" x14ac:dyDescent="0.3">
      <c r="A417" s="144" t="str">
        <f t="shared" ca="1" si="8"/>
        <v/>
      </c>
      <c r="B417" s="145" t="str">
        <f ca="1">IF($A417="","",IFERROR(INDEX(Market_Data!$C$21:$C$613,MATCH($A417,Market_Data!$B$21:INDEX(Market_Data!$B$21:$B$613,COUNT(Market_Data!$B$21:$B$613)),1)),""))</f>
        <v/>
      </c>
      <c r="C417" s="145" t="str">
        <f ca="1">IF($A417="","",IFERROR(INDEX(Market_Data!$F$21:$F$613,MATCH($A417,Market_Data!$E$21:INDEX(Market_Data!$E$21:$E$613,COUNT(Market_Data!$E$21:$E$613)),1)),""))</f>
        <v/>
      </c>
      <c r="D417" s="145" t="str">
        <f ca="1">IF($A417="","",IFERROR(INDEX(Market_Data!$I$21:$I$613,MATCH($A417,Market_Data!$H$21:INDEX(Market_Data!$H$21:$H$613,COUNT(Market_Data!$H$21:$H$613)),1)),""))</f>
        <v/>
      </c>
      <c r="E417" s="145" t="str">
        <f ca="1">IF($A417="","",IFERROR(INDEX(Market_Data!$L$21:$L$613,MATCH($A417,Market_Data!$K$21:INDEX(Market_Data!$K$21:$K$613,COUNT(Market_Data!$K$21:$K$613)),1)),""))</f>
        <v/>
      </c>
      <c r="F417" s="145" t="str">
        <f ca="1">IF($A417="","",IFERROR(INDEX(Market_Data!$O$21:$O$613,MATCH($A417,Market_Data!$N$21:INDEX(Market_Data!$N$21:$N$613,COUNT(Market_Data!$N$21:$N$613)),1)),""))</f>
        <v/>
      </c>
      <c r="G417" s="145" t="str">
        <f ca="1">IF($A417="","",IFERROR(INDEX(Market_Data!$R$21:$R$613,MATCH($A417,Market_Data!$Q$21:INDEX(Market_Data!$Q$21:$Q$613,COUNT(Market_Data!$Q$21:$Q$613)),1)),""))</f>
        <v/>
      </c>
      <c r="H417" s="145" t="str">
        <f ca="1">IF($A417="","",IFERROR(INDEX(Market_Data!$U$21:$U$613,MATCH($A417,Market_Data!$T$21:INDEX(Market_Data!$T$21:$T$613,COUNT(Market_Data!$T$21:$T$613)),1)),""))</f>
        <v/>
      </c>
      <c r="I417" s="146" t="str">
        <f ca="1">IF($A417="","",IFERROR(INDEX(Query1[Close],MATCH($A417,Query1[Date],1)),""))</f>
        <v/>
      </c>
    </row>
    <row r="418" spans="1:9" x14ac:dyDescent="0.3">
      <c r="A418" s="144" t="str">
        <f t="shared" ca="1" si="8"/>
        <v/>
      </c>
      <c r="B418" s="145" t="str">
        <f ca="1">IF($A418="","",IFERROR(INDEX(Market_Data!$C$21:$C$613,MATCH($A418,Market_Data!$B$21:INDEX(Market_Data!$B$21:$B$613,COUNT(Market_Data!$B$21:$B$613)),1)),""))</f>
        <v/>
      </c>
      <c r="C418" s="145" t="str">
        <f ca="1">IF($A418="","",IFERROR(INDEX(Market_Data!$F$21:$F$613,MATCH($A418,Market_Data!$E$21:INDEX(Market_Data!$E$21:$E$613,COUNT(Market_Data!$E$21:$E$613)),1)),""))</f>
        <v/>
      </c>
      <c r="D418" s="145" t="str">
        <f ca="1">IF($A418="","",IFERROR(INDEX(Market_Data!$I$21:$I$613,MATCH($A418,Market_Data!$H$21:INDEX(Market_Data!$H$21:$H$613,COUNT(Market_Data!$H$21:$H$613)),1)),""))</f>
        <v/>
      </c>
      <c r="E418" s="145" t="str">
        <f ca="1">IF($A418="","",IFERROR(INDEX(Market_Data!$L$21:$L$613,MATCH($A418,Market_Data!$K$21:INDEX(Market_Data!$K$21:$K$613,COUNT(Market_Data!$K$21:$K$613)),1)),""))</f>
        <v/>
      </c>
      <c r="F418" s="145" t="str">
        <f ca="1">IF($A418="","",IFERROR(INDEX(Market_Data!$O$21:$O$613,MATCH($A418,Market_Data!$N$21:INDEX(Market_Data!$N$21:$N$613,COUNT(Market_Data!$N$21:$N$613)),1)),""))</f>
        <v/>
      </c>
      <c r="G418" s="145" t="str">
        <f ca="1">IF($A418="","",IFERROR(INDEX(Market_Data!$R$21:$R$613,MATCH($A418,Market_Data!$Q$21:INDEX(Market_Data!$Q$21:$Q$613,COUNT(Market_Data!$Q$21:$Q$613)),1)),""))</f>
        <v/>
      </c>
      <c r="H418" s="145" t="str">
        <f ca="1">IF($A418="","",IFERROR(INDEX(Market_Data!$U$21:$U$613,MATCH($A418,Market_Data!$T$21:INDEX(Market_Data!$T$21:$T$613,COUNT(Market_Data!$T$21:$T$613)),1)),""))</f>
        <v/>
      </c>
      <c r="I418" s="146" t="str">
        <f ca="1">IF($A418="","",IFERROR(INDEX(Query1[Close],MATCH($A418,Query1[Date],1)),""))</f>
        <v/>
      </c>
    </row>
    <row r="419" spans="1:9" x14ac:dyDescent="0.3">
      <c r="A419" s="144" t="str">
        <f t="shared" ca="1" si="8"/>
        <v/>
      </c>
      <c r="B419" s="145" t="str">
        <f ca="1">IF($A419="","",IFERROR(INDEX(Market_Data!$C$21:$C$613,MATCH($A419,Market_Data!$B$21:INDEX(Market_Data!$B$21:$B$613,COUNT(Market_Data!$B$21:$B$613)),1)),""))</f>
        <v/>
      </c>
      <c r="C419" s="145" t="str">
        <f ca="1">IF($A419="","",IFERROR(INDEX(Market_Data!$F$21:$F$613,MATCH($A419,Market_Data!$E$21:INDEX(Market_Data!$E$21:$E$613,COUNT(Market_Data!$E$21:$E$613)),1)),""))</f>
        <v/>
      </c>
      <c r="D419" s="145" t="str">
        <f ca="1">IF($A419="","",IFERROR(INDEX(Market_Data!$I$21:$I$613,MATCH($A419,Market_Data!$H$21:INDEX(Market_Data!$H$21:$H$613,COUNT(Market_Data!$H$21:$H$613)),1)),""))</f>
        <v/>
      </c>
      <c r="E419" s="145" t="str">
        <f ca="1">IF($A419="","",IFERROR(INDEX(Market_Data!$L$21:$L$613,MATCH($A419,Market_Data!$K$21:INDEX(Market_Data!$K$21:$K$613,COUNT(Market_Data!$K$21:$K$613)),1)),""))</f>
        <v/>
      </c>
      <c r="F419" s="145" t="str">
        <f ca="1">IF($A419="","",IFERROR(INDEX(Market_Data!$O$21:$O$613,MATCH($A419,Market_Data!$N$21:INDEX(Market_Data!$N$21:$N$613,COUNT(Market_Data!$N$21:$N$613)),1)),""))</f>
        <v/>
      </c>
      <c r="G419" s="145" t="str">
        <f ca="1">IF($A419="","",IFERROR(INDEX(Market_Data!$R$21:$R$613,MATCH($A419,Market_Data!$Q$21:INDEX(Market_Data!$Q$21:$Q$613,COUNT(Market_Data!$Q$21:$Q$613)),1)),""))</f>
        <v/>
      </c>
      <c r="H419" s="145" t="str">
        <f ca="1">IF($A419="","",IFERROR(INDEX(Market_Data!$U$21:$U$613,MATCH($A419,Market_Data!$T$21:INDEX(Market_Data!$T$21:$T$613,COUNT(Market_Data!$T$21:$T$613)),1)),""))</f>
        <v/>
      </c>
      <c r="I419" s="146" t="str">
        <f ca="1">IF($A419="","",IFERROR(INDEX(Query1[Close],MATCH($A419,Query1[Date],1)),""))</f>
        <v/>
      </c>
    </row>
    <row r="420" spans="1:9" x14ac:dyDescent="0.3">
      <c r="A420" s="144" t="str">
        <f t="shared" ca="1" si="8"/>
        <v/>
      </c>
      <c r="B420" s="145" t="str">
        <f ca="1">IF($A420="","",IFERROR(INDEX(Market_Data!$C$21:$C$613,MATCH($A420,Market_Data!$B$21:INDEX(Market_Data!$B$21:$B$613,COUNT(Market_Data!$B$21:$B$613)),1)),""))</f>
        <v/>
      </c>
      <c r="C420" s="145" t="str">
        <f ca="1">IF($A420="","",IFERROR(INDEX(Market_Data!$F$21:$F$613,MATCH($A420,Market_Data!$E$21:INDEX(Market_Data!$E$21:$E$613,COUNT(Market_Data!$E$21:$E$613)),1)),""))</f>
        <v/>
      </c>
      <c r="D420" s="145" t="str">
        <f ca="1">IF($A420="","",IFERROR(INDEX(Market_Data!$I$21:$I$613,MATCH($A420,Market_Data!$H$21:INDEX(Market_Data!$H$21:$H$613,COUNT(Market_Data!$H$21:$H$613)),1)),""))</f>
        <v/>
      </c>
      <c r="E420" s="145" t="str">
        <f ca="1">IF($A420="","",IFERROR(INDEX(Market_Data!$L$21:$L$613,MATCH($A420,Market_Data!$K$21:INDEX(Market_Data!$K$21:$K$613,COUNT(Market_Data!$K$21:$K$613)),1)),""))</f>
        <v/>
      </c>
      <c r="F420" s="145" t="str">
        <f ca="1">IF($A420="","",IFERROR(INDEX(Market_Data!$O$21:$O$613,MATCH($A420,Market_Data!$N$21:INDEX(Market_Data!$N$21:$N$613,COUNT(Market_Data!$N$21:$N$613)),1)),""))</f>
        <v/>
      </c>
      <c r="G420" s="145" t="str">
        <f ca="1">IF($A420="","",IFERROR(INDEX(Market_Data!$R$21:$R$613,MATCH($A420,Market_Data!$Q$21:INDEX(Market_Data!$Q$21:$Q$613,COUNT(Market_Data!$Q$21:$Q$613)),1)),""))</f>
        <v/>
      </c>
      <c r="H420" s="145" t="str">
        <f ca="1">IF($A420="","",IFERROR(INDEX(Market_Data!$U$21:$U$613,MATCH($A420,Market_Data!$T$21:INDEX(Market_Data!$T$21:$T$613,COUNT(Market_Data!$T$21:$T$613)),1)),""))</f>
        <v/>
      </c>
      <c r="I420" s="146" t="str">
        <f ca="1">IF($A420="","",IFERROR(INDEX(Query1[Close],MATCH($A420,Query1[Date],1)),""))</f>
        <v/>
      </c>
    </row>
    <row r="421" spans="1:9" x14ac:dyDescent="0.3">
      <c r="A421" s="144" t="str">
        <f t="shared" ca="1" si="8"/>
        <v/>
      </c>
      <c r="B421" s="145" t="str">
        <f ca="1">IF($A421="","",IFERROR(INDEX(Market_Data!$C$21:$C$613,MATCH($A421,Market_Data!$B$21:INDEX(Market_Data!$B$21:$B$613,COUNT(Market_Data!$B$21:$B$613)),1)),""))</f>
        <v/>
      </c>
      <c r="C421" s="145" t="str">
        <f ca="1">IF($A421="","",IFERROR(INDEX(Market_Data!$F$21:$F$613,MATCH($A421,Market_Data!$E$21:INDEX(Market_Data!$E$21:$E$613,COUNT(Market_Data!$E$21:$E$613)),1)),""))</f>
        <v/>
      </c>
      <c r="D421" s="145" t="str">
        <f ca="1">IF($A421="","",IFERROR(INDEX(Market_Data!$I$21:$I$613,MATCH($A421,Market_Data!$H$21:INDEX(Market_Data!$H$21:$H$613,COUNT(Market_Data!$H$21:$H$613)),1)),""))</f>
        <v/>
      </c>
      <c r="E421" s="145" t="str">
        <f ca="1">IF($A421="","",IFERROR(INDEX(Market_Data!$L$21:$L$613,MATCH($A421,Market_Data!$K$21:INDEX(Market_Data!$K$21:$K$613,COUNT(Market_Data!$K$21:$K$613)),1)),""))</f>
        <v/>
      </c>
      <c r="F421" s="145" t="str">
        <f ca="1">IF($A421="","",IFERROR(INDEX(Market_Data!$O$21:$O$613,MATCH($A421,Market_Data!$N$21:INDEX(Market_Data!$N$21:$N$613,COUNT(Market_Data!$N$21:$N$613)),1)),""))</f>
        <v/>
      </c>
      <c r="G421" s="145" t="str">
        <f ca="1">IF($A421="","",IFERROR(INDEX(Market_Data!$R$21:$R$613,MATCH($A421,Market_Data!$Q$21:INDEX(Market_Data!$Q$21:$Q$613,COUNT(Market_Data!$Q$21:$Q$613)),1)),""))</f>
        <v/>
      </c>
      <c r="H421" s="145" t="str">
        <f ca="1">IF($A421="","",IFERROR(INDEX(Market_Data!$U$21:$U$613,MATCH($A421,Market_Data!$T$21:INDEX(Market_Data!$T$21:$T$613,COUNT(Market_Data!$T$21:$T$613)),1)),""))</f>
        <v/>
      </c>
      <c r="I421" s="146" t="str">
        <f ca="1">IF($A421="","",IFERROR(INDEX(Query1[Close],MATCH($A421,Query1[Date],1)),""))</f>
        <v/>
      </c>
    </row>
    <row r="422" spans="1:9" x14ac:dyDescent="0.3">
      <c r="A422" s="144" t="str">
        <f t="shared" ca="1" si="8"/>
        <v/>
      </c>
      <c r="B422" s="145" t="str">
        <f ca="1">IF($A422="","",IFERROR(INDEX(Market_Data!$C$21:$C$613,MATCH($A422,Market_Data!$B$21:INDEX(Market_Data!$B$21:$B$613,COUNT(Market_Data!$B$21:$B$613)),1)),""))</f>
        <v/>
      </c>
      <c r="C422" s="145" t="str">
        <f ca="1">IF($A422="","",IFERROR(INDEX(Market_Data!$F$21:$F$613,MATCH($A422,Market_Data!$E$21:INDEX(Market_Data!$E$21:$E$613,COUNT(Market_Data!$E$21:$E$613)),1)),""))</f>
        <v/>
      </c>
      <c r="D422" s="145" t="str">
        <f ca="1">IF($A422="","",IFERROR(INDEX(Market_Data!$I$21:$I$613,MATCH($A422,Market_Data!$H$21:INDEX(Market_Data!$H$21:$H$613,COUNT(Market_Data!$H$21:$H$613)),1)),""))</f>
        <v/>
      </c>
      <c r="E422" s="145" t="str">
        <f ca="1">IF($A422="","",IFERROR(INDEX(Market_Data!$L$21:$L$613,MATCH($A422,Market_Data!$K$21:INDEX(Market_Data!$K$21:$K$613,COUNT(Market_Data!$K$21:$K$613)),1)),""))</f>
        <v/>
      </c>
      <c r="F422" s="145" t="str">
        <f ca="1">IF($A422="","",IFERROR(INDEX(Market_Data!$O$21:$O$613,MATCH($A422,Market_Data!$N$21:INDEX(Market_Data!$N$21:$N$613,COUNT(Market_Data!$N$21:$N$613)),1)),""))</f>
        <v/>
      </c>
      <c r="G422" s="145" t="str">
        <f ca="1">IF($A422="","",IFERROR(INDEX(Market_Data!$R$21:$R$613,MATCH($A422,Market_Data!$Q$21:INDEX(Market_Data!$Q$21:$Q$613,COUNT(Market_Data!$Q$21:$Q$613)),1)),""))</f>
        <v/>
      </c>
      <c r="H422" s="145" t="str">
        <f ca="1">IF($A422="","",IFERROR(INDEX(Market_Data!$U$21:$U$613,MATCH($A422,Market_Data!$T$21:INDEX(Market_Data!$T$21:$T$613,COUNT(Market_Data!$T$21:$T$613)),1)),""))</f>
        <v/>
      </c>
      <c r="I422" s="146" t="str">
        <f ca="1">IF($A422="","",IFERROR(INDEX(Query1[Close],MATCH($A422,Query1[Date],1)),""))</f>
        <v/>
      </c>
    </row>
    <row r="423" spans="1:9" x14ac:dyDescent="0.3">
      <c r="A423" s="144" t="str">
        <f t="shared" ca="1" si="8"/>
        <v/>
      </c>
      <c r="B423" s="145" t="str">
        <f ca="1">IF($A423="","",IFERROR(INDEX(Market_Data!$C$21:$C$613,MATCH($A423,Market_Data!$B$21:INDEX(Market_Data!$B$21:$B$613,COUNT(Market_Data!$B$21:$B$613)),1)),""))</f>
        <v/>
      </c>
      <c r="C423" s="145" t="str">
        <f ca="1">IF($A423="","",IFERROR(INDEX(Market_Data!$F$21:$F$613,MATCH($A423,Market_Data!$E$21:INDEX(Market_Data!$E$21:$E$613,COUNT(Market_Data!$E$21:$E$613)),1)),""))</f>
        <v/>
      </c>
      <c r="D423" s="145" t="str">
        <f ca="1">IF($A423="","",IFERROR(INDEX(Market_Data!$I$21:$I$613,MATCH($A423,Market_Data!$H$21:INDEX(Market_Data!$H$21:$H$613,COUNT(Market_Data!$H$21:$H$613)),1)),""))</f>
        <v/>
      </c>
      <c r="E423" s="145" t="str">
        <f ca="1">IF($A423="","",IFERROR(INDEX(Market_Data!$L$21:$L$613,MATCH($A423,Market_Data!$K$21:INDEX(Market_Data!$K$21:$K$613,COUNT(Market_Data!$K$21:$K$613)),1)),""))</f>
        <v/>
      </c>
      <c r="F423" s="145" t="str">
        <f ca="1">IF($A423="","",IFERROR(INDEX(Market_Data!$O$21:$O$613,MATCH($A423,Market_Data!$N$21:INDEX(Market_Data!$N$21:$N$613,COUNT(Market_Data!$N$21:$N$613)),1)),""))</f>
        <v/>
      </c>
      <c r="G423" s="145" t="str">
        <f ca="1">IF($A423="","",IFERROR(INDEX(Market_Data!$R$21:$R$613,MATCH($A423,Market_Data!$Q$21:INDEX(Market_Data!$Q$21:$Q$613,COUNT(Market_Data!$Q$21:$Q$613)),1)),""))</f>
        <v/>
      </c>
      <c r="H423" s="145" t="str">
        <f ca="1">IF($A423="","",IFERROR(INDEX(Market_Data!$U$21:$U$613,MATCH($A423,Market_Data!$T$21:INDEX(Market_Data!$T$21:$T$613,COUNT(Market_Data!$T$21:$T$613)),1)),""))</f>
        <v/>
      </c>
      <c r="I423" s="146" t="str">
        <f ca="1">IF($A423="","",IFERROR(INDEX(Query1[Close],MATCH($A423,Query1[Date],1)),""))</f>
        <v/>
      </c>
    </row>
    <row r="424" spans="1:9" x14ac:dyDescent="0.3">
      <c r="A424" s="144" t="str">
        <f t="shared" ca="1" si="8"/>
        <v/>
      </c>
      <c r="B424" s="145" t="str">
        <f ca="1">IF($A424="","",IFERROR(INDEX(Market_Data!$C$21:$C$613,MATCH($A424,Market_Data!$B$21:INDEX(Market_Data!$B$21:$B$613,COUNT(Market_Data!$B$21:$B$613)),1)),""))</f>
        <v/>
      </c>
      <c r="C424" s="145" t="str">
        <f ca="1">IF($A424="","",IFERROR(INDEX(Market_Data!$F$21:$F$613,MATCH($A424,Market_Data!$E$21:INDEX(Market_Data!$E$21:$E$613,COUNT(Market_Data!$E$21:$E$613)),1)),""))</f>
        <v/>
      </c>
      <c r="D424" s="145" t="str">
        <f ca="1">IF($A424="","",IFERROR(INDEX(Market_Data!$I$21:$I$613,MATCH($A424,Market_Data!$H$21:INDEX(Market_Data!$H$21:$H$613,COUNT(Market_Data!$H$21:$H$613)),1)),""))</f>
        <v/>
      </c>
      <c r="E424" s="145" t="str">
        <f ca="1">IF($A424="","",IFERROR(INDEX(Market_Data!$L$21:$L$613,MATCH($A424,Market_Data!$K$21:INDEX(Market_Data!$K$21:$K$613,COUNT(Market_Data!$K$21:$K$613)),1)),""))</f>
        <v/>
      </c>
      <c r="F424" s="145" t="str">
        <f ca="1">IF($A424="","",IFERROR(INDEX(Market_Data!$O$21:$O$613,MATCH($A424,Market_Data!$N$21:INDEX(Market_Data!$N$21:$N$613,COUNT(Market_Data!$N$21:$N$613)),1)),""))</f>
        <v/>
      </c>
      <c r="G424" s="145" t="str">
        <f ca="1">IF($A424="","",IFERROR(INDEX(Market_Data!$R$21:$R$613,MATCH($A424,Market_Data!$Q$21:INDEX(Market_Data!$Q$21:$Q$613,COUNT(Market_Data!$Q$21:$Q$613)),1)),""))</f>
        <v/>
      </c>
      <c r="H424" s="145" t="str">
        <f ca="1">IF($A424="","",IFERROR(INDEX(Market_Data!$U$21:$U$613,MATCH($A424,Market_Data!$T$21:INDEX(Market_Data!$T$21:$T$613,COUNT(Market_Data!$T$21:$T$613)),1)),""))</f>
        <v/>
      </c>
      <c r="I424" s="146" t="str">
        <f ca="1">IF($A424="","",IFERROR(INDEX(Query1[Close],MATCH($A424,Query1[Date],1)),""))</f>
        <v/>
      </c>
    </row>
    <row r="425" spans="1:9" x14ac:dyDescent="0.3">
      <c r="A425" s="144" t="str">
        <f t="shared" ca="1" si="8"/>
        <v/>
      </c>
      <c r="B425" s="145" t="str">
        <f ca="1">IF($A425="","",IFERROR(INDEX(Market_Data!$C$21:$C$613,MATCH($A425,Market_Data!$B$21:INDEX(Market_Data!$B$21:$B$613,COUNT(Market_Data!$B$21:$B$613)),1)),""))</f>
        <v/>
      </c>
      <c r="C425" s="145" t="str">
        <f ca="1">IF($A425="","",IFERROR(INDEX(Market_Data!$F$21:$F$613,MATCH($A425,Market_Data!$E$21:INDEX(Market_Data!$E$21:$E$613,COUNT(Market_Data!$E$21:$E$613)),1)),""))</f>
        <v/>
      </c>
      <c r="D425" s="145" t="str">
        <f ca="1">IF($A425="","",IFERROR(INDEX(Market_Data!$I$21:$I$613,MATCH($A425,Market_Data!$H$21:INDEX(Market_Data!$H$21:$H$613,COUNT(Market_Data!$H$21:$H$613)),1)),""))</f>
        <v/>
      </c>
      <c r="E425" s="145" t="str">
        <f ca="1">IF($A425="","",IFERROR(INDEX(Market_Data!$L$21:$L$613,MATCH($A425,Market_Data!$K$21:INDEX(Market_Data!$K$21:$K$613,COUNT(Market_Data!$K$21:$K$613)),1)),""))</f>
        <v/>
      </c>
      <c r="F425" s="145" t="str">
        <f ca="1">IF($A425="","",IFERROR(INDEX(Market_Data!$O$21:$O$613,MATCH($A425,Market_Data!$N$21:INDEX(Market_Data!$N$21:$N$613,COUNT(Market_Data!$N$21:$N$613)),1)),""))</f>
        <v/>
      </c>
      <c r="G425" s="145" t="str">
        <f ca="1">IF($A425="","",IFERROR(INDEX(Market_Data!$R$21:$R$613,MATCH($A425,Market_Data!$Q$21:INDEX(Market_Data!$Q$21:$Q$613,COUNT(Market_Data!$Q$21:$Q$613)),1)),""))</f>
        <v/>
      </c>
      <c r="H425" s="145" t="str">
        <f ca="1">IF($A425="","",IFERROR(INDEX(Market_Data!$U$21:$U$613,MATCH($A425,Market_Data!$T$21:INDEX(Market_Data!$T$21:$T$613,COUNT(Market_Data!$T$21:$T$613)),1)),""))</f>
        <v/>
      </c>
      <c r="I425" s="146" t="str">
        <f ca="1">IF($A425="","",IFERROR(INDEX(Query1[Close],MATCH($A425,Query1[Date],1)),""))</f>
        <v/>
      </c>
    </row>
    <row r="426" spans="1:9" x14ac:dyDescent="0.3">
      <c r="A426" s="144" t="str">
        <f t="shared" ca="1" si="8"/>
        <v/>
      </c>
      <c r="B426" s="145" t="str">
        <f ca="1">IF($A426="","",IFERROR(INDEX(Market_Data!$C$21:$C$613,MATCH($A426,Market_Data!$B$21:INDEX(Market_Data!$B$21:$B$613,COUNT(Market_Data!$B$21:$B$613)),1)),""))</f>
        <v/>
      </c>
      <c r="C426" s="145" t="str">
        <f ca="1">IF($A426="","",IFERROR(INDEX(Market_Data!$F$21:$F$613,MATCH($A426,Market_Data!$E$21:INDEX(Market_Data!$E$21:$E$613,COUNT(Market_Data!$E$21:$E$613)),1)),""))</f>
        <v/>
      </c>
      <c r="D426" s="145" t="str">
        <f ca="1">IF($A426="","",IFERROR(INDEX(Market_Data!$I$21:$I$613,MATCH($A426,Market_Data!$H$21:INDEX(Market_Data!$H$21:$H$613,COUNT(Market_Data!$H$21:$H$613)),1)),""))</f>
        <v/>
      </c>
      <c r="E426" s="145" t="str">
        <f ca="1">IF($A426="","",IFERROR(INDEX(Market_Data!$L$21:$L$613,MATCH($A426,Market_Data!$K$21:INDEX(Market_Data!$K$21:$K$613,COUNT(Market_Data!$K$21:$K$613)),1)),""))</f>
        <v/>
      </c>
      <c r="F426" s="145" t="str">
        <f ca="1">IF($A426="","",IFERROR(INDEX(Market_Data!$O$21:$O$613,MATCH($A426,Market_Data!$N$21:INDEX(Market_Data!$N$21:$N$613,COUNT(Market_Data!$N$21:$N$613)),1)),""))</f>
        <v/>
      </c>
      <c r="G426" s="145" t="str">
        <f ca="1">IF($A426="","",IFERROR(INDEX(Market_Data!$R$21:$R$613,MATCH($A426,Market_Data!$Q$21:INDEX(Market_Data!$Q$21:$Q$613,COUNT(Market_Data!$Q$21:$Q$613)),1)),""))</f>
        <v/>
      </c>
      <c r="H426" s="145" t="str">
        <f ca="1">IF($A426="","",IFERROR(INDEX(Market_Data!$U$21:$U$613,MATCH($A426,Market_Data!$T$21:INDEX(Market_Data!$T$21:$T$613,COUNT(Market_Data!$T$21:$T$613)),1)),""))</f>
        <v/>
      </c>
      <c r="I426" s="146" t="str">
        <f ca="1">IF($A426="","",IFERROR(INDEX(Query1[Close],MATCH($A426,Query1[Date],1)),""))</f>
        <v/>
      </c>
    </row>
    <row r="427" spans="1:9" x14ac:dyDescent="0.3">
      <c r="A427" s="144" t="str">
        <f t="shared" ca="1" si="8"/>
        <v/>
      </c>
      <c r="B427" s="145" t="str">
        <f ca="1">IF($A427="","",IFERROR(INDEX(Market_Data!$C$21:$C$613,MATCH($A427,Market_Data!$B$21:INDEX(Market_Data!$B$21:$B$613,COUNT(Market_Data!$B$21:$B$613)),1)),""))</f>
        <v/>
      </c>
      <c r="C427" s="145" t="str">
        <f ca="1">IF($A427="","",IFERROR(INDEX(Market_Data!$F$21:$F$613,MATCH($A427,Market_Data!$E$21:INDEX(Market_Data!$E$21:$E$613,COUNT(Market_Data!$E$21:$E$613)),1)),""))</f>
        <v/>
      </c>
      <c r="D427" s="145" t="str">
        <f ca="1">IF($A427="","",IFERROR(INDEX(Market_Data!$I$21:$I$613,MATCH($A427,Market_Data!$H$21:INDEX(Market_Data!$H$21:$H$613,COUNT(Market_Data!$H$21:$H$613)),1)),""))</f>
        <v/>
      </c>
      <c r="E427" s="145" t="str">
        <f ca="1">IF($A427="","",IFERROR(INDEX(Market_Data!$L$21:$L$613,MATCH($A427,Market_Data!$K$21:INDEX(Market_Data!$K$21:$K$613,COUNT(Market_Data!$K$21:$K$613)),1)),""))</f>
        <v/>
      </c>
      <c r="F427" s="145" t="str">
        <f ca="1">IF($A427="","",IFERROR(INDEX(Market_Data!$O$21:$O$613,MATCH($A427,Market_Data!$N$21:INDEX(Market_Data!$N$21:$N$613,COUNT(Market_Data!$N$21:$N$613)),1)),""))</f>
        <v/>
      </c>
      <c r="G427" s="145" t="str">
        <f ca="1">IF($A427="","",IFERROR(INDEX(Market_Data!$R$21:$R$613,MATCH($A427,Market_Data!$Q$21:INDEX(Market_Data!$Q$21:$Q$613,COUNT(Market_Data!$Q$21:$Q$613)),1)),""))</f>
        <v/>
      </c>
      <c r="H427" s="145" t="str">
        <f ca="1">IF($A427="","",IFERROR(INDEX(Market_Data!$U$21:$U$613,MATCH($A427,Market_Data!$T$21:INDEX(Market_Data!$T$21:$T$613,COUNT(Market_Data!$T$21:$T$613)),1)),""))</f>
        <v/>
      </c>
      <c r="I427" s="146" t="str">
        <f ca="1">IF($A427="","",IFERROR(INDEX(Query1[Close],MATCH($A427,Query1[Date],1)),""))</f>
        <v/>
      </c>
    </row>
    <row r="428" spans="1:9" x14ac:dyDescent="0.3">
      <c r="A428" s="144" t="str">
        <f t="shared" ca="1" si="8"/>
        <v/>
      </c>
      <c r="B428" s="145" t="str">
        <f ca="1">IF($A428="","",IFERROR(INDEX(Market_Data!$C$21:$C$613,MATCH($A428,Market_Data!$B$21:INDEX(Market_Data!$B$21:$B$613,COUNT(Market_Data!$B$21:$B$613)),1)),""))</f>
        <v/>
      </c>
      <c r="C428" s="145" t="str">
        <f ca="1">IF($A428="","",IFERROR(INDEX(Market_Data!$F$21:$F$613,MATCH($A428,Market_Data!$E$21:INDEX(Market_Data!$E$21:$E$613,COUNT(Market_Data!$E$21:$E$613)),1)),""))</f>
        <v/>
      </c>
      <c r="D428" s="145" t="str">
        <f ca="1">IF($A428="","",IFERROR(INDEX(Market_Data!$I$21:$I$613,MATCH($A428,Market_Data!$H$21:INDEX(Market_Data!$H$21:$H$613,COUNT(Market_Data!$H$21:$H$613)),1)),""))</f>
        <v/>
      </c>
      <c r="E428" s="145" t="str">
        <f ca="1">IF($A428="","",IFERROR(INDEX(Market_Data!$L$21:$L$613,MATCH($A428,Market_Data!$K$21:INDEX(Market_Data!$K$21:$K$613,COUNT(Market_Data!$K$21:$K$613)),1)),""))</f>
        <v/>
      </c>
      <c r="F428" s="145" t="str">
        <f ca="1">IF($A428="","",IFERROR(INDEX(Market_Data!$O$21:$O$613,MATCH($A428,Market_Data!$N$21:INDEX(Market_Data!$N$21:$N$613,COUNT(Market_Data!$N$21:$N$613)),1)),""))</f>
        <v/>
      </c>
      <c r="G428" s="145" t="str">
        <f ca="1">IF($A428="","",IFERROR(INDEX(Market_Data!$R$21:$R$613,MATCH($A428,Market_Data!$Q$21:INDEX(Market_Data!$Q$21:$Q$613,COUNT(Market_Data!$Q$21:$Q$613)),1)),""))</f>
        <v/>
      </c>
      <c r="H428" s="145" t="str">
        <f ca="1">IF($A428="","",IFERROR(INDEX(Market_Data!$U$21:$U$613,MATCH($A428,Market_Data!$T$21:INDEX(Market_Data!$T$21:$T$613,COUNT(Market_Data!$T$21:$T$613)),1)),""))</f>
        <v/>
      </c>
      <c r="I428" s="146" t="str">
        <f ca="1">IF($A428="","",IFERROR(INDEX(Query1[Close],MATCH($A428,Query1[Date],1)),""))</f>
        <v/>
      </c>
    </row>
    <row r="429" spans="1:9" x14ac:dyDescent="0.3">
      <c r="A429" s="144" t="str">
        <f t="shared" ca="1" si="8"/>
        <v/>
      </c>
      <c r="B429" s="145" t="str">
        <f ca="1">IF($A429="","",IFERROR(INDEX(Market_Data!$C$21:$C$613,MATCH($A429,Market_Data!$B$21:INDEX(Market_Data!$B$21:$B$613,COUNT(Market_Data!$B$21:$B$613)),1)),""))</f>
        <v/>
      </c>
      <c r="C429" s="145" t="str">
        <f ca="1">IF($A429="","",IFERROR(INDEX(Market_Data!$F$21:$F$613,MATCH($A429,Market_Data!$E$21:INDEX(Market_Data!$E$21:$E$613,COUNT(Market_Data!$E$21:$E$613)),1)),""))</f>
        <v/>
      </c>
      <c r="D429" s="145" t="str">
        <f ca="1">IF($A429="","",IFERROR(INDEX(Market_Data!$I$21:$I$613,MATCH($A429,Market_Data!$H$21:INDEX(Market_Data!$H$21:$H$613,COUNT(Market_Data!$H$21:$H$613)),1)),""))</f>
        <v/>
      </c>
      <c r="E429" s="145" t="str">
        <f ca="1">IF($A429="","",IFERROR(INDEX(Market_Data!$L$21:$L$613,MATCH($A429,Market_Data!$K$21:INDEX(Market_Data!$K$21:$K$613,COUNT(Market_Data!$K$21:$K$613)),1)),""))</f>
        <v/>
      </c>
      <c r="F429" s="145" t="str">
        <f ca="1">IF($A429="","",IFERROR(INDEX(Market_Data!$O$21:$O$613,MATCH($A429,Market_Data!$N$21:INDEX(Market_Data!$N$21:$N$613,COUNT(Market_Data!$N$21:$N$613)),1)),""))</f>
        <v/>
      </c>
      <c r="G429" s="145" t="str">
        <f ca="1">IF($A429="","",IFERROR(INDEX(Market_Data!$R$21:$R$613,MATCH($A429,Market_Data!$Q$21:INDEX(Market_Data!$Q$21:$Q$613,COUNT(Market_Data!$Q$21:$Q$613)),1)),""))</f>
        <v/>
      </c>
      <c r="H429" s="145" t="str">
        <f ca="1">IF($A429="","",IFERROR(INDEX(Market_Data!$U$21:$U$613,MATCH($A429,Market_Data!$T$21:INDEX(Market_Data!$T$21:$T$613,COUNT(Market_Data!$T$21:$T$613)),1)),""))</f>
        <v/>
      </c>
      <c r="I429" s="146" t="str">
        <f ca="1">IF($A429="","",IFERROR(INDEX(Query1[Close],MATCH($A429,Query1[Date],1)),""))</f>
        <v/>
      </c>
    </row>
    <row r="430" spans="1:9" x14ac:dyDescent="0.3">
      <c r="A430" s="144" t="str">
        <f t="shared" ca="1" si="8"/>
        <v/>
      </c>
      <c r="B430" s="145" t="str">
        <f ca="1">IF($A430="","",IFERROR(INDEX(Market_Data!$C$21:$C$613,MATCH($A430,Market_Data!$B$21:INDEX(Market_Data!$B$21:$B$613,COUNT(Market_Data!$B$21:$B$613)),1)),""))</f>
        <v/>
      </c>
      <c r="C430" s="145" t="str">
        <f ca="1">IF($A430="","",IFERROR(INDEX(Market_Data!$F$21:$F$613,MATCH($A430,Market_Data!$E$21:INDEX(Market_Data!$E$21:$E$613,COUNT(Market_Data!$E$21:$E$613)),1)),""))</f>
        <v/>
      </c>
      <c r="D430" s="145" t="str">
        <f ca="1">IF($A430="","",IFERROR(INDEX(Market_Data!$I$21:$I$613,MATCH($A430,Market_Data!$H$21:INDEX(Market_Data!$H$21:$H$613,COUNT(Market_Data!$H$21:$H$613)),1)),""))</f>
        <v/>
      </c>
      <c r="E430" s="145" t="str">
        <f ca="1">IF($A430="","",IFERROR(INDEX(Market_Data!$L$21:$L$613,MATCH($A430,Market_Data!$K$21:INDEX(Market_Data!$K$21:$K$613,COUNT(Market_Data!$K$21:$K$613)),1)),""))</f>
        <v/>
      </c>
      <c r="F430" s="145" t="str">
        <f ca="1">IF($A430="","",IFERROR(INDEX(Market_Data!$O$21:$O$613,MATCH($A430,Market_Data!$N$21:INDEX(Market_Data!$N$21:$N$613,COUNT(Market_Data!$N$21:$N$613)),1)),""))</f>
        <v/>
      </c>
      <c r="G430" s="145" t="str">
        <f ca="1">IF($A430="","",IFERROR(INDEX(Market_Data!$R$21:$R$613,MATCH($A430,Market_Data!$Q$21:INDEX(Market_Data!$Q$21:$Q$613,COUNT(Market_Data!$Q$21:$Q$613)),1)),""))</f>
        <v/>
      </c>
      <c r="H430" s="145" t="str">
        <f ca="1">IF($A430="","",IFERROR(INDEX(Market_Data!$U$21:$U$613,MATCH($A430,Market_Data!$T$21:INDEX(Market_Data!$T$21:$T$613,COUNT(Market_Data!$T$21:$T$613)),1)),""))</f>
        <v/>
      </c>
      <c r="I430" s="146" t="str">
        <f ca="1">IF($A430="","",IFERROR(INDEX(Query1[Close],MATCH($A430,Query1[Date],1)),""))</f>
        <v/>
      </c>
    </row>
    <row r="431" spans="1:9" x14ac:dyDescent="0.3">
      <c r="A431" s="144" t="str">
        <f t="shared" ca="1" si="8"/>
        <v/>
      </c>
      <c r="B431" s="145" t="str">
        <f ca="1">IF($A431="","",IFERROR(INDEX(Market_Data!$C$21:$C$613,MATCH($A431,Market_Data!$B$21:INDEX(Market_Data!$B$21:$B$613,COUNT(Market_Data!$B$21:$B$613)),1)),""))</f>
        <v/>
      </c>
      <c r="C431" s="145" t="str">
        <f ca="1">IF($A431="","",IFERROR(INDEX(Market_Data!$F$21:$F$613,MATCH($A431,Market_Data!$E$21:INDEX(Market_Data!$E$21:$E$613,COUNT(Market_Data!$E$21:$E$613)),1)),""))</f>
        <v/>
      </c>
      <c r="D431" s="145" t="str">
        <f ca="1">IF($A431="","",IFERROR(INDEX(Market_Data!$I$21:$I$613,MATCH($A431,Market_Data!$H$21:INDEX(Market_Data!$H$21:$H$613,COUNT(Market_Data!$H$21:$H$613)),1)),""))</f>
        <v/>
      </c>
      <c r="E431" s="145" t="str">
        <f ca="1">IF($A431="","",IFERROR(INDEX(Market_Data!$L$21:$L$613,MATCH($A431,Market_Data!$K$21:INDEX(Market_Data!$K$21:$K$613,COUNT(Market_Data!$K$21:$K$613)),1)),""))</f>
        <v/>
      </c>
      <c r="F431" s="145" t="str">
        <f ca="1">IF($A431="","",IFERROR(INDEX(Market_Data!$O$21:$O$613,MATCH($A431,Market_Data!$N$21:INDEX(Market_Data!$N$21:$N$613,COUNT(Market_Data!$N$21:$N$613)),1)),""))</f>
        <v/>
      </c>
      <c r="G431" s="145" t="str">
        <f ca="1">IF($A431="","",IFERROR(INDEX(Market_Data!$R$21:$R$613,MATCH($A431,Market_Data!$Q$21:INDEX(Market_Data!$Q$21:$Q$613,COUNT(Market_Data!$Q$21:$Q$613)),1)),""))</f>
        <v/>
      </c>
      <c r="H431" s="145" t="str">
        <f ca="1">IF($A431="","",IFERROR(INDEX(Market_Data!$U$21:$U$613,MATCH($A431,Market_Data!$T$21:INDEX(Market_Data!$T$21:$T$613,COUNT(Market_Data!$T$21:$T$613)),1)),""))</f>
        <v/>
      </c>
      <c r="I431" s="146" t="str">
        <f ca="1">IF($A431="","",IFERROR(INDEX(Query1[Close],MATCH($A431,Query1[Date],1)),""))</f>
        <v/>
      </c>
    </row>
    <row r="432" spans="1:9" x14ac:dyDescent="0.3">
      <c r="A432" s="144" t="str">
        <f t="shared" ca="1" si="8"/>
        <v/>
      </c>
      <c r="B432" s="145" t="str">
        <f ca="1">IF($A432="","",IFERROR(INDEX(Market_Data!$C$21:$C$613,MATCH($A432,Market_Data!$B$21:INDEX(Market_Data!$B$21:$B$613,COUNT(Market_Data!$B$21:$B$613)),1)),""))</f>
        <v/>
      </c>
      <c r="C432" s="145" t="str">
        <f ca="1">IF($A432="","",IFERROR(INDEX(Market_Data!$F$21:$F$613,MATCH($A432,Market_Data!$E$21:INDEX(Market_Data!$E$21:$E$613,COUNT(Market_Data!$E$21:$E$613)),1)),""))</f>
        <v/>
      </c>
      <c r="D432" s="145" t="str">
        <f ca="1">IF($A432="","",IFERROR(INDEX(Market_Data!$I$21:$I$613,MATCH($A432,Market_Data!$H$21:INDEX(Market_Data!$H$21:$H$613,COUNT(Market_Data!$H$21:$H$613)),1)),""))</f>
        <v/>
      </c>
      <c r="E432" s="145" t="str">
        <f ca="1">IF($A432="","",IFERROR(INDEX(Market_Data!$L$21:$L$613,MATCH($A432,Market_Data!$K$21:INDEX(Market_Data!$K$21:$K$613,COUNT(Market_Data!$K$21:$K$613)),1)),""))</f>
        <v/>
      </c>
      <c r="F432" s="145" t="str">
        <f ca="1">IF($A432="","",IFERROR(INDEX(Market_Data!$O$21:$O$613,MATCH($A432,Market_Data!$N$21:INDEX(Market_Data!$N$21:$N$613,COUNT(Market_Data!$N$21:$N$613)),1)),""))</f>
        <v/>
      </c>
      <c r="G432" s="145" t="str">
        <f ca="1">IF($A432="","",IFERROR(INDEX(Market_Data!$R$21:$R$613,MATCH($A432,Market_Data!$Q$21:INDEX(Market_Data!$Q$21:$Q$613,COUNT(Market_Data!$Q$21:$Q$613)),1)),""))</f>
        <v/>
      </c>
      <c r="H432" s="145" t="str">
        <f ca="1">IF($A432="","",IFERROR(INDEX(Market_Data!$U$21:$U$613,MATCH($A432,Market_Data!$T$21:INDEX(Market_Data!$T$21:$T$613,COUNT(Market_Data!$T$21:$T$613)),1)),""))</f>
        <v/>
      </c>
      <c r="I432" s="146" t="str">
        <f ca="1">IF($A432="","",IFERROR(INDEX(Query1[Close],MATCH($A432,Query1[Date],1)),""))</f>
        <v/>
      </c>
    </row>
    <row r="433" spans="1:9" x14ac:dyDescent="0.3">
      <c r="A433" s="144" t="str">
        <f t="shared" ca="1" si="8"/>
        <v/>
      </c>
      <c r="B433" s="145" t="str">
        <f ca="1">IF($A433="","",IFERROR(INDEX(Market_Data!$C$21:$C$613,MATCH($A433,Market_Data!$B$21:INDEX(Market_Data!$B$21:$B$613,COUNT(Market_Data!$B$21:$B$613)),1)),""))</f>
        <v/>
      </c>
      <c r="C433" s="145" t="str">
        <f ca="1">IF($A433="","",IFERROR(INDEX(Market_Data!$F$21:$F$613,MATCH($A433,Market_Data!$E$21:INDEX(Market_Data!$E$21:$E$613,COUNT(Market_Data!$E$21:$E$613)),1)),""))</f>
        <v/>
      </c>
      <c r="D433" s="145" t="str">
        <f ca="1">IF($A433="","",IFERROR(INDEX(Market_Data!$I$21:$I$613,MATCH($A433,Market_Data!$H$21:INDEX(Market_Data!$H$21:$H$613,COUNT(Market_Data!$H$21:$H$613)),1)),""))</f>
        <v/>
      </c>
      <c r="E433" s="145" t="str">
        <f ca="1">IF($A433="","",IFERROR(INDEX(Market_Data!$L$21:$L$613,MATCH($A433,Market_Data!$K$21:INDEX(Market_Data!$K$21:$K$613,COUNT(Market_Data!$K$21:$K$613)),1)),""))</f>
        <v/>
      </c>
      <c r="F433" s="145" t="str">
        <f ca="1">IF($A433="","",IFERROR(INDEX(Market_Data!$O$21:$O$613,MATCH($A433,Market_Data!$N$21:INDEX(Market_Data!$N$21:$N$613,COUNT(Market_Data!$N$21:$N$613)),1)),""))</f>
        <v/>
      </c>
      <c r="G433" s="145" t="str">
        <f ca="1">IF($A433="","",IFERROR(INDEX(Market_Data!$R$21:$R$613,MATCH($A433,Market_Data!$Q$21:INDEX(Market_Data!$Q$21:$Q$613,COUNT(Market_Data!$Q$21:$Q$613)),1)),""))</f>
        <v/>
      </c>
      <c r="H433" s="145" t="str">
        <f ca="1">IF($A433="","",IFERROR(INDEX(Market_Data!$U$21:$U$613,MATCH($A433,Market_Data!$T$21:INDEX(Market_Data!$T$21:$T$613,COUNT(Market_Data!$T$21:$T$613)),1)),""))</f>
        <v/>
      </c>
      <c r="I433" s="146" t="str">
        <f ca="1">IF($A433="","",IFERROR(INDEX(Query1[Close],MATCH($A433,Query1[Date],1)),""))</f>
        <v/>
      </c>
    </row>
    <row r="434" spans="1:9" x14ac:dyDescent="0.3">
      <c r="A434" s="144" t="str">
        <f t="shared" ca="1" si="8"/>
        <v/>
      </c>
      <c r="B434" s="145" t="str">
        <f ca="1">IF($A434="","",IFERROR(INDEX(Market_Data!$C$21:$C$613,MATCH($A434,Market_Data!$B$21:INDEX(Market_Data!$B$21:$B$613,COUNT(Market_Data!$B$21:$B$613)),1)),""))</f>
        <v/>
      </c>
      <c r="C434" s="145" t="str">
        <f ca="1">IF($A434="","",IFERROR(INDEX(Market_Data!$F$21:$F$613,MATCH($A434,Market_Data!$E$21:INDEX(Market_Data!$E$21:$E$613,COUNT(Market_Data!$E$21:$E$613)),1)),""))</f>
        <v/>
      </c>
      <c r="D434" s="145" t="str">
        <f ca="1">IF($A434="","",IFERROR(INDEX(Market_Data!$I$21:$I$613,MATCH($A434,Market_Data!$H$21:INDEX(Market_Data!$H$21:$H$613,COUNT(Market_Data!$H$21:$H$613)),1)),""))</f>
        <v/>
      </c>
      <c r="E434" s="145" t="str">
        <f ca="1">IF($A434="","",IFERROR(INDEX(Market_Data!$L$21:$L$613,MATCH($A434,Market_Data!$K$21:INDEX(Market_Data!$K$21:$K$613,COUNT(Market_Data!$K$21:$K$613)),1)),""))</f>
        <v/>
      </c>
      <c r="F434" s="145" t="str">
        <f ca="1">IF($A434="","",IFERROR(INDEX(Market_Data!$O$21:$O$613,MATCH($A434,Market_Data!$N$21:INDEX(Market_Data!$N$21:$N$613,COUNT(Market_Data!$N$21:$N$613)),1)),""))</f>
        <v/>
      </c>
      <c r="G434" s="145" t="str">
        <f ca="1">IF($A434="","",IFERROR(INDEX(Market_Data!$R$21:$R$613,MATCH($A434,Market_Data!$Q$21:INDEX(Market_Data!$Q$21:$Q$613,COUNT(Market_Data!$Q$21:$Q$613)),1)),""))</f>
        <v/>
      </c>
      <c r="H434" s="145" t="str">
        <f ca="1">IF($A434="","",IFERROR(INDEX(Market_Data!$U$21:$U$613,MATCH($A434,Market_Data!$T$21:INDEX(Market_Data!$T$21:$T$613,COUNT(Market_Data!$T$21:$T$613)),1)),""))</f>
        <v/>
      </c>
      <c r="I434" s="146" t="str">
        <f ca="1">IF($A434="","",IFERROR(INDEX(Query1[Close],MATCH($A434,Query1[Date],1)),""))</f>
        <v/>
      </c>
    </row>
    <row r="435" spans="1:9" x14ac:dyDescent="0.3">
      <c r="A435" s="144" t="str">
        <f t="shared" ca="1" si="8"/>
        <v/>
      </c>
      <c r="B435" s="145" t="str">
        <f ca="1">IF($A435="","",IFERROR(INDEX(Market_Data!$C$21:$C$613,MATCH($A435,Market_Data!$B$21:INDEX(Market_Data!$B$21:$B$613,COUNT(Market_Data!$B$21:$B$613)),1)),""))</f>
        <v/>
      </c>
      <c r="C435" s="145" t="str">
        <f ca="1">IF($A435="","",IFERROR(INDEX(Market_Data!$F$21:$F$613,MATCH($A435,Market_Data!$E$21:INDEX(Market_Data!$E$21:$E$613,COUNT(Market_Data!$E$21:$E$613)),1)),""))</f>
        <v/>
      </c>
      <c r="D435" s="145" t="str">
        <f ca="1">IF($A435="","",IFERROR(INDEX(Market_Data!$I$21:$I$613,MATCH($A435,Market_Data!$H$21:INDEX(Market_Data!$H$21:$H$613,COUNT(Market_Data!$H$21:$H$613)),1)),""))</f>
        <v/>
      </c>
      <c r="E435" s="145" t="str">
        <f ca="1">IF($A435="","",IFERROR(INDEX(Market_Data!$L$21:$L$613,MATCH($A435,Market_Data!$K$21:INDEX(Market_Data!$K$21:$K$613,COUNT(Market_Data!$K$21:$K$613)),1)),""))</f>
        <v/>
      </c>
      <c r="F435" s="145" t="str">
        <f ca="1">IF($A435="","",IFERROR(INDEX(Market_Data!$O$21:$O$613,MATCH($A435,Market_Data!$N$21:INDEX(Market_Data!$N$21:$N$613,COUNT(Market_Data!$N$21:$N$613)),1)),""))</f>
        <v/>
      </c>
      <c r="G435" s="145" t="str">
        <f ca="1">IF($A435="","",IFERROR(INDEX(Market_Data!$R$21:$R$613,MATCH($A435,Market_Data!$Q$21:INDEX(Market_Data!$Q$21:$Q$613,COUNT(Market_Data!$Q$21:$Q$613)),1)),""))</f>
        <v/>
      </c>
      <c r="H435" s="145" t="str">
        <f ca="1">IF($A435="","",IFERROR(INDEX(Market_Data!$U$21:$U$613,MATCH($A435,Market_Data!$T$21:INDEX(Market_Data!$T$21:$T$613,COUNT(Market_Data!$T$21:$T$613)),1)),""))</f>
        <v/>
      </c>
      <c r="I435" s="146" t="str">
        <f ca="1">IF($A435="","",IFERROR(INDEX(Query1[Close],MATCH($A435,Query1[Date],1)),""))</f>
        <v/>
      </c>
    </row>
    <row r="436" spans="1:9" x14ac:dyDescent="0.3">
      <c r="A436" s="144" t="str">
        <f t="shared" ca="1" si="8"/>
        <v/>
      </c>
      <c r="B436" s="145" t="str">
        <f ca="1">IF($A436="","",IFERROR(INDEX(Market_Data!$C$21:$C$613,MATCH($A436,Market_Data!$B$21:INDEX(Market_Data!$B$21:$B$613,COUNT(Market_Data!$B$21:$B$613)),1)),""))</f>
        <v/>
      </c>
      <c r="C436" s="145" t="str">
        <f ca="1">IF($A436="","",IFERROR(INDEX(Market_Data!$F$21:$F$613,MATCH($A436,Market_Data!$E$21:INDEX(Market_Data!$E$21:$E$613,COUNT(Market_Data!$E$21:$E$613)),1)),""))</f>
        <v/>
      </c>
      <c r="D436" s="145" t="str">
        <f ca="1">IF($A436="","",IFERROR(INDEX(Market_Data!$I$21:$I$613,MATCH($A436,Market_Data!$H$21:INDEX(Market_Data!$H$21:$H$613,COUNT(Market_Data!$H$21:$H$613)),1)),""))</f>
        <v/>
      </c>
      <c r="E436" s="145" t="str">
        <f ca="1">IF($A436="","",IFERROR(INDEX(Market_Data!$L$21:$L$613,MATCH($A436,Market_Data!$K$21:INDEX(Market_Data!$K$21:$K$613,COUNT(Market_Data!$K$21:$K$613)),1)),""))</f>
        <v/>
      </c>
      <c r="F436" s="145" t="str">
        <f ca="1">IF($A436="","",IFERROR(INDEX(Market_Data!$O$21:$O$613,MATCH($A436,Market_Data!$N$21:INDEX(Market_Data!$N$21:$N$613,COUNT(Market_Data!$N$21:$N$613)),1)),""))</f>
        <v/>
      </c>
      <c r="G436" s="145" t="str">
        <f ca="1">IF($A436="","",IFERROR(INDEX(Market_Data!$R$21:$R$613,MATCH($A436,Market_Data!$Q$21:INDEX(Market_Data!$Q$21:$Q$613,COUNT(Market_Data!$Q$21:$Q$613)),1)),""))</f>
        <v/>
      </c>
      <c r="H436" s="145" t="str">
        <f ca="1">IF($A436="","",IFERROR(INDEX(Market_Data!$U$21:$U$613,MATCH($A436,Market_Data!$T$21:INDEX(Market_Data!$T$21:$T$613,COUNT(Market_Data!$T$21:$T$613)),1)),""))</f>
        <v/>
      </c>
      <c r="I436" s="146" t="str">
        <f ca="1">IF($A436="","",IFERROR(INDEX(Query1[Close],MATCH($A436,Query1[Date],1)),""))</f>
        <v/>
      </c>
    </row>
    <row r="437" spans="1:9" x14ac:dyDescent="0.3">
      <c r="A437" s="144" t="str">
        <f t="shared" ca="1" si="8"/>
        <v/>
      </c>
      <c r="B437" s="145" t="str">
        <f ca="1">IF($A437="","",IFERROR(INDEX(Market_Data!$C$21:$C$613,MATCH($A437,Market_Data!$B$21:INDEX(Market_Data!$B$21:$B$613,COUNT(Market_Data!$B$21:$B$613)),1)),""))</f>
        <v/>
      </c>
      <c r="C437" s="145" t="str">
        <f ca="1">IF($A437="","",IFERROR(INDEX(Market_Data!$F$21:$F$613,MATCH($A437,Market_Data!$E$21:INDEX(Market_Data!$E$21:$E$613,COUNT(Market_Data!$E$21:$E$613)),1)),""))</f>
        <v/>
      </c>
      <c r="D437" s="145" t="str">
        <f ca="1">IF($A437="","",IFERROR(INDEX(Market_Data!$I$21:$I$613,MATCH($A437,Market_Data!$H$21:INDEX(Market_Data!$H$21:$H$613,COUNT(Market_Data!$H$21:$H$613)),1)),""))</f>
        <v/>
      </c>
      <c r="E437" s="145" t="str">
        <f ca="1">IF($A437="","",IFERROR(INDEX(Market_Data!$L$21:$L$613,MATCH($A437,Market_Data!$K$21:INDEX(Market_Data!$K$21:$K$613,COUNT(Market_Data!$K$21:$K$613)),1)),""))</f>
        <v/>
      </c>
      <c r="F437" s="145" t="str">
        <f ca="1">IF($A437="","",IFERROR(INDEX(Market_Data!$O$21:$O$613,MATCH($A437,Market_Data!$N$21:INDEX(Market_Data!$N$21:$N$613,COUNT(Market_Data!$N$21:$N$613)),1)),""))</f>
        <v/>
      </c>
      <c r="G437" s="145" t="str">
        <f ca="1">IF($A437="","",IFERROR(INDEX(Market_Data!$R$21:$R$613,MATCH($A437,Market_Data!$Q$21:INDEX(Market_Data!$Q$21:$Q$613,COUNT(Market_Data!$Q$21:$Q$613)),1)),""))</f>
        <v/>
      </c>
      <c r="H437" s="145" t="str">
        <f ca="1">IF($A437="","",IFERROR(INDEX(Market_Data!$U$21:$U$613,MATCH($A437,Market_Data!$T$21:INDEX(Market_Data!$T$21:$T$613,COUNT(Market_Data!$T$21:$T$613)),1)),""))</f>
        <v/>
      </c>
      <c r="I437" s="146" t="str">
        <f ca="1">IF($A437="","",IFERROR(INDEX(Query1[Close],MATCH($A437,Query1[Date],1)),""))</f>
        <v/>
      </c>
    </row>
    <row r="438" spans="1:9" x14ac:dyDescent="0.3">
      <c r="A438" s="144" t="str">
        <f t="shared" ca="1" si="8"/>
        <v/>
      </c>
      <c r="B438" s="145" t="str">
        <f ca="1">IF($A438="","",IFERROR(INDEX(Market_Data!$C$21:$C$613,MATCH($A438,Market_Data!$B$21:INDEX(Market_Data!$B$21:$B$613,COUNT(Market_Data!$B$21:$B$613)),1)),""))</f>
        <v/>
      </c>
      <c r="C438" s="145" t="str">
        <f ca="1">IF($A438="","",IFERROR(INDEX(Market_Data!$F$21:$F$613,MATCH($A438,Market_Data!$E$21:INDEX(Market_Data!$E$21:$E$613,COUNT(Market_Data!$E$21:$E$613)),1)),""))</f>
        <v/>
      </c>
      <c r="D438" s="145" t="str">
        <f ca="1">IF($A438="","",IFERROR(INDEX(Market_Data!$I$21:$I$613,MATCH($A438,Market_Data!$H$21:INDEX(Market_Data!$H$21:$H$613,COUNT(Market_Data!$H$21:$H$613)),1)),""))</f>
        <v/>
      </c>
      <c r="E438" s="145" t="str">
        <f ca="1">IF($A438="","",IFERROR(INDEX(Market_Data!$L$21:$L$613,MATCH($A438,Market_Data!$K$21:INDEX(Market_Data!$K$21:$K$613,COUNT(Market_Data!$K$21:$K$613)),1)),""))</f>
        <v/>
      </c>
      <c r="F438" s="145" t="str">
        <f ca="1">IF($A438="","",IFERROR(INDEX(Market_Data!$O$21:$O$613,MATCH($A438,Market_Data!$N$21:INDEX(Market_Data!$N$21:$N$613,COUNT(Market_Data!$N$21:$N$613)),1)),""))</f>
        <v/>
      </c>
      <c r="G438" s="145" t="str">
        <f ca="1">IF($A438="","",IFERROR(INDEX(Market_Data!$R$21:$R$613,MATCH($A438,Market_Data!$Q$21:INDEX(Market_Data!$Q$21:$Q$613,COUNT(Market_Data!$Q$21:$Q$613)),1)),""))</f>
        <v/>
      </c>
      <c r="H438" s="145" t="str">
        <f ca="1">IF($A438="","",IFERROR(INDEX(Market_Data!$U$21:$U$613,MATCH($A438,Market_Data!$T$21:INDEX(Market_Data!$T$21:$T$613,COUNT(Market_Data!$T$21:$T$613)),1)),""))</f>
        <v/>
      </c>
      <c r="I438" s="146" t="str">
        <f ca="1">IF($A438="","",IFERROR(INDEX(Query1[Close],MATCH($A438,Query1[Date],1)),""))</f>
        <v/>
      </c>
    </row>
    <row r="439" spans="1:9" x14ac:dyDescent="0.3">
      <c r="A439" s="144" t="str">
        <f t="shared" ca="1" si="8"/>
        <v/>
      </c>
      <c r="B439" s="145" t="str">
        <f ca="1">IF($A439="","",IFERROR(INDEX(Market_Data!$C$21:$C$613,MATCH($A439,Market_Data!$B$21:INDEX(Market_Data!$B$21:$B$613,COUNT(Market_Data!$B$21:$B$613)),1)),""))</f>
        <v/>
      </c>
      <c r="C439" s="145" t="str">
        <f ca="1">IF($A439="","",IFERROR(INDEX(Market_Data!$F$21:$F$613,MATCH($A439,Market_Data!$E$21:INDEX(Market_Data!$E$21:$E$613,COUNT(Market_Data!$E$21:$E$613)),1)),""))</f>
        <v/>
      </c>
      <c r="D439" s="145" t="str">
        <f ca="1">IF($A439="","",IFERROR(INDEX(Market_Data!$I$21:$I$613,MATCH($A439,Market_Data!$H$21:INDEX(Market_Data!$H$21:$H$613,COUNT(Market_Data!$H$21:$H$613)),1)),""))</f>
        <v/>
      </c>
      <c r="E439" s="145" t="str">
        <f ca="1">IF($A439="","",IFERROR(INDEX(Market_Data!$L$21:$L$613,MATCH($A439,Market_Data!$K$21:INDEX(Market_Data!$K$21:$K$613,COUNT(Market_Data!$K$21:$K$613)),1)),""))</f>
        <v/>
      </c>
      <c r="F439" s="145" t="str">
        <f ca="1">IF($A439="","",IFERROR(INDEX(Market_Data!$O$21:$O$613,MATCH($A439,Market_Data!$N$21:INDEX(Market_Data!$N$21:$N$613,COUNT(Market_Data!$N$21:$N$613)),1)),""))</f>
        <v/>
      </c>
      <c r="G439" s="145" t="str">
        <f ca="1">IF($A439="","",IFERROR(INDEX(Market_Data!$R$21:$R$613,MATCH($A439,Market_Data!$Q$21:INDEX(Market_Data!$Q$21:$Q$613,COUNT(Market_Data!$Q$21:$Q$613)),1)),""))</f>
        <v/>
      </c>
      <c r="H439" s="145" t="str">
        <f ca="1">IF($A439="","",IFERROR(INDEX(Market_Data!$U$21:$U$613,MATCH($A439,Market_Data!$T$21:INDEX(Market_Data!$T$21:$T$613,COUNT(Market_Data!$T$21:$T$613)),1)),""))</f>
        <v/>
      </c>
      <c r="I439" s="146" t="str">
        <f ca="1">IF($A439="","",IFERROR(INDEX(Query1[Close],MATCH($A439,Query1[Date],1)),""))</f>
        <v/>
      </c>
    </row>
    <row r="440" spans="1:9" x14ac:dyDescent="0.3">
      <c r="A440" s="144" t="str">
        <f t="shared" ca="1" si="8"/>
        <v/>
      </c>
      <c r="B440" s="145" t="str">
        <f ca="1">IF($A440="","",IFERROR(INDEX(Market_Data!$C$21:$C$613,MATCH($A440,Market_Data!$B$21:INDEX(Market_Data!$B$21:$B$613,COUNT(Market_Data!$B$21:$B$613)),1)),""))</f>
        <v/>
      </c>
      <c r="C440" s="145" t="str">
        <f ca="1">IF($A440="","",IFERROR(INDEX(Market_Data!$F$21:$F$613,MATCH($A440,Market_Data!$E$21:INDEX(Market_Data!$E$21:$E$613,COUNT(Market_Data!$E$21:$E$613)),1)),""))</f>
        <v/>
      </c>
      <c r="D440" s="145" t="str">
        <f ca="1">IF($A440="","",IFERROR(INDEX(Market_Data!$I$21:$I$613,MATCH($A440,Market_Data!$H$21:INDEX(Market_Data!$H$21:$H$613,COUNT(Market_Data!$H$21:$H$613)),1)),""))</f>
        <v/>
      </c>
      <c r="E440" s="145" t="str">
        <f ca="1">IF($A440="","",IFERROR(INDEX(Market_Data!$L$21:$L$613,MATCH($A440,Market_Data!$K$21:INDEX(Market_Data!$K$21:$K$613,COUNT(Market_Data!$K$21:$K$613)),1)),""))</f>
        <v/>
      </c>
      <c r="F440" s="145" t="str">
        <f ca="1">IF($A440="","",IFERROR(INDEX(Market_Data!$O$21:$O$613,MATCH($A440,Market_Data!$N$21:INDEX(Market_Data!$N$21:$N$613,COUNT(Market_Data!$N$21:$N$613)),1)),""))</f>
        <v/>
      </c>
      <c r="G440" s="145" t="str">
        <f ca="1">IF($A440="","",IFERROR(INDEX(Market_Data!$R$21:$R$613,MATCH($A440,Market_Data!$Q$21:INDEX(Market_Data!$Q$21:$Q$613,COUNT(Market_Data!$Q$21:$Q$613)),1)),""))</f>
        <v/>
      </c>
      <c r="H440" s="145" t="str">
        <f ca="1">IF($A440="","",IFERROR(INDEX(Market_Data!$U$21:$U$613,MATCH($A440,Market_Data!$T$21:INDEX(Market_Data!$T$21:$T$613,COUNT(Market_Data!$T$21:$T$613)),1)),""))</f>
        <v/>
      </c>
      <c r="I440" s="146" t="str">
        <f ca="1">IF($A440="","",IFERROR(INDEX(Query1[Close],MATCH($A440,Query1[Date],1)),""))</f>
        <v/>
      </c>
    </row>
    <row r="441" spans="1:9" x14ac:dyDescent="0.3">
      <c r="A441" s="144" t="str">
        <f t="shared" ca="1" si="8"/>
        <v/>
      </c>
      <c r="B441" s="145" t="str">
        <f ca="1">IF($A441="","",IFERROR(INDEX(Market_Data!$C$21:$C$613,MATCH($A441,Market_Data!$B$21:INDEX(Market_Data!$B$21:$B$613,COUNT(Market_Data!$B$21:$B$613)),1)),""))</f>
        <v/>
      </c>
      <c r="C441" s="145" t="str">
        <f ca="1">IF($A441="","",IFERROR(INDEX(Market_Data!$F$21:$F$613,MATCH($A441,Market_Data!$E$21:INDEX(Market_Data!$E$21:$E$613,COUNT(Market_Data!$E$21:$E$613)),1)),""))</f>
        <v/>
      </c>
      <c r="D441" s="145" t="str">
        <f ca="1">IF($A441="","",IFERROR(INDEX(Market_Data!$I$21:$I$613,MATCH($A441,Market_Data!$H$21:INDEX(Market_Data!$H$21:$H$613,COUNT(Market_Data!$H$21:$H$613)),1)),""))</f>
        <v/>
      </c>
      <c r="E441" s="145" t="str">
        <f ca="1">IF($A441="","",IFERROR(INDEX(Market_Data!$L$21:$L$613,MATCH($A441,Market_Data!$K$21:INDEX(Market_Data!$K$21:$K$613,COUNT(Market_Data!$K$21:$K$613)),1)),""))</f>
        <v/>
      </c>
      <c r="F441" s="145" t="str">
        <f ca="1">IF($A441="","",IFERROR(INDEX(Market_Data!$O$21:$O$613,MATCH($A441,Market_Data!$N$21:INDEX(Market_Data!$N$21:$N$613,COUNT(Market_Data!$N$21:$N$613)),1)),""))</f>
        <v/>
      </c>
      <c r="G441" s="145" t="str">
        <f ca="1">IF($A441="","",IFERROR(INDEX(Market_Data!$R$21:$R$613,MATCH($A441,Market_Data!$Q$21:INDEX(Market_Data!$Q$21:$Q$613,COUNT(Market_Data!$Q$21:$Q$613)),1)),""))</f>
        <v/>
      </c>
      <c r="H441" s="145" t="str">
        <f ca="1">IF($A441="","",IFERROR(INDEX(Market_Data!$U$21:$U$613,MATCH($A441,Market_Data!$T$21:INDEX(Market_Data!$T$21:$T$613,COUNT(Market_Data!$T$21:$T$613)),1)),""))</f>
        <v/>
      </c>
      <c r="I441" s="146" t="str">
        <f ca="1">IF($A441="","",IFERROR(INDEX(Query1[Close],MATCH($A441,Query1[Date],1)),""))</f>
        <v/>
      </c>
    </row>
    <row r="442" spans="1:9" x14ac:dyDescent="0.3">
      <c r="A442" s="144" t="str">
        <f t="shared" ca="1" si="8"/>
        <v/>
      </c>
      <c r="B442" s="145" t="str">
        <f ca="1">IF($A442="","",IFERROR(INDEX(Market_Data!$C$21:$C$613,MATCH($A442,Market_Data!$B$21:INDEX(Market_Data!$B$21:$B$613,COUNT(Market_Data!$B$21:$B$613)),1)),""))</f>
        <v/>
      </c>
      <c r="C442" s="145" t="str">
        <f ca="1">IF($A442="","",IFERROR(INDEX(Market_Data!$F$21:$F$613,MATCH($A442,Market_Data!$E$21:INDEX(Market_Data!$E$21:$E$613,COUNT(Market_Data!$E$21:$E$613)),1)),""))</f>
        <v/>
      </c>
      <c r="D442" s="145" t="str">
        <f ca="1">IF($A442="","",IFERROR(INDEX(Market_Data!$I$21:$I$613,MATCH($A442,Market_Data!$H$21:INDEX(Market_Data!$H$21:$H$613,COUNT(Market_Data!$H$21:$H$613)),1)),""))</f>
        <v/>
      </c>
      <c r="E442" s="145" t="str">
        <f ca="1">IF($A442="","",IFERROR(INDEX(Market_Data!$L$21:$L$613,MATCH($A442,Market_Data!$K$21:INDEX(Market_Data!$K$21:$K$613,COUNT(Market_Data!$K$21:$K$613)),1)),""))</f>
        <v/>
      </c>
      <c r="F442" s="145" t="str">
        <f ca="1">IF($A442="","",IFERROR(INDEX(Market_Data!$O$21:$O$613,MATCH($A442,Market_Data!$N$21:INDEX(Market_Data!$N$21:$N$613,COUNT(Market_Data!$N$21:$N$613)),1)),""))</f>
        <v/>
      </c>
      <c r="G442" s="145" t="str">
        <f ca="1">IF($A442="","",IFERROR(INDEX(Market_Data!$R$21:$R$613,MATCH($A442,Market_Data!$Q$21:INDEX(Market_Data!$Q$21:$Q$613,COUNT(Market_Data!$Q$21:$Q$613)),1)),""))</f>
        <v/>
      </c>
      <c r="H442" s="145" t="str">
        <f ca="1">IF($A442="","",IFERROR(INDEX(Market_Data!$U$21:$U$613,MATCH($A442,Market_Data!$T$21:INDEX(Market_Data!$T$21:$T$613,COUNT(Market_Data!$T$21:$T$613)),1)),""))</f>
        <v/>
      </c>
      <c r="I442" s="146" t="str">
        <f ca="1">IF($A442="","",IFERROR(INDEX(Query1[Close],MATCH($A442,Query1[Date],1)),""))</f>
        <v/>
      </c>
    </row>
    <row r="443" spans="1:9" x14ac:dyDescent="0.3">
      <c r="A443" s="144" t="str">
        <f t="shared" ca="1" si="8"/>
        <v/>
      </c>
      <c r="B443" s="145" t="str">
        <f ca="1">IF($A443="","",IFERROR(INDEX(Market_Data!$C$21:$C$613,MATCH($A443,Market_Data!$B$21:INDEX(Market_Data!$B$21:$B$613,COUNT(Market_Data!$B$21:$B$613)),1)),""))</f>
        <v/>
      </c>
      <c r="C443" s="145" t="str">
        <f ca="1">IF($A443="","",IFERROR(INDEX(Market_Data!$F$21:$F$613,MATCH($A443,Market_Data!$E$21:INDEX(Market_Data!$E$21:$E$613,COUNT(Market_Data!$E$21:$E$613)),1)),""))</f>
        <v/>
      </c>
      <c r="D443" s="145" t="str">
        <f ca="1">IF($A443="","",IFERROR(INDEX(Market_Data!$I$21:$I$613,MATCH($A443,Market_Data!$H$21:INDEX(Market_Data!$H$21:$H$613,COUNT(Market_Data!$H$21:$H$613)),1)),""))</f>
        <v/>
      </c>
      <c r="E443" s="145" t="str">
        <f ca="1">IF($A443="","",IFERROR(INDEX(Market_Data!$L$21:$L$613,MATCH($A443,Market_Data!$K$21:INDEX(Market_Data!$K$21:$K$613,COUNT(Market_Data!$K$21:$K$613)),1)),""))</f>
        <v/>
      </c>
      <c r="F443" s="145" t="str">
        <f ca="1">IF($A443="","",IFERROR(INDEX(Market_Data!$O$21:$O$613,MATCH($A443,Market_Data!$N$21:INDEX(Market_Data!$N$21:$N$613,COUNT(Market_Data!$N$21:$N$613)),1)),""))</f>
        <v/>
      </c>
      <c r="G443" s="145" t="str">
        <f ca="1">IF($A443="","",IFERROR(INDEX(Market_Data!$R$21:$R$613,MATCH($A443,Market_Data!$Q$21:INDEX(Market_Data!$Q$21:$Q$613,COUNT(Market_Data!$Q$21:$Q$613)),1)),""))</f>
        <v/>
      </c>
      <c r="H443" s="145" t="str">
        <f ca="1">IF($A443="","",IFERROR(INDEX(Market_Data!$U$21:$U$613,MATCH($A443,Market_Data!$T$21:INDEX(Market_Data!$T$21:$T$613,COUNT(Market_Data!$T$21:$T$613)),1)),""))</f>
        <v/>
      </c>
      <c r="I443" s="146" t="str">
        <f ca="1">IF($A443="","",IFERROR(INDEX(Query1[Close],MATCH($A443,Query1[Date],1)),""))</f>
        <v/>
      </c>
    </row>
    <row r="444" spans="1:9" x14ac:dyDescent="0.3">
      <c r="A444" s="144" t="str">
        <f t="shared" ca="1" si="8"/>
        <v/>
      </c>
      <c r="B444" s="145" t="str">
        <f ca="1">IF($A444="","",IFERROR(INDEX(Market_Data!$C$21:$C$613,MATCH($A444,Market_Data!$B$21:INDEX(Market_Data!$B$21:$B$613,COUNT(Market_Data!$B$21:$B$613)),1)),""))</f>
        <v/>
      </c>
      <c r="C444" s="145" t="str">
        <f ca="1">IF($A444="","",IFERROR(INDEX(Market_Data!$F$21:$F$613,MATCH($A444,Market_Data!$E$21:INDEX(Market_Data!$E$21:$E$613,COUNT(Market_Data!$E$21:$E$613)),1)),""))</f>
        <v/>
      </c>
      <c r="D444" s="145" t="str">
        <f ca="1">IF($A444="","",IFERROR(INDEX(Market_Data!$I$21:$I$613,MATCH($A444,Market_Data!$H$21:INDEX(Market_Data!$H$21:$H$613,COUNT(Market_Data!$H$21:$H$613)),1)),""))</f>
        <v/>
      </c>
      <c r="E444" s="145" t="str">
        <f ca="1">IF($A444="","",IFERROR(INDEX(Market_Data!$L$21:$L$613,MATCH($A444,Market_Data!$K$21:INDEX(Market_Data!$K$21:$K$613,COUNT(Market_Data!$K$21:$K$613)),1)),""))</f>
        <v/>
      </c>
      <c r="F444" s="145" t="str">
        <f ca="1">IF($A444="","",IFERROR(INDEX(Market_Data!$O$21:$O$613,MATCH($A444,Market_Data!$N$21:INDEX(Market_Data!$N$21:$N$613,COUNT(Market_Data!$N$21:$N$613)),1)),""))</f>
        <v/>
      </c>
      <c r="G444" s="145" t="str">
        <f ca="1">IF($A444="","",IFERROR(INDEX(Market_Data!$R$21:$R$613,MATCH($A444,Market_Data!$Q$21:INDEX(Market_Data!$Q$21:$Q$613,COUNT(Market_Data!$Q$21:$Q$613)),1)),""))</f>
        <v/>
      </c>
      <c r="H444" s="145" t="str">
        <f ca="1">IF($A444="","",IFERROR(INDEX(Market_Data!$U$21:$U$613,MATCH($A444,Market_Data!$T$21:INDEX(Market_Data!$T$21:$T$613,COUNT(Market_Data!$T$21:$T$613)),1)),""))</f>
        <v/>
      </c>
      <c r="I444" s="146" t="str">
        <f ca="1">IF($A444="","",IFERROR(INDEX(Query1[Close],MATCH($A444,Query1[Date],1)),""))</f>
        <v/>
      </c>
    </row>
    <row r="445" spans="1:9" x14ac:dyDescent="0.3">
      <c r="A445" s="144" t="str">
        <f t="shared" ca="1" si="8"/>
        <v/>
      </c>
      <c r="B445" s="145" t="str">
        <f ca="1">IF($A445="","",IFERROR(INDEX(Market_Data!$C$21:$C$613,MATCH($A445,Market_Data!$B$21:INDEX(Market_Data!$B$21:$B$613,COUNT(Market_Data!$B$21:$B$613)),1)),""))</f>
        <v/>
      </c>
      <c r="C445" s="145" t="str">
        <f ca="1">IF($A445="","",IFERROR(INDEX(Market_Data!$F$21:$F$613,MATCH($A445,Market_Data!$E$21:INDEX(Market_Data!$E$21:$E$613,COUNT(Market_Data!$E$21:$E$613)),1)),""))</f>
        <v/>
      </c>
      <c r="D445" s="145" t="str">
        <f ca="1">IF($A445="","",IFERROR(INDEX(Market_Data!$I$21:$I$613,MATCH($A445,Market_Data!$H$21:INDEX(Market_Data!$H$21:$H$613,COUNT(Market_Data!$H$21:$H$613)),1)),""))</f>
        <v/>
      </c>
      <c r="E445" s="145" t="str">
        <f ca="1">IF($A445="","",IFERROR(INDEX(Market_Data!$L$21:$L$613,MATCH($A445,Market_Data!$K$21:INDEX(Market_Data!$K$21:$K$613,COUNT(Market_Data!$K$21:$K$613)),1)),""))</f>
        <v/>
      </c>
      <c r="F445" s="145" t="str">
        <f ca="1">IF($A445="","",IFERROR(INDEX(Market_Data!$O$21:$O$613,MATCH($A445,Market_Data!$N$21:INDEX(Market_Data!$N$21:$N$613,COUNT(Market_Data!$N$21:$N$613)),1)),""))</f>
        <v/>
      </c>
      <c r="G445" s="145" t="str">
        <f ca="1">IF($A445="","",IFERROR(INDEX(Market_Data!$R$21:$R$613,MATCH($A445,Market_Data!$Q$21:INDEX(Market_Data!$Q$21:$Q$613,COUNT(Market_Data!$Q$21:$Q$613)),1)),""))</f>
        <v/>
      </c>
      <c r="H445" s="145" t="str">
        <f ca="1">IF($A445="","",IFERROR(INDEX(Market_Data!$U$21:$U$613,MATCH($A445,Market_Data!$T$21:INDEX(Market_Data!$T$21:$T$613,COUNT(Market_Data!$T$21:$T$613)),1)),""))</f>
        <v/>
      </c>
      <c r="I445" s="146" t="str">
        <f ca="1">IF($A445="","",IFERROR(INDEX(Query1[Close],MATCH($A445,Query1[Date],1)),""))</f>
        <v/>
      </c>
    </row>
    <row r="446" spans="1:9" x14ac:dyDescent="0.3">
      <c r="A446" s="144" t="str">
        <f t="shared" ca="1" si="8"/>
        <v/>
      </c>
      <c r="B446" s="145" t="str">
        <f ca="1">IF($A446="","",IFERROR(INDEX(Market_Data!$C$21:$C$613,MATCH($A446,Market_Data!$B$21:INDEX(Market_Data!$B$21:$B$613,COUNT(Market_Data!$B$21:$B$613)),1)),""))</f>
        <v/>
      </c>
      <c r="C446" s="145" t="str">
        <f ca="1">IF($A446="","",IFERROR(INDEX(Market_Data!$F$21:$F$613,MATCH($A446,Market_Data!$E$21:INDEX(Market_Data!$E$21:$E$613,COUNT(Market_Data!$E$21:$E$613)),1)),""))</f>
        <v/>
      </c>
      <c r="D446" s="145" t="str">
        <f ca="1">IF($A446="","",IFERROR(INDEX(Market_Data!$I$21:$I$613,MATCH($A446,Market_Data!$H$21:INDEX(Market_Data!$H$21:$H$613,COUNT(Market_Data!$H$21:$H$613)),1)),""))</f>
        <v/>
      </c>
      <c r="E446" s="145" t="str">
        <f ca="1">IF($A446="","",IFERROR(INDEX(Market_Data!$L$21:$L$613,MATCH($A446,Market_Data!$K$21:INDEX(Market_Data!$K$21:$K$613,COUNT(Market_Data!$K$21:$K$613)),1)),""))</f>
        <v/>
      </c>
      <c r="F446" s="145" t="str">
        <f ca="1">IF($A446="","",IFERROR(INDEX(Market_Data!$O$21:$O$613,MATCH($A446,Market_Data!$N$21:INDEX(Market_Data!$N$21:$N$613,COUNT(Market_Data!$N$21:$N$613)),1)),""))</f>
        <v/>
      </c>
      <c r="G446" s="145" t="str">
        <f ca="1">IF($A446="","",IFERROR(INDEX(Market_Data!$R$21:$R$613,MATCH($A446,Market_Data!$Q$21:INDEX(Market_Data!$Q$21:$Q$613,COUNT(Market_Data!$Q$21:$Q$613)),1)),""))</f>
        <v/>
      </c>
      <c r="H446" s="145" t="str">
        <f ca="1">IF($A446="","",IFERROR(INDEX(Market_Data!$U$21:$U$613,MATCH($A446,Market_Data!$T$21:INDEX(Market_Data!$T$21:$T$613,COUNT(Market_Data!$T$21:$T$613)),1)),""))</f>
        <v/>
      </c>
      <c r="I446" s="146" t="str">
        <f ca="1">IF($A446="","",IFERROR(INDEX(Query1[Close],MATCH($A446,Query1[Date],1)),""))</f>
        <v/>
      </c>
    </row>
    <row r="447" spans="1:9" x14ac:dyDescent="0.3">
      <c r="A447" s="144" t="str">
        <f t="shared" ca="1" si="8"/>
        <v/>
      </c>
      <c r="B447" s="145" t="str">
        <f ca="1">IF($A447="","",IFERROR(INDEX(Market_Data!$C$21:$C$613,MATCH($A447,Market_Data!$B$21:INDEX(Market_Data!$B$21:$B$613,COUNT(Market_Data!$B$21:$B$613)),1)),""))</f>
        <v/>
      </c>
      <c r="C447" s="145" t="str">
        <f ca="1">IF($A447="","",IFERROR(INDEX(Market_Data!$F$21:$F$613,MATCH($A447,Market_Data!$E$21:INDEX(Market_Data!$E$21:$E$613,COUNT(Market_Data!$E$21:$E$613)),1)),""))</f>
        <v/>
      </c>
      <c r="D447" s="145" t="str">
        <f ca="1">IF($A447="","",IFERROR(INDEX(Market_Data!$I$21:$I$613,MATCH($A447,Market_Data!$H$21:INDEX(Market_Data!$H$21:$H$613,COUNT(Market_Data!$H$21:$H$613)),1)),""))</f>
        <v/>
      </c>
      <c r="E447" s="145" t="str">
        <f ca="1">IF($A447="","",IFERROR(INDEX(Market_Data!$L$21:$L$613,MATCH($A447,Market_Data!$K$21:INDEX(Market_Data!$K$21:$K$613,COUNT(Market_Data!$K$21:$K$613)),1)),""))</f>
        <v/>
      </c>
      <c r="F447" s="145" t="str">
        <f ca="1">IF($A447="","",IFERROR(INDEX(Market_Data!$O$21:$O$613,MATCH($A447,Market_Data!$N$21:INDEX(Market_Data!$N$21:$N$613,COUNT(Market_Data!$N$21:$N$613)),1)),""))</f>
        <v/>
      </c>
      <c r="G447" s="145" t="str">
        <f ca="1">IF($A447="","",IFERROR(INDEX(Market_Data!$R$21:$R$613,MATCH($A447,Market_Data!$Q$21:INDEX(Market_Data!$Q$21:$Q$613,COUNT(Market_Data!$Q$21:$Q$613)),1)),""))</f>
        <v/>
      </c>
      <c r="H447" s="145" t="str">
        <f ca="1">IF($A447="","",IFERROR(INDEX(Market_Data!$U$21:$U$613,MATCH($A447,Market_Data!$T$21:INDEX(Market_Data!$T$21:$T$613,COUNT(Market_Data!$T$21:$T$613)),1)),""))</f>
        <v/>
      </c>
      <c r="I447" s="146" t="str">
        <f ca="1">IF($A447="","",IFERROR(INDEX(Query1[Close],MATCH($A447,Query1[Date],1)),""))</f>
        <v/>
      </c>
    </row>
    <row r="448" spans="1:9" x14ac:dyDescent="0.3">
      <c r="A448" s="144" t="str">
        <f t="shared" ca="1" si="8"/>
        <v/>
      </c>
      <c r="B448" s="145" t="str">
        <f ca="1">IF($A448="","",IFERROR(INDEX(Market_Data!$C$21:$C$613,MATCH($A448,Market_Data!$B$21:INDEX(Market_Data!$B$21:$B$613,COUNT(Market_Data!$B$21:$B$613)),1)),""))</f>
        <v/>
      </c>
      <c r="C448" s="145" t="str">
        <f ca="1">IF($A448="","",IFERROR(INDEX(Market_Data!$F$21:$F$613,MATCH($A448,Market_Data!$E$21:INDEX(Market_Data!$E$21:$E$613,COUNT(Market_Data!$E$21:$E$613)),1)),""))</f>
        <v/>
      </c>
      <c r="D448" s="145" t="str">
        <f ca="1">IF($A448="","",IFERROR(INDEX(Market_Data!$I$21:$I$613,MATCH($A448,Market_Data!$H$21:INDEX(Market_Data!$H$21:$H$613,COUNT(Market_Data!$H$21:$H$613)),1)),""))</f>
        <v/>
      </c>
      <c r="E448" s="145" t="str">
        <f ca="1">IF($A448="","",IFERROR(INDEX(Market_Data!$L$21:$L$613,MATCH($A448,Market_Data!$K$21:INDEX(Market_Data!$K$21:$K$613,COUNT(Market_Data!$K$21:$K$613)),1)),""))</f>
        <v/>
      </c>
      <c r="F448" s="145" t="str">
        <f ca="1">IF($A448="","",IFERROR(INDEX(Market_Data!$O$21:$O$613,MATCH($A448,Market_Data!$N$21:INDEX(Market_Data!$N$21:$N$613,COUNT(Market_Data!$N$21:$N$613)),1)),""))</f>
        <v/>
      </c>
      <c r="G448" s="145" t="str">
        <f ca="1">IF($A448="","",IFERROR(INDEX(Market_Data!$R$21:$R$613,MATCH($A448,Market_Data!$Q$21:INDEX(Market_Data!$Q$21:$Q$613,COUNT(Market_Data!$Q$21:$Q$613)),1)),""))</f>
        <v/>
      </c>
      <c r="H448" s="145" t="str">
        <f ca="1">IF($A448="","",IFERROR(INDEX(Market_Data!$U$21:$U$613,MATCH($A448,Market_Data!$T$21:INDEX(Market_Data!$T$21:$T$613,COUNT(Market_Data!$T$21:$T$613)),1)),""))</f>
        <v/>
      </c>
      <c r="I448" s="146" t="str">
        <f ca="1">IF($A448="","",IFERROR(INDEX(Query1[Close],MATCH($A448,Query1[Date],1)),""))</f>
        <v/>
      </c>
    </row>
    <row r="449" spans="1:9" x14ac:dyDescent="0.3">
      <c r="A449" s="144" t="str">
        <f t="shared" ca="1" si="8"/>
        <v/>
      </c>
      <c r="B449" s="145" t="str">
        <f ca="1">IF($A449="","",IFERROR(INDEX(Market_Data!$C$21:$C$613,MATCH($A449,Market_Data!$B$21:INDEX(Market_Data!$B$21:$B$613,COUNT(Market_Data!$B$21:$B$613)),1)),""))</f>
        <v/>
      </c>
      <c r="C449" s="145" t="str">
        <f ca="1">IF($A449="","",IFERROR(INDEX(Market_Data!$F$21:$F$613,MATCH($A449,Market_Data!$E$21:INDEX(Market_Data!$E$21:$E$613,COUNT(Market_Data!$E$21:$E$613)),1)),""))</f>
        <v/>
      </c>
      <c r="D449" s="145" t="str">
        <f ca="1">IF($A449="","",IFERROR(INDEX(Market_Data!$I$21:$I$613,MATCH($A449,Market_Data!$H$21:INDEX(Market_Data!$H$21:$H$613,COUNT(Market_Data!$H$21:$H$613)),1)),""))</f>
        <v/>
      </c>
      <c r="E449" s="145" t="str">
        <f ca="1">IF($A449="","",IFERROR(INDEX(Market_Data!$L$21:$L$613,MATCH($A449,Market_Data!$K$21:INDEX(Market_Data!$K$21:$K$613,COUNT(Market_Data!$K$21:$K$613)),1)),""))</f>
        <v/>
      </c>
      <c r="F449" s="145" t="str">
        <f ca="1">IF($A449="","",IFERROR(INDEX(Market_Data!$O$21:$O$613,MATCH($A449,Market_Data!$N$21:INDEX(Market_Data!$N$21:$N$613,COUNT(Market_Data!$N$21:$N$613)),1)),""))</f>
        <v/>
      </c>
      <c r="G449" s="145" t="str">
        <f ca="1">IF($A449="","",IFERROR(INDEX(Market_Data!$R$21:$R$613,MATCH($A449,Market_Data!$Q$21:INDEX(Market_Data!$Q$21:$Q$613,COUNT(Market_Data!$Q$21:$Q$613)),1)),""))</f>
        <v/>
      </c>
      <c r="H449" s="145" t="str">
        <f ca="1">IF($A449="","",IFERROR(INDEX(Market_Data!$U$21:$U$613,MATCH($A449,Market_Data!$T$21:INDEX(Market_Data!$T$21:$T$613,COUNT(Market_Data!$T$21:$T$613)),1)),""))</f>
        <v/>
      </c>
      <c r="I449" s="146" t="str">
        <f ca="1">IF($A449="","",IFERROR(INDEX(Query1[Close],MATCH($A449,Query1[Date],1)),""))</f>
        <v/>
      </c>
    </row>
    <row r="450" spans="1:9" x14ac:dyDescent="0.3">
      <c r="A450" s="144" t="str">
        <f t="shared" ca="1" si="8"/>
        <v/>
      </c>
      <c r="B450" s="145" t="str">
        <f ca="1">IF($A450="","",IFERROR(INDEX(Market_Data!$C$21:$C$613,MATCH($A450,Market_Data!$B$21:INDEX(Market_Data!$B$21:$B$613,COUNT(Market_Data!$B$21:$B$613)),1)),""))</f>
        <v/>
      </c>
      <c r="C450" s="145" t="str">
        <f ca="1">IF($A450="","",IFERROR(INDEX(Market_Data!$F$21:$F$613,MATCH($A450,Market_Data!$E$21:INDEX(Market_Data!$E$21:$E$613,COUNT(Market_Data!$E$21:$E$613)),1)),""))</f>
        <v/>
      </c>
      <c r="D450" s="145" t="str">
        <f ca="1">IF($A450="","",IFERROR(INDEX(Market_Data!$I$21:$I$613,MATCH($A450,Market_Data!$H$21:INDEX(Market_Data!$H$21:$H$613,COUNT(Market_Data!$H$21:$H$613)),1)),""))</f>
        <v/>
      </c>
      <c r="E450" s="145" t="str">
        <f ca="1">IF($A450="","",IFERROR(INDEX(Market_Data!$L$21:$L$613,MATCH($A450,Market_Data!$K$21:INDEX(Market_Data!$K$21:$K$613,COUNT(Market_Data!$K$21:$K$613)),1)),""))</f>
        <v/>
      </c>
      <c r="F450" s="145" t="str">
        <f ca="1">IF($A450="","",IFERROR(INDEX(Market_Data!$O$21:$O$613,MATCH($A450,Market_Data!$N$21:INDEX(Market_Data!$N$21:$N$613,COUNT(Market_Data!$N$21:$N$613)),1)),""))</f>
        <v/>
      </c>
      <c r="G450" s="145" t="str">
        <f ca="1">IF($A450="","",IFERROR(INDEX(Market_Data!$R$21:$R$613,MATCH($A450,Market_Data!$Q$21:INDEX(Market_Data!$Q$21:$Q$613,COUNT(Market_Data!$Q$21:$Q$613)),1)),""))</f>
        <v/>
      </c>
      <c r="H450" s="145" t="str">
        <f ca="1">IF($A450="","",IFERROR(INDEX(Market_Data!$U$21:$U$613,MATCH($A450,Market_Data!$T$21:INDEX(Market_Data!$T$21:$T$613,COUNT(Market_Data!$T$21:$T$613)),1)),""))</f>
        <v/>
      </c>
      <c r="I450" s="146" t="str">
        <f ca="1">IF($A450="","",IFERROR(INDEX(Query1[Close],MATCH($A450,Query1[Date],1)),""))</f>
        <v/>
      </c>
    </row>
    <row r="451" spans="1:9" x14ac:dyDescent="0.3">
      <c r="A451" s="144" t="str">
        <f t="shared" ca="1" si="8"/>
        <v/>
      </c>
      <c r="B451" s="145" t="str">
        <f ca="1">IF($A451="","",IFERROR(INDEX(Market_Data!$C$21:$C$613,MATCH($A451,Market_Data!$B$21:INDEX(Market_Data!$B$21:$B$613,COUNT(Market_Data!$B$21:$B$613)),1)),""))</f>
        <v/>
      </c>
      <c r="C451" s="145" t="str">
        <f ca="1">IF($A451="","",IFERROR(INDEX(Market_Data!$F$21:$F$613,MATCH($A451,Market_Data!$E$21:INDEX(Market_Data!$E$21:$E$613,COUNT(Market_Data!$E$21:$E$613)),1)),""))</f>
        <v/>
      </c>
      <c r="D451" s="145" t="str">
        <f ca="1">IF($A451="","",IFERROR(INDEX(Market_Data!$I$21:$I$613,MATCH($A451,Market_Data!$H$21:INDEX(Market_Data!$H$21:$H$613,COUNT(Market_Data!$H$21:$H$613)),1)),""))</f>
        <v/>
      </c>
      <c r="E451" s="145" t="str">
        <f ca="1">IF($A451="","",IFERROR(INDEX(Market_Data!$L$21:$L$613,MATCH($A451,Market_Data!$K$21:INDEX(Market_Data!$K$21:$K$613,COUNT(Market_Data!$K$21:$K$613)),1)),""))</f>
        <v/>
      </c>
      <c r="F451" s="145" t="str">
        <f ca="1">IF($A451="","",IFERROR(INDEX(Market_Data!$O$21:$O$613,MATCH($A451,Market_Data!$N$21:INDEX(Market_Data!$N$21:$N$613,COUNT(Market_Data!$N$21:$N$613)),1)),""))</f>
        <v/>
      </c>
      <c r="G451" s="145" t="str">
        <f ca="1">IF($A451="","",IFERROR(INDEX(Market_Data!$R$21:$R$613,MATCH($A451,Market_Data!$Q$21:INDEX(Market_Data!$Q$21:$Q$613,COUNT(Market_Data!$Q$21:$Q$613)),1)),""))</f>
        <v/>
      </c>
      <c r="H451" s="145" t="str">
        <f ca="1">IF($A451="","",IFERROR(INDEX(Market_Data!$U$21:$U$613,MATCH($A451,Market_Data!$T$21:INDEX(Market_Data!$T$21:$T$613,COUNT(Market_Data!$T$21:$T$613)),1)),""))</f>
        <v/>
      </c>
      <c r="I451" s="146" t="str">
        <f ca="1">IF($A451="","",IFERROR(INDEX(Query1[Close],MATCH($A451,Query1[Date],1)),""))</f>
        <v/>
      </c>
    </row>
    <row r="452" spans="1:9" x14ac:dyDescent="0.3">
      <c r="A452" s="144" t="str">
        <f t="shared" ca="1" si="8"/>
        <v/>
      </c>
      <c r="B452" s="145" t="str">
        <f ca="1">IF($A452="","",IFERROR(INDEX(Market_Data!$C$21:$C$613,MATCH($A452,Market_Data!$B$21:INDEX(Market_Data!$B$21:$B$613,COUNT(Market_Data!$B$21:$B$613)),1)),""))</f>
        <v/>
      </c>
      <c r="C452" s="145" t="str">
        <f ca="1">IF($A452="","",IFERROR(INDEX(Market_Data!$F$21:$F$613,MATCH($A452,Market_Data!$E$21:INDEX(Market_Data!$E$21:$E$613,COUNT(Market_Data!$E$21:$E$613)),1)),""))</f>
        <v/>
      </c>
      <c r="D452" s="145" t="str">
        <f ca="1">IF($A452="","",IFERROR(INDEX(Market_Data!$I$21:$I$613,MATCH($A452,Market_Data!$H$21:INDEX(Market_Data!$H$21:$H$613,COUNT(Market_Data!$H$21:$H$613)),1)),""))</f>
        <v/>
      </c>
      <c r="E452" s="145" t="str">
        <f ca="1">IF($A452="","",IFERROR(INDEX(Market_Data!$L$21:$L$613,MATCH($A452,Market_Data!$K$21:INDEX(Market_Data!$K$21:$K$613,COUNT(Market_Data!$K$21:$K$613)),1)),""))</f>
        <v/>
      </c>
      <c r="F452" s="145" t="str">
        <f ca="1">IF($A452="","",IFERROR(INDEX(Market_Data!$O$21:$O$613,MATCH($A452,Market_Data!$N$21:INDEX(Market_Data!$N$21:$N$613,COUNT(Market_Data!$N$21:$N$613)),1)),""))</f>
        <v/>
      </c>
      <c r="G452" s="145" t="str">
        <f ca="1">IF($A452="","",IFERROR(INDEX(Market_Data!$R$21:$R$613,MATCH($A452,Market_Data!$Q$21:INDEX(Market_Data!$Q$21:$Q$613,COUNT(Market_Data!$Q$21:$Q$613)),1)),""))</f>
        <v/>
      </c>
      <c r="H452" s="145" t="str">
        <f ca="1">IF($A452="","",IFERROR(INDEX(Market_Data!$U$21:$U$613,MATCH($A452,Market_Data!$T$21:INDEX(Market_Data!$T$21:$T$613,COUNT(Market_Data!$T$21:$T$613)),1)),""))</f>
        <v/>
      </c>
      <c r="I452" s="146" t="str">
        <f ca="1">IF($A452="","",IFERROR(INDEX(Query1[Close],MATCH($A452,Query1[Date],1)),""))</f>
        <v/>
      </c>
    </row>
    <row r="453" spans="1:9" x14ac:dyDescent="0.3">
      <c r="A453" s="144" t="str">
        <f t="shared" ca="1" si="8"/>
        <v/>
      </c>
      <c r="B453" s="145" t="str">
        <f ca="1">IF($A453="","",IFERROR(INDEX(Market_Data!$C$21:$C$613,MATCH($A453,Market_Data!$B$21:INDEX(Market_Data!$B$21:$B$613,COUNT(Market_Data!$B$21:$B$613)),1)),""))</f>
        <v/>
      </c>
      <c r="C453" s="145" t="str">
        <f ca="1">IF($A453="","",IFERROR(INDEX(Market_Data!$F$21:$F$613,MATCH($A453,Market_Data!$E$21:INDEX(Market_Data!$E$21:$E$613,COUNT(Market_Data!$E$21:$E$613)),1)),""))</f>
        <v/>
      </c>
      <c r="D453" s="145" t="str">
        <f ca="1">IF($A453="","",IFERROR(INDEX(Market_Data!$I$21:$I$613,MATCH($A453,Market_Data!$H$21:INDEX(Market_Data!$H$21:$H$613,COUNT(Market_Data!$H$21:$H$613)),1)),""))</f>
        <v/>
      </c>
      <c r="E453" s="145" t="str">
        <f ca="1">IF($A453="","",IFERROR(INDEX(Market_Data!$L$21:$L$613,MATCH($A453,Market_Data!$K$21:INDEX(Market_Data!$K$21:$K$613,COUNT(Market_Data!$K$21:$K$613)),1)),""))</f>
        <v/>
      </c>
      <c r="F453" s="145" t="str">
        <f ca="1">IF($A453="","",IFERROR(INDEX(Market_Data!$O$21:$O$613,MATCH($A453,Market_Data!$N$21:INDEX(Market_Data!$N$21:$N$613,COUNT(Market_Data!$N$21:$N$613)),1)),""))</f>
        <v/>
      </c>
      <c r="G453" s="145" t="str">
        <f ca="1">IF($A453="","",IFERROR(INDEX(Market_Data!$R$21:$R$613,MATCH($A453,Market_Data!$Q$21:INDEX(Market_Data!$Q$21:$Q$613,COUNT(Market_Data!$Q$21:$Q$613)),1)),""))</f>
        <v/>
      </c>
      <c r="H453" s="145" t="str">
        <f ca="1">IF($A453="","",IFERROR(INDEX(Market_Data!$U$21:$U$613,MATCH($A453,Market_Data!$T$21:INDEX(Market_Data!$T$21:$T$613,COUNT(Market_Data!$T$21:$T$613)),1)),""))</f>
        <v/>
      </c>
      <c r="I453" s="146" t="str">
        <f ca="1">IF($A453="","",IFERROR(INDEX(Query1[Close],MATCH($A453,Query1[Date],1)),""))</f>
        <v/>
      </c>
    </row>
    <row r="454" spans="1:9" x14ac:dyDescent="0.3">
      <c r="A454" s="144" t="str">
        <f t="shared" ref="A454:A517" ca="1" si="9">IF($A453="","",IF($A453+7&lt;=TODAY(),$A453+7,""))</f>
        <v/>
      </c>
      <c r="B454" s="145" t="str">
        <f ca="1">IF($A454="","",IFERROR(INDEX(Market_Data!$C$21:$C$613,MATCH($A454,Market_Data!$B$21:INDEX(Market_Data!$B$21:$B$613,COUNT(Market_Data!$B$21:$B$613)),1)),""))</f>
        <v/>
      </c>
      <c r="C454" s="145" t="str">
        <f ca="1">IF($A454="","",IFERROR(INDEX(Market_Data!$F$21:$F$613,MATCH($A454,Market_Data!$E$21:INDEX(Market_Data!$E$21:$E$613,COUNT(Market_Data!$E$21:$E$613)),1)),""))</f>
        <v/>
      </c>
      <c r="D454" s="145" t="str">
        <f ca="1">IF($A454="","",IFERROR(INDEX(Market_Data!$I$21:$I$613,MATCH($A454,Market_Data!$H$21:INDEX(Market_Data!$H$21:$H$613,COUNT(Market_Data!$H$21:$H$613)),1)),""))</f>
        <v/>
      </c>
      <c r="E454" s="145" t="str">
        <f ca="1">IF($A454="","",IFERROR(INDEX(Market_Data!$L$21:$L$613,MATCH($A454,Market_Data!$K$21:INDEX(Market_Data!$K$21:$K$613,COUNT(Market_Data!$K$21:$K$613)),1)),""))</f>
        <v/>
      </c>
      <c r="F454" s="145" t="str">
        <f ca="1">IF($A454="","",IFERROR(INDEX(Market_Data!$O$21:$O$613,MATCH($A454,Market_Data!$N$21:INDEX(Market_Data!$N$21:$N$613,COUNT(Market_Data!$N$21:$N$613)),1)),""))</f>
        <v/>
      </c>
      <c r="G454" s="145" t="str">
        <f ca="1">IF($A454="","",IFERROR(INDEX(Market_Data!$R$21:$R$613,MATCH($A454,Market_Data!$Q$21:INDEX(Market_Data!$Q$21:$Q$613,COUNT(Market_Data!$Q$21:$Q$613)),1)),""))</f>
        <v/>
      </c>
      <c r="H454" s="145" t="str">
        <f ca="1">IF($A454="","",IFERROR(INDEX(Market_Data!$U$21:$U$613,MATCH($A454,Market_Data!$T$21:INDEX(Market_Data!$T$21:$T$613,COUNT(Market_Data!$T$21:$T$613)),1)),""))</f>
        <v/>
      </c>
      <c r="I454" s="146" t="str">
        <f ca="1">IF($A454="","",IFERROR(INDEX(Query1[Close],MATCH($A454,Query1[Date],1)),""))</f>
        <v/>
      </c>
    </row>
    <row r="455" spans="1:9" x14ac:dyDescent="0.3">
      <c r="A455" s="144" t="str">
        <f t="shared" ca="1" si="9"/>
        <v/>
      </c>
      <c r="B455" s="145" t="str">
        <f ca="1">IF($A455="","",IFERROR(INDEX(Market_Data!$C$21:$C$613,MATCH($A455,Market_Data!$B$21:INDEX(Market_Data!$B$21:$B$613,COUNT(Market_Data!$B$21:$B$613)),1)),""))</f>
        <v/>
      </c>
      <c r="C455" s="145" t="str">
        <f ca="1">IF($A455="","",IFERROR(INDEX(Market_Data!$F$21:$F$613,MATCH($A455,Market_Data!$E$21:INDEX(Market_Data!$E$21:$E$613,COUNT(Market_Data!$E$21:$E$613)),1)),""))</f>
        <v/>
      </c>
      <c r="D455" s="145" t="str">
        <f ca="1">IF($A455="","",IFERROR(INDEX(Market_Data!$I$21:$I$613,MATCH($A455,Market_Data!$H$21:INDEX(Market_Data!$H$21:$H$613,COUNT(Market_Data!$H$21:$H$613)),1)),""))</f>
        <v/>
      </c>
      <c r="E455" s="145" t="str">
        <f ca="1">IF($A455="","",IFERROR(INDEX(Market_Data!$L$21:$L$613,MATCH($A455,Market_Data!$K$21:INDEX(Market_Data!$K$21:$K$613,COUNT(Market_Data!$K$21:$K$613)),1)),""))</f>
        <v/>
      </c>
      <c r="F455" s="145" t="str">
        <f ca="1">IF($A455="","",IFERROR(INDEX(Market_Data!$O$21:$O$613,MATCH($A455,Market_Data!$N$21:INDEX(Market_Data!$N$21:$N$613,COUNT(Market_Data!$N$21:$N$613)),1)),""))</f>
        <v/>
      </c>
      <c r="G455" s="145" t="str">
        <f ca="1">IF($A455="","",IFERROR(INDEX(Market_Data!$R$21:$R$613,MATCH($A455,Market_Data!$Q$21:INDEX(Market_Data!$Q$21:$Q$613,COUNT(Market_Data!$Q$21:$Q$613)),1)),""))</f>
        <v/>
      </c>
      <c r="H455" s="145" t="str">
        <f ca="1">IF($A455="","",IFERROR(INDEX(Market_Data!$U$21:$U$613,MATCH($A455,Market_Data!$T$21:INDEX(Market_Data!$T$21:$T$613,COUNT(Market_Data!$T$21:$T$613)),1)),""))</f>
        <v/>
      </c>
      <c r="I455" s="146" t="str">
        <f ca="1">IF($A455="","",IFERROR(INDEX(Query1[Close],MATCH($A455,Query1[Date],1)),""))</f>
        <v/>
      </c>
    </row>
    <row r="456" spans="1:9" x14ac:dyDescent="0.3">
      <c r="A456" s="144" t="str">
        <f t="shared" ca="1" si="9"/>
        <v/>
      </c>
      <c r="B456" s="145" t="str">
        <f ca="1">IF($A456="","",IFERROR(INDEX(Market_Data!$C$21:$C$613,MATCH($A456,Market_Data!$B$21:INDEX(Market_Data!$B$21:$B$613,COUNT(Market_Data!$B$21:$B$613)),1)),""))</f>
        <v/>
      </c>
      <c r="C456" s="145" t="str">
        <f ca="1">IF($A456="","",IFERROR(INDEX(Market_Data!$F$21:$F$613,MATCH($A456,Market_Data!$E$21:INDEX(Market_Data!$E$21:$E$613,COUNT(Market_Data!$E$21:$E$613)),1)),""))</f>
        <v/>
      </c>
      <c r="D456" s="145" t="str">
        <f ca="1">IF($A456="","",IFERROR(INDEX(Market_Data!$I$21:$I$613,MATCH($A456,Market_Data!$H$21:INDEX(Market_Data!$H$21:$H$613,COUNT(Market_Data!$H$21:$H$613)),1)),""))</f>
        <v/>
      </c>
      <c r="E456" s="145" t="str">
        <f ca="1">IF($A456="","",IFERROR(INDEX(Market_Data!$L$21:$L$613,MATCH($A456,Market_Data!$K$21:INDEX(Market_Data!$K$21:$K$613,COUNT(Market_Data!$K$21:$K$613)),1)),""))</f>
        <v/>
      </c>
      <c r="F456" s="145" t="str">
        <f ca="1">IF($A456="","",IFERROR(INDEX(Market_Data!$O$21:$O$613,MATCH($A456,Market_Data!$N$21:INDEX(Market_Data!$N$21:$N$613,COUNT(Market_Data!$N$21:$N$613)),1)),""))</f>
        <v/>
      </c>
      <c r="G456" s="145" t="str">
        <f ca="1">IF($A456="","",IFERROR(INDEX(Market_Data!$R$21:$R$613,MATCH($A456,Market_Data!$Q$21:INDEX(Market_Data!$Q$21:$Q$613,COUNT(Market_Data!$Q$21:$Q$613)),1)),""))</f>
        <v/>
      </c>
      <c r="H456" s="145" t="str">
        <f ca="1">IF($A456="","",IFERROR(INDEX(Market_Data!$U$21:$U$613,MATCH($A456,Market_Data!$T$21:INDEX(Market_Data!$T$21:$T$613,COUNT(Market_Data!$T$21:$T$613)),1)),""))</f>
        <v/>
      </c>
      <c r="I456" s="146" t="str">
        <f ca="1">IF($A456="","",IFERROR(INDEX(Query1[Close],MATCH($A456,Query1[Date],1)),""))</f>
        <v/>
      </c>
    </row>
    <row r="457" spans="1:9" x14ac:dyDescent="0.3">
      <c r="A457" s="144" t="str">
        <f t="shared" ca="1" si="9"/>
        <v/>
      </c>
      <c r="B457" s="145" t="str">
        <f ca="1">IF($A457="","",IFERROR(INDEX(Market_Data!$C$21:$C$613,MATCH($A457,Market_Data!$B$21:INDEX(Market_Data!$B$21:$B$613,COUNT(Market_Data!$B$21:$B$613)),1)),""))</f>
        <v/>
      </c>
      <c r="C457" s="145" t="str">
        <f ca="1">IF($A457="","",IFERROR(INDEX(Market_Data!$F$21:$F$613,MATCH($A457,Market_Data!$E$21:INDEX(Market_Data!$E$21:$E$613,COUNT(Market_Data!$E$21:$E$613)),1)),""))</f>
        <v/>
      </c>
      <c r="D457" s="145" t="str">
        <f ca="1">IF($A457="","",IFERROR(INDEX(Market_Data!$I$21:$I$613,MATCH($A457,Market_Data!$H$21:INDEX(Market_Data!$H$21:$H$613,COUNT(Market_Data!$H$21:$H$613)),1)),""))</f>
        <v/>
      </c>
      <c r="E457" s="145" t="str">
        <f ca="1">IF($A457="","",IFERROR(INDEX(Market_Data!$L$21:$L$613,MATCH($A457,Market_Data!$K$21:INDEX(Market_Data!$K$21:$K$613,COUNT(Market_Data!$K$21:$K$613)),1)),""))</f>
        <v/>
      </c>
      <c r="F457" s="145" t="str">
        <f ca="1">IF($A457="","",IFERROR(INDEX(Market_Data!$O$21:$O$613,MATCH($A457,Market_Data!$N$21:INDEX(Market_Data!$N$21:$N$613,COUNT(Market_Data!$N$21:$N$613)),1)),""))</f>
        <v/>
      </c>
      <c r="G457" s="145" t="str">
        <f ca="1">IF($A457="","",IFERROR(INDEX(Market_Data!$R$21:$R$613,MATCH($A457,Market_Data!$Q$21:INDEX(Market_Data!$Q$21:$Q$613,COUNT(Market_Data!$Q$21:$Q$613)),1)),""))</f>
        <v/>
      </c>
      <c r="H457" s="145" t="str">
        <f ca="1">IF($A457="","",IFERROR(INDEX(Market_Data!$U$21:$U$613,MATCH($A457,Market_Data!$T$21:INDEX(Market_Data!$T$21:$T$613,COUNT(Market_Data!$T$21:$T$613)),1)),""))</f>
        <v/>
      </c>
      <c r="I457" s="146" t="str">
        <f ca="1">IF($A457="","",IFERROR(INDEX(Query1[Close],MATCH($A457,Query1[Date],1)),""))</f>
        <v/>
      </c>
    </row>
    <row r="458" spans="1:9" x14ac:dyDescent="0.3">
      <c r="A458" s="144" t="str">
        <f t="shared" ca="1" si="9"/>
        <v/>
      </c>
      <c r="B458" s="145" t="str">
        <f ca="1">IF($A458="","",IFERROR(INDEX(Market_Data!$C$21:$C$613,MATCH($A458,Market_Data!$B$21:INDEX(Market_Data!$B$21:$B$613,COUNT(Market_Data!$B$21:$B$613)),1)),""))</f>
        <v/>
      </c>
      <c r="C458" s="145" t="str">
        <f ca="1">IF($A458="","",IFERROR(INDEX(Market_Data!$F$21:$F$613,MATCH($A458,Market_Data!$E$21:INDEX(Market_Data!$E$21:$E$613,COUNT(Market_Data!$E$21:$E$613)),1)),""))</f>
        <v/>
      </c>
      <c r="D458" s="145" t="str">
        <f ca="1">IF($A458="","",IFERROR(INDEX(Market_Data!$I$21:$I$613,MATCH($A458,Market_Data!$H$21:INDEX(Market_Data!$H$21:$H$613,COUNT(Market_Data!$H$21:$H$613)),1)),""))</f>
        <v/>
      </c>
      <c r="E458" s="145" t="str">
        <f ca="1">IF($A458="","",IFERROR(INDEX(Market_Data!$L$21:$L$613,MATCH($A458,Market_Data!$K$21:INDEX(Market_Data!$K$21:$K$613,COUNT(Market_Data!$K$21:$K$613)),1)),""))</f>
        <v/>
      </c>
      <c r="F458" s="145" t="str">
        <f ca="1">IF($A458="","",IFERROR(INDEX(Market_Data!$O$21:$O$613,MATCH($A458,Market_Data!$N$21:INDEX(Market_Data!$N$21:$N$613,COUNT(Market_Data!$N$21:$N$613)),1)),""))</f>
        <v/>
      </c>
      <c r="G458" s="145" t="str">
        <f ca="1">IF($A458="","",IFERROR(INDEX(Market_Data!$R$21:$R$613,MATCH($A458,Market_Data!$Q$21:INDEX(Market_Data!$Q$21:$Q$613,COUNT(Market_Data!$Q$21:$Q$613)),1)),""))</f>
        <v/>
      </c>
      <c r="H458" s="145" t="str">
        <f ca="1">IF($A458="","",IFERROR(INDEX(Market_Data!$U$21:$U$613,MATCH($A458,Market_Data!$T$21:INDEX(Market_Data!$T$21:$T$613,COUNT(Market_Data!$T$21:$T$613)),1)),""))</f>
        <v/>
      </c>
      <c r="I458" s="146" t="str">
        <f ca="1">IF($A458="","",IFERROR(INDEX(Query1[Close],MATCH($A458,Query1[Date],1)),""))</f>
        <v/>
      </c>
    </row>
    <row r="459" spans="1:9" x14ac:dyDescent="0.3">
      <c r="A459" s="144" t="str">
        <f t="shared" ca="1" si="9"/>
        <v/>
      </c>
      <c r="B459" s="145" t="str">
        <f ca="1">IF($A459="","",IFERROR(INDEX(Market_Data!$C$21:$C$613,MATCH($A459,Market_Data!$B$21:INDEX(Market_Data!$B$21:$B$613,COUNT(Market_Data!$B$21:$B$613)),1)),""))</f>
        <v/>
      </c>
      <c r="C459" s="145" t="str">
        <f ca="1">IF($A459="","",IFERROR(INDEX(Market_Data!$F$21:$F$613,MATCH($A459,Market_Data!$E$21:INDEX(Market_Data!$E$21:$E$613,COUNT(Market_Data!$E$21:$E$613)),1)),""))</f>
        <v/>
      </c>
      <c r="D459" s="145" t="str">
        <f ca="1">IF($A459="","",IFERROR(INDEX(Market_Data!$I$21:$I$613,MATCH($A459,Market_Data!$H$21:INDEX(Market_Data!$H$21:$H$613,COUNT(Market_Data!$H$21:$H$613)),1)),""))</f>
        <v/>
      </c>
      <c r="E459" s="145" t="str">
        <f ca="1">IF($A459="","",IFERROR(INDEX(Market_Data!$L$21:$L$613,MATCH($A459,Market_Data!$K$21:INDEX(Market_Data!$K$21:$K$613,COUNT(Market_Data!$K$21:$K$613)),1)),""))</f>
        <v/>
      </c>
      <c r="F459" s="145" t="str">
        <f ca="1">IF($A459="","",IFERROR(INDEX(Market_Data!$O$21:$O$613,MATCH($A459,Market_Data!$N$21:INDEX(Market_Data!$N$21:$N$613,COUNT(Market_Data!$N$21:$N$613)),1)),""))</f>
        <v/>
      </c>
      <c r="G459" s="145" t="str">
        <f ca="1">IF($A459="","",IFERROR(INDEX(Market_Data!$R$21:$R$613,MATCH($A459,Market_Data!$Q$21:INDEX(Market_Data!$Q$21:$Q$613,COUNT(Market_Data!$Q$21:$Q$613)),1)),""))</f>
        <v/>
      </c>
      <c r="H459" s="145" t="str">
        <f ca="1">IF($A459="","",IFERROR(INDEX(Market_Data!$U$21:$U$613,MATCH($A459,Market_Data!$T$21:INDEX(Market_Data!$T$21:$T$613,COUNT(Market_Data!$T$21:$T$613)),1)),""))</f>
        <v/>
      </c>
      <c r="I459" s="146" t="str">
        <f ca="1">IF($A459="","",IFERROR(INDEX(Query1[Close],MATCH($A459,Query1[Date],1)),""))</f>
        <v/>
      </c>
    </row>
    <row r="460" spans="1:9" x14ac:dyDescent="0.3">
      <c r="A460" s="144" t="str">
        <f t="shared" ca="1" si="9"/>
        <v/>
      </c>
      <c r="B460" s="145" t="str">
        <f ca="1">IF($A460="","",IFERROR(INDEX(Market_Data!$C$21:$C$613,MATCH($A460,Market_Data!$B$21:INDEX(Market_Data!$B$21:$B$613,COUNT(Market_Data!$B$21:$B$613)),1)),""))</f>
        <v/>
      </c>
      <c r="C460" s="145" t="str">
        <f ca="1">IF($A460="","",IFERROR(INDEX(Market_Data!$F$21:$F$613,MATCH($A460,Market_Data!$E$21:INDEX(Market_Data!$E$21:$E$613,COUNT(Market_Data!$E$21:$E$613)),1)),""))</f>
        <v/>
      </c>
      <c r="D460" s="145" t="str">
        <f ca="1">IF($A460="","",IFERROR(INDEX(Market_Data!$I$21:$I$613,MATCH($A460,Market_Data!$H$21:INDEX(Market_Data!$H$21:$H$613,COUNT(Market_Data!$H$21:$H$613)),1)),""))</f>
        <v/>
      </c>
      <c r="E460" s="145" t="str">
        <f ca="1">IF($A460="","",IFERROR(INDEX(Market_Data!$L$21:$L$613,MATCH($A460,Market_Data!$K$21:INDEX(Market_Data!$K$21:$K$613,COUNT(Market_Data!$K$21:$K$613)),1)),""))</f>
        <v/>
      </c>
      <c r="F460" s="145" t="str">
        <f ca="1">IF($A460="","",IFERROR(INDEX(Market_Data!$O$21:$O$613,MATCH($A460,Market_Data!$N$21:INDEX(Market_Data!$N$21:$N$613,COUNT(Market_Data!$N$21:$N$613)),1)),""))</f>
        <v/>
      </c>
      <c r="G460" s="145" t="str">
        <f ca="1">IF($A460="","",IFERROR(INDEX(Market_Data!$R$21:$R$613,MATCH($A460,Market_Data!$Q$21:INDEX(Market_Data!$Q$21:$Q$613,COUNT(Market_Data!$Q$21:$Q$613)),1)),""))</f>
        <v/>
      </c>
      <c r="H460" s="145" t="str">
        <f ca="1">IF($A460="","",IFERROR(INDEX(Market_Data!$U$21:$U$613,MATCH($A460,Market_Data!$T$21:INDEX(Market_Data!$T$21:$T$613,COUNT(Market_Data!$T$21:$T$613)),1)),""))</f>
        <v/>
      </c>
      <c r="I460" s="146" t="str">
        <f ca="1">IF($A460="","",IFERROR(INDEX(Query1[Close],MATCH($A460,Query1[Date],1)),""))</f>
        <v/>
      </c>
    </row>
    <row r="461" spans="1:9" x14ac:dyDescent="0.3">
      <c r="A461" s="144" t="str">
        <f t="shared" ca="1" si="9"/>
        <v/>
      </c>
      <c r="B461" s="145" t="str">
        <f ca="1">IF($A461="","",IFERROR(INDEX(Market_Data!$C$21:$C$613,MATCH($A461,Market_Data!$B$21:INDEX(Market_Data!$B$21:$B$613,COUNT(Market_Data!$B$21:$B$613)),1)),""))</f>
        <v/>
      </c>
      <c r="C461" s="145" t="str">
        <f ca="1">IF($A461="","",IFERROR(INDEX(Market_Data!$F$21:$F$613,MATCH($A461,Market_Data!$E$21:INDEX(Market_Data!$E$21:$E$613,COUNT(Market_Data!$E$21:$E$613)),1)),""))</f>
        <v/>
      </c>
      <c r="D461" s="145" t="str">
        <f ca="1">IF($A461="","",IFERROR(INDEX(Market_Data!$I$21:$I$613,MATCH($A461,Market_Data!$H$21:INDEX(Market_Data!$H$21:$H$613,COUNT(Market_Data!$H$21:$H$613)),1)),""))</f>
        <v/>
      </c>
      <c r="E461" s="145" t="str">
        <f ca="1">IF($A461="","",IFERROR(INDEX(Market_Data!$L$21:$L$613,MATCH($A461,Market_Data!$K$21:INDEX(Market_Data!$K$21:$K$613,COUNT(Market_Data!$K$21:$K$613)),1)),""))</f>
        <v/>
      </c>
      <c r="F461" s="145" t="str">
        <f ca="1">IF($A461="","",IFERROR(INDEX(Market_Data!$O$21:$O$613,MATCH($A461,Market_Data!$N$21:INDEX(Market_Data!$N$21:$N$613,COUNT(Market_Data!$N$21:$N$613)),1)),""))</f>
        <v/>
      </c>
      <c r="G461" s="145" t="str">
        <f ca="1">IF($A461="","",IFERROR(INDEX(Market_Data!$R$21:$R$613,MATCH($A461,Market_Data!$Q$21:INDEX(Market_Data!$Q$21:$Q$613,COUNT(Market_Data!$Q$21:$Q$613)),1)),""))</f>
        <v/>
      </c>
      <c r="H461" s="145" t="str">
        <f ca="1">IF($A461="","",IFERROR(INDEX(Market_Data!$U$21:$U$613,MATCH($A461,Market_Data!$T$21:INDEX(Market_Data!$T$21:$T$613,COUNT(Market_Data!$T$21:$T$613)),1)),""))</f>
        <v/>
      </c>
      <c r="I461" s="146" t="str">
        <f ca="1">IF($A461="","",IFERROR(INDEX(Query1[Close],MATCH($A461,Query1[Date],1)),""))</f>
        <v/>
      </c>
    </row>
    <row r="462" spans="1:9" x14ac:dyDescent="0.3">
      <c r="A462" s="144" t="str">
        <f t="shared" ca="1" si="9"/>
        <v/>
      </c>
      <c r="B462" s="145" t="str">
        <f ca="1">IF($A462="","",IFERROR(INDEX(Market_Data!$C$21:$C$613,MATCH($A462,Market_Data!$B$21:INDEX(Market_Data!$B$21:$B$613,COUNT(Market_Data!$B$21:$B$613)),1)),""))</f>
        <v/>
      </c>
      <c r="C462" s="145" t="str">
        <f ca="1">IF($A462="","",IFERROR(INDEX(Market_Data!$F$21:$F$613,MATCH($A462,Market_Data!$E$21:INDEX(Market_Data!$E$21:$E$613,COUNT(Market_Data!$E$21:$E$613)),1)),""))</f>
        <v/>
      </c>
      <c r="D462" s="145" t="str">
        <f ca="1">IF($A462="","",IFERROR(INDEX(Market_Data!$I$21:$I$613,MATCH($A462,Market_Data!$H$21:INDEX(Market_Data!$H$21:$H$613,COUNT(Market_Data!$H$21:$H$613)),1)),""))</f>
        <v/>
      </c>
      <c r="E462" s="145" t="str">
        <f ca="1">IF($A462="","",IFERROR(INDEX(Market_Data!$L$21:$L$613,MATCH($A462,Market_Data!$K$21:INDEX(Market_Data!$K$21:$K$613,COUNT(Market_Data!$K$21:$K$613)),1)),""))</f>
        <v/>
      </c>
      <c r="F462" s="145" t="str">
        <f ca="1">IF($A462="","",IFERROR(INDEX(Market_Data!$O$21:$O$613,MATCH($A462,Market_Data!$N$21:INDEX(Market_Data!$N$21:$N$613,COUNT(Market_Data!$N$21:$N$613)),1)),""))</f>
        <v/>
      </c>
      <c r="G462" s="145" t="str">
        <f ca="1">IF($A462="","",IFERROR(INDEX(Market_Data!$R$21:$R$613,MATCH($A462,Market_Data!$Q$21:INDEX(Market_Data!$Q$21:$Q$613,COUNT(Market_Data!$Q$21:$Q$613)),1)),""))</f>
        <v/>
      </c>
      <c r="H462" s="145" t="str">
        <f ca="1">IF($A462="","",IFERROR(INDEX(Market_Data!$U$21:$U$613,MATCH($A462,Market_Data!$T$21:INDEX(Market_Data!$T$21:$T$613,COUNT(Market_Data!$T$21:$T$613)),1)),""))</f>
        <v/>
      </c>
      <c r="I462" s="146" t="str">
        <f ca="1">IF($A462="","",IFERROR(INDEX(Query1[Close],MATCH($A462,Query1[Date],1)),""))</f>
        <v/>
      </c>
    </row>
    <row r="463" spans="1:9" x14ac:dyDescent="0.3">
      <c r="A463" s="144" t="str">
        <f t="shared" ca="1" si="9"/>
        <v/>
      </c>
      <c r="B463" s="145" t="str">
        <f ca="1">IF($A463="","",IFERROR(INDEX(Market_Data!$C$21:$C$613,MATCH($A463,Market_Data!$B$21:INDEX(Market_Data!$B$21:$B$613,COUNT(Market_Data!$B$21:$B$613)),1)),""))</f>
        <v/>
      </c>
      <c r="C463" s="145" t="str">
        <f ca="1">IF($A463="","",IFERROR(INDEX(Market_Data!$F$21:$F$613,MATCH($A463,Market_Data!$E$21:INDEX(Market_Data!$E$21:$E$613,COUNT(Market_Data!$E$21:$E$613)),1)),""))</f>
        <v/>
      </c>
      <c r="D463" s="145" t="str">
        <f ca="1">IF($A463="","",IFERROR(INDEX(Market_Data!$I$21:$I$613,MATCH($A463,Market_Data!$H$21:INDEX(Market_Data!$H$21:$H$613,COUNT(Market_Data!$H$21:$H$613)),1)),""))</f>
        <v/>
      </c>
      <c r="E463" s="145" t="str">
        <f ca="1">IF($A463="","",IFERROR(INDEX(Market_Data!$L$21:$L$613,MATCH($A463,Market_Data!$K$21:INDEX(Market_Data!$K$21:$K$613,COUNT(Market_Data!$K$21:$K$613)),1)),""))</f>
        <v/>
      </c>
      <c r="F463" s="145" t="str">
        <f ca="1">IF($A463="","",IFERROR(INDEX(Market_Data!$O$21:$O$613,MATCH($A463,Market_Data!$N$21:INDEX(Market_Data!$N$21:$N$613,COUNT(Market_Data!$N$21:$N$613)),1)),""))</f>
        <v/>
      </c>
      <c r="G463" s="145" t="str">
        <f ca="1">IF($A463="","",IFERROR(INDEX(Market_Data!$R$21:$R$613,MATCH($A463,Market_Data!$Q$21:INDEX(Market_Data!$Q$21:$Q$613,COUNT(Market_Data!$Q$21:$Q$613)),1)),""))</f>
        <v/>
      </c>
      <c r="H463" s="145" t="str">
        <f ca="1">IF($A463="","",IFERROR(INDEX(Market_Data!$U$21:$U$613,MATCH($A463,Market_Data!$T$21:INDEX(Market_Data!$T$21:$T$613,COUNT(Market_Data!$T$21:$T$613)),1)),""))</f>
        <v/>
      </c>
      <c r="I463" s="146" t="str">
        <f ca="1">IF($A463="","",IFERROR(INDEX(Query1[Close],MATCH($A463,Query1[Date],1)),""))</f>
        <v/>
      </c>
    </row>
    <row r="464" spans="1:9" x14ac:dyDescent="0.3">
      <c r="A464" s="144" t="str">
        <f t="shared" ca="1" si="9"/>
        <v/>
      </c>
      <c r="B464" s="145" t="str">
        <f ca="1">IF($A464="","",IFERROR(INDEX(Market_Data!$C$21:$C$613,MATCH($A464,Market_Data!$B$21:INDEX(Market_Data!$B$21:$B$613,COUNT(Market_Data!$B$21:$B$613)),1)),""))</f>
        <v/>
      </c>
      <c r="C464" s="145" t="str">
        <f ca="1">IF($A464="","",IFERROR(INDEX(Market_Data!$F$21:$F$613,MATCH($A464,Market_Data!$E$21:INDEX(Market_Data!$E$21:$E$613,COUNT(Market_Data!$E$21:$E$613)),1)),""))</f>
        <v/>
      </c>
      <c r="D464" s="145" t="str">
        <f ca="1">IF($A464="","",IFERROR(INDEX(Market_Data!$I$21:$I$613,MATCH($A464,Market_Data!$H$21:INDEX(Market_Data!$H$21:$H$613,COUNT(Market_Data!$H$21:$H$613)),1)),""))</f>
        <v/>
      </c>
      <c r="E464" s="145" t="str">
        <f ca="1">IF($A464="","",IFERROR(INDEX(Market_Data!$L$21:$L$613,MATCH($A464,Market_Data!$K$21:INDEX(Market_Data!$K$21:$K$613,COUNT(Market_Data!$K$21:$K$613)),1)),""))</f>
        <v/>
      </c>
      <c r="F464" s="145" t="str">
        <f ca="1">IF($A464="","",IFERROR(INDEX(Market_Data!$O$21:$O$613,MATCH($A464,Market_Data!$N$21:INDEX(Market_Data!$N$21:$N$613,COUNT(Market_Data!$N$21:$N$613)),1)),""))</f>
        <v/>
      </c>
      <c r="G464" s="145" t="str">
        <f ca="1">IF($A464="","",IFERROR(INDEX(Market_Data!$R$21:$R$613,MATCH($A464,Market_Data!$Q$21:INDEX(Market_Data!$Q$21:$Q$613,COUNT(Market_Data!$Q$21:$Q$613)),1)),""))</f>
        <v/>
      </c>
      <c r="H464" s="145" t="str">
        <f ca="1">IF($A464="","",IFERROR(INDEX(Market_Data!$U$21:$U$613,MATCH($A464,Market_Data!$T$21:INDEX(Market_Data!$T$21:$T$613,COUNT(Market_Data!$T$21:$T$613)),1)),""))</f>
        <v/>
      </c>
      <c r="I464" s="146" t="str">
        <f ca="1">IF($A464="","",IFERROR(INDEX(Query1[Close],MATCH($A464,Query1[Date],1)),""))</f>
        <v/>
      </c>
    </row>
    <row r="465" spans="1:9" x14ac:dyDescent="0.3">
      <c r="A465" s="144" t="str">
        <f t="shared" ca="1" si="9"/>
        <v/>
      </c>
      <c r="B465" s="145" t="str">
        <f ca="1">IF($A465="","",IFERROR(INDEX(Market_Data!$C$21:$C$613,MATCH($A465,Market_Data!$B$21:INDEX(Market_Data!$B$21:$B$613,COUNT(Market_Data!$B$21:$B$613)),1)),""))</f>
        <v/>
      </c>
      <c r="C465" s="145" t="str">
        <f ca="1">IF($A465="","",IFERROR(INDEX(Market_Data!$F$21:$F$613,MATCH($A465,Market_Data!$E$21:INDEX(Market_Data!$E$21:$E$613,COUNT(Market_Data!$E$21:$E$613)),1)),""))</f>
        <v/>
      </c>
      <c r="D465" s="145" t="str">
        <f ca="1">IF($A465="","",IFERROR(INDEX(Market_Data!$I$21:$I$613,MATCH($A465,Market_Data!$H$21:INDEX(Market_Data!$H$21:$H$613,COUNT(Market_Data!$H$21:$H$613)),1)),""))</f>
        <v/>
      </c>
      <c r="E465" s="145" t="str">
        <f ca="1">IF($A465="","",IFERROR(INDEX(Market_Data!$L$21:$L$613,MATCH($A465,Market_Data!$K$21:INDEX(Market_Data!$K$21:$K$613,COUNT(Market_Data!$K$21:$K$613)),1)),""))</f>
        <v/>
      </c>
      <c r="F465" s="145" t="str">
        <f ca="1">IF($A465="","",IFERROR(INDEX(Market_Data!$O$21:$O$613,MATCH($A465,Market_Data!$N$21:INDEX(Market_Data!$N$21:$N$613,COUNT(Market_Data!$N$21:$N$613)),1)),""))</f>
        <v/>
      </c>
      <c r="G465" s="145" t="str">
        <f ca="1">IF($A465="","",IFERROR(INDEX(Market_Data!$R$21:$R$613,MATCH($A465,Market_Data!$Q$21:INDEX(Market_Data!$Q$21:$Q$613,COUNT(Market_Data!$Q$21:$Q$613)),1)),""))</f>
        <v/>
      </c>
      <c r="H465" s="145" t="str">
        <f ca="1">IF($A465="","",IFERROR(INDEX(Market_Data!$U$21:$U$613,MATCH($A465,Market_Data!$T$21:INDEX(Market_Data!$T$21:$T$613,COUNT(Market_Data!$T$21:$T$613)),1)),""))</f>
        <v/>
      </c>
      <c r="I465" s="146" t="str">
        <f ca="1">IF($A465="","",IFERROR(INDEX(Query1[Close],MATCH($A465,Query1[Date],1)),""))</f>
        <v/>
      </c>
    </row>
    <row r="466" spans="1:9" x14ac:dyDescent="0.3">
      <c r="A466" s="144" t="str">
        <f t="shared" ca="1" si="9"/>
        <v/>
      </c>
      <c r="B466" s="145" t="str">
        <f ca="1">IF($A466="","",IFERROR(INDEX(Market_Data!$C$21:$C$613,MATCH($A466,Market_Data!$B$21:INDEX(Market_Data!$B$21:$B$613,COUNT(Market_Data!$B$21:$B$613)),1)),""))</f>
        <v/>
      </c>
      <c r="C466" s="145" t="str">
        <f ca="1">IF($A466="","",IFERROR(INDEX(Market_Data!$F$21:$F$613,MATCH($A466,Market_Data!$E$21:INDEX(Market_Data!$E$21:$E$613,COUNT(Market_Data!$E$21:$E$613)),1)),""))</f>
        <v/>
      </c>
      <c r="D466" s="145" t="str">
        <f ca="1">IF($A466="","",IFERROR(INDEX(Market_Data!$I$21:$I$613,MATCH($A466,Market_Data!$H$21:INDEX(Market_Data!$H$21:$H$613,COUNT(Market_Data!$H$21:$H$613)),1)),""))</f>
        <v/>
      </c>
      <c r="E466" s="145" t="str">
        <f ca="1">IF($A466="","",IFERROR(INDEX(Market_Data!$L$21:$L$613,MATCH($A466,Market_Data!$K$21:INDEX(Market_Data!$K$21:$K$613,COUNT(Market_Data!$K$21:$K$613)),1)),""))</f>
        <v/>
      </c>
      <c r="F466" s="145" t="str">
        <f ca="1">IF($A466="","",IFERROR(INDEX(Market_Data!$O$21:$O$613,MATCH($A466,Market_Data!$N$21:INDEX(Market_Data!$N$21:$N$613,COUNT(Market_Data!$N$21:$N$613)),1)),""))</f>
        <v/>
      </c>
      <c r="G466" s="145" t="str">
        <f ca="1">IF($A466="","",IFERROR(INDEX(Market_Data!$R$21:$R$613,MATCH($A466,Market_Data!$Q$21:INDEX(Market_Data!$Q$21:$Q$613,COUNT(Market_Data!$Q$21:$Q$613)),1)),""))</f>
        <v/>
      </c>
      <c r="H466" s="145" t="str">
        <f ca="1">IF($A466="","",IFERROR(INDEX(Market_Data!$U$21:$U$613,MATCH($A466,Market_Data!$T$21:INDEX(Market_Data!$T$21:$T$613,COUNT(Market_Data!$T$21:$T$613)),1)),""))</f>
        <v/>
      </c>
      <c r="I466" s="146" t="str">
        <f ca="1">IF($A466="","",IFERROR(INDEX(Query1[Close],MATCH($A466,Query1[Date],1)),""))</f>
        <v/>
      </c>
    </row>
    <row r="467" spans="1:9" x14ac:dyDescent="0.3">
      <c r="A467" s="144" t="str">
        <f t="shared" ca="1" si="9"/>
        <v/>
      </c>
      <c r="B467" s="145" t="str">
        <f ca="1">IF($A467="","",IFERROR(INDEX(Market_Data!$C$21:$C$613,MATCH($A467,Market_Data!$B$21:INDEX(Market_Data!$B$21:$B$613,COUNT(Market_Data!$B$21:$B$613)),1)),""))</f>
        <v/>
      </c>
      <c r="C467" s="145" t="str">
        <f ca="1">IF($A467="","",IFERROR(INDEX(Market_Data!$F$21:$F$613,MATCH($A467,Market_Data!$E$21:INDEX(Market_Data!$E$21:$E$613,COUNT(Market_Data!$E$21:$E$613)),1)),""))</f>
        <v/>
      </c>
      <c r="D467" s="145" t="str">
        <f ca="1">IF($A467="","",IFERROR(INDEX(Market_Data!$I$21:$I$613,MATCH($A467,Market_Data!$H$21:INDEX(Market_Data!$H$21:$H$613,COUNT(Market_Data!$H$21:$H$613)),1)),""))</f>
        <v/>
      </c>
      <c r="E467" s="145" t="str">
        <f ca="1">IF($A467="","",IFERROR(INDEX(Market_Data!$L$21:$L$613,MATCH($A467,Market_Data!$K$21:INDEX(Market_Data!$K$21:$K$613,COUNT(Market_Data!$K$21:$K$613)),1)),""))</f>
        <v/>
      </c>
      <c r="F467" s="145" t="str">
        <f ca="1">IF($A467="","",IFERROR(INDEX(Market_Data!$O$21:$O$613,MATCH($A467,Market_Data!$N$21:INDEX(Market_Data!$N$21:$N$613,COUNT(Market_Data!$N$21:$N$613)),1)),""))</f>
        <v/>
      </c>
      <c r="G467" s="145" t="str">
        <f ca="1">IF($A467="","",IFERROR(INDEX(Market_Data!$R$21:$R$613,MATCH($A467,Market_Data!$Q$21:INDEX(Market_Data!$Q$21:$Q$613,COUNT(Market_Data!$Q$21:$Q$613)),1)),""))</f>
        <v/>
      </c>
      <c r="H467" s="145" t="str">
        <f ca="1">IF($A467="","",IFERROR(INDEX(Market_Data!$U$21:$U$613,MATCH($A467,Market_Data!$T$21:INDEX(Market_Data!$T$21:$T$613,COUNT(Market_Data!$T$21:$T$613)),1)),""))</f>
        <v/>
      </c>
      <c r="I467" s="146" t="str">
        <f ca="1">IF($A467="","",IFERROR(INDEX(Query1[Close],MATCH($A467,Query1[Date],1)),""))</f>
        <v/>
      </c>
    </row>
    <row r="468" spans="1:9" x14ac:dyDescent="0.3">
      <c r="A468" s="144" t="str">
        <f t="shared" ca="1" si="9"/>
        <v/>
      </c>
      <c r="B468" s="145" t="str">
        <f ca="1">IF($A468="","",IFERROR(INDEX(Market_Data!$C$21:$C$613,MATCH($A468,Market_Data!$B$21:INDEX(Market_Data!$B$21:$B$613,COUNT(Market_Data!$B$21:$B$613)),1)),""))</f>
        <v/>
      </c>
      <c r="C468" s="145" t="str">
        <f ca="1">IF($A468="","",IFERROR(INDEX(Market_Data!$F$21:$F$613,MATCH($A468,Market_Data!$E$21:INDEX(Market_Data!$E$21:$E$613,COUNT(Market_Data!$E$21:$E$613)),1)),""))</f>
        <v/>
      </c>
      <c r="D468" s="145" t="str">
        <f ca="1">IF($A468="","",IFERROR(INDEX(Market_Data!$I$21:$I$613,MATCH($A468,Market_Data!$H$21:INDEX(Market_Data!$H$21:$H$613,COUNT(Market_Data!$H$21:$H$613)),1)),""))</f>
        <v/>
      </c>
      <c r="E468" s="145" t="str">
        <f ca="1">IF($A468="","",IFERROR(INDEX(Market_Data!$L$21:$L$613,MATCH($A468,Market_Data!$K$21:INDEX(Market_Data!$K$21:$K$613,COUNT(Market_Data!$K$21:$K$613)),1)),""))</f>
        <v/>
      </c>
      <c r="F468" s="145" t="str">
        <f ca="1">IF($A468="","",IFERROR(INDEX(Market_Data!$O$21:$O$613,MATCH($A468,Market_Data!$N$21:INDEX(Market_Data!$N$21:$N$613,COUNT(Market_Data!$N$21:$N$613)),1)),""))</f>
        <v/>
      </c>
      <c r="G468" s="145" t="str">
        <f ca="1">IF($A468="","",IFERROR(INDEX(Market_Data!$R$21:$R$613,MATCH($A468,Market_Data!$Q$21:INDEX(Market_Data!$Q$21:$Q$613,COUNT(Market_Data!$Q$21:$Q$613)),1)),""))</f>
        <v/>
      </c>
      <c r="H468" s="145" t="str">
        <f ca="1">IF($A468="","",IFERROR(INDEX(Market_Data!$U$21:$U$613,MATCH($A468,Market_Data!$T$21:INDEX(Market_Data!$T$21:$T$613,COUNT(Market_Data!$T$21:$T$613)),1)),""))</f>
        <v/>
      </c>
      <c r="I468" s="146" t="str">
        <f ca="1">IF($A468="","",IFERROR(INDEX(Query1[Close],MATCH($A468,Query1[Date],1)),""))</f>
        <v/>
      </c>
    </row>
    <row r="469" spans="1:9" x14ac:dyDescent="0.3">
      <c r="A469" s="144" t="str">
        <f t="shared" ca="1" si="9"/>
        <v/>
      </c>
      <c r="B469" s="145" t="str">
        <f ca="1">IF($A469="","",IFERROR(INDEX(Market_Data!$C$21:$C$613,MATCH($A469,Market_Data!$B$21:INDEX(Market_Data!$B$21:$B$613,COUNT(Market_Data!$B$21:$B$613)),1)),""))</f>
        <v/>
      </c>
      <c r="C469" s="145" t="str">
        <f ca="1">IF($A469="","",IFERROR(INDEX(Market_Data!$F$21:$F$613,MATCH($A469,Market_Data!$E$21:INDEX(Market_Data!$E$21:$E$613,COUNT(Market_Data!$E$21:$E$613)),1)),""))</f>
        <v/>
      </c>
      <c r="D469" s="145" t="str">
        <f ca="1">IF($A469="","",IFERROR(INDEX(Market_Data!$I$21:$I$613,MATCH($A469,Market_Data!$H$21:INDEX(Market_Data!$H$21:$H$613,COUNT(Market_Data!$H$21:$H$613)),1)),""))</f>
        <v/>
      </c>
      <c r="E469" s="145" t="str">
        <f ca="1">IF($A469="","",IFERROR(INDEX(Market_Data!$L$21:$L$613,MATCH($A469,Market_Data!$K$21:INDEX(Market_Data!$K$21:$K$613,COUNT(Market_Data!$K$21:$K$613)),1)),""))</f>
        <v/>
      </c>
      <c r="F469" s="145" t="str">
        <f ca="1">IF($A469="","",IFERROR(INDEX(Market_Data!$O$21:$O$613,MATCH($A469,Market_Data!$N$21:INDEX(Market_Data!$N$21:$N$613,COUNT(Market_Data!$N$21:$N$613)),1)),""))</f>
        <v/>
      </c>
      <c r="G469" s="145" t="str">
        <f ca="1">IF($A469="","",IFERROR(INDEX(Market_Data!$R$21:$R$613,MATCH($A469,Market_Data!$Q$21:INDEX(Market_Data!$Q$21:$Q$613,COUNT(Market_Data!$Q$21:$Q$613)),1)),""))</f>
        <v/>
      </c>
      <c r="H469" s="145" t="str">
        <f ca="1">IF($A469="","",IFERROR(INDEX(Market_Data!$U$21:$U$613,MATCH($A469,Market_Data!$T$21:INDEX(Market_Data!$T$21:$T$613,COUNT(Market_Data!$T$21:$T$613)),1)),""))</f>
        <v/>
      </c>
      <c r="I469" s="146" t="str">
        <f ca="1">IF($A469="","",IFERROR(INDEX(Query1[Close],MATCH($A469,Query1[Date],1)),""))</f>
        <v/>
      </c>
    </row>
    <row r="470" spans="1:9" x14ac:dyDescent="0.3">
      <c r="A470" s="144" t="str">
        <f t="shared" ca="1" si="9"/>
        <v/>
      </c>
      <c r="B470" s="145" t="str">
        <f ca="1">IF($A470="","",IFERROR(INDEX(Market_Data!$C$21:$C$613,MATCH($A470,Market_Data!$B$21:INDEX(Market_Data!$B$21:$B$613,COUNT(Market_Data!$B$21:$B$613)),1)),""))</f>
        <v/>
      </c>
      <c r="C470" s="145" t="str">
        <f ca="1">IF($A470="","",IFERROR(INDEX(Market_Data!$F$21:$F$613,MATCH($A470,Market_Data!$E$21:INDEX(Market_Data!$E$21:$E$613,COUNT(Market_Data!$E$21:$E$613)),1)),""))</f>
        <v/>
      </c>
      <c r="D470" s="145" t="str">
        <f ca="1">IF($A470="","",IFERROR(INDEX(Market_Data!$I$21:$I$613,MATCH($A470,Market_Data!$H$21:INDEX(Market_Data!$H$21:$H$613,COUNT(Market_Data!$H$21:$H$613)),1)),""))</f>
        <v/>
      </c>
      <c r="E470" s="145" t="str">
        <f ca="1">IF($A470="","",IFERROR(INDEX(Market_Data!$L$21:$L$613,MATCH($A470,Market_Data!$K$21:INDEX(Market_Data!$K$21:$K$613,COUNT(Market_Data!$K$21:$K$613)),1)),""))</f>
        <v/>
      </c>
      <c r="F470" s="145" t="str">
        <f ca="1">IF($A470="","",IFERROR(INDEX(Market_Data!$O$21:$O$613,MATCH($A470,Market_Data!$N$21:INDEX(Market_Data!$N$21:$N$613,COUNT(Market_Data!$N$21:$N$613)),1)),""))</f>
        <v/>
      </c>
      <c r="G470" s="145" t="str">
        <f ca="1">IF($A470="","",IFERROR(INDEX(Market_Data!$R$21:$R$613,MATCH($A470,Market_Data!$Q$21:INDEX(Market_Data!$Q$21:$Q$613,COUNT(Market_Data!$Q$21:$Q$613)),1)),""))</f>
        <v/>
      </c>
      <c r="H470" s="145" t="str">
        <f ca="1">IF($A470="","",IFERROR(INDEX(Market_Data!$U$21:$U$613,MATCH($A470,Market_Data!$T$21:INDEX(Market_Data!$T$21:$T$613,COUNT(Market_Data!$T$21:$T$613)),1)),""))</f>
        <v/>
      </c>
      <c r="I470" s="146" t="str">
        <f ca="1">IF($A470="","",IFERROR(INDEX(Query1[Close],MATCH($A470,Query1[Date],1)),""))</f>
        <v/>
      </c>
    </row>
    <row r="471" spans="1:9" x14ac:dyDescent="0.3">
      <c r="A471" s="144" t="str">
        <f t="shared" ca="1" si="9"/>
        <v/>
      </c>
      <c r="B471" s="145" t="str">
        <f ca="1">IF($A471="","",IFERROR(INDEX(Market_Data!$C$21:$C$613,MATCH($A471,Market_Data!$B$21:INDEX(Market_Data!$B$21:$B$613,COUNT(Market_Data!$B$21:$B$613)),1)),""))</f>
        <v/>
      </c>
      <c r="C471" s="145" t="str">
        <f ca="1">IF($A471="","",IFERROR(INDEX(Market_Data!$F$21:$F$613,MATCH($A471,Market_Data!$E$21:INDEX(Market_Data!$E$21:$E$613,COUNT(Market_Data!$E$21:$E$613)),1)),""))</f>
        <v/>
      </c>
      <c r="D471" s="145" t="str">
        <f ca="1">IF($A471="","",IFERROR(INDEX(Market_Data!$I$21:$I$613,MATCH($A471,Market_Data!$H$21:INDEX(Market_Data!$H$21:$H$613,COUNT(Market_Data!$H$21:$H$613)),1)),""))</f>
        <v/>
      </c>
      <c r="E471" s="145" t="str">
        <f ca="1">IF($A471="","",IFERROR(INDEX(Market_Data!$L$21:$L$613,MATCH($A471,Market_Data!$K$21:INDEX(Market_Data!$K$21:$K$613,COUNT(Market_Data!$K$21:$K$613)),1)),""))</f>
        <v/>
      </c>
      <c r="F471" s="145" t="str">
        <f ca="1">IF($A471="","",IFERROR(INDEX(Market_Data!$O$21:$O$613,MATCH($A471,Market_Data!$N$21:INDEX(Market_Data!$N$21:$N$613,COUNT(Market_Data!$N$21:$N$613)),1)),""))</f>
        <v/>
      </c>
      <c r="G471" s="145" t="str">
        <f ca="1">IF($A471="","",IFERROR(INDEX(Market_Data!$R$21:$R$613,MATCH($A471,Market_Data!$Q$21:INDEX(Market_Data!$Q$21:$Q$613,COUNT(Market_Data!$Q$21:$Q$613)),1)),""))</f>
        <v/>
      </c>
      <c r="H471" s="145" t="str">
        <f ca="1">IF($A471="","",IFERROR(INDEX(Market_Data!$U$21:$U$613,MATCH($A471,Market_Data!$T$21:INDEX(Market_Data!$T$21:$T$613,COUNT(Market_Data!$T$21:$T$613)),1)),""))</f>
        <v/>
      </c>
      <c r="I471" s="146" t="str">
        <f ca="1">IF($A471="","",IFERROR(INDEX(Query1[Close],MATCH($A471,Query1[Date],1)),""))</f>
        <v/>
      </c>
    </row>
    <row r="472" spans="1:9" x14ac:dyDescent="0.3">
      <c r="A472" s="144" t="str">
        <f t="shared" ca="1" si="9"/>
        <v/>
      </c>
      <c r="B472" s="145" t="str">
        <f ca="1">IF($A472="","",IFERROR(INDEX(Market_Data!$C$21:$C$613,MATCH($A472,Market_Data!$B$21:INDEX(Market_Data!$B$21:$B$613,COUNT(Market_Data!$B$21:$B$613)),1)),""))</f>
        <v/>
      </c>
      <c r="C472" s="145" t="str">
        <f ca="1">IF($A472="","",IFERROR(INDEX(Market_Data!$F$21:$F$613,MATCH($A472,Market_Data!$E$21:INDEX(Market_Data!$E$21:$E$613,COUNT(Market_Data!$E$21:$E$613)),1)),""))</f>
        <v/>
      </c>
      <c r="D472" s="145" t="str">
        <f ca="1">IF($A472="","",IFERROR(INDEX(Market_Data!$I$21:$I$613,MATCH($A472,Market_Data!$H$21:INDEX(Market_Data!$H$21:$H$613,COUNT(Market_Data!$H$21:$H$613)),1)),""))</f>
        <v/>
      </c>
      <c r="E472" s="145" t="str">
        <f ca="1">IF($A472="","",IFERROR(INDEX(Market_Data!$L$21:$L$613,MATCH($A472,Market_Data!$K$21:INDEX(Market_Data!$K$21:$K$613,COUNT(Market_Data!$K$21:$K$613)),1)),""))</f>
        <v/>
      </c>
      <c r="F472" s="145" t="str">
        <f ca="1">IF($A472="","",IFERROR(INDEX(Market_Data!$O$21:$O$613,MATCH($A472,Market_Data!$N$21:INDEX(Market_Data!$N$21:$N$613,COUNT(Market_Data!$N$21:$N$613)),1)),""))</f>
        <v/>
      </c>
      <c r="G472" s="145" t="str">
        <f ca="1">IF($A472="","",IFERROR(INDEX(Market_Data!$R$21:$R$613,MATCH($A472,Market_Data!$Q$21:INDEX(Market_Data!$Q$21:$Q$613,COUNT(Market_Data!$Q$21:$Q$613)),1)),""))</f>
        <v/>
      </c>
      <c r="H472" s="145" t="str">
        <f ca="1">IF($A472="","",IFERROR(INDEX(Market_Data!$U$21:$U$613,MATCH($A472,Market_Data!$T$21:INDEX(Market_Data!$T$21:$T$613,COUNT(Market_Data!$T$21:$T$613)),1)),""))</f>
        <v/>
      </c>
      <c r="I472" s="146" t="str">
        <f ca="1">IF($A472="","",IFERROR(INDEX(Query1[Close],MATCH($A472,Query1[Date],1)),""))</f>
        <v/>
      </c>
    </row>
    <row r="473" spans="1:9" x14ac:dyDescent="0.3">
      <c r="A473" s="144" t="str">
        <f t="shared" ca="1" si="9"/>
        <v/>
      </c>
      <c r="B473" s="145" t="str">
        <f ca="1">IF($A473="","",IFERROR(INDEX(Market_Data!$C$21:$C$613,MATCH($A473,Market_Data!$B$21:INDEX(Market_Data!$B$21:$B$613,COUNT(Market_Data!$B$21:$B$613)),1)),""))</f>
        <v/>
      </c>
      <c r="C473" s="145" t="str">
        <f ca="1">IF($A473="","",IFERROR(INDEX(Market_Data!$F$21:$F$613,MATCH($A473,Market_Data!$E$21:INDEX(Market_Data!$E$21:$E$613,COUNT(Market_Data!$E$21:$E$613)),1)),""))</f>
        <v/>
      </c>
      <c r="D473" s="145" t="str">
        <f ca="1">IF($A473="","",IFERROR(INDEX(Market_Data!$I$21:$I$613,MATCH($A473,Market_Data!$H$21:INDEX(Market_Data!$H$21:$H$613,COUNT(Market_Data!$H$21:$H$613)),1)),""))</f>
        <v/>
      </c>
      <c r="E473" s="145" t="str">
        <f ca="1">IF($A473="","",IFERROR(INDEX(Market_Data!$L$21:$L$613,MATCH($A473,Market_Data!$K$21:INDEX(Market_Data!$K$21:$K$613,COUNT(Market_Data!$K$21:$K$613)),1)),""))</f>
        <v/>
      </c>
      <c r="F473" s="145" t="str">
        <f ca="1">IF($A473="","",IFERROR(INDEX(Market_Data!$O$21:$O$613,MATCH($A473,Market_Data!$N$21:INDEX(Market_Data!$N$21:$N$613,COUNT(Market_Data!$N$21:$N$613)),1)),""))</f>
        <v/>
      </c>
      <c r="G473" s="145" t="str">
        <f ca="1">IF($A473="","",IFERROR(INDEX(Market_Data!$R$21:$R$613,MATCH($A473,Market_Data!$Q$21:INDEX(Market_Data!$Q$21:$Q$613,COUNT(Market_Data!$Q$21:$Q$613)),1)),""))</f>
        <v/>
      </c>
      <c r="H473" s="145" t="str">
        <f ca="1">IF($A473="","",IFERROR(INDEX(Market_Data!$U$21:$U$613,MATCH($A473,Market_Data!$T$21:INDEX(Market_Data!$T$21:$T$613,COUNT(Market_Data!$T$21:$T$613)),1)),""))</f>
        <v/>
      </c>
      <c r="I473" s="146" t="str">
        <f ca="1">IF($A473="","",IFERROR(INDEX(Query1[Close],MATCH($A473,Query1[Date],1)),""))</f>
        <v/>
      </c>
    </row>
    <row r="474" spans="1:9" x14ac:dyDescent="0.3">
      <c r="A474" s="144" t="str">
        <f t="shared" ca="1" si="9"/>
        <v/>
      </c>
      <c r="B474" s="145" t="str">
        <f ca="1">IF($A474="","",IFERROR(INDEX(Market_Data!$C$21:$C$613,MATCH($A474,Market_Data!$B$21:INDEX(Market_Data!$B$21:$B$613,COUNT(Market_Data!$B$21:$B$613)),1)),""))</f>
        <v/>
      </c>
      <c r="C474" s="145" t="str">
        <f ca="1">IF($A474="","",IFERROR(INDEX(Market_Data!$F$21:$F$613,MATCH($A474,Market_Data!$E$21:INDEX(Market_Data!$E$21:$E$613,COUNT(Market_Data!$E$21:$E$613)),1)),""))</f>
        <v/>
      </c>
      <c r="D474" s="145" t="str">
        <f ca="1">IF($A474="","",IFERROR(INDEX(Market_Data!$I$21:$I$613,MATCH($A474,Market_Data!$H$21:INDEX(Market_Data!$H$21:$H$613,COUNT(Market_Data!$H$21:$H$613)),1)),""))</f>
        <v/>
      </c>
      <c r="E474" s="145" t="str">
        <f ca="1">IF($A474="","",IFERROR(INDEX(Market_Data!$L$21:$L$613,MATCH($A474,Market_Data!$K$21:INDEX(Market_Data!$K$21:$K$613,COUNT(Market_Data!$K$21:$K$613)),1)),""))</f>
        <v/>
      </c>
      <c r="F474" s="145" t="str">
        <f ca="1">IF($A474="","",IFERROR(INDEX(Market_Data!$O$21:$O$613,MATCH($A474,Market_Data!$N$21:INDEX(Market_Data!$N$21:$N$613,COUNT(Market_Data!$N$21:$N$613)),1)),""))</f>
        <v/>
      </c>
      <c r="G474" s="145" t="str">
        <f ca="1">IF($A474="","",IFERROR(INDEX(Market_Data!$R$21:$R$613,MATCH($A474,Market_Data!$Q$21:INDEX(Market_Data!$Q$21:$Q$613,COUNT(Market_Data!$Q$21:$Q$613)),1)),""))</f>
        <v/>
      </c>
      <c r="H474" s="145" t="str">
        <f ca="1">IF($A474="","",IFERROR(INDEX(Market_Data!$U$21:$U$613,MATCH($A474,Market_Data!$T$21:INDEX(Market_Data!$T$21:$T$613,COUNT(Market_Data!$T$21:$T$613)),1)),""))</f>
        <v/>
      </c>
      <c r="I474" s="146" t="str">
        <f ca="1">IF($A474="","",IFERROR(INDEX(Query1[Close],MATCH($A474,Query1[Date],1)),""))</f>
        <v/>
      </c>
    </row>
    <row r="475" spans="1:9" x14ac:dyDescent="0.3">
      <c r="A475" s="144" t="str">
        <f t="shared" ca="1" si="9"/>
        <v/>
      </c>
      <c r="B475" s="145" t="str">
        <f ca="1">IF($A475="","",IFERROR(INDEX(Market_Data!$C$21:$C$613,MATCH($A475,Market_Data!$B$21:INDEX(Market_Data!$B$21:$B$613,COUNT(Market_Data!$B$21:$B$613)),1)),""))</f>
        <v/>
      </c>
      <c r="C475" s="145" t="str">
        <f ca="1">IF($A475="","",IFERROR(INDEX(Market_Data!$F$21:$F$613,MATCH($A475,Market_Data!$E$21:INDEX(Market_Data!$E$21:$E$613,COUNT(Market_Data!$E$21:$E$613)),1)),""))</f>
        <v/>
      </c>
      <c r="D475" s="145" t="str">
        <f ca="1">IF($A475="","",IFERROR(INDEX(Market_Data!$I$21:$I$613,MATCH($A475,Market_Data!$H$21:INDEX(Market_Data!$H$21:$H$613,COUNT(Market_Data!$H$21:$H$613)),1)),""))</f>
        <v/>
      </c>
      <c r="E475" s="145" t="str">
        <f ca="1">IF($A475="","",IFERROR(INDEX(Market_Data!$L$21:$L$613,MATCH($A475,Market_Data!$K$21:INDEX(Market_Data!$K$21:$K$613,COUNT(Market_Data!$K$21:$K$613)),1)),""))</f>
        <v/>
      </c>
      <c r="F475" s="145" t="str">
        <f ca="1">IF($A475="","",IFERROR(INDEX(Market_Data!$O$21:$O$613,MATCH($A475,Market_Data!$N$21:INDEX(Market_Data!$N$21:$N$613,COUNT(Market_Data!$N$21:$N$613)),1)),""))</f>
        <v/>
      </c>
      <c r="G475" s="145" t="str">
        <f ca="1">IF($A475="","",IFERROR(INDEX(Market_Data!$R$21:$R$613,MATCH($A475,Market_Data!$Q$21:INDEX(Market_Data!$Q$21:$Q$613,COUNT(Market_Data!$Q$21:$Q$613)),1)),""))</f>
        <v/>
      </c>
      <c r="H475" s="145" t="str">
        <f ca="1">IF($A475="","",IFERROR(INDEX(Market_Data!$U$21:$U$613,MATCH($A475,Market_Data!$T$21:INDEX(Market_Data!$T$21:$T$613,COUNT(Market_Data!$T$21:$T$613)),1)),""))</f>
        <v/>
      </c>
      <c r="I475" s="146" t="str">
        <f ca="1">IF($A475="","",IFERROR(INDEX(Query1[Close],MATCH($A475,Query1[Date],1)),""))</f>
        <v/>
      </c>
    </row>
    <row r="476" spans="1:9" x14ac:dyDescent="0.3">
      <c r="A476" s="144" t="str">
        <f t="shared" ca="1" si="9"/>
        <v/>
      </c>
      <c r="B476" s="145" t="str">
        <f ca="1">IF($A476="","",IFERROR(INDEX(Market_Data!$C$21:$C$613,MATCH($A476,Market_Data!$B$21:INDEX(Market_Data!$B$21:$B$613,COUNT(Market_Data!$B$21:$B$613)),1)),""))</f>
        <v/>
      </c>
      <c r="C476" s="145" t="str">
        <f ca="1">IF($A476="","",IFERROR(INDEX(Market_Data!$F$21:$F$613,MATCH($A476,Market_Data!$E$21:INDEX(Market_Data!$E$21:$E$613,COUNT(Market_Data!$E$21:$E$613)),1)),""))</f>
        <v/>
      </c>
      <c r="D476" s="145" t="str">
        <f ca="1">IF($A476="","",IFERROR(INDEX(Market_Data!$I$21:$I$613,MATCH($A476,Market_Data!$H$21:INDEX(Market_Data!$H$21:$H$613,COUNT(Market_Data!$H$21:$H$613)),1)),""))</f>
        <v/>
      </c>
      <c r="E476" s="145" t="str">
        <f ca="1">IF($A476="","",IFERROR(INDEX(Market_Data!$L$21:$L$613,MATCH($A476,Market_Data!$K$21:INDEX(Market_Data!$K$21:$K$613,COUNT(Market_Data!$K$21:$K$613)),1)),""))</f>
        <v/>
      </c>
      <c r="F476" s="145" t="str">
        <f ca="1">IF($A476="","",IFERROR(INDEX(Market_Data!$O$21:$O$613,MATCH($A476,Market_Data!$N$21:INDEX(Market_Data!$N$21:$N$613,COUNT(Market_Data!$N$21:$N$613)),1)),""))</f>
        <v/>
      </c>
      <c r="G476" s="145" t="str">
        <f ca="1">IF($A476="","",IFERROR(INDEX(Market_Data!$R$21:$R$613,MATCH($A476,Market_Data!$Q$21:INDEX(Market_Data!$Q$21:$Q$613,COUNT(Market_Data!$Q$21:$Q$613)),1)),""))</f>
        <v/>
      </c>
      <c r="H476" s="145" t="str">
        <f ca="1">IF($A476="","",IFERROR(INDEX(Market_Data!$U$21:$U$613,MATCH($A476,Market_Data!$T$21:INDEX(Market_Data!$T$21:$T$613,COUNT(Market_Data!$T$21:$T$613)),1)),""))</f>
        <v/>
      </c>
      <c r="I476" s="146" t="str">
        <f ca="1">IF($A476="","",IFERROR(INDEX(Query1[Close],MATCH($A476,Query1[Date],1)),""))</f>
        <v/>
      </c>
    </row>
    <row r="477" spans="1:9" x14ac:dyDescent="0.3">
      <c r="A477" s="144" t="str">
        <f t="shared" ca="1" si="9"/>
        <v/>
      </c>
      <c r="B477" s="145" t="str">
        <f ca="1">IF($A477="","",IFERROR(INDEX(Market_Data!$C$21:$C$613,MATCH($A477,Market_Data!$B$21:INDEX(Market_Data!$B$21:$B$613,COUNT(Market_Data!$B$21:$B$613)),1)),""))</f>
        <v/>
      </c>
      <c r="C477" s="145" t="str">
        <f ca="1">IF($A477="","",IFERROR(INDEX(Market_Data!$F$21:$F$613,MATCH($A477,Market_Data!$E$21:INDEX(Market_Data!$E$21:$E$613,COUNT(Market_Data!$E$21:$E$613)),1)),""))</f>
        <v/>
      </c>
      <c r="D477" s="145" t="str">
        <f ca="1">IF($A477="","",IFERROR(INDEX(Market_Data!$I$21:$I$613,MATCH($A477,Market_Data!$H$21:INDEX(Market_Data!$H$21:$H$613,COUNT(Market_Data!$H$21:$H$613)),1)),""))</f>
        <v/>
      </c>
      <c r="E477" s="145" t="str">
        <f ca="1">IF($A477="","",IFERROR(INDEX(Market_Data!$L$21:$L$613,MATCH($A477,Market_Data!$K$21:INDEX(Market_Data!$K$21:$K$613,COUNT(Market_Data!$K$21:$K$613)),1)),""))</f>
        <v/>
      </c>
      <c r="F477" s="145" t="str">
        <f ca="1">IF($A477="","",IFERROR(INDEX(Market_Data!$O$21:$O$613,MATCH($A477,Market_Data!$N$21:INDEX(Market_Data!$N$21:$N$613,COUNT(Market_Data!$N$21:$N$613)),1)),""))</f>
        <v/>
      </c>
      <c r="G477" s="145" t="str">
        <f ca="1">IF($A477="","",IFERROR(INDEX(Market_Data!$R$21:$R$613,MATCH($A477,Market_Data!$Q$21:INDEX(Market_Data!$Q$21:$Q$613,COUNT(Market_Data!$Q$21:$Q$613)),1)),""))</f>
        <v/>
      </c>
      <c r="H477" s="145" t="str">
        <f ca="1">IF($A477="","",IFERROR(INDEX(Market_Data!$U$21:$U$613,MATCH($A477,Market_Data!$T$21:INDEX(Market_Data!$T$21:$T$613,COUNT(Market_Data!$T$21:$T$613)),1)),""))</f>
        <v/>
      </c>
      <c r="I477" s="146" t="str">
        <f ca="1">IF($A477="","",IFERROR(INDEX(Query1[Close],MATCH($A477,Query1[Date],1)),""))</f>
        <v/>
      </c>
    </row>
    <row r="478" spans="1:9" x14ac:dyDescent="0.3">
      <c r="A478" s="144" t="str">
        <f t="shared" ca="1" si="9"/>
        <v/>
      </c>
      <c r="B478" s="145" t="str">
        <f ca="1">IF($A478="","",IFERROR(INDEX(Market_Data!$C$21:$C$613,MATCH($A478,Market_Data!$B$21:INDEX(Market_Data!$B$21:$B$613,COUNT(Market_Data!$B$21:$B$613)),1)),""))</f>
        <v/>
      </c>
      <c r="C478" s="145" t="str">
        <f ca="1">IF($A478="","",IFERROR(INDEX(Market_Data!$F$21:$F$613,MATCH($A478,Market_Data!$E$21:INDEX(Market_Data!$E$21:$E$613,COUNT(Market_Data!$E$21:$E$613)),1)),""))</f>
        <v/>
      </c>
      <c r="D478" s="145" t="str">
        <f ca="1">IF($A478="","",IFERROR(INDEX(Market_Data!$I$21:$I$613,MATCH($A478,Market_Data!$H$21:INDEX(Market_Data!$H$21:$H$613,COUNT(Market_Data!$H$21:$H$613)),1)),""))</f>
        <v/>
      </c>
      <c r="E478" s="145" t="str">
        <f ca="1">IF($A478="","",IFERROR(INDEX(Market_Data!$L$21:$L$613,MATCH($A478,Market_Data!$K$21:INDEX(Market_Data!$K$21:$K$613,COUNT(Market_Data!$K$21:$K$613)),1)),""))</f>
        <v/>
      </c>
      <c r="F478" s="145" t="str">
        <f ca="1">IF($A478="","",IFERROR(INDEX(Market_Data!$O$21:$O$613,MATCH($A478,Market_Data!$N$21:INDEX(Market_Data!$N$21:$N$613,COUNT(Market_Data!$N$21:$N$613)),1)),""))</f>
        <v/>
      </c>
      <c r="G478" s="145" t="str">
        <f ca="1">IF($A478="","",IFERROR(INDEX(Market_Data!$R$21:$R$613,MATCH($A478,Market_Data!$Q$21:INDEX(Market_Data!$Q$21:$Q$613,COUNT(Market_Data!$Q$21:$Q$613)),1)),""))</f>
        <v/>
      </c>
      <c r="H478" s="145" t="str">
        <f ca="1">IF($A478="","",IFERROR(INDEX(Market_Data!$U$21:$U$613,MATCH($A478,Market_Data!$T$21:INDEX(Market_Data!$T$21:$T$613,COUNT(Market_Data!$T$21:$T$613)),1)),""))</f>
        <v/>
      </c>
      <c r="I478" s="146" t="str">
        <f ca="1">IF($A478="","",IFERROR(INDEX(Query1[Close],MATCH($A478,Query1[Date],1)),""))</f>
        <v/>
      </c>
    </row>
    <row r="479" spans="1:9" x14ac:dyDescent="0.3">
      <c r="A479" s="144" t="str">
        <f t="shared" ca="1" si="9"/>
        <v/>
      </c>
      <c r="B479" s="145" t="str">
        <f ca="1">IF($A479="","",IFERROR(INDEX(Market_Data!$C$21:$C$613,MATCH($A479,Market_Data!$B$21:INDEX(Market_Data!$B$21:$B$613,COUNT(Market_Data!$B$21:$B$613)),1)),""))</f>
        <v/>
      </c>
      <c r="C479" s="145" t="str">
        <f ca="1">IF($A479="","",IFERROR(INDEX(Market_Data!$F$21:$F$613,MATCH($A479,Market_Data!$E$21:INDEX(Market_Data!$E$21:$E$613,COUNT(Market_Data!$E$21:$E$613)),1)),""))</f>
        <v/>
      </c>
      <c r="D479" s="145" t="str">
        <f ca="1">IF($A479="","",IFERROR(INDEX(Market_Data!$I$21:$I$613,MATCH($A479,Market_Data!$H$21:INDEX(Market_Data!$H$21:$H$613,COUNT(Market_Data!$H$21:$H$613)),1)),""))</f>
        <v/>
      </c>
      <c r="E479" s="145" t="str">
        <f ca="1">IF($A479="","",IFERROR(INDEX(Market_Data!$L$21:$L$613,MATCH($A479,Market_Data!$K$21:INDEX(Market_Data!$K$21:$K$613,COUNT(Market_Data!$K$21:$K$613)),1)),""))</f>
        <v/>
      </c>
      <c r="F479" s="145" t="str">
        <f ca="1">IF($A479="","",IFERROR(INDEX(Market_Data!$O$21:$O$613,MATCH($A479,Market_Data!$N$21:INDEX(Market_Data!$N$21:$N$613,COUNT(Market_Data!$N$21:$N$613)),1)),""))</f>
        <v/>
      </c>
      <c r="G479" s="145" t="str">
        <f ca="1">IF($A479="","",IFERROR(INDEX(Market_Data!$R$21:$R$613,MATCH($A479,Market_Data!$Q$21:INDEX(Market_Data!$Q$21:$Q$613,COUNT(Market_Data!$Q$21:$Q$613)),1)),""))</f>
        <v/>
      </c>
      <c r="H479" s="145" t="str">
        <f ca="1">IF($A479="","",IFERROR(INDEX(Market_Data!$U$21:$U$613,MATCH($A479,Market_Data!$T$21:INDEX(Market_Data!$T$21:$T$613,COUNT(Market_Data!$T$21:$T$613)),1)),""))</f>
        <v/>
      </c>
      <c r="I479" s="146" t="str">
        <f ca="1">IF($A479="","",IFERROR(INDEX(Query1[Close],MATCH($A479,Query1[Date],1)),""))</f>
        <v/>
      </c>
    </row>
    <row r="480" spans="1:9" x14ac:dyDescent="0.3">
      <c r="A480" s="144" t="str">
        <f t="shared" ca="1" si="9"/>
        <v/>
      </c>
      <c r="B480" s="145" t="str">
        <f ca="1">IF($A480="","",IFERROR(INDEX(Market_Data!$C$21:$C$613,MATCH($A480,Market_Data!$B$21:INDEX(Market_Data!$B$21:$B$613,COUNT(Market_Data!$B$21:$B$613)),1)),""))</f>
        <v/>
      </c>
      <c r="C480" s="145" t="str">
        <f ca="1">IF($A480="","",IFERROR(INDEX(Market_Data!$F$21:$F$613,MATCH($A480,Market_Data!$E$21:INDEX(Market_Data!$E$21:$E$613,COUNT(Market_Data!$E$21:$E$613)),1)),""))</f>
        <v/>
      </c>
      <c r="D480" s="145" t="str">
        <f ca="1">IF($A480="","",IFERROR(INDEX(Market_Data!$I$21:$I$613,MATCH($A480,Market_Data!$H$21:INDEX(Market_Data!$H$21:$H$613,COUNT(Market_Data!$H$21:$H$613)),1)),""))</f>
        <v/>
      </c>
      <c r="E480" s="145" t="str">
        <f ca="1">IF($A480="","",IFERROR(INDEX(Market_Data!$L$21:$L$613,MATCH($A480,Market_Data!$K$21:INDEX(Market_Data!$K$21:$K$613,COUNT(Market_Data!$K$21:$K$613)),1)),""))</f>
        <v/>
      </c>
      <c r="F480" s="145" t="str">
        <f ca="1">IF($A480="","",IFERROR(INDEX(Market_Data!$O$21:$O$613,MATCH($A480,Market_Data!$N$21:INDEX(Market_Data!$N$21:$N$613,COUNT(Market_Data!$N$21:$N$613)),1)),""))</f>
        <v/>
      </c>
      <c r="G480" s="145" t="str">
        <f ca="1">IF($A480="","",IFERROR(INDEX(Market_Data!$R$21:$R$613,MATCH($A480,Market_Data!$Q$21:INDEX(Market_Data!$Q$21:$Q$613,COUNT(Market_Data!$Q$21:$Q$613)),1)),""))</f>
        <v/>
      </c>
      <c r="H480" s="145" t="str">
        <f ca="1">IF($A480="","",IFERROR(INDEX(Market_Data!$U$21:$U$613,MATCH($A480,Market_Data!$T$21:INDEX(Market_Data!$T$21:$T$613,COUNT(Market_Data!$T$21:$T$613)),1)),""))</f>
        <v/>
      </c>
      <c r="I480" s="146" t="str">
        <f ca="1">IF($A480="","",IFERROR(INDEX(Query1[Close],MATCH($A480,Query1[Date],1)),""))</f>
        <v/>
      </c>
    </row>
    <row r="481" spans="1:9" x14ac:dyDescent="0.3">
      <c r="A481" s="144" t="str">
        <f t="shared" ca="1" si="9"/>
        <v/>
      </c>
      <c r="B481" s="145" t="str">
        <f ca="1">IF($A481="","",IFERROR(INDEX(Market_Data!$C$21:$C$613,MATCH($A481,Market_Data!$B$21:INDEX(Market_Data!$B$21:$B$613,COUNT(Market_Data!$B$21:$B$613)),1)),""))</f>
        <v/>
      </c>
      <c r="C481" s="145" t="str">
        <f ca="1">IF($A481="","",IFERROR(INDEX(Market_Data!$F$21:$F$613,MATCH($A481,Market_Data!$E$21:INDEX(Market_Data!$E$21:$E$613,COUNT(Market_Data!$E$21:$E$613)),1)),""))</f>
        <v/>
      </c>
      <c r="D481" s="145" t="str">
        <f ca="1">IF($A481="","",IFERROR(INDEX(Market_Data!$I$21:$I$613,MATCH($A481,Market_Data!$H$21:INDEX(Market_Data!$H$21:$H$613,COUNT(Market_Data!$H$21:$H$613)),1)),""))</f>
        <v/>
      </c>
      <c r="E481" s="145" t="str">
        <f ca="1">IF($A481="","",IFERROR(INDEX(Market_Data!$L$21:$L$613,MATCH($A481,Market_Data!$K$21:INDEX(Market_Data!$K$21:$K$613,COUNT(Market_Data!$K$21:$K$613)),1)),""))</f>
        <v/>
      </c>
      <c r="F481" s="145" t="str">
        <f ca="1">IF($A481="","",IFERROR(INDEX(Market_Data!$O$21:$O$613,MATCH($A481,Market_Data!$N$21:INDEX(Market_Data!$N$21:$N$613,COUNT(Market_Data!$N$21:$N$613)),1)),""))</f>
        <v/>
      </c>
      <c r="G481" s="145" t="str">
        <f ca="1">IF($A481="","",IFERROR(INDEX(Market_Data!$R$21:$R$613,MATCH($A481,Market_Data!$Q$21:INDEX(Market_Data!$Q$21:$Q$613,COUNT(Market_Data!$Q$21:$Q$613)),1)),""))</f>
        <v/>
      </c>
      <c r="H481" s="145" t="str">
        <f ca="1">IF($A481="","",IFERROR(INDEX(Market_Data!$U$21:$U$613,MATCH($A481,Market_Data!$T$21:INDEX(Market_Data!$T$21:$T$613,COUNT(Market_Data!$T$21:$T$613)),1)),""))</f>
        <v/>
      </c>
      <c r="I481" s="146" t="str">
        <f ca="1">IF($A481="","",IFERROR(INDEX(Query1[Close],MATCH($A481,Query1[Date],1)),""))</f>
        <v/>
      </c>
    </row>
    <row r="482" spans="1:9" x14ac:dyDescent="0.3">
      <c r="A482" s="144" t="str">
        <f t="shared" ca="1" si="9"/>
        <v/>
      </c>
      <c r="B482" s="145" t="str">
        <f ca="1">IF($A482="","",IFERROR(INDEX(Market_Data!$C$21:$C$613,MATCH($A482,Market_Data!$B$21:INDEX(Market_Data!$B$21:$B$613,COUNT(Market_Data!$B$21:$B$613)),1)),""))</f>
        <v/>
      </c>
      <c r="C482" s="145" t="str">
        <f ca="1">IF($A482="","",IFERROR(INDEX(Market_Data!$F$21:$F$613,MATCH($A482,Market_Data!$E$21:INDEX(Market_Data!$E$21:$E$613,COUNT(Market_Data!$E$21:$E$613)),1)),""))</f>
        <v/>
      </c>
      <c r="D482" s="145" t="str">
        <f ca="1">IF($A482="","",IFERROR(INDEX(Market_Data!$I$21:$I$613,MATCH($A482,Market_Data!$H$21:INDEX(Market_Data!$H$21:$H$613,COUNT(Market_Data!$H$21:$H$613)),1)),""))</f>
        <v/>
      </c>
      <c r="E482" s="145" t="str">
        <f ca="1">IF($A482="","",IFERROR(INDEX(Market_Data!$L$21:$L$613,MATCH($A482,Market_Data!$K$21:INDEX(Market_Data!$K$21:$K$613,COUNT(Market_Data!$K$21:$K$613)),1)),""))</f>
        <v/>
      </c>
      <c r="F482" s="145" t="str">
        <f ca="1">IF($A482="","",IFERROR(INDEX(Market_Data!$O$21:$O$613,MATCH($A482,Market_Data!$N$21:INDEX(Market_Data!$N$21:$N$613,COUNT(Market_Data!$N$21:$N$613)),1)),""))</f>
        <v/>
      </c>
      <c r="G482" s="145" t="str">
        <f ca="1">IF($A482="","",IFERROR(INDEX(Market_Data!$R$21:$R$613,MATCH($A482,Market_Data!$Q$21:INDEX(Market_Data!$Q$21:$Q$613,COUNT(Market_Data!$Q$21:$Q$613)),1)),""))</f>
        <v/>
      </c>
      <c r="H482" s="145" t="str">
        <f ca="1">IF($A482="","",IFERROR(INDEX(Market_Data!$U$21:$U$613,MATCH($A482,Market_Data!$T$21:INDEX(Market_Data!$T$21:$T$613,COUNT(Market_Data!$T$21:$T$613)),1)),""))</f>
        <v/>
      </c>
      <c r="I482" s="146" t="str">
        <f ca="1">IF($A482="","",IFERROR(INDEX(Query1[Close],MATCH($A482,Query1[Date],1)),""))</f>
        <v/>
      </c>
    </row>
    <row r="483" spans="1:9" x14ac:dyDescent="0.3">
      <c r="A483" s="144" t="str">
        <f t="shared" ca="1" si="9"/>
        <v/>
      </c>
      <c r="B483" s="145" t="str">
        <f ca="1">IF($A483="","",IFERROR(INDEX(Market_Data!$C$21:$C$613,MATCH($A483,Market_Data!$B$21:INDEX(Market_Data!$B$21:$B$613,COUNT(Market_Data!$B$21:$B$613)),1)),""))</f>
        <v/>
      </c>
      <c r="C483" s="145" t="str">
        <f ca="1">IF($A483="","",IFERROR(INDEX(Market_Data!$F$21:$F$613,MATCH($A483,Market_Data!$E$21:INDEX(Market_Data!$E$21:$E$613,COUNT(Market_Data!$E$21:$E$613)),1)),""))</f>
        <v/>
      </c>
      <c r="D483" s="145" t="str">
        <f ca="1">IF($A483="","",IFERROR(INDEX(Market_Data!$I$21:$I$613,MATCH($A483,Market_Data!$H$21:INDEX(Market_Data!$H$21:$H$613,COUNT(Market_Data!$H$21:$H$613)),1)),""))</f>
        <v/>
      </c>
      <c r="E483" s="145" t="str">
        <f ca="1">IF($A483="","",IFERROR(INDEX(Market_Data!$L$21:$L$613,MATCH($A483,Market_Data!$K$21:INDEX(Market_Data!$K$21:$K$613,COUNT(Market_Data!$K$21:$K$613)),1)),""))</f>
        <v/>
      </c>
      <c r="F483" s="145" t="str">
        <f ca="1">IF($A483="","",IFERROR(INDEX(Market_Data!$O$21:$O$613,MATCH($A483,Market_Data!$N$21:INDEX(Market_Data!$N$21:$N$613,COUNT(Market_Data!$N$21:$N$613)),1)),""))</f>
        <v/>
      </c>
      <c r="G483" s="145" t="str">
        <f ca="1">IF($A483="","",IFERROR(INDEX(Market_Data!$R$21:$R$613,MATCH($A483,Market_Data!$Q$21:INDEX(Market_Data!$Q$21:$Q$613,COUNT(Market_Data!$Q$21:$Q$613)),1)),""))</f>
        <v/>
      </c>
      <c r="H483" s="145" t="str">
        <f ca="1">IF($A483="","",IFERROR(INDEX(Market_Data!$U$21:$U$613,MATCH($A483,Market_Data!$T$21:INDEX(Market_Data!$T$21:$T$613,COUNT(Market_Data!$T$21:$T$613)),1)),""))</f>
        <v/>
      </c>
      <c r="I483" s="146" t="str">
        <f ca="1">IF($A483="","",IFERROR(INDEX(Query1[Close],MATCH($A483,Query1[Date],1)),""))</f>
        <v/>
      </c>
    </row>
    <row r="484" spans="1:9" x14ac:dyDescent="0.3">
      <c r="A484" s="144" t="str">
        <f t="shared" ca="1" si="9"/>
        <v/>
      </c>
      <c r="B484" s="145" t="str">
        <f ca="1">IF($A484="","",IFERROR(INDEX(Market_Data!$C$21:$C$613,MATCH($A484,Market_Data!$B$21:INDEX(Market_Data!$B$21:$B$613,COUNT(Market_Data!$B$21:$B$613)),1)),""))</f>
        <v/>
      </c>
      <c r="C484" s="145" t="str">
        <f ca="1">IF($A484="","",IFERROR(INDEX(Market_Data!$F$21:$F$613,MATCH($A484,Market_Data!$E$21:INDEX(Market_Data!$E$21:$E$613,COUNT(Market_Data!$E$21:$E$613)),1)),""))</f>
        <v/>
      </c>
      <c r="D484" s="145" t="str">
        <f ca="1">IF($A484="","",IFERROR(INDEX(Market_Data!$I$21:$I$613,MATCH($A484,Market_Data!$H$21:INDEX(Market_Data!$H$21:$H$613,COUNT(Market_Data!$H$21:$H$613)),1)),""))</f>
        <v/>
      </c>
      <c r="E484" s="145" t="str">
        <f ca="1">IF($A484="","",IFERROR(INDEX(Market_Data!$L$21:$L$613,MATCH($A484,Market_Data!$K$21:INDEX(Market_Data!$K$21:$K$613,COUNT(Market_Data!$K$21:$K$613)),1)),""))</f>
        <v/>
      </c>
      <c r="F484" s="145" t="str">
        <f ca="1">IF($A484="","",IFERROR(INDEX(Market_Data!$O$21:$O$613,MATCH($A484,Market_Data!$N$21:INDEX(Market_Data!$N$21:$N$613,COUNT(Market_Data!$N$21:$N$613)),1)),""))</f>
        <v/>
      </c>
      <c r="G484" s="145" t="str">
        <f ca="1">IF($A484="","",IFERROR(INDEX(Market_Data!$R$21:$R$613,MATCH($A484,Market_Data!$Q$21:INDEX(Market_Data!$Q$21:$Q$613,COUNT(Market_Data!$Q$21:$Q$613)),1)),""))</f>
        <v/>
      </c>
      <c r="H484" s="145" t="str">
        <f ca="1">IF($A484="","",IFERROR(INDEX(Market_Data!$U$21:$U$613,MATCH($A484,Market_Data!$T$21:INDEX(Market_Data!$T$21:$T$613,COUNT(Market_Data!$T$21:$T$613)),1)),""))</f>
        <v/>
      </c>
      <c r="I484" s="146" t="str">
        <f ca="1">IF($A484="","",IFERROR(INDEX(Query1[Close],MATCH($A484,Query1[Date],1)),""))</f>
        <v/>
      </c>
    </row>
    <row r="485" spans="1:9" x14ac:dyDescent="0.3">
      <c r="A485" s="144" t="str">
        <f t="shared" ca="1" si="9"/>
        <v/>
      </c>
      <c r="B485" s="145" t="str">
        <f ca="1">IF($A485="","",IFERROR(INDEX(Market_Data!$C$21:$C$613,MATCH($A485,Market_Data!$B$21:INDEX(Market_Data!$B$21:$B$613,COUNT(Market_Data!$B$21:$B$613)),1)),""))</f>
        <v/>
      </c>
      <c r="C485" s="145" t="str">
        <f ca="1">IF($A485="","",IFERROR(INDEX(Market_Data!$F$21:$F$613,MATCH($A485,Market_Data!$E$21:INDEX(Market_Data!$E$21:$E$613,COUNT(Market_Data!$E$21:$E$613)),1)),""))</f>
        <v/>
      </c>
      <c r="D485" s="145" t="str">
        <f ca="1">IF($A485="","",IFERROR(INDEX(Market_Data!$I$21:$I$613,MATCH($A485,Market_Data!$H$21:INDEX(Market_Data!$H$21:$H$613,COUNT(Market_Data!$H$21:$H$613)),1)),""))</f>
        <v/>
      </c>
      <c r="E485" s="145" t="str">
        <f ca="1">IF($A485="","",IFERROR(INDEX(Market_Data!$L$21:$L$613,MATCH($A485,Market_Data!$K$21:INDEX(Market_Data!$K$21:$K$613,COUNT(Market_Data!$K$21:$K$613)),1)),""))</f>
        <v/>
      </c>
      <c r="F485" s="145" t="str">
        <f ca="1">IF($A485="","",IFERROR(INDEX(Market_Data!$O$21:$O$613,MATCH($A485,Market_Data!$N$21:INDEX(Market_Data!$N$21:$N$613,COUNT(Market_Data!$N$21:$N$613)),1)),""))</f>
        <v/>
      </c>
      <c r="G485" s="145" t="str">
        <f ca="1">IF($A485="","",IFERROR(INDEX(Market_Data!$R$21:$R$613,MATCH($A485,Market_Data!$Q$21:INDEX(Market_Data!$Q$21:$Q$613,COUNT(Market_Data!$Q$21:$Q$613)),1)),""))</f>
        <v/>
      </c>
      <c r="H485" s="145" t="str">
        <f ca="1">IF($A485="","",IFERROR(INDEX(Market_Data!$U$21:$U$613,MATCH($A485,Market_Data!$T$21:INDEX(Market_Data!$T$21:$T$613,COUNT(Market_Data!$T$21:$T$613)),1)),""))</f>
        <v/>
      </c>
      <c r="I485" s="146" t="str">
        <f ca="1">IF($A485="","",IFERROR(INDEX(Query1[Close],MATCH($A485,Query1[Date],1)),""))</f>
        <v/>
      </c>
    </row>
    <row r="486" spans="1:9" x14ac:dyDescent="0.3">
      <c r="A486" s="144" t="str">
        <f t="shared" ca="1" si="9"/>
        <v/>
      </c>
      <c r="B486" s="145" t="str">
        <f ca="1">IF($A486="","",IFERROR(INDEX(Market_Data!$C$21:$C$613,MATCH($A486,Market_Data!$B$21:INDEX(Market_Data!$B$21:$B$613,COUNT(Market_Data!$B$21:$B$613)),1)),""))</f>
        <v/>
      </c>
      <c r="C486" s="145" t="str">
        <f ca="1">IF($A486="","",IFERROR(INDEX(Market_Data!$F$21:$F$613,MATCH($A486,Market_Data!$E$21:INDEX(Market_Data!$E$21:$E$613,COUNT(Market_Data!$E$21:$E$613)),1)),""))</f>
        <v/>
      </c>
      <c r="D486" s="145" t="str">
        <f ca="1">IF($A486="","",IFERROR(INDEX(Market_Data!$I$21:$I$613,MATCH($A486,Market_Data!$H$21:INDEX(Market_Data!$H$21:$H$613,COUNT(Market_Data!$H$21:$H$613)),1)),""))</f>
        <v/>
      </c>
      <c r="E486" s="145" t="str">
        <f ca="1">IF($A486="","",IFERROR(INDEX(Market_Data!$L$21:$L$613,MATCH($A486,Market_Data!$K$21:INDEX(Market_Data!$K$21:$K$613,COUNT(Market_Data!$K$21:$K$613)),1)),""))</f>
        <v/>
      </c>
      <c r="F486" s="145" t="str">
        <f ca="1">IF($A486="","",IFERROR(INDEX(Market_Data!$O$21:$O$613,MATCH($A486,Market_Data!$N$21:INDEX(Market_Data!$N$21:$N$613,COUNT(Market_Data!$N$21:$N$613)),1)),""))</f>
        <v/>
      </c>
      <c r="G486" s="145" t="str">
        <f ca="1">IF($A486="","",IFERROR(INDEX(Market_Data!$R$21:$R$613,MATCH($A486,Market_Data!$Q$21:INDEX(Market_Data!$Q$21:$Q$613,COUNT(Market_Data!$Q$21:$Q$613)),1)),""))</f>
        <v/>
      </c>
      <c r="H486" s="145" t="str">
        <f ca="1">IF($A486="","",IFERROR(INDEX(Market_Data!$U$21:$U$613,MATCH($A486,Market_Data!$T$21:INDEX(Market_Data!$T$21:$T$613,COUNT(Market_Data!$T$21:$T$613)),1)),""))</f>
        <v/>
      </c>
      <c r="I486" s="146" t="str">
        <f ca="1">IF($A486="","",IFERROR(INDEX(Query1[Close],MATCH($A486,Query1[Date],1)),""))</f>
        <v/>
      </c>
    </row>
    <row r="487" spans="1:9" x14ac:dyDescent="0.3">
      <c r="A487" s="144" t="str">
        <f t="shared" ca="1" si="9"/>
        <v/>
      </c>
      <c r="B487" s="145" t="str">
        <f ca="1">IF($A487="","",IFERROR(INDEX(Market_Data!$C$21:$C$613,MATCH($A487,Market_Data!$B$21:INDEX(Market_Data!$B$21:$B$613,COUNT(Market_Data!$B$21:$B$613)),1)),""))</f>
        <v/>
      </c>
      <c r="C487" s="145" t="str">
        <f ca="1">IF($A487="","",IFERROR(INDEX(Market_Data!$F$21:$F$613,MATCH($A487,Market_Data!$E$21:INDEX(Market_Data!$E$21:$E$613,COUNT(Market_Data!$E$21:$E$613)),1)),""))</f>
        <v/>
      </c>
      <c r="D487" s="145" t="str">
        <f ca="1">IF($A487="","",IFERROR(INDEX(Market_Data!$I$21:$I$613,MATCH($A487,Market_Data!$H$21:INDEX(Market_Data!$H$21:$H$613,COUNT(Market_Data!$H$21:$H$613)),1)),""))</f>
        <v/>
      </c>
      <c r="E487" s="145" t="str">
        <f ca="1">IF($A487="","",IFERROR(INDEX(Market_Data!$L$21:$L$613,MATCH($A487,Market_Data!$K$21:INDEX(Market_Data!$K$21:$K$613,COUNT(Market_Data!$K$21:$K$613)),1)),""))</f>
        <v/>
      </c>
      <c r="F487" s="145" t="str">
        <f ca="1">IF($A487="","",IFERROR(INDEX(Market_Data!$O$21:$O$613,MATCH($A487,Market_Data!$N$21:INDEX(Market_Data!$N$21:$N$613,COUNT(Market_Data!$N$21:$N$613)),1)),""))</f>
        <v/>
      </c>
      <c r="G487" s="145" t="str">
        <f ca="1">IF($A487="","",IFERROR(INDEX(Market_Data!$R$21:$R$613,MATCH($A487,Market_Data!$Q$21:INDEX(Market_Data!$Q$21:$Q$613,COUNT(Market_Data!$Q$21:$Q$613)),1)),""))</f>
        <v/>
      </c>
      <c r="H487" s="145" t="str">
        <f ca="1">IF($A487="","",IFERROR(INDEX(Market_Data!$U$21:$U$613,MATCH($A487,Market_Data!$T$21:INDEX(Market_Data!$T$21:$T$613,COUNT(Market_Data!$T$21:$T$613)),1)),""))</f>
        <v/>
      </c>
      <c r="I487" s="146" t="str">
        <f ca="1">IF($A487="","",IFERROR(INDEX(Query1[Close],MATCH($A487,Query1[Date],1)),""))</f>
        <v/>
      </c>
    </row>
    <row r="488" spans="1:9" x14ac:dyDescent="0.3">
      <c r="A488" s="144" t="str">
        <f t="shared" ca="1" si="9"/>
        <v/>
      </c>
      <c r="B488" s="145" t="str">
        <f ca="1">IF($A488="","",IFERROR(INDEX(Market_Data!$C$21:$C$613,MATCH($A488,Market_Data!$B$21:INDEX(Market_Data!$B$21:$B$613,COUNT(Market_Data!$B$21:$B$613)),1)),""))</f>
        <v/>
      </c>
      <c r="C488" s="145" t="str">
        <f ca="1">IF($A488="","",IFERROR(INDEX(Market_Data!$F$21:$F$613,MATCH($A488,Market_Data!$E$21:INDEX(Market_Data!$E$21:$E$613,COUNT(Market_Data!$E$21:$E$613)),1)),""))</f>
        <v/>
      </c>
      <c r="D488" s="145" t="str">
        <f ca="1">IF($A488="","",IFERROR(INDEX(Market_Data!$I$21:$I$613,MATCH($A488,Market_Data!$H$21:INDEX(Market_Data!$H$21:$H$613,COUNT(Market_Data!$H$21:$H$613)),1)),""))</f>
        <v/>
      </c>
      <c r="E488" s="145" t="str">
        <f ca="1">IF($A488="","",IFERROR(INDEX(Market_Data!$L$21:$L$613,MATCH($A488,Market_Data!$K$21:INDEX(Market_Data!$K$21:$K$613,COUNT(Market_Data!$K$21:$K$613)),1)),""))</f>
        <v/>
      </c>
      <c r="F488" s="145" t="str">
        <f ca="1">IF($A488="","",IFERROR(INDEX(Market_Data!$O$21:$O$613,MATCH($A488,Market_Data!$N$21:INDEX(Market_Data!$N$21:$N$613,COUNT(Market_Data!$N$21:$N$613)),1)),""))</f>
        <v/>
      </c>
      <c r="G488" s="145" t="str">
        <f ca="1">IF($A488="","",IFERROR(INDEX(Market_Data!$R$21:$R$613,MATCH($A488,Market_Data!$Q$21:INDEX(Market_Data!$Q$21:$Q$613,COUNT(Market_Data!$Q$21:$Q$613)),1)),""))</f>
        <v/>
      </c>
      <c r="H488" s="145" t="str">
        <f ca="1">IF($A488="","",IFERROR(INDEX(Market_Data!$U$21:$U$613,MATCH($A488,Market_Data!$T$21:INDEX(Market_Data!$T$21:$T$613,COUNT(Market_Data!$T$21:$T$613)),1)),""))</f>
        <v/>
      </c>
      <c r="I488" s="146" t="str">
        <f ca="1">IF($A488="","",IFERROR(INDEX(Query1[Close],MATCH($A488,Query1[Date],1)),""))</f>
        <v/>
      </c>
    </row>
    <row r="489" spans="1:9" x14ac:dyDescent="0.3">
      <c r="A489" s="144" t="str">
        <f t="shared" ca="1" si="9"/>
        <v/>
      </c>
      <c r="B489" s="145" t="str">
        <f ca="1">IF($A489="","",IFERROR(INDEX(Market_Data!$C$21:$C$613,MATCH($A489,Market_Data!$B$21:INDEX(Market_Data!$B$21:$B$613,COUNT(Market_Data!$B$21:$B$613)),1)),""))</f>
        <v/>
      </c>
      <c r="C489" s="145" t="str">
        <f ca="1">IF($A489="","",IFERROR(INDEX(Market_Data!$F$21:$F$613,MATCH($A489,Market_Data!$E$21:INDEX(Market_Data!$E$21:$E$613,COUNT(Market_Data!$E$21:$E$613)),1)),""))</f>
        <v/>
      </c>
      <c r="D489" s="145" t="str">
        <f ca="1">IF($A489="","",IFERROR(INDEX(Market_Data!$I$21:$I$613,MATCH($A489,Market_Data!$H$21:INDEX(Market_Data!$H$21:$H$613,COUNT(Market_Data!$H$21:$H$613)),1)),""))</f>
        <v/>
      </c>
      <c r="E489" s="145" t="str">
        <f ca="1">IF($A489="","",IFERROR(INDEX(Market_Data!$L$21:$L$613,MATCH($A489,Market_Data!$K$21:INDEX(Market_Data!$K$21:$K$613,COUNT(Market_Data!$K$21:$K$613)),1)),""))</f>
        <v/>
      </c>
      <c r="F489" s="145" t="str">
        <f ca="1">IF($A489="","",IFERROR(INDEX(Market_Data!$O$21:$O$613,MATCH($A489,Market_Data!$N$21:INDEX(Market_Data!$N$21:$N$613,COUNT(Market_Data!$N$21:$N$613)),1)),""))</f>
        <v/>
      </c>
      <c r="G489" s="145" t="str">
        <f ca="1">IF($A489="","",IFERROR(INDEX(Market_Data!$R$21:$R$613,MATCH($A489,Market_Data!$Q$21:INDEX(Market_Data!$Q$21:$Q$613,COUNT(Market_Data!$Q$21:$Q$613)),1)),""))</f>
        <v/>
      </c>
      <c r="H489" s="145" t="str">
        <f ca="1">IF($A489="","",IFERROR(INDEX(Market_Data!$U$21:$U$613,MATCH($A489,Market_Data!$T$21:INDEX(Market_Data!$T$21:$T$613,COUNT(Market_Data!$T$21:$T$613)),1)),""))</f>
        <v/>
      </c>
      <c r="I489" s="146" t="str">
        <f ca="1">IF($A489="","",IFERROR(INDEX(Query1[Close],MATCH($A489,Query1[Date],1)),""))</f>
        <v/>
      </c>
    </row>
    <row r="490" spans="1:9" x14ac:dyDescent="0.3">
      <c r="A490" s="144" t="str">
        <f t="shared" ca="1" si="9"/>
        <v/>
      </c>
      <c r="B490" s="145" t="str">
        <f ca="1">IF($A490="","",IFERROR(INDEX(Market_Data!$C$21:$C$613,MATCH($A490,Market_Data!$B$21:INDEX(Market_Data!$B$21:$B$613,COUNT(Market_Data!$B$21:$B$613)),1)),""))</f>
        <v/>
      </c>
      <c r="C490" s="145" t="str">
        <f ca="1">IF($A490="","",IFERROR(INDEX(Market_Data!$F$21:$F$613,MATCH($A490,Market_Data!$E$21:INDEX(Market_Data!$E$21:$E$613,COUNT(Market_Data!$E$21:$E$613)),1)),""))</f>
        <v/>
      </c>
      <c r="D490" s="145" t="str">
        <f ca="1">IF($A490="","",IFERROR(INDEX(Market_Data!$I$21:$I$613,MATCH($A490,Market_Data!$H$21:INDEX(Market_Data!$H$21:$H$613,COUNT(Market_Data!$H$21:$H$613)),1)),""))</f>
        <v/>
      </c>
      <c r="E490" s="145" t="str">
        <f ca="1">IF($A490="","",IFERROR(INDEX(Market_Data!$L$21:$L$613,MATCH($A490,Market_Data!$K$21:INDEX(Market_Data!$K$21:$K$613,COUNT(Market_Data!$K$21:$K$613)),1)),""))</f>
        <v/>
      </c>
      <c r="F490" s="145" t="str">
        <f ca="1">IF($A490="","",IFERROR(INDEX(Market_Data!$O$21:$O$613,MATCH($A490,Market_Data!$N$21:INDEX(Market_Data!$N$21:$N$613,COUNT(Market_Data!$N$21:$N$613)),1)),""))</f>
        <v/>
      </c>
      <c r="G490" s="145" t="str">
        <f ca="1">IF($A490="","",IFERROR(INDEX(Market_Data!$R$21:$R$613,MATCH($A490,Market_Data!$Q$21:INDEX(Market_Data!$Q$21:$Q$613,COUNT(Market_Data!$Q$21:$Q$613)),1)),""))</f>
        <v/>
      </c>
      <c r="H490" s="145" t="str">
        <f ca="1">IF($A490="","",IFERROR(INDEX(Market_Data!$U$21:$U$613,MATCH($A490,Market_Data!$T$21:INDEX(Market_Data!$T$21:$T$613,COUNT(Market_Data!$T$21:$T$613)),1)),""))</f>
        <v/>
      </c>
      <c r="I490" s="146" t="str">
        <f ca="1">IF($A490="","",IFERROR(INDEX(Query1[Close],MATCH($A490,Query1[Date],1)),""))</f>
        <v/>
      </c>
    </row>
    <row r="491" spans="1:9" x14ac:dyDescent="0.3">
      <c r="A491" s="144" t="str">
        <f t="shared" ca="1" si="9"/>
        <v/>
      </c>
      <c r="B491" s="145" t="str">
        <f ca="1">IF($A491="","",IFERROR(INDEX(Market_Data!$C$21:$C$613,MATCH($A491,Market_Data!$B$21:INDEX(Market_Data!$B$21:$B$613,COUNT(Market_Data!$B$21:$B$613)),1)),""))</f>
        <v/>
      </c>
      <c r="C491" s="145" t="str">
        <f ca="1">IF($A491="","",IFERROR(INDEX(Market_Data!$F$21:$F$613,MATCH($A491,Market_Data!$E$21:INDEX(Market_Data!$E$21:$E$613,COUNT(Market_Data!$E$21:$E$613)),1)),""))</f>
        <v/>
      </c>
      <c r="D491" s="145" t="str">
        <f ca="1">IF($A491="","",IFERROR(INDEX(Market_Data!$I$21:$I$613,MATCH($A491,Market_Data!$H$21:INDEX(Market_Data!$H$21:$H$613,COUNT(Market_Data!$H$21:$H$613)),1)),""))</f>
        <v/>
      </c>
      <c r="E491" s="145" t="str">
        <f ca="1">IF($A491="","",IFERROR(INDEX(Market_Data!$L$21:$L$613,MATCH($A491,Market_Data!$K$21:INDEX(Market_Data!$K$21:$K$613,COUNT(Market_Data!$K$21:$K$613)),1)),""))</f>
        <v/>
      </c>
      <c r="F491" s="145" t="str">
        <f ca="1">IF($A491="","",IFERROR(INDEX(Market_Data!$O$21:$O$613,MATCH($A491,Market_Data!$N$21:INDEX(Market_Data!$N$21:$N$613,COUNT(Market_Data!$N$21:$N$613)),1)),""))</f>
        <v/>
      </c>
      <c r="G491" s="145" t="str">
        <f ca="1">IF($A491="","",IFERROR(INDEX(Market_Data!$R$21:$R$613,MATCH($A491,Market_Data!$Q$21:INDEX(Market_Data!$Q$21:$Q$613,COUNT(Market_Data!$Q$21:$Q$613)),1)),""))</f>
        <v/>
      </c>
      <c r="H491" s="145" t="str">
        <f ca="1">IF($A491="","",IFERROR(INDEX(Market_Data!$U$21:$U$613,MATCH($A491,Market_Data!$T$21:INDEX(Market_Data!$T$21:$T$613,COUNT(Market_Data!$T$21:$T$613)),1)),""))</f>
        <v/>
      </c>
      <c r="I491" s="146" t="str">
        <f ca="1">IF($A491="","",IFERROR(INDEX(Query1[Close],MATCH($A491,Query1[Date],1)),""))</f>
        <v/>
      </c>
    </row>
    <row r="492" spans="1:9" x14ac:dyDescent="0.3">
      <c r="A492" s="144" t="str">
        <f t="shared" ca="1" si="9"/>
        <v/>
      </c>
      <c r="B492" s="145" t="str">
        <f ca="1">IF($A492="","",IFERROR(INDEX(Market_Data!$C$21:$C$613,MATCH($A492,Market_Data!$B$21:INDEX(Market_Data!$B$21:$B$613,COUNT(Market_Data!$B$21:$B$613)),1)),""))</f>
        <v/>
      </c>
      <c r="C492" s="145" t="str">
        <f ca="1">IF($A492="","",IFERROR(INDEX(Market_Data!$F$21:$F$613,MATCH($A492,Market_Data!$E$21:INDEX(Market_Data!$E$21:$E$613,COUNT(Market_Data!$E$21:$E$613)),1)),""))</f>
        <v/>
      </c>
      <c r="D492" s="145" t="str">
        <f ca="1">IF($A492="","",IFERROR(INDEX(Market_Data!$I$21:$I$613,MATCH($A492,Market_Data!$H$21:INDEX(Market_Data!$H$21:$H$613,COUNT(Market_Data!$H$21:$H$613)),1)),""))</f>
        <v/>
      </c>
      <c r="E492" s="145" t="str">
        <f ca="1">IF($A492="","",IFERROR(INDEX(Market_Data!$L$21:$L$613,MATCH($A492,Market_Data!$K$21:INDEX(Market_Data!$K$21:$K$613,COUNT(Market_Data!$K$21:$K$613)),1)),""))</f>
        <v/>
      </c>
      <c r="F492" s="145" t="str">
        <f ca="1">IF($A492="","",IFERROR(INDEX(Market_Data!$O$21:$O$613,MATCH($A492,Market_Data!$N$21:INDEX(Market_Data!$N$21:$N$613,COUNT(Market_Data!$N$21:$N$613)),1)),""))</f>
        <v/>
      </c>
      <c r="G492" s="145" t="str">
        <f ca="1">IF($A492="","",IFERROR(INDEX(Market_Data!$R$21:$R$613,MATCH($A492,Market_Data!$Q$21:INDEX(Market_Data!$Q$21:$Q$613,COUNT(Market_Data!$Q$21:$Q$613)),1)),""))</f>
        <v/>
      </c>
      <c r="H492" s="145" t="str">
        <f ca="1">IF($A492="","",IFERROR(INDEX(Market_Data!$U$21:$U$613,MATCH($A492,Market_Data!$T$21:INDEX(Market_Data!$T$21:$T$613,COUNT(Market_Data!$T$21:$T$613)),1)),""))</f>
        <v/>
      </c>
      <c r="I492" s="146" t="str">
        <f ca="1">IF($A492="","",IFERROR(INDEX(Query1[Close],MATCH($A492,Query1[Date],1)),""))</f>
        <v/>
      </c>
    </row>
    <row r="493" spans="1:9" x14ac:dyDescent="0.3">
      <c r="A493" s="144" t="str">
        <f t="shared" ca="1" si="9"/>
        <v/>
      </c>
      <c r="B493" s="145" t="str">
        <f ca="1">IF($A493="","",IFERROR(INDEX(Market_Data!$C$21:$C$613,MATCH($A493,Market_Data!$B$21:INDEX(Market_Data!$B$21:$B$613,COUNT(Market_Data!$B$21:$B$613)),1)),""))</f>
        <v/>
      </c>
      <c r="C493" s="145" t="str">
        <f ca="1">IF($A493="","",IFERROR(INDEX(Market_Data!$F$21:$F$613,MATCH($A493,Market_Data!$E$21:INDEX(Market_Data!$E$21:$E$613,COUNT(Market_Data!$E$21:$E$613)),1)),""))</f>
        <v/>
      </c>
      <c r="D493" s="145" t="str">
        <f ca="1">IF($A493="","",IFERROR(INDEX(Market_Data!$I$21:$I$613,MATCH($A493,Market_Data!$H$21:INDEX(Market_Data!$H$21:$H$613,COUNT(Market_Data!$H$21:$H$613)),1)),""))</f>
        <v/>
      </c>
      <c r="E493" s="145" t="str">
        <f ca="1">IF($A493="","",IFERROR(INDEX(Market_Data!$L$21:$L$613,MATCH($A493,Market_Data!$K$21:INDEX(Market_Data!$K$21:$K$613,COUNT(Market_Data!$K$21:$K$613)),1)),""))</f>
        <v/>
      </c>
      <c r="F493" s="145" t="str">
        <f ca="1">IF($A493="","",IFERROR(INDEX(Market_Data!$O$21:$O$613,MATCH($A493,Market_Data!$N$21:INDEX(Market_Data!$N$21:$N$613,COUNT(Market_Data!$N$21:$N$613)),1)),""))</f>
        <v/>
      </c>
      <c r="G493" s="145" t="str">
        <f ca="1">IF($A493="","",IFERROR(INDEX(Market_Data!$R$21:$R$613,MATCH($A493,Market_Data!$Q$21:INDEX(Market_Data!$Q$21:$Q$613,COUNT(Market_Data!$Q$21:$Q$613)),1)),""))</f>
        <v/>
      </c>
      <c r="H493" s="145" t="str">
        <f ca="1">IF($A493="","",IFERROR(INDEX(Market_Data!$U$21:$U$613,MATCH($A493,Market_Data!$T$21:INDEX(Market_Data!$T$21:$T$613,COUNT(Market_Data!$T$21:$T$613)),1)),""))</f>
        <v/>
      </c>
      <c r="I493" s="146" t="str">
        <f ca="1">IF($A493="","",IFERROR(INDEX(Query1[Close],MATCH($A493,Query1[Date],1)),""))</f>
        <v/>
      </c>
    </row>
    <row r="494" spans="1:9" x14ac:dyDescent="0.3">
      <c r="A494" s="144" t="str">
        <f t="shared" ca="1" si="9"/>
        <v/>
      </c>
      <c r="B494" s="145" t="str">
        <f ca="1">IF($A494="","",IFERROR(INDEX(Market_Data!$C$21:$C$613,MATCH($A494,Market_Data!$B$21:INDEX(Market_Data!$B$21:$B$613,COUNT(Market_Data!$B$21:$B$613)),1)),""))</f>
        <v/>
      </c>
      <c r="C494" s="145" t="str">
        <f ca="1">IF($A494="","",IFERROR(INDEX(Market_Data!$F$21:$F$613,MATCH($A494,Market_Data!$E$21:INDEX(Market_Data!$E$21:$E$613,COUNT(Market_Data!$E$21:$E$613)),1)),""))</f>
        <v/>
      </c>
      <c r="D494" s="145" t="str">
        <f ca="1">IF($A494="","",IFERROR(INDEX(Market_Data!$I$21:$I$613,MATCH($A494,Market_Data!$H$21:INDEX(Market_Data!$H$21:$H$613,COUNT(Market_Data!$H$21:$H$613)),1)),""))</f>
        <v/>
      </c>
      <c r="E494" s="145" t="str">
        <f ca="1">IF($A494="","",IFERROR(INDEX(Market_Data!$L$21:$L$613,MATCH($A494,Market_Data!$K$21:INDEX(Market_Data!$K$21:$K$613,COUNT(Market_Data!$K$21:$K$613)),1)),""))</f>
        <v/>
      </c>
      <c r="F494" s="145" t="str">
        <f ca="1">IF($A494="","",IFERROR(INDEX(Market_Data!$O$21:$O$613,MATCH($A494,Market_Data!$N$21:INDEX(Market_Data!$N$21:$N$613,COUNT(Market_Data!$N$21:$N$613)),1)),""))</f>
        <v/>
      </c>
      <c r="G494" s="145" t="str">
        <f ca="1">IF($A494="","",IFERROR(INDEX(Market_Data!$R$21:$R$613,MATCH($A494,Market_Data!$Q$21:INDEX(Market_Data!$Q$21:$Q$613,COUNT(Market_Data!$Q$21:$Q$613)),1)),""))</f>
        <v/>
      </c>
      <c r="H494" s="145" t="str">
        <f ca="1">IF($A494="","",IFERROR(INDEX(Market_Data!$U$21:$U$613,MATCH($A494,Market_Data!$T$21:INDEX(Market_Data!$T$21:$T$613,COUNT(Market_Data!$T$21:$T$613)),1)),""))</f>
        <v/>
      </c>
      <c r="I494" s="146" t="str">
        <f ca="1">IF($A494="","",IFERROR(INDEX(Query1[Close],MATCH($A494,Query1[Date],1)),""))</f>
        <v/>
      </c>
    </row>
    <row r="495" spans="1:9" x14ac:dyDescent="0.3">
      <c r="A495" s="144" t="str">
        <f t="shared" ca="1" si="9"/>
        <v/>
      </c>
      <c r="B495" s="145" t="str">
        <f ca="1">IF($A495="","",IFERROR(INDEX(Market_Data!$C$21:$C$613,MATCH($A495,Market_Data!$B$21:INDEX(Market_Data!$B$21:$B$613,COUNT(Market_Data!$B$21:$B$613)),1)),""))</f>
        <v/>
      </c>
      <c r="C495" s="145" t="str">
        <f ca="1">IF($A495="","",IFERROR(INDEX(Market_Data!$F$21:$F$613,MATCH($A495,Market_Data!$E$21:INDEX(Market_Data!$E$21:$E$613,COUNT(Market_Data!$E$21:$E$613)),1)),""))</f>
        <v/>
      </c>
      <c r="D495" s="145" t="str">
        <f ca="1">IF($A495="","",IFERROR(INDEX(Market_Data!$I$21:$I$613,MATCH($A495,Market_Data!$H$21:INDEX(Market_Data!$H$21:$H$613,COUNT(Market_Data!$H$21:$H$613)),1)),""))</f>
        <v/>
      </c>
      <c r="E495" s="145" t="str">
        <f ca="1">IF($A495="","",IFERROR(INDEX(Market_Data!$L$21:$L$613,MATCH($A495,Market_Data!$K$21:INDEX(Market_Data!$K$21:$K$613,COUNT(Market_Data!$K$21:$K$613)),1)),""))</f>
        <v/>
      </c>
      <c r="F495" s="145" t="str">
        <f ca="1">IF($A495="","",IFERROR(INDEX(Market_Data!$O$21:$O$613,MATCH($A495,Market_Data!$N$21:INDEX(Market_Data!$N$21:$N$613,COUNT(Market_Data!$N$21:$N$613)),1)),""))</f>
        <v/>
      </c>
      <c r="G495" s="145" t="str">
        <f ca="1">IF($A495="","",IFERROR(INDEX(Market_Data!$R$21:$R$613,MATCH($A495,Market_Data!$Q$21:INDEX(Market_Data!$Q$21:$Q$613,COUNT(Market_Data!$Q$21:$Q$613)),1)),""))</f>
        <v/>
      </c>
      <c r="H495" s="145" t="str">
        <f ca="1">IF($A495="","",IFERROR(INDEX(Market_Data!$U$21:$U$613,MATCH($A495,Market_Data!$T$21:INDEX(Market_Data!$T$21:$T$613,COUNT(Market_Data!$T$21:$T$613)),1)),""))</f>
        <v/>
      </c>
      <c r="I495" s="146" t="str">
        <f ca="1">IF($A495="","",IFERROR(INDEX(Query1[Close],MATCH($A495,Query1[Date],1)),""))</f>
        <v/>
      </c>
    </row>
    <row r="496" spans="1:9" x14ac:dyDescent="0.3">
      <c r="A496" s="144" t="str">
        <f t="shared" ca="1" si="9"/>
        <v/>
      </c>
      <c r="B496" s="145" t="str">
        <f ca="1">IF($A496="","",IFERROR(INDEX(Market_Data!$C$21:$C$613,MATCH($A496,Market_Data!$B$21:INDEX(Market_Data!$B$21:$B$613,COUNT(Market_Data!$B$21:$B$613)),1)),""))</f>
        <v/>
      </c>
      <c r="C496" s="145" t="str">
        <f ca="1">IF($A496="","",IFERROR(INDEX(Market_Data!$F$21:$F$613,MATCH($A496,Market_Data!$E$21:INDEX(Market_Data!$E$21:$E$613,COUNT(Market_Data!$E$21:$E$613)),1)),""))</f>
        <v/>
      </c>
      <c r="D496" s="145" t="str">
        <f ca="1">IF($A496="","",IFERROR(INDEX(Market_Data!$I$21:$I$613,MATCH($A496,Market_Data!$H$21:INDEX(Market_Data!$H$21:$H$613,COUNT(Market_Data!$H$21:$H$613)),1)),""))</f>
        <v/>
      </c>
      <c r="E496" s="145" t="str">
        <f ca="1">IF($A496="","",IFERROR(INDEX(Market_Data!$L$21:$L$613,MATCH($A496,Market_Data!$K$21:INDEX(Market_Data!$K$21:$K$613,COUNT(Market_Data!$K$21:$K$613)),1)),""))</f>
        <v/>
      </c>
      <c r="F496" s="145" t="str">
        <f ca="1">IF($A496="","",IFERROR(INDEX(Market_Data!$O$21:$O$613,MATCH($A496,Market_Data!$N$21:INDEX(Market_Data!$N$21:$N$613,COUNT(Market_Data!$N$21:$N$613)),1)),""))</f>
        <v/>
      </c>
      <c r="G496" s="145" t="str">
        <f ca="1">IF($A496="","",IFERROR(INDEX(Market_Data!$R$21:$R$613,MATCH($A496,Market_Data!$Q$21:INDEX(Market_Data!$Q$21:$Q$613,COUNT(Market_Data!$Q$21:$Q$613)),1)),""))</f>
        <v/>
      </c>
      <c r="H496" s="145" t="str">
        <f ca="1">IF($A496="","",IFERROR(INDEX(Market_Data!$U$21:$U$613,MATCH($A496,Market_Data!$T$21:INDEX(Market_Data!$T$21:$T$613,COUNT(Market_Data!$T$21:$T$613)),1)),""))</f>
        <v/>
      </c>
      <c r="I496" s="146" t="str">
        <f ca="1">IF($A496="","",IFERROR(INDEX(Query1[Close],MATCH($A496,Query1[Date],1)),""))</f>
        <v/>
      </c>
    </row>
    <row r="497" spans="1:9" x14ac:dyDescent="0.3">
      <c r="A497" s="144" t="str">
        <f t="shared" ca="1" si="9"/>
        <v/>
      </c>
      <c r="B497" s="145" t="str">
        <f ca="1">IF($A497="","",IFERROR(INDEX(Market_Data!$C$21:$C$613,MATCH($A497,Market_Data!$B$21:INDEX(Market_Data!$B$21:$B$613,COUNT(Market_Data!$B$21:$B$613)),1)),""))</f>
        <v/>
      </c>
      <c r="C497" s="145" t="str">
        <f ca="1">IF($A497="","",IFERROR(INDEX(Market_Data!$F$21:$F$613,MATCH($A497,Market_Data!$E$21:INDEX(Market_Data!$E$21:$E$613,COUNT(Market_Data!$E$21:$E$613)),1)),""))</f>
        <v/>
      </c>
      <c r="D497" s="145" t="str">
        <f ca="1">IF($A497="","",IFERROR(INDEX(Market_Data!$I$21:$I$613,MATCH($A497,Market_Data!$H$21:INDEX(Market_Data!$H$21:$H$613,COUNT(Market_Data!$H$21:$H$613)),1)),""))</f>
        <v/>
      </c>
      <c r="E497" s="145" t="str">
        <f ca="1">IF($A497="","",IFERROR(INDEX(Market_Data!$L$21:$L$613,MATCH($A497,Market_Data!$K$21:INDEX(Market_Data!$K$21:$K$613,COUNT(Market_Data!$K$21:$K$613)),1)),""))</f>
        <v/>
      </c>
      <c r="F497" s="145" t="str">
        <f ca="1">IF($A497="","",IFERROR(INDEX(Market_Data!$O$21:$O$613,MATCH($A497,Market_Data!$N$21:INDEX(Market_Data!$N$21:$N$613,COUNT(Market_Data!$N$21:$N$613)),1)),""))</f>
        <v/>
      </c>
      <c r="G497" s="145" t="str">
        <f ca="1">IF($A497="","",IFERROR(INDEX(Market_Data!$R$21:$R$613,MATCH($A497,Market_Data!$Q$21:INDEX(Market_Data!$Q$21:$Q$613,COUNT(Market_Data!$Q$21:$Q$613)),1)),""))</f>
        <v/>
      </c>
      <c r="H497" s="145" t="str">
        <f ca="1">IF($A497="","",IFERROR(INDEX(Market_Data!$U$21:$U$613,MATCH($A497,Market_Data!$T$21:INDEX(Market_Data!$T$21:$T$613,COUNT(Market_Data!$T$21:$T$613)),1)),""))</f>
        <v/>
      </c>
      <c r="I497" s="146" t="str">
        <f ca="1">IF($A497="","",IFERROR(INDEX(Query1[Close],MATCH($A497,Query1[Date],1)),""))</f>
        <v/>
      </c>
    </row>
    <row r="498" spans="1:9" x14ac:dyDescent="0.3">
      <c r="A498" s="144" t="str">
        <f t="shared" ca="1" si="9"/>
        <v/>
      </c>
      <c r="B498" s="145" t="str">
        <f ca="1">IF($A498="","",IFERROR(INDEX(Market_Data!$C$21:$C$613,MATCH($A498,Market_Data!$B$21:INDEX(Market_Data!$B$21:$B$613,COUNT(Market_Data!$B$21:$B$613)),1)),""))</f>
        <v/>
      </c>
      <c r="C498" s="145" t="str">
        <f ca="1">IF($A498="","",IFERROR(INDEX(Market_Data!$F$21:$F$613,MATCH($A498,Market_Data!$E$21:INDEX(Market_Data!$E$21:$E$613,COUNT(Market_Data!$E$21:$E$613)),1)),""))</f>
        <v/>
      </c>
      <c r="D498" s="145" t="str">
        <f ca="1">IF($A498="","",IFERROR(INDEX(Market_Data!$I$21:$I$613,MATCH($A498,Market_Data!$H$21:INDEX(Market_Data!$H$21:$H$613,COUNT(Market_Data!$H$21:$H$613)),1)),""))</f>
        <v/>
      </c>
      <c r="E498" s="145" t="str">
        <f ca="1">IF($A498="","",IFERROR(INDEX(Market_Data!$L$21:$L$613,MATCH($A498,Market_Data!$K$21:INDEX(Market_Data!$K$21:$K$613,COUNT(Market_Data!$K$21:$K$613)),1)),""))</f>
        <v/>
      </c>
      <c r="F498" s="145" t="str">
        <f ca="1">IF($A498="","",IFERROR(INDEX(Market_Data!$O$21:$O$613,MATCH($A498,Market_Data!$N$21:INDEX(Market_Data!$N$21:$N$613,COUNT(Market_Data!$N$21:$N$613)),1)),""))</f>
        <v/>
      </c>
      <c r="G498" s="145" t="str">
        <f ca="1">IF($A498="","",IFERROR(INDEX(Market_Data!$R$21:$R$613,MATCH($A498,Market_Data!$Q$21:INDEX(Market_Data!$Q$21:$Q$613,COUNT(Market_Data!$Q$21:$Q$613)),1)),""))</f>
        <v/>
      </c>
      <c r="H498" s="145" t="str">
        <f ca="1">IF($A498="","",IFERROR(INDEX(Market_Data!$U$21:$U$613,MATCH($A498,Market_Data!$T$21:INDEX(Market_Data!$T$21:$T$613,COUNT(Market_Data!$T$21:$T$613)),1)),""))</f>
        <v/>
      </c>
      <c r="I498" s="146" t="str">
        <f ca="1">IF($A498="","",IFERROR(INDEX(Query1[Close],MATCH($A498,Query1[Date],1)),""))</f>
        <v/>
      </c>
    </row>
    <row r="499" spans="1:9" x14ac:dyDescent="0.3">
      <c r="A499" s="144" t="str">
        <f t="shared" ca="1" si="9"/>
        <v/>
      </c>
      <c r="B499" s="145" t="str">
        <f ca="1">IF($A499="","",IFERROR(INDEX(Market_Data!$C$21:$C$613,MATCH($A499,Market_Data!$B$21:INDEX(Market_Data!$B$21:$B$613,COUNT(Market_Data!$B$21:$B$613)),1)),""))</f>
        <v/>
      </c>
      <c r="C499" s="145" t="str">
        <f ca="1">IF($A499="","",IFERROR(INDEX(Market_Data!$F$21:$F$613,MATCH($A499,Market_Data!$E$21:INDEX(Market_Data!$E$21:$E$613,COUNT(Market_Data!$E$21:$E$613)),1)),""))</f>
        <v/>
      </c>
      <c r="D499" s="145" t="str">
        <f ca="1">IF($A499="","",IFERROR(INDEX(Market_Data!$I$21:$I$613,MATCH($A499,Market_Data!$H$21:INDEX(Market_Data!$H$21:$H$613,COUNT(Market_Data!$H$21:$H$613)),1)),""))</f>
        <v/>
      </c>
      <c r="E499" s="145" t="str">
        <f ca="1">IF($A499="","",IFERROR(INDEX(Market_Data!$L$21:$L$613,MATCH($A499,Market_Data!$K$21:INDEX(Market_Data!$K$21:$K$613,COUNT(Market_Data!$K$21:$K$613)),1)),""))</f>
        <v/>
      </c>
      <c r="F499" s="145" t="str">
        <f ca="1">IF($A499="","",IFERROR(INDEX(Market_Data!$O$21:$O$613,MATCH($A499,Market_Data!$N$21:INDEX(Market_Data!$N$21:$N$613,COUNT(Market_Data!$N$21:$N$613)),1)),""))</f>
        <v/>
      </c>
      <c r="G499" s="145" t="str">
        <f ca="1">IF($A499="","",IFERROR(INDEX(Market_Data!$R$21:$R$613,MATCH($A499,Market_Data!$Q$21:INDEX(Market_Data!$Q$21:$Q$613,COUNT(Market_Data!$Q$21:$Q$613)),1)),""))</f>
        <v/>
      </c>
      <c r="H499" s="145" t="str">
        <f ca="1">IF($A499="","",IFERROR(INDEX(Market_Data!$U$21:$U$613,MATCH($A499,Market_Data!$T$21:INDEX(Market_Data!$T$21:$T$613,COUNT(Market_Data!$T$21:$T$613)),1)),""))</f>
        <v/>
      </c>
      <c r="I499" s="146" t="str">
        <f ca="1">IF($A499="","",IFERROR(INDEX(Query1[Close],MATCH($A499,Query1[Date],1)),""))</f>
        <v/>
      </c>
    </row>
    <row r="500" spans="1:9" x14ac:dyDescent="0.3">
      <c r="A500" s="144" t="str">
        <f t="shared" ca="1" si="9"/>
        <v/>
      </c>
      <c r="B500" s="145" t="str">
        <f ca="1">IF($A500="","",IFERROR(INDEX(Market_Data!$C$21:$C$613,MATCH($A500,Market_Data!$B$21:INDEX(Market_Data!$B$21:$B$613,COUNT(Market_Data!$B$21:$B$613)),1)),""))</f>
        <v/>
      </c>
      <c r="C500" s="145" t="str">
        <f ca="1">IF($A500="","",IFERROR(INDEX(Market_Data!$F$21:$F$613,MATCH($A500,Market_Data!$E$21:INDEX(Market_Data!$E$21:$E$613,COUNT(Market_Data!$E$21:$E$613)),1)),""))</f>
        <v/>
      </c>
      <c r="D500" s="145" t="str">
        <f ca="1">IF($A500="","",IFERROR(INDEX(Market_Data!$I$21:$I$613,MATCH($A500,Market_Data!$H$21:INDEX(Market_Data!$H$21:$H$613,COUNT(Market_Data!$H$21:$H$613)),1)),""))</f>
        <v/>
      </c>
      <c r="E500" s="145" t="str">
        <f ca="1">IF($A500="","",IFERROR(INDEX(Market_Data!$L$21:$L$613,MATCH($A500,Market_Data!$K$21:INDEX(Market_Data!$K$21:$K$613,COUNT(Market_Data!$K$21:$K$613)),1)),""))</f>
        <v/>
      </c>
      <c r="F500" s="145" t="str">
        <f ca="1">IF($A500="","",IFERROR(INDEX(Market_Data!$O$21:$O$613,MATCH($A500,Market_Data!$N$21:INDEX(Market_Data!$N$21:$N$613,COUNT(Market_Data!$N$21:$N$613)),1)),""))</f>
        <v/>
      </c>
      <c r="G500" s="145" t="str">
        <f ca="1">IF($A500="","",IFERROR(INDEX(Market_Data!$R$21:$R$613,MATCH($A500,Market_Data!$Q$21:INDEX(Market_Data!$Q$21:$Q$613,COUNT(Market_Data!$Q$21:$Q$613)),1)),""))</f>
        <v/>
      </c>
      <c r="H500" s="145" t="str">
        <f ca="1">IF($A500="","",IFERROR(INDEX(Market_Data!$U$21:$U$613,MATCH($A500,Market_Data!$T$21:INDEX(Market_Data!$T$21:$T$613,COUNT(Market_Data!$T$21:$T$613)),1)),""))</f>
        <v/>
      </c>
      <c r="I500" s="146" t="str">
        <f ca="1">IF($A500="","",IFERROR(INDEX(Query1[Close],MATCH($A500,Query1[Date],1)),""))</f>
        <v/>
      </c>
    </row>
    <row r="501" spans="1:9" x14ac:dyDescent="0.3">
      <c r="A501" s="144" t="str">
        <f t="shared" ca="1" si="9"/>
        <v/>
      </c>
      <c r="B501" s="145" t="str">
        <f ca="1">IF($A501="","",IFERROR(INDEX(Market_Data!$C$21:$C$613,MATCH($A501,Market_Data!$B$21:INDEX(Market_Data!$B$21:$B$613,COUNT(Market_Data!$B$21:$B$613)),1)),""))</f>
        <v/>
      </c>
      <c r="C501" s="145" t="str">
        <f ca="1">IF($A501="","",IFERROR(INDEX(Market_Data!$F$21:$F$613,MATCH($A501,Market_Data!$E$21:INDEX(Market_Data!$E$21:$E$613,COUNT(Market_Data!$E$21:$E$613)),1)),""))</f>
        <v/>
      </c>
      <c r="D501" s="145" t="str">
        <f ca="1">IF($A501="","",IFERROR(INDEX(Market_Data!$I$21:$I$613,MATCH($A501,Market_Data!$H$21:INDEX(Market_Data!$H$21:$H$613,COUNT(Market_Data!$H$21:$H$613)),1)),""))</f>
        <v/>
      </c>
      <c r="E501" s="145" t="str">
        <f ca="1">IF($A501="","",IFERROR(INDEX(Market_Data!$L$21:$L$613,MATCH($A501,Market_Data!$K$21:INDEX(Market_Data!$K$21:$K$613,COUNT(Market_Data!$K$21:$K$613)),1)),""))</f>
        <v/>
      </c>
      <c r="F501" s="145" t="str">
        <f ca="1">IF($A501="","",IFERROR(INDEX(Market_Data!$O$21:$O$613,MATCH($A501,Market_Data!$N$21:INDEX(Market_Data!$N$21:$N$613,COUNT(Market_Data!$N$21:$N$613)),1)),""))</f>
        <v/>
      </c>
      <c r="G501" s="145" t="str">
        <f ca="1">IF($A501="","",IFERROR(INDEX(Market_Data!$R$21:$R$613,MATCH($A501,Market_Data!$Q$21:INDEX(Market_Data!$Q$21:$Q$613,COUNT(Market_Data!$Q$21:$Q$613)),1)),""))</f>
        <v/>
      </c>
      <c r="H501" s="145" t="str">
        <f ca="1">IF($A501="","",IFERROR(INDEX(Market_Data!$U$21:$U$613,MATCH($A501,Market_Data!$T$21:INDEX(Market_Data!$T$21:$T$613,COUNT(Market_Data!$T$21:$T$613)),1)),""))</f>
        <v/>
      </c>
      <c r="I501" s="146" t="str">
        <f ca="1">IF($A501="","",IFERROR(INDEX(Query1[Close],MATCH($A501,Query1[Date],1)),""))</f>
        <v/>
      </c>
    </row>
    <row r="502" spans="1:9" x14ac:dyDescent="0.3">
      <c r="A502" s="144" t="str">
        <f t="shared" ca="1" si="9"/>
        <v/>
      </c>
      <c r="B502" s="145" t="str">
        <f ca="1">IF($A502="","",IFERROR(INDEX(Market_Data!$C$21:$C$613,MATCH($A502,Market_Data!$B$21:INDEX(Market_Data!$B$21:$B$613,COUNT(Market_Data!$B$21:$B$613)),1)),""))</f>
        <v/>
      </c>
      <c r="C502" s="145" t="str">
        <f ca="1">IF($A502="","",IFERROR(INDEX(Market_Data!$F$21:$F$613,MATCH($A502,Market_Data!$E$21:INDEX(Market_Data!$E$21:$E$613,COUNT(Market_Data!$E$21:$E$613)),1)),""))</f>
        <v/>
      </c>
      <c r="D502" s="145" t="str">
        <f ca="1">IF($A502="","",IFERROR(INDEX(Market_Data!$I$21:$I$613,MATCH($A502,Market_Data!$H$21:INDEX(Market_Data!$H$21:$H$613,COUNT(Market_Data!$H$21:$H$613)),1)),""))</f>
        <v/>
      </c>
      <c r="E502" s="145" t="str">
        <f ca="1">IF($A502="","",IFERROR(INDEX(Market_Data!$L$21:$L$613,MATCH($A502,Market_Data!$K$21:INDEX(Market_Data!$K$21:$K$613,COUNT(Market_Data!$K$21:$K$613)),1)),""))</f>
        <v/>
      </c>
      <c r="F502" s="145" t="str">
        <f ca="1">IF($A502="","",IFERROR(INDEX(Market_Data!$O$21:$O$613,MATCH($A502,Market_Data!$N$21:INDEX(Market_Data!$N$21:$N$613,COUNT(Market_Data!$N$21:$N$613)),1)),""))</f>
        <v/>
      </c>
      <c r="G502" s="145" t="str">
        <f ca="1">IF($A502="","",IFERROR(INDEX(Market_Data!$R$21:$R$613,MATCH($A502,Market_Data!$Q$21:INDEX(Market_Data!$Q$21:$Q$613,COUNT(Market_Data!$Q$21:$Q$613)),1)),""))</f>
        <v/>
      </c>
      <c r="H502" s="145" t="str">
        <f ca="1">IF($A502="","",IFERROR(INDEX(Market_Data!$U$21:$U$613,MATCH($A502,Market_Data!$T$21:INDEX(Market_Data!$T$21:$T$613,COUNT(Market_Data!$T$21:$T$613)),1)),""))</f>
        <v/>
      </c>
      <c r="I502" s="146" t="str">
        <f ca="1">IF($A502="","",IFERROR(INDEX(Query1[Close],MATCH($A502,Query1[Date],1)),""))</f>
        <v/>
      </c>
    </row>
    <row r="503" spans="1:9" x14ac:dyDescent="0.3">
      <c r="A503" s="144" t="str">
        <f t="shared" ca="1" si="9"/>
        <v/>
      </c>
      <c r="B503" s="145" t="str">
        <f ca="1">IF($A503="","",IFERROR(INDEX(Market_Data!$C$21:$C$613,MATCH($A503,Market_Data!$B$21:INDEX(Market_Data!$B$21:$B$613,COUNT(Market_Data!$B$21:$B$613)),1)),""))</f>
        <v/>
      </c>
      <c r="C503" s="145" t="str">
        <f ca="1">IF($A503="","",IFERROR(INDEX(Market_Data!$F$21:$F$613,MATCH($A503,Market_Data!$E$21:INDEX(Market_Data!$E$21:$E$613,COUNT(Market_Data!$E$21:$E$613)),1)),""))</f>
        <v/>
      </c>
      <c r="D503" s="145" t="str">
        <f ca="1">IF($A503="","",IFERROR(INDEX(Market_Data!$I$21:$I$613,MATCH($A503,Market_Data!$H$21:INDEX(Market_Data!$H$21:$H$613,COUNT(Market_Data!$H$21:$H$613)),1)),""))</f>
        <v/>
      </c>
      <c r="E503" s="145" t="str">
        <f ca="1">IF($A503="","",IFERROR(INDEX(Market_Data!$L$21:$L$613,MATCH($A503,Market_Data!$K$21:INDEX(Market_Data!$K$21:$K$613,COUNT(Market_Data!$K$21:$K$613)),1)),""))</f>
        <v/>
      </c>
      <c r="F503" s="145" t="str">
        <f ca="1">IF($A503="","",IFERROR(INDEX(Market_Data!$O$21:$O$613,MATCH($A503,Market_Data!$N$21:INDEX(Market_Data!$N$21:$N$613,COUNT(Market_Data!$N$21:$N$613)),1)),""))</f>
        <v/>
      </c>
      <c r="G503" s="145" t="str">
        <f ca="1">IF($A503="","",IFERROR(INDEX(Market_Data!$R$21:$R$613,MATCH($A503,Market_Data!$Q$21:INDEX(Market_Data!$Q$21:$Q$613,COUNT(Market_Data!$Q$21:$Q$613)),1)),""))</f>
        <v/>
      </c>
      <c r="H503" s="145" t="str">
        <f ca="1">IF($A503="","",IFERROR(INDEX(Market_Data!$U$21:$U$613,MATCH($A503,Market_Data!$T$21:INDEX(Market_Data!$T$21:$T$613,COUNT(Market_Data!$T$21:$T$613)),1)),""))</f>
        <v/>
      </c>
      <c r="I503" s="146" t="str">
        <f ca="1">IF($A503="","",IFERROR(INDEX(Query1[Close],MATCH($A503,Query1[Date],1)),""))</f>
        <v/>
      </c>
    </row>
    <row r="504" spans="1:9" x14ac:dyDescent="0.3">
      <c r="A504" s="144" t="str">
        <f t="shared" ca="1" si="9"/>
        <v/>
      </c>
      <c r="B504" s="145" t="str">
        <f ca="1">IF($A504="","",IFERROR(INDEX(Market_Data!$C$21:$C$613,MATCH($A504,Market_Data!$B$21:INDEX(Market_Data!$B$21:$B$613,COUNT(Market_Data!$B$21:$B$613)),1)),""))</f>
        <v/>
      </c>
      <c r="C504" s="145" t="str">
        <f ca="1">IF($A504="","",IFERROR(INDEX(Market_Data!$F$21:$F$613,MATCH($A504,Market_Data!$E$21:INDEX(Market_Data!$E$21:$E$613,COUNT(Market_Data!$E$21:$E$613)),1)),""))</f>
        <v/>
      </c>
      <c r="D504" s="145" t="str">
        <f ca="1">IF($A504="","",IFERROR(INDEX(Market_Data!$I$21:$I$613,MATCH($A504,Market_Data!$H$21:INDEX(Market_Data!$H$21:$H$613,COUNT(Market_Data!$H$21:$H$613)),1)),""))</f>
        <v/>
      </c>
      <c r="E504" s="145" t="str">
        <f ca="1">IF($A504="","",IFERROR(INDEX(Market_Data!$L$21:$L$613,MATCH($A504,Market_Data!$K$21:INDEX(Market_Data!$K$21:$K$613,COUNT(Market_Data!$K$21:$K$613)),1)),""))</f>
        <v/>
      </c>
      <c r="F504" s="145" t="str">
        <f ca="1">IF($A504="","",IFERROR(INDEX(Market_Data!$O$21:$O$613,MATCH($A504,Market_Data!$N$21:INDEX(Market_Data!$N$21:$N$613,COUNT(Market_Data!$N$21:$N$613)),1)),""))</f>
        <v/>
      </c>
      <c r="G504" s="145" t="str">
        <f ca="1">IF($A504="","",IFERROR(INDEX(Market_Data!$R$21:$R$613,MATCH($A504,Market_Data!$Q$21:INDEX(Market_Data!$Q$21:$Q$613,COUNT(Market_Data!$Q$21:$Q$613)),1)),""))</f>
        <v/>
      </c>
      <c r="H504" s="145" t="str">
        <f ca="1">IF($A504="","",IFERROR(INDEX(Market_Data!$U$21:$U$613,MATCH($A504,Market_Data!$T$21:INDEX(Market_Data!$T$21:$T$613,COUNT(Market_Data!$T$21:$T$613)),1)),""))</f>
        <v/>
      </c>
      <c r="I504" s="146" t="str">
        <f ca="1">IF($A504="","",IFERROR(INDEX(Query1[Close],MATCH($A504,Query1[Date],1)),""))</f>
        <v/>
      </c>
    </row>
    <row r="505" spans="1:9" x14ac:dyDescent="0.3">
      <c r="A505" s="144" t="str">
        <f t="shared" ca="1" si="9"/>
        <v/>
      </c>
      <c r="B505" s="145" t="str">
        <f ca="1">IF($A505="","",IFERROR(INDEX(Market_Data!$C$21:$C$613,MATCH($A505,Market_Data!$B$21:INDEX(Market_Data!$B$21:$B$613,COUNT(Market_Data!$B$21:$B$613)),1)),""))</f>
        <v/>
      </c>
      <c r="C505" s="145" t="str">
        <f ca="1">IF($A505="","",IFERROR(INDEX(Market_Data!$F$21:$F$613,MATCH($A505,Market_Data!$E$21:INDEX(Market_Data!$E$21:$E$613,COUNT(Market_Data!$E$21:$E$613)),1)),""))</f>
        <v/>
      </c>
      <c r="D505" s="145" t="str">
        <f ca="1">IF($A505="","",IFERROR(INDEX(Market_Data!$I$21:$I$613,MATCH($A505,Market_Data!$H$21:INDEX(Market_Data!$H$21:$H$613,COUNT(Market_Data!$H$21:$H$613)),1)),""))</f>
        <v/>
      </c>
      <c r="E505" s="145" t="str">
        <f ca="1">IF($A505="","",IFERROR(INDEX(Market_Data!$L$21:$L$613,MATCH($A505,Market_Data!$K$21:INDEX(Market_Data!$K$21:$K$613,COUNT(Market_Data!$K$21:$K$613)),1)),""))</f>
        <v/>
      </c>
      <c r="F505" s="145" t="str">
        <f ca="1">IF($A505="","",IFERROR(INDEX(Market_Data!$O$21:$O$613,MATCH($A505,Market_Data!$N$21:INDEX(Market_Data!$N$21:$N$613,COUNT(Market_Data!$N$21:$N$613)),1)),""))</f>
        <v/>
      </c>
      <c r="G505" s="145" t="str">
        <f ca="1">IF($A505="","",IFERROR(INDEX(Market_Data!$R$21:$R$613,MATCH($A505,Market_Data!$Q$21:INDEX(Market_Data!$Q$21:$Q$613,COUNT(Market_Data!$Q$21:$Q$613)),1)),""))</f>
        <v/>
      </c>
      <c r="H505" s="145" t="str">
        <f ca="1">IF($A505="","",IFERROR(INDEX(Market_Data!$U$21:$U$613,MATCH($A505,Market_Data!$T$21:INDEX(Market_Data!$T$21:$T$613,COUNT(Market_Data!$T$21:$T$613)),1)),""))</f>
        <v/>
      </c>
      <c r="I505" s="146" t="str">
        <f ca="1">IF($A505="","",IFERROR(INDEX(Query1[Close],MATCH($A505,Query1[Date],1)),""))</f>
        <v/>
      </c>
    </row>
    <row r="506" spans="1:9" x14ac:dyDescent="0.3">
      <c r="A506" s="144" t="str">
        <f t="shared" ca="1" si="9"/>
        <v/>
      </c>
      <c r="B506" s="145" t="str">
        <f ca="1">IF($A506="","",IFERROR(INDEX(Market_Data!$C$21:$C$613,MATCH($A506,Market_Data!$B$21:INDEX(Market_Data!$B$21:$B$613,COUNT(Market_Data!$B$21:$B$613)),1)),""))</f>
        <v/>
      </c>
      <c r="C506" s="145" t="str">
        <f ca="1">IF($A506="","",IFERROR(INDEX(Market_Data!$F$21:$F$613,MATCH($A506,Market_Data!$E$21:INDEX(Market_Data!$E$21:$E$613,COUNT(Market_Data!$E$21:$E$613)),1)),""))</f>
        <v/>
      </c>
      <c r="D506" s="145" t="str">
        <f ca="1">IF($A506="","",IFERROR(INDEX(Market_Data!$I$21:$I$613,MATCH($A506,Market_Data!$H$21:INDEX(Market_Data!$H$21:$H$613,COUNT(Market_Data!$H$21:$H$613)),1)),""))</f>
        <v/>
      </c>
      <c r="E506" s="145" t="str">
        <f ca="1">IF($A506="","",IFERROR(INDEX(Market_Data!$L$21:$L$613,MATCH($A506,Market_Data!$K$21:INDEX(Market_Data!$K$21:$K$613,COUNT(Market_Data!$K$21:$K$613)),1)),""))</f>
        <v/>
      </c>
      <c r="F506" s="145" t="str">
        <f ca="1">IF($A506="","",IFERROR(INDEX(Market_Data!$O$21:$O$613,MATCH($A506,Market_Data!$N$21:INDEX(Market_Data!$N$21:$N$613,COUNT(Market_Data!$N$21:$N$613)),1)),""))</f>
        <v/>
      </c>
      <c r="G506" s="145" t="str">
        <f ca="1">IF($A506="","",IFERROR(INDEX(Market_Data!$R$21:$R$613,MATCH($A506,Market_Data!$Q$21:INDEX(Market_Data!$Q$21:$Q$613,COUNT(Market_Data!$Q$21:$Q$613)),1)),""))</f>
        <v/>
      </c>
      <c r="H506" s="145" t="str">
        <f ca="1">IF($A506="","",IFERROR(INDEX(Market_Data!$U$21:$U$613,MATCH($A506,Market_Data!$T$21:INDEX(Market_Data!$T$21:$T$613,COUNT(Market_Data!$T$21:$T$613)),1)),""))</f>
        <v/>
      </c>
      <c r="I506" s="146" t="str">
        <f ca="1">IF($A506="","",IFERROR(INDEX(Query1[Close],MATCH($A506,Query1[Date],1)),""))</f>
        <v/>
      </c>
    </row>
    <row r="507" spans="1:9" x14ac:dyDescent="0.3">
      <c r="A507" s="144" t="str">
        <f t="shared" ca="1" si="9"/>
        <v/>
      </c>
      <c r="B507" s="145" t="str">
        <f ca="1">IF($A507="","",IFERROR(INDEX(Market_Data!$C$21:$C$613,MATCH($A507,Market_Data!$B$21:INDEX(Market_Data!$B$21:$B$613,COUNT(Market_Data!$B$21:$B$613)),1)),""))</f>
        <v/>
      </c>
      <c r="C507" s="145" t="str">
        <f ca="1">IF($A507="","",IFERROR(INDEX(Market_Data!$F$21:$F$613,MATCH($A507,Market_Data!$E$21:INDEX(Market_Data!$E$21:$E$613,COUNT(Market_Data!$E$21:$E$613)),1)),""))</f>
        <v/>
      </c>
      <c r="D507" s="145" t="str">
        <f ca="1">IF($A507="","",IFERROR(INDEX(Market_Data!$I$21:$I$613,MATCH($A507,Market_Data!$H$21:INDEX(Market_Data!$H$21:$H$613,COUNT(Market_Data!$H$21:$H$613)),1)),""))</f>
        <v/>
      </c>
      <c r="E507" s="145" t="str">
        <f ca="1">IF($A507="","",IFERROR(INDEX(Market_Data!$L$21:$L$613,MATCH($A507,Market_Data!$K$21:INDEX(Market_Data!$K$21:$K$613,COUNT(Market_Data!$K$21:$K$613)),1)),""))</f>
        <v/>
      </c>
      <c r="F507" s="145" t="str">
        <f ca="1">IF($A507="","",IFERROR(INDEX(Market_Data!$O$21:$O$613,MATCH($A507,Market_Data!$N$21:INDEX(Market_Data!$N$21:$N$613,COUNT(Market_Data!$N$21:$N$613)),1)),""))</f>
        <v/>
      </c>
      <c r="G507" s="145" t="str">
        <f ca="1">IF($A507="","",IFERROR(INDEX(Market_Data!$R$21:$R$613,MATCH($A507,Market_Data!$Q$21:INDEX(Market_Data!$Q$21:$Q$613,COUNT(Market_Data!$Q$21:$Q$613)),1)),""))</f>
        <v/>
      </c>
      <c r="H507" s="145" t="str">
        <f ca="1">IF($A507="","",IFERROR(INDEX(Market_Data!$U$21:$U$613,MATCH($A507,Market_Data!$T$21:INDEX(Market_Data!$T$21:$T$613,COUNT(Market_Data!$T$21:$T$613)),1)),""))</f>
        <v/>
      </c>
      <c r="I507" s="146" t="str">
        <f ca="1">IF($A507="","",IFERROR(INDEX(Query1[Close],MATCH($A507,Query1[Date],1)),""))</f>
        <v/>
      </c>
    </row>
    <row r="508" spans="1:9" x14ac:dyDescent="0.3">
      <c r="A508" s="144" t="str">
        <f t="shared" ca="1" si="9"/>
        <v/>
      </c>
      <c r="B508" s="145" t="str">
        <f ca="1">IF($A508="","",IFERROR(INDEX(Market_Data!$C$21:$C$613,MATCH($A508,Market_Data!$B$21:INDEX(Market_Data!$B$21:$B$613,COUNT(Market_Data!$B$21:$B$613)),1)),""))</f>
        <v/>
      </c>
      <c r="C508" s="145" t="str">
        <f ca="1">IF($A508="","",IFERROR(INDEX(Market_Data!$F$21:$F$613,MATCH($A508,Market_Data!$E$21:INDEX(Market_Data!$E$21:$E$613,COUNT(Market_Data!$E$21:$E$613)),1)),""))</f>
        <v/>
      </c>
      <c r="D508" s="145" t="str">
        <f ca="1">IF($A508="","",IFERROR(INDEX(Market_Data!$I$21:$I$613,MATCH($A508,Market_Data!$H$21:INDEX(Market_Data!$H$21:$H$613,COUNT(Market_Data!$H$21:$H$613)),1)),""))</f>
        <v/>
      </c>
      <c r="E508" s="145" t="str">
        <f ca="1">IF($A508="","",IFERROR(INDEX(Market_Data!$L$21:$L$613,MATCH($A508,Market_Data!$K$21:INDEX(Market_Data!$K$21:$K$613,COUNT(Market_Data!$K$21:$K$613)),1)),""))</f>
        <v/>
      </c>
      <c r="F508" s="145" t="str">
        <f ca="1">IF($A508="","",IFERROR(INDEX(Market_Data!$O$21:$O$613,MATCH($A508,Market_Data!$N$21:INDEX(Market_Data!$N$21:$N$613,COUNT(Market_Data!$N$21:$N$613)),1)),""))</f>
        <v/>
      </c>
      <c r="G508" s="145" t="str">
        <f ca="1">IF($A508="","",IFERROR(INDEX(Market_Data!$R$21:$R$613,MATCH($A508,Market_Data!$Q$21:INDEX(Market_Data!$Q$21:$Q$613,COUNT(Market_Data!$Q$21:$Q$613)),1)),""))</f>
        <v/>
      </c>
      <c r="H508" s="145" t="str">
        <f ca="1">IF($A508="","",IFERROR(INDEX(Market_Data!$U$21:$U$613,MATCH($A508,Market_Data!$T$21:INDEX(Market_Data!$T$21:$T$613,COUNT(Market_Data!$T$21:$T$613)),1)),""))</f>
        <v/>
      </c>
      <c r="I508" s="146" t="str">
        <f ca="1">IF($A508="","",IFERROR(INDEX(Query1[Close],MATCH($A508,Query1[Date],1)),""))</f>
        <v/>
      </c>
    </row>
    <row r="509" spans="1:9" x14ac:dyDescent="0.3">
      <c r="A509" s="144" t="str">
        <f t="shared" ca="1" si="9"/>
        <v/>
      </c>
      <c r="B509" s="145" t="str">
        <f ca="1">IF($A509="","",IFERROR(INDEX(Market_Data!$C$21:$C$613,MATCH($A509,Market_Data!$B$21:INDEX(Market_Data!$B$21:$B$613,COUNT(Market_Data!$B$21:$B$613)),1)),""))</f>
        <v/>
      </c>
      <c r="C509" s="145" t="str">
        <f ca="1">IF($A509="","",IFERROR(INDEX(Market_Data!$F$21:$F$613,MATCH($A509,Market_Data!$E$21:INDEX(Market_Data!$E$21:$E$613,COUNT(Market_Data!$E$21:$E$613)),1)),""))</f>
        <v/>
      </c>
      <c r="D509" s="145" t="str">
        <f ca="1">IF($A509="","",IFERROR(INDEX(Market_Data!$I$21:$I$613,MATCH($A509,Market_Data!$H$21:INDEX(Market_Data!$H$21:$H$613,COUNT(Market_Data!$H$21:$H$613)),1)),""))</f>
        <v/>
      </c>
      <c r="E509" s="145" t="str">
        <f ca="1">IF($A509="","",IFERROR(INDEX(Market_Data!$L$21:$L$613,MATCH($A509,Market_Data!$K$21:INDEX(Market_Data!$K$21:$K$613,COUNT(Market_Data!$K$21:$K$613)),1)),""))</f>
        <v/>
      </c>
      <c r="F509" s="145" t="str">
        <f ca="1">IF($A509="","",IFERROR(INDEX(Market_Data!$O$21:$O$613,MATCH($A509,Market_Data!$N$21:INDEX(Market_Data!$N$21:$N$613,COUNT(Market_Data!$N$21:$N$613)),1)),""))</f>
        <v/>
      </c>
      <c r="G509" s="145" t="str">
        <f ca="1">IF($A509="","",IFERROR(INDEX(Market_Data!$R$21:$R$613,MATCH($A509,Market_Data!$Q$21:INDEX(Market_Data!$Q$21:$Q$613,COUNT(Market_Data!$Q$21:$Q$613)),1)),""))</f>
        <v/>
      </c>
      <c r="H509" s="145" t="str">
        <f ca="1">IF($A509="","",IFERROR(INDEX(Market_Data!$U$21:$U$613,MATCH($A509,Market_Data!$T$21:INDEX(Market_Data!$T$21:$T$613,COUNT(Market_Data!$T$21:$T$613)),1)),""))</f>
        <v/>
      </c>
      <c r="I509" s="146" t="str">
        <f ca="1">IF($A509="","",IFERROR(INDEX(Query1[Close],MATCH($A509,Query1[Date],1)),""))</f>
        <v/>
      </c>
    </row>
    <row r="510" spans="1:9" x14ac:dyDescent="0.3">
      <c r="A510" s="144" t="str">
        <f t="shared" ca="1" si="9"/>
        <v/>
      </c>
      <c r="B510" s="145" t="str">
        <f ca="1">IF($A510="","",IFERROR(INDEX(Market_Data!$C$21:$C$613,MATCH($A510,Market_Data!$B$21:INDEX(Market_Data!$B$21:$B$613,COUNT(Market_Data!$B$21:$B$613)),1)),""))</f>
        <v/>
      </c>
      <c r="C510" s="145" t="str">
        <f ca="1">IF($A510="","",IFERROR(INDEX(Market_Data!$F$21:$F$613,MATCH($A510,Market_Data!$E$21:INDEX(Market_Data!$E$21:$E$613,COUNT(Market_Data!$E$21:$E$613)),1)),""))</f>
        <v/>
      </c>
      <c r="D510" s="145" t="str">
        <f ca="1">IF($A510="","",IFERROR(INDEX(Market_Data!$I$21:$I$613,MATCH($A510,Market_Data!$H$21:INDEX(Market_Data!$H$21:$H$613,COUNT(Market_Data!$H$21:$H$613)),1)),""))</f>
        <v/>
      </c>
      <c r="E510" s="145" t="str">
        <f ca="1">IF($A510="","",IFERROR(INDEX(Market_Data!$L$21:$L$613,MATCH($A510,Market_Data!$K$21:INDEX(Market_Data!$K$21:$K$613,COUNT(Market_Data!$K$21:$K$613)),1)),""))</f>
        <v/>
      </c>
      <c r="F510" s="145" t="str">
        <f ca="1">IF($A510="","",IFERROR(INDEX(Market_Data!$O$21:$O$613,MATCH($A510,Market_Data!$N$21:INDEX(Market_Data!$N$21:$N$613,COUNT(Market_Data!$N$21:$N$613)),1)),""))</f>
        <v/>
      </c>
      <c r="G510" s="145" t="str">
        <f ca="1">IF($A510="","",IFERROR(INDEX(Market_Data!$R$21:$R$613,MATCH($A510,Market_Data!$Q$21:INDEX(Market_Data!$Q$21:$Q$613,COUNT(Market_Data!$Q$21:$Q$613)),1)),""))</f>
        <v/>
      </c>
      <c r="H510" s="145" t="str">
        <f ca="1">IF($A510="","",IFERROR(INDEX(Market_Data!$U$21:$U$613,MATCH($A510,Market_Data!$T$21:INDEX(Market_Data!$T$21:$T$613,COUNT(Market_Data!$T$21:$T$613)),1)),""))</f>
        <v/>
      </c>
      <c r="I510" s="146" t="str">
        <f ca="1">IF($A510="","",IFERROR(INDEX(Query1[Close],MATCH($A510,Query1[Date],1)),""))</f>
        <v/>
      </c>
    </row>
    <row r="511" spans="1:9" x14ac:dyDescent="0.3">
      <c r="A511" s="144" t="str">
        <f t="shared" ca="1" si="9"/>
        <v/>
      </c>
      <c r="B511" s="145" t="str">
        <f ca="1">IF($A511="","",IFERROR(INDEX(Market_Data!$C$21:$C$613,MATCH($A511,Market_Data!$B$21:INDEX(Market_Data!$B$21:$B$613,COUNT(Market_Data!$B$21:$B$613)),1)),""))</f>
        <v/>
      </c>
      <c r="C511" s="145" t="str">
        <f ca="1">IF($A511="","",IFERROR(INDEX(Market_Data!$F$21:$F$613,MATCH($A511,Market_Data!$E$21:INDEX(Market_Data!$E$21:$E$613,COUNT(Market_Data!$E$21:$E$613)),1)),""))</f>
        <v/>
      </c>
      <c r="D511" s="145" t="str">
        <f ca="1">IF($A511="","",IFERROR(INDEX(Market_Data!$I$21:$I$613,MATCH($A511,Market_Data!$H$21:INDEX(Market_Data!$H$21:$H$613,COUNT(Market_Data!$H$21:$H$613)),1)),""))</f>
        <v/>
      </c>
      <c r="E511" s="145" t="str">
        <f ca="1">IF($A511="","",IFERROR(INDEX(Market_Data!$L$21:$L$613,MATCH($A511,Market_Data!$K$21:INDEX(Market_Data!$K$21:$K$613,COUNT(Market_Data!$K$21:$K$613)),1)),""))</f>
        <v/>
      </c>
      <c r="F511" s="145" t="str">
        <f ca="1">IF($A511="","",IFERROR(INDEX(Market_Data!$O$21:$O$613,MATCH($A511,Market_Data!$N$21:INDEX(Market_Data!$N$21:$N$613,COUNT(Market_Data!$N$21:$N$613)),1)),""))</f>
        <v/>
      </c>
      <c r="G511" s="145" t="str">
        <f ca="1">IF($A511="","",IFERROR(INDEX(Market_Data!$R$21:$R$613,MATCH($A511,Market_Data!$Q$21:INDEX(Market_Data!$Q$21:$Q$613,COUNT(Market_Data!$Q$21:$Q$613)),1)),""))</f>
        <v/>
      </c>
      <c r="H511" s="145" t="str">
        <f ca="1">IF($A511="","",IFERROR(INDEX(Market_Data!$U$21:$U$613,MATCH($A511,Market_Data!$T$21:INDEX(Market_Data!$T$21:$T$613,COUNT(Market_Data!$T$21:$T$613)),1)),""))</f>
        <v/>
      </c>
      <c r="I511" s="146" t="str">
        <f ca="1">IF($A511="","",IFERROR(INDEX(Query1[Close],MATCH($A511,Query1[Date],1)),""))</f>
        <v/>
      </c>
    </row>
    <row r="512" spans="1:9" x14ac:dyDescent="0.3">
      <c r="A512" s="144" t="str">
        <f t="shared" ca="1" si="9"/>
        <v/>
      </c>
      <c r="B512" s="145" t="str">
        <f ca="1">IF($A512="","",IFERROR(INDEX(Market_Data!$C$21:$C$613,MATCH($A512,Market_Data!$B$21:INDEX(Market_Data!$B$21:$B$613,COUNT(Market_Data!$B$21:$B$613)),1)),""))</f>
        <v/>
      </c>
      <c r="C512" s="145" t="str">
        <f ca="1">IF($A512="","",IFERROR(INDEX(Market_Data!$F$21:$F$613,MATCH($A512,Market_Data!$E$21:INDEX(Market_Data!$E$21:$E$613,COUNT(Market_Data!$E$21:$E$613)),1)),""))</f>
        <v/>
      </c>
      <c r="D512" s="145" t="str">
        <f ca="1">IF($A512="","",IFERROR(INDEX(Market_Data!$I$21:$I$613,MATCH($A512,Market_Data!$H$21:INDEX(Market_Data!$H$21:$H$613,COUNT(Market_Data!$H$21:$H$613)),1)),""))</f>
        <v/>
      </c>
      <c r="E512" s="145" t="str">
        <f ca="1">IF($A512="","",IFERROR(INDEX(Market_Data!$L$21:$L$613,MATCH($A512,Market_Data!$K$21:INDEX(Market_Data!$K$21:$K$613,COUNT(Market_Data!$K$21:$K$613)),1)),""))</f>
        <v/>
      </c>
      <c r="F512" s="145" t="str">
        <f ca="1">IF($A512="","",IFERROR(INDEX(Market_Data!$O$21:$O$613,MATCH($A512,Market_Data!$N$21:INDEX(Market_Data!$N$21:$N$613,COUNT(Market_Data!$N$21:$N$613)),1)),""))</f>
        <v/>
      </c>
      <c r="G512" s="145" t="str">
        <f ca="1">IF($A512="","",IFERROR(INDEX(Market_Data!$R$21:$R$613,MATCH($A512,Market_Data!$Q$21:INDEX(Market_Data!$Q$21:$Q$613,COUNT(Market_Data!$Q$21:$Q$613)),1)),""))</f>
        <v/>
      </c>
      <c r="H512" s="145" t="str">
        <f ca="1">IF($A512="","",IFERROR(INDEX(Market_Data!$U$21:$U$613,MATCH($A512,Market_Data!$T$21:INDEX(Market_Data!$T$21:$T$613,COUNT(Market_Data!$T$21:$T$613)),1)),""))</f>
        <v/>
      </c>
      <c r="I512" s="146" t="str">
        <f ca="1">IF($A512="","",IFERROR(INDEX(Query1[Close],MATCH($A512,Query1[Date],1)),""))</f>
        <v/>
      </c>
    </row>
    <row r="513" spans="1:9" x14ac:dyDescent="0.3">
      <c r="A513" s="144" t="str">
        <f t="shared" ca="1" si="9"/>
        <v/>
      </c>
      <c r="B513" s="145" t="str">
        <f ca="1">IF($A513="","",IFERROR(INDEX(Market_Data!$C$21:$C$613,MATCH($A513,Market_Data!$B$21:INDEX(Market_Data!$B$21:$B$613,COUNT(Market_Data!$B$21:$B$613)),1)),""))</f>
        <v/>
      </c>
      <c r="C513" s="145" t="str">
        <f ca="1">IF($A513="","",IFERROR(INDEX(Market_Data!$F$21:$F$613,MATCH($A513,Market_Data!$E$21:INDEX(Market_Data!$E$21:$E$613,COUNT(Market_Data!$E$21:$E$613)),1)),""))</f>
        <v/>
      </c>
      <c r="D513" s="145" t="str">
        <f ca="1">IF($A513="","",IFERROR(INDEX(Market_Data!$I$21:$I$613,MATCH($A513,Market_Data!$H$21:INDEX(Market_Data!$H$21:$H$613,COUNT(Market_Data!$H$21:$H$613)),1)),""))</f>
        <v/>
      </c>
      <c r="E513" s="145" t="str">
        <f ca="1">IF($A513="","",IFERROR(INDEX(Market_Data!$L$21:$L$613,MATCH($A513,Market_Data!$K$21:INDEX(Market_Data!$K$21:$K$613,COUNT(Market_Data!$K$21:$K$613)),1)),""))</f>
        <v/>
      </c>
      <c r="F513" s="145" t="str">
        <f ca="1">IF($A513="","",IFERROR(INDEX(Market_Data!$O$21:$O$613,MATCH($A513,Market_Data!$N$21:INDEX(Market_Data!$N$21:$N$613,COUNT(Market_Data!$N$21:$N$613)),1)),""))</f>
        <v/>
      </c>
      <c r="G513" s="145" t="str">
        <f ca="1">IF($A513="","",IFERROR(INDEX(Market_Data!$R$21:$R$613,MATCH($A513,Market_Data!$Q$21:INDEX(Market_Data!$Q$21:$Q$613,COUNT(Market_Data!$Q$21:$Q$613)),1)),""))</f>
        <v/>
      </c>
      <c r="H513" s="145" t="str">
        <f ca="1">IF($A513="","",IFERROR(INDEX(Market_Data!$U$21:$U$613,MATCH($A513,Market_Data!$T$21:INDEX(Market_Data!$T$21:$T$613,COUNT(Market_Data!$T$21:$T$613)),1)),""))</f>
        <v/>
      </c>
      <c r="I513" s="146" t="str">
        <f ca="1">IF($A513="","",IFERROR(INDEX(Query1[Close],MATCH($A513,Query1[Date],1)),""))</f>
        <v/>
      </c>
    </row>
    <row r="514" spans="1:9" x14ac:dyDescent="0.3">
      <c r="A514" s="144" t="str">
        <f t="shared" ca="1" si="9"/>
        <v/>
      </c>
      <c r="B514" s="145" t="str">
        <f ca="1">IF($A514="","",IFERROR(INDEX(Market_Data!$C$21:$C$613,MATCH($A514,Market_Data!$B$21:INDEX(Market_Data!$B$21:$B$613,COUNT(Market_Data!$B$21:$B$613)),1)),""))</f>
        <v/>
      </c>
      <c r="C514" s="145" t="str">
        <f ca="1">IF($A514="","",IFERROR(INDEX(Market_Data!$F$21:$F$613,MATCH($A514,Market_Data!$E$21:INDEX(Market_Data!$E$21:$E$613,COUNT(Market_Data!$E$21:$E$613)),1)),""))</f>
        <v/>
      </c>
      <c r="D514" s="145" t="str">
        <f ca="1">IF($A514="","",IFERROR(INDEX(Market_Data!$I$21:$I$613,MATCH($A514,Market_Data!$H$21:INDEX(Market_Data!$H$21:$H$613,COUNT(Market_Data!$H$21:$H$613)),1)),""))</f>
        <v/>
      </c>
      <c r="E514" s="145" t="str">
        <f ca="1">IF($A514="","",IFERROR(INDEX(Market_Data!$L$21:$L$613,MATCH($A514,Market_Data!$K$21:INDEX(Market_Data!$K$21:$K$613,COUNT(Market_Data!$K$21:$K$613)),1)),""))</f>
        <v/>
      </c>
      <c r="F514" s="145" t="str">
        <f ca="1">IF($A514="","",IFERROR(INDEX(Market_Data!$O$21:$O$613,MATCH($A514,Market_Data!$N$21:INDEX(Market_Data!$N$21:$N$613,COUNT(Market_Data!$N$21:$N$613)),1)),""))</f>
        <v/>
      </c>
      <c r="G514" s="145" t="str">
        <f ca="1">IF($A514="","",IFERROR(INDEX(Market_Data!$R$21:$R$613,MATCH($A514,Market_Data!$Q$21:INDEX(Market_Data!$Q$21:$Q$613,COUNT(Market_Data!$Q$21:$Q$613)),1)),""))</f>
        <v/>
      </c>
      <c r="H514" s="145" t="str">
        <f ca="1">IF($A514="","",IFERROR(INDEX(Market_Data!$U$21:$U$613,MATCH($A514,Market_Data!$T$21:INDEX(Market_Data!$T$21:$T$613,COUNT(Market_Data!$T$21:$T$613)),1)),""))</f>
        <v/>
      </c>
      <c r="I514" s="146" t="str">
        <f ca="1">IF($A514="","",IFERROR(INDEX(Query1[Close],MATCH($A514,Query1[Date],1)),""))</f>
        <v/>
      </c>
    </row>
    <row r="515" spans="1:9" x14ac:dyDescent="0.3">
      <c r="A515" s="144" t="str">
        <f t="shared" ca="1" si="9"/>
        <v/>
      </c>
      <c r="B515" s="145" t="str">
        <f ca="1">IF($A515="","",IFERROR(INDEX(Market_Data!$C$21:$C$613,MATCH($A515,Market_Data!$B$21:INDEX(Market_Data!$B$21:$B$613,COUNT(Market_Data!$B$21:$B$613)),1)),""))</f>
        <v/>
      </c>
      <c r="C515" s="145" t="str">
        <f ca="1">IF($A515="","",IFERROR(INDEX(Market_Data!$F$21:$F$613,MATCH($A515,Market_Data!$E$21:INDEX(Market_Data!$E$21:$E$613,COUNT(Market_Data!$E$21:$E$613)),1)),""))</f>
        <v/>
      </c>
      <c r="D515" s="145" t="str">
        <f ca="1">IF($A515="","",IFERROR(INDEX(Market_Data!$I$21:$I$613,MATCH($A515,Market_Data!$H$21:INDEX(Market_Data!$H$21:$H$613,COUNT(Market_Data!$H$21:$H$613)),1)),""))</f>
        <v/>
      </c>
      <c r="E515" s="145" t="str">
        <f ca="1">IF($A515="","",IFERROR(INDEX(Market_Data!$L$21:$L$613,MATCH($A515,Market_Data!$K$21:INDEX(Market_Data!$K$21:$K$613,COUNT(Market_Data!$K$21:$K$613)),1)),""))</f>
        <v/>
      </c>
      <c r="F515" s="145" t="str">
        <f ca="1">IF($A515="","",IFERROR(INDEX(Market_Data!$O$21:$O$613,MATCH($A515,Market_Data!$N$21:INDEX(Market_Data!$N$21:$N$613,COUNT(Market_Data!$N$21:$N$613)),1)),""))</f>
        <v/>
      </c>
      <c r="G515" s="145" t="str">
        <f ca="1">IF($A515="","",IFERROR(INDEX(Market_Data!$R$21:$R$613,MATCH($A515,Market_Data!$Q$21:INDEX(Market_Data!$Q$21:$Q$613,COUNT(Market_Data!$Q$21:$Q$613)),1)),""))</f>
        <v/>
      </c>
      <c r="H515" s="145" t="str">
        <f ca="1">IF($A515="","",IFERROR(INDEX(Market_Data!$U$21:$U$613,MATCH($A515,Market_Data!$T$21:INDEX(Market_Data!$T$21:$T$613,COUNT(Market_Data!$T$21:$T$613)),1)),""))</f>
        <v/>
      </c>
      <c r="I515" s="146" t="str">
        <f ca="1">IF($A515="","",IFERROR(INDEX(Query1[Close],MATCH($A515,Query1[Date],1)),""))</f>
        <v/>
      </c>
    </row>
    <row r="516" spans="1:9" x14ac:dyDescent="0.3">
      <c r="A516" s="144" t="str">
        <f t="shared" ca="1" si="9"/>
        <v/>
      </c>
      <c r="B516" s="145" t="str">
        <f ca="1">IF($A516="","",IFERROR(INDEX(Market_Data!$C$21:$C$613,MATCH($A516,Market_Data!$B$21:INDEX(Market_Data!$B$21:$B$613,COUNT(Market_Data!$B$21:$B$613)),1)),""))</f>
        <v/>
      </c>
      <c r="C516" s="145" t="str">
        <f ca="1">IF($A516="","",IFERROR(INDEX(Market_Data!$F$21:$F$613,MATCH($A516,Market_Data!$E$21:INDEX(Market_Data!$E$21:$E$613,COUNT(Market_Data!$E$21:$E$613)),1)),""))</f>
        <v/>
      </c>
      <c r="D516" s="145" t="str">
        <f ca="1">IF($A516="","",IFERROR(INDEX(Market_Data!$I$21:$I$613,MATCH($A516,Market_Data!$H$21:INDEX(Market_Data!$H$21:$H$613,COUNT(Market_Data!$H$21:$H$613)),1)),""))</f>
        <v/>
      </c>
      <c r="E516" s="145" t="str">
        <f ca="1">IF($A516="","",IFERROR(INDEX(Market_Data!$L$21:$L$613,MATCH($A516,Market_Data!$K$21:INDEX(Market_Data!$K$21:$K$613,COUNT(Market_Data!$K$21:$K$613)),1)),""))</f>
        <v/>
      </c>
      <c r="F516" s="145" t="str">
        <f ca="1">IF($A516="","",IFERROR(INDEX(Market_Data!$O$21:$O$613,MATCH($A516,Market_Data!$N$21:INDEX(Market_Data!$N$21:$N$613,COUNT(Market_Data!$N$21:$N$613)),1)),""))</f>
        <v/>
      </c>
      <c r="G516" s="145" t="str">
        <f ca="1">IF($A516="","",IFERROR(INDEX(Market_Data!$R$21:$R$613,MATCH($A516,Market_Data!$Q$21:INDEX(Market_Data!$Q$21:$Q$613,COUNT(Market_Data!$Q$21:$Q$613)),1)),""))</f>
        <v/>
      </c>
      <c r="H516" s="145" t="str">
        <f ca="1">IF($A516="","",IFERROR(INDEX(Market_Data!$U$21:$U$613,MATCH($A516,Market_Data!$T$21:INDEX(Market_Data!$T$21:$T$613,COUNT(Market_Data!$T$21:$T$613)),1)),""))</f>
        <v/>
      </c>
      <c r="I516" s="146" t="str">
        <f ca="1">IF($A516="","",IFERROR(INDEX(Query1[Close],MATCH($A516,Query1[Date],1)),""))</f>
        <v/>
      </c>
    </row>
    <row r="517" spans="1:9" x14ac:dyDescent="0.3">
      <c r="A517" s="144" t="str">
        <f t="shared" ca="1" si="9"/>
        <v/>
      </c>
      <c r="B517" s="145" t="str">
        <f ca="1">IF($A517="","",IFERROR(INDEX(Market_Data!$C$21:$C$613,MATCH($A517,Market_Data!$B$21:INDEX(Market_Data!$B$21:$B$613,COUNT(Market_Data!$B$21:$B$613)),1)),""))</f>
        <v/>
      </c>
      <c r="C517" s="145" t="str">
        <f ca="1">IF($A517="","",IFERROR(INDEX(Market_Data!$F$21:$F$613,MATCH($A517,Market_Data!$E$21:INDEX(Market_Data!$E$21:$E$613,COUNT(Market_Data!$E$21:$E$613)),1)),""))</f>
        <v/>
      </c>
      <c r="D517" s="145" t="str">
        <f ca="1">IF($A517="","",IFERROR(INDEX(Market_Data!$I$21:$I$613,MATCH($A517,Market_Data!$H$21:INDEX(Market_Data!$H$21:$H$613,COUNT(Market_Data!$H$21:$H$613)),1)),""))</f>
        <v/>
      </c>
      <c r="E517" s="145" t="str">
        <f ca="1">IF($A517="","",IFERROR(INDEX(Market_Data!$L$21:$L$613,MATCH($A517,Market_Data!$K$21:INDEX(Market_Data!$K$21:$K$613,COUNT(Market_Data!$K$21:$K$613)),1)),""))</f>
        <v/>
      </c>
      <c r="F517" s="145" t="str">
        <f ca="1">IF($A517="","",IFERROR(INDEX(Market_Data!$O$21:$O$613,MATCH($A517,Market_Data!$N$21:INDEX(Market_Data!$N$21:$N$613,COUNT(Market_Data!$N$21:$N$613)),1)),""))</f>
        <v/>
      </c>
      <c r="G517" s="145" t="str">
        <f ca="1">IF($A517="","",IFERROR(INDEX(Market_Data!$R$21:$R$613,MATCH($A517,Market_Data!$Q$21:INDEX(Market_Data!$Q$21:$Q$613,COUNT(Market_Data!$Q$21:$Q$613)),1)),""))</f>
        <v/>
      </c>
      <c r="H517" s="145" t="str">
        <f ca="1">IF($A517="","",IFERROR(INDEX(Market_Data!$U$21:$U$613,MATCH($A517,Market_Data!$T$21:INDEX(Market_Data!$T$21:$T$613,COUNT(Market_Data!$T$21:$T$613)),1)),""))</f>
        <v/>
      </c>
      <c r="I517" s="146" t="str">
        <f ca="1">IF($A517="","",IFERROR(INDEX(Query1[Close],MATCH($A517,Query1[Date],1)),""))</f>
        <v/>
      </c>
    </row>
    <row r="518" spans="1:9" x14ac:dyDescent="0.3">
      <c r="A518" s="144" t="str">
        <f t="shared" ref="A518:A581" ca="1" si="10">IF($A517="","",IF($A517+7&lt;=TODAY(),$A517+7,""))</f>
        <v/>
      </c>
      <c r="B518" s="145" t="str">
        <f ca="1">IF($A518="","",IFERROR(INDEX(Market_Data!$C$21:$C$613,MATCH($A518,Market_Data!$B$21:INDEX(Market_Data!$B$21:$B$613,COUNT(Market_Data!$B$21:$B$613)),1)),""))</f>
        <v/>
      </c>
      <c r="C518" s="145" t="str">
        <f ca="1">IF($A518="","",IFERROR(INDEX(Market_Data!$F$21:$F$613,MATCH($A518,Market_Data!$E$21:INDEX(Market_Data!$E$21:$E$613,COUNT(Market_Data!$E$21:$E$613)),1)),""))</f>
        <v/>
      </c>
      <c r="D518" s="145" t="str">
        <f ca="1">IF($A518="","",IFERROR(INDEX(Market_Data!$I$21:$I$613,MATCH($A518,Market_Data!$H$21:INDEX(Market_Data!$H$21:$H$613,COUNT(Market_Data!$H$21:$H$613)),1)),""))</f>
        <v/>
      </c>
      <c r="E518" s="145" t="str">
        <f ca="1">IF($A518="","",IFERROR(INDEX(Market_Data!$L$21:$L$613,MATCH($A518,Market_Data!$K$21:INDEX(Market_Data!$K$21:$K$613,COUNT(Market_Data!$K$21:$K$613)),1)),""))</f>
        <v/>
      </c>
      <c r="F518" s="145" t="str">
        <f ca="1">IF($A518="","",IFERROR(INDEX(Market_Data!$O$21:$O$613,MATCH($A518,Market_Data!$N$21:INDEX(Market_Data!$N$21:$N$613,COUNT(Market_Data!$N$21:$N$613)),1)),""))</f>
        <v/>
      </c>
      <c r="G518" s="145" t="str">
        <f ca="1">IF($A518="","",IFERROR(INDEX(Market_Data!$R$21:$R$613,MATCH($A518,Market_Data!$Q$21:INDEX(Market_Data!$Q$21:$Q$613,COUNT(Market_Data!$Q$21:$Q$613)),1)),""))</f>
        <v/>
      </c>
      <c r="H518" s="145" t="str">
        <f ca="1">IF($A518="","",IFERROR(INDEX(Market_Data!$U$21:$U$613,MATCH($A518,Market_Data!$T$21:INDEX(Market_Data!$T$21:$T$613,COUNT(Market_Data!$T$21:$T$613)),1)),""))</f>
        <v/>
      </c>
      <c r="I518" s="146" t="str">
        <f ca="1">IF($A518="","",IFERROR(INDEX(Query1[Close],MATCH($A518,Query1[Date],1)),""))</f>
        <v/>
      </c>
    </row>
    <row r="519" spans="1:9" x14ac:dyDescent="0.3">
      <c r="A519" s="144" t="str">
        <f t="shared" ca="1" si="10"/>
        <v/>
      </c>
      <c r="B519" s="145" t="str">
        <f ca="1">IF($A519="","",IFERROR(INDEX(Market_Data!$C$21:$C$613,MATCH($A519,Market_Data!$B$21:INDEX(Market_Data!$B$21:$B$613,COUNT(Market_Data!$B$21:$B$613)),1)),""))</f>
        <v/>
      </c>
      <c r="C519" s="145" t="str">
        <f ca="1">IF($A519="","",IFERROR(INDEX(Market_Data!$F$21:$F$613,MATCH($A519,Market_Data!$E$21:INDEX(Market_Data!$E$21:$E$613,COUNT(Market_Data!$E$21:$E$613)),1)),""))</f>
        <v/>
      </c>
      <c r="D519" s="145" t="str">
        <f ca="1">IF($A519="","",IFERROR(INDEX(Market_Data!$I$21:$I$613,MATCH($A519,Market_Data!$H$21:INDEX(Market_Data!$H$21:$H$613,COUNT(Market_Data!$H$21:$H$613)),1)),""))</f>
        <v/>
      </c>
      <c r="E519" s="145" t="str">
        <f ca="1">IF($A519="","",IFERROR(INDEX(Market_Data!$L$21:$L$613,MATCH($A519,Market_Data!$K$21:INDEX(Market_Data!$K$21:$K$613,COUNT(Market_Data!$K$21:$K$613)),1)),""))</f>
        <v/>
      </c>
      <c r="F519" s="145" t="str">
        <f ca="1">IF($A519="","",IFERROR(INDEX(Market_Data!$O$21:$O$613,MATCH($A519,Market_Data!$N$21:INDEX(Market_Data!$N$21:$N$613,COUNT(Market_Data!$N$21:$N$613)),1)),""))</f>
        <v/>
      </c>
      <c r="G519" s="145" t="str">
        <f ca="1">IF($A519="","",IFERROR(INDEX(Market_Data!$R$21:$R$613,MATCH($A519,Market_Data!$Q$21:INDEX(Market_Data!$Q$21:$Q$613,COUNT(Market_Data!$Q$21:$Q$613)),1)),""))</f>
        <v/>
      </c>
      <c r="H519" s="145" t="str">
        <f ca="1">IF($A519="","",IFERROR(INDEX(Market_Data!$U$21:$U$613,MATCH($A519,Market_Data!$T$21:INDEX(Market_Data!$T$21:$T$613,COUNT(Market_Data!$T$21:$T$613)),1)),""))</f>
        <v/>
      </c>
      <c r="I519" s="146" t="str">
        <f ca="1">IF($A519="","",IFERROR(INDEX(Query1[Close],MATCH($A519,Query1[Date],1)),""))</f>
        <v/>
      </c>
    </row>
    <row r="520" spans="1:9" x14ac:dyDescent="0.3">
      <c r="A520" s="144" t="str">
        <f t="shared" ca="1" si="10"/>
        <v/>
      </c>
      <c r="B520" s="145" t="str">
        <f ca="1">IF($A520="","",IFERROR(INDEX(Market_Data!$C$21:$C$613,MATCH($A520,Market_Data!$B$21:INDEX(Market_Data!$B$21:$B$613,COUNT(Market_Data!$B$21:$B$613)),1)),""))</f>
        <v/>
      </c>
      <c r="C520" s="145" t="str">
        <f ca="1">IF($A520="","",IFERROR(INDEX(Market_Data!$F$21:$F$613,MATCH($A520,Market_Data!$E$21:INDEX(Market_Data!$E$21:$E$613,COUNT(Market_Data!$E$21:$E$613)),1)),""))</f>
        <v/>
      </c>
      <c r="D520" s="145" t="str">
        <f ca="1">IF($A520="","",IFERROR(INDEX(Market_Data!$I$21:$I$613,MATCH($A520,Market_Data!$H$21:INDEX(Market_Data!$H$21:$H$613,COUNT(Market_Data!$H$21:$H$613)),1)),""))</f>
        <v/>
      </c>
      <c r="E520" s="145" t="str">
        <f ca="1">IF($A520="","",IFERROR(INDEX(Market_Data!$L$21:$L$613,MATCH($A520,Market_Data!$K$21:INDEX(Market_Data!$K$21:$K$613,COUNT(Market_Data!$K$21:$K$613)),1)),""))</f>
        <v/>
      </c>
      <c r="F520" s="145" t="str">
        <f ca="1">IF($A520="","",IFERROR(INDEX(Market_Data!$O$21:$O$613,MATCH($A520,Market_Data!$N$21:INDEX(Market_Data!$N$21:$N$613,COUNT(Market_Data!$N$21:$N$613)),1)),""))</f>
        <v/>
      </c>
      <c r="G520" s="145" t="str">
        <f ca="1">IF($A520="","",IFERROR(INDEX(Market_Data!$R$21:$R$613,MATCH($A520,Market_Data!$Q$21:INDEX(Market_Data!$Q$21:$Q$613,COUNT(Market_Data!$Q$21:$Q$613)),1)),""))</f>
        <v/>
      </c>
      <c r="H520" s="145" t="str">
        <f ca="1">IF($A520="","",IFERROR(INDEX(Market_Data!$U$21:$U$613,MATCH($A520,Market_Data!$T$21:INDEX(Market_Data!$T$21:$T$613,COUNT(Market_Data!$T$21:$T$613)),1)),""))</f>
        <v/>
      </c>
      <c r="I520" s="146" t="str">
        <f ca="1">IF($A520="","",IFERROR(INDEX(Query1[Close],MATCH($A520,Query1[Date],1)),""))</f>
        <v/>
      </c>
    </row>
    <row r="521" spans="1:9" x14ac:dyDescent="0.3">
      <c r="A521" s="144" t="str">
        <f t="shared" ca="1" si="10"/>
        <v/>
      </c>
      <c r="B521" s="145" t="str">
        <f ca="1">IF($A521="","",IFERROR(INDEX(Market_Data!$C$21:$C$613,MATCH($A521,Market_Data!$B$21:INDEX(Market_Data!$B$21:$B$613,COUNT(Market_Data!$B$21:$B$613)),1)),""))</f>
        <v/>
      </c>
      <c r="C521" s="145" t="str">
        <f ca="1">IF($A521="","",IFERROR(INDEX(Market_Data!$F$21:$F$613,MATCH($A521,Market_Data!$E$21:INDEX(Market_Data!$E$21:$E$613,COUNT(Market_Data!$E$21:$E$613)),1)),""))</f>
        <v/>
      </c>
      <c r="D521" s="145" t="str">
        <f ca="1">IF($A521="","",IFERROR(INDEX(Market_Data!$I$21:$I$613,MATCH($A521,Market_Data!$H$21:INDEX(Market_Data!$H$21:$H$613,COUNT(Market_Data!$H$21:$H$613)),1)),""))</f>
        <v/>
      </c>
      <c r="E521" s="145" t="str">
        <f ca="1">IF($A521="","",IFERROR(INDEX(Market_Data!$L$21:$L$613,MATCH($A521,Market_Data!$K$21:INDEX(Market_Data!$K$21:$K$613,COUNT(Market_Data!$K$21:$K$613)),1)),""))</f>
        <v/>
      </c>
      <c r="F521" s="145" t="str">
        <f ca="1">IF($A521="","",IFERROR(INDEX(Market_Data!$O$21:$O$613,MATCH($A521,Market_Data!$N$21:INDEX(Market_Data!$N$21:$N$613,COUNT(Market_Data!$N$21:$N$613)),1)),""))</f>
        <v/>
      </c>
      <c r="G521" s="145" t="str">
        <f ca="1">IF($A521="","",IFERROR(INDEX(Market_Data!$R$21:$R$613,MATCH($A521,Market_Data!$Q$21:INDEX(Market_Data!$Q$21:$Q$613,COUNT(Market_Data!$Q$21:$Q$613)),1)),""))</f>
        <v/>
      </c>
      <c r="H521" s="145" t="str">
        <f ca="1">IF($A521="","",IFERROR(INDEX(Market_Data!$U$21:$U$613,MATCH($A521,Market_Data!$T$21:INDEX(Market_Data!$T$21:$T$613,COUNT(Market_Data!$T$21:$T$613)),1)),""))</f>
        <v/>
      </c>
      <c r="I521" s="146" t="str">
        <f ca="1">IF($A521="","",IFERROR(INDEX(Query1[Close],MATCH($A521,Query1[Date],1)),""))</f>
        <v/>
      </c>
    </row>
    <row r="522" spans="1:9" x14ac:dyDescent="0.3">
      <c r="A522" s="144" t="str">
        <f t="shared" ca="1" si="10"/>
        <v/>
      </c>
      <c r="B522" s="145" t="str">
        <f ca="1">IF($A522="","",IFERROR(INDEX(Market_Data!$C$21:$C$613,MATCH($A522,Market_Data!$B$21:INDEX(Market_Data!$B$21:$B$613,COUNT(Market_Data!$B$21:$B$613)),1)),""))</f>
        <v/>
      </c>
      <c r="C522" s="145" t="str">
        <f ca="1">IF($A522="","",IFERROR(INDEX(Market_Data!$F$21:$F$613,MATCH($A522,Market_Data!$E$21:INDEX(Market_Data!$E$21:$E$613,COUNT(Market_Data!$E$21:$E$613)),1)),""))</f>
        <v/>
      </c>
      <c r="D522" s="145" t="str">
        <f ca="1">IF($A522="","",IFERROR(INDEX(Market_Data!$I$21:$I$613,MATCH($A522,Market_Data!$H$21:INDEX(Market_Data!$H$21:$H$613,COUNT(Market_Data!$H$21:$H$613)),1)),""))</f>
        <v/>
      </c>
      <c r="E522" s="145" t="str">
        <f ca="1">IF($A522="","",IFERROR(INDEX(Market_Data!$L$21:$L$613,MATCH($A522,Market_Data!$K$21:INDEX(Market_Data!$K$21:$K$613,COUNT(Market_Data!$K$21:$K$613)),1)),""))</f>
        <v/>
      </c>
      <c r="F522" s="145" t="str">
        <f ca="1">IF($A522="","",IFERROR(INDEX(Market_Data!$O$21:$O$613,MATCH($A522,Market_Data!$N$21:INDEX(Market_Data!$N$21:$N$613,COUNT(Market_Data!$N$21:$N$613)),1)),""))</f>
        <v/>
      </c>
      <c r="G522" s="145" t="str">
        <f ca="1">IF($A522="","",IFERROR(INDEX(Market_Data!$R$21:$R$613,MATCH($A522,Market_Data!$Q$21:INDEX(Market_Data!$Q$21:$Q$613,COUNT(Market_Data!$Q$21:$Q$613)),1)),""))</f>
        <v/>
      </c>
      <c r="H522" s="145" t="str">
        <f ca="1">IF($A522="","",IFERROR(INDEX(Market_Data!$U$21:$U$613,MATCH($A522,Market_Data!$T$21:INDEX(Market_Data!$T$21:$T$613,COUNT(Market_Data!$T$21:$T$613)),1)),""))</f>
        <v/>
      </c>
      <c r="I522" s="146" t="str">
        <f ca="1">IF($A522="","",IFERROR(INDEX(Query1[Close],MATCH($A522,Query1[Date],1)),""))</f>
        <v/>
      </c>
    </row>
    <row r="523" spans="1:9" x14ac:dyDescent="0.3">
      <c r="A523" s="144" t="str">
        <f t="shared" ca="1" si="10"/>
        <v/>
      </c>
      <c r="B523" s="145" t="str">
        <f ca="1">IF($A523="","",IFERROR(INDEX(Market_Data!$C$21:$C$613,MATCH($A523,Market_Data!$B$21:INDEX(Market_Data!$B$21:$B$613,COUNT(Market_Data!$B$21:$B$613)),1)),""))</f>
        <v/>
      </c>
      <c r="C523" s="145" t="str">
        <f ca="1">IF($A523="","",IFERROR(INDEX(Market_Data!$F$21:$F$613,MATCH($A523,Market_Data!$E$21:INDEX(Market_Data!$E$21:$E$613,COUNT(Market_Data!$E$21:$E$613)),1)),""))</f>
        <v/>
      </c>
      <c r="D523" s="145" t="str">
        <f ca="1">IF($A523="","",IFERROR(INDEX(Market_Data!$I$21:$I$613,MATCH($A523,Market_Data!$H$21:INDEX(Market_Data!$H$21:$H$613,COUNT(Market_Data!$H$21:$H$613)),1)),""))</f>
        <v/>
      </c>
      <c r="E523" s="145" t="str">
        <f ca="1">IF($A523="","",IFERROR(INDEX(Market_Data!$L$21:$L$613,MATCH($A523,Market_Data!$K$21:INDEX(Market_Data!$K$21:$K$613,COUNT(Market_Data!$K$21:$K$613)),1)),""))</f>
        <v/>
      </c>
      <c r="F523" s="145" t="str">
        <f ca="1">IF($A523="","",IFERROR(INDEX(Market_Data!$O$21:$O$613,MATCH($A523,Market_Data!$N$21:INDEX(Market_Data!$N$21:$N$613,COUNT(Market_Data!$N$21:$N$613)),1)),""))</f>
        <v/>
      </c>
      <c r="G523" s="145" t="str">
        <f ca="1">IF($A523="","",IFERROR(INDEX(Market_Data!$R$21:$R$613,MATCH($A523,Market_Data!$Q$21:INDEX(Market_Data!$Q$21:$Q$613,COUNT(Market_Data!$Q$21:$Q$613)),1)),""))</f>
        <v/>
      </c>
      <c r="H523" s="145" t="str">
        <f ca="1">IF($A523="","",IFERROR(INDEX(Market_Data!$U$21:$U$613,MATCH($A523,Market_Data!$T$21:INDEX(Market_Data!$T$21:$T$613,COUNT(Market_Data!$T$21:$T$613)),1)),""))</f>
        <v/>
      </c>
      <c r="I523" s="146" t="str">
        <f ca="1">IF($A523="","",IFERROR(INDEX(Query1[Close],MATCH($A523,Query1[Date],1)),""))</f>
        <v/>
      </c>
    </row>
    <row r="524" spans="1:9" x14ac:dyDescent="0.3">
      <c r="A524" s="144" t="str">
        <f t="shared" ca="1" si="10"/>
        <v/>
      </c>
      <c r="B524" s="145" t="str">
        <f ca="1">IF($A524="","",IFERROR(INDEX(Market_Data!$C$21:$C$613,MATCH($A524,Market_Data!$B$21:INDEX(Market_Data!$B$21:$B$613,COUNT(Market_Data!$B$21:$B$613)),1)),""))</f>
        <v/>
      </c>
      <c r="C524" s="145" t="str">
        <f ca="1">IF($A524="","",IFERROR(INDEX(Market_Data!$F$21:$F$613,MATCH($A524,Market_Data!$E$21:INDEX(Market_Data!$E$21:$E$613,COUNT(Market_Data!$E$21:$E$613)),1)),""))</f>
        <v/>
      </c>
      <c r="D524" s="145" t="str">
        <f ca="1">IF($A524="","",IFERROR(INDEX(Market_Data!$I$21:$I$613,MATCH($A524,Market_Data!$H$21:INDEX(Market_Data!$H$21:$H$613,COUNT(Market_Data!$H$21:$H$613)),1)),""))</f>
        <v/>
      </c>
      <c r="E524" s="145" t="str">
        <f ca="1">IF($A524="","",IFERROR(INDEX(Market_Data!$L$21:$L$613,MATCH($A524,Market_Data!$K$21:INDEX(Market_Data!$K$21:$K$613,COUNT(Market_Data!$K$21:$K$613)),1)),""))</f>
        <v/>
      </c>
      <c r="F524" s="145" t="str">
        <f ca="1">IF($A524="","",IFERROR(INDEX(Market_Data!$O$21:$O$613,MATCH($A524,Market_Data!$N$21:INDEX(Market_Data!$N$21:$N$613,COUNT(Market_Data!$N$21:$N$613)),1)),""))</f>
        <v/>
      </c>
      <c r="G524" s="145" t="str">
        <f ca="1">IF($A524="","",IFERROR(INDEX(Market_Data!$R$21:$R$613,MATCH($A524,Market_Data!$Q$21:INDEX(Market_Data!$Q$21:$Q$613,COUNT(Market_Data!$Q$21:$Q$613)),1)),""))</f>
        <v/>
      </c>
      <c r="H524" s="145" t="str">
        <f ca="1">IF($A524="","",IFERROR(INDEX(Market_Data!$U$21:$U$613,MATCH($A524,Market_Data!$T$21:INDEX(Market_Data!$T$21:$T$613,COUNT(Market_Data!$T$21:$T$613)),1)),""))</f>
        <v/>
      </c>
      <c r="I524" s="146" t="str">
        <f ca="1">IF($A524="","",IFERROR(INDEX(Query1[Close],MATCH($A524,Query1[Date],1)),""))</f>
        <v/>
      </c>
    </row>
    <row r="525" spans="1:9" x14ac:dyDescent="0.3">
      <c r="A525" s="144" t="str">
        <f t="shared" ca="1" si="10"/>
        <v/>
      </c>
      <c r="B525" s="145" t="str">
        <f ca="1">IF($A525="","",IFERROR(INDEX(Market_Data!$C$21:$C$613,MATCH($A525,Market_Data!$B$21:INDEX(Market_Data!$B$21:$B$613,COUNT(Market_Data!$B$21:$B$613)),1)),""))</f>
        <v/>
      </c>
      <c r="C525" s="145" t="str">
        <f ca="1">IF($A525="","",IFERROR(INDEX(Market_Data!$F$21:$F$613,MATCH($A525,Market_Data!$E$21:INDEX(Market_Data!$E$21:$E$613,COUNT(Market_Data!$E$21:$E$613)),1)),""))</f>
        <v/>
      </c>
      <c r="D525" s="145" t="str">
        <f ca="1">IF($A525="","",IFERROR(INDEX(Market_Data!$I$21:$I$613,MATCH($A525,Market_Data!$H$21:INDEX(Market_Data!$H$21:$H$613,COUNT(Market_Data!$H$21:$H$613)),1)),""))</f>
        <v/>
      </c>
      <c r="E525" s="145" t="str">
        <f ca="1">IF($A525="","",IFERROR(INDEX(Market_Data!$L$21:$L$613,MATCH($A525,Market_Data!$K$21:INDEX(Market_Data!$K$21:$K$613,COUNT(Market_Data!$K$21:$K$613)),1)),""))</f>
        <v/>
      </c>
      <c r="F525" s="145" t="str">
        <f ca="1">IF($A525="","",IFERROR(INDEX(Market_Data!$O$21:$O$613,MATCH($A525,Market_Data!$N$21:INDEX(Market_Data!$N$21:$N$613,COUNT(Market_Data!$N$21:$N$613)),1)),""))</f>
        <v/>
      </c>
      <c r="G525" s="145" t="str">
        <f ca="1">IF($A525="","",IFERROR(INDEX(Market_Data!$R$21:$R$613,MATCH($A525,Market_Data!$Q$21:INDEX(Market_Data!$Q$21:$Q$613,COUNT(Market_Data!$Q$21:$Q$613)),1)),""))</f>
        <v/>
      </c>
      <c r="H525" s="145" t="str">
        <f ca="1">IF($A525="","",IFERROR(INDEX(Market_Data!$U$21:$U$613,MATCH($A525,Market_Data!$T$21:INDEX(Market_Data!$T$21:$T$613,COUNT(Market_Data!$T$21:$T$613)),1)),""))</f>
        <v/>
      </c>
      <c r="I525" s="146" t="str">
        <f ca="1">IF($A525="","",IFERROR(INDEX(Query1[Close],MATCH($A525,Query1[Date],1)),""))</f>
        <v/>
      </c>
    </row>
    <row r="526" spans="1:9" x14ac:dyDescent="0.3">
      <c r="A526" s="144" t="str">
        <f t="shared" ca="1" si="10"/>
        <v/>
      </c>
      <c r="B526" s="145" t="str">
        <f ca="1">IF($A526="","",IFERROR(INDEX(Market_Data!$C$21:$C$613,MATCH($A526,Market_Data!$B$21:INDEX(Market_Data!$B$21:$B$613,COUNT(Market_Data!$B$21:$B$613)),1)),""))</f>
        <v/>
      </c>
      <c r="C526" s="145" t="str">
        <f ca="1">IF($A526="","",IFERROR(INDEX(Market_Data!$F$21:$F$613,MATCH($A526,Market_Data!$E$21:INDEX(Market_Data!$E$21:$E$613,COUNT(Market_Data!$E$21:$E$613)),1)),""))</f>
        <v/>
      </c>
      <c r="D526" s="145" t="str">
        <f ca="1">IF($A526="","",IFERROR(INDEX(Market_Data!$I$21:$I$613,MATCH($A526,Market_Data!$H$21:INDEX(Market_Data!$H$21:$H$613,COUNT(Market_Data!$H$21:$H$613)),1)),""))</f>
        <v/>
      </c>
      <c r="E526" s="145" t="str">
        <f ca="1">IF($A526="","",IFERROR(INDEX(Market_Data!$L$21:$L$613,MATCH($A526,Market_Data!$K$21:INDEX(Market_Data!$K$21:$K$613,COUNT(Market_Data!$K$21:$K$613)),1)),""))</f>
        <v/>
      </c>
      <c r="F526" s="145" t="str">
        <f ca="1">IF($A526="","",IFERROR(INDEX(Market_Data!$O$21:$O$613,MATCH($A526,Market_Data!$N$21:INDEX(Market_Data!$N$21:$N$613,COUNT(Market_Data!$N$21:$N$613)),1)),""))</f>
        <v/>
      </c>
      <c r="G526" s="145" t="str">
        <f ca="1">IF($A526="","",IFERROR(INDEX(Market_Data!$R$21:$R$613,MATCH($A526,Market_Data!$Q$21:INDEX(Market_Data!$Q$21:$Q$613,COUNT(Market_Data!$Q$21:$Q$613)),1)),""))</f>
        <v/>
      </c>
      <c r="H526" s="145" t="str">
        <f ca="1">IF($A526="","",IFERROR(INDEX(Market_Data!$U$21:$U$613,MATCH($A526,Market_Data!$T$21:INDEX(Market_Data!$T$21:$T$613,COUNT(Market_Data!$T$21:$T$613)),1)),""))</f>
        <v/>
      </c>
      <c r="I526" s="146" t="str">
        <f ca="1">IF($A526="","",IFERROR(INDEX(Query1[Close],MATCH($A526,Query1[Date],1)),""))</f>
        <v/>
      </c>
    </row>
    <row r="527" spans="1:9" x14ac:dyDescent="0.3">
      <c r="A527" s="144" t="str">
        <f t="shared" ca="1" si="10"/>
        <v/>
      </c>
      <c r="B527" s="145" t="str">
        <f ca="1">IF($A527="","",IFERROR(INDEX(Market_Data!$C$21:$C$613,MATCH($A527,Market_Data!$B$21:INDEX(Market_Data!$B$21:$B$613,COUNT(Market_Data!$B$21:$B$613)),1)),""))</f>
        <v/>
      </c>
      <c r="C527" s="145" t="str">
        <f ca="1">IF($A527="","",IFERROR(INDEX(Market_Data!$F$21:$F$613,MATCH($A527,Market_Data!$E$21:INDEX(Market_Data!$E$21:$E$613,COUNT(Market_Data!$E$21:$E$613)),1)),""))</f>
        <v/>
      </c>
      <c r="D527" s="145" t="str">
        <f ca="1">IF($A527="","",IFERROR(INDEX(Market_Data!$I$21:$I$613,MATCH($A527,Market_Data!$H$21:INDEX(Market_Data!$H$21:$H$613,COUNT(Market_Data!$H$21:$H$613)),1)),""))</f>
        <v/>
      </c>
      <c r="E527" s="145" t="str">
        <f ca="1">IF($A527="","",IFERROR(INDEX(Market_Data!$L$21:$L$613,MATCH($A527,Market_Data!$K$21:INDEX(Market_Data!$K$21:$K$613,COUNT(Market_Data!$K$21:$K$613)),1)),""))</f>
        <v/>
      </c>
      <c r="F527" s="145" t="str">
        <f ca="1">IF($A527="","",IFERROR(INDEX(Market_Data!$O$21:$O$613,MATCH($A527,Market_Data!$N$21:INDEX(Market_Data!$N$21:$N$613,COUNT(Market_Data!$N$21:$N$613)),1)),""))</f>
        <v/>
      </c>
      <c r="G527" s="145" t="str">
        <f ca="1">IF($A527="","",IFERROR(INDEX(Market_Data!$R$21:$R$613,MATCH($A527,Market_Data!$Q$21:INDEX(Market_Data!$Q$21:$Q$613,COUNT(Market_Data!$Q$21:$Q$613)),1)),""))</f>
        <v/>
      </c>
      <c r="H527" s="145" t="str">
        <f ca="1">IF($A527="","",IFERROR(INDEX(Market_Data!$U$21:$U$613,MATCH($A527,Market_Data!$T$21:INDEX(Market_Data!$T$21:$T$613,COUNT(Market_Data!$T$21:$T$613)),1)),""))</f>
        <v/>
      </c>
      <c r="I527" s="146" t="str">
        <f ca="1">IF($A527="","",IFERROR(INDEX(Query1[Close],MATCH($A527,Query1[Date],1)),""))</f>
        <v/>
      </c>
    </row>
    <row r="528" spans="1:9" x14ac:dyDescent="0.3">
      <c r="A528" s="144" t="str">
        <f t="shared" ca="1" si="10"/>
        <v/>
      </c>
      <c r="B528" s="145" t="str">
        <f ca="1">IF($A528="","",IFERROR(INDEX(Market_Data!$C$21:$C$613,MATCH($A528,Market_Data!$B$21:INDEX(Market_Data!$B$21:$B$613,COUNT(Market_Data!$B$21:$B$613)),1)),""))</f>
        <v/>
      </c>
      <c r="C528" s="145" t="str">
        <f ca="1">IF($A528="","",IFERROR(INDEX(Market_Data!$F$21:$F$613,MATCH($A528,Market_Data!$E$21:INDEX(Market_Data!$E$21:$E$613,COUNT(Market_Data!$E$21:$E$613)),1)),""))</f>
        <v/>
      </c>
      <c r="D528" s="145" t="str">
        <f ca="1">IF($A528="","",IFERROR(INDEX(Market_Data!$I$21:$I$613,MATCH($A528,Market_Data!$H$21:INDEX(Market_Data!$H$21:$H$613,COUNT(Market_Data!$H$21:$H$613)),1)),""))</f>
        <v/>
      </c>
      <c r="E528" s="145" t="str">
        <f ca="1">IF($A528="","",IFERROR(INDEX(Market_Data!$L$21:$L$613,MATCH($A528,Market_Data!$K$21:INDEX(Market_Data!$K$21:$K$613,COUNT(Market_Data!$K$21:$K$613)),1)),""))</f>
        <v/>
      </c>
      <c r="F528" s="145" t="str">
        <f ca="1">IF($A528="","",IFERROR(INDEX(Market_Data!$O$21:$O$613,MATCH($A528,Market_Data!$N$21:INDEX(Market_Data!$N$21:$N$613,COUNT(Market_Data!$N$21:$N$613)),1)),""))</f>
        <v/>
      </c>
      <c r="G528" s="145" t="str">
        <f ca="1">IF($A528="","",IFERROR(INDEX(Market_Data!$R$21:$R$613,MATCH($A528,Market_Data!$Q$21:INDEX(Market_Data!$Q$21:$Q$613,COUNT(Market_Data!$Q$21:$Q$613)),1)),""))</f>
        <v/>
      </c>
      <c r="H528" s="145" t="str">
        <f ca="1">IF($A528="","",IFERROR(INDEX(Market_Data!$U$21:$U$613,MATCH($A528,Market_Data!$T$21:INDEX(Market_Data!$T$21:$T$613,COUNT(Market_Data!$T$21:$T$613)),1)),""))</f>
        <v/>
      </c>
      <c r="I528" s="146" t="str">
        <f ca="1">IF($A528="","",IFERROR(INDEX(Query1[Close],MATCH($A528,Query1[Date],1)),""))</f>
        <v/>
      </c>
    </row>
    <row r="529" spans="1:9" x14ac:dyDescent="0.3">
      <c r="A529" s="144" t="str">
        <f t="shared" ca="1" si="10"/>
        <v/>
      </c>
      <c r="B529" s="145" t="str">
        <f ca="1">IF($A529="","",IFERROR(INDEX(Market_Data!$C$21:$C$613,MATCH($A529,Market_Data!$B$21:INDEX(Market_Data!$B$21:$B$613,COUNT(Market_Data!$B$21:$B$613)),1)),""))</f>
        <v/>
      </c>
      <c r="C529" s="145" t="str">
        <f ca="1">IF($A529="","",IFERROR(INDEX(Market_Data!$F$21:$F$613,MATCH($A529,Market_Data!$E$21:INDEX(Market_Data!$E$21:$E$613,COUNT(Market_Data!$E$21:$E$613)),1)),""))</f>
        <v/>
      </c>
      <c r="D529" s="145" t="str">
        <f ca="1">IF($A529="","",IFERROR(INDEX(Market_Data!$I$21:$I$613,MATCH($A529,Market_Data!$H$21:INDEX(Market_Data!$H$21:$H$613,COUNT(Market_Data!$H$21:$H$613)),1)),""))</f>
        <v/>
      </c>
      <c r="E529" s="145" t="str">
        <f ca="1">IF($A529="","",IFERROR(INDEX(Market_Data!$L$21:$L$613,MATCH($A529,Market_Data!$K$21:INDEX(Market_Data!$K$21:$K$613,COUNT(Market_Data!$K$21:$K$613)),1)),""))</f>
        <v/>
      </c>
      <c r="F529" s="145" t="str">
        <f ca="1">IF($A529="","",IFERROR(INDEX(Market_Data!$O$21:$O$613,MATCH($A529,Market_Data!$N$21:INDEX(Market_Data!$N$21:$N$613,COUNT(Market_Data!$N$21:$N$613)),1)),""))</f>
        <v/>
      </c>
      <c r="G529" s="145" t="str">
        <f ca="1">IF($A529="","",IFERROR(INDEX(Market_Data!$R$21:$R$613,MATCH($A529,Market_Data!$Q$21:INDEX(Market_Data!$Q$21:$Q$613,COUNT(Market_Data!$Q$21:$Q$613)),1)),""))</f>
        <v/>
      </c>
      <c r="H529" s="145" t="str">
        <f ca="1">IF($A529="","",IFERROR(INDEX(Market_Data!$U$21:$U$613,MATCH($A529,Market_Data!$T$21:INDEX(Market_Data!$T$21:$T$613,COUNT(Market_Data!$T$21:$T$613)),1)),""))</f>
        <v/>
      </c>
      <c r="I529" s="146" t="str">
        <f ca="1">IF($A529="","",IFERROR(INDEX(Query1[Close],MATCH($A529,Query1[Date],1)),""))</f>
        <v/>
      </c>
    </row>
    <row r="530" spans="1:9" x14ac:dyDescent="0.3">
      <c r="A530" s="144" t="str">
        <f t="shared" ca="1" si="10"/>
        <v/>
      </c>
      <c r="B530" s="145" t="str">
        <f ca="1">IF($A530="","",IFERROR(INDEX(Market_Data!$C$21:$C$613,MATCH($A530,Market_Data!$B$21:INDEX(Market_Data!$B$21:$B$613,COUNT(Market_Data!$B$21:$B$613)),1)),""))</f>
        <v/>
      </c>
      <c r="C530" s="145" t="str">
        <f ca="1">IF($A530="","",IFERROR(INDEX(Market_Data!$F$21:$F$613,MATCH($A530,Market_Data!$E$21:INDEX(Market_Data!$E$21:$E$613,COUNT(Market_Data!$E$21:$E$613)),1)),""))</f>
        <v/>
      </c>
      <c r="D530" s="145" t="str">
        <f ca="1">IF($A530="","",IFERROR(INDEX(Market_Data!$I$21:$I$613,MATCH($A530,Market_Data!$H$21:INDEX(Market_Data!$H$21:$H$613,COUNT(Market_Data!$H$21:$H$613)),1)),""))</f>
        <v/>
      </c>
      <c r="E530" s="145" t="str">
        <f ca="1">IF($A530="","",IFERROR(INDEX(Market_Data!$L$21:$L$613,MATCH($A530,Market_Data!$K$21:INDEX(Market_Data!$K$21:$K$613,COUNT(Market_Data!$K$21:$K$613)),1)),""))</f>
        <v/>
      </c>
      <c r="F530" s="145" t="str">
        <f ca="1">IF($A530="","",IFERROR(INDEX(Market_Data!$O$21:$O$613,MATCH($A530,Market_Data!$N$21:INDEX(Market_Data!$N$21:$N$613,COUNT(Market_Data!$N$21:$N$613)),1)),""))</f>
        <v/>
      </c>
      <c r="G530" s="145" t="str">
        <f ca="1">IF($A530="","",IFERROR(INDEX(Market_Data!$R$21:$R$613,MATCH($A530,Market_Data!$Q$21:INDEX(Market_Data!$Q$21:$Q$613,COUNT(Market_Data!$Q$21:$Q$613)),1)),""))</f>
        <v/>
      </c>
      <c r="H530" s="145" t="str">
        <f ca="1">IF($A530="","",IFERROR(INDEX(Market_Data!$U$21:$U$613,MATCH($A530,Market_Data!$T$21:INDEX(Market_Data!$T$21:$T$613,COUNT(Market_Data!$T$21:$T$613)),1)),""))</f>
        <v/>
      </c>
      <c r="I530" s="146" t="str">
        <f ca="1">IF($A530="","",IFERROR(INDEX(Query1[Close],MATCH($A530,Query1[Date],1)),""))</f>
        <v/>
      </c>
    </row>
    <row r="531" spans="1:9" x14ac:dyDescent="0.3">
      <c r="A531" s="144" t="str">
        <f t="shared" ca="1" si="10"/>
        <v/>
      </c>
      <c r="B531" s="145" t="str">
        <f ca="1">IF($A531="","",IFERROR(INDEX(Market_Data!$C$21:$C$613,MATCH($A531,Market_Data!$B$21:INDEX(Market_Data!$B$21:$B$613,COUNT(Market_Data!$B$21:$B$613)),1)),""))</f>
        <v/>
      </c>
      <c r="C531" s="145" t="str">
        <f ca="1">IF($A531="","",IFERROR(INDEX(Market_Data!$F$21:$F$613,MATCH($A531,Market_Data!$E$21:INDEX(Market_Data!$E$21:$E$613,COUNT(Market_Data!$E$21:$E$613)),1)),""))</f>
        <v/>
      </c>
      <c r="D531" s="145" t="str">
        <f ca="1">IF($A531="","",IFERROR(INDEX(Market_Data!$I$21:$I$613,MATCH($A531,Market_Data!$H$21:INDEX(Market_Data!$H$21:$H$613,COUNT(Market_Data!$H$21:$H$613)),1)),""))</f>
        <v/>
      </c>
      <c r="E531" s="145" t="str">
        <f ca="1">IF($A531="","",IFERROR(INDEX(Market_Data!$L$21:$L$613,MATCH($A531,Market_Data!$K$21:INDEX(Market_Data!$K$21:$K$613,COUNT(Market_Data!$K$21:$K$613)),1)),""))</f>
        <v/>
      </c>
      <c r="F531" s="145" t="str">
        <f ca="1">IF($A531="","",IFERROR(INDEX(Market_Data!$O$21:$O$613,MATCH($A531,Market_Data!$N$21:INDEX(Market_Data!$N$21:$N$613,COUNT(Market_Data!$N$21:$N$613)),1)),""))</f>
        <v/>
      </c>
      <c r="G531" s="145" t="str">
        <f ca="1">IF($A531="","",IFERROR(INDEX(Market_Data!$R$21:$R$613,MATCH($A531,Market_Data!$Q$21:INDEX(Market_Data!$Q$21:$Q$613,COUNT(Market_Data!$Q$21:$Q$613)),1)),""))</f>
        <v/>
      </c>
      <c r="H531" s="145" t="str">
        <f ca="1">IF($A531="","",IFERROR(INDEX(Market_Data!$U$21:$U$613,MATCH($A531,Market_Data!$T$21:INDEX(Market_Data!$T$21:$T$613,COUNT(Market_Data!$T$21:$T$613)),1)),""))</f>
        <v/>
      </c>
      <c r="I531" s="146" t="str">
        <f ca="1">IF($A531="","",IFERROR(INDEX(Query1[Close],MATCH($A531,Query1[Date],1)),""))</f>
        <v/>
      </c>
    </row>
    <row r="532" spans="1:9" x14ac:dyDescent="0.3">
      <c r="A532" s="144" t="str">
        <f t="shared" ca="1" si="10"/>
        <v/>
      </c>
      <c r="B532" s="145" t="str">
        <f ca="1">IF($A532="","",IFERROR(INDEX(Market_Data!$C$21:$C$613,MATCH($A532,Market_Data!$B$21:INDEX(Market_Data!$B$21:$B$613,COUNT(Market_Data!$B$21:$B$613)),1)),""))</f>
        <v/>
      </c>
      <c r="C532" s="145" t="str">
        <f ca="1">IF($A532="","",IFERROR(INDEX(Market_Data!$F$21:$F$613,MATCH($A532,Market_Data!$E$21:INDEX(Market_Data!$E$21:$E$613,COUNT(Market_Data!$E$21:$E$613)),1)),""))</f>
        <v/>
      </c>
      <c r="D532" s="145" t="str">
        <f ca="1">IF($A532="","",IFERROR(INDEX(Market_Data!$I$21:$I$613,MATCH($A532,Market_Data!$H$21:INDEX(Market_Data!$H$21:$H$613,COUNT(Market_Data!$H$21:$H$613)),1)),""))</f>
        <v/>
      </c>
      <c r="E532" s="145" t="str">
        <f ca="1">IF($A532="","",IFERROR(INDEX(Market_Data!$L$21:$L$613,MATCH($A532,Market_Data!$K$21:INDEX(Market_Data!$K$21:$K$613,COUNT(Market_Data!$K$21:$K$613)),1)),""))</f>
        <v/>
      </c>
      <c r="F532" s="145" t="str">
        <f ca="1">IF($A532="","",IFERROR(INDEX(Market_Data!$O$21:$O$613,MATCH($A532,Market_Data!$N$21:INDEX(Market_Data!$N$21:$N$613,COUNT(Market_Data!$N$21:$N$613)),1)),""))</f>
        <v/>
      </c>
      <c r="G532" s="145" t="str">
        <f ca="1">IF($A532="","",IFERROR(INDEX(Market_Data!$R$21:$R$613,MATCH($A532,Market_Data!$Q$21:INDEX(Market_Data!$Q$21:$Q$613,COUNT(Market_Data!$Q$21:$Q$613)),1)),""))</f>
        <v/>
      </c>
      <c r="H532" s="145" t="str">
        <f ca="1">IF($A532="","",IFERROR(INDEX(Market_Data!$U$21:$U$613,MATCH($A532,Market_Data!$T$21:INDEX(Market_Data!$T$21:$T$613,COUNT(Market_Data!$T$21:$T$613)),1)),""))</f>
        <v/>
      </c>
      <c r="I532" s="146" t="str">
        <f ca="1">IF($A532="","",IFERROR(INDEX(Query1[Close],MATCH($A532,Query1[Date],1)),""))</f>
        <v/>
      </c>
    </row>
    <row r="533" spans="1:9" x14ac:dyDescent="0.3">
      <c r="A533" s="144" t="str">
        <f t="shared" ca="1" si="10"/>
        <v/>
      </c>
      <c r="B533" s="145" t="str">
        <f ca="1">IF($A533="","",IFERROR(INDEX(Market_Data!$C$21:$C$613,MATCH($A533,Market_Data!$B$21:INDEX(Market_Data!$B$21:$B$613,COUNT(Market_Data!$B$21:$B$613)),1)),""))</f>
        <v/>
      </c>
      <c r="C533" s="145" t="str">
        <f ca="1">IF($A533="","",IFERROR(INDEX(Market_Data!$F$21:$F$613,MATCH($A533,Market_Data!$E$21:INDEX(Market_Data!$E$21:$E$613,COUNT(Market_Data!$E$21:$E$613)),1)),""))</f>
        <v/>
      </c>
      <c r="D533" s="145" t="str">
        <f ca="1">IF($A533="","",IFERROR(INDEX(Market_Data!$I$21:$I$613,MATCH($A533,Market_Data!$H$21:INDEX(Market_Data!$H$21:$H$613,COUNT(Market_Data!$H$21:$H$613)),1)),""))</f>
        <v/>
      </c>
      <c r="E533" s="145" t="str">
        <f ca="1">IF($A533="","",IFERROR(INDEX(Market_Data!$L$21:$L$613,MATCH($A533,Market_Data!$K$21:INDEX(Market_Data!$K$21:$K$613,COUNT(Market_Data!$K$21:$K$613)),1)),""))</f>
        <v/>
      </c>
      <c r="F533" s="145" t="str">
        <f ca="1">IF($A533="","",IFERROR(INDEX(Market_Data!$O$21:$O$613,MATCH($A533,Market_Data!$N$21:INDEX(Market_Data!$N$21:$N$613,COUNT(Market_Data!$N$21:$N$613)),1)),""))</f>
        <v/>
      </c>
      <c r="G533" s="145" t="str">
        <f ca="1">IF($A533="","",IFERROR(INDEX(Market_Data!$R$21:$R$613,MATCH($A533,Market_Data!$Q$21:INDEX(Market_Data!$Q$21:$Q$613,COUNT(Market_Data!$Q$21:$Q$613)),1)),""))</f>
        <v/>
      </c>
      <c r="H533" s="145" t="str">
        <f ca="1">IF($A533="","",IFERROR(INDEX(Market_Data!$U$21:$U$613,MATCH($A533,Market_Data!$T$21:INDEX(Market_Data!$T$21:$T$613,COUNT(Market_Data!$T$21:$T$613)),1)),""))</f>
        <v/>
      </c>
      <c r="I533" s="146" t="str">
        <f ca="1">IF($A533="","",IFERROR(INDEX(Query1[Close],MATCH($A533,Query1[Date],1)),""))</f>
        <v/>
      </c>
    </row>
    <row r="534" spans="1:9" x14ac:dyDescent="0.3">
      <c r="A534" s="144" t="str">
        <f t="shared" ca="1" si="10"/>
        <v/>
      </c>
      <c r="B534" s="145" t="str">
        <f ca="1">IF($A534="","",IFERROR(INDEX(Market_Data!$C$21:$C$613,MATCH($A534,Market_Data!$B$21:INDEX(Market_Data!$B$21:$B$613,COUNT(Market_Data!$B$21:$B$613)),1)),""))</f>
        <v/>
      </c>
      <c r="C534" s="145" t="str">
        <f ca="1">IF($A534="","",IFERROR(INDEX(Market_Data!$F$21:$F$613,MATCH($A534,Market_Data!$E$21:INDEX(Market_Data!$E$21:$E$613,COUNT(Market_Data!$E$21:$E$613)),1)),""))</f>
        <v/>
      </c>
      <c r="D534" s="145" t="str">
        <f ca="1">IF($A534="","",IFERROR(INDEX(Market_Data!$I$21:$I$613,MATCH($A534,Market_Data!$H$21:INDEX(Market_Data!$H$21:$H$613,COUNT(Market_Data!$H$21:$H$613)),1)),""))</f>
        <v/>
      </c>
      <c r="E534" s="145" t="str">
        <f ca="1">IF($A534="","",IFERROR(INDEX(Market_Data!$L$21:$L$613,MATCH($A534,Market_Data!$K$21:INDEX(Market_Data!$K$21:$K$613,COUNT(Market_Data!$K$21:$K$613)),1)),""))</f>
        <v/>
      </c>
      <c r="F534" s="145" t="str">
        <f ca="1">IF($A534="","",IFERROR(INDEX(Market_Data!$O$21:$O$613,MATCH($A534,Market_Data!$N$21:INDEX(Market_Data!$N$21:$N$613,COUNT(Market_Data!$N$21:$N$613)),1)),""))</f>
        <v/>
      </c>
      <c r="G534" s="145" t="str">
        <f ca="1">IF($A534="","",IFERROR(INDEX(Market_Data!$R$21:$R$613,MATCH($A534,Market_Data!$Q$21:INDEX(Market_Data!$Q$21:$Q$613,COUNT(Market_Data!$Q$21:$Q$613)),1)),""))</f>
        <v/>
      </c>
      <c r="H534" s="145" t="str">
        <f ca="1">IF($A534="","",IFERROR(INDEX(Market_Data!$U$21:$U$613,MATCH($A534,Market_Data!$T$21:INDEX(Market_Data!$T$21:$T$613,COUNT(Market_Data!$T$21:$T$613)),1)),""))</f>
        <v/>
      </c>
      <c r="I534" s="146" t="str">
        <f ca="1">IF($A534="","",IFERROR(INDEX(Query1[Close],MATCH($A534,Query1[Date],1)),""))</f>
        <v/>
      </c>
    </row>
    <row r="535" spans="1:9" x14ac:dyDescent="0.3">
      <c r="A535" s="144" t="str">
        <f t="shared" ca="1" si="10"/>
        <v/>
      </c>
      <c r="B535" s="145" t="str">
        <f ca="1">IF($A535="","",IFERROR(INDEX(Market_Data!$C$21:$C$613,MATCH($A535,Market_Data!$B$21:INDEX(Market_Data!$B$21:$B$613,COUNT(Market_Data!$B$21:$B$613)),1)),""))</f>
        <v/>
      </c>
      <c r="C535" s="145" t="str">
        <f ca="1">IF($A535="","",IFERROR(INDEX(Market_Data!$F$21:$F$613,MATCH($A535,Market_Data!$E$21:INDEX(Market_Data!$E$21:$E$613,COUNT(Market_Data!$E$21:$E$613)),1)),""))</f>
        <v/>
      </c>
      <c r="D535" s="145" t="str">
        <f ca="1">IF($A535="","",IFERROR(INDEX(Market_Data!$I$21:$I$613,MATCH($A535,Market_Data!$H$21:INDEX(Market_Data!$H$21:$H$613,COUNT(Market_Data!$H$21:$H$613)),1)),""))</f>
        <v/>
      </c>
      <c r="E535" s="145" t="str">
        <f ca="1">IF($A535="","",IFERROR(INDEX(Market_Data!$L$21:$L$613,MATCH($A535,Market_Data!$K$21:INDEX(Market_Data!$K$21:$K$613,COUNT(Market_Data!$K$21:$K$613)),1)),""))</f>
        <v/>
      </c>
      <c r="F535" s="145" t="str">
        <f ca="1">IF($A535="","",IFERROR(INDEX(Market_Data!$O$21:$O$613,MATCH($A535,Market_Data!$N$21:INDEX(Market_Data!$N$21:$N$613,COUNT(Market_Data!$N$21:$N$613)),1)),""))</f>
        <v/>
      </c>
      <c r="G535" s="145" t="str">
        <f ca="1">IF($A535="","",IFERROR(INDEX(Market_Data!$R$21:$R$613,MATCH($A535,Market_Data!$Q$21:INDEX(Market_Data!$Q$21:$Q$613,COUNT(Market_Data!$Q$21:$Q$613)),1)),""))</f>
        <v/>
      </c>
      <c r="H535" s="145" t="str">
        <f ca="1">IF($A535="","",IFERROR(INDEX(Market_Data!$U$21:$U$613,MATCH($A535,Market_Data!$T$21:INDEX(Market_Data!$T$21:$T$613,COUNT(Market_Data!$T$21:$T$613)),1)),""))</f>
        <v/>
      </c>
      <c r="I535" s="146" t="str">
        <f ca="1">IF($A535="","",IFERROR(INDEX(Query1[Close],MATCH($A535,Query1[Date],1)),""))</f>
        <v/>
      </c>
    </row>
    <row r="536" spans="1:9" x14ac:dyDescent="0.3">
      <c r="A536" s="144" t="str">
        <f t="shared" ca="1" si="10"/>
        <v/>
      </c>
      <c r="B536" s="145" t="str">
        <f ca="1">IF($A536="","",IFERROR(INDEX(Market_Data!$C$21:$C$613,MATCH($A536,Market_Data!$B$21:INDEX(Market_Data!$B$21:$B$613,COUNT(Market_Data!$B$21:$B$613)),1)),""))</f>
        <v/>
      </c>
      <c r="C536" s="145" t="str">
        <f ca="1">IF($A536="","",IFERROR(INDEX(Market_Data!$F$21:$F$613,MATCH($A536,Market_Data!$E$21:INDEX(Market_Data!$E$21:$E$613,COUNT(Market_Data!$E$21:$E$613)),1)),""))</f>
        <v/>
      </c>
      <c r="D536" s="145" t="str">
        <f ca="1">IF($A536="","",IFERROR(INDEX(Market_Data!$I$21:$I$613,MATCH($A536,Market_Data!$H$21:INDEX(Market_Data!$H$21:$H$613,COUNT(Market_Data!$H$21:$H$613)),1)),""))</f>
        <v/>
      </c>
      <c r="E536" s="145" t="str">
        <f ca="1">IF($A536="","",IFERROR(INDEX(Market_Data!$L$21:$L$613,MATCH($A536,Market_Data!$K$21:INDEX(Market_Data!$K$21:$K$613,COUNT(Market_Data!$K$21:$K$613)),1)),""))</f>
        <v/>
      </c>
      <c r="F536" s="145" t="str">
        <f ca="1">IF($A536="","",IFERROR(INDEX(Market_Data!$O$21:$O$613,MATCH($A536,Market_Data!$N$21:INDEX(Market_Data!$N$21:$N$613,COUNT(Market_Data!$N$21:$N$613)),1)),""))</f>
        <v/>
      </c>
      <c r="G536" s="145" t="str">
        <f ca="1">IF($A536="","",IFERROR(INDEX(Market_Data!$R$21:$R$613,MATCH($A536,Market_Data!$Q$21:INDEX(Market_Data!$Q$21:$Q$613,COUNT(Market_Data!$Q$21:$Q$613)),1)),""))</f>
        <v/>
      </c>
      <c r="H536" s="145" t="str">
        <f ca="1">IF($A536="","",IFERROR(INDEX(Market_Data!$U$21:$U$613,MATCH($A536,Market_Data!$T$21:INDEX(Market_Data!$T$21:$T$613,COUNT(Market_Data!$T$21:$T$613)),1)),""))</f>
        <v/>
      </c>
      <c r="I536" s="146" t="str">
        <f ca="1">IF($A536="","",IFERROR(INDEX(Query1[Close],MATCH($A536,Query1[Date],1)),""))</f>
        <v/>
      </c>
    </row>
    <row r="537" spans="1:9" x14ac:dyDescent="0.3">
      <c r="A537" s="144" t="str">
        <f t="shared" ca="1" si="10"/>
        <v/>
      </c>
      <c r="B537" s="145" t="str">
        <f ca="1">IF($A537="","",IFERROR(INDEX(Market_Data!$C$21:$C$613,MATCH($A537,Market_Data!$B$21:INDEX(Market_Data!$B$21:$B$613,COUNT(Market_Data!$B$21:$B$613)),1)),""))</f>
        <v/>
      </c>
      <c r="C537" s="145" t="str">
        <f ca="1">IF($A537="","",IFERROR(INDEX(Market_Data!$F$21:$F$613,MATCH($A537,Market_Data!$E$21:INDEX(Market_Data!$E$21:$E$613,COUNT(Market_Data!$E$21:$E$613)),1)),""))</f>
        <v/>
      </c>
      <c r="D537" s="145" t="str">
        <f ca="1">IF($A537="","",IFERROR(INDEX(Market_Data!$I$21:$I$613,MATCH($A537,Market_Data!$H$21:INDEX(Market_Data!$H$21:$H$613,COUNT(Market_Data!$H$21:$H$613)),1)),""))</f>
        <v/>
      </c>
      <c r="E537" s="145" t="str">
        <f ca="1">IF($A537="","",IFERROR(INDEX(Market_Data!$L$21:$L$613,MATCH($A537,Market_Data!$K$21:INDEX(Market_Data!$K$21:$K$613,COUNT(Market_Data!$K$21:$K$613)),1)),""))</f>
        <v/>
      </c>
      <c r="F537" s="145" t="str">
        <f ca="1">IF($A537="","",IFERROR(INDEX(Market_Data!$O$21:$O$613,MATCH($A537,Market_Data!$N$21:INDEX(Market_Data!$N$21:$N$613,COUNT(Market_Data!$N$21:$N$613)),1)),""))</f>
        <v/>
      </c>
      <c r="G537" s="145" t="str">
        <f ca="1">IF($A537="","",IFERROR(INDEX(Market_Data!$R$21:$R$613,MATCH($A537,Market_Data!$Q$21:INDEX(Market_Data!$Q$21:$Q$613,COUNT(Market_Data!$Q$21:$Q$613)),1)),""))</f>
        <v/>
      </c>
      <c r="H537" s="145" t="str">
        <f ca="1">IF($A537="","",IFERROR(INDEX(Market_Data!$U$21:$U$613,MATCH($A537,Market_Data!$T$21:INDEX(Market_Data!$T$21:$T$613,COUNT(Market_Data!$T$21:$T$613)),1)),""))</f>
        <v/>
      </c>
      <c r="I537" s="146" t="str">
        <f ca="1">IF($A537="","",IFERROR(INDEX(Query1[Close],MATCH($A537,Query1[Date],1)),""))</f>
        <v/>
      </c>
    </row>
    <row r="538" spans="1:9" x14ac:dyDescent="0.3">
      <c r="A538" s="144" t="str">
        <f t="shared" ca="1" si="10"/>
        <v/>
      </c>
      <c r="B538" s="145" t="str">
        <f ca="1">IF($A538="","",IFERROR(INDEX(Market_Data!$C$21:$C$613,MATCH($A538,Market_Data!$B$21:INDEX(Market_Data!$B$21:$B$613,COUNT(Market_Data!$B$21:$B$613)),1)),""))</f>
        <v/>
      </c>
      <c r="C538" s="145" t="str">
        <f ca="1">IF($A538="","",IFERROR(INDEX(Market_Data!$F$21:$F$613,MATCH($A538,Market_Data!$E$21:INDEX(Market_Data!$E$21:$E$613,COUNT(Market_Data!$E$21:$E$613)),1)),""))</f>
        <v/>
      </c>
      <c r="D538" s="145" t="str">
        <f ca="1">IF($A538="","",IFERROR(INDEX(Market_Data!$I$21:$I$613,MATCH($A538,Market_Data!$H$21:INDEX(Market_Data!$H$21:$H$613,COUNT(Market_Data!$H$21:$H$613)),1)),""))</f>
        <v/>
      </c>
      <c r="E538" s="145" t="str">
        <f ca="1">IF($A538="","",IFERROR(INDEX(Market_Data!$L$21:$L$613,MATCH($A538,Market_Data!$K$21:INDEX(Market_Data!$K$21:$K$613,COUNT(Market_Data!$K$21:$K$613)),1)),""))</f>
        <v/>
      </c>
      <c r="F538" s="145" t="str">
        <f ca="1">IF($A538="","",IFERROR(INDEX(Market_Data!$O$21:$O$613,MATCH($A538,Market_Data!$N$21:INDEX(Market_Data!$N$21:$N$613,COUNT(Market_Data!$N$21:$N$613)),1)),""))</f>
        <v/>
      </c>
      <c r="G538" s="145" t="str">
        <f ca="1">IF($A538="","",IFERROR(INDEX(Market_Data!$R$21:$R$613,MATCH($A538,Market_Data!$Q$21:INDEX(Market_Data!$Q$21:$Q$613,COUNT(Market_Data!$Q$21:$Q$613)),1)),""))</f>
        <v/>
      </c>
      <c r="H538" s="145" t="str">
        <f ca="1">IF($A538="","",IFERROR(INDEX(Market_Data!$U$21:$U$613,MATCH($A538,Market_Data!$T$21:INDEX(Market_Data!$T$21:$T$613,COUNT(Market_Data!$T$21:$T$613)),1)),""))</f>
        <v/>
      </c>
      <c r="I538" s="146" t="str">
        <f ca="1">IF($A538="","",IFERROR(INDEX(Query1[Close],MATCH($A538,Query1[Date],1)),""))</f>
        <v/>
      </c>
    </row>
    <row r="539" spans="1:9" x14ac:dyDescent="0.3">
      <c r="A539" s="144" t="str">
        <f t="shared" ca="1" si="10"/>
        <v/>
      </c>
      <c r="B539" s="145" t="str">
        <f ca="1">IF($A539="","",IFERROR(INDEX(Market_Data!$C$21:$C$613,MATCH($A539,Market_Data!$B$21:INDEX(Market_Data!$B$21:$B$613,COUNT(Market_Data!$B$21:$B$613)),1)),""))</f>
        <v/>
      </c>
      <c r="C539" s="145" t="str">
        <f ca="1">IF($A539="","",IFERROR(INDEX(Market_Data!$F$21:$F$613,MATCH($A539,Market_Data!$E$21:INDEX(Market_Data!$E$21:$E$613,COUNT(Market_Data!$E$21:$E$613)),1)),""))</f>
        <v/>
      </c>
      <c r="D539" s="145" t="str">
        <f ca="1">IF($A539="","",IFERROR(INDEX(Market_Data!$I$21:$I$613,MATCH($A539,Market_Data!$H$21:INDEX(Market_Data!$H$21:$H$613,COUNT(Market_Data!$H$21:$H$613)),1)),""))</f>
        <v/>
      </c>
      <c r="E539" s="145" t="str">
        <f ca="1">IF($A539="","",IFERROR(INDEX(Market_Data!$L$21:$L$613,MATCH($A539,Market_Data!$K$21:INDEX(Market_Data!$K$21:$K$613,COUNT(Market_Data!$K$21:$K$613)),1)),""))</f>
        <v/>
      </c>
      <c r="F539" s="145" t="str">
        <f ca="1">IF($A539="","",IFERROR(INDEX(Market_Data!$O$21:$O$613,MATCH($A539,Market_Data!$N$21:INDEX(Market_Data!$N$21:$N$613,COUNT(Market_Data!$N$21:$N$613)),1)),""))</f>
        <v/>
      </c>
      <c r="G539" s="145" t="str">
        <f ca="1">IF($A539="","",IFERROR(INDEX(Market_Data!$R$21:$R$613,MATCH($A539,Market_Data!$Q$21:INDEX(Market_Data!$Q$21:$Q$613,COUNT(Market_Data!$Q$21:$Q$613)),1)),""))</f>
        <v/>
      </c>
      <c r="H539" s="145" t="str">
        <f ca="1">IF($A539="","",IFERROR(INDEX(Market_Data!$U$21:$U$613,MATCH($A539,Market_Data!$T$21:INDEX(Market_Data!$T$21:$T$613,COUNT(Market_Data!$T$21:$T$613)),1)),""))</f>
        <v/>
      </c>
      <c r="I539" s="146" t="str">
        <f ca="1">IF($A539="","",IFERROR(INDEX(Query1[Close],MATCH($A539,Query1[Date],1)),""))</f>
        <v/>
      </c>
    </row>
    <row r="540" spans="1:9" x14ac:dyDescent="0.3">
      <c r="A540" s="144" t="str">
        <f t="shared" ca="1" si="10"/>
        <v/>
      </c>
      <c r="B540" s="145" t="str">
        <f ca="1">IF($A540="","",IFERROR(INDEX(Market_Data!$C$21:$C$613,MATCH($A540,Market_Data!$B$21:INDEX(Market_Data!$B$21:$B$613,COUNT(Market_Data!$B$21:$B$613)),1)),""))</f>
        <v/>
      </c>
      <c r="C540" s="145" t="str">
        <f ca="1">IF($A540="","",IFERROR(INDEX(Market_Data!$F$21:$F$613,MATCH($A540,Market_Data!$E$21:INDEX(Market_Data!$E$21:$E$613,COUNT(Market_Data!$E$21:$E$613)),1)),""))</f>
        <v/>
      </c>
      <c r="D540" s="145" t="str">
        <f ca="1">IF($A540="","",IFERROR(INDEX(Market_Data!$I$21:$I$613,MATCH($A540,Market_Data!$H$21:INDEX(Market_Data!$H$21:$H$613,COUNT(Market_Data!$H$21:$H$613)),1)),""))</f>
        <v/>
      </c>
      <c r="E540" s="145" t="str">
        <f ca="1">IF($A540="","",IFERROR(INDEX(Market_Data!$L$21:$L$613,MATCH($A540,Market_Data!$K$21:INDEX(Market_Data!$K$21:$K$613,COUNT(Market_Data!$K$21:$K$613)),1)),""))</f>
        <v/>
      </c>
      <c r="F540" s="145" t="str">
        <f ca="1">IF($A540="","",IFERROR(INDEX(Market_Data!$O$21:$O$613,MATCH($A540,Market_Data!$N$21:INDEX(Market_Data!$N$21:$N$613,COUNT(Market_Data!$N$21:$N$613)),1)),""))</f>
        <v/>
      </c>
      <c r="G540" s="145" t="str">
        <f ca="1">IF($A540="","",IFERROR(INDEX(Market_Data!$R$21:$R$613,MATCH($A540,Market_Data!$Q$21:INDEX(Market_Data!$Q$21:$Q$613,COUNT(Market_Data!$Q$21:$Q$613)),1)),""))</f>
        <v/>
      </c>
      <c r="H540" s="145" t="str">
        <f ca="1">IF($A540="","",IFERROR(INDEX(Market_Data!$U$21:$U$613,MATCH($A540,Market_Data!$T$21:INDEX(Market_Data!$T$21:$T$613,COUNT(Market_Data!$T$21:$T$613)),1)),""))</f>
        <v/>
      </c>
      <c r="I540" s="146" t="str">
        <f ca="1">IF($A540="","",IFERROR(INDEX(Query1[Close],MATCH($A540,Query1[Date],1)),""))</f>
        <v/>
      </c>
    </row>
    <row r="541" spans="1:9" x14ac:dyDescent="0.3">
      <c r="A541" s="144" t="str">
        <f t="shared" ca="1" si="10"/>
        <v/>
      </c>
      <c r="B541" s="145" t="str">
        <f ca="1">IF($A541="","",IFERROR(INDEX(Market_Data!$C$21:$C$613,MATCH($A541,Market_Data!$B$21:INDEX(Market_Data!$B$21:$B$613,COUNT(Market_Data!$B$21:$B$613)),1)),""))</f>
        <v/>
      </c>
      <c r="C541" s="145" t="str">
        <f ca="1">IF($A541="","",IFERROR(INDEX(Market_Data!$F$21:$F$613,MATCH($A541,Market_Data!$E$21:INDEX(Market_Data!$E$21:$E$613,COUNT(Market_Data!$E$21:$E$613)),1)),""))</f>
        <v/>
      </c>
      <c r="D541" s="145" t="str">
        <f ca="1">IF($A541="","",IFERROR(INDEX(Market_Data!$I$21:$I$613,MATCH($A541,Market_Data!$H$21:INDEX(Market_Data!$H$21:$H$613,COUNT(Market_Data!$H$21:$H$613)),1)),""))</f>
        <v/>
      </c>
      <c r="E541" s="145" t="str">
        <f ca="1">IF($A541="","",IFERROR(INDEX(Market_Data!$L$21:$L$613,MATCH($A541,Market_Data!$K$21:INDEX(Market_Data!$K$21:$K$613,COUNT(Market_Data!$K$21:$K$613)),1)),""))</f>
        <v/>
      </c>
      <c r="F541" s="145" t="str">
        <f ca="1">IF($A541="","",IFERROR(INDEX(Market_Data!$O$21:$O$613,MATCH($A541,Market_Data!$N$21:INDEX(Market_Data!$N$21:$N$613,COUNT(Market_Data!$N$21:$N$613)),1)),""))</f>
        <v/>
      </c>
      <c r="G541" s="145" t="str">
        <f ca="1">IF($A541="","",IFERROR(INDEX(Market_Data!$R$21:$R$613,MATCH($A541,Market_Data!$Q$21:INDEX(Market_Data!$Q$21:$Q$613,COUNT(Market_Data!$Q$21:$Q$613)),1)),""))</f>
        <v/>
      </c>
      <c r="H541" s="145" t="str">
        <f ca="1">IF($A541="","",IFERROR(INDEX(Market_Data!$U$21:$U$613,MATCH($A541,Market_Data!$T$21:INDEX(Market_Data!$T$21:$T$613,COUNT(Market_Data!$T$21:$T$613)),1)),""))</f>
        <v/>
      </c>
      <c r="I541" s="146" t="str">
        <f ca="1">IF($A541="","",IFERROR(INDEX(Query1[Close],MATCH($A541,Query1[Date],1)),""))</f>
        <v/>
      </c>
    </row>
    <row r="542" spans="1:9" x14ac:dyDescent="0.3">
      <c r="A542" s="144" t="str">
        <f t="shared" ca="1" si="10"/>
        <v/>
      </c>
      <c r="B542" s="145" t="str">
        <f ca="1">IF($A542="","",IFERROR(INDEX(Market_Data!$C$21:$C$613,MATCH($A542,Market_Data!$B$21:INDEX(Market_Data!$B$21:$B$613,COUNT(Market_Data!$B$21:$B$613)),1)),""))</f>
        <v/>
      </c>
      <c r="C542" s="145" t="str">
        <f ca="1">IF($A542="","",IFERROR(INDEX(Market_Data!$F$21:$F$613,MATCH($A542,Market_Data!$E$21:INDEX(Market_Data!$E$21:$E$613,COUNT(Market_Data!$E$21:$E$613)),1)),""))</f>
        <v/>
      </c>
      <c r="D542" s="145" t="str">
        <f ca="1">IF($A542="","",IFERROR(INDEX(Market_Data!$I$21:$I$613,MATCH($A542,Market_Data!$H$21:INDEX(Market_Data!$H$21:$H$613,COUNT(Market_Data!$H$21:$H$613)),1)),""))</f>
        <v/>
      </c>
      <c r="E542" s="145" t="str">
        <f ca="1">IF($A542="","",IFERROR(INDEX(Market_Data!$L$21:$L$613,MATCH($A542,Market_Data!$K$21:INDEX(Market_Data!$K$21:$K$613,COUNT(Market_Data!$K$21:$K$613)),1)),""))</f>
        <v/>
      </c>
      <c r="F542" s="145" t="str">
        <f ca="1">IF($A542="","",IFERROR(INDEX(Market_Data!$O$21:$O$613,MATCH($A542,Market_Data!$N$21:INDEX(Market_Data!$N$21:$N$613,COUNT(Market_Data!$N$21:$N$613)),1)),""))</f>
        <v/>
      </c>
      <c r="G542" s="145" t="str">
        <f ca="1">IF($A542="","",IFERROR(INDEX(Market_Data!$R$21:$R$613,MATCH($A542,Market_Data!$Q$21:INDEX(Market_Data!$Q$21:$Q$613,COUNT(Market_Data!$Q$21:$Q$613)),1)),""))</f>
        <v/>
      </c>
      <c r="H542" s="145" t="str">
        <f ca="1">IF($A542="","",IFERROR(INDEX(Market_Data!$U$21:$U$613,MATCH($A542,Market_Data!$T$21:INDEX(Market_Data!$T$21:$T$613,COUNT(Market_Data!$T$21:$T$613)),1)),""))</f>
        <v/>
      </c>
      <c r="I542" s="146" t="str">
        <f ca="1">IF($A542="","",IFERROR(INDEX(Query1[Close],MATCH($A542,Query1[Date],1)),""))</f>
        <v/>
      </c>
    </row>
    <row r="543" spans="1:9" x14ac:dyDescent="0.3">
      <c r="A543" s="144" t="str">
        <f t="shared" ca="1" si="10"/>
        <v/>
      </c>
      <c r="B543" s="145" t="str">
        <f ca="1">IF($A543="","",IFERROR(INDEX(Market_Data!$C$21:$C$613,MATCH($A543,Market_Data!$B$21:INDEX(Market_Data!$B$21:$B$613,COUNT(Market_Data!$B$21:$B$613)),1)),""))</f>
        <v/>
      </c>
      <c r="C543" s="145" t="str">
        <f ca="1">IF($A543="","",IFERROR(INDEX(Market_Data!$F$21:$F$613,MATCH($A543,Market_Data!$E$21:INDEX(Market_Data!$E$21:$E$613,COUNT(Market_Data!$E$21:$E$613)),1)),""))</f>
        <v/>
      </c>
      <c r="D543" s="145" t="str">
        <f ca="1">IF($A543="","",IFERROR(INDEX(Market_Data!$I$21:$I$613,MATCH($A543,Market_Data!$H$21:INDEX(Market_Data!$H$21:$H$613,COUNT(Market_Data!$H$21:$H$613)),1)),""))</f>
        <v/>
      </c>
      <c r="E543" s="145" t="str">
        <f ca="1">IF($A543="","",IFERROR(INDEX(Market_Data!$L$21:$L$613,MATCH($A543,Market_Data!$K$21:INDEX(Market_Data!$K$21:$K$613,COUNT(Market_Data!$K$21:$K$613)),1)),""))</f>
        <v/>
      </c>
      <c r="F543" s="145" t="str">
        <f ca="1">IF($A543="","",IFERROR(INDEX(Market_Data!$O$21:$O$613,MATCH($A543,Market_Data!$N$21:INDEX(Market_Data!$N$21:$N$613,COUNT(Market_Data!$N$21:$N$613)),1)),""))</f>
        <v/>
      </c>
      <c r="G543" s="145" t="str">
        <f ca="1">IF($A543="","",IFERROR(INDEX(Market_Data!$R$21:$R$613,MATCH($A543,Market_Data!$Q$21:INDEX(Market_Data!$Q$21:$Q$613,COUNT(Market_Data!$Q$21:$Q$613)),1)),""))</f>
        <v/>
      </c>
      <c r="H543" s="145" t="str">
        <f ca="1">IF($A543="","",IFERROR(INDEX(Market_Data!$U$21:$U$613,MATCH($A543,Market_Data!$T$21:INDEX(Market_Data!$T$21:$T$613,COUNT(Market_Data!$T$21:$T$613)),1)),""))</f>
        <v/>
      </c>
      <c r="I543" s="146" t="str">
        <f ca="1">IF($A543="","",IFERROR(INDEX(Query1[Close],MATCH($A543,Query1[Date],1)),""))</f>
        <v/>
      </c>
    </row>
    <row r="544" spans="1:9" x14ac:dyDescent="0.3">
      <c r="A544" s="144" t="str">
        <f t="shared" ca="1" si="10"/>
        <v/>
      </c>
      <c r="B544" s="145" t="str">
        <f ca="1">IF($A544="","",IFERROR(INDEX(Market_Data!$C$21:$C$613,MATCH($A544,Market_Data!$B$21:INDEX(Market_Data!$B$21:$B$613,COUNT(Market_Data!$B$21:$B$613)),1)),""))</f>
        <v/>
      </c>
      <c r="C544" s="145" t="str">
        <f ca="1">IF($A544="","",IFERROR(INDEX(Market_Data!$F$21:$F$613,MATCH($A544,Market_Data!$E$21:INDEX(Market_Data!$E$21:$E$613,COUNT(Market_Data!$E$21:$E$613)),1)),""))</f>
        <v/>
      </c>
      <c r="D544" s="145" t="str">
        <f ca="1">IF($A544="","",IFERROR(INDEX(Market_Data!$I$21:$I$613,MATCH($A544,Market_Data!$H$21:INDEX(Market_Data!$H$21:$H$613,COUNT(Market_Data!$H$21:$H$613)),1)),""))</f>
        <v/>
      </c>
      <c r="E544" s="145" t="str">
        <f ca="1">IF($A544="","",IFERROR(INDEX(Market_Data!$L$21:$L$613,MATCH($A544,Market_Data!$K$21:INDEX(Market_Data!$K$21:$K$613,COUNT(Market_Data!$K$21:$K$613)),1)),""))</f>
        <v/>
      </c>
      <c r="F544" s="145" t="str">
        <f ca="1">IF($A544="","",IFERROR(INDEX(Market_Data!$O$21:$O$613,MATCH($A544,Market_Data!$N$21:INDEX(Market_Data!$N$21:$N$613,COUNT(Market_Data!$N$21:$N$613)),1)),""))</f>
        <v/>
      </c>
      <c r="G544" s="145" t="str">
        <f ca="1">IF($A544="","",IFERROR(INDEX(Market_Data!$R$21:$R$613,MATCH($A544,Market_Data!$Q$21:INDEX(Market_Data!$Q$21:$Q$613,COUNT(Market_Data!$Q$21:$Q$613)),1)),""))</f>
        <v/>
      </c>
      <c r="H544" s="145" t="str">
        <f ca="1">IF($A544="","",IFERROR(INDEX(Market_Data!$U$21:$U$613,MATCH($A544,Market_Data!$T$21:INDEX(Market_Data!$T$21:$T$613,COUNT(Market_Data!$T$21:$T$613)),1)),""))</f>
        <v/>
      </c>
      <c r="I544" s="146" t="str">
        <f ca="1">IF($A544="","",IFERROR(INDEX(Query1[Close],MATCH($A544,Query1[Date],1)),""))</f>
        <v/>
      </c>
    </row>
    <row r="545" spans="1:9" x14ac:dyDescent="0.3">
      <c r="A545" s="144" t="str">
        <f t="shared" ca="1" si="10"/>
        <v/>
      </c>
      <c r="B545" s="145" t="str">
        <f ca="1">IF($A545="","",IFERROR(INDEX(Market_Data!$C$21:$C$613,MATCH($A545,Market_Data!$B$21:INDEX(Market_Data!$B$21:$B$613,COUNT(Market_Data!$B$21:$B$613)),1)),""))</f>
        <v/>
      </c>
      <c r="C545" s="145" t="str">
        <f ca="1">IF($A545="","",IFERROR(INDEX(Market_Data!$F$21:$F$613,MATCH($A545,Market_Data!$E$21:INDEX(Market_Data!$E$21:$E$613,COUNT(Market_Data!$E$21:$E$613)),1)),""))</f>
        <v/>
      </c>
      <c r="D545" s="145" t="str">
        <f ca="1">IF($A545="","",IFERROR(INDEX(Market_Data!$I$21:$I$613,MATCH($A545,Market_Data!$H$21:INDEX(Market_Data!$H$21:$H$613,COUNT(Market_Data!$H$21:$H$613)),1)),""))</f>
        <v/>
      </c>
      <c r="E545" s="145" t="str">
        <f ca="1">IF($A545="","",IFERROR(INDEX(Market_Data!$L$21:$L$613,MATCH($A545,Market_Data!$K$21:INDEX(Market_Data!$K$21:$K$613,COUNT(Market_Data!$K$21:$K$613)),1)),""))</f>
        <v/>
      </c>
      <c r="F545" s="145" t="str">
        <f ca="1">IF($A545="","",IFERROR(INDEX(Market_Data!$O$21:$O$613,MATCH($A545,Market_Data!$N$21:INDEX(Market_Data!$N$21:$N$613,COUNT(Market_Data!$N$21:$N$613)),1)),""))</f>
        <v/>
      </c>
      <c r="G545" s="145" t="str">
        <f ca="1">IF($A545="","",IFERROR(INDEX(Market_Data!$R$21:$R$613,MATCH($A545,Market_Data!$Q$21:INDEX(Market_Data!$Q$21:$Q$613,COUNT(Market_Data!$Q$21:$Q$613)),1)),""))</f>
        <v/>
      </c>
      <c r="H545" s="145" t="str">
        <f ca="1">IF($A545="","",IFERROR(INDEX(Market_Data!$U$21:$U$613,MATCH($A545,Market_Data!$T$21:INDEX(Market_Data!$T$21:$T$613,COUNT(Market_Data!$T$21:$T$613)),1)),""))</f>
        <v/>
      </c>
      <c r="I545" s="146" t="str">
        <f ca="1">IF($A545="","",IFERROR(INDEX(Query1[Close],MATCH($A545,Query1[Date],1)),""))</f>
        <v/>
      </c>
    </row>
    <row r="546" spans="1:9" x14ac:dyDescent="0.3">
      <c r="A546" s="144" t="str">
        <f t="shared" ca="1" si="10"/>
        <v/>
      </c>
      <c r="B546" s="145" t="str">
        <f ca="1">IF($A546="","",IFERROR(INDEX(Market_Data!$C$21:$C$613,MATCH($A546,Market_Data!$B$21:INDEX(Market_Data!$B$21:$B$613,COUNT(Market_Data!$B$21:$B$613)),1)),""))</f>
        <v/>
      </c>
      <c r="C546" s="145" t="str">
        <f ca="1">IF($A546="","",IFERROR(INDEX(Market_Data!$F$21:$F$613,MATCH($A546,Market_Data!$E$21:INDEX(Market_Data!$E$21:$E$613,COUNT(Market_Data!$E$21:$E$613)),1)),""))</f>
        <v/>
      </c>
      <c r="D546" s="145" t="str">
        <f ca="1">IF($A546="","",IFERROR(INDEX(Market_Data!$I$21:$I$613,MATCH($A546,Market_Data!$H$21:INDEX(Market_Data!$H$21:$H$613,COUNT(Market_Data!$H$21:$H$613)),1)),""))</f>
        <v/>
      </c>
      <c r="E546" s="145" t="str">
        <f ca="1">IF($A546="","",IFERROR(INDEX(Market_Data!$L$21:$L$613,MATCH($A546,Market_Data!$K$21:INDEX(Market_Data!$K$21:$K$613,COUNT(Market_Data!$K$21:$K$613)),1)),""))</f>
        <v/>
      </c>
      <c r="F546" s="145" t="str">
        <f ca="1">IF($A546="","",IFERROR(INDEX(Market_Data!$O$21:$O$613,MATCH($A546,Market_Data!$N$21:INDEX(Market_Data!$N$21:$N$613,COUNT(Market_Data!$N$21:$N$613)),1)),""))</f>
        <v/>
      </c>
      <c r="G546" s="145" t="str">
        <f ca="1">IF($A546="","",IFERROR(INDEX(Market_Data!$R$21:$R$613,MATCH($A546,Market_Data!$Q$21:INDEX(Market_Data!$Q$21:$Q$613,COUNT(Market_Data!$Q$21:$Q$613)),1)),""))</f>
        <v/>
      </c>
      <c r="H546" s="145" t="str">
        <f ca="1">IF($A546="","",IFERROR(INDEX(Market_Data!$U$21:$U$613,MATCH($A546,Market_Data!$T$21:INDEX(Market_Data!$T$21:$T$613,COUNT(Market_Data!$T$21:$T$613)),1)),""))</f>
        <v/>
      </c>
      <c r="I546" s="146" t="str">
        <f ca="1">IF($A546="","",IFERROR(INDEX(Query1[Close],MATCH($A546,Query1[Date],1)),""))</f>
        <v/>
      </c>
    </row>
    <row r="547" spans="1:9" x14ac:dyDescent="0.3">
      <c r="A547" s="144" t="str">
        <f t="shared" ca="1" si="10"/>
        <v/>
      </c>
      <c r="B547" s="145" t="str">
        <f ca="1">IF($A547="","",IFERROR(INDEX(Market_Data!$C$21:$C$613,MATCH($A547,Market_Data!$B$21:INDEX(Market_Data!$B$21:$B$613,COUNT(Market_Data!$B$21:$B$613)),1)),""))</f>
        <v/>
      </c>
      <c r="C547" s="145" t="str">
        <f ca="1">IF($A547="","",IFERROR(INDEX(Market_Data!$F$21:$F$613,MATCH($A547,Market_Data!$E$21:INDEX(Market_Data!$E$21:$E$613,COUNT(Market_Data!$E$21:$E$613)),1)),""))</f>
        <v/>
      </c>
      <c r="D547" s="145" t="str">
        <f ca="1">IF($A547="","",IFERROR(INDEX(Market_Data!$I$21:$I$613,MATCH($A547,Market_Data!$H$21:INDEX(Market_Data!$H$21:$H$613,COUNT(Market_Data!$H$21:$H$613)),1)),""))</f>
        <v/>
      </c>
      <c r="E547" s="145" t="str">
        <f ca="1">IF($A547="","",IFERROR(INDEX(Market_Data!$L$21:$L$613,MATCH($A547,Market_Data!$K$21:INDEX(Market_Data!$K$21:$K$613,COUNT(Market_Data!$K$21:$K$613)),1)),""))</f>
        <v/>
      </c>
      <c r="F547" s="145" t="str">
        <f ca="1">IF($A547="","",IFERROR(INDEX(Market_Data!$O$21:$O$613,MATCH($A547,Market_Data!$N$21:INDEX(Market_Data!$N$21:$N$613,COUNT(Market_Data!$N$21:$N$613)),1)),""))</f>
        <v/>
      </c>
      <c r="G547" s="145" t="str">
        <f ca="1">IF($A547="","",IFERROR(INDEX(Market_Data!$R$21:$R$613,MATCH($A547,Market_Data!$Q$21:INDEX(Market_Data!$Q$21:$Q$613,COUNT(Market_Data!$Q$21:$Q$613)),1)),""))</f>
        <v/>
      </c>
      <c r="H547" s="145" t="str">
        <f ca="1">IF($A547="","",IFERROR(INDEX(Market_Data!$U$21:$U$613,MATCH($A547,Market_Data!$T$21:INDEX(Market_Data!$T$21:$T$613,COUNT(Market_Data!$T$21:$T$613)),1)),""))</f>
        <v/>
      </c>
      <c r="I547" s="146" t="str">
        <f ca="1">IF($A547="","",IFERROR(INDEX(Query1[Close],MATCH($A547,Query1[Date],1)),""))</f>
        <v/>
      </c>
    </row>
    <row r="548" spans="1:9" x14ac:dyDescent="0.3">
      <c r="A548" s="144" t="str">
        <f t="shared" ca="1" si="10"/>
        <v/>
      </c>
      <c r="B548" s="145" t="str">
        <f ca="1">IF($A548="","",IFERROR(INDEX(Market_Data!$C$21:$C$613,MATCH($A548,Market_Data!$B$21:INDEX(Market_Data!$B$21:$B$613,COUNT(Market_Data!$B$21:$B$613)),1)),""))</f>
        <v/>
      </c>
      <c r="C548" s="145" t="str">
        <f ca="1">IF($A548="","",IFERROR(INDEX(Market_Data!$F$21:$F$613,MATCH($A548,Market_Data!$E$21:INDEX(Market_Data!$E$21:$E$613,COUNT(Market_Data!$E$21:$E$613)),1)),""))</f>
        <v/>
      </c>
      <c r="D548" s="145" t="str">
        <f ca="1">IF($A548="","",IFERROR(INDEX(Market_Data!$I$21:$I$613,MATCH($A548,Market_Data!$H$21:INDEX(Market_Data!$H$21:$H$613,COUNT(Market_Data!$H$21:$H$613)),1)),""))</f>
        <v/>
      </c>
      <c r="E548" s="145" t="str">
        <f ca="1">IF($A548="","",IFERROR(INDEX(Market_Data!$L$21:$L$613,MATCH($A548,Market_Data!$K$21:INDEX(Market_Data!$K$21:$K$613,COUNT(Market_Data!$K$21:$K$613)),1)),""))</f>
        <v/>
      </c>
      <c r="F548" s="145" t="str">
        <f ca="1">IF($A548="","",IFERROR(INDEX(Market_Data!$O$21:$O$613,MATCH($A548,Market_Data!$N$21:INDEX(Market_Data!$N$21:$N$613,COUNT(Market_Data!$N$21:$N$613)),1)),""))</f>
        <v/>
      </c>
      <c r="G548" s="145" t="str">
        <f ca="1">IF($A548="","",IFERROR(INDEX(Market_Data!$R$21:$R$613,MATCH($A548,Market_Data!$Q$21:INDEX(Market_Data!$Q$21:$Q$613,COUNT(Market_Data!$Q$21:$Q$613)),1)),""))</f>
        <v/>
      </c>
      <c r="H548" s="145" t="str">
        <f ca="1">IF($A548="","",IFERROR(INDEX(Market_Data!$U$21:$U$613,MATCH($A548,Market_Data!$T$21:INDEX(Market_Data!$T$21:$T$613,COUNT(Market_Data!$T$21:$T$613)),1)),""))</f>
        <v/>
      </c>
      <c r="I548" s="146" t="str">
        <f ca="1">IF($A548="","",IFERROR(INDEX(Query1[Close],MATCH($A548,Query1[Date],1)),""))</f>
        <v/>
      </c>
    </row>
    <row r="549" spans="1:9" x14ac:dyDescent="0.3">
      <c r="A549" s="144" t="str">
        <f t="shared" ca="1" si="10"/>
        <v/>
      </c>
      <c r="B549" s="145" t="str">
        <f ca="1">IF($A549="","",IFERROR(INDEX(Market_Data!$C$21:$C$613,MATCH($A549,Market_Data!$B$21:INDEX(Market_Data!$B$21:$B$613,COUNT(Market_Data!$B$21:$B$613)),1)),""))</f>
        <v/>
      </c>
      <c r="C549" s="145" t="str">
        <f ca="1">IF($A549="","",IFERROR(INDEX(Market_Data!$F$21:$F$613,MATCH($A549,Market_Data!$E$21:INDEX(Market_Data!$E$21:$E$613,COUNT(Market_Data!$E$21:$E$613)),1)),""))</f>
        <v/>
      </c>
      <c r="D549" s="145" t="str">
        <f ca="1">IF($A549="","",IFERROR(INDEX(Market_Data!$I$21:$I$613,MATCH($A549,Market_Data!$H$21:INDEX(Market_Data!$H$21:$H$613,COUNT(Market_Data!$H$21:$H$613)),1)),""))</f>
        <v/>
      </c>
      <c r="E549" s="145" t="str">
        <f ca="1">IF($A549="","",IFERROR(INDEX(Market_Data!$L$21:$L$613,MATCH($A549,Market_Data!$K$21:INDEX(Market_Data!$K$21:$K$613,COUNT(Market_Data!$K$21:$K$613)),1)),""))</f>
        <v/>
      </c>
      <c r="F549" s="145" t="str">
        <f ca="1">IF($A549="","",IFERROR(INDEX(Market_Data!$O$21:$O$613,MATCH($A549,Market_Data!$N$21:INDEX(Market_Data!$N$21:$N$613,COUNT(Market_Data!$N$21:$N$613)),1)),""))</f>
        <v/>
      </c>
      <c r="G549" s="145" t="str">
        <f ca="1">IF($A549="","",IFERROR(INDEX(Market_Data!$R$21:$R$613,MATCH($A549,Market_Data!$Q$21:INDEX(Market_Data!$Q$21:$Q$613,COUNT(Market_Data!$Q$21:$Q$613)),1)),""))</f>
        <v/>
      </c>
      <c r="H549" s="145" t="str">
        <f ca="1">IF($A549="","",IFERROR(INDEX(Market_Data!$U$21:$U$613,MATCH($A549,Market_Data!$T$21:INDEX(Market_Data!$T$21:$T$613,COUNT(Market_Data!$T$21:$T$613)),1)),""))</f>
        <v/>
      </c>
      <c r="I549" s="146" t="str">
        <f ca="1">IF($A549="","",IFERROR(INDEX(Query1[Close],MATCH($A549,Query1[Date],1)),""))</f>
        <v/>
      </c>
    </row>
    <row r="550" spans="1:9" x14ac:dyDescent="0.3">
      <c r="A550" s="144" t="str">
        <f t="shared" ca="1" si="10"/>
        <v/>
      </c>
      <c r="B550" s="145" t="str">
        <f ca="1">IF($A550="","",IFERROR(INDEX(Market_Data!$C$21:$C$613,MATCH($A550,Market_Data!$B$21:INDEX(Market_Data!$B$21:$B$613,COUNT(Market_Data!$B$21:$B$613)),1)),""))</f>
        <v/>
      </c>
      <c r="C550" s="145" t="str">
        <f ca="1">IF($A550="","",IFERROR(INDEX(Market_Data!$F$21:$F$613,MATCH($A550,Market_Data!$E$21:INDEX(Market_Data!$E$21:$E$613,COUNT(Market_Data!$E$21:$E$613)),1)),""))</f>
        <v/>
      </c>
      <c r="D550" s="145" t="str">
        <f ca="1">IF($A550="","",IFERROR(INDEX(Market_Data!$I$21:$I$613,MATCH($A550,Market_Data!$H$21:INDEX(Market_Data!$H$21:$H$613,COUNT(Market_Data!$H$21:$H$613)),1)),""))</f>
        <v/>
      </c>
      <c r="E550" s="145" t="str">
        <f ca="1">IF($A550="","",IFERROR(INDEX(Market_Data!$L$21:$L$613,MATCH($A550,Market_Data!$K$21:INDEX(Market_Data!$K$21:$K$613,COUNT(Market_Data!$K$21:$K$613)),1)),""))</f>
        <v/>
      </c>
      <c r="F550" s="145" t="str">
        <f ca="1">IF($A550="","",IFERROR(INDEX(Market_Data!$O$21:$O$613,MATCH($A550,Market_Data!$N$21:INDEX(Market_Data!$N$21:$N$613,COUNT(Market_Data!$N$21:$N$613)),1)),""))</f>
        <v/>
      </c>
      <c r="G550" s="145" t="str">
        <f ca="1">IF($A550="","",IFERROR(INDEX(Market_Data!$R$21:$R$613,MATCH($A550,Market_Data!$Q$21:INDEX(Market_Data!$Q$21:$Q$613,COUNT(Market_Data!$Q$21:$Q$613)),1)),""))</f>
        <v/>
      </c>
      <c r="H550" s="145" t="str">
        <f ca="1">IF($A550="","",IFERROR(INDEX(Market_Data!$U$21:$U$613,MATCH($A550,Market_Data!$T$21:INDEX(Market_Data!$T$21:$T$613,COUNT(Market_Data!$T$21:$T$613)),1)),""))</f>
        <v/>
      </c>
      <c r="I550" s="146" t="str">
        <f ca="1">IF($A550="","",IFERROR(INDEX(Query1[Close],MATCH($A550,Query1[Date],1)),""))</f>
        <v/>
      </c>
    </row>
    <row r="551" spans="1:9" x14ac:dyDescent="0.3">
      <c r="A551" s="144" t="str">
        <f t="shared" ca="1" si="10"/>
        <v/>
      </c>
      <c r="B551" s="145" t="str">
        <f ca="1">IF($A551="","",IFERROR(INDEX(Market_Data!$C$21:$C$613,MATCH($A551,Market_Data!$B$21:INDEX(Market_Data!$B$21:$B$613,COUNT(Market_Data!$B$21:$B$613)),1)),""))</f>
        <v/>
      </c>
      <c r="C551" s="145" t="str">
        <f ca="1">IF($A551="","",IFERROR(INDEX(Market_Data!$F$21:$F$613,MATCH($A551,Market_Data!$E$21:INDEX(Market_Data!$E$21:$E$613,COUNT(Market_Data!$E$21:$E$613)),1)),""))</f>
        <v/>
      </c>
      <c r="D551" s="145" t="str">
        <f ca="1">IF($A551="","",IFERROR(INDEX(Market_Data!$I$21:$I$613,MATCH($A551,Market_Data!$H$21:INDEX(Market_Data!$H$21:$H$613,COUNT(Market_Data!$H$21:$H$613)),1)),""))</f>
        <v/>
      </c>
      <c r="E551" s="145" t="str">
        <f ca="1">IF($A551="","",IFERROR(INDEX(Market_Data!$L$21:$L$613,MATCH($A551,Market_Data!$K$21:INDEX(Market_Data!$K$21:$K$613,COUNT(Market_Data!$K$21:$K$613)),1)),""))</f>
        <v/>
      </c>
      <c r="F551" s="145" t="str">
        <f ca="1">IF($A551="","",IFERROR(INDEX(Market_Data!$O$21:$O$613,MATCH($A551,Market_Data!$N$21:INDEX(Market_Data!$N$21:$N$613,COUNT(Market_Data!$N$21:$N$613)),1)),""))</f>
        <v/>
      </c>
      <c r="G551" s="145" t="str">
        <f ca="1">IF($A551="","",IFERROR(INDEX(Market_Data!$R$21:$R$613,MATCH($A551,Market_Data!$Q$21:INDEX(Market_Data!$Q$21:$Q$613,COUNT(Market_Data!$Q$21:$Q$613)),1)),""))</f>
        <v/>
      </c>
      <c r="H551" s="145" t="str">
        <f ca="1">IF($A551="","",IFERROR(INDEX(Market_Data!$U$21:$U$613,MATCH($A551,Market_Data!$T$21:INDEX(Market_Data!$T$21:$T$613,COUNT(Market_Data!$T$21:$T$613)),1)),""))</f>
        <v/>
      </c>
      <c r="I551" s="146" t="str">
        <f ca="1">IF($A551="","",IFERROR(INDEX(Query1[Close],MATCH($A551,Query1[Date],1)),""))</f>
        <v/>
      </c>
    </row>
    <row r="552" spans="1:9" x14ac:dyDescent="0.3">
      <c r="A552" s="144" t="str">
        <f t="shared" ca="1" si="10"/>
        <v/>
      </c>
      <c r="B552" s="145" t="str">
        <f ca="1">IF($A552="","",IFERROR(INDEX(Market_Data!$C$21:$C$613,MATCH($A552,Market_Data!$B$21:INDEX(Market_Data!$B$21:$B$613,COUNT(Market_Data!$B$21:$B$613)),1)),""))</f>
        <v/>
      </c>
      <c r="C552" s="145" t="str">
        <f ca="1">IF($A552="","",IFERROR(INDEX(Market_Data!$F$21:$F$613,MATCH($A552,Market_Data!$E$21:INDEX(Market_Data!$E$21:$E$613,COUNT(Market_Data!$E$21:$E$613)),1)),""))</f>
        <v/>
      </c>
      <c r="D552" s="145" t="str">
        <f ca="1">IF($A552="","",IFERROR(INDEX(Market_Data!$I$21:$I$613,MATCH($A552,Market_Data!$H$21:INDEX(Market_Data!$H$21:$H$613,COUNT(Market_Data!$H$21:$H$613)),1)),""))</f>
        <v/>
      </c>
      <c r="E552" s="145" t="str">
        <f ca="1">IF($A552="","",IFERROR(INDEX(Market_Data!$L$21:$L$613,MATCH($A552,Market_Data!$K$21:INDEX(Market_Data!$K$21:$K$613,COUNT(Market_Data!$K$21:$K$613)),1)),""))</f>
        <v/>
      </c>
      <c r="F552" s="145" t="str">
        <f ca="1">IF($A552="","",IFERROR(INDEX(Market_Data!$O$21:$O$613,MATCH($A552,Market_Data!$N$21:INDEX(Market_Data!$N$21:$N$613,COUNT(Market_Data!$N$21:$N$613)),1)),""))</f>
        <v/>
      </c>
      <c r="G552" s="145" t="str">
        <f ca="1">IF($A552="","",IFERROR(INDEX(Market_Data!$R$21:$R$613,MATCH($A552,Market_Data!$Q$21:INDEX(Market_Data!$Q$21:$Q$613,COUNT(Market_Data!$Q$21:$Q$613)),1)),""))</f>
        <v/>
      </c>
      <c r="H552" s="145" t="str">
        <f ca="1">IF($A552="","",IFERROR(INDEX(Market_Data!$U$21:$U$613,MATCH($A552,Market_Data!$T$21:INDEX(Market_Data!$T$21:$T$613,COUNT(Market_Data!$T$21:$T$613)),1)),""))</f>
        <v/>
      </c>
      <c r="I552" s="146" t="str">
        <f ca="1">IF($A552="","",IFERROR(INDEX(Query1[Close],MATCH($A552,Query1[Date],1)),""))</f>
        <v/>
      </c>
    </row>
    <row r="553" spans="1:9" x14ac:dyDescent="0.3">
      <c r="A553" s="144" t="str">
        <f t="shared" ca="1" si="10"/>
        <v/>
      </c>
      <c r="B553" s="145" t="str">
        <f ca="1">IF($A553="","",IFERROR(INDEX(Market_Data!$C$21:$C$613,MATCH($A553,Market_Data!$B$21:INDEX(Market_Data!$B$21:$B$613,COUNT(Market_Data!$B$21:$B$613)),1)),""))</f>
        <v/>
      </c>
      <c r="C553" s="145" t="str">
        <f ca="1">IF($A553="","",IFERROR(INDEX(Market_Data!$F$21:$F$613,MATCH($A553,Market_Data!$E$21:INDEX(Market_Data!$E$21:$E$613,COUNT(Market_Data!$E$21:$E$613)),1)),""))</f>
        <v/>
      </c>
      <c r="D553" s="145" t="str">
        <f ca="1">IF($A553="","",IFERROR(INDEX(Market_Data!$I$21:$I$613,MATCH($A553,Market_Data!$H$21:INDEX(Market_Data!$H$21:$H$613,COUNT(Market_Data!$H$21:$H$613)),1)),""))</f>
        <v/>
      </c>
      <c r="E553" s="145" t="str">
        <f ca="1">IF($A553="","",IFERROR(INDEX(Market_Data!$L$21:$L$613,MATCH($A553,Market_Data!$K$21:INDEX(Market_Data!$K$21:$K$613,COUNT(Market_Data!$K$21:$K$613)),1)),""))</f>
        <v/>
      </c>
      <c r="F553" s="145" t="str">
        <f ca="1">IF($A553="","",IFERROR(INDEX(Market_Data!$O$21:$O$613,MATCH($A553,Market_Data!$N$21:INDEX(Market_Data!$N$21:$N$613,COUNT(Market_Data!$N$21:$N$613)),1)),""))</f>
        <v/>
      </c>
      <c r="G553" s="145" t="str">
        <f ca="1">IF($A553="","",IFERROR(INDEX(Market_Data!$R$21:$R$613,MATCH($A553,Market_Data!$Q$21:INDEX(Market_Data!$Q$21:$Q$613,COUNT(Market_Data!$Q$21:$Q$613)),1)),""))</f>
        <v/>
      </c>
      <c r="H553" s="145" t="str">
        <f ca="1">IF($A553="","",IFERROR(INDEX(Market_Data!$U$21:$U$613,MATCH($A553,Market_Data!$T$21:INDEX(Market_Data!$T$21:$T$613,COUNT(Market_Data!$T$21:$T$613)),1)),""))</f>
        <v/>
      </c>
      <c r="I553" s="146" t="str">
        <f ca="1">IF($A553="","",IFERROR(INDEX(Query1[Close],MATCH($A553,Query1[Date],1)),""))</f>
        <v/>
      </c>
    </row>
    <row r="554" spans="1:9" x14ac:dyDescent="0.3">
      <c r="A554" s="144" t="str">
        <f t="shared" ca="1" si="10"/>
        <v/>
      </c>
      <c r="B554" s="145" t="str">
        <f ca="1">IF($A554="","",IFERROR(INDEX(Market_Data!$C$21:$C$613,MATCH($A554,Market_Data!$B$21:INDEX(Market_Data!$B$21:$B$613,COUNT(Market_Data!$B$21:$B$613)),1)),""))</f>
        <v/>
      </c>
      <c r="C554" s="145" t="str">
        <f ca="1">IF($A554="","",IFERROR(INDEX(Market_Data!$F$21:$F$613,MATCH($A554,Market_Data!$E$21:INDEX(Market_Data!$E$21:$E$613,COUNT(Market_Data!$E$21:$E$613)),1)),""))</f>
        <v/>
      </c>
      <c r="D554" s="145" t="str">
        <f ca="1">IF($A554="","",IFERROR(INDEX(Market_Data!$I$21:$I$613,MATCH($A554,Market_Data!$H$21:INDEX(Market_Data!$H$21:$H$613,COUNT(Market_Data!$H$21:$H$613)),1)),""))</f>
        <v/>
      </c>
      <c r="E554" s="145" t="str">
        <f ca="1">IF($A554="","",IFERROR(INDEX(Market_Data!$L$21:$L$613,MATCH($A554,Market_Data!$K$21:INDEX(Market_Data!$K$21:$K$613,COUNT(Market_Data!$K$21:$K$613)),1)),""))</f>
        <v/>
      </c>
      <c r="F554" s="145" t="str">
        <f ca="1">IF($A554="","",IFERROR(INDEX(Market_Data!$O$21:$O$613,MATCH($A554,Market_Data!$N$21:INDEX(Market_Data!$N$21:$N$613,COUNT(Market_Data!$N$21:$N$613)),1)),""))</f>
        <v/>
      </c>
      <c r="G554" s="145" t="str">
        <f ca="1">IF($A554="","",IFERROR(INDEX(Market_Data!$R$21:$R$613,MATCH($A554,Market_Data!$Q$21:INDEX(Market_Data!$Q$21:$Q$613,COUNT(Market_Data!$Q$21:$Q$613)),1)),""))</f>
        <v/>
      </c>
      <c r="H554" s="145" t="str">
        <f ca="1">IF($A554="","",IFERROR(INDEX(Market_Data!$U$21:$U$613,MATCH($A554,Market_Data!$T$21:INDEX(Market_Data!$T$21:$T$613,COUNT(Market_Data!$T$21:$T$613)),1)),""))</f>
        <v/>
      </c>
      <c r="I554" s="146" t="str">
        <f ca="1">IF($A554="","",IFERROR(INDEX(Query1[Close],MATCH($A554,Query1[Date],1)),""))</f>
        <v/>
      </c>
    </row>
    <row r="555" spans="1:9" x14ac:dyDescent="0.3">
      <c r="A555" s="144" t="str">
        <f t="shared" ca="1" si="10"/>
        <v/>
      </c>
      <c r="B555" s="145" t="str">
        <f ca="1">IF($A555="","",IFERROR(INDEX(Market_Data!$C$21:$C$613,MATCH($A555,Market_Data!$B$21:INDEX(Market_Data!$B$21:$B$613,COUNT(Market_Data!$B$21:$B$613)),1)),""))</f>
        <v/>
      </c>
      <c r="C555" s="145" t="str">
        <f ca="1">IF($A555="","",IFERROR(INDEX(Market_Data!$F$21:$F$613,MATCH($A555,Market_Data!$E$21:INDEX(Market_Data!$E$21:$E$613,COUNT(Market_Data!$E$21:$E$613)),1)),""))</f>
        <v/>
      </c>
      <c r="D555" s="145" t="str">
        <f ca="1">IF($A555="","",IFERROR(INDEX(Market_Data!$I$21:$I$613,MATCH($A555,Market_Data!$H$21:INDEX(Market_Data!$H$21:$H$613,COUNT(Market_Data!$H$21:$H$613)),1)),""))</f>
        <v/>
      </c>
      <c r="E555" s="145" t="str">
        <f ca="1">IF($A555="","",IFERROR(INDEX(Market_Data!$L$21:$L$613,MATCH($A555,Market_Data!$K$21:INDEX(Market_Data!$K$21:$K$613,COUNT(Market_Data!$K$21:$K$613)),1)),""))</f>
        <v/>
      </c>
      <c r="F555" s="145" t="str">
        <f ca="1">IF($A555="","",IFERROR(INDEX(Market_Data!$O$21:$O$613,MATCH($A555,Market_Data!$N$21:INDEX(Market_Data!$N$21:$N$613,COUNT(Market_Data!$N$21:$N$613)),1)),""))</f>
        <v/>
      </c>
      <c r="G555" s="145" t="str">
        <f ca="1">IF($A555="","",IFERROR(INDEX(Market_Data!$R$21:$R$613,MATCH($A555,Market_Data!$Q$21:INDEX(Market_Data!$Q$21:$Q$613,COUNT(Market_Data!$Q$21:$Q$613)),1)),""))</f>
        <v/>
      </c>
      <c r="H555" s="145" t="str">
        <f ca="1">IF($A555="","",IFERROR(INDEX(Market_Data!$U$21:$U$613,MATCH($A555,Market_Data!$T$21:INDEX(Market_Data!$T$21:$T$613,COUNT(Market_Data!$T$21:$T$613)),1)),""))</f>
        <v/>
      </c>
      <c r="I555" s="146" t="str">
        <f ca="1">IF($A555="","",IFERROR(INDEX(Query1[Close],MATCH($A555,Query1[Date],1)),""))</f>
        <v/>
      </c>
    </row>
    <row r="556" spans="1:9" x14ac:dyDescent="0.3">
      <c r="A556" s="144" t="str">
        <f t="shared" ca="1" si="10"/>
        <v/>
      </c>
      <c r="B556" s="145" t="str">
        <f ca="1">IF($A556="","",IFERROR(INDEX(Market_Data!$C$21:$C$613,MATCH($A556,Market_Data!$B$21:INDEX(Market_Data!$B$21:$B$613,COUNT(Market_Data!$B$21:$B$613)),1)),""))</f>
        <v/>
      </c>
      <c r="C556" s="145" t="str">
        <f ca="1">IF($A556="","",IFERROR(INDEX(Market_Data!$F$21:$F$613,MATCH($A556,Market_Data!$E$21:INDEX(Market_Data!$E$21:$E$613,COUNT(Market_Data!$E$21:$E$613)),1)),""))</f>
        <v/>
      </c>
      <c r="D556" s="145" t="str">
        <f ca="1">IF($A556="","",IFERROR(INDEX(Market_Data!$I$21:$I$613,MATCH($A556,Market_Data!$H$21:INDEX(Market_Data!$H$21:$H$613,COUNT(Market_Data!$H$21:$H$613)),1)),""))</f>
        <v/>
      </c>
      <c r="E556" s="145" t="str">
        <f ca="1">IF($A556="","",IFERROR(INDEX(Market_Data!$L$21:$L$613,MATCH($A556,Market_Data!$K$21:INDEX(Market_Data!$K$21:$K$613,COUNT(Market_Data!$K$21:$K$613)),1)),""))</f>
        <v/>
      </c>
      <c r="F556" s="145" t="str">
        <f ca="1">IF($A556="","",IFERROR(INDEX(Market_Data!$O$21:$O$613,MATCH($A556,Market_Data!$N$21:INDEX(Market_Data!$N$21:$N$613,COUNT(Market_Data!$N$21:$N$613)),1)),""))</f>
        <v/>
      </c>
      <c r="G556" s="145" t="str">
        <f ca="1">IF($A556="","",IFERROR(INDEX(Market_Data!$R$21:$R$613,MATCH($A556,Market_Data!$Q$21:INDEX(Market_Data!$Q$21:$Q$613,COUNT(Market_Data!$Q$21:$Q$613)),1)),""))</f>
        <v/>
      </c>
      <c r="H556" s="145" t="str">
        <f ca="1">IF($A556="","",IFERROR(INDEX(Market_Data!$U$21:$U$613,MATCH($A556,Market_Data!$T$21:INDEX(Market_Data!$T$21:$T$613,COUNT(Market_Data!$T$21:$T$613)),1)),""))</f>
        <v/>
      </c>
      <c r="I556" s="146" t="str">
        <f ca="1">IF($A556="","",IFERROR(INDEX(Query1[Close],MATCH($A556,Query1[Date],1)),""))</f>
        <v/>
      </c>
    </row>
    <row r="557" spans="1:9" x14ac:dyDescent="0.3">
      <c r="A557" s="144" t="str">
        <f t="shared" ca="1" si="10"/>
        <v/>
      </c>
      <c r="B557" s="145" t="str">
        <f ca="1">IF($A557="","",IFERROR(INDEX(Market_Data!$C$21:$C$613,MATCH($A557,Market_Data!$B$21:INDEX(Market_Data!$B$21:$B$613,COUNT(Market_Data!$B$21:$B$613)),1)),""))</f>
        <v/>
      </c>
      <c r="C557" s="145" t="str">
        <f ca="1">IF($A557="","",IFERROR(INDEX(Market_Data!$F$21:$F$613,MATCH($A557,Market_Data!$E$21:INDEX(Market_Data!$E$21:$E$613,COUNT(Market_Data!$E$21:$E$613)),1)),""))</f>
        <v/>
      </c>
      <c r="D557" s="145" t="str">
        <f ca="1">IF($A557="","",IFERROR(INDEX(Market_Data!$I$21:$I$613,MATCH($A557,Market_Data!$H$21:INDEX(Market_Data!$H$21:$H$613,COUNT(Market_Data!$H$21:$H$613)),1)),""))</f>
        <v/>
      </c>
      <c r="E557" s="145" t="str">
        <f ca="1">IF($A557="","",IFERROR(INDEX(Market_Data!$L$21:$L$613,MATCH($A557,Market_Data!$K$21:INDEX(Market_Data!$K$21:$K$613,COUNT(Market_Data!$K$21:$K$613)),1)),""))</f>
        <v/>
      </c>
      <c r="F557" s="145" t="str">
        <f ca="1">IF($A557="","",IFERROR(INDEX(Market_Data!$O$21:$O$613,MATCH($A557,Market_Data!$N$21:INDEX(Market_Data!$N$21:$N$613,COUNT(Market_Data!$N$21:$N$613)),1)),""))</f>
        <v/>
      </c>
      <c r="G557" s="145" t="str">
        <f ca="1">IF($A557="","",IFERROR(INDEX(Market_Data!$R$21:$R$613,MATCH($A557,Market_Data!$Q$21:INDEX(Market_Data!$Q$21:$Q$613,COUNT(Market_Data!$Q$21:$Q$613)),1)),""))</f>
        <v/>
      </c>
      <c r="H557" s="145" t="str">
        <f ca="1">IF($A557="","",IFERROR(INDEX(Market_Data!$U$21:$U$613,MATCH($A557,Market_Data!$T$21:INDEX(Market_Data!$T$21:$T$613,COUNT(Market_Data!$T$21:$T$613)),1)),""))</f>
        <v/>
      </c>
      <c r="I557" s="146" t="str">
        <f ca="1">IF($A557="","",IFERROR(INDEX(Query1[Close],MATCH($A557,Query1[Date],1)),""))</f>
        <v/>
      </c>
    </row>
    <row r="558" spans="1:9" x14ac:dyDescent="0.3">
      <c r="A558" s="144" t="str">
        <f t="shared" ca="1" si="10"/>
        <v/>
      </c>
      <c r="B558" s="145" t="str">
        <f ca="1">IF($A558="","",IFERROR(INDEX(Market_Data!$C$21:$C$613,MATCH($A558,Market_Data!$B$21:INDEX(Market_Data!$B$21:$B$613,COUNT(Market_Data!$B$21:$B$613)),1)),""))</f>
        <v/>
      </c>
      <c r="C558" s="145" t="str">
        <f ca="1">IF($A558="","",IFERROR(INDEX(Market_Data!$F$21:$F$613,MATCH($A558,Market_Data!$E$21:INDEX(Market_Data!$E$21:$E$613,COUNT(Market_Data!$E$21:$E$613)),1)),""))</f>
        <v/>
      </c>
      <c r="D558" s="145" t="str">
        <f ca="1">IF($A558="","",IFERROR(INDEX(Market_Data!$I$21:$I$613,MATCH($A558,Market_Data!$H$21:INDEX(Market_Data!$H$21:$H$613,COUNT(Market_Data!$H$21:$H$613)),1)),""))</f>
        <v/>
      </c>
      <c r="E558" s="145" t="str">
        <f ca="1">IF($A558="","",IFERROR(INDEX(Market_Data!$L$21:$L$613,MATCH($A558,Market_Data!$K$21:INDEX(Market_Data!$K$21:$K$613,COUNT(Market_Data!$K$21:$K$613)),1)),""))</f>
        <v/>
      </c>
      <c r="F558" s="145" t="str">
        <f ca="1">IF($A558="","",IFERROR(INDEX(Market_Data!$O$21:$O$613,MATCH($A558,Market_Data!$N$21:INDEX(Market_Data!$N$21:$N$613,COUNT(Market_Data!$N$21:$N$613)),1)),""))</f>
        <v/>
      </c>
      <c r="G558" s="145" t="str">
        <f ca="1">IF($A558="","",IFERROR(INDEX(Market_Data!$R$21:$R$613,MATCH($A558,Market_Data!$Q$21:INDEX(Market_Data!$Q$21:$Q$613,COUNT(Market_Data!$Q$21:$Q$613)),1)),""))</f>
        <v/>
      </c>
      <c r="H558" s="145" t="str">
        <f ca="1">IF($A558="","",IFERROR(INDEX(Market_Data!$U$21:$U$613,MATCH($A558,Market_Data!$T$21:INDEX(Market_Data!$T$21:$T$613,COUNT(Market_Data!$T$21:$T$613)),1)),""))</f>
        <v/>
      </c>
      <c r="I558" s="146" t="str">
        <f ca="1">IF($A558="","",IFERROR(INDEX(Query1[Close],MATCH($A558,Query1[Date],1)),""))</f>
        <v/>
      </c>
    </row>
    <row r="559" spans="1:9" x14ac:dyDescent="0.3">
      <c r="A559" s="144" t="str">
        <f t="shared" ca="1" si="10"/>
        <v/>
      </c>
      <c r="B559" s="145" t="str">
        <f ca="1">IF($A559="","",IFERROR(INDEX(Market_Data!$C$21:$C$613,MATCH($A559,Market_Data!$B$21:INDEX(Market_Data!$B$21:$B$613,COUNT(Market_Data!$B$21:$B$613)),1)),""))</f>
        <v/>
      </c>
      <c r="C559" s="145" t="str">
        <f ca="1">IF($A559="","",IFERROR(INDEX(Market_Data!$F$21:$F$613,MATCH($A559,Market_Data!$E$21:INDEX(Market_Data!$E$21:$E$613,COUNT(Market_Data!$E$21:$E$613)),1)),""))</f>
        <v/>
      </c>
      <c r="D559" s="145" t="str">
        <f ca="1">IF($A559="","",IFERROR(INDEX(Market_Data!$I$21:$I$613,MATCH($A559,Market_Data!$H$21:INDEX(Market_Data!$H$21:$H$613,COUNT(Market_Data!$H$21:$H$613)),1)),""))</f>
        <v/>
      </c>
      <c r="E559" s="145" t="str">
        <f ca="1">IF($A559="","",IFERROR(INDEX(Market_Data!$L$21:$L$613,MATCH($A559,Market_Data!$K$21:INDEX(Market_Data!$K$21:$K$613,COUNT(Market_Data!$K$21:$K$613)),1)),""))</f>
        <v/>
      </c>
      <c r="F559" s="145" t="str">
        <f ca="1">IF($A559="","",IFERROR(INDEX(Market_Data!$O$21:$O$613,MATCH($A559,Market_Data!$N$21:INDEX(Market_Data!$N$21:$N$613,COUNT(Market_Data!$N$21:$N$613)),1)),""))</f>
        <v/>
      </c>
      <c r="G559" s="145" t="str">
        <f ca="1">IF($A559="","",IFERROR(INDEX(Market_Data!$R$21:$R$613,MATCH($A559,Market_Data!$Q$21:INDEX(Market_Data!$Q$21:$Q$613,COUNT(Market_Data!$Q$21:$Q$613)),1)),""))</f>
        <v/>
      </c>
      <c r="H559" s="145" t="str">
        <f ca="1">IF($A559="","",IFERROR(INDEX(Market_Data!$U$21:$U$613,MATCH($A559,Market_Data!$T$21:INDEX(Market_Data!$T$21:$T$613,COUNT(Market_Data!$T$21:$T$613)),1)),""))</f>
        <v/>
      </c>
      <c r="I559" s="146" t="str">
        <f ca="1">IF($A559="","",IFERROR(INDEX(Query1[Close],MATCH($A559,Query1[Date],1)),""))</f>
        <v/>
      </c>
    </row>
    <row r="560" spans="1:9" x14ac:dyDescent="0.3">
      <c r="A560" s="144" t="str">
        <f t="shared" ca="1" si="10"/>
        <v/>
      </c>
      <c r="B560" s="145" t="str">
        <f ca="1">IF($A560="","",IFERROR(INDEX(Market_Data!$C$21:$C$613,MATCH($A560,Market_Data!$B$21:INDEX(Market_Data!$B$21:$B$613,COUNT(Market_Data!$B$21:$B$613)),1)),""))</f>
        <v/>
      </c>
      <c r="C560" s="145" t="str">
        <f ca="1">IF($A560="","",IFERROR(INDEX(Market_Data!$F$21:$F$613,MATCH($A560,Market_Data!$E$21:INDEX(Market_Data!$E$21:$E$613,COUNT(Market_Data!$E$21:$E$613)),1)),""))</f>
        <v/>
      </c>
      <c r="D560" s="145" t="str">
        <f ca="1">IF($A560="","",IFERROR(INDEX(Market_Data!$I$21:$I$613,MATCH($A560,Market_Data!$H$21:INDEX(Market_Data!$H$21:$H$613,COUNT(Market_Data!$H$21:$H$613)),1)),""))</f>
        <v/>
      </c>
      <c r="E560" s="145" t="str">
        <f ca="1">IF($A560="","",IFERROR(INDEX(Market_Data!$L$21:$L$613,MATCH($A560,Market_Data!$K$21:INDEX(Market_Data!$K$21:$K$613,COUNT(Market_Data!$K$21:$K$613)),1)),""))</f>
        <v/>
      </c>
      <c r="F560" s="145" t="str">
        <f ca="1">IF($A560="","",IFERROR(INDEX(Market_Data!$O$21:$O$613,MATCH($A560,Market_Data!$N$21:INDEX(Market_Data!$N$21:$N$613,COUNT(Market_Data!$N$21:$N$613)),1)),""))</f>
        <v/>
      </c>
      <c r="G560" s="145" t="str">
        <f ca="1">IF($A560="","",IFERROR(INDEX(Market_Data!$R$21:$R$613,MATCH($A560,Market_Data!$Q$21:INDEX(Market_Data!$Q$21:$Q$613,COUNT(Market_Data!$Q$21:$Q$613)),1)),""))</f>
        <v/>
      </c>
      <c r="H560" s="145" t="str">
        <f ca="1">IF($A560="","",IFERROR(INDEX(Market_Data!$U$21:$U$613,MATCH($A560,Market_Data!$T$21:INDEX(Market_Data!$T$21:$T$613,COUNT(Market_Data!$T$21:$T$613)),1)),""))</f>
        <v/>
      </c>
      <c r="I560" s="146" t="str">
        <f ca="1">IF($A560="","",IFERROR(INDEX(Query1[Close],MATCH($A560,Query1[Date],1)),""))</f>
        <v/>
      </c>
    </row>
    <row r="561" spans="1:9" x14ac:dyDescent="0.3">
      <c r="A561" s="144" t="str">
        <f t="shared" ca="1" si="10"/>
        <v/>
      </c>
      <c r="B561" s="145" t="str">
        <f ca="1">IF($A561="","",IFERROR(INDEX(Market_Data!$C$21:$C$613,MATCH($A561,Market_Data!$B$21:INDEX(Market_Data!$B$21:$B$613,COUNT(Market_Data!$B$21:$B$613)),1)),""))</f>
        <v/>
      </c>
      <c r="C561" s="145" t="str">
        <f ca="1">IF($A561="","",IFERROR(INDEX(Market_Data!$F$21:$F$613,MATCH($A561,Market_Data!$E$21:INDEX(Market_Data!$E$21:$E$613,COUNT(Market_Data!$E$21:$E$613)),1)),""))</f>
        <v/>
      </c>
      <c r="D561" s="145" t="str">
        <f ca="1">IF($A561="","",IFERROR(INDEX(Market_Data!$I$21:$I$613,MATCH($A561,Market_Data!$H$21:INDEX(Market_Data!$H$21:$H$613,COUNT(Market_Data!$H$21:$H$613)),1)),""))</f>
        <v/>
      </c>
      <c r="E561" s="145" t="str">
        <f ca="1">IF($A561="","",IFERROR(INDEX(Market_Data!$L$21:$L$613,MATCH($A561,Market_Data!$K$21:INDEX(Market_Data!$K$21:$K$613,COUNT(Market_Data!$K$21:$K$613)),1)),""))</f>
        <v/>
      </c>
      <c r="F561" s="145" t="str">
        <f ca="1">IF($A561="","",IFERROR(INDEX(Market_Data!$O$21:$O$613,MATCH($A561,Market_Data!$N$21:INDEX(Market_Data!$N$21:$N$613,COUNT(Market_Data!$N$21:$N$613)),1)),""))</f>
        <v/>
      </c>
      <c r="G561" s="145" t="str">
        <f ca="1">IF($A561="","",IFERROR(INDEX(Market_Data!$R$21:$R$613,MATCH($A561,Market_Data!$Q$21:INDEX(Market_Data!$Q$21:$Q$613,COUNT(Market_Data!$Q$21:$Q$613)),1)),""))</f>
        <v/>
      </c>
      <c r="H561" s="145" t="str">
        <f ca="1">IF($A561="","",IFERROR(INDEX(Market_Data!$U$21:$U$613,MATCH($A561,Market_Data!$T$21:INDEX(Market_Data!$T$21:$T$613,COUNT(Market_Data!$T$21:$T$613)),1)),""))</f>
        <v/>
      </c>
      <c r="I561" s="146" t="str">
        <f ca="1">IF($A561="","",IFERROR(INDEX(Query1[Close],MATCH($A561,Query1[Date],1)),""))</f>
        <v/>
      </c>
    </row>
    <row r="562" spans="1:9" x14ac:dyDescent="0.3">
      <c r="A562" s="144" t="str">
        <f t="shared" ca="1" si="10"/>
        <v/>
      </c>
      <c r="B562" s="145" t="str">
        <f ca="1">IF($A562="","",IFERROR(INDEX(Market_Data!$C$21:$C$613,MATCH($A562,Market_Data!$B$21:INDEX(Market_Data!$B$21:$B$613,COUNT(Market_Data!$B$21:$B$613)),1)),""))</f>
        <v/>
      </c>
      <c r="C562" s="145" t="str">
        <f ca="1">IF($A562="","",IFERROR(INDEX(Market_Data!$F$21:$F$613,MATCH($A562,Market_Data!$E$21:INDEX(Market_Data!$E$21:$E$613,COUNT(Market_Data!$E$21:$E$613)),1)),""))</f>
        <v/>
      </c>
      <c r="D562" s="145" t="str">
        <f ca="1">IF($A562="","",IFERROR(INDEX(Market_Data!$I$21:$I$613,MATCH($A562,Market_Data!$H$21:INDEX(Market_Data!$H$21:$H$613,COUNT(Market_Data!$H$21:$H$613)),1)),""))</f>
        <v/>
      </c>
      <c r="E562" s="145" t="str">
        <f ca="1">IF($A562="","",IFERROR(INDEX(Market_Data!$L$21:$L$613,MATCH($A562,Market_Data!$K$21:INDEX(Market_Data!$K$21:$K$613,COUNT(Market_Data!$K$21:$K$613)),1)),""))</f>
        <v/>
      </c>
      <c r="F562" s="145" t="str">
        <f ca="1">IF($A562="","",IFERROR(INDEX(Market_Data!$O$21:$O$613,MATCH($A562,Market_Data!$N$21:INDEX(Market_Data!$N$21:$N$613,COUNT(Market_Data!$N$21:$N$613)),1)),""))</f>
        <v/>
      </c>
      <c r="G562" s="145" t="str">
        <f ca="1">IF($A562="","",IFERROR(INDEX(Market_Data!$R$21:$R$613,MATCH($A562,Market_Data!$Q$21:INDEX(Market_Data!$Q$21:$Q$613,COUNT(Market_Data!$Q$21:$Q$613)),1)),""))</f>
        <v/>
      </c>
      <c r="H562" s="145" t="str">
        <f ca="1">IF($A562="","",IFERROR(INDEX(Market_Data!$U$21:$U$613,MATCH($A562,Market_Data!$T$21:INDEX(Market_Data!$T$21:$T$613,COUNT(Market_Data!$T$21:$T$613)),1)),""))</f>
        <v/>
      </c>
      <c r="I562" s="146" t="str">
        <f ca="1">IF($A562="","",IFERROR(INDEX(Query1[Close],MATCH($A562,Query1[Date],1)),""))</f>
        <v/>
      </c>
    </row>
    <row r="563" spans="1:9" x14ac:dyDescent="0.3">
      <c r="A563" s="144" t="str">
        <f t="shared" ca="1" si="10"/>
        <v/>
      </c>
      <c r="B563" s="145" t="str">
        <f ca="1">IF($A563="","",IFERROR(INDEX(Market_Data!$C$21:$C$613,MATCH($A563,Market_Data!$B$21:INDEX(Market_Data!$B$21:$B$613,COUNT(Market_Data!$B$21:$B$613)),1)),""))</f>
        <v/>
      </c>
      <c r="C563" s="145" t="str">
        <f ca="1">IF($A563="","",IFERROR(INDEX(Market_Data!$F$21:$F$613,MATCH($A563,Market_Data!$E$21:INDEX(Market_Data!$E$21:$E$613,COUNT(Market_Data!$E$21:$E$613)),1)),""))</f>
        <v/>
      </c>
      <c r="D563" s="145" t="str">
        <f ca="1">IF($A563="","",IFERROR(INDEX(Market_Data!$I$21:$I$613,MATCH($A563,Market_Data!$H$21:INDEX(Market_Data!$H$21:$H$613,COUNT(Market_Data!$H$21:$H$613)),1)),""))</f>
        <v/>
      </c>
      <c r="E563" s="145" t="str">
        <f ca="1">IF($A563="","",IFERROR(INDEX(Market_Data!$L$21:$L$613,MATCH($A563,Market_Data!$K$21:INDEX(Market_Data!$K$21:$K$613,COUNT(Market_Data!$K$21:$K$613)),1)),""))</f>
        <v/>
      </c>
      <c r="F563" s="145" t="str">
        <f ca="1">IF($A563="","",IFERROR(INDEX(Market_Data!$O$21:$O$613,MATCH($A563,Market_Data!$N$21:INDEX(Market_Data!$N$21:$N$613,COUNT(Market_Data!$N$21:$N$613)),1)),""))</f>
        <v/>
      </c>
      <c r="G563" s="145" t="str">
        <f ca="1">IF($A563="","",IFERROR(INDEX(Market_Data!$R$21:$R$613,MATCH($A563,Market_Data!$Q$21:INDEX(Market_Data!$Q$21:$Q$613,COUNT(Market_Data!$Q$21:$Q$613)),1)),""))</f>
        <v/>
      </c>
      <c r="H563" s="145" t="str">
        <f ca="1">IF($A563="","",IFERROR(INDEX(Market_Data!$U$21:$U$613,MATCH($A563,Market_Data!$T$21:INDEX(Market_Data!$T$21:$T$613,COUNT(Market_Data!$T$21:$T$613)),1)),""))</f>
        <v/>
      </c>
      <c r="I563" s="146" t="str">
        <f ca="1">IF($A563="","",IFERROR(INDEX(Query1[Close],MATCH($A563,Query1[Date],1)),""))</f>
        <v/>
      </c>
    </row>
    <row r="564" spans="1:9" x14ac:dyDescent="0.3">
      <c r="A564" s="144" t="str">
        <f t="shared" ca="1" si="10"/>
        <v/>
      </c>
      <c r="B564" s="145" t="str">
        <f ca="1">IF($A564="","",IFERROR(INDEX(Market_Data!$C$21:$C$613,MATCH($A564,Market_Data!$B$21:INDEX(Market_Data!$B$21:$B$613,COUNT(Market_Data!$B$21:$B$613)),1)),""))</f>
        <v/>
      </c>
      <c r="C564" s="145" t="str">
        <f ca="1">IF($A564="","",IFERROR(INDEX(Market_Data!$F$21:$F$613,MATCH($A564,Market_Data!$E$21:INDEX(Market_Data!$E$21:$E$613,COUNT(Market_Data!$E$21:$E$613)),1)),""))</f>
        <v/>
      </c>
      <c r="D564" s="145" t="str">
        <f ca="1">IF($A564="","",IFERROR(INDEX(Market_Data!$I$21:$I$613,MATCH($A564,Market_Data!$H$21:INDEX(Market_Data!$H$21:$H$613,COUNT(Market_Data!$H$21:$H$613)),1)),""))</f>
        <v/>
      </c>
      <c r="E564" s="145" t="str">
        <f ca="1">IF($A564="","",IFERROR(INDEX(Market_Data!$L$21:$L$613,MATCH($A564,Market_Data!$K$21:INDEX(Market_Data!$K$21:$K$613,COUNT(Market_Data!$K$21:$K$613)),1)),""))</f>
        <v/>
      </c>
      <c r="F564" s="145" t="str">
        <f ca="1">IF($A564="","",IFERROR(INDEX(Market_Data!$O$21:$O$613,MATCH($A564,Market_Data!$N$21:INDEX(Market_Data!$N$21:$N$613,COUNT(Market_Data!$N$21:$N$613)),1)),""))</f>
        <v/>
      </c>
      <c r="G564" s="145" t="str">
        <f ca="1">IF($A564="","",IFERROR(INDEX(Market_Data!$R$21:$R$613,MATCH($A564,Market_Data!$Q$21:INDEX(Market_Data!$Q$21:$Q$613,COUNT(Market_Data!$Q$21:$Q$613)),1)),""))</f>
        <v/>
      </c>
      <c r="H564" s="145" t="str">
        <f ca="1">IF($A564="","",IFERROR(INDEX(Market_Data!$U$21:$U$613,MATCH($A564,Market_Data!$T$21:INDEX(Market_Data!$T$21:$T$613,COUNT(Market_Data!$T$21:$T$613)),1)),""))</f>
        <v/>
      </c>
      <c r="I564" s="146" t="str">
        <f ca="1">IF($A564="","",IFERROR(INDEX(Query1[Close],MATCH($A564,Query1[Date],1)),""))</f>
        <v/>
      </c>
    </row>
    <row r="565" spans="1:9" x14ac:dyDescent="0.3">
      <c r="A565" s="144" t="str">
        <f t="shared" ca="1" si="10"/>
        <v/>
      </c>
      <c r="B565" s="145" t="str">
        <f ca="1">IF($A565="","",IFERROR(INDEX(Market_Data!$C$21:$C$613,MATCH($A565,Market_Data!$B$21:INDEX(Market_Data!$B$21:$B$613,COUNT(Market_Data!$B$21:$B$613)),1)),""))</f>
        <v/>
      </c>
      <c r="C565" s="145" t="str">
        <f ca="1">IF($A565="","",IFERROR(INDEX(Market_Data!$F$21:$F$613,MATCH($A565,Market_Data!$E$21:INDEX(Market_Data!$E$21:$E$613,COUNT(Market_Data!$E$21:$E$613)),1)),""))</f>
        <v/>
      </c>
      <c r="D565" s="145" t="str">
        <f ca="1">IF($A565="","",IFERROR(INDEX(Market_Data!$I$21:$I$613,MATCH($A565,Market_Data!$H$21:INDEX(Market_Data!$H$21:$H$613,COUNT(Market_Data!$H$21:$H$613)),1)),""))</f>
        <v/>
      </c>
      <c r="E565" s="145" t="str">
        <f ca="1">IF($A565="","",IFERROR(INDEX(Market_Data!$L$21:$L$613,MATCH($A565,Market_Data!$K$21:INDEX(Market_Data!$K$21:$K$613,COUNT(Market_Data!$K$21:$K$613)),1)),""))</f>
        <v/>
      </c>
      <c r="F565" s="145" t="str">
        <f ca="1">IF($A565="","",IFERROR(INDEX(Market_Data!$O$21:$O$613,MATCH($A565,Market_Data!$N$21:INDEX(Market_Data!$N$21:$N$613,COUNT(Market_Data!$N$21:$N$613)),1)),""))</f>
        <v/>
      </c>
      <c r="G565" s="145" t="str">
        <f ca="1">IF($A565="","",IFERROR(INDEX(Market_Data!$R$21:$R$613,MATCH($A565,Market_Data!$Q$21:INDEX(Market_Data!$Q$21:$Q$613,COUNT(Market_Data!$Q$21:$Q$613)),1)),""))</f>
        <v/>
      </c>
      <c r="H565" s="145" t="str">
        <f ca="1">IF($A565="","",IFERROR(INDEX(Market_Data!$U$21:$U$613,MATCH($A565,Market_Data!$T$21:INDEX(Market_Data!$T$21:$T$613,COUNT(Market_Data!$T$21:$T$613)),1)),""))</f>
        <v/>
      </c>
      <c r="I565" s="146" t="str">
        <f ca="1">IF($A565="","",IFERROR(INDEX(Query1[Close],MATCH($A565,Query1[Date],1)),""))</f>
        <v/>
      </c>
    </row>
    <row r="566" spans="1:9" x14ac:dyDescent="0.3">
      <c r="A566" s="144" t="str">
        <f t="shared" ca="1" si="10"/>
        <v/>
      </c>
      <c r="B566" s="145" t="str">
        <f ca="1">IF($A566="","",IFERROR(INDEX(Market_Data!$C$21:$C$613,MATCH($A566,Market_Data!$B$21:INDEX(Market_Data!$B$21:$B$613,COUNT(Market_Data!$B$21:$B$613)),1)),""))</f>
        <v/>
      </c>
      <c r="C566" s="145" t="str">
        <f ca="1">IF($A566="","",IFERROR(INDEX(Market_Data!$F$21:$F$613,MATCH($A566,Market_Data!$E$21:INDEX(Market_Data!$E$21:$E$613,COUNT(Market_Data!$E$21:$E$613)),1)),""))</f>
        <v/>
      </c>
      <c r="D566" s="145" t="str">
        <f ca="1">IF($A566="","",IFERROR(INDEX(Market_Data!$I$21:$I$613,MATCH($A566,Market_Data!$H$21:INDEX(Market_Data!$H$21:$H$613,COUNT(Market_Data!$H$21:$H$613)),1)),""))</f>
        <v/>
      </c>
      <c r="E566" s="145" t="str">
        <f ca="1">IF($A566="","",IFERROR(INDEX(Market_Data!$L$21:$L$613,MATCH($A566,Market_Data!$K$21:INDEX(Market_Data!$K$21:$K$613,COUNT(Market_Data!$K$21:$K$613)),1)),""))</f>
        <v/>
      </c>
      <c r="F566" s="145" t="str">
        <f ca="1">IF($A566="","",IFERROR(INDEX(Market_Data!$O$21:$O$613,MATCH($A566,Market_Data!$N$21:INDEX(Market_Data!$N$21:$N$613,COUNT(Market_Data!$N$21:$N$613)),1)),""))</f>
        <v/>
      </c>
      <c r="G566" s="145" t="str">
        <f ca="1">IF($A566="","",IFERROR(INDEX(Market_Data!$R$21:$R$613,MATCH($A566,Market_Data!$Q$21:INDEX(Market_Data!$Q$21:$Q$613,COUNT(Market_Data!$Q$21:$Q$613)),1)),""))</f>
        <v/>
      </c>
      <c r="H566" s="145" t="str">
        <f ca="1">IF($A566="","",IFERROR(INDEX(Market_Data!$U$21:$U$613,MATCH($A566,Market_Data!$T$21:INDEX(Market_Data!$T$21:$T$613,COUNT(Market_Data!$T$21:$T$613)),1)),""))</f>
        <v/>
      </c>
      <c r="I566" s="146" t="str">
        <f ca="1">IF($A566="","",IFERROR(INDEX(Query1[Close],MATCH($A566,Query1[Date],1)),""))</f>
        <v/>
      </c>
    </row>
    <row r="567" spans="1:9" x14ac:dyDescent="0.3">
      <c r="A567" s="144" t="str">
        <f t="shared" ca="1" si="10"/>
        <v/>
      </c>
      <c r="B567" s="145" t="str">
        <f ca="1">IF($A567="","",IFERROR(INDEX(Market_Data!$C$21:$C$613,MATCH($A567,Market_Data!$B$21:INDEX(Market_Data!$B$21:$B$613,COUNT(Market_Data!$B$21:$B$613)),1)),""))</f>
        <v/>
      </c>
      <c r="C567" s="145" t="str">
        <f ca="1">IF($A567="","",IFERROR(INDEX(Market_Data!$F$21:$F$613,MATCH($A567,Market_Data!$E$21:INDEX(Market_Data!$E$21:$E$613,COUNT(Market_Data!$E$21:$E$613)),1)),""))</f>
        <v/>
      </c>
      <c r="D567" s="145" t="str">
        <f ca="1">IF($A567="","",IFERROR(INDEX(Market_Data!$I$21:$I$613,MATCH($A567,Market_Data!$H$21:INDEX(Market_Data!$H$21:$H$613,COUNT(Market_Data!$H$21:$H$613)),1)),""))</f>
        <v/>
      </c>
      <c r="E567" s="145" t="str">
        <f ca="1">IF($A567="","",IFERROR(INDEX(Market_Data!$L$21:$L$613,MATCH($A567,Market_Data!$K$21:INDEX(Market_Data!$K$21:$K$613,COUNT(Market_Data!$K$21:$K$613)),1)),""))</f>
        <v/>
      </c>
      <c r="F567" s="145" t="str">
        <f ca="1">IF($A567="","",IFERROR(INDEX(Market_Data!$O$21:$O$613,MATCH($A567,Market_Data!$N$21:INDEX(Market_Data!$N$21:$N$613,COUNT(Market_Data!$N$21:$N$613)),1)),""))</f>
        <v/>
      </c>
      <c r="G567" s="145" t="str">
        <f ca="1">IF($A567="","",IFERROR(INDEX(Market_Data!$R$21:$R$613,MATCH($A567,Market_Data!$Q$21:INDEX(Market_Data!$Q$21:$Q$613,COUNT(Market_Data!$Q$21:$Q$613)),1)),""))</f>
        <v/>
      </c>
      <c r="H567" s="145" t="str">
        <f ca="1">IF($A567="","",IFERROR(INDEX(Market_Data!$U$21:$U$613,MATCH($A567,Market_Data!$T$21:INDEX(Market_Data!$T$21:$T$613,COUNT(Market_Data!$T$21:$T$613)),1)),""))</f>
        <v/>
      </c>
      <c r="I567" s="146" t="str">
        <f ca="1">IF($A567="","",IFERROR(INDEX(Query1[Close],MATCH($A567,Query1[Date],1)),""))</f>
        <v/>
      </c>
    </row>
    <row r="568" spans="1:9" x14ac:dyDescent="0.3">
      <c r="A568" s="144" t="str">
        <f t="shared" ca="1" si="10"/>
        <v/>
      </c>
      <c r="B568" s="145" t="str">
        <f ca="1">IF($A568="","",IFERROR(INDEX(Market_Data!$C$21:$C$613,MATCH($A568,Market_Data!$B$21:INDEX(Market_Data!$B$21:$B$613,COUNT(Market_Data!$B$21:$B$613)),1)),""))</f>
        <v/>
      </c>
      <c r="C568" s="145" t="str">
        <f ca="1">IF($A568="","",IFERROR(INDEX(Market_Data!$F$21:$F$613,MATCH($A568,Market_Data!$E$21:INDEX(Market_Data!$E$21:$E$613,COUNT(Market_Data!$E$21:$E$613)),1)),""))</f>
        <v/>
      </c>
      <c r="D568" s="145" t="str">
        <f ca="1">IF($A568="","",IFERROR(INDEX(Market_Data!$I$21:$I$613,MATCH($A568,Market_Data!$H$21:INDEX(Market_Data!$H$21:$H$613,COUNT(Market_Data!$H$21:$H$613)),1)),""))</f>
        <v/>
      </c>
      <c r="E568" s="145" t="str">
        <f ca="1">IF($A568="","",IFERROR(INDEX(Market_Data!$L$21:$L$613,MATCH($A568,Market_Data!$K$21:INDEX(Market_Data!$K$21:$K$613,COUNT(Market_Data!$K$21:$K$613)),1)),""))</f>
        <v/>
      </c>
      <c r="F568" s="145" t="str">
        <f ca="1">IF($A568="","",IFERROR(INDEX(Market_Data!$O$21:$O$613,MATCH($A568,Market_Data!$N$21:INDEX(Market_Data!$N$21:$N$613,COUNT(Market_Data!$N$21:$N$613)),1)),""))</f>
        <v/>
      </c>
      <c r="G568" s="145" t="str">
        <f ca="1">IF($A568="","",IFERROR(INDEX(Market_Data!$R$21:$R$613,MATCH($A568,Market_Data!$Q$21:INDEX(Market_Data!$Q$21:$Q$613,COUNT(Market_Data!$Q$21:$Q$613)),1)),""))</f>
        <v/>
      </c>
      <c r="H568" s="145" t="str">
        <f ca="1">IF($A568="","",IFERROR(INDEX(Market_Data!$U$21:$U$613,MATCH($A568,Market_Data!$T$21:INDEX(Market_Data!$T$21:$T$613,COUNT(Market_Data!$T$21:$T$613)),1)),""))</f>
        <v/>
      </c>
      <c r="I568" s="146" t="str">
        <f ca="1">IF($A568="","",IFERROR(INDEX(Query1[Close],MATCH($A568,Query1[Date],1)),""))</f>
        <v/>
      </c>
    </row>
    <row r="569" spans="1:9" x14ac:dyDescent="0.3">
      <c r="A569" s="144" t="str">
        <f t="shared" ca="1" si="10"/>
        <v/>
      </c>
      <c r="B569" s="145" t="str">
        <f ca="1">IF($A569="","",IFERROR(INDEX(Market_Data!$C$21:$C$613,MATCH($A569,Market_Data!$B$21:INDEX(Market_Data!$B$21:$B$613,COUNT(Market_Data!$B$21:$B$613)),1)),""))</f>
        <v/>
      </c>
      <c r="C569" s="145" t="str">
        <f ca="1">IF($A569="","",IFERROR(INDEX(Market_Data!$F$21:$F$613,MATCH($A569,Market_Data!$E$21:INDEX(Market_Data!$E$21:$E$613,COUNT(Market_Data!$E$21:$E$613)),1)),""))</f>
        <v/>
      </c>
      <c r="D569" s="145" t="str">
        <f ca="1">IF($A569="","",IFERROR(INDEX(Market_Data!$I$21:$I$613,MATCH($A569,Market_Data!$H$21:INDEX(Market_Data!$H$21:$H$613,COUNT(Market_Data!$H$21:$H$613)),1)),""))</f>
        <v/>
      </c>
      <c r="E569" s="145" t="str">
        <f ca="1">IF($A569="","",IFERROR(INDEX(Market_Data!$L$21:$L$613,MATCH($A569,Market_Data!$K$21:INDEX(Market_Data!$K$21:$K$613,COUNT(Market_Data!$K$21:$K$613)),1)),""))</f>
        <v/>
      </c>
      <c r="F569" s="145" t="str">
        <f ca="1">IF($A569="","",IFERROR(INDEX(Market_Data!$O$21:$O$613,MATCH($A569,Market_Data!$N$21:INDEX(Market_Data!$N$21:$N$613,COUNT(Market_Data!$N$21:$N$613)),1)),""))</f>
        <v/>
      </c>
      <c r="G569" s="145" t="str">
        <f ca="1">IF($A569="","",IFERROR(INDEX(Market_Data!$R$21:$R$613,MATCH($A569,Market_Data!$Q$21:INDEX(Market_Data!$Q$21:$Q$613,COUNT(Market_Data!$Q$21:$Q$613)),1)),""))</f>
        <v/>
      </c>
      <c r="H569" s="145" t="str">
        <f ca="1">IF($A569="","",IFERROR(INDEX(Market_Data!$U$21:$U$613,MATCH($A569,Market_Data!$T$21:INDEX(Market_Data!$T$21:$T$613,COUNT(Market_Data!$T$21:$T$613)),1)),""))</f>
        <v/>
      </c>
      <c r="I569" s="146" t="str">
        <f ca="1">IF($A569="","",IFERROR(INDEX(Query1[Close],MATCH($A569,Query1[Date],1)),""))</f>
        <v/>
      </c>
    </row>
    <row r="570" spans="1:9" x14ac:dyDescent="0.3">
      <c r="A570" s="144" t="str">
        <f t="shared" ca="1" si="10"/>
        <v/>
      </c>
      <c r="B570" s="145" t="str">
        <f ca="1">IF($A570="","",IFERROR(INDEX(Market_Data!$C$21:$C$613,MATCH($A570,Market_Data!$B$21:INDEX(Market_Data!$B$21:$B$613,COUNT(Market_Data!$B$21:$B$613)),1)),""))</f>
        <v/>
      </c>
      <c r="C570" s="145" t="str">
        <f ca="1">IF($A570="","",IFERROR(INDEX(Market_Data!$F$21:$F$613,MATCH($A570,Market_Data!$E$21:INDEX(Market_Data!$E$21:$E$613,COUNT(Market_Data!$E$21:$E$613)),1)),""))</f>
        <v/>
      </c>
      <c r="D570" s="145" t="str">
        <f ca="1">IF($A570="","",IFERROR(INDEX(Market_Data!$I$21:$I$613,MATCH($A570,Market_Data!$H$21:INDEX(Market_Data!$H$21:$H$613,COUNT(Market_Data!$H$21:$H$613)),1)),""))</f>
        <v/>
      </c>
      <c r="E570" s="145" t="str">
        <f ca="1">IF($A570="","",IFERROR(INDEX(Market_Data!$L$21:$L$613,MATCH($A570,Market_Data!$K$21:INDEX(Market_Data!$K$21:$K$613,COUNT(Market_Data!$K$21:$K$613)),1)),""))</f>
        <v/>
      </c>
      <c r="F570" s="145" t="str">
        <f ca="1">IF($A570="","",IFERROR(INDEX(Market_Data!$O$21:$O$613,MATCH($A570,Market_Data!$N$21:INDEX(Market_Data!$N$21:$N$613,COUNT(Market_Data!$N$21:$N$613)),1)),""))</f>
        <v/>
      </c>
      <c r="G570" s="145" t="str">
        <f ca="1">IF($A570="","",IFERROR(INDEX(Market_Data!$R$21:$R$613,MATCH($A570,Market_Data!$Q$21:INDEX(Market_Data!$Q$21:$Q$613,COUNT(Market_Data!$Q$21:$Q$613)),1)),""))</f>
        <v/>
      </c>
      <c r="H570" s="145" t="str">
        <f ca="1">IF($A570="","",IFERROR(INDEX(Market_Data!$U$21:$U$613,MATCH($A570,Market_Data!$T$21:INDEX(Market_Data!$T$21:$T$613,COUNT(Market_Data!$T$21:$T$613)),1)),""))</f>
        <v/>
      </c>
      <c r="I570" s="146" t="str">
        <f ca="1">IF($A570="","",IFERROR(INDEX(Query1[Close],MATCH($A570,Query1[Date],1)),""))</f>
        <v/>
      </c>
    </row>
    <row r="571" spans="1:9" x14ac:dyDescent="0.3">
      <c r="A571" s="144" t="str">
        <f t="shared" ca="1" si="10"/>
        <v/>
      </c>
      <c r="B571" s="145" t="str">
        <f ca="1">IF($A571="","",IFERROR(INDEX(Market_Data!$C$21:$C$613,MATCH($A571,Market_Data!$B$21:INDEX(Market_Data!$B$21:$B$613,COUNT(Market_Data!$B$21:$B$613)),1)),""))</f>
        <v/>
      </c>
      <c r="C571" s="145" t="str">
        <f ca="1">IF($A571="","",IFERROR(INDEX(Market_Data!$F$21:$F$613,MATCH($A571,Market_Data!$E$21:INDEX(Market_Data!$E$21:$E$613,COUNT(Market_Data!$E$21:$E$613)),1)),""))</f>
        <v/>
      </c>
      <c r="D571" s="145" t="str">
        <f ca="1">IF($A571="","",IFERROR(INDEX(Market_Data!$I$21:$I$613,MATCH($A571,Market_Data!$H$21:INDEX(Market_Data!$H$21:$H$613,COUNT(Market_Data!$H$21:$H$613)),1)),""))</f>
        <v/>
      </c>
      <c r="E571" s="145" t="str">
        <f ca="1">IF($A571="","",IFERROR(INDEX(Market_Data!$L$21:$L$613,MATCH($A571,Market_Data!$K$21:INDEX(Market_Data!$K$21:$K$613,COUNT(Market_Data!$K$21:$K$613)),1)),""))</f>
        <v/>
      </c>
      <c r="F571" s="145" t="str">
        <f ca="1">IF($A571="","",IFERROR(INDEX(Market_Data!$O$21:$O$613,MATCH($A571,Market_Data!$N$21:INDEX(Market_Data!$N$21:$N$613,COUNT(Market_Data!$N$21:$N$613)),1)),""))</f>
        <v/>
      </c>
      <c r="G571" s="145" t="str">
        <f ca="1">IF($A571="","",IFERROR(INDEX(Market_Data!$R$21:$R$613,MATCH($A571,Market_Data!$Q$21:INDEX(Market_Data!$Q$21:$Q$613,COUNT(Market_Data!$Q$21:$Q$613)),1)),""))</f>
        <v/>
      </c>
      <c r="H571" s="145" t="str">
        <f ca="1">IF($A571="","",IFERROR(INDEX(Market_Data!$U$21:$U$613,MATCH($A571,Market_Data!$T$21:INDEX(Market_Data!$T$21:$T$613,COUNT(Market_Data!$T$21:$T$613)),1)),""))</f>
        <v/>
      </c>
      <c r="I571" s="146" t="str">
        <f ca="1">IF($A571="","",IFERROR(INDEX(Query1[Close],MATCH($A571,Query1[Date],1)),""))</f>
        <v/>
      </c>
    </row>
    <row r="572" spans="1:9" x14ac:dyDescent="0.3">
      <c r="A572" s="144" t="str">
        <f t="shared" ca="1" si="10"/>
        <v/>
      </c>
      <c r="B572" s="145" t="str">
        <f ca="1">IF($A572="","",IFERROR(INDEX(Market_Data!$C$21:$C$613,MATCH($A572,Market_Data!$B$21:INDEX(Market_Data!$B$21:$B$613,COUNT(Market_Data!$B$21:$B$613)),1)),""))</f>
        <v/>
      </c>
      <c r="C572" s="145" t="str">
        <f ca="1">IF($A572="","",IFERROR(INDEX(Market_Data!$F$21:$F$613,MATCH($A572,Market_Data!$E$21:INDEX(Market_Data!$E$21:$E$613,COUNT(Market_Data!$E$21:$E$613)),1)),""))</f>
        <v/>
      </c>
      <c r="D572" s="145" t="str">
        <f ca="1">IF($A572="","",IFERROR(INDEX(Market_Data!$I$21:$I$613,MATCH($A572,Market_Data!$H$21:INDEX(Market_Data!$H$21:$H$613,COUNT(Market_Data!$H$21:$H$613)),1)),""))</f>
        <v/>
      </c>
      <c r="E572" s="145" t="str">
        <f ca="1">IF($A572="","",IFERROR(INDEX(Market_Data!$L$21:$L$613,MATCH($A572,Market_Data!$K$21:INDEX(Market_Data!$K$21:$K$613,COUNT(Market_Data!$K$21:$K$613)),1)),""))</f>
        <v/>
      </c>
      <c r="F572" s="145" t="str">
        <f ca="1">IF($A572="","",IFERROR(INDEX(Market_Data!$O$21:$O$613,MATCH($A572,Market_Data!$N$21:INDEX(Market_Data!$N$21:$N$613,COUNT(Market_Data!$N$21:$N$613)),1)),""))</f>
        <v/>
      </c>
      <c r="G572" s="145" t="str">
        <f ca="1">IF($A572="","",IFERROR(INDEX(Market_Data!$R$21:$R$613,MATCH($A572,Market_Data!$Q$21:INDEX(Market_Data!$Q$21:$Q$613,COUNT(Market_Data!$Q$21:$Q$613)),1)),""))</f>
        <v/>
      </c>
      <c r="H572" s="145" t="str">
        <f ca="1">IF($A572="","",IFERROR(INDEX(Market_Data!$U$21:$U$613,MATCH($A572,Market_Data!$T$21:INDEX(Market_Data!$T$21:$T$613,COUNT(Market_Data!$T$21:$T$613)),1)),""))</f>
        <v/>
      </c>
      <c r="I572" s="146" t="str">
        <f ca="1">IF($A572="","",IFERROR(INDEX(Query1[Close],MATCH($A572,Query1[Date],1)),""))</f>
        <v/>
      </c>
    </row>
    <row r="573" spans="1:9" x14ac:dyDescent="0.3">
      <c r="A573" s="144" t="str">
        <f t="shared" ca="1" si="10"/>
        <v/>
      </c>
      <c r="B573" s="145" t="str">
        <f ca="1">IF($A573="","",IFERROR(INDEX(Market_Data!$C$21:$C$613,MATCH($A573,Market_Data!$B$21:INDEX(Market_Data!$B$21:$B$613,COUNT(Market_Data!$B$21:$B$613)),1)),""))</f>
        <v/>
      </c>
      <c r="C573" s="145" t="str">
        <f ca="1">IF($A573="","",IFERROR(INDEX(Market_Data!$F$21:$F$613,MATCH($A573,Market_Data!$E$21:INDEX(Market_Data!$E$21:$E$613,COUNT(Market_Data!$E$21:$E$613)),1)),""))</f>
        <v/>
      </c>
      <c r="D573" s="145" t="str">
        <f ca="1">IF($A573="","",IFERROR(INDEX(Market_Data!$I$21:$I$613,MATCH($A573,Market_Data!$H$21:INDEX(Market_Data!$H$21:$H$613,COUNT(Market_Data!$H$21:$H$613)),1)),""))</f>
        <v/>
      </c>
      <c r="E573" s="145" t="str">
        <f ca="1">IF($A573="","",IFERROR(INDEX(Market_Data!$L$21:$L$613,MATCH($A573,Market_Data!$K$21:INDEX(Market_Data!$K$21:$K$613,COUNT(Market_Data!$K$21:$K$613)),1)),""))</f>
        <v/>
      </c>
      <c r="F573" s="145" t="str">
        <f ca="1">IF($A573="","",IFERROR(INDEX(Market_Data!$O$21:$O$613,MATCH($A573,Market_Data!$N$21:INDEX(Market_Data!$N$21:$N$613,COUNT(Market_Data!$N$21:$N$613)),1)),""))</f>
        <v/>
      </c>
      <c r="G573" s="145" t="str">
        <f ca="1">IF($A573="","",IFERROR(INDEX(Market_Data!$R$21:$R$613,MATCH($A573,Market_Data!$Q$21:INDEX(Market_Data!$Q$21:$Q$613,COUNT(Market_Data!$Q$21:$Q$613)),1)),""))</f>
        <v/>
      </c>
      <c r="H573" s="145" t="str">
        <f ca="1">IF($A573="","",IFERROR(INDEX(Market_Data!$U$21:$U$613,MATCH($A573,Market_Data!$T$21:INDEX(Market_Data!$T$21:$T$613,COUNT(Market_Data!$T$21:$T$613)),1)),""))</f>
        <v/>
      </c>
      <c r="I573" s="146" t="str">
        <f ca="1">IF($A573="","",IFERROR(INDEX(Query1[Close],MATCH($A573,Query1[Date],1)),""))</f>
        <v/>
      </c>
    </row>
    <row r="574" spans="1:9" x14ac:dyDescent="0.3">
      <c r="A574" s="144" t="str">
        <f t="shared" ca="1" si="10"/>
        <v/>
      </c>
      <c r="B574" s="145" t="str">
        <f ca="1">IF($A574="","",IFERROR(INDEX(Market_Data!$C$21:$C$613,MATCH($A574,Market_Data!$B$21:INDEX(Market_Data!$B$21:$B$613,COUNT(Market_Data!$B$21:$B$613)),1)),""))</f>
        <v/>
      </c>
      <c r="C574" s="145" t="str">
        <f ca="1">IF($A574="","",IFERROR(INDEX(Market_Data!$F$21:$F$613,MATCH($A574,Market_Data!$E$21:INDEX(Market_Data!$E$21:$E$613,COUNT(Market_Data!$E$21:$E$613)),1)),""))</f>
        <v/>
      </c>
      <c r="D574" s="145" t="str">
        <f ca="1">IF($A574="","",IFERROR(INDEX(Market_Data!$I$21:$I$613,MATCH($A574,Market_Data!$H$21:INDEX(Market_Data!$H$21:$H$613,COUNT(Market_Data!$H$21:$H$613)),1)),""))</f>
        <v/>
      </c>
      <c r="E574" s="145" t="str">
        <f ca="1">IF($A574="","",IFERROR(INDEX(Market_Data!$L$21:$L$613,MATCH($A574,Market_Data!$K$21:INDEX(Market_Data!$K$21:$K$613,COUNT(Market_Data!$K$21:$K$613)),1)),""))</f>
        <v/>
      </c>
      <c r="F574" s="145" t="str">
        <f ca="1">IF($A574="","",IFERROR(INDEX(Market_Data!$O$21:$O$613,MATCH($A574,Market_Data!$N$21:INDEX(Market_Data!$N$21:$N$613,COUNT(Market_Data!$N$21:$N$613)),1)),""))</f>
        <v/>
      </c>
      <c r="G574" s="145" t="str">
        <f ca="1">IF($A574="","",IFERROR(INDEX(Market_Data!$R$21:$R$613,MATCH($A574,Market_Data!$Q$21:INDEX(Market_Data!$Q$21:$Q$613,COUNT(Market_Data!$Q$21:$Q$613)),1)),""))</f>
        <v/>
      </c>
      <c r="H574" s="145" t="str">
        <f ca="1">IF($A574="","",IFERROR(INDEX(Market_Data!$U$21:$U$613,MATCH($A574,Market_Data!$T$21:INDEX(Market_Data!$T$21:$T$613,COUNT(Market_Data!$T$21:$T$613)),1)),""))</f>
        <v/>
      </c>
      <c r="I574" s="146" t="str">
        <f ca="1">IF($A574="","",IFERROR(INDEX(Query1[Close],MATCH($A574,Query1[Date],1)),""))</f>
        <v/>
      </c>
    </row>
    <row r="575" spans="1:9" x14ac:dyDescent="0.3">
      <c r="A575" s="144" t="str">
        <f t="shared" ca="1" si="10"/>
        <v/>
      </c>
      <c r="B575" s="145" t="str">
        <f ca="1">IF($A575="","",IFERROR(INDEX(Market_Data!$C$21:$C$613,MATCH($A575,Market_Data!$B$21:INDEX(Market_Data!$B$21:$B$613,COUNT(Market_Data!$B$21:$B$613)),1)),""))</f>
        <v/>
      </c>
      <c r="C575" s="145" t="str">
        <f ca="1">IF($A575="","",IFERROR(INDEX(Market_Data!$F$21:$F$613,MATCH($A575,Market_Data!$E$21:INDEX(Market_Data!$E$21:$E$613,COUNT(Market_Data!$E$21:$E$613)),1)),""))</f>
        <v/>
      </c>
      <c r="D575" s="145" t="str">
        <f ca="1">IF($A575="","",IFERROR(INDEX(Market_Data!$I$21:$I$613,MATCH($A575,Market_Data!$H$21:INDEX(Market_Data!$H$21:$H$613,COUNT(Market_Data!$H$21:$H$613)),1)),""))</f>
        <v/>
      </c>
      <c r="E575" s="145" t="str">
        <f ca="1">IF($A575="","",IFERROR(INDEX(Market_Data!$L$21:$L$613,MATCH($A575,Market_Data!$K$21:INDEX(Market_Data!$K$21:$K$613,COUNT(Market_Data!$K$21:$K$613)),1)),""))</f>
        <v/>
      </c>
      <c r="F575" s="145" t="str">
        <f ca="1">IF($A575="","",IFERROR(INDEX(Market_Data!$O$21:$O$613,MATCH($A575,Market_Data!$N$21:INDEX(Market_Data!$N$21:$N$613,COUNT(Market_Data!$N$21:$N$613)),1)),""))</f>
        <v/>
      </c>
      <c r="G575" s="145" t="str">
        <f ca="1">IF($A575="","",IFERROR(INDEX(Market_Data!$R$21:$R$613,MATCH($A575,Market_Data!$Q$21:INDEX(Market_Data!$Q$21:$Q$613,COUNT(Market_Data!$Q$21:$Q$613)),1)),""))</f>
        <v/>
      </c>
      <c r="H575" s="145" t="str">
        <f ca="1">IF($A575="","",IFERROR(INDEX(Market_Data!$U$21:$U$613,MATCH($A575,Market_Data!$T$21:INDEX(Market_Data!$T$21:$T$613,COUNT(Market_Data!$T$21:$T$613)),1)),""))</f>
        <v/>
      </c>
      <c r="I575" s="146" t="str">
        <f ca="1">IF($A575="","",IFERROR(INDEX(Query1[Close],MATCH($A575,Query1[Date],1)),""))</f>
        <v/>
      </c>
    </row>
    <row r="576" spans="1:9" x14ac:dyDescent="0.3">
      <c r="A576" s="144" t="str">
        <f t="shared" ca="1" si="10"/>
        <v/>
      </c>
      <c r="B576" s="145" t="str">
        <f ca="1">IF($A576="","",IFERROR(INDEX(Market_Data!$C$21:$C$613,MATCH($A576,Market_Data!$B$21:INDEX(Market_Data!$B$21:$B$613,COUNT(Market_Data!$B$21:$B$613)),1)),""))</f>
        <v/>
      </c>
      <c r="C576" s="145" t="str">
        <f ca="1">IF($A576="","",IFERROR(INDEX(Market_Data!$F$21:$F$613,MATCH($A576,Market_Data!$E$21:INDEX(Market_Data!$E$21:$E$613,COUNT(Market_Data!$E$21:$E$613)),1)),""))</f>
        <v/>
      </c>
      <c r="D576" s="145" t="str">
        <f ca="1">IF($A576="","",IFERROR(INDEX(Market_Data!$I$21:$I$613,MATCH($A576,Market_Data!$H$21:INDEX(Market_Data!$H$21:$H$613,COUNT(Market_Data!$H$21:$H$613)),1)),""))</f>
        <v/>
      </c>
      <c r="E576" s="145" t="str">
        <f ca="1">IF($A576="","",IFERROR(INDEX(Market_Data!$L$21:$L$613,MATCH($A576,Market_Data!$K$21:INDEX(Market_Data!$K$21:$K$613,COUNT(Market_Data!$K$21:$K$613)),1)),""))</f>
        <v/>
      </c>
      <c r="F576" s="145" t="str">
        <f ca="1">IF($A576="","",IFERROR(INDEX(Market_Data!$O$21:$O$613,MATCH($A576,Market_Data!$N$21:INDEX(Market_Data!$N$21:$N$613,COUNT(Market_Data!$N$21:$N$613)),1)),""))</f>
        <v/>
      </c>
      <c r="G576" s="145" t="str">
        <f ca="1">IF($A576="","",IFERROR(INDEX(Market_Data!$R$21:$R$613,MATCH($A576,Market_Data!$Q$21:INDEX(Market_Data!$Q$21:$Q$613,COUNT(Market_Data!$Q$21:$Q$613)),1)),""))</f>
        <v/>
      </c>
      <c r="H576" s="145" t="str">
        <f ca="1">IF($A576="","",IFERROR(INDEX(Market_Data!$U$21:$U$613,MATCH($A576,Market_Data!$T$21:INDEX(Market_Data!$T$21:$T$613,COUNT(Market_Data!$T$21:$T$613)),1)),""))</f>
        <v/>
      </c>
      <c r="I576" s="146" t="str">
        <f ca="1">IF($A576="","",IFERROR(INDEX(Query1[Close],MATCH($A576,Query1[Date],1)),""))</f>
        <v/>
      </c>
    </row>
    <row r="577" spans="1:9" x14ac:dyDescent="0.3">
      <c r="A577" s="144" t="str">
        <f t="shared" ca="1" si="10"/>
        <v/>
      </c>
      <c r="B577" s="145" t="str">
        <f ca="1">IF($A577="","",IFERROR(INDEX(Market_Data!$C$21:$C$613,MATCH($A577,Market_Data!$B$21:INDEX(Market_Data!$B$21:$B$613,COUNT(Market_Data!$B$21:$B$613)),1)),""))</f>
        <v/>
      </c>
      <c r="C577" s="145" t="str">
        <f ca="1">IF($A577="","",IFERROR(INDEX(Market_Data!$F$21:$F$613,MATCH($A577,Market_Data!$E$21:INDEX(Market_Data!$E$21:$E$613,COUNT(Market_Data!$E$21:$E$613)),1)),""))</f>
        <v/>
      </c>
      <c r="D577" s="145" t="str">
        <f ca="1">IF($A577="","",IFERROR(INDEX(Market_Data!$I$21:$I$613,MATCH($A577,Market_Data!$H$21:INDEX(Market_Data!$H$21:$H$613,COUNT(Market_Data!$H$21:$H$613)),1)),""))</f>
        <v/>
      </c>
      <c r="E577" s="145" t="str">
        <f ca="1">IF($A577="","",IFERROR(INDEX(Market_Data!$L$21:$L$613,MATCH($A577,Market_Data!$K$21:INDEX(Market_Data!$K$21:$K$613,COUNT(Market_Data!$K$21:$K$613)),1)),""))</f>
        <v/>
      </c>
      <c r="F577" s="145" t="str">
        <f ca="1">IF($A577="","",IFERROR(INDEX(Market_Data!$O$21:$O$613,MATCH($A577,Market_Data!$N$21:INDEX(Market_Data!$N$21:$N$613,COUNT(Market_Data!$N$21:$N$613)),1)),""))</f>
        <v/>
      </c>
      <c r="G577" s="145" t="str">
        <f ca="1">IF($A577="","",IFERROR(INDEX(Market_Data!$R$21:$R$613,MATCH($A577,Market_Data!$Q$21:INDEX(Market_Data!$Q$21:$Q$613,COUNT(Market_Data!$Q$21:$Q$613)),1)),""))</f>
        <v/>
      </c>
      <c r="H577" s="145" t="str">
        <f ca="1">IF($A577="","",IFERROR(INDEX(Market_Data!$U$21:$U$613,MATCH($A577,Market_Data!$T$21:INDEX(Market_Data!$T$21:$T$613,COUNT(Market_Data!$T$21:$T$613)),1)),""))</f>
        <v/>
      </c>
      <c r="I577" s="146" t="str">
        <f ca="1">IF($A577="","",IFERROR(INDEX(Query1[Close],MATCH($A577,Query1[Date],1)),""))</f>
        <v/>
      </c>
    </row>
    <row r="578" spans="1:9" x14ac:dyDescent="0.3">
      <c r="A578" s="144" t="str">
        <f t="shared" ca="1" si="10"/>
        <v/>
      </c>
      <c r="B578" s="145" t="str">
        <f ca="1">IF($A578="","",IFERROR(INDEX(Market_Data!$C$21:$C$613,MATCH($A578,Market_Data!$B$21:INDEX(Market_Data!$B$21:$B$613,COUNT(Market_Data!$B$21:$B$613)),1)),""))</f>
        <v/>
      </c>
      <c r="C578" s="145" t="str">
        <f ca="1">IF($A578="","",IFERROR(INDEX(Market_Data!$F$21:$F$613,MATCH($A578,Market_Data!$E$21:INDEX(Market_Data!$E$21:$E$613,COUNT(Market_Data!$E$21:$E$613)),1)),""))</f>
        <v/>
      </c>
      <c r="D578" s="145" t="str">
        <f ca="1">IF($A578="","",IFERROR(INDEX(Market_Data!$I$21:$I$613,MATCH($A578,Market_Data!$H$21:INDEX(Market_Data!$H$21:$H$613,COUNT(Market_Data!$H$21:$H$613)),1)),""))</f>
        <v/>
      </c>
      <c r="E578" s="145" t="str">
        <f ca="1">IF($A578="","",IFERROR(INDEX(Market_Data!$L$21:$L$613,MATCH($A578,Market_Data!$K$21:INDEX(Market_Data!$K$21:$K$613,COUNT(Market_Data!$K$21:$K$613)),1)),""))</f>
        <v/>
      </c>
      <c r="F578" s="145" t="str">
        <f ca="1">IF($A578="","",IFERROR(INDEX(Market_Data!$O$21:$O$613,MATCH($A578,Market_Data!$N$21:INDEX(Market_Data!$N$21:$N$613,COUNT(Market_Data!$N$21:$N$613)),1)),""))</f>
        <v/>
      </c>
      <c r="G578" s="145" t="str">
        <f ca="1">IF($A578="","",IFERROR(INDEX(Market_Data!$R$21:$R$613,MATCH($A578,Market_Data!$Q$21:INDEX(Market_Data!$Q$21:$Q$613,COUNT(Market_Data!$Q$21:$Q$613)),1)),""))</f>
        <v/>
      </c>
      <c r="H578" s="145" t="str">
        <f ca="1">IF($A578="","",IFERROR(INDEX(Market_Data!$U$21:$U$613,MATCH($A578,Market_Data!$T$21:INDEX(Market_Data!$T$21:$T$613,COUNT(Market_Data!$T$21:$T$613)),1)),""))</f>
        <v/>
      </c>
      <c r="I578" s="146" t="str">
        <f ca="1">IF($A578="","",IFERROR(INDEX(Query1[Close],MATCH($A578,Query1[Date],1)),""))</f>
        <v/>
      </c>
    </row>
    <row r="579" spans="1:9" x14ac:dyDescent="0.3">
      <c r="A579" s="144" t="str">
        <f t="shared" ca="1" si="10"/>
        <v/>
      </c>
      <c r="B579" s="145" t="str">
        <f ca="1">IF($A579="","",IFERROR(INDEX(Market_Data!$C$21:$C$613,MATCH($A579,Market_Data!$B$21:INDEX(Market_Data!$B$21:$B$613,COUNT(Market_Data!$B$21:$B$613)),1)),""))</f>
        <v/>
      </c>
      <c r="C579" s="145" t="str">
        <f ca="1">IF($A579="","",IFERROR(INDEX(Market_Data!$F$21:$F$613,MATCH($A579,Market_Data!$E$21:INDEX(Market_Data!$E$21:$E$613,COUNT(Market_Data!$E$21:$E$613)),1)),""))</f>
        <v/>
      </c>
      <c r="D579" s="145" t="str">
        <f ca="1">IF($A579="","",IFERROR(INDEX(Market_Data!$I$21:$I$613,MATCH($A579,Market_Data!$H$21:INDEX(Market_Data!$H$21:$H$613,COUNT(Market_Data!$H$21:$H$613)),1)),""))</f>
        <v/>
      </c>
      <c r="E579" s="145" t="str">
        <f ca="1">IF($A579="","",IFERROR(INDEX(Market_Data!$L$21:$L$613,MATCH($A579,Market_Data!$K$21:INDEX(Market_Data!$K$21:$K$613,COUNT(Market_Data!$K$21:$K$613)),1)),""))</f>
        <v/>
      </c>
      <c r="F579" s="145" t="str">
        <f ca="1">IF($A579="","",IFERROR(INDEX(Market_Data!$O$21:$O$613,MATCH($A579,Market_Data!$N$21:INDEX(Market_Data!$N$21:$N$613,COUNT(Market_Data!$N$21:$N$613)),1)),""))</f>
        <v/>
      </c>
      <c r="G579" s="145" t="str">
        <f ca="1">IF($A579="","",IFERROR(INDEX(Market_Data!$R$21:$R$613,MATCH($A579,Market_Data!$Q$21:INDEX(Market_Data!$Q$21:$Q$613,COUNT(Market_Data!$Q$21:$Q$613)),1)),""))</f>
        <v/>
      </c>
      <c r="H579" s="145" t="str">
        <f ca="1">IF($A579="","",IFERROR(INDEX(Market_Data!$U$21:$U$613,MATCH($A579,Market_Data!$T$21:INDEX(Market_Data!$T$21:$T$613,COUNT(Market_Data!$T$21:$T$613)),1)),""))</f>
        <v/>
      </c>
      <c r="I579" s="146" t="str">
        <f ca="1">IF($A579="","",IFERROR(INDEX(Query1[Close],MATCH($A579,Query1[Date],1)),""))</f>
        <v/>
      </c>
    </row>
    <row r="580" spans="1:9" x14ac:dyDescent="0.3">
      <c r="A580" s="144" t="str">
        <f t="shared" ca="1" si="10"/>
        <v/>
      </c>
      <c r="B580" s="145" t="str">
        <f ca="1">IF($A580="","",IFERROR(INDEX(Market_Data!$C$21:$C$613,MATCH($A580,Market_Data!$B$21:INDEX(Market_Data!$B$21:$B$613,COUNT(Market_Data!$B$21:$B$613)),1)),""))</f>
        <v/>
      </c>
      <c r="C580" s="145" t="str">
        <f ca="1">IF($A580="","",IFERROR(INDEX(Market_Data!$F$21:$F$613,MATCH($A580,Market_Data!$E$21:INDEX(Market_Data!$E$21:$E$613,COUNT(Market_Data!$E$21:$E$613)),1)),""))</f>
        <v/>
      </c>
      <c r="D580" s="145" t="str">
        <f ca="1">IF($A580="","",IFERROR(INDEX(Market_Data!$I$21:$I$613,MATCH($A580,Market_Data!$H$21:INDEX(Market_Data!$H$21:$H$613,COUNT(Market_Data!$H$21:$H$613)),1)),""))</f>
        <v/>
      </c>
      <c r="E580" s="145" t="str">
        <f ca="1">IF($A580="","",IFERROR(INDEX(Market_Data!$L$21:$L$613,MATCH($A580,Market_Data!$K$21:INDEX(Market_Data!$K$21:$K$613,COUNT(Market_Data!$K$21:$K$613)),1)),""))</f>
        <v/>
      </c>
      <c r="F580" s="145" t="str">
        <f ca="1">IF($A580="","",IFERROR(INDEX(Market_Data!$O$21:$O$613,MATCH($A580,Market_Data!$N$21:INDEX(Market_Data!$N$21:$N$613,COUNT(Market_Data!$N$21:$N$613)),1)),""))</f>
        <v/>
      </c>
      <c r="G580" s="145" t="str">
        <f ca="1">IF($A580="","",IFERROR(INDEX(Market_Data!$R$21:$R$613,MATCH($A580,Market_Data!$Q$21:INDEX(Market_Data!$Q$21:$Q$613,COUNT(Market_Data!$Q$21:$Q$613)),1)),""))</f>
        <v/>
      </c>
      <c r="H580" s="145" t="str">
        <f ca="1">IF($A580="","",IFERROR(INDEX(Market_Data!$U$21:$U$613,MATCH($A580,Market_Data!$T$21:INDEX(Market_Data!$T$21:$T$613,COUNT(Market_Data!$T$21:$T$613)),1)),""))</f>
        <v/>
      </c>
      <c r="I580" s="146" t="str">
        <f ca="1">IF($A580="","",IFERROR(INDEX(Query1[Close],MATCH($A580,Query1[Date],1)),""))</f>
        <v/>
      </c>
    </row>
    <row r="581" spans="1:9" x14ac:dyDescent="0.3">
      <c r="A581" s="144" t="str">
        <f t="shared" ca="1" si="10"/>
        <v/>
      </c>
      <c r="B581" s="145" t="str">
        <f ca="1">IF($A581="","",IFERROR(INDEX(Market_Data!$C$21:$C$613,MATCH($A581,Market_Data!$B$21:INDEX(Market_Data!$B$21:$B$613,COUNT(Market_Data!$B$21:$B$613)),1)),""))</f>
        <v/>
      </c>
      <c r="C581" s="145" t="str">
        <f ca="1">IF($A581="","",IFERROR(INDEX(Market_Data!$F$21:$F$613,MATCH($A581,Market_Data!$E$21:INDEX(Market_Data!$E$21:$E$613,COUNT(Market_Data!$E$21:$E$613)),1)),""))</f>
        <v/>
      </c>
      <c r="D581" s="145" t="str">
        <f ca="1">IF($A581="","",IFERROR(INDEX(Market_Data!$I$21:$I$613,MATCH($A581,Market_Data!$H$21:INDEX(Market_Data!$H$21:$H$613,COUNT(Market_Data!$H$21:$H$613)),1)),""))</f>
        <v/>
      </c>
      <c r="E581" s="145" t="str">
        <f ca="1">IF($A581="","",IFERROR(INDEX(Market_Data!$L$21:$L$613,MATCH($A581,Market_Data!$K$21:INDEX(Market_Data!$K$21:$K$613,COUNT(Market_Data!$K$21:$K$613)),1)),""))</f>
        <v/>
      </c>
      <c r="F581" s="145" t="str">
        <f ca="1">IF($A581="","",IFERROR(INDEX(Market_Data!$O$21:$O$613,MATCH($A581,Market_Data!$N$21:INDEX(Market_Data!$N$21:$N$613,COUNT(Market_Data!$N$21:$N$613)),1)),""))</f>
        <v/>
      </c>
      <c r="G581" s="145" t="str">
        <f ca="1">IF($A581="","",IFERROR(INDEX(Market_Data!$R$21:$R$613,MATCH($A581,Market_Data!$Q$21:INDEX(Market_Data!$Q$21:$Q$613,COUNT(Market_Data!$Q$21:$Q$613)),1)),""))</f>
        <v/>
      </c>
      <c r="H581" s="145" t="str">
        <f ca="1">IF($A581="","",IFERROR(INDEX(Market_Data!$U$21:$U$613,MATCH($A581,Market_Data!$T$21:INDEX(Market_Data!$T$21:$T$613,COUNT(Market_Data!$T$21:$T$613)),1)),""))</f>
        <v/>
      </c>
      <c r="I581" s="146" t="str">
        <f ca="1">IF($A581="","",IFERROR(INDEX(Query1[Close],MATCH($A581,Query1[Date],1)),""))</f>
        <v/>
      </c>
    </row>
    <row r="582" spans="1:9" x14ac:dyDescent="0.3">
      <c r="A582" s="144" t="str">
        <f t="shared" ref="A582:A645" ca="1" si="11">IF($A581="","",IF($A581+7&lt;=TODAY(),$A581+7,""))</f>
        <v/>
      </c>
      <c r="B582" s="145" t="str">
        <f ca="1">IF($A582="","",IFERROR(INDEX(Market_Data!$C$21:$C$613,MATCH($A582,Market_Data!$B$21:INDEX(Market_Data!$B$21:$B$613,COUNT(Market_Data!$B$21:$B$613)),1)),""))</f>
        <v/>
      </c>
      <c r="C582" s="145" t="str">
        <f ca="1">IF($A582="","",IFERROR(INDEX(Market_Data!$F$21:$F$613,MATCH($A582,Market_Data!$E$21:INDEX(Market_Data!$E$21:$E$613,COUNT(Market_Data!$E$21:$E$613)),1)),""))</f>
        <v/>
      </c>
      <c r="D582" s="145" t="str">
        <f ca="1">IF($A582="","",IFERROR(INDEX(Market_Data!$I$21:$I$613,MATCH($A582,Market_Data!$H$21:INDEX(Market_Data!$H$21:$H$613,COUNT(Market_Data!$H$21:$H$613)),1)),""))</f>
        <v/>
      </c>
      <c r="E582" s="145" t="str">
        <f ca="1">IF($A582="","",IFERROR(INDEX(Market_Data!$L$21:$L$613,MATCH($A582,Market_Data!$K$21:INDEX(Market_Data!$K$21:$K$613,COUNT(Market_Data!$K$21:$K$613)),1)),""))</f>
        <v/>
      </c>
      <c r="F582" s="145" t="str">
        <f ca="1">IF($A582="","",IFERROR(INDEX(Market_Data!$O$21:$O$613,MATCH($A582,Market_Data!$N$21:INDEX(Market_Data!$N$21:$N$613,COUNT(Market_Data!$N$21:$N$613)),1)),""))</f>
        <v/>
      </c>
      <c r="G582" s="145" t="str">
        <f ca="1">IF($A582="","",IFERROR(INDEX(Market_Data!$R$21:$R$613,MATCH($A582,Market_Data!$Q$21:INDEX(Market_Data!$Q$21:$Q$613,COUNT(Market_Data!$Q$21:$Q$613)),1)),""))</f>
        <v/>
      </c>
      <c r="H582" s="145" t="str">
        <f ca="1">IF($A582="","",IFERROR(INDEX(Market_Data!$U$21:$U$613,MATCH($A582,Market_Data!$T$21:INDEX(Market_Data!$T$21:$T$613,COUNT(Market_Data!$T$21:$T$613)),1)),""))</f>
        <v/>
      </c>
      <c r="I582" s="146" t="str">
        <f ca="1">IF($A582="","",IFERROR(INDEX(Query1[Close],MATCH($A582,Query1[Date],1)),""))</f>
        <v/>
      </c>
    </row>
    <row r="583" spans="1:9" x14ac:dyDescent="0.3">
      <c r="A583" s="144" t="str">
        <f t="shared" ca="1" si="11"/>
        <v/>
      </c>
      <c r="B583" s="145" t="str">
        <f ca="1">IF($A583="","",IFERROR(INDEX(Market_Data!$C$21:$C$613,MATCH($A583,Market_Data!$B$21:INDEX(Market_Data!$B$21:$B$613,COUNT(Market_Data!$B$21:$B$613)),1)),""))</f>
        <v/>
      </c>
      <c r="C583" s="145" t="str">
        <f ca="1">IF($A583="","",IFERROR(INDEX(Market_Data!$F$21:$F$613,MATCH($A583,Market_Data!$E$21:INDEX(Market_Data!$E$21:$E$613,COUNT(Market_Data!$E$21:$E$613)),1)),""))</f>
        <v/>
      </c>
      <c r="D583" s="145" t="str">
        <f ca="1">IF($A583="","",IFERROR(INDEX(Market_Data!$I$21:$I$613,MATCH($A583,Market_Data!$H$21:INDEX(Market_Data!$H$21:$H$613,COUNT(Market_Data!$H$21:$H$613)),1)),""))</f>
        <v/>
      </c>
      <c r="E583" s="145" t="str">
        <f ca="1">IF($A583="","",IFERROR(INDEX(Market_Data!$L$21:$L$613,MATCH($A583,Market_Data!$K$21:INDEX(Market_Data!$K$21:$K$613,COUNT(Market_Data!$K$21:$K$613)),1)),""))</f>
        <v/>
      </c>
      <c r="F583" s="145" t="str">
        <f ca="1">IF($A583="","",IFERROR(INDEX(Market_Data!$O$21:$O$613,MATCH($A583,Market_Data!$N$21:INDEX(Market_Data!$N$21:$N$613,COUNT(Market_Data!$N$21:$N$613)),1)),""))</f>
        <v/>
      </c>
      <c r="G583" s="145" t="str">
        <f ca="1">IF($A583="","",IFERROR(INDEX(Market_Data!$R$21:$R$613,MATCH($A583,Market_Data!$Q$21:INDEX(Market_Data!$Q$21:$Q$613,COUNT(Market_Data!$Q$21:$Q$613)),1)),""))</f>
        <v/>
      </c>
      <c r="H583" s="145" t="str">
        <f ca="1">IF($A583="","",IFERROR(INDEX(Market_Data!$U$21:$U$613,MATCH($A583,Market_Data!$T$21:INDEX(Market_Data!$T$21:$T$613,COUNT(Market_Data!$T$21:$T$613)),1)),""))</f>
        <v/>
      </c>
      <c r="I583" s="146" t="str">
        <f ca="1">IF($A583="","",IFERROR(INDEX(Query1[Close],MATCH($A583,Query1[Date],1)),""))</f>
        <v/>
      </c>
    </row>
    <row r="584" spans="1:9" x14ac:dyDescent="0.3">
      <c r="A584" s="144" t="str">
        <f t="shared" ca="1" si="11"/>
        <v/>
      </c>
      <c r="B584" s="145" t="str">
        <f ca="1">IF($A584="","",IFERROR(INDEX(Market_Data!$C$21:$C$613,MATCH($A584,Market_Data!$B$21:INDEX(Market_Data!$B$21:$B$613,COUNT(Market_Data!$B$21:$B$613)),1)),""))</f>
        <v/>
      </c>
      <c r="C584" s="145" t="str">
        <f ca="1">IF($A584="","",IFERROR(INDEX(Market_Data!$F$21:$F$613,MATCH($A584,Market_Data!$E$21:INDEX(Market_Data!$E$21:$E$613,COUNT(Market_Data!$E$21:$E$613)),1)),""))</f>
        <v/>
      </c>
      <c r="D584" s="145" t="str">
        <f ca="1">IF($A584="","",IFERROR(INDEX(Market_Data!$I$21:$I$613,MATCH($A584,Market_Data!$H$21:INDEX(Market_Data!$H$21:$H$613,COUNT(Market_Data!$H$21:$H$613)),1)),""))</f>
        <v/>
      </c>
      <c r="E584" s="145" t="str">
        <f ca="1">IF($A584="","",IFERROR(INDEX(Market_Data!$L$21:$L$613,MATCH($A584,Market_Data!$K$21:INDEX(Market_Data!$K$21:$K$613,COUNT(Market_Data!$K$21:$K$613)),1)),""))</f>
        <v/>
      </c>
      <c r="F584" s="145" t="str">
        <f ca="1">IF($A584="","",IFERROR(INDEX(Market_Data!$O$21:$O$613,MATCH($A584,Market_Data!$N$21:INDEX(Market_Data!$N$21:$N$613,COUNT(Market_Data!$N$21:$N$613)),1)),""))</f>
        <v/>
      </c>
      <c r="G584" s="145" t="str">
        <f ca="1">IF($A584="","",IFERROR(INDEX(Market_Data!$R$21:$R$613,MATCH($A584,Market_Data!$Q$21:INDEX(Market_Data!$Q$21:$Q$613,COUNT(Market_Data!$Q$21:$Q$613)),1)),""))</f>
        <v/>
      </c>
      <c r="H584" s="145" t="str">
        <f ca="1">IF($A584="","",IFERROR(INDEX(Market_Data!$U$21:$U$613,MATCH($A584,Market_Data!$T$21:INDEX(Market_Data!$T$21:$T$613,COUNT(Market_Data!$T$21:$T$613)),1)),""))</f>
        <v/>
      </c>
      <c r="I584" s="146" t="str">
        <f ca="1">IF($A584="","",IFERROR(INDEX(Query1[Close],MATCH($A584,Query1[Date],1)),""))</f>
        <v/>
      </c>
    </row>
    <row r="585" spans="1:9" x14ac:dyDescent="0.3">
      <c r="A585" s="144" t="str">
        <f t="shared" ca="1" si="11"/>
        <v/>
      </c>
      <c r="B585" s="145" t="str">
        <f ca="1">IF($A585="","",IFERROR(INDEX(Market_Data!$C$21:$C$613,MATCH($A585,Market_Data!$B$21:INDEX(Market_Data!$B$21:$B$613,COUNT(Market_Data!$B$21:$B$613)),1)),""))</f>
        <v/>
      </c>
      <c r="C585" s="145" t="str">
        <f ca="1">IF($A585="","",IFERROR(INDEX(Market_Data!$F$21:$F$613,MATCH($A585,Market_Data!$E$21:INDEX(Market_Data!$E$21:$E$613,COUNT(Market_Data!$E$21:$E$613)),1)),""))</f>
        <v/>
      </c>
      <c r="D585" s="145" t="str">
        <f ca="1">IF($A585="","",IFERROR(INDEX(Market_Data!$I$21:$I$613,MATCH($A585,Market_Data!$H$21:INDEX(Market_Data!$H$21:$H$613,COUNT(Market_Data!$H$21:$H$613)),1)),""))</f>
        <v/>
      </c>
      <c r="E585" s="145" t="str">
        <f ca="1">IF($A585="","",IFERROR(INDEX(Market_Data!$L$21:$L$613,MATCH($A585,Market_Data!$K$21:INDEX(Market_Data!$K$21:$K$613,COUNT(Market_Data!$K$21:$K$613)),1)),""))</f>
        <v/>
      </c>
      <c r="F585" s="145" t="str">
        <f ca="1">IF($A585="","",IFERROR(INDEX(Market_Data!$O$21:$O$613,MATCH($A585,Market_Data!$N$21:INDEX(Market_Data!$N$21:$N$613,COUNT(Market_Data!$N$21:$N$613)),1)),""))</f>
        <v/>
      </c>
      <c r="G585" s="145" t="str">
        <f ca="1">IF($A585="","",IFERROR(INDEX(Market_Data!$R$21:$R$613,MATCH($A585,Market_Data!$Q$21:INDEX(Market_Data!$Q$21:$Q$613,COUNT(Market_Data!$Q$21:$Q$613)),1)),""))</f>
        <v/>
      </c>
      <c r="H585" s="145" t="str">
        <f ca="1">IF($A585="","",IFERROR(INDEX(Market_Data!$U$21:$U$613,MATCH($A585,Market_Data!$T$21:INDEX(Market_Data!$T$21:$T$613,COUNT(Market_Data!$T$21:$T$613)),1)),""))</f>
        <v/>
      </c>
      <c r="I585" s="146" t="str">
        <f ca="1">IF($A585="","",IFERROR(INDEX(Query1[Close],MATCH($A585,Query1[Date],1)),""))</f>
        <v/>
      </c>
    </row>
    <row r="586" spans="1:9" x14ac:dyDescent="0.3">
      <c r="A586" s="144" t="str">
        <f t="shared" ca="1" si="11"/>
        <v/>
      </c>
      <c r="B586" s="145" t="str">
        <f ca="1">IF($A586="","",IFERROR(INDEX(Market_Data!$C$21:$C$613,MATCH($A586,Market_Data!$B$21:INDEX(Market_Data!$B$21:$B$613,COUNT(Market_Data!$B$21:$B$613)),1)),""))</f>
        <v/>
      </c>
      <c r="C586" s="145" t="str">
        <f ca="1">IF($A586="","",IFERROR(INDEX(Market_Data!$F$21:$F$613,MATCH($A586,Market_Data!$E$21:INDEX(Market_Data!$E$21:$E$613,COUNT(Market_Data!$E$21:$E$613)),1)),""))</f>
        <v/>
      </c>
      <c r="D586" s="145" t="str">
        <f ca="1">IF($A586="","",IFERROR(INDEX(Market_Data!$I$21:$I$613,MATCH($A586,Market_Data!$H$21:INDEX(Market_Data!$H$21:$H$613,COUNT(Market_Data!$H$21:$H$613)),1)),""))</f>
        <v/>
      </c>
      <c r="E586" s="145" t="str">
        <f ca="1">IF($A586="","",IFERROR(INDEX(Market_Data!$L$21:$L$613,MATCH($A586,Market_Data!$K$21:INDEX(Market_Data!$K$21:$K$613,COUNT(Market_Data!$K$21:$K$613)),1)),""))</f>
        <v/>
      </c>
      <c r="F586" s="145" t="str">
        <f ca="1">IF($A586="","",IFERROR(INDEX(Market_Data!$O$21:$O$613,MATCH($A586,Market_Data!$N$21:INDEX(Market_Data!$N$21:$N$613,COUNT(Market_Data!$N$21:$N$613)),1)),""))</f>
        <v/>
      </c>
      <c r="G586" s="145" t="str">
        <f ca="1">IF($A586="","",IFERROR(INDEX(Market_Data!$R$21:$R$613,MATCH($A586,Market_Data!$Q$21:INDEX(Market_Data!$Q$21:$Q$613,COUNT(Market_Data!$Q$21:$Q$613)),1)),""))</f>
        <v/>
      </c>
      <c r="H586" s="145" t="str">
        <f ca="1">IF($A586="","",IFERROR(INDEX(Market_Data!$U$21:$U$613,MATCH($A586,Market_Data!$T$21:INDEX(Market_Data!$T$21:$T$613,COUNT(Market_Data!$T$21:$T$613)),1)),""))</f>
        <v/>
      </c>
      <c r="I586" s="146" t="str">
        <f ca="1">IF($A586="","",IFERROR(INDEX(Query1[Close],MATCH($A586,Query1[Date],1)),""))</f>
        <v/>
      </c>
    </row>
    <row r="587" spans="1:9" x14ac:dyDescent="0.3">
      <c r="A587" s="144" t="str">
        <f t="shared" ca="1" si="11"/>
        <v/>
      </c>
      <c r="B587" s="145" t="str">
        <f ca="1">IF($A587="","",IFERROR(INDEX(Market_Data!$C$21:$C$613,MATCH($A587,Market_Data!$B$21:INDEX(Market_Data!$B$21:$B$613,COUNT(Market_Data!$B$21:$B$613)),1)),""))</f>
        <v/>
      </c>
      <c r="C587" s="145" t="str">
        <f ca="1">IF($A587="","",IFERROR(INDEX(Market_Data!$F$21:$F$613,MATCH($A587,Market_Data!$E$21:INDEX(Market_Data!$E$21:$E$613,COUNT(Market_Data!$E$21:$E$613)),1)),""))</f>
        <v/>
      </c>
      <c r="D587" s="145" t="str">
        <f ca="1">IF($A587="","",IFERROR(INDEX(Market_Data!$I$21:$I$613,MATCH($A587,Market_Data!$H$21:INDEX(Market_Data!$H$21:$H$613,COUNT(Market_Data!$H$21:$H$613)),1)),""))</f>
        <v/>
      </c>
      <c r="E587" s="145" t="str">
        <f ca="1">IF($A587="","",IFERROR(INDEX(Market_Data!$L$21:$L$613,MATCH($A587,Market_Data!$K$21:INDEX(Market_Data!$K$21:$K$613,COUNT(Market_Data!$K$21:$K$613)),1)),""))</f>
        <v/>
      </c>
      <c r="F587" s="145" t="str">
        <f ca="1">IF($A587="","",IFERROR(INDEX(Market_Data!$O$21:$O$613,MATCH($A587,Market_Data!$N$21:INDEX(Market_Data!$N$21:$N$613,COUNT(Market_Data!$N$21:$N$613)),1)),""))</f>
        <v/>
      </c>
      <c r="G587" s="145" t="str">
        <f ca="1">IF($A587="","",IFERROR(INDEX(Market_Data!$R$21:$R$613,MATCH($A587,Market_Data!$Q$21:INDEX(Market_Data!$Q$21:$Q$613,COUNT(Market_Data!$Q$21:$Q$613)),1)),""))</f>
        <v/>
      </c>
      <c r="H587" s="145" t="str">
        <f ca="1">IF($A587="","",IFERROR(INDEX(Market_Data!$U$21:$U$613,MATCH($A587,Market_Data!$T$21:INDEX(Market_Data!$T$21:$T$613,COUNT(Market_Data!$T$21:$T$613)),1)),""))</f>
        <v/>
      </c>
      <c r="I587" s="146" t="str">
        <f ca="1">IF($A587="","",IFERROR(INDEX(Query1[Close],MATCH($A587,Query1[Date],1)),""))</f>
        <v/>
      </c>
    </row>
    <row r="588" spans="1:9" x14ac:dyDescent="0.3">
      <c r="A588" s="144" t="str">
        <f t="shared" ca="1" si="11"/>
        <v/>
      </c>
      <c r="B588" s="145" t="str">
        <f ca="1">IF($A588="","",IFERROR(INDEX(Market_Data!$C$21:$C$613,MATCH($A588,Market_Data!$B$21:INDEX(Market_Data!$B$21:$B$613,COUNT(Market_Data!$B$21:$B$613)),1)),""))</f>
        <v/>
      </c>
      <c r="C588" s="145" t="str">
        <f ca="1">IF($A588="","",IFERROR(INDEX(Market_Data!$F$21:$F$613,MATCH($A588,Market_Data!$E$21:INDEX(Market_Data!$E$21:$E$613,COUNT(Market_Data!$E$21:$E$613)),1)),""))</f>
        <v/>
      </c>
      <c r="D588" s="145" t="str">
        <f ca="1">IF($A588="","",IFERROR(INDEX(Market_Data!$I$21:$I$613,MATCH($A588,Market_Data!$H$21:INDEX(Market_Data!$H$21:$H$613,COUNT(Market_Data!$H$21:$H$613)),1)),""))</f>
        <v/>
      </c>
      <c r="E588" s="145" t="str">
        <f ca="1">IF($A588="","",IFERROR(INDEX(Market_Data!$L$21:$L$613,MATCH($A588,Market_Data!$K$21:INDEX(Market_Data!$K$21:$K$613,COUNT(Market_Data!$K$21:$K$613)),1)),""))</f>
        <v/>
      </c>
      <c r="F588" s="145" t="str">
        <f ca="1">IF($A588="","",IFERROR(INDEX(Market_Data!$O$21:$O$613,MATCH($A588,Market_Data!$N$21:INDEX(Market_Data!$N$21:$N$613,COUNT(Market_Data!$N$21:$N$613)),1)),""))</f>
        <v/>
      </c>
      <c r="G588" s="145" t="str">
        <f ca="1">IF($A588="","",IFERROR(INDEX(Market_Data!$R$21:$R$613,MATCH($A588,Market_Data!$Q$21:INDEX(Market_Data!$Q$21:$Q$613,COUNT(Market_Data!$Q$21:$Q$613)),1)),""))</f>
        <v/>
      </c>
      <c r="H588" s="145" t="str">
        <f ca="1">IF($A588="","",IFERROR(INDEX(Market_Data!$U$21:$U$613,MATCH($A588,Market_Data!$T$21:INDEX(Market_Data!$T$21:$T$613,COUNT(Market_Data!$T$21:$T$613)),1)),""))</f>
        <v/>
      </c>
      <c r="I588" s="146" t="str">
        <f ca="1">IF($A588="","",IFERROR(INDEX(Query1[Close],MATCH($A588,Query1[Date],1)),""))</f>
        <v/>
      </c>
    </row>
    <row r="589" spans="1:9" x14ac:dyDescent="0.3">
      <c r="A589" s="144" t="str">
        <f t="shared" ca="1" si="11"/>
        <v/>
      </c>
      <c r="B589" s="145" t="str">
        <f ca="1">IF($A589="","",IFERROR(INDEX(Market_Data!$C$21:$C$613,MATCH($A589,Market_Data!$B$21:INDEX(Market_Data!$B$21:$B$613,COUNT(Market_Data!$B$21:$B$613)),1)),""))</f>
        <v/>
      </c>
      <c r="C589" s="145" t="str">
        <f ca="1">IF($A589="","",IFERROR(INDEX(Market_Data!$F$21:$F$613,MATCH($A589,Market_Data!$E$21:INDEX(Market_Data!$E$21:$E$613,COUNT(Market_Data!$E$21:$E$613)),1)),""))</f>
        <v/>
      </c>
      <c r="D589" s="145" t="str">
        <f ca="1">IF($A589="","",IFERROR(INDEX(Market_Data!$I$21:$I$613,MATCH($A589,Market_Data!$H$21:INDEX(Market_Data!$H$21:$H$613,COUNT(Market_Data!$H$21:$H$613)),1)),""))</f>
        <v/>
      </c>
      <c r="E589" s="145" t="str">
        <f ca="1">IF($A589="","",IFERROR(INDEX(Market_Data!$L$21:$L$613,MATCH($A589,Market_Data!$K$21:INDEX(Market_Data!$K$21:$K$613,COUNT(Market_Data!$K$21:$K$613)),1)),""))</f>
        <v/>
      </c>
      <c r="F589" s="145" t="str">
        <f ca="1">IF($A589="","",IFERROR(INDEX(Market_Data!$O$21:$O$613,MATCH($A589,Market_Data!$N$21:INDEX(Market_Data!$N$21:$N$613,COUNT(Market_Data!$N$21:$N$613)),1)),""))</f>
        <v/>
      </c>
      <c r="G589" s="145" t="str">
        <f ca="1">IF($A589="","",IFERROR(INDEX(Market_Data!$R$21:$R$613,MATCH($A589,Market_Data!$Q$21:INDEX(Market_Data!$Q$21:$Q$613,COUNT(Market_Data!$Q$21:$Q$613)),1)),""))</f>
        <v/>
      </c>
      <c r="H589" s="145" t="str">
        <f ca="1">IF($A589="","",IFERROR(INDEX(Market_Data!$U$21:$U$613,MATCH($A589,Market_Data!$T$21:INDEX(Market_Data!$T$21:$T$613,COUNT(Market_Data!$T$21:$T$613)),1)),""))</f>
        <v/>
      </c>
      <c r="I589" s="146" t="str">
        <f ca="1">IF($A589="","",IFERROR(INDEX(Query1[Close],MATCH($A589,Query1[Date],1)),""))</f>
        <v/>
      </c>
    </row>
    <row r="590" spans="1:9" x14ac:dyDescent="0.3">
      <c r="A590" s="144" t="str">
        <f t="shared" ca="1" si="11"/>
        <v/>
      </c>
      <c r="B590" s="145" t="str">
        <f ca="1">IF($A590="","",IFERROR(INDEX(Market_Data!$C$21:$C$613,MATCH($A590,Market_Data!$B$21:INDEX(Market_Data!$B$21:$B$613,COUNT(Market_Data!$B$21:$B$613)),1)),""))</f>
        <v/>
      </c>
      <c r="C590" s="145" t="str">
        <f ca="1">IF($A590="","",IFERROR(INDEX(Market_Data!$F$21:$F$613,MATCH($A590,Market_Data!$E$21:INDEX(Market_Data!$E$21:$E$613,COUNT(Market_Data!$E$21:$E$613)),1)),""))</f>
        <v/>
      </c>
      <c r="D590" s="145" t="str">
        <f ca="1">IF($A590="","",IFERROR(INDEX(Market_Data!$I$21:$I$613,MATCH($A590,Market_Data!$H$21:INDEX(Market_Data!$H$21:$H$613,COUNT(Market_Data!$H$21:$H$613)),1)),""))</f>
        <v/>
      </c>
      <c r="E590" s="145" t="str">
        <f ca="1">IF($A590="","",IFERROR(INDEX(Market_Data!$L$21:$L$613,MATCH($A590,Market_Data!$K$21:INDEX(Market_Data!$K$21:$K$613,COUNT(Market_Data!$K$21:$K$613)),1)),""))</f>
        <v/>
      </c>
      <c r="F590" s="145" t="str">
        <f ca="1">IF($A590="","",IFERROR(INDEX(Market_Data!$O$21:$O$613,MATCH($A590,Market_Data!$N$21:INDEX(Market_Data!$N$21:$N$613,COUNT(Market_Data!$N$21:$N$613)),1)),""))</f>
        <v/>
      </c>
      <c r="G590" s="145" t="str">
        <f ca="1">IF($A590="","",IFERROR(INDEX(Market_Data!$R$21:$R$613,MATCH($A590,Market_Data!$Q$21:INDEX(Market_Data!$Q$21:$Q$613,COUNT(Market_Data!$Q$21:$Q$613)),1)),""))</f>
        <v/>
      </c>
      <c r="H590" s="145" t="str">
        <f ca="1">IF($A590="","",IFERROR(INDEX(Market_Data!$U$21:$U$613,MATCH($A590,Market_Data!$T$21:INDEX(Market_Data!$T$21:$T$613,COUNT(Market_Data!$T$21:$T$613)),1)),""))</f>
        <v/>
      </c>
      <c r="I590" s="146" t="str">
        <f ca="1">IF($A590="","",IFERROR(INDEX(Query1[Close],MATCH($A590,Query1[Date],1)),""))</f>
        <v/>
      </c>
    </row>
    <row r="591" spans="1:9" x14ac:dyDescent="0.3">
      <c r="A591" s="144" t="str">
        <f t="shared" ca="1" si="11"/>
        <v/>
      </c>
      <c r="B591" s="145" t="str">
        <f ca="1">IF($A591="","",IFERROR(INDEX(Market_Data!$C$21:$C$613,MATCH($A591,Market_Data!$B$21:INDEX(Market_Data!$B$21:$B$613,COUNT(Market_Data!$B$21:$B$613)),1)),""))</f>
        <v/>
      </c>
      <c r="C591" s="145" t="str">
        <f ca="1">IF($A591="","",IFERROR(INDEX(Market_Data!$F$21:$F$613,MATCH($A591,Market_Data!$E$21:INDEX(Market_Data!$E$21:$E$613,COUNT(Market_Data!$E$21:$E$613)),1)),""))</f>
        <v/>
      </c>
      <c r="D591" s="145" t="str">
        <f ca="1">IF($A591="","",IFERROR(INDEX(Market_Data!$I$21:$I$613,MATCH($A591,Market_Data!$H$21:INDEX(Market_Data!$H$21:$H$613,COUNT(Market_Data!$H$21:$H$613)),1)),""))</f>
        <v/>
      </c>
      <c r="E591" s="145" t="str">
        <f ca="1">IF($A591="","",IFERROR(INDEX(Market_Data!$L$21:$L$613,MATCH($A591,Market_Data!$K$21:INDEX(Market_Data!$K$21:$K$613,COUNT(Market_Data!$K$21:$K$613)),1)),""))</f>
        <v/>
      </c>
      <c r="F591" s="145" t="str">
        <f ca="1">IF($A591="","",IFERROR(INDEX(Market_Data!$O$21:$O$613,MATCH($A591,Market_Data!$N$21:INDEX(Market_Data!$N$21:$N$613,COUNT(Market_Data!$N$21:$N$613)),1)),""))</f>
        <v/>
      </c>
      <c r="G591" s="145" t="str">
        <f ca="1">IF($A591="","",IFERROR(INDEX(Market_Data!$R$21:$R$613,MATCH($A591,Market_Data!$Q$21:INDEX(Market_Data!$Q$21:$Q$613,COUNT(Market_Data!$Q$21:$Q$613)),1)),""))</f>
        <v/>
      </c>
      <c r="H591" s="145" t="str">
        <f ca="1">IF($A591="","",IFERROR(INDEX(Market_Data!$U$21:$U$613,MATCH($A591,Market_Data!$T$21:INDEX(Market_Data!$T$21:$T$613,COUNT(Market_Data!$T$21:$T$613)),1)),""))</f>
        <v/>
      </c>
      <c r="I591" s="146" t="str">
        <f ca="1">IF($A591="","",IFERROR(INDEX(Query1[Close],MATCH($A591,Query1[Date],1)),""))</f>
        <v/>
      </c>
    </row>
    <row r="592" spans="1:9" x14ac:dyDescent="0.3">
      <c r="A592" s="144" t="str">
        <f t="shared" ca="1" si="11"/>
        <v/>
      </c>
      <c r="B592" s="145" t="str">
        <f ca="1">IF($A592="","",IFERROR(INDEX(Market_Data!$C$21:$C$613,MATCH($A592,Market_Data!$B$21:INDEX(Market_Data!$B$21:$B$613,COUNT(Market_Data!$B$21:$B$613)),1)),""))</f>
        <v/>
      </c>
      <c r="C592" s="145" t="str">
        <f ca="1">IF($A592="","",IFERROR(INDEX(Market_Data!$F$21:$F$613,MATCH($A592,Market_Data!$E$21:INDEX(Market_Data!$E$21:$E$613,COUNT(Market_Data!$E$21:$E$613)),1)),""))</f>
        <v/>
      </c>
      <c r="D592" s="145" t="str">
        <f ca="1">IF($A592="","",IFERROR(INDEX(Market_Data!$I$21:$I$613,MATCH($A592,Market_Data!$H$21:INDEX(Market_Data!$H$21:$H$613,COUNT(Market_Data!$H$21:$H$613)),1)),""))</f>
        <v/>
      </c>
      <c r="E592" s="145" t="str">
        <f ca="1">IF($A592="","",IFERROR(INDEX(Market_Data!$L$21:$L$613,MATCH($A592,Market_Data!$K$21:INDEX(Market_Data!$K$21:$K$613,COUNT(Market_Data!$K$21:$K$613)),1)),""))</f>
        <v/>
      </c>
      <c r="F592" s="145" t="str">
        <f ca="1">IF($A592="","",IFERROR(INDEX(Market_Data!$O$21:$O$613,MATCH($A592,Market_Data!$N$21:INDEX(Market_Data!$N$21:$N$613,COUNT(Market_Data!$N$21:$N$613)),1)),""))</f>
        <v/>
      </c>
      <c r="G592" s="145" t="str">
        <f ca="1">IF($A592="","",IFERROR(INDEX(Market_Data!$R$21:$R$613,MATCH($A592,Market_Data!$Q$21:INDEX(Market_Data!$Q$21:$Q$613,COUNT(Market_Data!$Q$21:$Q$613)),1)),""))</f>
        <v/>
      </c>
      <c r="H592" s="145" t="str">
        <f ca="1">IF($A592="","",IFERROR(INDEX(Market_Data!$U$21:$U$613,MATCH($A592,Market_Data!$T$21:INDEX(Market_Data!$T$21:$T$613,COUNT(Market_Data!$T$21:$T$613)),1)),""))</f>
        <v/>
      </c>
      <c r="I592" s="146" t="str">
        <f ca="1">IF($A592="","",IFERROR(INDEX(Query1[Close],MATCH($A592,Query1[Date],1)),""))</f>
        <v/>
      </c>
    </row>
    <row r="593" spans="1:9" x14ac:dyDescent="0.3">
      <c r="A593" s="144" t="str">
        <f t="shared" ca="1" si="11"/>
        <v/>
      </c>
      <c r="B593" s="145" t="str">
        <f ca="1">IF($A593="","",IFERROR(INDEX(Market_Data!$C$21:$C$613,MATCH($A593,Market_Data!$B$21:INDEX(Market_Data!$B$21:$B$613,COUNT(Market_Data!$B$21:$B$613)),1)),""))</f>
        <v/>
      </c>
      <c r="C593" s="145" t="str">
        <f ca="1">IF($A593="","",IFERROR(INDEX(Market_Data!$F$21:$F$613,MATCH($A593,Market_Data!$E$21:INDEX(Market_Data!$E$21:$E$613,COUNT(Market_Data!$E$21:$E$613)),1)),""))</f>
        <v/>
      </c>
      <c r="D593" s="145" t="str">
        <f ca="1">IF($A593="","",IFERROR(INDEX(Market_Data!$I$21:$I$613,MATCH($A593,Market_Data!$H$21:INDEX(Market_Data!$H$21:$H$613,COUNT(Market_Data!$H$21:$H$613)),1)),""))</f>
        <v/>
      </c>
      <c r="E593" s="145" t="str">
        <f ca="1">IF($A593="","",IFERROR(INDEX(Market_Data!$L$21:$L$613,MATCH($A593,Market_Data!$K$21:INDEX(Market_Data!$K$21:$K$613,COUNT(Market_Data!$K$21:$K$613)),1)),""))</f>
        <v/>
      </c>
      <c r="F593" s="145" t="str">
        <f ca="1">IF($A593="","",IFERROR(INDEX(Market_Data!$O$21:$O$613,MATCH($A593,Market_Data!$N$21:INDEX(Market_Data!$N$21:$N$613,COUNT(Market_Data!$N$21:$N$613)),1)),""))</f>
        <v/>
      </c>
      <c r="G593" s="145" t="str">
        <f ca="1">IF($A593="","",IFERROR(INDEX(Market_Data!$R$21:$R$613,MATCH($A593,Market_Data!$Q$21:INDEX(Market_Data!$Q$21:$Q$613,COUNT(Market_Data!$Q$21:$Q$613)),1)),""))</f>
        <v/>
      </c>
      <c r="H593" s="145" t="str">
        <f ca="1">IF($A593="","",IFERROR(INDEX(Market_Data!$U$21:$U$613,MATCH($A593,Market_Data!$T$21:INDEX(Market_Data!$T$21:$T$613,COUNT(Market_Data!$T$21:$T$613)),1)),""))</f>
        <v/>
      </c>
      <c r="I593" s="146" t="str">
        <f ca="1">IF($A593="","",IFERROR(INDEX(Query1[Close],MATCH($A593,Query1[Date],1)),""))</f>
        <v/>
      </c>
    </row>
    <row r="594" spans="1:9" x14ac:dyDescent="0.3">
      <c r="A594" s="144" t="str">
        <f t="shared" ca="1" si="11"/>
        <v/>
      </c>
      <c r="B594" s="145" t="str">
        <f ca="1">IF($A594="","",IFERROR(INDEX(Market_Data!$C$21:$C$613,MATCH($A594,Market_Data!$B$21:INDEX(Market_Data!$B$21:$B$613,COUNT(Market_Data!$B$21:$B$613)),1)),""))</f>
        <v/>
      </c>
      <c r="C594" s="145" t="str">
        <f ca="1">IF($A594="","",IFERROR(INDEX(Market_Data!$F$21:$F$613,MATCH($A594,Market_Data!$E$21:INDEX(Market_Data!$E$21:$E$613,COUNT(Market_Data!$E$21:$E$613)),1)),""))</f>
        <v/>
      </c>
      <c r="D594" s="145" t="str">
        <f ca="1">IF($A594="","",IFERROR(INDEX(Market_Data!$I$21:$I$613,MATCH($A594,Market_Data!$H$21:INDEX(Market_Data!$H$21:$H$613,COUNT(Market_Data!$H$21:$H$613)),1)),""))</f>
        <v/>
      </c>
      <c r="E594" s="145" t="str">
        <f ca="1">IF($A594="","",IFERROR(INDEX(Market_Data!$L$21:$L$613,MATCH($A594,Market_Data!$K$21:INDEX(Market_Data!$K$21:$K$613,COUNT(Market_Data!$K$21:$K$613)),1)),""))</f>
        <v/>
      </c>
      <c r="F594" s="145" t="str">
        <f ca="1">IF($A594="","",IFERROR(INDEX(Market_Data!$O$21:$O$613,MATCH($A594,Market_Data!$N$21:INDEX(Market_Data!$N$21:$N$613,COUNT(Market_Data!$N$21:$N$613)),1)),""))</f>
        <v/>
      </c>
      <c r="G594" s="145" t="str">
        <f ca="1">IF($A594="","",IFERROR(INDEX(Market_Data!$R$21:$R$613,MATCH($A594,Market_Data!$Q$21:INDEX(Market_Data!$Q$21:$Q$613,COUNT(Market_Data!$Q$21:$Q$613)),1)),""))</f>
        <v/>
      </c>
      <c r="H594" s="145" t="str">
        <f ca="1">IF($A594="","",IFERROR(INDEX(Market_Data!$U$21:$U$613,MATCH($A594,Market_Data!$T$21:INDEX(Market_Data!$T$21:$T$613,COUNT(Market_Data!$T$21:$T$613)),1)),""))</f>
        <v/>
      </c>
      <c r="I594" s="146" t="str">
        <f ca="1">IF($A594="","",IFERROR(INDEX(Query1[Close],MATCH($A594,Query1[Date],1)),""))</f>
        <v/>
      </c>
    </row>
    <row r="595" spans="1:9" x14ac:dyDescent="0.3">
      <c r="A595" s="144" t="str">
        <f t="shared" ca="1" si="11"/>
        <v/>
      </c>
      <c r="B595" s="145" t="str">
        <f ca="1">IF($A595="","",IFERROR(INDEX(Market_Data!$C$21:$C$613,MATCH($A595,Market_Data!$B$21:INDEX(Market_Data!$B$21:$B$613,COUNT(Market_Data!$B$21:$B$613)),1)),""))</f>
        <v/>
      </c>
      <c r="C595" s="145" t="str">
        <f ca="1">IF($A595="","",IFERROR(INDEX(Market_Data!$F$21:$F$613,MATCH($A595,Market_Data!$E$21:INDEX(Market_Data!$E$21:$E$613,COUNT(Market_Data!$E$21:$E$613)),1)),""))</f>
        <v/>
      </c>
      <c r="D595" s="145" t="str">
        <f ca="1">IF($A595="","",IFERROR(INDEX(Market_Data!$I$21:$I$613,MATCH($A595,Market_Data!$H$21:INDEX(Market_Data!$H$21:$H$613,COUNT(Market_Data!$H$21:$H$613)),1)),""))</f>
        <v/>
      </c>
      <c r="E595" s="145" t="str">
        <f ca="1">IF($A595="","",IFERROR(INDEX(Market_Data!$L$21:$L$613,MATCH($A595,Market_Data!$K$21:INDEX(Market_Data!$K$21:$K$613,COUNT(Market_Data!$K$21:$K$613)),1)),""))</f>
        <v/>
      </c>
      <c r="F595" s="145" t="str">
        <f ca="1">IF($A595="","",IFERROR(INDEX(Market_Data!$O$21:$O$613,MATCH($A595,Market_Data!$N$21:INDEX(Market_Data!$N$21:$N$613,COUNT(Market_Data!$N$21:$N$613)),1)),""))</f>
        <v/>
      </c>
      <c r="G595" s="145" t="str">
        <f ca="1">IF($A595="","",IFERROR(INDEX(Market_Data!$R$21:$R$613,MATCH($A595,Market_Data!$Q$21:INDEX(Market_Data!$Q$21:$Q$613,COUNT(Market_Data!$Q$21:$Q$613)),1)),""))</f>
        <v/>
      </c>
      <c r="H595" s="145" t="str">
        <f ca="1">IF($A595="","",IFERROR(INDEX(Market_Data!$U$21:$U$613,MATCH($A595,Market_Data!$T$21:INDEX(Market_Data!$T$21:$T$613,COUNT(Market_Data!$T$21:$T$613)),1)),""))</f>
        <v/>
      </c>
      <c r="I595" s="146" t="str">
        <f ca="1">IF($A595="","",IFERROR(INDEX(Query1[Close],MATCH($A595,Query1[Date],1)),""))</f>
        <v/>
      </c>
    </row>
    <row r="596" spans="1:9" x14ac:dyDescent="0.3">
      <c r="A596" s="144" t="str">
        <f t="shared" ca="1" si="11"/>
        <v/>
      </c>
      <c r="B596" s="145" t="str">
        <f ca="1">IF($A596="","",IFERROR(INDEX(Market_Data!$C$21:$C$613,MATCH($A596,Market_Data!$B$21:INDEX(Market_Data!$B$21:$B$613,COUNT(Market_Data!$B$21:$B$613)),1)),""))</f>
        <v/>
      </c>
      <c r="C596" s="145" t="str">
        <f ca="1">IF($A596="","",IFERROR(INDEX(Market_Data!$F$21:$F$613,MATCH($A596,Market_Data!$E$21:INDEX(Market_Data!$E$21:$E$613,COUNT(Market_Data!$E$21:$E$613)),1)),""))</f>
        <v/>
      </c>
      <c r="D596" s="145" t="str">
        <f ca="1">IF($A596="","",IFERROR(INDEX(Market_Data!$I$21:$I$613,MATCH($A596,Market_Data!$H$21:INDEX(Market_Data!$H$21:$H$613,COUNT(Market_Data!$H$21:$H$613)),1)),""))</f>
        <v/>
      </c>
      <c r="E596" s="145" t="str">
        <f ca="1">IF($A596="","",IFERROR(INDEX(Market_Data!$L$21:$L$613,MATCH($A596,Market_Data!$K$21:INDEX(Market_Data!$K$21:$K$613,COUNT(Market_Data!$K$21:$K$613)),1)),""))</f>
        <v/>
      </c>
      <c r="F596" s="145" t="str">
        <f ca="1">IF($A596="","",IFERROR(INDEX(Market_Data!$O$21:$O$613,MATCH($A596,Market_Data!$N$21:INDEX(Market_Data!$N$21:$N$613,COUNT(Market_Data!$N$21:$N$613)),1)),""))</f>
        <v/>
      </c>
      <c r="G596" s="145" t="str">
        <f ca="1">IF($A596="","",IFERROR(INDEX(Market_Data!$R$21:$R$613,MATCH($A596,Market_Data!$Q$21:INDEX(Market_Data!$Q$21:$Q$613,COUNT(Market_Data!$Q$21:$Q$613)),1)),""))</f>
        <v/>
      </c>
      <c r="H596" s="145" t="str">
        <f ca="1">IF($A596="","",IFERROR(INDEX(Market_Data!$U$21:$U$613,MATCH($A596,Market_Data!$T$21:INDEX(Market_Data!$T$21:$T$613,COUNT(Market_Data!$T$21:$T$613)),1)),""))</f>
        <v/>
      </c>
      <c r="I596" s="146" t="str">
        <f ca="1">IF($A596="","",IFERROR(INDEX(Query1[Close],MATCH($A596,Query1[Date],1)),""))</f>
        <v/>
      </c>
    </row>
    <row r="597" spans="1:9" x14ac:dyDescent="0.3">
      <c r="A597" s="144" t="str">
        <f t="shared" ca="1" si="11"/>
        <v/>
      </c>
      <c r="B597" s="145" t="str">
        <f ca="1">IF($A597="","",IFERROR(INDEX(Market_Data!$C$21:$C$613,MATCH($A597,Market_Data!$B$21:INDEX(Market_Data!$B$21:$B$613,COUNT(Market_Data!$B$21:$B$613)),1)),""))</f>
        <v/>
      </c>
      <c r="C597" s="145" t="str">
        <f ca="1">IF($A597="","",IFERROR(INDEX(Market_Data!$F$21:$F$613,MATCH($A597,Market_Data!$E$21:INDEX(Market_Data!$E$21:$E$613,COUNT(Market_Data!$E$21:$E$613)),1)),""))</f>
        <v/>
      </c>
      <c r="D597" s="145" t="str">
        <f ca="1">IF($A597="","",IFERROR(INDEX(Market_Data!$I$21:$I$613,MATCH($A597,Market_Data!$H$21:INDEX(Market_Data!$H$21:$H$613,COUNT(Market_Data!$H$21:$H$613)),1)),""))</f>
        <v/>
      </c>
      <c r="E597" s="145" t="str">
        <f ca="1">IF($A597="","",IFERROR(INDEX(Market_Data!$L$21:$L$613,MATCH($A597,Market_Data!$K$21:INDEX(Market_Data!$K$21:$K$613,COUNT(Market_Data!$K$21:$K$613)),1)),""))</f>
        <v/>
      </c>
      <c r="F597" s="145" t="str">
        <f ca="1">IF($A597="","",IFERROR(INDEX(Market_Data!$O$21:$O$613,MATCH($A597,Market_Data!$N$21:INDEX(Market_Data!$N$21:$N$613,COUNT(Market_Data!$N$21:$N$613)),1)),""))</f>
        <v/>
      </c>
      <c r="G597" s="145" t="str">
        <f ca="1">IF($A597="","",IFERROR(INDEX(Market_Data!$R$21:$R$613,MATCH($A597,Market_Data!$Q$21:INDEX(Market_Data!$Q$21:$Q$613,COUNT(Market_Data!$Q$21:$Q$613)),1)),""))</f>
        <v/>
      </c>
      <c r="H597" s="145" t="str">
        <f ca="1">IF($A597="","",IFERROR(INDEX(Market_Data!$U$21:$U$613,MATCH($A597,Market_Data!$T$21:INDEX(Market_Data!$T$21:$T$613,COUNT(Market_Data!$T$21:$T$613)),1)),""))</f>
        <v/>
      </c>
      <c r="I597" s="146" t="str">
        <f ca="1">IF($A597="","",IFERROR(INDEX(Query1[Close],MATCH($A597,Query1[Date],1)),""))</f>
        <v/>
      </c>
    </row>
    <row r="598" spans="1:9" x14ac:dyDescent="0.3">
      <c r="A598" s="144" t="str">
        <f t="shared" ca="1" si="11"/>
        <v/>
      </c>
      <c r="B598" s="145" t="str">
        <f ca="1">IF($A598="","",IFERROR(INDEX(Market_Data!$C$21:$C$613,MATCH($A598,Market_Data!$B$21:INDEX(Market_Data!$B$21:$B$613,COUNT(Market_Data!$B$21:$B$613)),1)),""))</f>
        <v/>
      </c>
      <c r="C598" s="145" t="str">
        <f ca="1">IF($A598="","",IFERROR(INDEX(Market_Data!$F$21:$F$613,MATCH($A598,Market_Data!$E$21:INDEX(Market_Data!$E$21:$E$613,COUNT(Market_Data!$E$21:$E$613)),1)),""))</f>
        <v/>
      </c>
      <c r="D598" s="145" t="str">
        <f ca="1">IF($A598="","",IFERROR(INDEX(Market_Data!$I$21:$I$613,MATCH($A598,Market_Data!$H$21:INDEX(Market_Data!$H$21:$H$613,COUNT(Market_Data!$H$21:$H$613)),1)),""))</f>
        <v/>
      </c>
      <c r="E598" s="145" t="str">
        <f ca="1">IF($A598="","",IFERROR(INDEX(Market_Data!$L$21:$L$613,MATCH($A598,Market_Data!$K$21:INDEX(Market_Data!$K$21:$K$613,COUNT(Market_Data!$K$21:$K$613)),1)),""))</f>
        <v/>
      </c>
      <c r="F598" s="145" t="str">
        <f ca="1">IF($A598="","",IFERROR(INDEX(Market_Data!$O$21:$O$613,MATCH($A598,Market_Data!$N$21:INDEX(Market_Data!$N$21:$N$613,COUNT(Market_Data!$N$21:$N$613)),1)),""))</f>
        <v/>
      </c>
      <c r="G598" s="145" t="str">
        <f ca="1">IF($A598="","",IFERROR(INDEX(Market_Data!$R$21:$R$613,MATCH($A598,Market_Data!$Q$21:INDEX(Market_Data!$Q$21:$Q$613,COUNT(Market_Data!$Q$21:$Q$613)),1)),""))</f>
        <v/>
      </c>
      <c r="H598" s="145" t="str">
        <f ca="1">IF($A598="","",IFERROR(INDEX(Market_Data!$U$21:$U$613,MATCH($A598,Market_Data!$T$21:INDEX(Market_Data!$T$21:$T$613,COUNT(Market_Data!$T$21:$T$613)),1)),""))</f>
        <v/>
      </c>
      <c r="I598" s="146" t="str">
        <f ca="1">IF($A598="","",IFERROR(INDEX(Query1[Close],MATCH($A598,Query1[Date],1)),""))</f>
        <v/>
      </c>
    </row>
    <row r="599" spans="1:9" x14ac:dyDescent="0.3">
      <c r="A599" s="144" t="str">
        <f t="shared" ca="1" si="11"/>
        <v/>
      </c>
      <c r="B599" s="145" t="str">
        <f ca="1">IF($A599="","",IFERROR(INDEX(Market_Data!$C$21:$C$613,MATCH($A599,Market_Data!$B$21:INDEX(Market_Data!$B$21:$B$613,COUNT(Market_Data!$B$21:$B$613)),1)),""))</f>
        <v/>
      </c>
      <c r="C599" s="145" t="str">
        <f ca="1">IF($A599="","",IFERROR(INDEX(Market_Data!$F$21:$F$613,MATCH($A599,Market_Data!$E$21:INDEX(Market_Data!$E$21:$E$613,COUNT(Market_Data!$E$21:$E$613)),1)),""))</f>
        <v/>
      </c>
      <c r="D599" s="145" t="str">
        <f ca="1">IF($A599="","",IFERROR(INDEX(Market_Data!$I$21:$I$613,MATCH($A599,Market_Data!$H$21:INDEX(Market_Data!$H$21:$H$613,COUNT(Market_Data!$H$21:$H$613)),1)),""))</f>
        <v/>
      </c>
      <c r="E599" s="145" t="str">
        <f ca="1">IF($A599="","",IFERROR(INDEX(Market_Data!$L$21:$L$613,MATCH($A599,Market_Data!$K$21:INDEX(Market_Data!$K$21:$K$613,COUNT(Market_Data!$K$21:$K$613)),1)),""))</f>
        <v/>
      </c>
      <c r="F599" s="145" t="str">
        <f ca="1">IF($A599="","",IFERROR(INDEX(Market_Data!$O$21:$O$613,MATCH($A599,Market_Data!$N$21:INDEX(Market_Data!$N$21:$N$613,COUNT(Market_Data!$N$21:$N$613)),1)),""))</f>
        <v/>
      </c>
      <c r="G599" s="145" t="str">
        <f ca="1">IF($A599="","",IFERROR(INDEX(Market_Data!$R$21:$R$613,MATCH($A599,Market_Data!$Q$21:INDEX(Market_Data!$Q$21:$Q$613,COUNT(Market_Data!$Q$21:$Q$613)),1)),""))</f>
        <v/>
      </c>
      <c r="H599" s="145" t="str">
        <f ca="1">IF($A599="","",IFERROR(INDEX(Market_Data!$U$21:$U$613,MATCH($A599,Market_Data!$T$21:INDEX(Market_Data!$T$21:$T$613,COUNT(Market_Data!$T$21:$T$613)),1)),""))</f>
        <v/>
      </c>
      <c r="I599" s="146" t="str">
        <f ca="1">IF($A599="","",IFERROR(INDEX(Query1[Close],MATCH($A599,Query1[Date],1)),""))</f>
        <v/>
      </c>
    </row>
    <row r="600" spans="1:9" x14ac:dyDescent="0.3">
      <c r="A600" s="144" t="str">
        <f t="shared" ca="1" si="11"/>
        <v/>
      </c>
      <c r="B600" s="145" t="str">
        <f ca="1">IF($A600="","",IFERROR(INDEX(Market_Data!$C$21:$C$613,MATCH($A600,Market_Data!$B$21:INDEX(Market_Data!$B$21:$B$613,COUNT(Market_Data!$B$21:$B$613)),1)),""))</f>
        <v/>
      </c>
      <c r="C600" s="145" t="str">
        <f ca="1">IF($A600="","",IFERROR(INDEX(Market_Data!$F$21:$F$613,MATCH($A600,Market_Data!$E$21:INDEX(Market_Data!$E$21:$E$613,COUNT(Market_Data!$E$21:$E$613)),1)),""))</f>
        <v/>
      </c>
      <c r="D600" s="145" t="str">
        <f ca="1">IF($A600="","",IFERROR(INDEX(Market_Data!$I$21:$I$613,MATCH($A600,Market_Data!$H$21:INDEX(Market_Data!$H$21:$H$613,COUNT(Market_Data!$H$21:$H$613)),1)),""))</f>
        <v/>
      </c>
      <c r="E600" s="145" t="str">
        <f ca="1">IF($A600="","",IFERROR(INDEX(Market_Data!$L$21:$L$613,MATCH($A600,Market_Data!$K$21:INDEX(Market_Data!$K$21:$K$613,COUNT(Market_Data!$K$21:$K$613)),1)),""))</f>
        <v/>
      </c>
      <c r="F600" s="145" t="str">
        <f ca="1">IF($A600="","",IFERROR(INDEX(Market_Data!$O$21:$O$613,MATCH($A600,Market_Data!$N$21:INDEX(Market_Data!$N$21:$N$613,COUNT(Market_Data!$N$21:$N$613)),1)),""))</f>
        <v/>
      </c>
      <c r="G600" s="145" t="str">
        <f ca="1">IF($A600="","",IFERROR(INDEX(Market_Data!$R$21:$R$613,MATCH($A600,Market_Data!$Q$21:INDEX(Market_Data!$Q$21:$Q$613,COUNT(Market_Data!$Q$21:$Q$613)),1)),""))</f>
        <v/>
      </c>
      <c r="H600" s="145" t="str">
        <f ca="1">IF($A600="","",IFERROR(INDEX(Market_Data!$U$21:$U$613,MATCH($A600,Market_Data!$T$21:INDEX(Market_Data!$T$21:$T$613,COUNT(Market_Data!$T$21:$T$613)),1)),""))</f>
        <v/>
      </c>
      <c r="I600" s="146" t="str">
        <f ca="1">IF($A600="","",IFERROR(INDEX(Query1[Close],MATCH($A600,Query1[Date],1)),""))</f>
        <v/>
      </c>
    </row>
    <row r="601" spans="1:9" x14ac:dyDescent="0.3">
      <c r="A601" s="144" t="str">
        <f t="shared" ca="1" si="11"/>
        <v/>
      </c>
      <c r="B601" s="145" t="str">
        <f ca="1">IF($A601="","",IFERROR(INDEX(Market_Data!$C$21:$C$613,MATCH($A601,Market_Data!$B$21:INDEX(Market_Data!$B$21:$B$613,COUNT(Market_Data!$B$21:$B$613)),1)),""))</f>
        <v/>
      </c>
      <c r="C601" s="145" t="str">
        <f ca="1">IF($A601="","",IFERROR(INDEX(Market_Data!$F$21:$F$613,MATCH($A601,Market_Data!$E$21:INDEX(Market_Data!$E$21:$E$613,COUNT(Market_Data!$E$21:$E$613)),1)),""))</f>
        <v/>
      </c>
      <c r="D601" s="145" t="str">
        <f ca="1">IF($A601="","",IFERROR(INDEX(Market_Data!$I$21:$I$613,MATCH($A601,Market_Data!$H$21:INDEX(Market_Data!$H$21:$H$613,COUNT(Market_Data!$H$21:$H$613)),1)),""))</f>
        <v/>
      </c>
      <c r="E601" s="145" t="str">
        <f ca="1">IF($A601="","",IFERROR(INDEX(Market_Data!$L$21:$L$613,MATCH($A601,Market_Data!$K$21:INDEX(Market_Data!$K$21:$K$613,COUNT(Market_Data!$K$21:$K$613)),1)),""))</f>
        <v/>
      </c>
      <c r="F601" s="145" t="str">
        <f ca="1">IF($A601="","",IFERROR(INDEX(Market_Data!$O$21:$O$613,MATCH($A601,Market_Data!$N$21:INDEX(Market_Data!$N$21:$N$613,COUNT(Market_Data!$N$21:$N$613)),1)),""))</f>
        <v/>
      </c>
      <c r="G601" s="145" t="str">
        <f ca="1">IF($A601="","",IFERROR(INDEX(Market_Data!$R$21:$R$613,MATCH($A601,Market_Data!$Q$21:INDEX(Market_Data!$Q$21:$Q$613,COUNT(Market_Data!$Q$21:$Q$613)),1)),""))</f>
        <v/>
      </c>
      <c r="H601" s="145" t="str">
        <f ca="1">IF($A601="","",IFERROR(INDEX(Market_Data!$U$21:$U$613,MATCH($A601,Market_Data!$T$21:INDEX(Market_Data!$T$21:$T$613,COUNT(Market_Data!$T$21:$T$613)),1)),""))</f>
        <v/>
      </c>
      <c r="I601" s="146" t="str">
        <f ca="1">IF($A601="","",IFERROR(INDEX(Query1[Close],MATCH($A601,Query1[Date],1)),""))</f>
        <v/>
      </c>
    </row>
    <row r="602" spans="1:9" x14ac:dyDescent="0.3">
      <c r="A602" s="144" t="str">
        <f t="shared" ca="1" si="11"/>
        <v/>
      </c>
      <c r="B602" s="145" t="str">
        <f ca="1">IF($A602="","",IFERROR(INDEX(Market_Data!$C$21:$C$613,MATCH($A602,Market_Data!$B$21:INDEX(Market_Data!$B$21:$B$613,COUNT(Market_Data!$B$21:$B$613)),1)),""))</f>
        <v/>
      </c>
      <c r="C602" s="145" t="str">
        <f ca="1">IF($A602="","",IFERROR(INDEX(Market_Data!$F$21:$F$613,MATCH($A602,Market_Data!$E$21:INDEX(Market_Data!$E$21:$E$613,COUNT(Market_Data!$E$21:$E$613)),1)),""))</f>
        <v/>
      </c>
      <c r="D602" s="145" t="str">
        <f ca="1">IF($A602="","",IFERROR(INDEX(Market_Data!$I$21:$I$613,MATCH($A602,Market_Data!$H$21:INDEX(Market_Data!$H$21:$H$613,COUNT(Market_Data!$H$21:$H$613)),1)),""))</f>
        <v/>
      </c>
      <c r="E602" s="145" t="str">
        <f ca="1">IF($A602="","",IFERROR(INDEX(Market_Data!$L$21:$L$613,MATCH($A602,Market_Data!$K$21:INDEX(Market_Data!$K$21:$K$613,COUNT(Market_Data!$K$21:$K$613)),1)),""))</f>
        <v/>
      </c>
      <c r="F602" s="145" t="str">
        <f ca="1">IF($A602="","",IFERROR(INDEX(Market_Data!$O$21:$O$613,MATCH($A602,Market_Data!$N$21:INDEX(Market_Data!$N$21:$N$613,COUNT(Market_Data!$N$21:$N$613)),1)),""))</f>
        <v/>
      </c>
      <c r="G602" s="145" t="str">
        <f ca="1">IF($A602="","",IFERROR(INDEX(Market_Data!$R$21:$R$613,MATCH($A602,Market_Data!$Q$21:INDEX(Market_Data!$Q$21:$Q$613,COUNT(Market_Data!$Q$21:$Q$613)),1)),""))</f>
        <v/>
      </c>
      <c r="H602" s="145" t="str">
        <f ca="1">IF($A602="","",IFERROR(INDEX(Market_Data!$U$21:$U$613,MATCH($A602,Market_Data!$T$21:INDEX(Market_Data!$T$21:$T$613,COUNT(Market_Data!$T$21:$T$613)),1)),""))</f>
        <v/>
      </c>
      <c r="I602" s="146" t="str">
        <f ca="1">IF($A602="","",IFERROR(INDEX(Query1[Close],MATCH($A602,Query1[Date],1)),""))</f>
        <v/>
      </c>
    </row>
    <row r="603" spans="1:9" x14ac:dyDescent="0.3">
      <c r="A603" s="144" t="str">
        <f t="shared" ca="1" si="11"/>
        <v/>
      </c>
      <c r="B603" s="145" t="str">
        <f ca="1">IF($A603="","",IFERROR(INDEX(Market_Data!$C$21:$C$613,MATCH($A603,Market_Data!$B$21:INDEX(Market_Data!$B$21:$B$613,COUNT(Market_Data!$B$21:$B$613)),1)),""))</f>
        <v/>
      </c>
      <c r="C603" s="145" t="str">
        <f ca="1">IF($A603="","",IFERROR(INDEX(Market_Data!$F$21:$F$613,MATCH($A603,Market_Data!$E$21:INDEX(Market_Data!$E$21:$E$613,COUNT(Market_Data!$E$21:$E$613)),1)),""))</f>
        <v/>
      </c>
      <c r="D603" s="145" t="str">
        <f ca="1">IF($A603="","",IFERROR(INDEX(Market_Data!$I$21:$I$613,MATCH($A603,Market_Data!$H$21:INDEX(Market_Data!$H$21:$H$613,COUNT(Market_Data!$H$21:$H$613)),1)),""))</f>
        <v/>
      </c>
      <c r="E603" s="145" t="str">
        <f ca="1">IF($A603="","",IFERROR(INDEX(Market_Data!$L$21:$L$613,MATCH($A603,Market_Data!$K$21:INDEX(Market_Data!$K$21:$K$613,COUNT(Market_Data!$K$21:$K$613)),1)),""))</f>
        <v/>
      </c>
      <c r="F603" s="145" t="str">
        <f ca="1">IF($A603="","",IFERROR(INDEX(Market_Data!$O$21:$O$613,MATCH($A603,Market_Data!$N$21:INDEX(Market_Data!$N$21:$N$613,COUNT(Market_Data!$N$21:$N$613)),1)),""))</f>
        <v/>
      </c>
      <c r="G603" s="145" t="str">
        <f ca="1">IF($A603="","",IFERROR(INDEX(Market_Data!$R$21:$R$613,MATCH($A603,Market_Data!$Q$21:INDEX(Market_Data!$Q$21:$Q$613,COUNT(Market_Data!$Q$21:$Q$613)),1)),""))</f>
        <v/>
      </c>
      <c r="H603" s="145" t="str">
        <f ca="1">IF($A603="","",IFERROR(INDEX(Market_Data!$U$21:$U$613,MATCH($A603,Market_Data!$T$21:INDEX(Market_Data!$T$21:$T$613,COUNT(Market_Data!$T$21:$T$613)),1)),""))</f>
        <v/>
      </c>
      <c r="I603" s="146" t="str">
        <f ca="1">IF($A603="","",IFERROR(INDEX(Query1[Close],MATCH($A603,Query1[Date],1)),""))</f>
        <v/>
      </c>
    </row>
    <row r="604" spans="1:9" x14ac:dyDescent="0.3">
      <c r="A604" s="144" t="str">
        <f t="shared" ca="1" si="11"/>
        <v/>
      </c>
      <c r="B604" s="145" t="str">
        <f ca="1">IF($A604="","",IFERROR(INDEX(Market_Data!$C$21:$C$613,MATCH($A604,Market_Data!$B$21:INDEX(Market_Data!$B$21:$B$613,COUNT(Market_Data!$B$21:$B$613)),1)),""))</f>
        <v/>
      </c>
      <c r="C604" s="145" t="str">
        <f ca="1">IF($A604="","",IFERROR(INDEX(Market_Data!$F$21:$F$613,MATCH($A604,Market_Data!$E$21:INDEX(Market_Data!$E$21:$E$613,COUNT(Market_Data!$E$21:$E$613)),1)),""))</f>
        <v/>
      </c>
      <c r="D604" s="145" t="str">
        <f ca="1">IF($A604="","",IFERROR(INDEX(Market_Data!$I$21:$I$613,MATCH($A604,Market_Data!$H$21:INDEX(Market_Data!$H$21:$H$613,COUNT(Market_Data!$H$21:$H$613)),1)),""))</f>
        <v/>
      </c>
      <c r="E604" s="145" t="str">
        <f ca="1">IF($A604="","",IFERROR(INDEX(Market_Data!$L$21:$L$613,MATCH($A604,Market_Data!$K$21:INDEX(Market_Data!$K$21:$K$613,COUNT(Market_Data!$K$21:$K$613)),1)),""))</f>
        <v/>
      </c>
      <c r="F604" s="145" t="str">
        <f ca="1">IF($A604="","",IFERROR(INDEX(Market_Data!$O$21:$O$613,MATCH($A604,Market_Data!$N$21:INDEX(Market_Data!$N$21:$N$613,COUNT(Market_Data!$N$21:$N$613)),1)),""))</f>
        <v/>
      </c>
      <c r="G604" s="145" t="str">
        <f ca="1">IF($A604="","",IFERROR(INDEX(Market_Data!$R$21:$R$613,MATCH($A604,Market_Data!$Q$21:INDEX(Market_Data!$Q$21:$Q$613,COUNT(Market_Data!$Q$21:$Q$613)),1)),""))</f>
        <v/>
      </c>
      <c r="H604" s="145" t="str">
        <f ca="1">IF($A604="","",IFERROR(INDEX(Market_Data!$U$21:$U$613,MATCH($A604,Market_Data!$T$21:INDEX(Market_Data!$T$21:$T$613,COUNT(Market_Data!$T$21:$T$613)),1)),""))</f>
        <v/>
      </c>
      <c r="I604" s="146" t="str">
        <f ca="1">IF($A604="","",IFERROR(INDEX(Query1[Close],MATCH($A604,Query1[Date],1)),""))</f>
        <v/>
      </c>
    </row>
    <row r="605" spans="1:9" x14ac:dyDescent="0.3">
      <c r="A605" s="144" t="str">
        <f t="shared" ca="1" si="11"/>
        <v/>
      </c>
      <c r="B605" s="145" t="str">
        <f ca="1">IF($A605="","",IFERROR(INDEX(Market_Data!$C$21:$C$613,MATCH($A605,Market_Data!$B$21:INDEX(Market_Data!$B$21:$B$613,COUNT(Market_Data!$B$21:$B$613)),1)),""))</f>
        <v/>
      </c>
      <c r="C605" s="145" t="str">
        <f ca="1">IF($A605="","",IFERROR(INDEX(Market_Data!$F$21:$F$613,MATCH($A605,Market_Data!$E$21:INDEX(Market_Data!$E$21:$E$613,COUNT(Market_Data!$E$21:$E$613)),1)),""))</f>
        <v/>
      </c>
      <c r="D605" s="145" t="str">
        <f ca="1">IF($A605="","",IFERROR(INDEX(Market_Data!$I$21:$I$613,MATCH($A605,Market_Data!$H$21:INDEX(Market_Data!$H$21:$H$613,COUNT(Market_Data!$H$21:$H$613)),1)),""))</f>
        <v/>
      </c>
      <c r="E605" s="145" t="str">
        <f ca="1">IF($A605="","",IFERROR(INDEX(Market_Data!$L$21:$L$613,MATCH($A605,Market_Data!$K$21:INDEX(Market_Data!$K$21:$K$613,COUNT(Market_Data!$K$21:$K$613)),1)),""))</f>
        <v/>
      </c>
      <c r="F605" s="145" t="str">
        <f ca="1">IF($A605="","",IFERROR(INDEX(Market_Data!$O$21:$O$613,MATCH($A605,Market_Data!$N$21:INDEX(Market_Data!$N$21:$N$613,COUNT(Market_Data!$N$21:$N$613)),1)),""))</f>
        <v/>
      </c>
      <c r="G605" s="145" t="str">
        <f ca="1">IF($A605="","",IFERROR(INDEX(Market_Data!$R$21:$R$613,MATCH($A605,Market_Data!$Q$21:INDEX(Market_Data!$Q$21:$Q$613,COUNT(Market_Data!$Q$21:$Q$613)),1)),""))</f>
        <v/>
      </c>
      <c r="H605" s="145" t="str">
        <f ca="1">IF($A605="","",IFERROR(INDEX(Market_Data!$U$21:$U$613,MATCH($A605,Market_Data!$T$21:INDEX(Market_Data!$T$21:$T$613,COUNT(Market_Data!$T$21:$T$613)),1)),""))</f>
        <v/>
      </c>
      <c r="I605" s="146" t="str">
        <f ca="1">IF($A605="","",IFERROR(INDEX(Query1[Close],MATCH($A605,Query1[Date],1)),""))</f>
        <v/>
      </c>
    </row>
    <row r="606" spans="1:9" x14ac:dyDescent="0.3">
      <c r="A606" s="144" t="str">
        <f t="shared" ca="1" si="11"/>
        <v/>
      </c>
      <c r="B606" s="145" t="str">
        <f ca="1">IF($A606="","",IFERROR(INDEX(Market_Data!$C$21:$C$613,MATCH($A606,Market_Data!$B$21:INDEX(Market_Data!$B$21:$B$613,COUNT(Market_Data!$B$21:$B$613)),1)),""))</f>
        <v/>
      </c>
      <c r="C606" s="145" t="str">
        <f ca="1">IF($A606="","",IFERROR(INDEX(Market_Data!$F$21:$F$613,MATCH($A606,Market_Data!$E$21:INDEX(Market_Data!$E$21:$E$613,COUNT(Market_Data!$E$21:$E$613)),1)),""))</f>
        <v/>
      </c>
      <c r="D606" s="145" t="str">
        <f ca="1">IF($A606="","",IFERROR(INDEX(Market_Data!$I$21:$I$613,MATCH($A606,Market_Data!$H$21:INDEX(Market_Data!$H$21:$H$613,COUNT(Market_Data!$H$21:$H$613)),1)),""))</f>
        <v/>
      </c>
      <c r="E606" s="145" t="str">
        <f ca="1">IF($A606="","",IFERROR(INDEX(Market_Data!$L$21:$L$613,MATCH($A606,Market_Data!$K$21:INDEX(Market_Data!$K$21:$K$613,COUNT(Market_Data!$K$21:$K$613)),1)),""))</f>
        <v/>
      </c>
      <c r="F606" s="145" t="str">
        <f ca="1">IF($A606="","",IFERROR(INDEX(Market_Data!$O$21:$O$613,MATCH($A606,Market_Data!$N$21:INDEX(Market_Data!$N$21:$N$613,COUNT(Market_Data!$N$21:$N$613)),1)),""))</f>
        <v/>
      </c>
      <c r="G606" s="145" t="str">
        <f ca="1">IF($A606="","",IFERROR(INDEX(Market_Data!$R$21:$R$613,MATCH($A606,Market_Data!$Q$21:INDEX(Market_Data!$Q$21:$Q$613,COUNT(Market_Data!$Q$21:$Q$613)),1)),""))</f>
        <v/>
      </c>
      <c r="H606" s="145" t="str">
        <f ca="1">IF($A606="","",IFERROR(INDEX(Market_Data!$U$21:$U$613,MATCH($A606,Market_Data!$T$21:INDEX(Market_Data!$T$21:$T$613,COUNT(Market_Data!$T$21:$T$613)),1)),""))</f>
        <v/>
      </c>
      <c r="I606" s="146" t="str">
        <f ca="1">IF($A606="","",IFERROR(INDEX(Query1[Close],MATCH($A606,Query1[Date],1)),""))</f>
        <v/>
      </c>
    </row>
    <row r="607" spans="1:9" x14ac:dyDescent="0.3">
      <c r="A607" s="144" t="str">
        <f t="shared" ca="1" si="11"/>
        <v/>
      </c>
      <c r="B607" s="145" t="str">
        <f ca="1">IF($A607="","",IFERROR(INDEX(Market_Data!$C$21:$C$613,MATCH($A607,Market_Data!$B$21:INDEX(Market_Data!$B$21:$B$613,COUNT(Market_Data!$B$21:$B$613)),1)),""))</f>
        <v/>
      </c>
      <c r="C607" s="145" t="str">
        <f ca="1">IF($A607="","",IFERROR(INDEX(Market_Data!$F$21:$F$613,MATCH($A607,Market_Data!$E$21:INDEX(Market_Data!$E$21:$E$613,COUNT(Market_Data!$E$21:$E$613)),1)),""))</f>
        <v/>
      </c>
      <c r="D607" s="145" t="str">
        <f ca="1">IF($A607="","",IFERROR(INDEX(Market_Data!$I$21:$I$613,MATCH($A607,Market_Data!$H$21:INDEX(Market_Data!$H$21:$H$613,COUNT(Market_Data!$H$21:$H$613)),1)),""))</f>
        <v/>
      </c>
      <c r="E607" s="145" t="str">
        <f ca="1">IF($A607="","",IFERROR(INDEX(Market_Data!$L$21:$L$613,MATCH($A607,Market_Data!$K$21:INDEX(Market_Data!$K$21:$K$613,COUNT(Market_Data!$K$21:$K$613)),1)),""))</f>
        <v/>
      </c>
      <c r="F607" s="145" t="str">
        <f ca="1">IF($A607="","",IFERROR(INDEX(Market_Data!$O$21:$O$613,MATCH($A607,Market_Data!$N$21:INDEX(Market_Data!$N$21:$N$613,COUNT(Market_Data!$N$21:$N$613)),1)),""))</f>
        <v/>
      </c>
      <c r="G607" s="145" t="str">
        <f ca="1">IF($A607="","",IFERROR(INDEX(Market_Data!$R$21:$R$613,MATCH($A607,Market_Data!$Q$21:INDEX(Market_Data!$Q$21:$Q$613,COUNT(Market_Data!$Q$21:$Q$613)),1)),""))</f>
        <v/>
      </c>
      <c r="H607" s="145" t="str">
        <f ca="1">IF($A607="","",IFERROR(INDEX(Market_Data!$U$21:$U$613,MATCH($A607,Market_Data!$T$21:INDEX(Market_Data!$T$21:$T$613,COUNT(Market_Data!$T$21:$T$613)),1)),""))</f>
        <v/>
      </c>
      <c r="I607" s="146" t="str">
        <f ca="1">IF($A607="","",IFERROR(INDEX(Query1[Close],MATCH($A607,Query1[Date],1)),""))</f>
        <v/>
      </c>
    </row>
    <row r="608" spans="1:9" x14ac:dyDescent="0.3">
      <c r="A608" s="144" t="str">
        <f t="shared" ca="1" si="11"/>
        <v/>
      </c>
      <c r="B608" s="145" t="str">
        <f ca="1">IF($A608="","",IFERROR(INDEX(Market_Data!$C$21:$C$613,MATCH($A608,Market_Data!$B$21:INDEX(Market_Data!$B$21:$B$613,COUNT(Market_Data!$B$21:$B$613)),1)),""))</f>
        <v/>
      </c>
      <c r="C608" s="145" t="str">
        <f ca="1">IF($A608="","",IFERROR(INDEX(Market_Data!$F$21:$F$613,MATCH($A608,Market_Data!$E$21:INDEX(Market_Data!$E$21:$E$613,COUNT(Market_Data!$E$21:$E$613)),1)),""))</f>
        <v/>
      </c>
      <c r="D608" s="145" t="str">
        <f ca="1">IF($A608="","",IFERROR(INDEX(Market_Data!$I$21:$I$613,MATCH($A608,Market_Data!$H$21:INDEX(Market_Data!$H$21:$H$613,COUNT(Market_Data!$H$21:$H$613)),1)),""))</f>
        <v/>
      </c>
      <c r="E608" s="145" t="str">
        <f ca="1">IF($A608="","",IFERROR(INDEX(Market_Data!$L$21:$L$613,MATCH($A608,Market_Data!$K$21:INDEX(Market_Data!$K$21:$K$613,COUNT(Market_Data!$K$21:$K$613)),1)),""))</f>
        <v/>
      </c>
      <c r="F608" s="145" t="str">
        <f ca="1">IF($A608="","",IFERROR(INDEX(Market_Data!$O$21:$O$613,MATCH($A608,Market_Data!$N$21:INDEX(Market_Data!$N$21:$N$613,COUNT(Market_Data!$N$21:$N$613)),1)),""))</f>
        <v/>
      </c>
      <c r="G608" s="145" t="str">
        <f ca="1">IF($A608="","",IFERROR(INDEX(Market_Data!$R$21:$R$613,MATCH($A608,Market_Data!$Q$21:INDEX(Market_Data!$Q$21:$Q$613,COUNT(Market_Data!$Q$21:$Q$613)),1)),""))</f>
        <v/>
      </c>
      <c r="H608" s="145" t="str">
        <f ca="1">IF($A608="","",IFERROR(INDEX(Market_Data!$U$21:$U$613,MATCH($A608,Market_Data!$T$21:INDEX(Market_Data!$T$21:$T$613,COUNT(Market_Data!$T$21:$T$613)),1)),""))</f>
        <v/>
      </c>
      <c r="I608" s="146" t="str">
        <f ca="1">IF($A608="","",IFERROR(INDEX(Query1[Close],MATCH($A608,Query1[Date],1)),""))</f>
        <v/>
      </c>
    </row>
    <row r="609" spans="1:9" x14ac:dyDescent="0.3">
      <c r="A609" s="144" t="str">
        <f t="shared" ca="1" si="11"/>
        <v/>
      </c>
      <c r="B609" s="145" t="str">
        <f ca="1">IF($A609="","",IFERROR(INDEX(Market_Data!$C$21:$C$613,MATCH($A609,Market_Data!$B$21:INDEX(Market_Data!$B$21:$B$613,COUNT(Market_Data!$B$21:$B$613)),1)),""))</f>
        <v/>
      </c>
      <c r="C609" s="145" t="str">
        <f ca="1">IF($A609="","",IFERROR(INDEX(Market_Data!$F$21:$F$613,MATCH($A609,Market_Data!$E$21:INDEX(Market_Data!$E$21:$E$613,COUNT(Market_Data!$E$21:$E$613)),1)),""))</f>
        <v/>
      </c>
      <c r="D609" s="145" t="str">
        <f ca="1">IF($A609="","",IFERROR(INDEX(Market_Data!$I$21:$I$613,MATCH($A609,Market_Data!$H$21:INDEX(Market_Data!$H$21:$H$613,COUNT(Market_Data!$H$21:$H$613)),1)),""))</f>
        <v/>
      </c>
      <c r="E609" s="145" t="str">
        <f ca="1">IF($A609="","",IFERROR(INDEX(Market_Data!$L$21:$L$613,MATCH($A609,Market_Data!$K$21:INDEX(Market_Data!$K$21:$K$613,COUNT(Market_Data!$K$21:$K$613)),1)),""))</f>
        <v/>
      </c>
      <c r="F609" s="145" t="str">
        <f ca="1">IF($A609="","",IFERROR(INDEX(Market_Data!$O$21:$O$613,MATCH($A609,Market_Data!$N$21:INDEX(Market_Data!$N$21:$N$613,COUNT(Market_Data!$N$21:$N$613)),1)),""))</f>
        <v/>
      </c>
      <c r="G609" s="145" t="str">
        <f ca="1">IF($A609="","",IFERROR(INDEX(Market_Data!$R$21:$R$613,MATCH($A609,Market_Data!$Q$21:INDEX(Market_Data!$Q$21:$Q$613,COUNT(Market_Data!$Q$21:$Q$613)),1)),""))</f>
        <v/>
      </c>
      <c r="H609" s="145" t="str">
        <f ca="1">IF($A609="","",IFERROR(INDEX(Market_Data!$U$21:$U$613,MATCH($A609,Market_Data!$T$21:INDEX(Market_Data!$T$21:$T$613,COUNT(Market_Data!$T$21:$T$613)),1)),""))</f>
        <v/>
      </c>
      <c r="I609" s="146" t="str">
        <f ca="1">IF($A609="","",IFERROR(INDEX(Query1[Close],MATCH($A609,Query1[Date],1)),""))</f>
        <v/>
      </c>
    </row>
    <row r="610" spans="1:9" x14ac:dyDescent="0.3">
      <c r="A610" s="144" t="str">
        <f t="shared" ca="1" si="11"/>
        <v/>
      </c>
      <c r="B610" s="145" t="str">
        <f ca="1">IF($A610="","",IFERROR(INDEX(Market_Data!$C$21:$C$613,MATCH($A610,Market_Data!$B$21:INDEX(Market_Data!$B$21:$B$613,COUNT(Market_Data!$B$21:$B$613)),1)),""))</f>
        <v/>
      </c>
      <c r="C610" s="145" t="str">
        <f ca="1">IF($A610="","",IFERROR(INDEX(Market_Data!$F$21:$F$613,MATCH($A610,Market_Data!$E$21:INDEX(Market_Data!$E$21:$E$613,COUNT(Market_Data!$E$21:$E$613)),1)),""))</f>
        <v/>
      </c>
      <c r="D610" s="145" t="str">
        <f ca="1">IF($A610="","",IFERROR(INDEX(Market_Data!$I$21:$I$613,MATCH($A610,Market_Data!$H$21:INDEX(Market_Data!$H$21:$H$613,COUNT(Market_Data!$H$21:$H$613)),1)),""))</f>
        <v/>
      </c>
      <c r="E610" s="145" t="str">
        <f ca="1">IF($A610="","",IFERROR(INDEX(Market_Data!$L$21:$L$613,MATCH($A610,Market_Data!$K$21:INDEX(Market_Data!$K$21:$K$613,COUNT(Market_Data!$K$21:$K$613)),1)),""))</f>
        <v/>
      </c>
      <c r="F610" s="145" t="str">
        <f ca="1">IF($A610="","",IFERROR(INDEX(Market_Data!$O$21:$O$613,MATCH($A610,Market_Data!$N$21:INDEX(Market_Data!$N$21:$N$613,COUNT(Market_Data!$N$21:$N$613)),1)),""))</f>
        <v/>
      </c>
      <c r="G610" s="145" t="str">
        <f ca="1">IF($A610="","",IFERROR(INDEX(Market_Data!$R$21:$R$613,MATCH($A610,Market_Data!$Q$21:INDEX(Market_Data!$Q$21:$Q$613,COUNT(Market_Data!$Q$21:$Q$613)),1)),""))</f>
        <v/>
      </c>
      <c r="H610" s="145" t="str">
        <f ca="1">IF($A610="","",IFERROR(INDEX(Market_Data!$U$21:$U$613,MATCH($A610,Market_Data!$T$21:INDEX(Market_Data!$T$21:$T$613,COUNT(Market_Data!$T$21:$T$613)),1)),""))</f>
        <v/>
      </c>
      <c r="I610" s="146" t="str">
        <f ca="1">IF($A610="","",IFERROR(INDEX(Query1[Close],MATCH($A610,Query1[Date],1)),""))</f>
        <v/>
      </c>
    </row>
    <row r="611" spans="1:9" x14ac:dyDescent="0.3">
      <c r="A611" s="144" t="str">
        <f t="shared" ca="1" si="11"/>
        <v/>
      </c>
      <c r="B611" s="145" t="str">
        <f ca="1">IF($A611="","",IFERROR(INDEX(Market_Data!$C$21:$C$613,MATCH($A611,Market_Data!$B$21:INDEX(Market_Data!$B$21:$B$613,COUNT(Market_Data!$B$21:$B$613)),1)),""))</f>
        <v/>
      </c>
      <c r="C611" s="145" t="str">
        <f ca="1">IF($A611="","",IFERROR(INDEX(Market_Data!$F$21:$F$613,MATCH($A611,Market_Data!$E$21:INDEX(Market_Data!$E$21:$E$613,COUNT(Market_Data!$E$21:$E$613)),1)),""))</f>
        <v/>
      </c>
      <c r="D611" s="145" t="str">
        <f ca="1">IF($A611="","",IFERROR(INDEX(Market_Data!$I$21:$I$613,MATCH($A611,Market_Data!$H$21:INDEX(Market_Data!$H$21:$H$613,COUNT(Market_Data!$H$21:$H$613)),1)),""))</f>
        <v/>
      </c>
      <c r="E611" s="145" t="str">
        <f ca="1">IF($A611="","",IFERROR(INDEX(Market_Data!$L$21:$L$613,MATCH($A611,Market_Data!$K$21:INDEX(Market_Data!$K$21:$K$613,COUNT(Market_Data!$K$21:$K$613)),1)),""))</f>
        <v/>
      </c>
      <c r="F611" s="145" t="str">
        <f ca="1">IF($A611="","",IFERROR(INDEX(Market_Data!$O$21:$O$613,MATCH($A611,Market_Data!$N$21:INDEX(Market_Data!$N$21:$N$613,COUNT(Market_Data!$N$21:$N$613)),1)),""))</f>
        <v/>
      </c>
      <c r="G611" s="145" t="str">
        <f ca="1">IF($A611="","",IFERROR(INDEX(Market_Data!$R$21:$R$613,MATCH($A611,Market_Data!$Q$21:INDEX(Market_Data!$Q$21:$Q$613,COUNT(Market_Data!$Q$21:$Q$613)),1)),""))</f>
        <v/>
      </c>
      <c r="H611" s="145" t="str">
        <f ca="1">IF($A611="","",IFERROR(INDEX(Market_Data!$U$21:$U$613,MATCH($A611,Market_Data!$T$21:INDEX(Market_Data!$T$21:$T$613,COUNT(Market_Data!$T$21:$T$613)),1)),""))</f>
        <v/>
      </c>
      <c r="I611" s="146" t="str">
        <f ca="1">IF($A611="","",IFERROR(INDEX(Query1[Close],MATCH($A611,Query1[Date],1)),""))</f>
        <v/>
      </c>
    </row>
    <row r="612" spans="1:9" x14ac:dyDescent="0.3">
      <c r="A612" s="144" t="str">
        <f t="shared" ca="1" si="11"/>
        <v/>
      </c>
      <c r="B612" s="145" t="str">
        <f ca="1">IF($A612="","",IFERROR(INDEX(Market_Data!$C$21:$C$613,MATCH($A612,Market_Data!$B$21:INDEX(Market_Data!$B$21:$B$613,COUNT(Market_Data!$B$21:$B$613)),1)),""))</f>
        <v/>
      </c>
      <c r="C612" s="145" t="str">
        <f ca="1">IF($A612="","",IFERROR(INDEX(Market_Data!$F$21:$F$613,MATCH($A612,Market_Data!$E$21:INDEX(Market_Data!$E$21:$E$613,COUNT(Market_Data!$E$21:$E$613)),1)),""))</f>
        <v/>
      </c>
      <c r="D612" s="145" t="str">
        <f ca="1">IF($A612="","",IFERROR(INDEX(Market_Data!$I$21:$I$613,MATCH($A612,Market_Data!$H$21:INDEX(Market_Data!$H$21:$H$613,COUNT(Market_Data!$H$21:$H$613)),1)),""))</f>
        <v/>
      </c>
      <c r="E612" s="145" t="str">
        <f ca="1">IF($A612="","",IFERROR(INDEX(Market_Data!$L$21:$L$613,MATCH($A612,Market_Data!$K$21:INDEX(Market_Data!$K$21:$K$613,COUNT(Market_Data!$K$21:$K$613)),1)),""))</f>
        <v/>
      </c>
      <c r="F612" s="145" t="str">
        <f ca="1">IF($A612="","",IFERROR(INDEX(Market_Data!$O$21:$O$613,MATCH($A612,Market_Data!$N$21:INDEX(Market_Data!$N$21:$N$613,COUNT(Market_Data!$N$21:$N$613)),1)),""))</f>
        <v/>
      </c>
      <c r="G612" s="145" t="str">
        <f ca="1">IF($A612="","",IFERROR(INDEX(Market_Data!$R$21:$R$613,MATCH($A612,Market_Data!$Q$21:INDEX(Market_Data!$Q$21:$Q$613,COUNT(Market_Data!$Q$21:$Q$613)),1)),""))</f>
        <v/>
      </c>
      <c r="H612" s="145" t="str">
        <f ca="1">IF($A612="","",IFERROR(INDEX(Market_Data!$U$21:$U$613,MATCH($A612,Market_Data!$T$21:INDEX(Market_Data!$T$21:$T$613,COUNT(Market_Data!$T$21:$T$613)),1)),""))</f>
        <v/>
      </c>
      <c r="I612" s="146" t="str">
        <f ca="1">IF($A612="","",IFERROR(INDEX(Query1[Close],MATCH($A612,Query1[Date],1)),""))</f>
        <v/>
      </c>
    </row>
    <row r="613" spans="1:9" x14ac:dyDescent="0.3">
      <c r="A613" s="144" t="str">
        <f t="shared" ca="1" si="11"/>
        <v/>
      </c>
      <c r="B613" s="145" t="str">
        <f ca="1">IF($A613="","",IFERROR(INDEX(Market_Data!$C$21:$C$613,MATCH($A613,Market_Data!$B$21:INDEX(Market_Data!$B$21:$B$613,COUNT(Market_Data!$B$21:$B$613)),1)),""))</f>
        <v/>
      </c>
      <c r="C613" s="145" t="str">
        <f ca="1">IF($A613="","",IFERROR(INDEX(Market_Data!$F$21:$F$613,MATCH($A613,Market_Data!$E$21:INDEX(Market_Data!$E$21:$E$613,COUNT(Market_Data!$E$21:$E$613)),1)),""))</f>
        <v/>
      </c>
      <c r="D613" s="145" t="str">
        <f ca="1">IF($A613="","",IFERROR(INDEX(Market_Data!$I$21:$I$613,MATCH($A613,Market_Data!$H$21:INDEX(Market_Data!$H$21:$H$613,COUNT(Market_Data!$H$21:$H$613)),1)),""))</f>
        <v/>
      </c>
      <c r="E613" s="145" t="str">
        <f ca="1">IF($A613="","",IFERROR(INDEX(Market_Data!$L$21:$L$613,MATCH($A613,Market_Data!$K$21:INDEX(Market_Data!$K$21:$K$613,COUNT(Market_Data!$K$21:$K$613)),1)),""))</f>
        <v/>
      </c>
      <c r="F613" s="145" t="str">
        <f ca="1">IF($A613="","",IFERROR(INDEX(Market_Data!$O$21:$O$613,MATCH($A613,Market_Data!$N$21:INDEX(Market_Data!$N$21:$N$613,COUNT(Market_Data!$N$21:$N$613)),1)),""))</f>
        <v/>
      </c>
      <c r="G613" s="145" t="str">
        <f ca="1">IF($A613="","",IFERROR(INDEX(Market_Data!$R$21:$R$613,MATCH($A613,Market_Data!$Q$21:INDEX(Market_Data!$Q$21:$Q$613,COUNT(Market_Data!$Q$21:$Q$613)),1)),""))</f>
        <v/>
      </c>
      <c r="H613" s="145" t="str">
        <f ca="1">IF($A613="","",IFERROR(INDEX(Market_Data!$U$21:$U$613,MATCH($A613,Market_Data!$T$21:INDEX(Market_Data!$T$21:$T$613,COUNT(Market_Data!$T$21:$T$613)),1)),""))</f>
        <v/>
      </c>
      <c r="I613" s="146" t="str">
        <f ca="1">IF($A613="","",IFERROR(INDEX(Query1[Close],MATCH($A613,Query1[Date],1)),""))</f>
        <v/>
      </c>
    </row>
    <row r="614" spans="1:9" x14ac:dyDescent="0.3">
      <c r="A614" s="144" t="str">
        <f t="shared" ca="1" si="11"/>
        <v/>
      </c>
      <c r="B614" s="145" t="str">
        <f ca="1">IF($A614="","",IFERROR(INDEX(Market_Data!$C$21:$C$613,MATCH($A614,Market_Data!$B$21:INDEX(Market_Data!$B$21:$B$613,COUNT(Market_Data!$B$21:$B$613)),1)),""))</f>
        <v/>
      </c>
      <c r="C614" s="145" t="str">
        <f ca="1">IF($A614="","",IFERROR(INDEX(Market_Data!$F$21:$F$613,MATCH($A614,Market_Data!$E$21:INDEX(Market_Data!$E$21:$E$613,COUNT(Market_Data!$E$21:$E$613)),1)),""))</f>
        <v/>
      </c>
      <c r="D614" s="145" t="str">
        <f ca="1">IF($A614="","",IFERROR(INDEX(Market_Data!$I$21:$I$613,MATCH($A614,Market_Data!$H$21:INDEX(Market_Data!$H$21:$H$613,COUNT(Market_Data!$H$21:$H$613)),1)),""))</f>
        <v/>
      </c>
      <c r="E614" s="145" t="str">
        <f ca="1">IF($A614="","",IFERROR(INDEX(Market_Data!$L$21:$L$613,MATCH($A614,Market_Data!$K$21:INDEX(Market_Data!$K$21:$K$613,COUNT(Market_Data!$K$21:$K$613)),1)),""))</f>
        <v/>
      </c>
      <c r="F614" s="145" t="str">
        <f ca="1">IF($A614="","",IFERROR(INDEX(Market_Data!$O$21:$O$613,MATCH($A614,Market_Data!$N$21:INDEX(Market_Data!$N$21:$N$613,COUNT(Market_Data!$N$21:$N$613)),1)),""))</f>
        <v/>
      </c>
      <c r="G614" s="145" t="str">
        <f ca="1">IF($A614="","",IFERROR(INDEX(Market_Data!$R$21:$R$613,MATCH($A614,Market_Data!$Q$21:INDEX(Market_Data!$Q$21:$Q$613,COUNT(Market_Data!$Q$21:$Q$613)),1)),""))</f>
        <v/>
      </c>
      <c r="H614" s="145" t="str">
        <f ca="1">IF($A614="","",IFERROR(INDEX(Market_Data!$U$21:$U$613,MATCH($A614,Market_Data!$T$21:INDEX(Market_Data!$T$21:$T$613,COUNT(Market_Data!$T$21:$T$613)),1)),""))</f>
        <v/>
      </c>
      <c r="I614" s="146" t="str">
        <f ca="1">IF($A614="","",IFERROR(INDEX(Query1[Close],MATCH($A614,Query1[Date],1)),""))</f>
        <v/>
      </c>
    </row>
    <row r="615" spans="1:9" x14ac:dyDescent="0.3">
      <c r="A615" s="144" t="str">
        <f t="shared" ca="1" si="11"/>
        <v/>
      </c>
      <c r="B615" s="145" t="str">
        <f ca="1">IF($A615="","",IFERROR(INDEX(Market_Data!$C$21:$C$613,MATCH($A615,Market_Data!$B$21:INDEX(Market_Data!$B$21:$B$613,COUNT(Market_Data!$B$21:$B$613)),1)),""))</f>
        <v/>
      </c>
      <c r="C615" s="145" t="str">
        <f ca="1">IF($A615="","",IFERROR(INDEX(Market_Data!$F$21:$F$613,MATCH($A615,Market_Data!$E$21:INDEX(Market_Data!$E$21:$E$613,COUNT(Market_Data!$E$21:$E$613)),1)),""))</f>
        <v/>
      </c>
      <c r="D615" s="145" t="str">
        <f ca="1">IF($A615="","",IFERROR(INDEX(Market_Data!$I$21:$I$613,MATCH($A615,Market_Data!$H$21:INDEX(Market_Data!$H$21:$H$613,COUNT(Market_Data!$H$21:$H$613)),1)),""))</f>
        <v/>
      </c>
      <c r="E615" s="145" t="str">
        <f ca="1">IF($A615="","",IFERROR(INDEX(Market_Data!$L$21:$L$613,MATCH($A615,Market_Data!$K$21:INDEX(Market_Data!$K$21:$K$613,COUNT(Market_Data!$K$21:$K$613)),1)),""))</f>
        <v/>
      </c>
      <c r="F615" s="145" t="str">
        <f ca="1">IF($A615="","",IFERROR(INDEX(Market_Data!$O$21:$O$613,MATCH($A615,Market_Data!$N$21:INDEX(Market_Data!$N$21:$N$613,COUNT(Market_Data!$N$21:$N$613)),1)),""))</f>
        <v/>
      </c>
      <c r="G615" s="145" t="str">
        <f ca="1">IF($A615="","",IFERROR(INDEX(Market_Data!$R$21:$R$613,MATCH($A615,Market_Data!$Q$21:INDEX(Market_Data!$Q$21:$Q$613,COUNT(Market_Data!$Q$21:$Q$613)),1)),""))</f>
        <v/>
      </c>
      <c r="H615" s="145" t="str">
        <f ca="1">IF($A615="","",IFERROR(INDEX(Market_Data!$U$21:$U$613,MATCH($A615,Market_Data!$T$21:INDEX(Market_Data!$T$21:$T$613,COUNT(Market_Data!$T$21:$T$613)),1)),""))</f>
        <v/>
      </c>
      <c r="I615" s="146" t="str">
        <f ca="1">IF($A615="","",IFERROR(INDEX(Query1[Close],MATCH($A615,Query1[Date],1)),""))</f>
        <v/>
      </c>
    </row>
    <row r="616" spans="1:9" x14ac:dyDescent="0.3">
      <c r="A616" s="144" t="str">
        <f t="shared" ca="1" si="11"/>
        <v/>
      </c>
      <c r="B616" s="145" t="str">
        <f ca="1">IF($A616="","",IFERROR(INDEX(Market_Data!$C$21:$C$613,MATCH($A616,Market_Data!$B$21:INDEX(Market_Data!$B$21:$B$613,COUNT(Market_Data!$B$21:$B$613)),1)),""))</f>
        <v/>
      </c>
      <c r="C616" s="145" t="str">
        <f ca="1">IF($A616="","",IFERROR(INDEX(Market_Data!$F$21:$F$613,MATCH($A616,Market_Data!$E$21:INDEX(Market_Data!$E$21:$E$613,COUNT(Market_Data!$E$21:$E$613)),1)),""))</f>
        <v/>
      </c>
      <c r="D616" s="145" t="str">
        <f ca="1">IF($A616="","",IFERROR(INDEX(Market_Data!$I$21:$I$613,MATCH($A616,Market_Data!$H$21:INDEX(Market_Data!$H$21:$H$613,COUNT(Market_Data!$H$21:$H$613)),1)),""))</f>
        <v/>
      </c>
      <c r="E616" s="145" t="str">
        <f ca="1">IF($A616="","",IFERROR(INDEX(Market_Data!$L$21:$L$613,MATCH($A616,Market_Data!$K$21:INDEX(Market_Data!$K$21:$K$613,COUNT(Market_Data!$K$21:$K$613)),1)),""))</f>
        <v/>
      </c>
      <c r="F616" s="145" t="str">
        <f ca="1">IF($A616="","",IFERROR(INDEX(Market_Data!$O$21:$O$613,MATCH($A616,Market_Data!$N$21:INDEX(Market_Data!$N$21:$N$613,COUNT(Market_Data!$N$21:$N$613)),1)),""))</f>
        <v/>
      </c>
      <c r="G616" s="145" t="str">
        <f ca="1">IF($A616="","",IFERROR(INDEX(Market_Data!$R$21:$R$613,MATCH($A616,Market_Data!$Q$21:INDEX(Market_Data!$Q$21:$Q$613,COUNT(Market_Data!$Q$21:$Q$613)),1)),""))</f>
        <v/>
      </c>
      <c r="H616" s="145" t="str">
        <f ca="1">IF($A616="","",IFERROR(INDEX(Market_Data!$U$21:$U$613,MATCH($A616,Market_Data!$T$21:INDEX(Market_Data!$T$21:$T$613,COUNT(Market_Data!$T$21:$T$613)),1)),""))</f>
        <v/>
      </c>
      <c r="I616" s="146" t="str">
        <f ca="1">IF($A616="","",IFERROR(INDEX(Query1[Close],MATCH($A616,Query1[Date],1)),""))</f>
        <v/>
      </c>
    </row>
    <row r="617" spans="1:9" x14ac:dyDescent="0.3">
      <c r="A617" s="144" t="str">
        <f t="shared" ca="1" si="11"/>
        <v/>
      </c>
      <c r="B617" s="145" t="str">
        <f ca="1">IF($A617="","",IFERROR(INDEX(Market_Data!$C$21:$C$613,MATCH($A617,Market_Data!$B$21:INDEX(Market_Data!$B$21:$B$613,COUNT(Market_Data!$B$21:$B$613)),1)),""))</f>
        <v/>
      </c>
      <c r="C617" s="145" t="str">
        <f ca="1">IF($A617="","",IFERROR(INDEX(Market_Data!$F$21:$F$613,MATCH($A617,Market_Data!$E$21:INDEX(Market_Data!$E$21:$E$613,COUNT(Market_Data!$E$21:$E$613)),1)),""))</f>
        <v/>
      </c>
      <c r="D617" s="145" t="str">
        <f ca="1">IF($A617="","",IFERROR(INDEX(Market_Data!$I$21:$I$613,MATCH($A617,Market_Data!$H$21:INDEX(Market_Data!$H$21:$H$613,COUNT(Market_Data!$H$21:$H$613)),1)),""))</f>
        <v/>
      </c>
      <c r="E617" s="145" t="str">
        <f ca="1">IF($A617="","",IFERROR(INDEX(Market_Data!$L$21:$L$613,MATCH($A617,Market_Data!$K$21:INDEX(Market_Data!$K$21:$K$613,COUNT(Market_Data!$K$21:$K$613)),1)),""))</f>
        <v/>
      </c>
      <c r="F617" s="145" t="str">
        <f ca="1">IF($A617="","",IFERROR(INDEX(Market_Data!$O$21:$O$613,MATCH($A617,Market_Data!$N$21:INDEX(Market_Data!$N$21:$N$613,COUNT(Market_Data!$N$21:$N$613)),1)),""))</f>
        <v/>
      </c>
      <c r="G617" s="145" t="str">
        <f ca="1">IF($A617="","",IFERROR(INDEX(Market_Data!$R$21:$R$613,MATCH($A617,Market_Data!$Q$21:INDEX(Market_Data!$Q$21:$Q$613,COUNT(Market_Data!$Q$21:$Q$613)),1)),""))</f>
        <v/>
      </c>
      <c r="H617" s="145" t="str">
        <f ca="1">IF($A617="","",IFERROR(INDEX(Market_Data!$U$21:$U$613,MATCH($A617,Market_Data!$T$21:INDEX(Market_Data!$T$21:$T$613,COUNT(Market_Data!$T$21:$T$613)),1)),""))</f>
        <v/>
      </c>
      <c r="I617" s="146" t="str">
        <f ca="1">IF($A617="","",IFERROR(INDEX(Query1[Close],MATCH($A617,Query1[Date],1)),""))</f>
        <v/>
      </c>
    </row>
    <row r="618" spans="1:9" x14ac:dyDescent="0.3">
      <c r="A618" s="144" t="str">
        <f t="shared" ca="1" si="11"/>
        <v/>
      </c>
      <c r="B618" s="145" t="str">
        <f ca="1">IF($A618="","",IFERROR(INDEX(Market_Data!$C$21:$C$613,MATCH($A618,Market_Data!$B$21:INDEX(Market_Data!$B$21:$B$613,COUNT(Market_Data!$B$21:$B$613)),1)),""))</f>
        <v/>
      </c>
      <c r="C618" s="145" t="str">
        <f ca="1">IF($A618="","",IFERROR(INDEX(Market_Data!$F$21:$F$613,MATCH($A618,Market_Data!$E$21:INDEX(Market_Data!$E$21:$E$613,COUNT(Market_Data!$E$21:$E$613)),1)),""))</f>
        <v/>
      </c>
      <c r="D618" s="145" t="str">
        <f ca="1">IF($A618="","",IFERROR(INDEX(Market_Data!$I$21:$I$613,MATCH($A618,Market_Data!$H$21:INDEX(Market_Data!$H$21:$H$613,COUNT(Market_Data!$H$21:$H$613)),1)),""))</f>
        <v/>
      </c>
      <c r="E618" s="145" t="str">
        <f ca="1">IF($A618="","",IFERROR(INDEX(Market_Data!$L$21:$L$613,MATCH($A618,Market_Data!$K$21:INDEX(Market_Data!$K$21:$K$613,COUNT(Market_Data!$K$21:$K$613)),1)),""))</f>
        <v/>
      </c>
      <c r="F618" s="145" t="str">
        <f ca="1">IF($A618="","",IFERROR(INDEX(Market_Data!$O$21:$O$613,MATCH($A618,Market_Data!$N$21:INDEX(Market_Data!$N$21:$N$613,COUNT(Market_Data!$N$21:$N$613)),1)),""))</f>
        <v/>
      </c>
      <c r="G618" s="145" t="str">
        <f ca="1">IF($A618="","",IFERROR(INDEX(Market_Data!$R$21:$R$613,MATCH($A618,Market_Data!$Q$21:INDEX(Market_Data!$Q$21:$Q$613,COUNT(Market_Data!$Q$21:$Q$613)),1)),""))</f>
        <v/>
      </c>
      <c r="H618" s="145" t="str">
        <f ca="1">IF($A618="","",IFERROR(INDEX(Market_Data!$U$21:$U$613,MATCH($A618,Market_Data!$T$21:INDEX(Market_Data!$T$21:$T$613,COUNT(Market_Data!$T$21:$T$613)),1)),""))</f>
        <v/>
      </c>
      <c r="I618" s="146" t="str">
        <f ca="1">IF($A618="","",IFERROR(INDEX(Query1[Close],MATCH($A618,Query1[Date],1)),""))</f>
        <v/>
      </c>
    </row>
    <row r="619" spans="1:9" x14ac:dyDescent="0.3">
      <c r="A619" s="144" t="str">
        <f t="shared" ca="1" si="11"/>
        <v/>
      </c>
      <c r="B619" s="145" t="str">
        <f ca="1">IF($A619="","",IFERROR(INDEX(Market_Data!$C$21:$C$613,MATCH($A619,Market_Data!$B$21:INDEX(Market_Data!$B$21:$B$613,COUNT(Market_Data!$B$21:$B$613)),1)),""))</f>
        <v/>
      </c>
      <c r="C619" s="145" t="str">
        <f ca="1">IF($A619="","",IFERROR(INDEX(Market_Data!$F$21:$F$613,MATCH($A619,Market_Data!$E$21:INDEX(Market_Data!$E$21:$E$613,COUNT(Market_Data!$E$21:$E$613)),1)),""))</f>
        <v/>
      </c>
      <c r="D619" s="145" t="str">
        <f ca="1">IF($A619="","",IFERROR(INDEX(Market_Data!$I$21:$I$613,MATCH($A619,Market_Data!$H$21:INDEX(Market_Data!$H$21:$H$613,COUNT(Market_Data!$H$21:$H$613)),1)),""))</f>
        <v/>
      </c>
      <c r="E619" s="145" t="str">
        <f ca="1">IF($A619="","",IFERROR(INDEX(Market_Data!$L$21:$L$613,MATCH($A619,Market_Data!$K$21:INDEX(Market_Data!$K$21:$K$613,COUNT(Market_Data!$K$21:$K$613)),1)),""))</f>
        <v/>
      </c>
      <c r="F619" s="145" t="str">
        <f ca="1">IF($A619="","",IFERROR(INDEX(Market_Data!$O$21:$O$613,MATCH($A619,Market_Data!$N$21:INDEX(Market_Data!$N$21:$N$613,COUNT(Market_Data!$N$21:$N$613)),1)),""))</f>
        <v/>
      </c>
      <c r="G619" s="145" t="str">
        <f ca="1">IF($A619="","",IFERROR(INDEX(Market_Data!$R$21:$R$613,MATCH($A619,Market_Data!$Q$21:INDEX(Market_Data!$Q$21:$Q$613,COUNT(Market_Data!$Q$21:$Q$613)),1)),""))</f>
        <v/>
      </c>
      <c r="H619" s="145" t="str">
        <f ca="1">IF($A619="","",IFERROR(INDEX(Market_Data!$U$21:$U$613,MATCH($A619,Market_Data!$T$21:INDEX(Market_Data!$T$21:$T$613,COUNT(Market_Data!$T$21:$T$613)),1)),""))</f>
        <v/>
      </c>
      <c r="I619" s="146" t="str">
        <f ca="1">IF($A619="","",IFERROR(INDEX(Query1[Close],MATCH($A619,Query1[Date],1)),""))</f>
        <v/>
      </c>
    </row>
    <row r="620" spans="1:9" x14ac:dyDescent="0.3">
      <c r="A620" s="144" t="str">
        <f t="shared" ca="1" si="11"/>
        <v/>
      </c>
      <c r="B620" s="145" t="str">
        <f ca="1">IF($A620="","",IFERROR(INDEX(Market_Data!$C$21:$C$613,MATCH($A620,Market_Data!$B$21:INDEX(Market_Data!$B$21:$B$613,COUNT(Market_Data!$B$21:$B$613)),1)),""))</f>
        <v/>
      </c>
      <c r="C620" s="145" t="str">
        <f ca="1">IF($A620="","",IFERROR(INDEX(Market_Data!$F$21:$F$613,MATCH($A620,Market_Data!$E$21:INDEX(Market_Data!$E$21:$E$613,COUNT(Market_Data!$E$21:$E$613)),1)),""))</f>
        <v/>
      </c>
      <c r="D620" s="145" t="str">
        <f ca="1">IF($A620="","",IFERROR(INDEX(Market_Data!$I$21:$I$613,MATCH($A620,Market_Data!$H$21:INDEX(Market_Data!$H$21:$H$613,COUNT(Market_Data!$H$21:$H$613)),1)),""))</f>
        <v/>
      </c>
      <c r="E620" s="145" t="str">
        <f ca="1">IF($A620="","",IFERROR(INDEX(Market_Data!$L$21:$L$613,MATCH($A620,Market_Data!$K$21:INDEX(Market_Data!$K$21:$K$613,COUNT(Market_Data!$K$21:$K$613)),1)),""))</f>
        <v/>
      </c>
      <c r="F620" s="145" t="str">
        <f ca="1">IF($A620="","",IFERROR(INDEX(Market_Data!$O$21:$O$613,MATCH($A620,Market_Data!$N$21:INDEX(Market_Data!$N$21:$N$613,COUNT(Market_Data!$N$21:$N$613)),1)),""))</f>
        <v/>
      </c>
      <c r="G620" s="145" t="str">
        <f ca="1">IF($A620="","",IFERROR(INDEX(Market_Data!$R$21:$R$613,MATCH($A620,Market_Data!$Q$21:INDEX(Market_Data!$Q$21:$Q$613,COUNT(Market_Data!$Q$21:$Q$613)),1)),""))</f>
        <v/>
      </c>
      <c r="H620" s="145" t="str">
        <f ca="1">IF($A620="","",IFERROR(INDEX(Market_Data!$U$21:$U$613,MATCH($A620,Market_Data!$T$21:INDEX(Market_Data!$T$21:$T$613,COUNT(Market_Data!$T$21:$T$613)),1)),""))</f>
        <v/>
      </c>
      <c r="I620" s="146" t="str">
        <f ca="1">IF($A620="","",IFERROR(INDEX(Query1[Close],MATCH($A620,Query1[Date],1)),""))</f>
        <v/>
      </c>
    </row>
    <row r="621" spans="1:9" x14ac:dyDescent="0.3">
      <c r="A621" s="144" t="str">
        <f t="shared" ca="1" si="11"/>
        <v/>
      </c>
      <c r="B621" s="145" t="str">
        <f ca="1">IF($A621="","",IFERROR(INDEX(Market_Data!$C$21:$C$613,MATCH($A621,Market_Data!$B$21:INDEX(Market_Data!$B$21:$B$613,COUNT(Market_Data!$B$21:$B$613)),1)),""))</f>
        <v/>
      </c>
      <c r="C621" s="145" t="str">
        <f ca="1">IF($A621="","",IFERROR(INDEX(Market_Data!$F$21:$F$613,MATCH($A621,Market_Data!$E$21:INDEX(Market_Data!$E$21:$E$613,COUNT(Market_Data!$E$21:$E$613)),1)),""))</f>
        <v/>
      </c>
      <c r="D621" s="145" t="str">
        <f ca="1">IF($A621="","",IFERROR(INDEX(Market_Data!$I$21:$I$613,MATCH($A621,Market_Data!$H$21:INDEX(Market_Data!$H$21:$H$613,COUNT(Market_Data!$H$21:$H$613)),1)),""))</f>
        <v/>
      </c>
      <c r="E621" s="145" t="str">
        <f ca="1">IF($A621="","",IFERROR(INDEX(Market_Data!$L$21:$L$613,MATCH($A621,Market_Data!$K$21:INDEX(Market_Data!$K$21:$K$613,COUNT(Market_Data!$K$21:$K$613)),1)),""))</f>
        <v/>
      </c>
      <c r="F621" s="145" t="str">
        <f ca="1">IF($A621="","",IFERROR(INDEX(Market_Data!$O$21:$O$613,MATCH($A621,Market_Data!$N$21:INDEX(Market_Data!$N$21:$N$613,COUNT(Market_Data!$N$21:$N$613)),1)),""))</f>
        <v/>
      </c>
      <c r="G621" s="145" t="str">
        <f ca="1">IF($A621="","",IFERROR(INDEX(Market_Data!$R$21:$R$613,MATCH($A621,Market_Data!$Q$21:INDEX(Market_Data!$Q$21:$Q$613,COUNT(Market_Data!$Q$21:$Q$613)),1)),""))</f>
        <v/>
      </c>
      <c r="H621" s="145" t="str">
        <f ca="1">IF($A621="","",IFERROR(INDEX(Market_Data!$U$21:$U$613,MATCH($A621,Market_Data!$T$21:INDEX(Market_Data!$T$21:$T$613,COUNT(Market_Data!$T$21:$T$613)),1)),""))</f>
        <v/>
      </c>
      <c r="I621" s="146" t="str">
        <f ca="1">IF($A621="","",IFERROR(INDEX(Query1[Close],MATCH($A621,Query1[Date],1)),""))</f>
        <v/>
      </c>
    </row>
    <row r="622" spans="1:9" x14ac:dyDescent="0.3">
      <c r="A622" s="144" t="str">
        <f t="shared" ca="1" si="11"/>
        <v/>
      </c>
      <c r="B622" s="145" t="str">
        <f ca="1">IF($A622="","",IFERROR(INDEX(Market_Data!$C$21:$C$613,MATCH($A622,Market_Data!$B$21:INDEX(Market_Data!$B$21:$B$613,COUNT(Market_Data!$B$21:$B$613)),1)),""))</f>
        <v/>
      </c>
      <c r="C622" s="145" t="str">
        <f ca="1">IF($A622="","",IFERROR(INDEX(Market_Data!$F$21:$F$613,MATCH($A622,Market_Data!$E$21:INDEX(Market_Data!$E$21:$E$613,COUNT(Market_Data!$E$21:$E$613)),1)),""))</f>
        <v/>
      </c>
      <c r="D622" s="145" t="str">
        <f ca="1">IF($A622="","",IFERROR(INDEX(Market_Data!$I$21:$I$613,MATCH($A622,Market_Data!$H$21:INDEX(Market_Data!$H$21:$H$613,COUNT(Market_Data!$H$21:$H$613)),1)),""))</f>
        <v/>
      </c>
      <c r="E622" s="145" t="str">
        <f ca="1">IF($A622="","",IFERROR(INDEX(Market_Data!$L$21:$L$613,MATCH($A622,Market_Data!$K$21:INDEX(Market_Data!$K$21:$K$613,COUNT(Market_Data!$K$21:$K$613)),1)),""))</f>
        <v/>
      </c>
      <c r="F622" s="145" t="str">
        <f ca="1">IF($A622="","",IFERROR(INDEX(Market_Data!$O$21:$O$613,MATCH($A622,Market_Data!$N$21:INDEX(Market_Data!$N$21:$N$613,COUNT(Market_Data!$N$21:$N$613)),1)),""))</f>
        <v/>
      </c>
      <c r="G622" s="145" t="str">
        <f ca="1">IF($A622="","",IFERROR(INDEX(Market_Data!$R$21:$R$613,MATCH($A622,Market_Data!$Q$21:INDEX(Market_Data!$Q$21:$Q$613,COUNT(Market_Data!$Q$21:$Q$613)),1)),""))</f>
        <v/>
      </c>
      <c r="H622" s="145" t="str">
        <f ca="1">IF($A622="","",IFERROR(INDEX(Market_Data!$U$21:$U$613,MATCH($A622,Market_Data!$T$21:INDEX(Market_Data!$T$21:$T$613,COUNT(Market_Data!$T$21:$T$613)),1)),""))</f>
        <v/>
      </c>
      <c r="I622" s="146" t="str">
        <f ca="1">IF($A622="","",IFERROR(INDEX(Query1[Close],MATCH($A622,Query1[Date],1)),""))</f>
        <v/>
      </c>
    </row>
    <row r="623" spans="1:9" x14ac:dyDescent="0.3">
      <c r="A623" s="144" t="str">
        <f t="shared" ca="1" si="11"/>
        <v/>
      </c>
      <c r="B623" s="145" t="str">
        <f ca="1">IF($A623="","",IFERROR(INDEX(Market_Data!$C$21:$C$613,MATCH($A623,Market_Data!$B$21:INDEX(Market_Data!$B$21:$B$613,COUNT(Market_Data!$B$21:$B$613)),1)),""))</f>
        <v/>
      </c>
      <c r="C623" s="145" t="str">
        <f ca="1">IF($A623="","",IFERROR(INDEX(Market_Data!$F$21:$F$613,MATCH($A623,Market_Data!$E$21:INDEX(Market_Data!$E$21:$E$613,COUNT(Market_Data!$E$21:$E$613)),1)),""))</f>
        <v/>
      </c>
      <c r="D623" s="145" t="str">
        <f ca="1">IF($A623="","",IFERROR(INDEX(Market_Data!$I$21:$I$613,MATCH($A623,Market_Data!$H$21:INDEX(Market_Data!$H$21:$H$613,COUNT(Market_Data!$H$21:$H$613)),1)),""))</f>
        <v/>
      </c>
      <c r="E623" s="145" t="str">
        <f ca="1">IF($A623="","",IFERROR(INDEX(Market_Data!$L$21:$L$613,MATCH($A623,Market_Data!$K$21:INDEX(Market_Data!$K$21:$K$613,COUNT(Market_Data!$K$21:$K$613)),1)),""))</f>
        <v/>
      </c>
      <c r="F623" s="145" t="str">
        <f ca="1">IF($A623="","",IFERROR(INDEX(Market_Data!$O$21:$O$613,MATCH($A623,Market_Data!$N$21:INDEX(Market_Data!$N$21:$N$613,COUNT(Market_Data!$N$21:$N$613)),1)),""))</f>
        <v/>
      </c>
      <c r="G623" s="145" t="str">
        <f ca="1">IF($A623="","",IFERROR(INDEX(Market_Data!$R$21:$R$613,MATCH($A623,Market_Data!$Q$21:INDEX(Market_Data!$Q$21:$Q$613,COUNT(Market_Data!$Q$21:$Q$613)),1)),""))</f>
        <v/>
      </c>
      <c r="H623" s="145" t="str">
        <f ca="1">IF($A623="","",IFERROR(INDEX(Market_Data!$U$21:$U$613,MATCH($A623,Market_Data!$T$21:INDEX(Market_Data!$T$21:$T$613,COUNT(Market_Data!$T$21:$T$613)),1)),""))</f>
        <v/>
      </c>
      <c r="I623" s="146" t="str">
        <f ca="1">IF($A623="","",IFERROR(INDEX(Query1[Close],MATCH($A623,Query1[Date],1)),""))</f>
        <v/>
      </c>
    </row>
    <row r="624" spans="1:9" x14ac:dyDescent="0.3">
      <c r="A624" s="144" t="str">
        <f t="shared" ca="1" si="11"/>
        <v/>
      </c>
      <c r="B624" s="145" t="str">
        <f ca="1">IF($A624="","",IFERROR(INDEX(Market_Data!$C$21:$C$613,MATCH($A624,Market_Data!$B$21:INDEX(Market_Data!$B$21:$B$613,COUNT(Market_Data!$B$21:$B$613)),1)),""))</f>
        <v/>
      </c>
      <c r="C624" s="145" t="str">
        <f ca="1">IF($A624="","",IFERROR(INDEX(Market_Data!$F$21:$F$613,MATCH($A624,Market_Data!$E$21:INDEX(Market_Data!$E$21:$E$613,COUNT(Market_Data!$E$21:$E$613)),1)),""))</f>
        <v/>
      </c>
      <c r="D624" s="145" t="str">
        <f ca="1">IF($A624="","",IFERROR(INDEX(Market_Data!$I$21:$I$613,MATCH($A624,Market_Data!$H$21:INDEX(Market_Data!$H$21:$H$613,COUNT(Market_Data!$H$21:$H$613)),1)),""))</f>
        <v/>
      </c>
      <c r="E624" s="145" t="str">
        <f ca="1">IF($A624="","",IFERROR(INDEX(Market_Data!$L$21:$L$613,MATCH($A624,Market_Data!$K$21:INDEX(Market_Data!$K$21:$K$613,COUNT(Market_Data!$K$21:$K$613)),1)),""))</f>
        <v/>
      </c>
      <c r="F624" s="145" t="str">
        <f ca="1">IF($A624="","",IFERROR(INDEX(Market_Data!$O$21:$O$613,MATCH($A624,Market_Data!$N$21:INDEX(Market_Data!$N$21:$N$613,COUNT(Market_Data!$N$21:$N$613)),1)),""))</f>
        <v/>
      </c>
      <c r="G624" s="145" t="str">
        <f ca="1">IF($A624="","",IFERROR(INDEX(Market_Data!$R$21:$R$613,MATCH($A624,Market_Data!$Q$21:INDEX(Market_Data!$Q$21:$Q$613,COUNT(Market_Data!$Q$21:$Q$613)),1)),""))</f>
        <v/>
      </c>
      <c r="H624" s="145" t="str">
        <f ca="1">IF($A624="","",IFERROR(INDEX(Market_Data!$U$21:$U$613,MATCH($A624,Market_Data!$T$21:INDEX(Market_Data!$T$21:$T$613,COUNT(Market_Data!$T$21:$T$613)),1)),""))</f>
        <v/>
      </c>
      <c r="I624" s="146" t="str">
        <f ca="1">IF($A624="","",IFERROR(INDEX(Query1[Close],MATCH($A624,Query1[Date],1)),""))</f>
        <v/>
      </c>
    </row>
    <row r="625" spans="1:9" x14ac:dyDescent="0.3">
      <c r="A625" s="144" t="str">
        <f t="shared" ca="1" si="11"/>
        <v/>
      </c>
      <c r="B625" s="145" t="str">
        <f ca="1">IF($A625="","",IFERROR(INDEX(Market_Data!$C$21:$C$613,MATCH($A625,Market_Data!$B$21:INDEX(Market_Data!$B$21:$B$613,COUNT(Market_Data!$B$21:$B$613)),1)),""))</f>
        <v/>
      </c>
      <c r="C625" s="145" t="str">
        <f ca="1">IF($A625="","",IFERROR(INDEX(Market_Data!$F$21:$F$613,MATCH($A625,Market_Data!$E$21:INDEX(Market_Data!$E$21:$E$613,COUNT(Market_Data!$E$21:$E$613)),1)),""))</f>
        <v/>
      </c>
      <c r="D625" s="145" t="str">
        <f ca="1">IF($A625="","",IFERROR(INDEX(Market_Data!$I$21:$I$613,MATCH($A625,Market_Data!$H$21:INDEX(Market_Data!$H$21:$H$613,COUNT(Market_Data!$H$21:$H$613)),1)),""))</f>
        <v/>
      </c>
      <c r="E625" s="145" t="str">
        <f ca="1">IF($A625="","",IFERROR(INDEX(Market_Data!$L$21:$L$613,MATCH($A625,Market_Data!$K$21:INDEX(Market_Data!$K$21:$K$613,COUNT(Market_Data!$K$21:$K$613)),1)),""))</f>
        <v/>
      </c>
      <c r="F625" s="145" t="str">
        <f ca="1">IF($A625="","",IFERROR(INDEX(Market_Data!$O$21:$O$613,MATCH($A625,Market_Data!$N$21:INDEX(Market_Data!$N$21:$N$613,COUNT(Market_Data!$N$21:$N$613)),1)),""))</f>
        <v/>
      </c>
      <c r="G625" s="145" t="str">
        <f ca="1">IF($A625="","",IFERROR(INDEX(Market_Data!$R$21:$R$613,MATCH($A625,Market_Data!$Q$21:INDEX(Market_Data!$Q$21:$Q$613,COUNT(Market_Data!$Q$21:$Q$613)),1)),""))</f>
        <v/>
      </c>
      <c r="H625" s="145" t="str">
        <f ca="1">IF($A625="","",IFERROR(INDEX(Market_Data!$U$21:$U$613,MATCH($A625,Market_Data!$T$21:INDEX(Market_Data!$T$21:$T$613,COUNT(Market_Data!$T$21:$T$613)),1)),""))</f>
        <v/>
      </c>
      <c r="I625" s="146" t="str">
        <f ca="1">IF($A625="","",IFERROR(INDEX(Query1[Close],MATCH($A625,Query1[Date],1)),""))</f>
        <v/>
      </c>
    </row>
    <row r="626" spans="1:9" x14ac:dyDescent="0.3">
      <c r="A626" s="144" t="str">
        <f t="shared" ca="1" si="11"/>
        <v/>
      </c>
      <c r="B626" s="145" t="str">
        <f ca="1">IF($A626="","",IFERROR(INDEX(Market_Data!$C$21:$C$613,MATCH($A626,Market_Data!$B$21:INDEX(Market_Data!$B$21:$B$613,COUNT(Market_Data!$B$21:$B$613)),1)),""))</f>
        <v/>
      </c>
      <c r="C626" s="145" t="str">
        <f ca="1">IF($A626="","",IFERROR(INDEX(Market_Data!$F$21:$F$613,MATCH($A626,Market_Data!$E$21:INDEX(Market_Data!$E$21:$E$613,COUNT(Market_Data!$E$21:$E$613)),1)),""))</f>
        <v/>
      </c>
      <c r="D626" s="145" t="str">
        <f ca="1">IF($A626="","",IFERROR(INDEX(Market_Data!$I$21:$I$613,MATCH($A626,Market_Data!$H$21:INDEX(Market_Data!$H$21:$H$613,COUNT(Market_Data!$H$21:$H$613)),1)),""))</f>
        <v/>
      </c>
      <c r="E626" s="145" t="str">
        <f ca="1">IF($A626="","",IFERROR(INDEX(Market_Data!$L$21:$L$613,MATCH($A626,Market_Data!$K$21:INDEX(Market_Data!$K$21:$K$613,COUNT(Market_Data!$K$21:$K$613)),1)),""))</f>
        <v/>
      </c>
      <c r="F626" s="145" t="str">
        <f ca="1">IF($A626="","",IFERROR(INDEX(Market_Data!$O$21:$O$613,MATCH($A626,Market_Data!$N$21:INDEX(Market_Data!$N$21:$N$613,COUNT(Market_Data!$N$21:$N$613)),1)),""))</f>
        <v/>
      </c>
      <c r="G626" s="145" t="str">
        <f ca="1">IF($A626="","",IFERROR(INDEX(Market_Data!$R$21:$R$613,MATCH($A626,Market_Data!$Q$21:INDEX(Market_Data!$Q$21:$Q$613,COUNT(Market_Data!$Q$21:$Q$613)),1)),""))</f>
        <v/>
      </c>
      <c r="H626" s="145" t="str">
        <f ca="1">IF($A626="","",IFERROR(INDEX(Market_Data!$U$21:$U$613,MATCH($A626,Market_Data!$T$21:INDEX(Market_Data!$T$21:$T$613,COUNT(Market_Data!$T$21:$T$613)),1)),""))</f>
        <v/>
      </c>
      <c r="I626" s="146" t="str">
        <f ca="1">IF($A626="","",IFERROR(INDEX(Query1[Close],MATCH($A626,Query1[Date],1)),""))</f>
        <v/>
      </c>
    </row>
    <row r="627" spans="1:9" x14ac:dyDescent="0.3">
      <c r="A627" s="144" t="str">
        <f t="shared" ca="1" si="11"/>
        <v/>
      </c>
      <c r="B627" s="145" t="str">
        <f ca="1">IF($A627="","",IFERROR(INDEX(Market_Data!$C$21:$C$613,MATCH($A627,Market_Data!$B$21:INDEX(Market_Data!$B$21:$B$613,COUNT(Market_Data!$B$21:$B$613)),1)),""))</f>
        <v/>
      </c>
      <c r="C627" s="145" t="str">
        <f ca="1">IF($A627="","",IFERROR(INDEX(Market_Data!$F$21:$F$613,MATCH($A627,Market_Data!$E$21:INDEX(Market_Data!$E$21:$E$613,COUNT(Market_Data!$E$21:$E$613)),1)),""))</f>
        <v/>
      </c>
      <c r="D627" s="145" t="str">
        <f ca="1">IF($A627="","",IFERROR(INDEX(Market_Data!$I$21:$I$613,MATCH($A627,Market_Data!$H$21:INDEX(Market_Data!$H$21:$H$613,COUNT(Market_Data!$H$21:$H$613)),1)),""))</f>
        <v/>
      </c>
      <c r="E627" s="145" t="str">
        <f ca="1">IF($A627="","",IFERROR(INDEX(Market_Data!$L$21:$L$613,MATCH($A627,Market_Data!$K$21:INDEX(Market_Data!$K$21:$K$613,COUNT(Market_Data!$K$21:$K$613)),1)),""))</f>
        <v/>
      </c>
      <c r="F627" s="145" t="str">
        <f ca="1">IF($A627="","",IFERROR(INDEX(Market_Data!$O$21:$O$613,MATCH($A627,Market_Data!$N$21:INDEX(Market_Data!$N$21:$N$613,COUNT(Market_Data!$N$21:$N$613)),1)),""))</f>
        <v/>
      </c>
      <c r="G627" s="145" t="str">
        <f ca="1">IF($A627="","",IFERROR(INDEX(Market_Data!$R$21:$R$613,MATCH($A627,Market_Data!$Q$21:INDEX(Market_Data!$Q$21:$Q$613,COUNT(Market_Data!$Q$21:$Q$613)),1)),""))</f>
        <v/>
      </c>
      <c r="H627" s="145" t="str">
        <f ca="1">IF($A627="","",IFERROR(INDEX(Market_Data!$U$21:$U$613,MATCH($A627,Market_Data!$T$21:INDEX(Market_Data!$T$21:$T$613,COUNT(Market_Data!$T$21:$T$613)),1)),""))</f>
        <v/>
      </c>
      <c r="I627" s="146" t="str">
        <f ca="1">IF($A627="","",IFERROR(INDEX(Query1[Close],MATCH($A627,Query1[Date],1)),""))</f>
        <v/>
      </c>
    </row>
    <row r="628" spans="1:9" x14ac:dyDescent="0.3">
      <c r="A628" s="144" t="str">
        <f t="shared" ca="1" si="11"/>
        <v/>
      </c>
      <c r="B628" s="145" t="str">
        <f ca="1">IF($A628="","",IFERROR(INDEX(Market_Data!$C$21:$C$613,MATCH($A628,Market_Data!$B$21:INDEX(Market_Data!$B$21:$B$613,COUNT(Market_Data!$B$21:$B$613)),1)),""))</f>
        <v/>
      </c>
      <c r="C628" s="145" t="str">
        <f ca="1">IF($A628="","",IFERROR(INDEX(Market_Data!$F$21:$F$613,MATCH($A628,Market_Data!$E$21:INDEX(Market_Data!$E$21:$E$613,COUNT(Market_Data!$E$21:$E$613)),1)),""))</f>
        <v/>
      </c>
      <c r="D628" s="145" t="str">
        <f ca="1">IF($A628="","",IFERROR(INDEX(Market_Data!$I$21:$I$613,MATCH($A628,Market_Data!$H$21:INDEX(Market_Data!$H$21:$H$613,COUNT(Market_Data!$H$21:$H$613)),1)),""))</f>
        <v/>
      </c>
      <c r="E628" s="145" t="str">
        <f ca="1">IF($A628="","",IFERROR(INDEX(Market_Data!$L$21:$L$613,MATCH($A628,Market_Data!$K$21:INDEX(Market_Data!$K$21:$K$613,COUNT(Market_Data!$K$21:$K$613)),1)),""))</f>
        <v/>
      </c>
      <c r="F628" s="145" t="str">
        <f ca="1">IF($A628="","",IFERROR(INDEX(Market_Data!$O$21:$O$613,MATCH($A628,Market_Data!$N$21:INDEX(Market_Data!$N$21:$N$613,COUNT(Market_Data!$N$21:$N$613)),1)),""))</f>
        <v/>
      </c>
      <c r="G628" s="145" t="str">
        <f ca="1">IF($A628="","",IFERROR(INDEX(Market_Data!$R$21:$R$613,MATCH($A628,Market_Data!$Q$21:INDEX(Market_Data!$Q$21:$Q$613,COUNT(Market_Data!$Q$21:$Q$613)),1)),""))</f>
        <v/>
      </c>
      <c r="H628" s="145" t="str">
        <f ca="1">IF($A628="","",IFERROR(INDEX(Market_Data!$U$21:$U$613,MATCH($A628,Market_Data!$T$21:INDEX(Market_Data!$T$21:$T$613,COUNT(Market_Data!$T$21:$T$613)),1)),""))</f>
        <v/>
      </c>
      <c r="I628" s="146" t="str">
        <f ca="1">IF($A628="","",IFERROR(INDEX(Query1[Close],MATCH($A628,Query1[Date],1)),""))</f>
        <v/>
      </c>
    </row>
    <row r="629" spans="1:9" x14ac:dyDescent="0.3">
      <c r="A629" s="144" t="str">
        <f t="shared" ca="1" si="11"/>
        <v/>
      </c>
      <c r="B629" s="145" t="str">
        <f ca="1">IF($A629="","",IFERROR(INDEX(Market_Data!$C$21:$C$613,MATCH($A629,Market_Data!$B$21:INDEX(Market_Data!$B$21:$B$613,COUNT(Market_Data!$B$21:$B$613)),1)),""))</f>
        <v/>
      </c>
      <c r="C629" s="145" t="str">
        <f ca="1">IF($A629="","",IFERROR(INDEX(Market_Data!$F$21:$F$613,MATCH($A629,Market_Data!$E$21:INDEX(Market_Data!$E$21:$E$613,COUNT(Market_Data!$E$21:$E$613)),1)),""))</f>
        <v/>
      </c>
      <c r="D629" s="145" t="str">
        <f ca="1">IF($A629="","",IFERROR(INDEX(Market_Data!$I$21:$I$613,MATCH($A629,Market_Data!$H$21:INDEX(Market_Data!$H$21:$H$613,COUNT(Market_Data!$H$21:$H$613)),1)),""))</f>
        <v/>
      </c>
      <c r="E629" s="145" t="str">
        <f ca="1">IF($A629="","",IFERROR(INDEX(Market_Data!$L$21:$L$613,MATCH($A629,Market_Data!$K$21:INDEX(Market_Data!$K$21:$K$613,COUNT(Market_Data!$K$21:$K$613)),1)),""))</f>
        <v/>
      </c>
      <c r="F629" s="145" t="str">
        <f ca="1">IF($A629="","",IFERROR(INDEX(Market_Data!$O$21:$O$613,MATCH($A629,Market_Data!$N$21:INDEX(Market_Data!$N$21:$N$613,COUNT(Market_Data!$N$21:$N$613)),1)),""))</f>
        <v/>
      </c>
      <c r="G629" s="145" t="str">
        <f ca="1">IF($A629="","",IFERROR(INDEX(Market_Data!$R$21:$R$613,MATCH($A629,Market_Data!$Q$21:INDEX(Market_Data!$Q$21:$Q$613,COUNT(Market_Data!$Q$21:$Q$613)),1)),""))</f>
        <v/>
      </c>
      <c r="H629" s="145" t="str">
        <f ca="1">IF($A629="","",IFERROR(INDEX(Market_Data!$U$21:$U$613,MATCH($A629,Market_Data!$T$21:INDEX(Market_Data!$T$21:$T$613,COUNT(Market_Data!$T$21:$T$613)),1)),""))</f>
        <v/>
      </c>
      <c r="I629" s="146" t="str">
        <f ca="1">IF($A629="","",IFERROR(INDEX(Query1[Close],MATCH($A629,Query1[Date],1)),""))</f>
        <v/>
      </c>
    </row>
    <row r="630" spans="1:9" x14ac:dyDescent="0.3">
      <c r="A630" s="144" t="str">
        <f t="shared" ca="1" si="11"/>
        <v/>
      </c>
      <c r="B630" s="145" t="str">
        <f ca="1">IF($A630="","",IFERROR(INDEX(Market_Data!$C$21:$C$613,MATCH($A630,Market_Data!$B$21:INDEX(Market_Data!$B$21:$B$613,COUNT(Market_Data!$B$21:$B$613)),1)),""))</f>
        <v/>
      </c>
      <c r="C630" s="145" t="str">
        <f ca="1">IF($A630="","",IFERROR(INDEX(Market_Data!$F$21:$F$613,MATCH($A630,Market_Data!$E$21:INDEX(Market_Data!$E$21:$E$613,COUNT(Market_Data!$E$21:$E$613)),1)),""))</f>
        <v/>
      </c>
      <c r="D630" s="145" t="str">
        <f ca="1">IF($A630="","",IFERROR(INDEX(Market_Data!$I$21:$I$613,MATCH($A630,Market_Data!$H$21:INDEX(Market_Data!$H$21:$H$613,COUNT(Market_Data!$H$21:$H$613)),1)),""))</f>
        <v/>
      </c>
      <c r="E630" s="145" t="str">
        <f ca="1">IF($A630="","",IFERROR(INDEX(Market_Data!$L$21:$L$613,MATCH($A630,Market_Data!$K$21:INDEX(Market_Data!$K$21:$K$613,COUNT(Market_Data!$K$21:$K$613)),1)),""))</f>
        <v/>
      </c>
      <c r="F630" s="145" t="str">
        <f ca="1">IF($A630="","",IFERROR(INDEX(Market_Data!$O$21:$O$613,MATCH($A630,Market_Data!$N$21:INDEX(Market_Data!$N$21:$N$613,COUNT(Market_Data!$N$21:$N$613)),1)),""))</f>
        <v/>
      </c>
      <c r="G630" s="145" t="str">
        <f ca="1">IF($A630="","",IFERROR(INDEX(Market_Data!$R$21:$R$613,MATCH($A630,Market_Data!$Q$21:INDEX(Market_Data!$Q$21:$Q$613,COUNT(Market_Data!$Q$21:$Q$613)),1)),""))</f>
        <v/>
      </c>
      <c r="H630" s="145" t="str">
        <f ca="1">IF($A630="","",IFERROR(INDEX(Market_Data!$U$21:$U$613,MATCH($A630,Market_Data!$T$21:INDEX(Market_Data!$T$21:$T$613,COUNT(Market_Data!$T$21:$T$613)),1)),""))</f>
        <v/>
      </c>
      <c r="I630" s="146" t="str">
        <f ca="1">IF($A630="","",IFERROR(INDEX(Query1[Close],MATCH($A630,Query1[Date],1)),""))</f>
        <v/>
      </c>
    </row>
    <row r="631" spans="1:9" x14ac:dyDescent="0.3">
      <c r="A631" s="144" t="str">
        <f t="shared" ca="1" si="11"/>
        <v/>
      </c>
      <c r="B631" s="145" t="str">
        <f ca="1">IF($A631="","",IFERROR(INDEX(Market_Data!$C$21:$C$613,MATCH($A631,Market_Data!$B$21:INDEX(Market_Data!$B$21:$B$613,COUNT(Market_Data!$B$21:$B$613)),1)),""))</f>
        <v/>
      </c>
      <c r="C631" s="145" t="str">
        <f ca="1">IF($A631="","",IFERROR(INDEX(Market_Data!$F$21:$F$613,MATCH($A631,Market_Data!$E$21:INDEX(Market_Data!$E$21:$E$613,COUNT(Market_Data!$E$21:$E$613)),1)),""))</f>
        <v/>
      </c>
      <c r="D631" s="145" t="str">
        <f ca="1">IF($A631="","",IFERROR(INDEX(Market_Data!$I$21:$I$613,MATCH($A631,Market_Data!$H$21:INDEX(Market_Data!$H$21:$H$613,COUNT(Market_Data!$H$21:$H$613)),1)),""))</f>
        <v/>
      </c>
      <c r="E631" s="145" t="str">
        <f ca="1">IF($A631="","",IFERROR(INDEX(Market_Data!$L$21:$L$613,MATCH($A631,Market_Data!$K$21:INDEX(Market_Data!$K$21:$K$613,COUNT(Market_Data!$K$21:$K$613)),1)),""))</f>
        <v/>
      </c>
      <c r="F631" s="145" t="str">
        <f ca="1">IF($A631="","",IFERROR(INDEX(Market_Data!$O$21:$O$613,MATCH($A631,Market_Data!$N$21:INDEX(Market_Data!$N$21:$N$613,COUNT(Market_Data!$N$21:$N$613)),1)),""))</f>
        <v/>
      </c>
      <c r="G631" s="145" t="str">
        <f ca="1">IF($A631="","",IFERROR(INDEX(Market_Data!$R$21:$R$613,MATCH($A631,Market_Data!$Q$21:INDEX(Market_Data!$Q$21:$Q$613,COUNT(Market_Data!$Q$21:$Q$613)),1)),""))</f>
        <v/>
      </c>
      <c r="H631" s="145" t="str">
        <f ca="1">IF($A631="","",IFERROR(INDEX(Market_Data!$U$21:$U$613,MATCH($A631,Market_Data!$T$21:INDEX(Market_Data!$T$21:$T$613,COUNT(Market_Data!$T$21:$T$613)),1)),""))</f>
        <v/>
      </c>
      <c r="I631" s="146" t="str">
        <f ca="1">IF($A631="","",IFERROR(INDEX(Query1[Close],MATCH($A631,Query1[Date],1)),""))</f>
        <v/>
      </c>
    </row>
    <row r="632" spans="1:9" x14ac:dyDescent="0.3">
      <c r="A632" s="144" t="str">
        <f t="shared" ca="1" si="11"/>
        <v/>
      </c>
      <c r="B632" s="145" t="str">
        <f ca="1">IF($A632="","",IFERROR(INDEX(Market_Data!$C$21:$C$613,MATCH($A632,Market_Data!$B$21:INDEX(Market_Data!$B$21:$B$613,COUNT(Market_Data!$B$21:$B$613)),1)),""))</f>
        <v/>
      </c>
      <c r="C632" s="145" t="str">
        <f ca="1">IF($A632="","",IFERROR(INDEX(Market_Data!$F$21:$F$613,MATCH($A632,Market_Data!$E$21:INDEX(Market_Data!$E$21:$E$613,COUNT(Market_Data!$E$21:$E$613)),1)),""))</f>
        <v/>
      </c>
      <c r="D632" s="145" t="str">
        <f ca="1">IF($A632="","",IFERROR(INDEX(Market_Data!$I$21:$I$613,MATCH($A632,Market_Data!$H$21:INDEX(Market_Data!$H$21:$H$613,COUNT(Market_Data!$H$21:$H$613)),1)),""))</f>
        <v/>
      </c>
      <c r="E632" s="145" t="str">
        <f ca="1">IF($A632="","",IFERROR(INDEX(Market_Data!$L$21:$L$613,MATCH($A632,Market_Data!$K$21:INDEX(Market_Data!$K$21:$K$613,COUNT(Market_Data!$K$21:$K$613)),1)),""))</f>
        <v/>
      </c>
      <c r="F632" s="145" t="str">
        <f ca="1">IF($A632="","",IFERROR(INDEX(Market_Data!$O$21:$O$613,MATCH($A632,Market_Data!$N$21:INDEX(Market_Data!$N$21:$N$613,COUNT(Market_Data!$N$21:$N$613)),1)),""))</f>
        <v/>
      </c>
      <c r="G632" s="145" t="str">
        <f ca="1">IF($A632="","",IFERROR(INDEX(Market_Data!$R$21:$R$613,MATCH($A632,Market_Data!$Q$21:INDEX(Market_Data!$Q$21:$Q$613,COUNT(Market_Data!$Q$21:$Q$613)),1)),""))</f>
        <v/>
      </c>
      <c r="H632" s="145" t="str">
        <f ca="1">IF($A632="","",IFERROR(INDEX(Market_Data!$U$21:$U$613,MATCH($A632,Market_Data!$T$21:INDEX(Market_Data!$T$21:$T$613,COUNT(Market_Data!$T$21:$T$613)),1)),""))</f>
        <v/>
      </c>
      <c r="I632" s="146" t="str">
        <f ca="1">IF($A632="","",IFERROR(INDEX(Query1[Close],MATCH($A632,Query1[Date],1)),""))</f>
        <v/>
      </c>
    </row>
    <row r="633" spans="1:9" x14ac:dyDescent="0.3">
      <c r="A633" s="144" t="str">
        <f t="shared" ca="1" si="11"/>
        <v/>
      </c>
      <c r="B633" s="145" t="str">
        <f ca="1">IF($A633="","",IFERROR(INDEX(Market_Data!$C$21:$C$613,MATCH($A633,Market_Data!$B$21:INDEX(Market_Data!$B$21:$B$613,COUNT(Market_Data!$B$21:$B$613)),1)),""))</f>
        <v/>
      </c>
      <c r="C633" s="145" t="str">
        <f ca="1">IF($A633="","",IFERROR(INDEX(Market_Data!$F$21:$F$613,MATCH($A633,Market_Data!$E$21:INDEX(Market_Data!$E$21:$E$613,COUNT(Market_Data!$E$21:$E$613)),1)),""))</f>
        <v/>
      </c>
      <c r="D633" s="145" t="str">
        <f ca="1">IF($A633="","",IFERROR(INDEX(Market_Data!$I$21:$I$613,MATCH($A633,Market_Data!$H$21:INDEX(Market_Data!$H$21:$H$613,COUNT(Market_Data!$H$21:$H$613)),1)),""))</f>
        <v/>
      </c>
      <c r="E633" s="145" t="str">
        <f ca="1">IF($A633="","",IFERROR(INDEX(Market_Data!$L$21:$L$613,MATCH($A633,Market_Data!$K$21:INDEX(Market_Data!$K$21:$K$613,COUNT(Market_Data!$K$21:$K$613)),1)),""))</f>
        <v/>
      </c>
      <c r="F633" s="145" t="str">
        <f ca="1">IF($A633="","",IFERROR(INDEX(Market_Data!$O$21:$O$613,MATCH($A633,Market_Data!$N$21:INDEX(Market_Data!$N$21:$N$613,COUNT(Market_Data!$N$21:$N$613)),1)),""))</f>
        <v/>
      </c>
      <c r="G633" s="145" t="str">
        <f ca="1">IF($A633="","",IFERROR(INDEX(Market_Data!$R$21:$R$613,MATCH($A633,Market_Data!$Q$21:INDEX(Market_Data!$Q$21:$Q$613,COUNT(Market_Data!$Q$21:$Q$613)),1)),""))</f>
        <v/>
      </c>
      <c r="H633" s="145" t="str">
        <f ca="1">IF($A633="","",IFERROR(INDEX(Market_Data!$U$21:$U$613,MATCH($A633,Market_Data!$T$21:INDEX(Market_Data!$T$21:$T$613,COUNT(Market_Data!$T$21:$T$613)),1)),""))</f>
        <v/>
      </c>
      <c r="I633" s="146" t="str">
        <f ca="1">IF($A633="","",IFERROR(INDEX(Query1[Close],MATCH($A633,Query1[Date],1)),""))</f>
        <v/>
      </c>
    </row>
    <row r="634" spans="1:9" x14ac:dyDescent="0.3">
      <c r="A634" s="144" t="str">
        <f t="shared" ca="1" si="11"/>
        <v/>
      </c>
      <c r="B634" s="145" t="str">
        <f ca="1">IF($A634="","",IFERROR(INDEX(Market_Data!$C$21:$C$613,MATCH($A634,Market_Data!$B$21:INDEX(Market_Data!$B$21:$B$613,COUNT(Market_Data!$B$21:$B$613)),1)),""))</f>
        <v/>
      </c>
      <c r="C634" s="145" t="str">
        <f ca="1">IF($A634="","",IFERROR(INDEX(Market_Data!$F$21:$F$613,MATCH($A634,Market_Data!$E$21:INDEX(Market_Data!$E$21:$E$613,COUNT(Market_Data!$E$21:$E$613)),1)),""))</f>
        <v/>
      </c>
      <c r="D634" s="145" t="str">
        <f ca="1">IF($A634="","",IFERROR(INDEX(Market_Data!$I$21:$I$613,MATCH($A634,Market_Data!$H$21:INDEX(Market_Data!$H$21:$H$613,COUNT(Market_Data!$H$21:$H$613)),1)),""))</f>
        <v/>
      </c>
      <c r="E634" s="145" t="str">
        <f ca="1">IF($A634="","",IFERROR(INDEX(Market_Data!$L$21:$L$613,MATCH($A634,Market_Data!$K$21:INDEX(Market_Data!$K$21:$K$613,COUNT(Market_Data!$K$21:$K$613)),1)),""))</f>
        <v/>
      </c>
      <c r="F634" s="145" t="str">
        <f ca="1">IF($A634="","",IFERROR(INDEX(Market_Data!$O$21:$O$613,MATCH($A634,Market_Data!$N$21:INDEX(Market_Data!$N$21:$N$613,COUNT(Market_Data!$N$21:$N$613)),1)),""))</f>
        <v/>
      </c>
      <c r="G634" s="145" t="str">
        <f ca="1">IF($A634="","",IFERROR(INDEX(Market_Data!$R$21:$R$613,MATCH($A634,Market_Data!$Q$21:INDEX(Market_Data!$Q$21:$Q$613,COUNT(Market_Data!$Q$21:$Q$613)),1)),""))</f>
        <v/>
      </c>
      <c r="H634" s="145" t="str">
        <f ca="1">IF($A634="","",IFERROR(INDEX(Market_Data!$U$21:$U$613,MATCH($A634,Market_Data!$T$21:INDEX(Market_Data!$T$21:$T$613,COUNT(Market_Data!$T$21:$T$613)),1)),""))</f>
        <v/>
      </c>
      <c r="I634" s="146" t="str">
        <f ca="1">IF($A634="","",IFERROR(INDEX(Query1[Close],MATCH($A634,Query1[Date],1)),""))</f>
        <v/>
      </c>
    </row>
    <row r="635" spans="1:9" x14ac:dyDescent="0.3">
      <c r="A635" s="144" t="str">
        <f t="shared" ca="1" si="11"/>
        <v/>
      </c>
      <c r="B635" s="145" t="str">
        <f ca="1">IF($A635="","",IFERROR(INDEX(Market_Data!$C$21:$C$613,MATCH($A635,Market_Data!$B$21:INDEX(Market_Data!$B$21:$B$613,COUNT(Market_Data!$B$21:$B$613)),1)),""))</f>
        <v/>
      </c>
      <c r="C635" s="145" t="str">
        <f ca="1">IF($A635="","",IFERROR(INDEX(Market_Data!$F$21:$F$613,MATCH($A635,Market_Data!$E$21:INDEX(Market_Data!$E$21:$E$613,COUNT(Market_Data!$E$21:$E$613)),1)),""))</f>
        <v/>
      </c>
      <c r="D635" s="145" t="str">
        <f ca="1">IF($A635="","",IFERROR(INDEX(Market_Data!$I$21:$I$613,MATCH($A635,Market_Data!$H$21:INDEX(Market_Data!$H$21:$H$613,COUNT(Market_Data!$H$21:$H$613)),1)),""))</f>
        <v/>
      </c>
      <c r="E635" s="145" t="str">
        <f ca="1">IF($A635="","",IFERROR(INDEX(Market_Data!$L$21:$L$613,MATCH($A635,Market_Data!$K$21:INDEX(Market_Data!$K$21:$K$613,COUNT(Market_Data!$K$21:$K$613)),1)),""))</f>
        <v/>
      </c>
      <c r="F635" s="145" t="str">
        <f ca="1">IF($A635="","",IFERROR(INDEX(Market_Data!$O$21:$O$613,MATCH($A635,Market_Data!$N$21:INDEX(Market_Data!$N$21:$N$613,COUNT(Market_Data!$N$21:$N$613)),1)),""))</f>
        <v/>
      </c>
      <c r="G635" s="145" t="str">
        <f ca="1">IF($A635="","",IFERROR(INDEX(Market_Data!$R$21:$R$613,MATCH($A635,Market_Data!$Q$21:INDEX(Market_Data!$Q$21:$Q$613,COUNT(Market_Data!$Q$21:$Q$613)),1)),""))</f>
        <v/>
      </c>
      <c r="H635" s="145" t="str">
        <f ca="1">IF($A635="","",IFERROR(INDEX(Market_Data!$U$21:$U$613,MATCH($A635,Market_Data!$T$21:INDEX(Market_Data!$T$21:$T$613,COUNT(Market_Data!$T$21:$T$613)),1)),""))</f>
        <v/>
      </c>
      <c r="I635" s="146" t="str">
        <f ca="1">IF($A635="","",IFERROR(INDEX(Query1[Close],MATCH($A635,Query1[Date],1)),""))</f>
        <v/>
      </c>
    </row>
    <row r="636" spans="1:9" x14ac:dyDescent="0.3">
      <c r="A636" s="144" t="str">
        <f t="shared" ca="1" si="11"/>
        <v/>
      </c>
      <c r="B636" s="145" t="str">
        <f ca="1">IF($A636="","",IFERROR(INDEX(Market_Data!$C$21:$C$613,MATCH($A636,Market_Data!$B$21:INDEX(Market_Data!$B$21:$B$613,COUNT(Market_Data!$B$21:$B$613)),1)),""))</f>
        <v/>
      </c>
      <c r="C636" s="145" t="str">
        <f ca="1">IF($A636="","",IFERROR(INDEX(Market_Data!$F$21:$F$613,MATCH($A636,Market_Data!$E$21:INDEX(Market_Data!$E$21:$E$613,COUNT(Market_Data!$E$21:$E$613)),1)),""))</f>
        <v/>
      </c>
      <c r="D636" s="145" t="str">
        <f ca="1">IF($A636="","",IFERROR(INDEX(Market_Data!$I$21:$I$613,MATCH($A636,Market_Data!$H$21:INDEX(Market_Data!$H$21:$H$613,COUNT(Market_Data!$H$21:$H$613)),1)),""))</f>
        <v/>
      </c>
      <c r="E636" s="145" t="str">
        <f ca="1">IF($A636="","",IFERROR(INDEX(Market_Data!$L$21:$L$613,MATCH($A636,Market_Data!$K$21:INDEX(Market_Data!$K$21:$K$613,COUNT(Market_Data!$K$21:$K$613)),1)),""))</f>
        <v/>
      </c>
      <c r="F636" s="145" t="str">
        <f ca="1">IF($A636="","",IFERROR(INDEX(Market_Data!$O$21:$O$613,MATCH($A636,Market_Data!$N$21:INDEX(Market_Data!$N$21:$N$613,COUNT(Market_Data!$N$21:$N$613)),1)),""))</f>
        <v/>
      </c>
      <c r="G636" s="145" t="str">
        <f ca="1">IF($A636="","",IFERROR(INDEX(Market_Data!$R$21:$R$613,MATCH($A636,Market_Data!$Q$21:INDEX(Market_Data!$Q$21:$Q$613,COUNT(Market_Data!$Q$21:$Q$613)),1)),""))</f>
        <v/>
      </c>
      <c r="H636" s="145" t="str">
        <f ca="1">IF($A636="","",IFERROR(INDEX(Market_Data!$U$21:$U$613,MATCH($A636,Market_Data!$T$21:INDEX(Market_Data!$T$21:$T$613,COUNT(Market_Data!$T$21:$T$613)),1)),""))</f>
        <v/>
      </c>
      <c r="I636" s="146" t="str">
        <f ca="1">IF($A636="","",IFERROR(INDEX(Query1[Close],MATCH($A636,Query1[Date],1)),""))</f>
        <v/>
      </c>
    </row>
    <row r="637" spans="1:9" x14ac:dyDescent="0.3">
      <c r="A637" s="144" t="str">
        <f t="shared" ca="1" si="11"/>
        <v/>
      </c>
      <c r="B637" s="145" t="str">
        <f ca="1">IF($A637="","",IFERROR(INDEX(Market_Data!$C$21:$C$613,MATCH($A637,Market_Data!$B$21:INDEX(Market_Data!$B$21:$B$613,COUNT(Market_Data!$B$21:$B$613)),1)),""))</f>
        <v/>
      </c>
      <c r="C637" s="145" t="str">
        <f ca="1">IF($A637="","",IFERROR(INDEX(Market_Data!$F$21:$F$613,MATCH($A637,Market_Data!$E$21:INDEX(Market_Data!$E$21:$E$613,COUNT(Market_Data!$E$21:$E$613)),1)),""))</f>
        <v/>
      </c>
      <c r="D637" s="145" t="str">
        <f ca="1">IF($A637="","",IFERROR(INDEX(Market_Data!$I$21:$I$613,MATCH($A637,Market_Data!$H$21:INDEX(Market_Data!$H$21:$H$613,COUNT(Market_Data!$H$21:$H$613)),1)),""))</f>
        <v/>
      </c>
      <c r="E637" s="145" t="str">
        <f ca="1">IF($A637="","",IFERROR(INDEX(Market_Data!$L$21:$L$613,MATCH($A637,Market_Data!$K$21:INDEX(Market_Data!$K$21:$K$613,COUNT(Market_Data!$K$21:$K$613)),1)),""))</f>
        <v/>
      </c>
      <c r="F637" s="145" t="str">
        <f ca="1">IF($A637="","",IFERROR(INDEX(Market_Data!$O$21:$O$613,MATCH($A637,Market_Data!$N$21:INDEX(Market_Data!$N$21:$N$613,COUNT(Market_Data!$N$21:$N$613)),1)),""))</f>
        <v/>
      </c>
      <c r="G637" s="145" t="str">
        <f ca="1">IF($A637="","",IFERROR(INDEX(Market_Data!$R$21:$R$613,MATCH($A637,Market_Data!$Q$21:INDEX(Market_Data!$Q$21:$Q$613,COUNT(Market_Data!$Q$21:$Q$613)),1)),""))</f>
        <v/>
      </c>
      <c r="H637" s="145" t="str">
        <f ca="1">IF($A637="","",IFERROR(INDEX(Market_Data!$U$21:$U$613,MATCH($A637,Market_Data!$T$21:INDEX(Market_Data!$T$21:$T$613,COUNT(Market_Data!$T$21:$T$613)),1)),""))</f>
        <v/>
      </c>
      <c r="I637" s="146" t="str">
        <f ca="1">IF($A637="","",IFERROR(INDEX(Query1[Close],MATCH($A637,Query1[Date],1)),""))</f>
        <v/>
      </c>
    </row>
    <row r="638" spans="1:9" x14ac:dyDescent="0.3">
      <c r="A638" s="144" t="str">
        <f t="shared" ca="1" si="11"/>
        <v/>
      </c>
      <c r="B638" s="145" t="str">
        <f ca="1">IF($A638="","",IFERROR(INDEX(Market_Data!$C$21:$C$613,MATCH($A638,Market_Data!$B$21:INDEX(Market_Data!$B$21:$B$613,COUNT(Market_Data!$B$21:$B$613)),1)),""))</f>
        <v/>
      </c>
      <c r="C638" s="145" t="str">
        <f ca="1">IF($A638="","",IFERROR(INDEX(Market_Data!$F$21:$F$613,MATCH($A638,Market_Data!$E$21:INDEX(Market_Data!$E$21:$E$613,COUNT(Market_Data!$E$21:$E$613)),1)),""))</f>
        <v/>
      </c>
      <c r="D638" s="145" t="str">
        <f ca="1">IF($A638="","",IFERROR(INDEX(Market_Data!$I$21:$I$613,MATCH($A638,Market_Data!$H$21:INDEX(Market_Data!$H$21:$H$613,COUNT(Market_Data!$H$21:$H$613)),1)),""))</f>
        <v/>
      </c>
      <c r="E638" s="145" t="str">
        <f ca="1">IF($A638="","",IFERROR(INDEX(Market_Data!$L$21:$L$613,MATCH($A638,Market_Data!$K$21:INDEX(Market_Data!$K$21:$K$613,COUNT(Market_Data!$K$21:$K$613)),1)),""))</f>
        <v/>
      </c>
      <c r="F638" s="145" t="str">
        <f ca="1">IF($A638="","",IFERROR(INDEX(Market_Data!$O$21:$O$613,MATCH($A638,Market_Data!$N$21:INDEX(Market_Data!$N$21:$N$613,COUNT(Market_Data!$N$21:$N$613)),1)),""))</f>
        <v/>
      </c>
      <c r="G638" s="145" t="str">
        <f ca="1">IF($A638="","",IFERROR(INDEX(Market_Data!$R$21:$R$613,MATCH($A638,Market_Data!$Q$21:INDEX(Market_Data!$Q$21:$Q$613,COUNT(Market_Data!$Q$21:$Q$613)),1)),""))</f>
        <v/>
      </c>
      <c r="H638" s="145" t="str">
        <f ca="1">IF($A638="","",IFERROR(INDEX(Market_Data!$U$21:$U$613,MATCH($A638,Market_Data!$T$21:INDEX(Market_Data!$T$21:$T$613,COUNT(Market_Data!$T$21:$T$613)),1)),""))</f>
        <v/>
      </c>
      <c r="I638" s="146" t="str">
        <f ca="1">IF($A638="","",IFERROR(INDEX(Query1[Close],MATCH($A638,Query1[Date],1)),""))</f>
        <v/>
      </c>
    </row>
    <row r="639" spans="1:9" x14ac:dyDescent="0.3">
      <c r="A639" s="144" t="str">
        <f t="shared" ca="1" si="11"/>
        <v/>
      </c>
      <c r="B639" s="145" t="str">
        <f ca="1">IF($A639="","",IFERROR(INDEX(Market_Data!$C$21:$C$613,MATCH($A639,Market_Data!$B$21:INDEX(Market_Data!$B$21:$B$613,COUNT(Market_Data!$B$21:$B$613)),1)),""))</f>
        <v/>
      </c>
      <c r="C639" s="145" t="str">
        <f ca="1">IF($A639="","",IFERROR(INDEX(Market_Data!$F$21:$F$613,MATCH($A639,Market_Data!$E$21:INDEX(Market_Data!$E$21:$E$613,COUNT(Market_Data!$E$21:$E$613)),1)),""))</f>
        <v/>
      </c>
      <c r="D639" s="145" t="str">
        <f ca="1">IF($A639="","",IFERROR(INDEX(Market_Data!$I$21:$I$613,MATCH($A639,Market_Data!$H$21:INDEX(Market_Data!$H$21:$H$613,COUNT(Market_Data!$H$21:$H$613)),1)),""))</f>
        <v/>
      </c>
      <c r="E639" s="145" t="str">
        <f ca="1">IF($A639="","",IFERROR(INDEX(Market_Data!$L$21:$L$613,MATCH($A639,Market_Data!$K$21:INDEX(Market_Data!$K$21:$K$613,COUNT(Market_Data!$K$21:$K$613)),1)),""))</f>
        <v/>
      </c>
      <c r="F639" s="145" t="str">
        <f ca="1">IF($A639="","",IFERROR(INDEX(Market_Data!$O$21:$O$613,MATCH($A639,Market_Data!$N$21:INDEX(Market_Data!$N$21:$N$613,COUNT(Market_Data!$N$21:$N$613)),1)),""))</f>
        <v/>
      </c>
      <c r="G639" s="145" t="str">
        <f ca="1">IF($A639="","",IFERROR(INDEX(Market_Data!$R$21:$R$613,MATCH($A639,Market_Data!$Q$21:INDEX(Market_Data!$Q$21:$Q$613,COUNT(Market_Data!$Q$21:$Q$613)),1)),""))</f>
        <v/>
      </c>
      <c r="H639" s="145" t="str">
        <f ca="1">IF($A639="","",IFERROR(INDEX(Market_Data!$U$21:$U$613,MATCH($A639,Market_Data!$T$21:INDEX(Market_Data!$T$21:$T$613,COUNT(Market_Data!$T$21:$T$613)),1)),""))</f>
        <v/>
      </c>
      <c r="I639" s="146" t="str">
        <f ca="1">IF($A639="","",IFERROR(INDEX(Query1[Close],MATCH($A639,Query1[Date],1)),""))</f>
        <v/>
      </c>
    </row>
    <row r="640" spans="1:9" x14ac:dyDescent="0.3">
      <c r="A640" s="144" t="str">
        <f t="shared" ca="1" si="11"/>
        <v/>
      </c>
      <c r="B640" s="145" t="str">
        <f ca="1">IF($A640="","",IFERROR(INDEX(Market_Data!$C$21:$C$613,MATCH($A640,Market_Data!$B$21:INDEX(Market_Data!$B$21:$B$613,COUNT(Market_Data!$B$21:$B$613)),1)),""))</f>
        <v/>
      </c>
      <c r="C640" s="145" t="str">
        <f ca="1">IF($A640="","",IFERROR(INDEX(Market_Data!$F$21:$F$613,MATCH($A640,Market_Data!$E$21:INDEX(Market_Data!$E$21:$E$613,COUNT(Market_Data!$E$21:$E$613)),1)),""))</f>
        <v/>
      </c>
      <c r="D640" s="145" t="str">
        <f ca="1">IF($A640="","",IFERROR(INDEX(Market_Data!$I$21:$I$613,MATCH($A640,Market_Data!$H$21:INDEX(Market_Data!$H$21:$H$613,COUNT(Market_Data!$H$21:$H$613)),1)),""))</f>
        <v/>
      </c>
      <c r="E640" s="145" t="str">
        <f ca="1">IF($A640="","",IFERROR(INDEX(Market_Data!$L$21:$L$613,MATCH($A640,Market_Data!$K$21:INDEX(Market_Data!$K$21:$K$613,COUNT(Market_Data!$K$21:$K$613)),1)),""))</f>
        <v/>
      </c>
      <c r="F640" s="145" t="str">
        <f ca="1">IF($A640="","",IFERROR(INDEX(Market_Data!$O$21:$O$613,MATCH($A640,Market_Data!$N$21:INDEX(Market_Data!$N$21:$N$613,COUNT(Market_Data!$N$21:$N$613)),1)),""))</f>
        <v/>
      </c>
      <c r="G640" s="145" t="str">
        <f ca="1">IF($A640="","",IFERROR(INDEX(Market_Data!$R$21:$R$613,MATCH($A640,Market_Data!$Q$21:INDEX(Market_Data!$Q$21:$Q$613,COUNT(Market_Data!$Q$21:$Q$613)),1)),""))</f>
        <v/>
      </c>
      <c r="H640" s="145" t="str">
        <f ca="1">IF($A640="","",IFERROR(INDEX(Market_Data!$U$21:$U$613,MATCH($A640,Market_Data!$T$21:INDEX(Market_Data!$T$21:$T$613,COUNT(Market_Data!$T$21:$T$613)),1)),""))</f>
        <v/>
      </c>
      <c r="I640" s="146" t="str">
        <f ca="1">IF($A640="","",IFERROR(INDEX(Query1[Close],MATCH($A640,Query1[Date],1)),""))</f>
        <v/>
      </c>
    </row>
    <row r="641" spans="1:9" x14ac:dyDescent="0.3">
      <c r="A641" s="144" t="str">
        <f t="shared" ca="1" si="11"/>
        <v/>
      </c>
      <c r="B641" s="145" t="str">
        <f ca="1">IF($A641="","",IFERROR(INDEX(Market_Data!$C$21:$C$613,MATCH($A641,Market_Data!$B$21:INDEX(Market_Data!$B$21:$B$613,COUNT(Market_Data!$B$21:$B$613)),1)),""))</f>
        <v/>
      </c>
      <c r="C641" s="145" t="str">
        <f ca="1">IF($A641="","",IFERROR(INDEX(Market_Data!$F$21:$F$613,MATCH($A641,Market_Data!$E$21:INDEX(Market_Data!$E$21:$E$613,COUNT(Market_Data!$E$21:$E$613)),1)),""))</f>
        <v/>
      </c>
      <c r="D641" s="145" t="str">
        <f ca="1">IF($A641="","",IFERROR(INDEX(Market_Data!$I$21:$I$613,MATCH($A641,Market_Data!$H$21:INDEX(Market_Data!$H$21:$H$613,COUNT(Market_Data!$H$21:$H$613)),1)),""))</f>
        <v/>
      </c>
      <c r="E641" s="145" t="str">
        <f ca="1">IF($A641="","",IFERROR(INDEX(Market_Data!$L$21:$L$613,MATCH($A641,Market_Data!$K$21:INDEX(Market_Data!$K$21:$K$613,COUNT(Market_Data!$K$21:$K$613)),1)),""))</f>
        <v/>
      </c>
      <c r="F641" s="145" t="str">
        <f ca="1">IF($A641="","",IFERROR(INDEX(Market_Data!$O$21:$O$613,MATCH($A641,Market_Data!$N$21:INDEX(Market_Data!$N$21:$N$613,COUNT(Market_Data!$N$21:$N$613)),1)),""))</f>
        <v/>
      </c>
      <c r="G641" s="145" t="str">
        <f ca="1">IF($A641="","",IFERROR(INDEX(Market_Data!$R$21:$R$613,MATCH($A641,Market_Data!$Q$21:INDEX(Market_Data!$Q$21:$Q$613,COUNT(Market_Data!$Q$21:$Q$613)),1)),""))</f>
        <v/>
      </c>
      <c r="H641" s="145" t="str">
        <f ca="1">IF($A641="","",IFERROR(INDEX(Market_Data!$U$21:$U$613,MATCH($A641,Market_Data!$T$21:INDEX(Market_Data!$T$21:$T$613,COUNT(Market_Data!$T$21:$T$613)),1)),""))</f>
        <v/>
      </c>
      <c r="I641" s="146" t="str">
        <f ca="1">IF($A641="","",IFERROR(INDEX(Query1[Close],MATCH($A641,Query1[Date],1)),""))</f>
        <v/>
      </c>
    </row>
    <row r="642" spans="1:9" x14ac:dyDescent="0.3">
      <c r="A642" s="144" t="str">
        <f t="shared" ca="1" si="11"/>
        <v/>
      </c>
      <c r="B642" s="145" t="str">
        <f ca="1">IF($A642="","",IFERROR(INDEX(Market_Data!$C$21:$C$613,MATCH($A642,Market_Data!$B$21:INDEX(Market_Data!$B$21:$B$613,COUNT(Market_Data!$B$21:$B$613)),1)),""))</f>
        <v/>
      </c>
      <c r="C642" s="145" t="str">
        <f ca="1">IF($A642="","",IFERROR(INDEX(Market_Data!$F$21:$F$613,MATCH($A642,Market_Data!$E$21:INDEX(Market_Data!$E$21:$E$613,COUNT(Market_Data!$E$21:$E$613)),1)),""))</f>
        <v/>
      </c>
      <c r="D642" s="145" t="str">
        <f ca="1">IF($A642="","",IFERROR(INDEX(Market_Data!$I$21:$I$613,MATCH($A642,Market_Data!$H$21:INDEX(Market_Data!$H$21:$H$613,COUNT(Market_Data!$H$21:$H$613)),1)),""))</f>
        <v/>
      </c>
      <c r="E642" s="145" t="str">
        <f ca="1">IF($A642="","",IFERROR(INDEX(Market_Data!$L$21:$L$613,MATCH($A642,Market_Data!$K$21:INDEX(Market_Data!$K$21:$K$613,COUNT(Market_Data!$K$21:$K$613)),1)),""))</f>
        <v/>
      </c>
      <c r="F642" s="145" t="str">
        <f ca="1">IF($A642="","",IFERROR(INDEX(Market_Data!$O$21:$O$613,MATCH($A642,Market_Data!$N$21:INDEX(Market_Data!$N$21:$N$613,COUNT(Market_Data!$N$21:$N$613)),1)),""))</f>
        <v/>
      </c>
      <c r="G642" s="145" t="str">
        <f ca="1">IF($A642="","",IFERROR(INDEX(Market_Data!$R$21:$R$613,MATCH($A642,Market_Data!$Q$21:INDEX(Market_Data!$Q$21:$Q$613,COUNT(Market_Data!$Q$21:$Q$613)),1)),""))</f>
        <v/>
      </c>
      <c r="H642" s="145" t="str">
        <f ca="1">IF($A642="","",IFERROR(INDEX(Market_Data!$U$21:$U$613,MATCH($A642,Market_Data!$T$21:INDEX(Market_Data!$T$21:$T$613,COUNT(Market_Data!$T$21:$T$613)),1)),""))</f>
        <v/>
      </c>
      <c r="I642" s="146" t="str">
        <f ca="1">IF($A642="","",IFERROR(INDEX(Query1[Close],MATCH($A642,Query1[Date],1)),""))</f>
        <v/>
      </c>
    </row>
    <row r="643" spans="1:9" x14ac:dyDescent="0.3">
      <c r="A643" s="144" t="str">
        <f t="shared" ca="1" si="11"/>
        <v/>
      </c>
      <c r="B643" s="145" t="str">
        <f ca="1">IF($A643="","",IFERROR(INDEX(Market_Data!$C$21:$C$613,MATCH($A643,Market_Data!$B$21:INDEX(Market_Data!$B$21:$B$613,COUNT(Market_Data!$B$21:$B$613)),1)),""))</f>
        <v/>
      </c>
      <c r="C643" s="145" t="str">
        <f ca="1">IF($A643="","",IFERROR(INDEX(Market_Data!$F$21:$F$613,MATCH($A643,Market_Data!$E$21:INDEX(Market_Data!$E$21:$E$613,COUNT(Market_Data!$E$21:$E$613)),1)),""))</f>
        <v/>
      </c>
      <c r="D643" s="145" t="str">
        <f ca="1">IF($A643="","",IFERROR(INDEX(Market_Data!$I$21:$I$613,MATCH($A643,Market_Data!$H$21:INDEX(Market_Data!$H$21:$H$613,COUNT(Market_Data!$H$21:$H$613)),1)),""))</f>
        <v/>
      </c>
      <c r="E643" s="145" t="str">
        <f ca="1">IF($A643="","",IFERROR(INDEX(Market_Data!$L$21:$L$613,MATCH($A643,Market_Data!$K$21:INDEX(Market_Data!$K$21:$K$613,COUNT(Market_Data!$K$21:$K$613)),1)),""))</f>
        <v/>
      </c>
      <c r="F643" s="145" t="str">
        <f ca="1">IF($A643="","",IFERROR(INDEX(Market_Data!$O$21:$O$613,MATCH($A643,Market_Data!$N$21:INDEX(Market_Data!$N$21:$N$613,COUNT(Market_Data!$N$21:$N$613)),1)),""))</f>
        <v/>
      </c>
      <c r="G643" s="145" t="str">
        <f ca="1">IF($A643="","",IFERROR(INDEX(Market_Data!$R$21:$R$613,MATCH($A643,Market_Data!$Q$21:INDEX(Market_Data!$Q$21:$Q$613,COUNT(Market_Data!$Q$21:$Q$613)),1)),""))</f>
        <v/>
      </c>
      <c r="H643" s="145" t="str">
        <f ca="1">IF($A643="","",IFERROR(INDEX(Market_Data!$U$21:$U$613,MATCH($A643,Market_Data!$T$21:INDEX(Market_Data!$T$21:$T$613,COUNT(Market_Data!$T$21:$T$613)),1)),""))</f>
        <v/>
      </c>
      <c r="I643" s="146" t="str">
        <f ca="1">IF($A643="","",IFERROR(INDEX(Query1[Close],MATCH($A643,Query1[Date],1)),""))</f>
        <v/>
      </c>
    </row>
    <row r="644" spans="1:9" x14ac:dyDescent="0.3">
      <c r="A644" s="144" t="str">
        <f t="shared" ca="1" si="11"/>
        <v/>
      </c>
      <c r="B644" s="145" t="str">
        <f ca="1">IF($A644="","",IFERROR(INDEX(Market_Data!$C$21:$C$613,MATCH($A644,Market_Data!$B$21:INDEX(Market_Data!$B$21:$B$613,COUNT(Market_Data!$B$21:$B$613)),1)),""))</f>
        <v/>
      </c>
      <c r="C644" s="145" t="str">
        <f ca="1">IF($A644="","",IFERROR(INDEX(Market_Data!$F$21:$F$613,MATCH($A644,Market_Data!$E$21:INDEX(Market_Data!$E$21:$E$613,COUNT(Market_Data!$E$21:$E$613)),1)),""))</f>
        <v/>
      </c>
      <c r="D644" s="145" t="str">
        <f ca="1">IF($A644="","",IFERROR(INDEX(Market_Data!$I$21:$I$613,MATCH($A644,Market_Data!$H$21:INDEX(Market_Data!$H$21:$H$613,COUNT(Market_Data!$H$21:$H$613)),1)),""))</f>
        <v/>
      </c>
      <c r="E644" s="145" t="str">
        <f ca="1">IF($A644="","",IFERROR(INDEX(Market_Data!$L$21:$L$613,MATCH($A644,Market_Data!$K$21:INDEX(Market_Data!$K$21:$K$613,COUNT(Market_Data!$K$21:$K$613)),1)),""))</f>
        <v/>
      </c>
      <c r="F644" s="145" t="str">
        <f ca="1">IF($A644="","",IFERROR(INDEX(Market_Data!$O$21:$O$613,MATCH($A644,Market_Data!$N$21:INDEX(Market_Data!$N$21:$N$613,COUNT(Market_Data!$N$21:$N$613)),1)),""))</f>
        <v/>
      </c>
      <c r="G644" s="145" t="str">
        <f ca="1">IF($A644="","",IFERROR(INDEX(Market_Data!$R$21:$R$613,MATCH($A644,Market_Data!$Q$21:INDEX(Market_Data!$Q$21:$Q$613,COUNT(Market_Data!$Q$21:$Q$613)),1)),""))</f>
        <v/>
      </c>
      <c r="H644" s="145" t="str">
        <f ca="1">IF($A644="","",IFERROR(INDEX(Market_Data!$U$21:$U$613,MATCH($A644,Market_Data!$T$21:INDEX(Market_Data!$T$21:$T$613,COUNT(Market_Data!$T$21:$T$613)),1)),""))</f>
        <v/>
      </c>
      <c r="I644" s="146" t="str">
        <f ca="1">IF($A644="","",IFERROR(INDEX(Query1[Close],MATCH($A644,Query1[Date],1)),""))</f>
        <v/>
      </c>
    </row>
    <row r="645" spans="1:9" x14ac:dyDescent="0.3">
      <c r="A645" s="144" t="str">
        <f t="shared" ca="1" si="11"/>
        <v/>
      </c>
      <c r="B645" s="145" t="str">
        <f ca="1">IF($A645="","",IFERROR(INDEX(Market_Data!$C$21:$C$613,MATCH($A645,Market_Data!$B$21:INDEX(Market_Data!$B$21:$B$613,COUNT(Market_Data!$B$21:$B$613)),1)),""))</f>
        <v/>
      </c>
      <c r="C645" s="145" t="str">
        <f ca="1">IF($A645="","",IFERROR(INDEX(Market_Data!$F$21:$F$613,MATCH($A645,Market_Data!$E$21:INDEX(Market_Data!$E$21:$E$613,COUNT(Market_Data!$E$21:$E$613)),1)),""))</f>
        <v/>
      </c>
      <c r="D645" s="145" t="str">
        <f ca="1">IF($A645="","",IFERROR(INDEX(Market_Data!$I$21:$I$613,MATCH($A645,Market_Data!$H$21:INDEX(Market_Data!$H$21:$H$613,COUNT(Market_Data!$H$21:$H$613)),1)),""))</f>
        <v/>
      </c>
      <c r="E645" s="145" t="str">
        <f ca="1">IF($A645="","",IFERROR(INDEX(Market_Data!$L$21:$L$613,MATCH($A645,Market_Data!$K$21:INDEX(Market_Data!$K$21:$K$613,COUNT(Market_Data!$K$21:$K$613)),1)),""))</f>
        <v/>
      </c>
      <c r="F645" s="145" t="str">
        <f ca="1">IF($A645="","",IFERROR(INDEX(Market_Data!$O$21:$O$613,MATCH($A645,Market_Data!$N$21:INDEX(Market_Data!$N$21:$N$613,COUNT(Market_Data!$N$21:$N$613)),1)),""))</f>
        <v/>
      </c>
      <c r="G645" s="145" t="str">
        <f ca="1">IF($A645="","",IFERROR(INDEX(Market_Data!$R$21:$R$613,MATCH($A645,Market_Data!$Q$21:INDEX(Market_Data!$Q$21:$Q$613,COUNT(Market_Data!$Q$21:$Q$613)),1)),""))</f>
        <v/>
      </c>
      <c r="H645" s="145" t="str">
        <f ca="1">IF($A645="","",IFERROR(INDEX(Market_Data!$U$21:$U$613,MATCH($A645,Market_Data!$T$21:INDEX(Market_Data!$T$21:$T$613,COUNT(Market_Data!$T$21:$T$613)),1)),""))</f>
        <v/>
      </c>
      <c r="I645" s="146" t="str">
        <f ca="1">IF($A645="","",IFERROR(INDEX(Query1[Close],MATCH($A645,Query1[Date],1)),""))</f>
        <v/>
      </c>
    </row>
    <row r="646" spans="1:9" x14ac:dyDescent="0.3">
      <c r="A646" s="144" t="str">
        <f t="shared" ref="A646:A709" ca="1" si="12">IF($A645="","",IF($A645+7&lt;=TODAY(),$A645+7,""))</f>
        <v/>
      </c>
      <c r="B646" s="145" t="str">
        <f ca="1">IF($A646="","",IFERROR(INDEX(Market_Data!$C$21:$C$613,MATCH($A646,Market_Data!$B$21:INDEX(Market_Data!$B$21:$B$613,COUNT(Market_Data!$B$21:$B$613)),1)),""))</f>
        <v/>
      </c>
      <c r="C646" s="145" t="str">
        <f ca="1">IF($A646="","",IFERROR(INDEX(Market_Data!$F$21:$F$613,MATCH($A646,Market_Data!$E$21:INDEX(Market_Data!$E$21:$E$613,COUNT(Market_Data!$E$21:$E$613)),1)),""))</f>
        <v/>
      </c>
      <c r="D646" s="145" t="str">
        <f ca="1">IF($A646="","",IFERROR(INDEX(Market_Data!$I$21:$I$613,MATCH($A646,Market_Data!$H$21:INDEX(Market_Data!$H$21:$H$613,COUNT(Market_Data!$H$21:$H$613)),1)),""))</f>
        <v/>
      </c>
      <c r="E646" s="145" t="str">
        <f ca="1">IF($A646="","",IFERROR(INDEX(Market_Data!$L$21:$L$613,MATCH($A646,Market_Data!$K$21:INDEX(Market_Data!$K$21:$K$613,COUNT(Market_Data!$K$21:$K$613)),1)),""))</f>
        <v/>
      </c>
      <c r="F646" s="145" t="str">
        <f ca="1">IF($A646="","",IFERROR(INDEX(Market_Data!$O$21:$O$613,MATCH($A646,Market_Data!$N$21:INDEX(Market_Data!$N$21:$N$613,COUNT(Market_Data!$N$21:$N$613)),1)),""))</f>
        <v/>
      </c>
      <c r="G646" s="145" t="str">
        <f ca="1">IF($A646="","",IFERROR(INDEX(Market_Data!$R$21:$R$613,MATCH($A646,Market_Data!$Q$21:INDEX(Market_Data!$Q$21:$Q$613,COUNT(Market_Data!$Q$21:$Q$613)),1)),""))</f>
        <v/>
      </c>
      <c r="H646" s="145" t="str">
        <f ca="1">IF($A646="","",IFERROR(INDEX(Market_Data!$U$21:$U$613,MATCH($A646,Market_Data!$T$21:INDEX(Market_Data!$T$21:$T$613,COUNT(Market_Data!$T$21:$T$613)),1)),""))</f>
        <v/>
      </c>
      <c r="I646" s="146" t="str">
        <f ca="1">IF($A646="","",IFERROR(INDEX(Query1[Close],MATCH($A646,Query1[Date],1)),""))</f>
        <v/>
      </c>
    </row>
    <row r="647" spans="1:9" x14ac:dyDescent="0.3">
      <c r="A647" s="144" t="str">
        <f t="shared" ca="1" si="12"/>
        <v/>
      </c>
      <c r="B647" s="145" t="str">
        <f ca="1">IF($A647="","",IFERROR(INDEX(Market_Data!$C$21:$C$613,MATCH($A647,Market_Data!$B$21:INDEX(Market_Data!$B$21:$B$613,COUNT(Market_Data!$B$21:$B$613)),1)),""))</f>
        <v/>
      </c>
      <c r="C647" s="145" t="str">
        <f ca="1">IF($A647="","",IFERROR(INDEX(Market_Data!$F$21:$F$613,MATCH($A647,Market_Data!$E$21:INDEX(Market_Data!$E$21:$E$613,COUNT(Market_Data!$E$21:$E$613)),1)),""))</f>
        <v/>
      </c>
      <c r="D647" s="145" t="str">
        <f ca="1">IF($A647="","",IFERROR(INDEX(Market_Data!$I$21:$I$613,MATCH($A647,Market_Data!$H$21:INDEX(Market_Data!$H$21:$H$613,COUNT(Market_Data!$H$21:$H$613)),1)),""))</f>
        <v/>
      </c>
      <c r="E647" s="145" t="str">
        <f ca="1">IF($A647="","",IFERROR(INDEX(Market_Data!$L$21:$L$613,MATCH($A647,Market_Data!$K$21:INDEX(Market_Data!$K$21:$K$613,COUNT(Market_Data!$K$21:$K$613)),1)),""))</f>
        <v/>
      </c>
      <c r="F647" s="145" t="str">
        <f ca="1">IF($A647="","",IFERROR(INDEX(Market_Data!$O$21:$O$613,MATCH($A647,Market_Data!$N$21:INDEX(Market_Data!$N$21:$N$613,COUNT(Market_Data!$N$21:$N$613)),1)),""))</f>
        <v/>
      </c>
      <c r="G647" s="145" t="str">
        <f ca="1">IF($A647="","",IFERROR(INDEX(Market_Data!$R$21:$R$613,MATCH($A647,Market_Data!$Q$21:INDEX(Market_Data!$Q$21:$Q$613,COUNT(Market_Data!$Q$21:$Q$613)),1)),""))</f>
        <v/>
      </c>
      <c r="H647" s="145" t="str">
        <f ca="1">IF($A647="","",IFERROR(INDEX(Market_Data!$U$21:$U$613,MATCH($A647,Market_Data!$T$21:INDEX(Market_Data!$T$21:$T$613,COUNT(Market_Data!$T$21:$T$613)),1)),""))</f>
        <v/>
      </c>
      <c r="I647" s="146" t="str">
        <f ca="1">IF($A647="","",IFERROR(INDEX(Query1[Close],MATCH($A647,Query1[Date],1)),""))</f>
        <v/>
      </c>
    </row>
    <row r="648" spans="1:9" x14ac:dyDescent="0.3">
      <c r="A648" s="144" t="str">
        <f t="shared" ca="1" si="12"/>
        <v/>
      </c>
      <c r="B648" s="145" t="str">
        <f ca="1">IF($A648="","",IFERROR(INDEX(Market_Data!$C$21:$C$613,MATCH($A648,Market_Data!$B$21:INDEX(Market_Data!$B$21:$B$613,COUNT(Market_Data!$B$21:$B$613)),1)),""))</f>
        <v/>
      </c>
      <c r="C648" s="145" t="str">
        <f ca="1">IF($A648="","",IFERROR(INDEX(Market_Data!$F$21:$F$613,MATCH($A648,Market_Data!$E$21:INDEX(Market_Data!$E$21:$E$613,COUNT(Market_Data!$E$21:$E$613)),1)),""))</f>
        <v/>
      </c>
      <c r="D648" s="145" t="str">
        <f ca="1">IF($A648="","",IFERROR(INDEX(Market_Data!$I$21:$I$613,MATCH($A648,Market_Data!$H$21:INDEX(Market_Data!$H$21:$H$613,COUNT(Market_Data!$H$21:$H$613)),1)),""))</f>
        <v/>
      </c>
      <c r="E648" s="145" t="str">
        <f ca="1">IF($A648="","",IFERROR(INDEX(Market_Data!$L$21:$L$613,MATCH($A648,Market_Data!$K$21:INDEX(Market_Data!$K$21:$K$613,COUNT(Market_Data!$K$21:$K$613)),1)),""))</f>
        <v/>
      </c>
      <c r="F648" s="145" t="str">
        <f ca="1">IF($A648="","",IFERROR(INDEX(Market_Data!$O$21:$O$613,MATCH($A648,Market_Data!$N$21:INDEX(Market_Data!$N$21:$N$613,COUNT(Market_Data!$N$21:$N$613)),1)),""))</f>
        <v/>
      </c>
      <c r="G648" s="145" t="str">
        <f ca="1">IF($A648="","",IFERROR(INDEX(Market_Data!$R$21:$R$613,MATCH($A648,Market_Data!$Q$21:INDEX(Market_Data!$Q$21:$Q$613,COUNT(Market_Data!$Q$21:$Q$613)),1)),""))</f>
        <v/>
      </c>
      <c r="H648" s="145" t="str">
        <f ca="1">IF($A648="","",IFERROR(INDEX(Market_Data!$U$21:$U$613,MATCH($A648,Market_Data!$T$21:INDEX(Market_Data!$T$21:$T$613,COUNT(Market_Data!$T$21:$T$613)),1)),""))</f>
        <v/>
      </c>
      <c r="I648" s="146" t="str">
        <f ca="1">IF($A648="","",IFERROR(INDEX(Query1[Close],MATCH($A648,Query1[Date],1)),""))</f>
        <v/>
      </c>
    </row>
    <row r="649" spans="1:9" x14ac:dyDescent="0.3">
      <c r="A649" s="144" t="str">
        <f t="shared" ca="1" si="12"/>
        <v/>
      </c>
      <c r="B649" s="145" t="str">
        <f ca="1">IF($A649="","",IFERROR(INDEX(Market_Data!$C$21:$C$613,MATCH($A649,Market_Data!$B$21:INDEX(Market_Data!$B$21:$B$613,COUNT(Market_Data!$B$21:$B$613)),1)),""))</f>
        <v/>
      </c>
      <c r="C649" s="145" t="str">
        <f ca="1">IF($A649="","",IFERROR(INDEX(Market_Data!$F$21:$F$613,MATCH($A649,Market_Data!$E$21:INDEX(Market_Data!$E$21:$E$613,COUNT(Market_Data!$E$21:$E$613)),1)),""))</f>
        <v/>
      </c>
      <c r="D649" s="145" t="str">
        <f ca="1">IF($A649="","",IFERROR(INDEX(Market_Data!$I$21:$I$613,MATCH($A649,Market_Data!$H$21:INDEX(Market_Data!$H$21:$H$613,COUNT(Market_Data!$H$21:$H$613)),1)),""))</f>
        <v/>
      </c>
      <c r="E649" s="145" t="str">
        <f ca="1">IF($A649="","",IFERROR(INDEX(Market_Data!$L$21:$L$613,MATCH($A649,Market_Data!$K$21:INDEX(Market_Data!$K$21:$K$613,COUNT(Market_Data!$K$21:$K$613)),1)),""))</f>
        <v/>
      </c>
      <c r="F649" s="145" t="str">
        <f ca="1">IF($A649="","",IFERROR(INDEX(Market_Data!$O$21:$O$613,MATCH($A649,Market_Data!$N$21:INDEX(Market_Data!$N$21:$N$613,COUNT(Market_Data!$N$21:$N$613)),1)),""))</f>
        <v/>
      </c>
      <c r="G649" s="145" t="str">
        <f ca="1">IF($A649="","",IFERROR(INDEX(Market_Data!$R$21:$R$613,MATCH($A649,Market_Data!$Q$21:INDEX(Market_Data!$Q$21:$Q$613,COUNT(Market_Data!$Q$21:$Q$613)),1)),""))</f>
        <v/>
      </c>
      <c r="H649" s="145" t="str">
        <f ca="1">IF($A649="","",IFERROR(INDEX(Market_Data!$U$21:$U$613,MATCH($A649,Market_Data!$T$21:INDEX(Market_Data!$T$21:$T$613,COUNT(Market_Data!$T$21:$T$613)),1)),""))</f>
        <v/>
      </c>
      <c r="I649" s="146" t="str">
        <f ca="1">IF($A649="","",IFERROR(INDEX(Query1[Close],MATCH($A649,Query1[Date],1)),""))</f>
        <v/>
      </c>
    </row>
    <row r="650" spans="1:9" x14ac:dyDescent="0.3">
      <c r="A650" s="144" t="str">
        <f t="shared" ca="1" si="12"/>
        <v/>
      </c>
      <c r="B650" s="145" t="str">
        <f ca="1">IF($A650="","",IFERROR(INDEX(Market_Data!$C$21:$C$613,MATCH($A650,Market_Data!$B$21:INDEX(Market_Data!$B$21:$B$613,COUNT(Market_Data!$B$21:$B$613)),1)),""))</f>
        <v/>
      </c>
      <c r="C650" s="145" t="str">
        <f ca="1">IF($A650="","",IFERROR(INDEX(Market_Data!$F$21:$F$613,MATCH($A650,Market_Data!$E$21:INDEX(Market_Data!$E$21:$E$613,COUNT(Market_Data!$E$21:$E$613)),1)),""))</f>
        <v/>
      </c>
      <c r="D650" s="145" t="str">
        <f ca="1">IF($A650="","",IFERROR(INDEX(Market_Data!$I$21:$I$613,MATCH($A650,Market_Data!$H$21:INDEX(Market_Data!$H$21:$H$613,COUNT(Market_Data!$H$21:$H$613)),1)),""))</f>
        <v/>
      </c>
      <c r="E650" s="145" t="str">
        <f ca="1">IF($A650="","",IFERROR(INDEX(Market_Data!$L$21:$L$613,MATCH($A650,Market_Data!$K$21:INDEX(Market_Data!$K$21:$K$613,COUNT(Market_Data!$K$21:$K$613)),1)),""))</f>
        <v/>
      </c>
      <c r="F650" s="145" t="str">
        <f ca="1">IF($A650="","",IFERROR(INDEX(Market_Data!$O$21:$O$613,MATCH($A650,Market_Data!$N$21:INDEX(Market_Data!$N$21:$N$613,COUNT(Market_Data!$N$21:$N$613)),1)),""))</f>
        <v/>
      </c>
      <c r="G650" s="145" t="str">
        <f ca="1">IF($A650="","",IFERROR(INDEX(Market_Data!$R$21:$R$613,MATCH($A650,Market_Data!$Q$21:INDEX(Market_Data!$Q$21:$Q$613,COUNT(Market_Data!$Q$21:$Q$613)),1)),""))</f>
        <v/>
      </c>
      <c r="H650" s="145" t="str">
        <f ca="1">IF($A650="","",IFERROR(INDEX(Market_Data!$U$21:$U$613,MATCH($A650,Market_Data!$T$21:INDEX(Market_Data!$T$21:$T$613,COUNT(Market_Data!$T$21:$T$613)),1)),""))</f>
        <v/>
      </c>
      <c r="I650" s="146" t="str">
        <f ca="1">IF($A650="","",IFERROR(INDEX(Query1[Close],MATCH($A650,Query1[Date],1)),""))</f>
        <v/>
      </c>
    </row>
    <row r="651" spans="1:9" x14ac:dyDescent="0.3">
      <c r="A651" s="144" t="str">
        <f t="shared" ca="1" si="12"/>
        <v/>
      </c>
      <c r="B651" s="145" t="str">
        <f ca="1">IF($A651="","",IFERROR(INDEX(Market_Data!$C$21:$C$613,MATCH($A651,Market_Data!$B$21:INDEX(Market_Data!$B$21:$B$613,COUNT(Market_Data!$B$21:$B$613)),1)),""))</f>
        <v/>
      </c>
      <c r="C651" s="145" t="str">
        <f ca="1">IF($A651="","",IFERROR(INDEX(Market_Data!$F$21:$F$613,MATCH($A651,Market_Data!$E$21:INDEX(Market_Data!$E$21:$E$613,COUNT(Market_Data!$E$21:$E$613)),1)),""))</f>
        <v/>
      </c>
      <c r="D651" s="145" t="str">
        <f ca="1">IF($A651="","",IFERROR(INDEX(Market_Data!$I$21:$I$613,MATCH($A651,Market_Data!$H$21:INDEX(Market_Data!$H$21:$H$613,COUNT(Market_Data!$H$21:$H$613)),1)),""))</f>
        <v/>
      </c>
      <c r="E651" s="145" t="str">
        <f ca="1">IF($A651="","",IFERROR(INDEX(Market_Data!$L$21:$L$613,MATCH($A651,Market_Data!$K$21:INDEX(Market_Data!$K$21:$K$613,COUNT(Market_Data!$K$21:$K$613)),1)),""))</f>
        <v/>
      </c>
      <c r="F651" s="145" t="str">
        <f ca="1">IF($A651="","",IFERROR(INDEX(Market_Data!$O$21:$O$613,MATCH($A651,Market_Data!$N$21:INDEX(Market_Data!$N$21:$N$613,COUNT(Market_Data!$N$21:$N$613)),1)),""))</f>
        <v/>
      </c>
      <c r="G651" s="145" t="str">
        <f ca="1">IF($A651="","",IFERROR(INDEX(Market_Data!$R$21:$R$613,MATCH($A651,Market_Data!$Q$21:INDEX(Market_Data!$Q$21:$Q$613,COUNT(Market_Data!$Q$21:$Q$613)),1)),""))</f>
        <v/>
      </c>
      <c r="H651" s="145" t="str">
        <f ca="1">IF($A651="","",IFERROR(INDEX(Market_Data!$U$21:$U$613,MATCH($A651,Market_Data!$T$21:INDEX(Market_Data!$T$21:$T$613,COUNT(Market_Data!$T$21:$T$613)),1)),""))</f>
        <v/>
      </c>
      <c r="I651" s="146" t="str">
        <f ca="1">IF($A651="","",IFERROR(INDEX(Query1[Close],MATCH($A651,Query1[Date],1)),""))</f>
        <v/>
      </c>
    </row>
    <row r="652" spans="1:9" x14ac:dyDescent="0.3">
      <c r="A652" s="144" t="str">
        <f t="shared" ca="1" si="12"/>
        <v/>
      </c>
      <c r="B652" s="145" t="str">
        <f ca="1">IF($A652="","",IFERROR(INDEX(Market_Data!$C$21:$C$613,MATCH($A652,Market_Data!$B$21:INDEX(Market_Data!$B$21:$B$613,COUNT(Market_Data!$B$21:$B$613)),1)),""))</f>
        <v/>
      </c>
      <c r="C652" s="145" t="str">
        <f ca="1">IF($A652="","",IFERROR(INDEX(Market_Data!$F$21:$F$613,MATCH($A652,Market_Data!$E$21:INDEX(Market_Data!$E$21:$E$613,COUNT(Market_Data!$E$21:$E$613)),1)),""))</f>
        <v/>
      </c>
      <c r="D652" s="145" t="str">
        <f ca="1">IF($A652="","",IFERROR(INDEX(Market_Data!$I$21:$I$613,MATCH($A652,Market_Data!$H$21:INDEX(Market_Data!$H$21:$H$613,COUNT(Market_Data!$H$21:$H$613)),1)),""))</f>
        <v/>
      </c>
      <c r="E652" s="145" t="str">
        <f ca="1">IF($A652="","",IFERROR(INDEX(Market_Data!$L$21:$L$613,MATCH($A652,Market_Data!$K$21:INDEX(Market_Data!$K$21:$K$613,COUNT(Market_Data!$K$21:$K$613)),1)),""))</f>
        <v/>
      </c>
      <c r="F652" s="145" t="str">
        <f ca="1">IF($A652="","",IFERROR(INDEX(Market_Data!$O$21:$O$613,MATCH($A652,Market_Data!$N$21:INDEX(Market_Data!$N$21:$N$613,COUNT(Market_Data!$N$21:$N$613)),1)),""))</f>
        <v/>
      </c>
      <c r="G652" s="145" t="str">
        <f ca="1">IF($A652="","",IFERROR(INDEX(Market_Data!$R$21:$R$613,MATCH($A652,Market_Data!$Q$21:INDEX(Market_Data!$Q$21:$Q$613,COUNT(Market_Data!$Q$21:$Q$613)),1)),""))</f>
        <v/>
      </c>
      <c r="H652" s="145" t="str">
        <f ca="1">IF($A652="","",IFERROR(INDEX(Market_Data!$U$21:$U$613,MATCH($A652,Market_Data!$T$21:INDEX(Market_Data!$T$21:$T$613,COUNT(Market_Data!$T$21:$T$613)),1)),""))</f>
        <v/>
      </c>
      <c r="I652" s="146" t="str">
        <f ca="1">IF($A652="","",IFERROR(INDEX(Query1[Close],MATCH($A652,Query1[Date],1)),""))</f>
        <v/>
      </c>
    </row>
    <row r="653" spans="1:9" x14ac:dyDescent="0.3">
      <c r="A653" s="144" t="str">
        <f t="shared" ca="1" si="12"/>
        <v/>
      </c>
      <c r="B653" s="145" t="str">
        <f ca="1">IF($A653="","",IFERROR(INDEX(Market_Data!$C$21:$C$613,MATCH($A653,Market_Data!$B$21:INDEX(Market_Data!$B$21:$B$613,COUNT(Market_Data!$B$21:$B$613)),1)),""))</f>
        <v/>
      </c>
      <c r="C653" s="145" t="str">
        <f ca="1">IF($A653="","",IFERROR(INDEX(Market_Data!$F$21:$F$613,MATCH($A653,Market_Data!$E$21:INDEX(Market_Data!$E$21:$E$613,COUNT(Market_Data!$E$21:$E$613)),1)),""))</f>
        <v/>
      </c>
      <c r="D653" s="145" t="str">
        <f ca="1">IF($A653="","",IFERROR(INDEX(Market_Data!$I$21:$I$613,MATCH($A653,Market_Data!$H$21:INDEX(Market_Data!$H$21:$H$613,COUNT(Market_Data!$H$21:$H$613)),1)),""))</f>
        <v/>
      </c>
      <c r="E653" s="145" t="str">
        <f ca="1">IF($A653="","",IFERROR(INDEX(Market_Data!$L$21:$L$613,MATCH($A653,Market_Data!$K$21:INDEX(Market_Data!$K$21:$K$613,COUNT(Market_Data!$K$21:$K$613)),1)),""))</f>
        <v/>
      </c>
      <c r="F653" s="145" t="str">
        <f ca="1">IF($A653="","",IFERROR(INDEX(Market_Data!$O$21:$O$613,MATCH($A653,Market_Data!$N$21:INDEX(Market_Data!$N$21:$N$613,COUNT(Market_Data!$N$21:$N$613)),1)),""))</f>
        <v/>
      </c>
      <c r="G653" s="145" t="str">
        <f ca="1">IF($A653="","",IFERROR(INDEX(Market_Data!$R$21:$R$613,MATCH($A653,Market_Data!$Q$21:INDEX(Market_Data!$Q$21:$Q$613,COUNT(Market_Data!$Q$21:$Q$613)),1)),""))</f>
        <v/>
      </c>
      <c r="H653" s="145" t="str">
        <f ca="1">IF($A653="","",IFERROR(INDEX(Market_Data!$U$21:$U$613,MATCH($A653,Market_Data!$T$21:INDEX(Market_Data!$T$21:$T$613,COUNT(Market_Data!$T$21:$T$613)),1)),""))</f>
        <v/>
      </c>
      <c r="I653" s="146" t="str">
        <f ca="1">IF($A653="","",IFERROR(INDEX(Query1[Close],MATCH($A653,Query1[Date],1)),""))</f>
        <v/>
      </c>
    </row>
    <row r="654" spans="1:9" x14ac:dyDescent="0.3">
      <c r="A654" s="144" t="str">
        <f t="shared" ca="1" si="12"/>
        <v/>
      </c>
      <c r="B654" s="145" t="str">
        <f ca="1">IF($A654="","",IFERROR(INDEX(Market_Data!$C$21:$C$613,MATCH($A654,Market_Data!$B$21:INDEX(Market_Data!$B$21:$B$613,COUNT(Market_Data!$B$21:$B$613)),1)),""))</f>
        <v/>
      </c>
      <c r="C654" s="145" t="str">
        <f ca="1">IF($A654="","",IFERROR(INDEX(Market_Data!$F$21:$F$613,MATCH($A654,Market_Data!$E$21:INDEX(Market_Data!$E$21:$E$613,COUNT(Market_Data!$E$21:$E$613)),1)),""))</f>
        <v/>
      </c>
      <c r="D654" s="145" t="str">
        <f ca="1">IF($A654="","",IFERROR(INDEX(Market_Data!$I$21:$I$613,MATCH($A654,Market_Data!$H$21:INDEX(Market_Data!$H$21:$H$613,COUNT(Market_Data!$H$21:$H$613)),1)),""))</f>
        <v/>
      </c>
      <c r="E654" s="145" t="str">
        <f ca="1">IF($A654="","",IFERROR(INDEX(Market_Data!$L$21:$L$613,MATCH($A654,Market_Data!$K$21:INDEX(Market_Data!$K$21:$K$613,COUNT(Market_Data!$K$21:$K$613)),1)),""))</f>
        <v/>
      </c>
      <c r="F654" s="145" t="str">
        <f ca="1">IF($A654="","",IFERROR(INDEX(Market_Data!$O$21:$O$613,MATCH($A654,Market_Data!$N$21:INDEX(Market_Data!$N$21:$N$613,COUNT(Market_Data!$N$21:$N$613)),1)),""))</f>
        <v/>
      </c>
      <c r="G654" s="145" t="str">
        <f ca="1">IF($A654="","",IFERROR(INDEX(Market_Data!$R$21:$R$613,MATCH($A654,Market_Data!$Q$21:INDEX(Market_Data!$Q$21:$Q$613,COUNT(Market_Data!$Q$21:$Q$613)),1)),""))</f>
        <v/>
      </c>
      <c r="H654" s="145" t="str">
        <f ca="1">IF($A654="","",IFERROR(INDEX(Market_Data!$U$21:$U$613,MATCH($A654,Market_Data!$T$21:INDEX(Market_Data!$T$21:$T$613,COUNT(Market_Data!$T$21:$T$613)),1)),""))</f>
        <v/>
      </c>
      <c r="I654" s="146" t="str">
        <f ca="1">IF($A654="","",IFERROR(INDEX(Query1[Close],MATCH($A654,Query1[Date],1)),""))</f>
        <v/>
      </c>
    </row>
    <row r="655" spans="1:9" x14ac:dyDescent="0.3">
      <c r="A655" s="144" t="str">
        <f t="shared" ca="1" si="12"/>
        <v/>
      </c>
      <c r="B655" s="145" t="str">
        <f ca="1">IF($A655="","",IFERROR(INDEX(Market_Data!$C$21:$C$613,MATCH($A655,Market_Data!$B$21:INDEX(Market_Data!$B$21:$B$613,COUNT(Market_Data!$B$21:$B$613)),1)),""))</f>
        <v/>
      </c>
      <c r="C655" s="145" t="str">
        <f ca="1">IF($A655="","",IFERROR(INDEX(Market_Data!$F$21:$F$613,MATCH($A655,Market_Data!$E$21:INDEX(Market_Data!$E$21:$E$613,COUNT(Market_Data!$E$21:$E$613)),1)),""))</f>
        <v/>
      </c>
      <c r="D655" s="145" t="str">
        <f ca="1">IF($A655="","",IFERROR(INDEX(Market_Data!$I$21:$I$613,MATCH($A655,Market_Data!$H$21:INDEX(Market_Data!$H$21:$H$613,COUNT(Market_Data!$H$21:$H$613)),1)),""))</f>
        <v/>
      </c>
      <c r="E655" s="145" t="str">
        <f ca="1">IF($A655="","",IFERROR(INDEX(Market_Data!$L$21:$L$613,MATCH($A655,Market_Data!$K$21:INDEX(Market_Data!$K$21:$K$613,COUNT(Market_Data!$K$21:$K$613)),1)),""))</f>
        <v/>
      </c>
      <c r="F655" s="145" t="str">
        <f ca="1">IF($A655="","",IFERROR(INDEX(Market_Data!$O$21:$O$613,MATCH($A655,Market_Data!$N$21:INDEX(Market_Data!$N$21:$N$613,COUNT(Market_Data!$N$21:$N$613)),1)),""))</f>
        <v/>
      </c>
      <c r="G655" s="145" t="str">
        <f ca="1">IF($A655="","",IFERROR(INDEX(Market_Data!$R$21:$R$613,MATCH($A655,Market_Data!$Q$21:INDEX(Market_Data!$Q$21:$Q$613,COUNT(Market_Data!$Q$21:$Q$613)),1)),""))</f>
        <v/>
      </c>
      <c r="H655" s="145" t="str">
        <f ca="1">IF($A655="","",IFERROR(INDEX(Market_Data!$U$21:$U$613,MATCH($A655,Market_Data!$T$21:INDEX(Market_Data!$T$21:$T$613,COUNT(Market_Data!$T$21:$T$613)),1)),""))</f>
        <v/>
      </c>
      <c r="I655" s="146" t="str">
        <f ca="1">IF($A655="","",IFERROR(INDEX(Query1[Close],MATCH($A655,Query1[Date],1)),""))</f>
        <v/>
      </c>
    </row>
    <row r="656" spans="1:9" x14ac:dyDescent="0.3">
      <c r="A656" s="144" t="str">
        <f t="shared" ca="1" si="12"/>
        <v/>
      </c>
      <c r="B656" s="145" t="str">
        <f ca="1">IF($A656="","",IFERROR(INDEX(Market_Data!$C$21:$C$613,MATCH($A656,Market_Data!$B$21:INDEX(Market_Data!$B$21:$B$613,COUNT(Market_Data!$B$21:$B$613)),1)),""))</f>
        <v/>
      </c>
      <c r="C656" s="145" t="str">
        <f ca="1">IF($A656="","",IFERROR(INDEX(Market_Data!$F$21:$F$613,MATCH($A656,Market_Data!$E$21:INDEX(Market_Data!$E$21:$E$613,COUNT(Market_Data!$E$21:$E$613)),1)),""))</f>
        <v/>
      </c>
      <c r="D656" s="145" t="str">
        <f ca="1">IF($A656="","",IFERROR(INDEX(Market_Data!$I$21:$I$613,MATCH($A656,Market_Data!$H$21:INDEX(Market_Data!$H$21:$H$613,COUNT(Market_Data!$H$21:$H$613)),1)),""))</f>
        <v/>
      </c>
      <c r="E656" s="145" t="str">
        <f ca="1">IF($A656="","",IFERROR(INDEX(Market_Data!$L$21:$L$613,MATCH($A656,Market_Data!$K$21:INDEX(Market_Data!$K$21:$K$613,COUNT(Market_Data!$K$21:$K$613)),1)),""))</f>
        <v/>
      </c>
      <c r="F656" s="145" t="str">
        <f ca="1">IF($A656="","",IFERROR(INDEX(Market_Data!$O$21:$O$613,MATCH($A656,Market_Data!$N$21:INDEX(Market_Data!$N$21:$N$613,COUNT(Market_Data!$N$21:$N$613)),1)),""))</f>
        <v/>
      </c>
      <c r="G656" s="145" t="str">
        <f ca="1">IF($A656="","",IFERROR(INDEX(Market_Data!$R$21:$R$613,MATCH($A656,Market_Data!$Q$21:INDEX(Market_Data!$Q$21:$Q$613,COUNT(Market_Data!$Q$21:$Q$613)),1)),""))</f>
        <v/>
      </c>
      <c r="H656" s="145" t="str">
        <f ca="1">IF($A656="","",IFERROR(INDEX(Market_Data!$U$21:$U$613,MATCH($A656,Market_Data!$T$21:INDEX(Market_Data!$T$21:$T$613,COUNT(Market_Data!$T$21:$T$613)),1)),""))</f>
        <v/>
      </c>
      <c r="I656" s="146" t="str">
        <f ca="1">IF($A656="","",IFERROR(INDEX(Query1[Close],MATCH($A656,Query1[Date],1)),""))</f>
        <v/>
      </c>
    </row>
    <row r="657" spans="1:9" x14ac:dyDescent="0.3">
      <c r="A657" s="144" t="str">
        <f t="shared" ca="1" si="12"/>
        <v/>
      </c>
      <c r="B657" s="145" t="str">
        <f ca="1">IF($A657="","",IFERROR(INDEX(Market_Data!$C$21:$C$613,MATCH($A657,Market_Data!$B$21:INDEX(Market_Data!$B$21:$B$613,COUNT(Market_Data!$B$21:$B$613)),1)),""))</f>
        <v/>
      </c>
      <c r="C657" s="145" t="str">
        <f ca="1">IF($A657="","",IFERROR(INDEX(Market_Data!$F$21:$F$613,MATCH($A657,Market_Data!$E$21:INDEX(Market_Data!$E$21:$E$613,COUNT(Market_Data!$E$21:$E$613)),1)),""))</f>
        <v/>
      </c>
      <c r="D657" s="145" t="str">
        <f ca="1">IF($A657="","",IFERROR(INDEX(Market_Data!$I$21:$I$613,MATCH($A657,Market_Data!$H$21:INDEX(Market_Data!$H$21:$H$613,COUNT(Market_Data!$H$21:$H$613)),1)),""))</f>
        <v/>
      </c>
      <c r="E657" s="145" t="str">
        <f ca="1">IF($A657="","",IFERROR(INDEX(Market_Data!$L$21:$L$613,MATCH($A657,Market_Data!$K$21:INDEX(Market_Data!$K$21:$K$613,COUNT(Market_Data!$K$21:$K$613)),1)),""))</f>
        <v/>
      </c>
      <c r="F657" s="145" t="str">
        <f ca="1">IF($A657="","",IFERROR(INDEX(Market_Data!$O$21:$O$613,MATCH($A657,Market_Data!$N$21:INDEX(Market_Data!$N$21:$N$613,COUNT(Market_Data!$N$21:$N$613)),1)),""))</f>
        <v/>
      </c>
      <c r="G657" s="145" t="str">
        <f ca="1">IF($A657="","",IFERROR(INDEX(Market_Data!$R$21:$R$613,MATCH($A657,Market_Data!$Q$21:INDEX(Market_Data!$Q$21:$Q$613,COUNT(Market_Data!$Q$21:$Q$613)),1)),""))</f>
        <v/>
      </c>
      <c r="H657" s="145" t="str">
        <f ca="1">IF($A657="","",IFERROR(INDEX(Market_Data!$U$21:$U$613,MATCH($A657,Market_Data!$T$21:INDEX(Market_Data!$T$21:$T$613,COUNT(Market_Data!$T$21:$T$613)),1)),""))</f>
        <v/>
      </c>
      <c r="I657" s="146" t="str">
        <f ca="1">IF($A657="","",IFERROR(INDEX(Query1[Close],MATCH($A657,Query1[Date],1)),""))</f>
        <v/>
      </c>
    </row>
    <row r="658" spans="1:9" x14ac:dyDescent="0.3">
      <c r="A658" s="144" t="str">
        <f t="shared" ca="1" si="12"/>
        <v/>
      </c>
      <c r="B658" s="145" t="str">
        <f ca="1">IF($A658="","",IFERROR(INDEX(Market_Data!$C$21:$C$613,MATCH($A658,Market_Data!$B$21:INDEX(Market_Data!$B$21:$B$613,COUNT(Market_Data!$B$21:$B$613)),1)),""))</f>
        <v/>
      </c>
      <c r="C658" s="145" t="str">
        <f ca="1">IF($A658="","",IFERROR(INDEX(Market_Data!$F$21:$F$613,MATCH($A658,Market_Data!$E$21:INDEX(Market_Data!$E$21:$E$613,COUNT(Market_Data!$E$21:$E$613)),1)),""))</f>
        <v/>
      </c>
      <c r="D658" s="145" t="str">
        <f ca="1">IF($A658="","",IFERROR(INDEX(Market_Data!$I$21:$I$613,MATCH($A658,Market_Data!$H$21:INDEX(Market_Data!$H$21:$H$613,COUNT(Market_Data!$H$21:$H$613)),1)),""))</f>
        <v/>
      </c>
      <c r="E658" s="145" t="str">
        <f ca="1">IF($A658="","",IFERROR(INDEX(Market_Data!$L$21:$L$613,MATCH($A658,Market_Data!$K$21:INDEX(Market_Data!$K$21:$K$613,COUNT(Market_Data!$K$21:$K$613)),1)),""))</f>
        <v/>
      </c>
      <c r="F658" s="145" t="str">
        <f ca="1">IF($A658="","",IFERROR(INDEX(Market_Data!$O$21:$O$613,MATCH($A658,Market_Data!$N$21:INDEX(Market_Data!$N$21:$N$613,COUNT(Market_Data!$N$21:$N$613)),1)),""))</f>
        <v/>
      </c>
      <c r="G658" s="145" t="str">
        <f ca="1">IF($A658="","",IFERROR(INDEX(Market_Data!$R$21:$R$613,MATCH($A658,Market_Data!$Q$21:INDEX(Market_Data!$Q$21:$Q$613,COUNT(Market_Data!$Q$21:$Q$613)),1)),""))</f>
        <v/>
      </c>
      <c r="H658" s="145" t="str">
        <f ca="1">IF($A658="","",IFERROR(INDEX(Market_Data!$U$21:$U$613,MATCH($A658,Market_Data!$T$21:INDEX(Market_Data!$T$21:$T$613,COUNT(Market_Data!$T$21:$T$613)),1)),""))</f>
        <v/>
      </c>
      <c r="I658" s="146" t="str">
        <f ca="1">IF($A658="","",IFERROR(INDEX(Query1[Close],MATCH($A658,Query1[Date],1)),""))</f>
        <v/>
      </c>
    </row>
    <row r="659" spans="1:9" x14ac:dyDescent="0.3">
      <c r="A659" s="144" t="str">
        <f t="shared" ca="1" si="12"/>
        <v/>
      </c>
      <c r="B659" s="145" t="str">
        <f ca="1">IF($A659="","",IFERROR(INDEX(Market_Data!$C$21:$C$613,MATCH($A659,Market_Data!$B$21:INDEX(Market_Data!$B$21:$B$613,COUNT(Market_Data!$B$21:$B$613)),1)),""))</f>
        <v/>
      </c>
      <c r="C659" s="145" t="str">
        <f ca="1">IF($A659="","",IFERROR(INDEX(Market_Data!$F$21:$F$613,MATCH($A659,Market_Data!$E$21:INDEX(Market_Data!$E$21:$E$613,COUNT(Market_Data!$E$21:$E$613)),1)),""))</f>
        <v/>
      </c>
      <c r="D659" s="145" t="str">
        <f ca="1">IF($A659="","",IFERROR(INDEX(Market_Data!$I$21:$I$613,MATCH($A659,Market_Data!$H$21:INDEX(Market_Data!$H$21:$H$613,COUNT(Market_Data!$H$21:$H$613)),1)),""))</f>
        <v/>
      </c>
      <c r="E659" s="145" t="str">
        <f ca="1">IF($A659="","",IFERROR(INDEX(Market_Data!$L$21:$L$613,MATCH($A659,Market_Data!$K$21:INDEX(Market_Data!$K$21:$K$613,COUNT(Market_Data!$K$21:$K$613)),1)),""))</f>
        <v/>
      </c>
      <c r="F659" s="145" t="str">
        <f ca="1">IF($A659="","",IFERROR(INDEX(Market_Data!$O$21:$O$613,MATCH($A659,Market_Data!$N$21:INDEX(Market_Data!$N$21:$N$613,COUNT(Market_Data!$N$21:$N$613)),1)),""))</f>
        <v/>
      </c>
      <c r="G659" s="145" t="str">
        <f ca="1">IF($A659="","",IFERROR(INDEX(Market_Data!$R$21:$R$613,MATCH($A659,Market_Data!$Q$21:INDEX(Market_Data!$Q$21:$Q$613,COUNT(Market_Data!$Q$21:$Q$613)),1)),""))</f>
        <v/>
      </c>
      <c r="H659" s="145" t="str">
        <f ca="1">IF($A659="","",IFERROR(INDEX(Market_Data!$U$21:$U$613,MATCH($A659,Market_Data!$T$21:INDEX(Market_Data!$T$21:$T$613,COUNT(Market_Data!$T$21:$T$613)),1)),""))</f>
        <v/>
      </c>
      <c r="I659" s="146" t="str">
        <f ca="1">IF($A659="","",IFERROR(INDEX(Query1[Close],MATCH($A659,Query1[Date],1)),""))</f>
        <v/>
      </c>
    </row>
    <row r="660" spans="1:9" x14ac:dyDescent="0.3">
      <c r="A660" s="144" t="str">
        <f t="shared" ca="1" si="12"/>
        <v/>
      </c>
      <c r="B660" s="145" t="str">
        <f ca="1">IF($A660="","",IFERROR(INDEX(Market_Data!$C$21:$C$613,MATCH($A660,Market_Data!$B$21:INDEX(Market_Data!$B$21:$B$613,COUNT(Market_Data!$B$21:$B$613)),1)),""))</f>
        <v/>
      </c>
      <c r="C660" s="145" t="str">
        <f ca="1">IF($A660="","",IFERROR(INDEX(Market_Data!$F$21:$F$613,MATCH($A660,Market_Data!$E$21:INDEX(Market_Data!$E$21:$E$613,COUNT(Market_Data!$E$21:$E$613)),1)),""))</f>
        <v/>
      </c>
      <c r="D660" s="145" t="str">
        <f ca="1">IF($A660="","",IFERROR(INDEX(Market_Data!$I$21:$I$613,MATCH($A660,Market_Data!$H$21:INDEX(Market_Data!$H$21:$H$613,COUNT(Market_Data!$H$21:$H$613)),1)),""))</f>
        <v/>
      </c>
      <c r="E660" s="145" t="str">
        <f ca="1">IF($A660="","",IFERROR(INDEX(Market_Data!$L$21:$L$613,MATCH($A660,Market_Data!$K$21:INDEX(Market_Data!$K$21:$K$613,COUNT(Market_Data!$K$21:$K$613)),1)),""))</f>
        <v/>
      </c>
      <c r="F660" s="145" t="str">
        <f ca="1">IF($A660="","",IFERROR(INDEX(Market_Data!$O$21:$O$613,MATCH($A660,Market_Data!$N$21:INDEX(Market_Data!$N$21:$N$613,COUNT(Market_Data!$N$21:$N$613)),1)),""))</f>
        <v/>
      </c>
      <c r="G660" s="145" t="str">
        <f ca="1">IF($A660="","",IFERROR(INDEX(Market_Data!$R$21:$R$613,MATCH($A660,Market_Data!$Q$21:INDEX(Market_Data!$Q$21:$Q$613,COUNT(Market_Data!$Q$21:$Q$613)),1)),""))</f>
        <v/>
      </c>
      <c r="H660" s="145" t="str">
        <f ca="1">IF($A660="","",IFERROR(INDEX(Market_Data!$U$21:$U$613,MATCH($A660,Market_Data!$T$21:INDEX(Market_Data!$T$21:$T$613,COUNT(Market_Data!$T$21:$T$613)),1)),""))</f>
        <v/>
      </c>
      <c r="I660" s="146" t="str">
        <f ca="1">IF($A660="","",IFERROR(INDEX(Query1[Close],MATCH($A660,Query1[Date],1)),""))</f>
        <v/>
      </c>
    </row>
    <row r="661" spans="1:9" x14ac:dyDescent="0.3">
      <c r="A661" s="144" t="str">
        <f t="shared" ca="1" si="12"/>
        <v/>
      </c>
      <c r="B661" s="145" t="str">
        <f ca="1">IF($A661="","",IFERROR(INDEX(Market_Data!$C$21:$C$613,MATCH($A661,Market_Data!$B$21:INDEX(Market_Data!$B$21:$B$613,COUNT(Market_Data!$B$21:$B$613)),1)),""))</f>
        <v/>
      </c>
      <c r="C661" s="145" t="str">
        <f ca="1">IF($A661="","",IFERROR(INDEX(Market_Data!$F$21:$F$613,MATCH($A661,Market_Data!$E$21:INDEX(Market_Data!$E$21:$E$613,COUNT(Market_Data!$E$21:$E$613)),1)),""))</f>
        <v/>
      </c>
      <c r="D661" s="145" t="str">
        <f ca="1">IF($A661="","",IFERROR(INDEX(Market_Data!$I$21:$I$613,MATCH($A661,Market_Data!$H$21:INDEX(Market_Data!$H$21:$H$613,COUNT(Market_Data!$H$21:$H$613)),1)),""))</f>
        <v/>
      </c>
      <c r="E661" s="145" t="str">
        <f ca="1">IF($A661="","",IFERROR(INDEX(Market_Data!$L$21:$L$613,MATCH($A661,Market_Data!$K$21:INDEX(Market_Data!$K$21:$K$613,COUNT(Market_Data!$K$21:$K$613)),1)),""))</f>
        <v/>
      </c>
      <c r="F661" s="145" t="str">
        <f ca="1">IF($A661="","",IFERROR(INDEX(Market_Data!$O$21:$O$613,MATCH($A661,Market_Data!$N$21:INDEX(Market_Data!$N$21:$N$613,COUNT(Market_Data!$N$21:$N$613)),1)),""))</f>
        <v/>
      </c>
      <c r="G661" s="145" t="str">
        <f ca="1">IF($A661="","",IFERROR(INDEX(Market_Data!$R$21:$R$613,MATCH($A661,Market_Data!$Q$21:INDEX(Market_Data!$Q$21:$Q$613,COUNT(Market_Data!$Q$21:$Q$613)),1)),""))</f>
        <v/>
      </c>
      <c r="H661" s="145" t="str">
        <f ca="1">IF($A661="","",IFERROR(INDEX(Market_Data!$U$21:$U$613,MATCH($A661,Market_Data!$T$21:INDEX(Market_Data!$T$21:$T$613,COUNT(Market_Data!$T$21:$T$613)),1)),""))</f>
        <v/>
      </c>
      <c r="I661" s="146" t="str">
        <f ca="1">IF($A661="","",IFERROR(INDEX(Query1[Close],MATCH($A661,Query1[Date],1)),""))</f>
        <v/>
      </c>
    </row>
    <row r="662" spans="1:9" x14ac:dyDescent="0.3">
      <c r="A662" s="144" t="str">
        <f t="shared" ca="1" si="12"/>
        <v/>
      </c>
      <c r="B662" s="145" t="str">
        <f ca="1">IF($A662="","",IFERROR(INDEX(Market_Data!$C$21:$C$613,MATCH($A662,Market_Data!$B$21:INDEX(Market_Data!$B$21:$B$613,COUNT(Market_Data!$B$21:$B$613)),1)),""))</f>
        <v/>
      </c>
      <c r="C662" s="145" t="str">
        <f ca="1">IF($A662="","",IFERROR(INDEX(Market_Data!$F$21:$F$613,MATCH($A662,Market_Data!$E$21:INDEX(Market_Data!$E$21:$E$613,COUNT(Market_Data!$E$21:$E$613)),1)),""))</f>
        <v/>
      </c>
      <c r="D662" s="145" t="str">
        <f ca="1">IF($A662="","",IFERROR(INDEX(Market_Data!$I$21:$I$613,MATCH($A662,Market_Data!$H$21:INDEX(Market_Data!$H$21:$H$613,COUNT(Market_Data!$H$21:$H$613)),1)),""))</f>
        <v/>
      </c>
      <c r="E662" s="145" t="str">
        <f ca="1">IF($A662="","",IFERROR(INDEX(Market_Data!$L$21:$L$613,MATCH($A662,Market_Data!$K$21:INDEX(Market_Data!$K$21:$K$613,COUNT(Market_Data!$K$21:$K$613)),1)),""))</f>
        <v/>
      </c>
      <c r="F662" s="145" t="str">
        <f ca="1">IF($A662="","",IFERROR(INDEX(Market_Data!$O$21:$O$613,MATCH($A662,Market_Data!$N$21:INDEX(Market_Data!$N$21:$N$613,COUNT(Market_Data!$N$21:$N$613)),1)),""))</f>
        <v/>
      </c>
      <c r="G662" s="145" t="str">
        <f ca="1">IF($A662="","",IFERROR(INDEX(Market_Data!$R$21:$R$613,MATCH($A662,Market_Data!$Q$21:INDEX(Market_Data!$Q$21:$Q$613,COUNT(Market_Data!$Q$21:$Q$613)),1)),""))</f>
        <v/>
      </c>
      <c r="H662" s="145" t="str">
        <f ca="1">IF($A662="","",IFERROR(INDEX(Market_Data!$U$21:$U$613,MATCH($A662,Market_Data!$T$21:INDEX(Market_Data!$T$21:$T$613,COUNT(Market_Data!$T$21:$T$613)),1)),""))</f>
        <v/>
      </c>
      <c r="I662" s="146" t="str">
        <f ca="1">IF($A662="","",IFERROR(INDEX(Query1[Close],MATCH($A662,Query1[Date],1)),""))</f>
        <v/>
      </c>
    </row>
    <row r="663" spans="1:9" x14ac:dyDescent="0.3">
      <c r="A663" s="144" t="str">
        <f t="shared" ca="1" si="12"/>
        <v/>
      </c>
      <c r="B663" s="145" t="str">
        <f ca="1">IF($A663="","",IFERROR(INDEX(Market_Data!$C$21:$C$613,MATCH($A663,Market_Data!$B$21:INDEX(Market_Data!$B$21:$B$613,COUNT(Market_Data!$B$21:$B$613)),1)),""))</f>
        <v/>
      </c>
      <c r="C663" s="145" t="str">
        <f ca="1">IF($A663="","",IFERROR(INDEX(Market_Data!$F$21:$F$613,MATCH($A663,Market_Data!$E$21:INDEX(Market_Data!$E$21:$E$613,COUNT(Market_Data!$E$21:$E$613)),1)),""))</f>
        <v/>
      </c>
      <c r="D663" s="145" t="str">
        <f ca="1">IF($A663="","",IFERROR(INDEX(Market_Data!$I$21:$I$613,MATCH($A663,Market_Data!$H$21:INDEX(Market_Data!$H$21:$H$613,COUNT(Market_Data!$H$21:$H$613)),1)),""))</f>
        <v/>
      </c>
      <c r="E663" s="145" t="str">
        <f ca="1">IF($A663="","",IFERROR(INDEX(Market_Data!$L$21:$L$613,MATCH($A663,Market_Data!$K$21:INDEX(Market_Data!$K$21:$K$613,COUNT(Market_Data!$K$21:$K$613)),1)),""))</f>
        <v/>
      </c>
      <c r="F663" s="145" t="str">
        <f ca="1">IF($A663="","",IFERROR(INDEX(Market_Data!$O$21:$O$613,MATCH($A663,Market_Data!$N$21:INDEX(Market_Data!$N$21:$N$613,COUNT(Market_Data!$N$21:$N$613)),1)),""))</f>
        <v/>
      </c>
      <c r="G663" s="145" t="str">
        <f ca="1">IF($A663="","",IFERROR(INDEX(Market_Data!$R$21:$R$613,MATCH($A663,Market_Data!$Q$21:INDEX(Market_Data!$Q$21:$Q$613,COUNT(Market_Data!$Q$21:$Q$613)),1)),""))</f>
        <v/>
      </c>
      <c r="H663" s="145" t="str">
        <f ca="1">IF($A663="","",IFERROR(INDEX(Market_Data!$U$21:$U$613,MATCH($A663,Market_Data!$T$21:INDEX(Market_Data!$T$21:$T$613,COUNT(Market_Data!$T$21:$T$613)),1)),""))</f>
        <v/>
      </c>
      <c r="I663" s="146" t="str">
        <f ca="1">IF($A663="","",IFERROR(INDEX(Query1[Close],MATCH($A663,Query1[Date],1)),""))</f>
        <v/>
      </c>
    </row>
    <row r="664" spans="1:9" x14ac:dyDescent="0.3">
      <c r="A664" s="144" t="str">
        <f t="shared" ca="1" si="12"/>
        <v/>
      </c>
      <c r="B664" s="145" t="str">
        <f ca="1">IF($A664="","",IFERROR(INDEX(Market_Data!$C$21:$C$613,MATCH($A664,Market_Data!$B$21:INDEX(Market_Data!$B$21:$B$613,COUNT(Market_Data!$B$21:$B$613)),1)),""))</f>
        <v/>
      </c>
      <c r="C664" s="145" t="str">
        <f ca="1">IF($A664="","",IFERROR(INDEX(Market_Data!$F$21:$F$613,MATCH($A664,Market_Data!$E$21:INDEX(Market_Data!$E$21:$E$613,COUNT(Market_Data!$E$21:$E$613)),1)),""))</f>
        <v/>
      </c>
      <c r="D664" s="145" t="str">
        <f ca="1">IF($A664="","",IFERROR(INDEX(Market_Data!$I$21:$I$613,MATCH($A664,Market_Data!$H$21:INDEX(Market_Data!$H$21:$H$613,COUNT(Market_Data!$H$21:$H$613)),1)),""))</f>
        <v/>
      </c>
      <c r="E664" s="145" t="str">
        <f ca="1">IF($A664="","",IFERROR(INDEX(Market_Data!$L$21:$L$613,MATCH($A664,Market_Data!$K$21:INDEX(Market_Data!$K$21:$K$613,COUNT(Market_Data!$K$21:$K$613)),1)),""))</f>
        <v/>
      </c>
      <c r="F664" s="145" t="str">
        <f ca="1">IF($A664="","",IFERROR(INDEX(Market_Data!$O$21:$O$613,MATCH($A664,Market_Data!$N$21:INDEX(Market_Data!$N$21:$N$613,COUNT(Market_Data!$N$21:$N$613)),1)),""))</f>
        <v/>
      </c>
      <c r="G664" s="145" t="str">
        <f ca="1">IF($A664="","",IFERROR(INDEX(Market_Data!$R$21:$R$613,MATCH($A664,Market_Data!$Q$21:INDEX(Market_Data!$Q$21:$Q$613,COUNT(Market_Data!$Q$21:$Q$613)),1)),""))</f>
        <v/>
      </c>
      <c r="H664" s="145" t="str">
        <f ca="1">IF($A664="","",IFERROR(INDEX(Market_Data!$U$21:$U$613,MATCH($A664,Market_Data!$T$21:INDEX(Market_Data!$T$21:$T$613,COUNT(Market_Data!$T$21:$T$613)),1)),""))</f>
        <v/>
      </c>
      <c r="I664" s="146" t="str">
        <f ca="1">IF($A664="","",IFERROR(INDEX(Query1[Close],MATCH($A664,Query1[Date],1)),""))</f>
        <v/>
      </c>
    </row>
    <row r="665" spans="1:9" x14ac:dyDescent="0.3">
      <c r="A665" s="144" t="str">
        <f t="shared" ca="1" si="12"/>
        <v/>
      </c>
      <c r="B665" s="145" t="str">
        <f ca="1">IF($A665="","",IFERROR(INDEX(Market_Data!$C$21:$C$613,MATCH($A665,Market_Data!$B$21:INDEX(Market_Data!$B$21:$B$613,COUNT(Market_Data!$B$21:$B$613)),1)),""))</f>
        <v/>
      </c>
      <c r="C665" s="145" t="str">
        <f ca="1">IF($A665="","",IFERROR(INDEX(Market_Data!$F$21:$F$613,MATCH($A665,Market_Data!$E$21:INDEX(Market_Data!$E$21:$E$613,COUNT(Market_Data!$E$21:$E$613)),1)),""))</f>
        <v/>
      </c>
      <c r="D665" s="145" t="str">
        <f ca="1">IF($A665="","",IFERROR(INDEX(Market_Data!$I$21:$I$613,MATCH($A665,Market_Data!$H$21:INDEX(Market_Data!$H$21:$H$613,COUNT(Market_Data!$H$21:$H$613)),1)),""))</f>
        <v/>
      </c>
      <c r="E665" s="145" t="str">
        <f ca="1">IF($A665="","",IFERROR(INDEX(Market_Data!$L$21:$L$613,MATCH($A665,Market_Data!$K$21:INDEX(Market_Data!$K$21:$K$613,COUNT(Market_Data!$K$21:$K$613)),1)),""))</f>
        <v/>
      </c>
      <c r="F665" s="145" t="str">
        <f ca="1">IF($A665="","",IFERROR(INDEX(Market_Data!$O$21:$O$613,MATCH($A665,Market_Data!$N$21:INDEX(Market_Data!$N$21:$N$613,COUNT(Market_Data!$N$21:$N$613)),1)),""))</f>
        <v/>
      </c>
      <c r="G665" s="145" t="str">
        <f ca="1">IF($A665="","",IFERROR(INDEX(Market_Data!$R$21:$R$613,MATCH($A665,Market_Data!$Q$21:INDEX(Market_Data!$Q$21:$Q$613,COUNT(Market_Data!$Q$21:$Q$613)),1)),""))</f>
        <v/>
      </c>
      <c r="H665" s="145" t="str">
        <f ca="1">IF($A665="","",IFERROR(INDEX(Market_Data!$U$21:$U$613,MATCH($A665,Market_Data!$T$21:INDEX(Market_Data!$T$21:$T$613,COUNT(Market_Data!$T$21:$T$613)),1)),""))</f>
        <v/>
      </c>
      <c r="I665" s="146" t="str">
        <f ca="1">IF($A665="","",IFERROR(INDEX(Query1[Close],MATCH($A665,Query1[Date],1)),""))</f>
        <v/>
      </c>
    </row>
    <row r="666" spans="1:9" x14ac:dyDescent="0.3">
      <c r="A666" s="144" t="str">
        <f t="shared" ca="1" si="12"/>
        <v/>
      </c>
      <c r="B666" s="145" t="str">
        <f ca="1">IF($A666="","",IFERROR(INDEX(Market_Data!$C$21:$C$613,MATCH($A666,Market_Data!$B$21:INDEX(Market_Data!$B$21:$B$613,COUNT(Market_Data!$B$21:$B$613)),1)),""))</f>
        <v/>
      </c>
      <c r="C666" s="145" t="str">
        <f ca="1">IF($A666="","",IFERROR(INDEX(Market_Data!$F$21:$F$613,MATCH($A666,Market_Data!$E$21:INDEX(Market_Data!$E$21:$E$613,COUNT(Market_Data!$E$21:$E$613)),1)),""))</f>
        <v/>
      </c>
      <c r="D666" s="145" t="str">
        <f ca="1">IF($A666="","",IFERROR(INDEX(Market_Data!$I$21:$I$613,MATCH($A666,Market_Data!$H$21:INDEX(Market_Data!$H$21:$H$613,COUNT(Market_Data!$H$21:$H$613)),1)),""))</f>
        <v/>
      </c>
      <c r="E666" s="145" t="str">
        <f ca="1">IF($A666="","",IFERROR(INDEX(Market_Data!$L$21:$L$613,MATCH($A666,Market_Data!$K$21:INDEX(Market_Data!$K$21:$K$613,COUNT(Market_Data!$K$21:$K$613)),1)),""))</f>
        <v/>
      </c>
      <c r="F666" s="145" t="str">
        <f ca="1">IF($A666="","",IFERROR(INDEX(Market_Data!$O$21:$O$613,MATCH($A666,Market_Data!$N$21:INDEX(Market_Data!$N$21:$N$613,COUNT(Market_Data!$N$21:$N$613)),1)),""))</f>
        <v/>
      </c>
      <c r="G666" s="145" t="str">
        <f ca="1">IF($A666="","",IFERROR(INDEX(Market_Data!$R$21:$R$613,MATCH($A666,Market_Data!$Q$21:INDEX(Market_Data!$Q$21:$Q$613,COUNT(Market_Data!$Q$21:$Q$613)),1)),""))</f>
        <v/>
      </c>
      <c r="H666" s="145" t="str">
        <f ca="1">IF($A666="","",IFERROR(INDEX(Market_Data!$U$21:$U$613,MATCH($A666,Market_Data!$T$21:INDEX(Market_Data!$T$21:$T$613,COUNT(Market_Data!$T$21:$T$613)),1)),""))</f>
        <v/>
      </c>
      <c r="I666" s="146" t="str">
        <f ca="1">IF($A666="","",IFERROR(INDEX(Query1[Close],MATCH($A666,Query1[Date],1)),""))</f>
        <v/>
      </c>
    </row>
    <row r="667" spans="1:9" x14ac:dyDescent="0.3">
      <c r="A667" s="144" t="str">
        <f t="shared" ca="1" si="12"/>
        <v/>
      </c>
      <c r="B667" s="145" t="str">
        <f ca="1">IF($A667="","",IFERROR(INDEX(Market_Data!$C$21:$C$613,MATCH($A667,Market_Data!$B$21:INDEX(Market_Data!$B$21:$B$613,COUNT(Market_Data!$B$21:$B$613)),1)),""))</f>
        <v/>
      </c>
      <c r="C667" s="145" t="str">
        <f ca="1">IF($A667="","",IFERROR(INDEX(Market_Data!$F$21:$F$613,MATCH($A667,Market_Data!$E$21:INDEX(Market_Data!$E$21:$E$613,COUNT(Market_Data!$E$21:$E$613)),1)),""))</f>
        <v/>
      </c>
      <c r="D667" s="145" t="str">
        <f ca="1">IF($A667="","",IFERROR(INDEX(Market_Data!$I$21:$I$613,MATCH($A667,Market_Data!$H$21:INDEX(Market_Data!$H$21:$H$613,COUNT(Market_Data!$H$21:$H$613)),1)),""))</f>
        <v/>
      </c>
      <c r="E667" s="145" t="str">
        <f ca="1">IF($A667="","",IFERROR(INDEX(Market_Data!$L$21:$L$613,MATCH($A667,Market_Data!$K$21:INDEX(Market_Data!$K$21:$K$613,COUNT(Market_Data!$K$21:$K$613)),1)),""))</f>
        <v/>
      </c>
      <c r="F667" s="145" t="str">
        <f ca="1">IF($A667="","",IFERROR(INDEX(Market_Data!$O$21:$O$613,MATCH($A667,Market_Data!$N$21:INDEX(Market_Data!$N$21:$N$613,COUNT(Market_Data!$N$21:$N$613)),1)),""))</f>
        <v/>
      </c>
      <c r="G667" s="145" t="str">
        <f ca="1">IF($A667="","",IFERROR(INDEX(Market_Data!$R$21:$R$613,MATCH($A667,Market_Data!$Q$21:INDEX(Market_Data!$Q$21:$Q$613,COUNT(Market_Data!$Q$21:$Q$613)),1)),""))</f>
        <v/>
      </c>
      <c r="H667" s="145" t="str">
        <f ca="1">IF($A667="","",IFERROR(INDEX(Market_Data!$U$21:$U$613,MATCH($A667,Market_Data!$T$21:INDEX(Market_Data!$T$21:$T$613,COUNT(Market_Data!$T$21:$T$613)),1)),""))</f>
        <v/>
      </c>
      <c r="I667" s="146" t="str">
        <f ca="1">IF($A667="","",IFERROR(INDEX(Query1[Close],MATCH($A667,Query1[Date],1)),""))</f>
        <v/>
      </c>
    </row>
    <row r="668" spans="1:9" x14ac:dyDescent="0.3">
      <c r="A668" s="144" t="str">
        <f t="shared" ca="1" si="12"/>
        <v/>
      </c>
      <c r="B668" s="145" t="str">
        <f ca="1">IF($A668="","",IFERROR(INDEX(Market_Data!$C$21:$C$613,MATCH($A668,Market_Data!$B$21:INDEX(Market_Data!$B$21:$B$613,COUNT(Market_Data!$B$21:$B$613)),1)),""))</f>
        <v/>
      </c>
      <c r="C668" s="145" t="str">
        <f ca="1">IF($A668="","",IFERROR(INDEX(Market_Data!$F$21:$F$613,MATCH($A668,Market_Data!$E$21:INDEX(Market_Data!$E$21:$E$613,COUNT(Market_Data!$E$21:$E$613)),1)),""))</f>
        <v/>
      </c>
      <c r="D668" s="145" t="str">
        <f ca="1">IF($A668="","",IFERROR(INDEX(Market_Data!$I$21:$I$613,MATCH($A668,Market_Data!$H$21:INDEX(Market_Data!$H$21:$H$613,COUNT(Market_Data!$H$21:$H$613)),1)),""))</f>
        <v/>
      </c>
      <c r="E668" s="145" t="str">
        <f ca="1">IF($A668="","",IFERROR(INDEX(Market_Data!$L$21:$L$613,MATCH($A668,Market_Data!$K$21:INDEX(Market_Data!$K$21:$K$613,COUNT(Market_Data!$K$21:$K$613)),1)),""))</f>
        <v/>
      </c>
      <c r="F668" s="145" t="str">
        <f ca="1">IF($A668="","",IFERROR(INDEX(Market_Data!$O$21:$O$613,MATCH($A668,Market_Data!$N$21:INDEX(Market_Data!$N$21:$N$613,COUNT(Market_Data!$N$21:$N$613)),1)),""))</f>
        <v/>
      </c>
      <c r="G668" s="145" t="str">
        <f ca="1">IF($A668="","",IFERROR(INDEX(Market_Data!$R$21:$R$613,MATCH($A668,Market_Data!$Q$21:INDEX(Market_Data!$Q$21:$Q$613,COUNT(Market_Data!$Q$21:$Q$613)),1)),""))</f>
        <v/>
      </c>
      <c r="H668" s="145" t="str">
        <f ca="1">IF($A668="","",IFERROR(INDEX(Market_Data!$U$21:$U$613,MATCH($A668,Market_Data!$T$21:INDEX(Market_Data!$T$21:$T$613,COUNT(Market_Data!$T$21:$T$613)),1)),""))</f>
        <v/>
      </c>
      <c r="I668" s="146" t="str">
        <f ca="1">IF($A668="","",IFERROR(INDEX(Query1[Close],MATCH($A668,Query1[Date],1)),""))</f>
        <v/>
      </c>
    </row>
    <row r="669" spans="1:9" x14ac:dyDescent="0.3">
      <c r="A669" s="144" t="str">
        <f t="shared" ca="1" si="12"/>
        <v/>
      </c>
      <c r="B669" s="145" t="str">
        <f ca="1">IF($A669="","",IFERROR(INDEX(Market_Data!$C$21:$C$613,MATCH($A669,Market_Data!$B$21:INDEX(Market_Data!$B$21:$B$613,COUNT(Market_Data!$B$21:$B$613)),1)),""))</f>
        <v/>
      </c>
      <c r="C669" s="145" t="str">
        <f ca="1">IF($A669="","",IFERROR(INDEX(Market_Data!$F$21:$F$613,MATCH($A669,Market_Data!$E$21:INDEX(Market_Data!$E$21:$E$613,COUNT(Market_Data!$E$21:$E$613)),1)),""))</f>
        <v/>
      </c>
      <c r="D669" s="145" t="str">
        <f ca="1">IF($A669="","",IFERROR(INDEX(Market_Data!$I$21:$I$613,MATCH($A669,Market_Data!$H$21:INDEX(Market_Data!$H$21:$H$613,COUNT(Market_Data!$H$21:$H$613)),1)),""))</f>
        <v/>
      </c>
      <c r="E669" s="145" t="str">
        <f ca="1">IF($A669="","",IFERROR(INDEX(Market_Data!$L$21:$L$613,MATCH($A669,Market_Data!$K$21:INDEX(Market_Data!$K$21:$K$613,COUNT(Market_Data!$K$21:$K$613)),1)),""))</f>
        <v/>
      </c>
      <c r="F669" s="145" t="str">
        <f ca="1">IF($A669="","",IFERROR(INDEX(Market_Data!$O$21:$O$613,MATCH($A669,Market_Data!$N$21:INDEX(Market_Data!$N$21:$N$613,COUNT(Market_Data!$N$21:$N$613)),1)),""))</f>
        <v/>
      </c>
      <c r="G669" s="145" t="str">
        <f ca="1">IF($A669="","",IFERROR(INDEX(Market_Data!$R$21:$R$613,MATCH($A669,Market_Data!$Q$21:INDEX(Market_Data!$Q$21:$Q$613,COUNT(Market_Data!$Q$21:$Q$613)),1)),""))</f>
        <v/>
      </c>
      <c r="H669" s="145" t="str">
        <f ca="1">IF($A669="","",IFERROR(INDEX(Market_Data!$U$21:$U$613,MATCH($A669,Market_Data!$T$21:INDEX(Market_Data!$T$21:$T$613,COUNT(Market_Data!$T$21:$T$613)),1)),""))</f>
        <v/>
      </c>
      <c r="I669" s="146" t="str">
        <f ca="1">IF($A669="","",IFERROR(INDEX(Query1[Close],MATCH($A669,Query1[Date],1)),""))</f>
        <v/>
      </c>
    </row>
    <row r="670" spans="1:9" x14ac:dyDescent="0.3">
      <c r="A670" s="144" t="str">
        <f t="shared" ca="1" si="12"/>
        <v/>
      </c>
      <c r="B670" s="145" t="str">
        <f ca="1">IF($A670="","",IFERROR(INDEX(Market_Data!$C$21:$C$613,MATCH($A670,Market_Data!$B$21:INDEX(Market_Data!$B$21:$B$613,COUNT(Market_Data!$B$21:$B$613)),1)),""))</f>
        <v/>
      </c>
      <c r="C670" s="145" t="str">
        <f ca="1">IF($A670="","",IFERROR(INDEX(Market_Data!$F$21:$F$613,MATCH($A670,Market_Data!$E$21:INDEX(Market_Data!$E$21:$E$613,COUNT(Market_Data!$E$21:$E$613)),1)),""))</f>
        <v/>
      </c>
      <c r="D670" s="145" t="str">
        <f ca="1">IF($A670="","",IFERROR(INDEX(Market_Data!$I$21:$I$613,MATCH($A670,Market_Data!$H$21:INDEX(Market_Data!$H$21:$H$613,COUNT(Market_Data!$H$21:$H$613)),1)),""))</f>
        <v/>
      </c>
      <c r="E670" s="145" t="str">
        <f ca="1">IF($A670="","",IFERROR(INDEX(Market_Data!$L$21:$L$613,MATCH($A670,Market_Data!$K$21:INDEX(Market_Data!$K$21:$K$613,COUNT(Market_Data!$K$21:$K$613)),1)),""))</f>
        <v/>
      </c>
      <c r="F670" s="145" t="str">
        <f ca="1">IF($A670="","",IFERROR(INDEX(Market_Data!$O$21:$O$613,MATCH($A670,Market_Data!$N$21:INDEX(Market_Data!$N$21:$N$613,COUNT(Market_Data!$N$21:$N$613)),1)),""))</f>
        <v/>
      </c>
      <c r="G670" s="145" t="str">
        <f ca="1">IF($A670="","",IFERROR(INDEX(Market_Data!$R$21:$R$613,MATCH($A670,Market_Data!$Q$21:INDEX(Market_Data!$Q$21:$Q$613,COUNT(Market_Data!$Q$21:$Q$613)),1)),""))</f>
        <v/>
      </c>
      <c r="H670" s="145" t="str">
        <f ca="1">IF($A670="","",IFERROR(INDEX(Market_Data!$U$21:$U$613,MATCH($A670,Market_Data!$T$21:INDEX(Market_Data!$T$21:$T$613,COUNT(Market_Data!$T$21:$T$613)),1)),""))</f>
        <v/>
      </c>
      <c r="I670" s="146" t="str">
        <f ca="1">IF($A670="","",IFERROR(INDEX(Query1[Close],MATCH($A670,Query1[Date],1)),""))</f>
        <v/>
      </c>
    </row>
    <row r="671" spans="1:9" x14ac:dyDescent="0.3">
      <c r="A671" s="144" t="str">
        <f t="shared" ca="1" si="12"/>
        <v/>
      </c>
      <c r="B671" s="145" t="str">
        <f ca="1">IF($A671="","",IFERROR(INDEX(Market_Data!$C$21:$C$613,MATCH($A671,Market_Data!$B$21:INDEX(Market_Data!$B$21:$B$613,COUNT(Market_Data!$B$21:$B$613)),1)),""))</f>
        <v/>
      </c>
      <c r="C671" s="145" t="str">
        <f ca="1">IF($A671="","",IFERROR(INDEX(Market_Data!$F$21:$F$613,MATCH($A671,Market_Data!$E$21:INDEX(Market_Data!$E$21:$E$613,COUNT(Market_Data!$E$21:$E$613)),1)),""))</f>
        <v/>
      </c>
      <c r="D671" s="145" t="str">
        <f ca="1">IF($A671="","",IFERROR(INDEX(Market_Data!$I$21:$I$613,MATCH($A671,Market_Data!$H$21:INDEX(Market_Data!$H$21:$H$613,COUNT(Market_Data!$H$21:$H$613)),1)),""))</f>
        <v/>
      </c>
      <c r="E671" s="145" t="str">
        <f ca="1">IF($A671="","",IFERROR(INDEX(Market_Data!$L$21:$L$613,MATCH($A671,Market_Data!$K$21:INDEX(Market_Data!$K$21:$K$613,COUNT(Market_Data!$K$21:$K$613)),1)),""))</f>
        <v/>
      </c>
      <c r="F671" s="145" t="str">
        <f ca="1">IF($A671="","",IFERROR(INDEX(Market_Data!$O$21:$O$613,MATCH($A671,Market_Data!$N$21:INDEX(Market_Data!$N$21:$N$613,COUNT(Market_Data!$N$21:$N$613)),1)),""))</f>
        <v/>
      </c>
      <c r="G671" s="145" t="str">
        <f ca="1">IF($A671="","",IFERROR(INDEX(Market_Data!$R$21:$R$613,MATCH($A671,Market_Data!$Q$21:INDEX(Market_Data!$Q$21:$Q$613,COUNT(Market_Data!$Q$21:$Q$613)),1)),""))</f>
        <v/>
      </c>
      <c r="H671" s="145" t="str">
        <f ca="1">IF($A671="","",IFERROR(INDEX(Market_Data!$U$21:$U$613,MATCH($A671,Market_Data!$T$21:INDEX(Market_Data!$T$21:$T$613,COUNT(Market_Data!$T$21:$T$613)),1)),""))</f>
        <v/>
      </c>
      <c r="I671" s="146" t="str">
        <f ca="1">IF($A671="","",IFERROR(INDEX(Query1[Close],MATCH($A671,Query1[Date],1)),""))</f>
        <v/>
      </c>
    </row>
    <row r="672" spans="1:9" x14ac:dyDescent="0.3">
      <c r="A672" s="144" t="str">
        <f t="shared" ca="1" si="12"/>
        <v/>
      </c>
      <c r="B672" s="145" t="str">
        <f ca="1">IF($A672="","",IFERROR(INDEX(Market_Data!$C$21:$C$613,MATCH($A672,Market_Data!$B$21:INDEX(Market_Data!$B$21:$B$613,COUNT(Market_Data!$B$21:$B$613)),1)),""))</f>
        <v/>
      </c>
      <c r="C672" s="145" t="str">
        <f ca="1">IF($A672="","",IFERROR(INDEX(Market_Data!$F$21:$F$613,MATCH($A672,Market_Data!$E$21:INDEX(Market_Data!$E$21:$E$613,COUNT(Market_Data!$E$21:$E$613)),1)),""))</f>
        <v/>
      </c>
      <c r="D672" s="145" t="str">
        <f ca="1">IF($A672="","",IFERROR(INDEX(Market_Data!$I$21:$I$613,MATCH($A672,Market_Data!$H$21:INDEX(Market_Data!$H$21:$H$613,COUNT(Market_Data!$H$21:$H$613)),1)),""))</f>
        <v/>
      </c>
      <c r="E672" s="145" t="str">
        <f ca="1">IF($A672="","",IFERROR(INDEX(Market_Data!$L$21:$L$613,MATCH($A672,Market_Data!$K$21:INDEX(Market_Data!$K$21:$K$613,COUNT(Market_Data!$K$21:$K$613)),1)),""))</f>
        <v/>
      </c>
      <c r="F672" s="145" t="str">
        <f ca="1">IF($A672="","",IFERROR(INDEX(Market_Data!$O$21:$O$613,MATCH($A672,Market_Data!$N$21:INDEX(Market_Data!$N$21:$N$613,COUNT(Market_Data!$N$21:$N$613)),1)),""))</f>
        <v/>
      </c>
      <c r="G672" s="145" t="str">
        <f ca="1">IF($A672="","",IFERROR(INDEX(Market_Data!$R$21:$R$613,MATCH($A672,Market_Data!$Q$21:INDEX(Market_Data!$Q$21:$Q$613,COUNT(Market_Data!$Q$21:$Q$613)),1)),""))</f>
        <v/>
      </c>
      <c r="H672" s="145" t="str">
        <f ca="1">IF($A672="","",IFERROR(INDEX(Market_Data!$U$21:$U$613,MATCH($A672,Market_Data!$T$21:INDEX(Market_Data!$T$21:$T$613,COUNT(Market_Data!$T$21:$T$613)),1)),""))</f>
        <v/>
      </c>
      <c r="I672" s="146" t="str">
        <f ca="1">IF($A672="","",IFERROR(INDEX(Query1[Close],MATCH($A672,Query1[Date],1)),""))</f>
        <v/>
      </c>
    </row>
    <row r="673" spans="1:9" x14ac:dyDescent="0.3">
      <c r="A673" s="144" t="str">
        <f t="shared" ca="1" si="12"/>
        <v/>
      </c>
      <c r="B673" s="145" t="str">
        <f ca="1">IF($A673="","",IFERROR(INDEX(Market_Data!$C$21:$C$613,MATCH($A673,Market_Data!$B$21:INDEX(Market_Data!$B$21:$B$613,COUNT(Market_Data!$B$21:$B$613)),1)),""))</f>
        <v/>
      </c>
      <c r="C673" s="145" t="str">
        <f ca="1">IF($A673="","",IFERROR(INDEX(Market_Data!$F$21:$F$613,MATCH($A673,Market_Data!$E$21:INDEX(Market_Data!$E$21:$E$613,COUNT(Market_Data!$E$21:$E$613)),1)),""))</f>
        <v/>
      </c>
      <c r="D673" s="145" t="str">
        <f ca="1">IF($A673="","",IFERROR(INDEX(Market_Data!$I$21:$I$613,MATCH($A673,Market_Data!$H$21:INDEX(Market_Data!$H$21:$H$613,COUNT(Market_Data!$H$21:$H$613)),1)),""))</f>
        <v/>
      </c>
      <c r="E673" s="145" t="str">
        <f ca="1">IF($A673="","",IFERROR(INDEX(Market_Data!$L$21:$L$613,MATCH($A673,Market_Data!$K$21:INDEX(Market_Data!$K$21:$K$613,COUNT(Market_Data!$K$21:$K$613)),1)),""))</f>
        <v/>
      </c>
      <c r="F673" s="145" t="str">
        <f ca="1">IF($A673="","",IFERROR(INDEX(Market_Data!$O$21:$O$613,MATCH($A673,Market_Data!$N$21:INDEX(Market_Data!$N$21:$N$613,COUNT(Market_Data!$N$21:$N$613)),1)),""))</f>
        <v/>
      </c>
      <c r="G673" s="145" t="str">
        <f ca="1">IF($A673="","",IFERROR(INDEX(Market_Data!$R$21:$R$613,MATCH($A673,Market_Data!$Q$21:INDEX(Market_Data!$Q$21:$Q$613,COUNT(Market_Data!$Q$21:$Q$613)),1)),""))</f>
        <v/>
      </c>
      <c r="H673" s="145" t="str">
        <f ca="1">IF($A673="","",IFERROR(INDEX(Market_Data!$U$21:$U$613,MATCH($A673,Market_Data!$T$21:INDEX(Market_Data!$T$21:$T$613,COUNT(Market_Data!$T$21:$T$613)),1)),""))</f>
        <v/>
      </c>
      <c r="I673" s="146" t="str">
        <f ca="1">IF($A673="","",IFERROR(INDEX(Query1[Close],MATCH($A673,Query1[Date],1)),""))</f>
        <v/>
      </c>
    </row>
    <row r="674" spans="1:9" x14ac:dyDescent="0.3">
      <c r="A674" s="144" t="str">
        <f t="shared" ca="1" si="12"/>
        <v/>
      </c>
      <c r="B674" s="145" t="str">
        <f ca="1">IF($A674="","",IFERROR(INDEX(Market_Data!$C$21:$C$613,MATCH($A674,Market_Data!$B$21:INDEX(Market_Data!$B$21:$B$613,COUNT(Market_Data!$B$21:$B$613)),1)),""))</f>
        <v/>
      </c>
      <c r="C674" s="145" t="str">
        <f ca="1">IF($A674="","",IFERROR(INDEX(Market_Data!$F$21:$F$613,MATCH($A674,Market_Data!$E$21:INDEX(Market_Data!$E$21:$E$613,COUNT(Market_Data!$E$21:$E$613)),1)),""))</f>
        <v/>
      </c>
      <c r="D674" s="145" t="str">
        <f ca="1">IF($A674="","",IFERROR(INDEX(Market_Data!$I$21:$I$613,MATCH($A674,Market_Data!$H$21:INDEX(Market_Data!$H$21:$H$613,COUNT(Market_Data!$H$21:$H$613)),1)),""))</f>
        <v/>
      </c>
      <c r="E674" s="145" t="str">
        <f ca="1">IF($A674="","",IFERROR(INDEX(Market_Data!$L$21:$L$613,MATCH($A674,Market_Data!$K$21:INDEX(Market_Data!$K$21:$K$613,COUNT(Market_Data!$K$21:$K$613)),1)),""))</f>
        <v/>
      </c>
      <c r="F674" s="145" t="str">
        <f ca="1">IF($A674="","",IFERROR(INDEX(Market_Data!$O$21:$O$613,MATCH($A674,Market_Data!$N$21:INDEX(Market_Data!$N$21:$N$613,COUNT(Market_Data!$N$21:$N$613)),1)),""))</f>
        <v/>
      </c>
      <c r="G674" s="145" t="str">
        <f ca="1">IF($A674="","",IFERROR(INDEX(Market_Data!$R$21:$R$613,MATCH($A674,Market_Data!$Q$21:INDEX(Market_Data!$Q$21:$Q$613,COUNT(Market_Data!$Q$21:$Q$613)),1)),""))</f>
        <v/>
      </c>
      <c r="H674" s="145" t="str">
        <f ca="1">IF($A674="","",IFERROR(INDEX(Market_Data!$U$21:$U$613,MATCH($A674,Market_Data!$T$21:INDEX(Market_Data!$T$21:$T$613,COUNT(Market_Data!$T$21:$T$613)),1)),""))</f>
        <v/>
      </c>
      <c r="I674" s="146" t="str">
        <f ca="1">IF($A674="","",IFERROR(INDEX(Query1[Close],MATCH($A674,Query1[Date],1)),""))</f>
        <v/>
      </c>
    </row>
    <row r="675" spans="1:9" x14ac:dyDescent="0.3">
      <c r="A675" s="144" t="str">
        <f t="shared" ca="1" si="12"/>
        <v/>
      </c>
      <c r="B675" s="145" t="str">
        <f ca="1">IF($A675="","",IFERROR(INDEX(Market_Data!$C$21:$C$613,MATCH($A675,Market_Data!$B$21:INDEX(Market_Data!$B$21:$B$613,COUNT(Market_Data!$B$21:$B$613)),1)),""))</f>
        <v/>
      </c>
      <c r="C675" s="145" t="str">
        <f ca="1">IF($A675="","",IFERROR(INDEX(Market_Data!$F$21:$F$613,MATCH($A675,Market_Data!$E$21:INDEX(Market_Data!$E$21:$E$613,COUNT(Market_Data!$E$21:$E$613)),1)),""))</f>
        <v/>
      </c>
      <c r="D675" s="145" t="str">
        <f ca="1">IF($A675="","",IFERROR(INDEX(Market_Data!$I$21:$I$613,MATCH($A675,Market_Data!$H$21:INDEX(Market_Data!$H$21:$H$613,COUNT(Market_Data!$H$21:$H$613)),1)),""))</f>
        <v/>
      </c>
      <c r="E675" s="145" t="str">
        <f ca="1">IF($A675="","",IFERROR(INDEX(Market_Data!$L$21:$L$613,MATCH($A675,Market_Data!$K$21:INDEX(Market_Data!$K$21:$K$613,COUNT(Market_Data!$K$21:$K$613)),1)),""))</f>
        <v/>
      </c>
      <c r="F675" s="145" t="str">
        <f ca="1">IF($A675="","",IFERROR(INDEX(Market_Data!$O$21:$O$613,MATCH($A675,Market_Data!$N$21:INDEX(Market_Data!$N$21:$N$613,COUNT(Market_Data!$N$21:$N$613)),1)),""))</f>
        <v/>
      </c>
      <c r="G675" s="145" t="str">
        <f ca="1">IF($A675="","",IFERROR(INDEX(Market_Data!$R$21:$R$613,MATCH($A675,Market_Data!$Q$21:INDEX(Market_Data!$Q$21:$Q$613,COUNT(Market_Data!$Q$21:$Q$613)),1)),""))</f>
        <v/>
      </c>
      <c r="H675" s="145" t="str">
        <f ca="1">IF($A675="","",IFERROR(INDEX(Market_Data!$U$21:$U$613,MATCH($A675,Market_Data!$T$21:INDEX(Market_Data!$T$21:$T$613,COUNT(Market_Data!$T$21:$T$613)),1)),""))</f>
        <v/>
      </c>
      <c r="I675" s="146" t="str">
        <f ca="1">IF($A675="","",IFERROR(INDEX(Query1[Close],MATCH($A675,Query1[Date],1)),""))</f>
        <v/>
      </c>
    </row>
    <row r="676" spans="1:9" x14ac:dyDescent="0.3">
      <c r="A676" s="144" t="str">
        <f t="shared" ca="1" si="12"/>
        <v/>
      </c>
      <c r="B676" s="145" t="str">
        <f ca="1">IF($A676="","",IFERROR(INDEX(Market_Data!$C$21:$C$613,MATCH($A676,Market_Data!$B$21:INDEX(Market_Data!$B$21:$B$613,COUNT(Market_Data!$B$21:$B$613)),1)),""))</f>
        <v/>
      </c>
      <c r="C676" s="145" t="str">
        <f ca="1">IF($A676="","",IFERROR(INDEX(Market_Data!$F$21:$F$613,MATCH($A676,Market_Data!$E$21:INDEX(Market_Data!$E$21:$E$613,COUNT(Market_Data!$E$21:$E$613)),1)),""))</f>
        <v/>
      </c>
      <c r="D676" s="145" t="str">
        <f ca="1">IF($A676="","",IFERROR(INDEX(Market_Data!$I$21:$I$613,MATCH($A676,Market_Data!$H$21:INDEX(Market_Data!$H$21:$H$613,COUNT(Market_Data!$H$21:$H$613)),1)),""))</f>
        <v/>
      </c>
      <c r="E676" s="145" t="str">
        <f ca="1">IF($A676="","",IFERROR(INDEX(Market_Data!$L$21:$L$613,MATCH($A676,Market_Data!$K$21:INDEX(Market_Data!$K$21:$K$613,COUNT(Market_Data!$K$21:$K$613)),1)),""))</f>
        <v/>
      </c>
      <c r="F676" s="145" t="str">
        <f ca="1">IF($A676="","",IFERROR(INDEX(Market_Data!$O$21:$O$613,MATCH($A676,Market_Data!$N$21:INDEX(Market_Data!$N$21:$N$613,COUNT(Market_Data!$N$21:$N$613)),1)),""))</f>
        <v/>
      </c>
      <c r="G676" s="145" t="str">
        <f ca="1">IF($A676="","",IFERROR(INDEX(Market_Data!$R$21:$R$613,MATCH($A676,Market_Data!$Q$21:INDEX(Market_Data!$Q$21:$Q$613,COUNT(Market_Data!$Q$21:$Q$613)),1)),""))</f>
        <v/>
      </c>
      <c r="H676" s="145" t="str">
        <f ca="1">IF($A676="","",IFERROR(INDEX(Market_Data!$U$21:$U$613,MATCH($A676,Market_Data!$T$21:INDEX(Market_Data!$T$21:$T$613,COUNT(Market_Data!$T$21:$T$613)),1)),""))</f>
        <v/>
      </c>
      <c r="I676" s="146" t="str">
        <f ca="1">IF($A676="","",IFERROR(INDEX(Query1[Close],MATCH($A676,Query1[Date],1)),""))</f>
        <v/>
      </c>
    </row>
    <row r="677" spans="1:9" x14ac:dyDescent="0.3">
      <c r="A677" s="144" t="str">
        <f t="shared" ca="1" si="12"/>
        <v/>
      </c>
      <c r="B677" s="145" t="str">
        <f ca="1">IF($A677="","",IFERROR(INDEX(Market_Data!$C$21:$C$613,MATCH($A677,Market_Data!$B$21:INDEX(Market_Data!$B$21:$B$613,COUNT(Market_Data!$B$21:$B$613)),1)),""))</f>
        <v/>
      </c>
      <c r="C677" s="145" t="str">
        <f ca="1">IF($A677="","",IFERROR(INDEX(Market_Data!$F$21:$F$613,MATCH($A677,Market_Data!$E$21:INDEX(Market_Data!$E$21:$E$613,COUNT(Market_Data!$E$21:$E$613)),1)),""))</f>
        <v/>
      </c>
      <c r="D677" s="145" t="str">
        <f ca="1">IF($A677="","",IFERROR(INDEX(Market_Data!$I$21:$I$613,MATCH($A677,Market_Data!$H$21:INDEX(Market_Data!$H$21:$H$613,COUNT(Market_Data!$H$21:$H$613)),1)),""))</f>
        <v/>
      </c>
      <c r="E677" s="145" t="str">
        <f ca="1">IF($A677="","",IFERROR(INDEX(Market_Data!$L$21:$L$613,MATCH($A677,Market_Data!$K$21:INDEX(Market_Data!$K$21:$K$613,COUNT(Market_Data!$K$21:$K$613)),1)),""))</f>
        <v/>
      </c>
      <c r="F677" s="145" t="str">
        <f ca="1">IF($A677="","",IFERROR(INDEX(Market_Data!$O$21:$O$613,MATCH($A677,Market_Data!$N$21:INDEX(Market_Data!$N$21:$N$613,COUNT(Market_Data!$N$21:$N$613)),1)),""))</f>
        <v/>
      </c>
      <c r="G677" s="145" t="str">
        <f ca="1">IF($A677="","",IFERROR(INDEX(Market_Data!$R$21:$R$613,MATCH($A677,Market_Data!$Q$21:INDEX(Market_Data!$Q$21:$Q$613,COUNT(Market_Data!$Q$21:$Q$613)),1)),""))</f>
        <v/>
      </c>
      <c r="H677" s="145" t="str">
        <f ca="1">IF($A677="","",IFERROR(INDEX(Market_Data!$U$21:$U$613,MATCH($A677,Market_Data!$T$21:INDEX(Market_Data!$T$21:$T$613,COUNT(Market_Data!$T$21:$T$613)),1)),""))</f>
        <v/>
      </c>
      <c r="I677" s="146" t="str">
        <f ca="1">IF($A677="","",IFERROR(INDEX(Query1[Close],MATCH($A677,Query1[Date],1)),""))</f>
        <v/>
      </c>
    </row>
    <row r="678" spans="1:9" x14ac:dyDescent="0.3">
      <c r="A678" s="144" t="str">
        <f t="shared" ca="1" si="12"/>
        <v/>
      </c>
      <c r="B678" s="145" t="str">
        <f ca="1">IF($A678="","",IFERROR(INDEX(Market_Data!$C$21:$C$613,MATCH($A678,Market_Data!$B$21:INDEX(Market_Data!$B$21:$B$613,COUNT(Market_Data!$B$21:$B$613)),1)),""))</f>
        <v/>
      </c>
      <c r="C678" s="145" t="str">
        <f ca="1">IF($A678="","",IFERROR(INDEX(Market_Data!$F$21:$F$613,MATCH($A678,Market_Data!$E$21:INDEX(Market_Data!$E$21:$E$613,COUNT(Market_Data!$E$21:$E$613)),1)),""))</f>
        <v/>
      </c>
      <c r="D678" s="145" t="str">
        <f ca="1">IF($A678="","",IFERROR(INDEX(Market_Data!$I$21:$I$613,MATCH($A678,Market_Data!$H$21:INDEX(Market_Data!$H$21:$H$613,COUNT(Market_Data!$H$21:$H$613)),1)),""))</f>
        <v/>
      </c>
      <c r="E678" s="145" t="str">
        <f ca="1">IF($A678="","",IFERROR(INDEX(Market_Data!$L$21:$L$613,MATCH($A678,Market_Data!$K$21:INDEX(Market_Data!$K$21:$K$613,COUNT(Market_Data!$K$21:$K$613)),1)),""))</f>
        <v/>
      </c>
      <c r="F678" s="145" t="str">
        <f ca="1">IF($A678="","",IFERROR(INDEX(Market_Data!$O$21:$O$613,MATCH($A678,Market_Data!$N$21:INDEX(Market_Data!$N$21:$N$613,COUNT(Market_Data!$N$21:$N$613)),1)),""))</f>
        <v/>
      </c>
      <c r="G678" s="145" t="str">
        <f ca="1">IF($A678="","",IFERROR(INDEX(Market_Data!$R$21:$R$613,MATCH($A678,Market_Data!$Q$21:INDEX(Market_Data!$Q$21:$Q$613,COUNT(Market_Data!$Q$21:$Q$613)),1)),""))</f>
        <v/>
      </c>
      <c r="H678" s="145" t="str">
        <f ca="1">IF($A678="","",IFERROR(INDEX(Market_Data!$U$21:$U$613,MATCH($A678,Market_Data!$T$21:INDEX(Market_Data!$T$21:$T$613,COUNT(Market_Data!$T$21:$T$613)),1)),""))</f>
        <v/>
      </c>
      <c r="I678" s="146" t="str">
        <f ca="1">IF($A678="","",IFERROR(INDEX(Query1[Close],MATCH($A678,Query1[Date],1)),""))</f>
        <v/>
      </c>
    </row>
    <row r="679" spans="1:9" x14ac:dyDescent="0.3">
      <c r="A679" s="144" t="str">
        <f t="shared" ca="1" si="12"/>
        <v/>
      </c>
      <c r="B679" s="145" t="str">
        <f ca="1">IF($A679="","",IFERROR(INDEX(Market_Data!$C$21:$C$613,MATCH($A679,Market_Data!$B$21:INDEX(Market_Data!$B$21:$B$613,COUNT(Market_Data!$B$21:$B$613)),1)),""))</f>
        <v/>
      </c>
      <c r="C679" s="145" t="str">
        <f ca="1">IF($A679="","",IFERROR(INDEX(Market_Data!$F$21:$F$613,MATCH($A679,Market_Data!$E$21:INDEX(Market_Data!$E$21:$E$613,COUNT(Market_Data!$E$21:$E$613)),1)),""))</f>
        <v/>
      </c>
      <c r="D679" s="145" t="str">
        <f ca="1">IF($A679="","",IFERROR(INDEX(Market_Data!$I$21:$I$613,MATCH($A679,Market_Data!$H$21:INDEX(Market_Data!$H$21:$H$613,COUNT(Market_Data!$H$21:$H$613)),1)),""))</f>
        <v/>
      </c>
      <c r="E679" s="145" t="str">
        <f ca="1">IF($A679="","",IFERROR(INDEX(Market_Data!$L$21:$L$613,MATCH($A679,Market_Data!$K$21:INDEX(Market_Data!$K$21:$K$613,COUNT(Market_Data!$K$21:$K$613)),1)),""))</f>
        <v/>
      </c>
      <c r="F679" s="145" t="str">
        <f ca="1">IF($A679="","",IFERROR(INDEX(Market_Data!$O$21:$O$613,MATCH($A679,Market_Data!$N$21:INDEX(Market_Data!$N$21:$N$613,COUNT(Market_Data!$N$21:$N$613)),1)),""))</f>
        <v/>
      </c>
      <c r="G679" s="145" t="str">
        <f ca="1">IF($A679="","",IFERROR(INDEX(Market_Data!$R$21:$R$613,MATCH($A679,Market_Data!$Q$21:INDEX(Market_Data!$Q$21:$Q$613,COUNT(Market_Data!$Q$21:$Q$613)),1)),""))</f>
        <v/>
      </c>
      <c r="H679" s="145" t="str">
        <f ca="1">IF($A679="","",IFERROR(INDEX(Market_Data!$U$21:$U$613,MATCH($A679,Market_Data!$T$21:INDEX(Market_Data!$T$21:$T$613,COUNT(Market_Data!$T$21:$T$613)),1)),""))</f>
        <v/>
      </c>
      <c r="I679" s="146" t="str">
        <f ca="1">IF($A679="","",IFERROR(INDEX(Query1[Close],MATCH($A679,Query1[Date],1)),""))</f>
        <v/>
      </c>
    </row>
    <row r="680" spans="1:9" x14ac:dyDescent="0.3">
      <c r="A680" s="144" t="str">
        <f t="shared" ca="1" si="12"/>
        <v/>
      </c>
      <c r="B680" s="145" t="str">
        <f ca="1">IF($A680="","",IFERROR(INDEX(Market_Data!$C$21:$C$613,MATCH($A680,Market_Data!$B$21:INDEX(Market_Data!$B$21:$B$613,COUNT(Market_Data!$B$21:$B$613)),1)),""))</f>
        <v/>
      </c>
      <c r="C680" s="145" t="str">
        <f ca="1">IF($A680="","",IFERROR(INDEX(Market_Data!$F$21:$F$613,MATCH($A680,Market_Data!$E$21:INDEX(Market_Data!$E$21:$E$613,COUNT(Market_Data!$E$21:$E$613)),1)),""))</f>
        <v/>
      </c>
      <c r="D680" s="145" t="str">
        <f ca="1">IF($A680="","",IFERROR(INDEX(Market_Data!$I$21:$I$613,MATCH($A680,Market_Data!$H$21:INDEX(Market_Data!$H$21:$H$613,COUNT(Market_Data!$H$21:$H$613)),1)),""))</f>
        <v/>
      </c>
      <c r="E680" s="145" t="str">
        <f ca="1">IF($A680="","",IFERROR(INDEX(Market_Data!$L$21:$L$613,MATCH($A680,Market_Data!$K$21:INDEX(Market_Data!$K$21:$K$613,COUNT(Market_Data!$K$21:$K$613)),1)),""))</f>
        <v/>
      </c>
      <c r="F680" s="145" t="str">
        <f ca="1">IF($A680="","",IFERROR(INDEX(Market_Data!$O$21:$O$613,MATCH($A680,Market_Data!$N$21:INDEX(Market_Data!$N$21:$N$613,COUNT(Market_Data!$N$21:$N$613)),1)),""))</f>
        <v/>
      </c>
      <c r="G680" s="145" t="str">
        <f ca="1">IF($A680="","",IFERROR(INDEX(Market_Data!$R$21:$R$613,MATCH($A680,Market_Data!$Q$21:INDEX(Market_Data!$Q$21:$Q$613,COUNT(Market_Data!$Q$21:$Q$613)),1)),""))</f>
        <v/>
      </c>
      <c r="H680" s="145" t="str">
        <f ca="1">IF($A680="","",IFERROR(INDEX(Market_Data!$U$21:$U$613,MATCH($A680,Market_Data!$T$21:INDEX(Market_Data!$T$21:$T$613,COUNT(Market_Data!$T$21:$T$613)),1)),""))</f>
        <v/>
      </c>
      <c r="I680" s="146" t="str">
        <f ca="1">IF($A680="","",IFERROR(INDEX(Query1[Close],MATCH($A680,Query1[Date],1)),""))</f>
        <v/>
      </c>
    </row>
    <row r="681" spans="1:9" x14ac:dyDescent="0.3">
      <c r="A681" s="144" t="str">
        <f t="shared" ca="1" si="12"/>
        <v/>
      </c>
      <c r="B681" s="145" t="str">
        <f ca="1">IF($A681="","",IFERROR(INDEX(Market_Data!$C$21:$C$613,MATCH($A681,Market_Data!$B$21:INDEX(Market_Data!$B$21:$B$613,COUNT(Market_Data!$B$21:$B$613)),1)),""))</f>
        <v/>
      </c>
      <c r="C681" s="145" t="str">
        <f ca="1">IF($A681="","",IFERROR(INDEX(Market_Data!$F$21:$F$613,MATCH($A681,Market_Data!$E$21:INDEX(Market_Data!$E$21:$E$613,COUNT(Market_Data!$E$21:$E$613)),1)),""))</f>
        <v/>
      </c>
      <c r="D681" s="145" t="str">
        <f ca="1">IF($A681="","",IFERROR(INDEX(Market_Data!$I$21:$I$613,MATCH($A681,Market_Data!$H$21:INDEX(Market_Data!$H$21:$H$613,COUNT(Market_Data!$H$21:$H$613)),1)),""))</f>
        <v/>
      </c>
      <c r="E681" s="145" t="str">
        <f ca="1">IF($A681="","",IFERROR(INDEX(Market_Data!$L$21:$L$613,MATCH($A681,Market_Data!$K$21:INDEX(Market_Data!$K$21:$K$613,COUNT(Market_Data!$K$21:$K$613)),1)),""))</f>
        <v/>
      </c>
      <c r="F681" s="145" t="str">
        <f ca="1">IF($A681="","",IFERROR(INDEX(Market_Data!$O$21:$O$613,MATCH($A681,Market_Data!$N$21:INDEX(Market_Data!$N$21:$N$613,COUNT(Market_Data!$N$21:$N$613)),1)),""))</f>
        <v/>
      </c>
      <c r="G681" s="145" t="str">
        <f ca="1">IF($A681="","",IFERROR(INDEX(Market_Data!$R$21:$R$613,MATCH($A681,Market_Data!$Q$21:INDEX(Market_Data!$Q$21:$Q$613,COUNT(Market_Data!$Q$21:$Q$613)),1)),""))</f>
        <v/>
      </c>
      <c r="H681" s="145" t="str">
        <f ca="1">IF($A681="","",IFERROR(INDEX(Market_Data!$U$21:$U$613,MATCH($A681,Market_Data!$T$21:INDEX(Market_Data!$T$21:$T$613,COUNT(Market_Data!$T$21:$T$613)),1)),""))</f>
        <v/>
      </c>
      <c r="I681" s="146" t="str">
        <f ca="1">IF($A681="","",IFERROR(INDEX(Query1[Close],MATCH($A681,Query1[Date],1)),""))</f>
        <v/>
      </c>
    </row>
    <row r="682" spans="1:9" x14ac:dyDescent="0.3">
      <c r="A682" s="144" t="str">
        <f t="shared" ca="1" si="12"/>
        <v/>
      </c>
      <c r="B682" s="145" t="str">
        <f ca="1">IF($A682="","",IFERROR(INDEX(Market_Data!$C$21:$C$613,MATCH($A682,Market_Data!$B$21:INDEX(Market_Data!$B$21:$B$613,COUNT(Market_Data!$B$21:$B$613)),1)),""))</f>
        <v/>
      </c>
      <c r="C682" s="145" t="str">
        <f ca="1">IF($A682="","",IFERROR(INDEX(Market_Data!$F$21:$F$613,MATCH($A682,Market_Data!$E$21:INDEX(Market_Data!$E$21:$E$613,COUNT(Market_Data!$E$21:$E$613)),1)),""))</f>
        <v/>
      </c>
      <c r="D682" s="145" t="str">
        <f ca="1">IF($A682="","",IFERROR(INDEX(Market_Data!$I$21:$I$613,MATCH($A682,Market_Data!$H$21:INDEX(Market_Data!$H$21:$H$613,COUNT(Market_Data!$H$21:$H$613)),1)),""))</f>
        <v/>
      </c>
      <c r="E682" s="145" t="str">
        <f ca="1">IF($A682="","",IFERROR(INDEX(Market_Data!$L$21:$L$613,MATCH($A682,Market_Data!$K$21:INDEX(Market_Data!$K$21:$K$613,COUNT(Market_Data!$K$21:$K$613)),1)),""))</f>
        <v/>
      </c>
      <c r="F682" s="145" t="str">
        <f ca="1">IF($A682="","",IFERROR(INDEX(Market_Data!$O$21:$O$613,MATCH($A682,Market_Data!$N$21:INDEX(Market_Data!$N$21:$N$613,COUNT(Market_Data!$N$21:$N$613)),1)),""))</f>
        <v/>
      </c>
      <c r="G682" s="145" t="str">
        <f ca="1">IF($A682="","",IFERROR(INDEX(Market_Data!$R$21:$R$613,MATCH($A682,Market_Data!$Q$21:INDEX(Market_Data!$Q$21:$Q$613,COUNT(Market_Data!$Q$21:$Q$613)),1)),""))</f>
        <v/>
      </c>
      <c r="H682" s="145" t="str">
        <f ca="1">IF($A682="","",IFERROR(INDEX(Market_Data!$U$21:$U$613,MATCH($A682,Market_Data!$T$21:INDEX(Market_Data!$T$21:$T$613,COUNT(Market_Data!$T$21:$T$613)),1)),""))</f>
        <v/>
      </c>
      <c r="I682" s="146" t="str">
        <f ca="1">IF($A682="","",IFERROR(INDEX(Query1[Close],MATCH($A682,Query1[Date],1)),""))</f>
        <v/>
      </c>
    </row>
    <row r="683" spans="1:9" x14ac:dyDescent="0.3">
      <c r="A683" s="144" t="str">
        <f t="shared" ca="1" si="12"/>
        <v/>
      </c>
      <c r="B683" s="145" t="str">
        <f ca="1">IF($A683="","",IFERROR(INDEX(Market_Data!$C$21:$C$613,MATCH($A683,Market_Data!$B$21:INDEX(Market_Data!$B$21:$B$613,COUNT(Market_Data!$B$21:$B$613)),1)),""))</f>
        <v/>
      </c>
      <c r="C683" s="145" t="str">
        <f ca="1">IF($A683="","",IFERROR(INDEX(Market_Data!$F$21:$F$613,MATCH($A683,Market_Data!$E$21:INDEX(Market_Data!$E$21:$E$613,COUNT(Market_Data!$E$21:$E$613)),1)),""))</f>
        <v/>
      </c>
      <c r="D683" s="145" t="str">
        <f ca="1">IF($A683="","",IFERROR(INDEX(Market_Data!$I$21:$I$613,MATCH($A683,Market_Data!$H$21:INDEX(Market_Data!$H$21:$H$613,COUNT(Market_Data!$H$21:$H$613)),1)),""))</f>
        <v/>
      </c>
      <c r="E683" s="145" t="str">
        <f ca="1">IF($A683="","",IFERROR(INDEX(Market_Data!$L$21:$L$613,MATCH($A683,Market_Data!$K$21:INDEX(Market_Data!$K$21:$K$613,COUNT(Market_Data!$K$21:$K$613)),1)),""))</f>
        <v/>
      </c>
      <c r="F683" s="145" t="str">
        <f ca="1">IF($A683="","",IFERROR(INDEX(Market_Data!$O$21:$O$613,MATCH($A683,Market_Data!$N$21:INDEX(Market_Data!$N$21:$N$613,COUNT(Market_Data!$N$21:$N$613)),1)),""))</f>
        <v/>
      </c>
      <c r="G683" s="145" t="str">
        <f ca="1">IF($A683="","",IFERROR(INDEX(Market_Data!$R$21:$R$613,MATCH($A683,Market_Data!$Q$21:INDEX(Market_Data!$Q$21:$Q$613,COUNT(Market_Data!$Q$21:$Q$613)),1)),""))</f>
        <v/>
      </c>
      <c r="H683" s="145" t="str">
        <f ca="1">IF($A683="","",IFERROR(INDEX(Market_Data!$U$21:$U$613,MATCH($A683,Market_Data!$T$21:INDEX(Market_Data!$T$21:$T$613,COUNT(Market_Data!$T$21:$T$613)),1)),""))</f>
        <v/>
      </c>
      <c r="I683" s="146" t="str">
        <f ca="1">IF($A683="","",IFERROR(INDEX(Query1[Close],MATCH($A683,Query1[Date],1)),""))</f>
        <v/>
      </c>
    </row>
    <row r="684" spans="1:9" x14ac:dyDescent="0.3">
      <c r="A684" s="144" t="str">
        <f t="shared" ca="1" si="12"/>
        <v/>
      </c>
      <c r="B684" s="145" t="str">
        <f ca="1">IF($A684="","",IFERROR(INDEX(Market_Data!$C$21:$C$613,MATCH($A684,Market_Data!$B$21:INDEX(Market_Data!$B$21:$B$613,COUNT(Market_Data!$B$21:$B$613)),1)),""))</f>
        <v/>
      </c>
      <c r="C684" s="145" t="str">
        <f ca="1">IF($A684="","",IFERROR(INDEX(Market_Data!$F$21:$F$613,MATCH($A684,Market_Data!$E$21:INDEX(Market_Data!$E$21:$E$613,COUNT(Market_Data!$E$21:$E$613)),1)),""))</f>
        <v/>
      </c>
      <c r="D684" s="145" t="str">
        <f ca="1">IF($A684="","",IFERROR(INDEX(Market_Data!$I$21:$I$613,MATCH($A684,Market_Data!$H$21:INDEX(Market_Data!$H$21:$H$613,COUNT(Market_Data!$H$21:$H$613)),1)),""))</f>
        <v/>
      </c>
      <c r="E684" s="145" t="str">
        <f ca="1">IF($A684="","",IFERROR(INDEX(Market_Data!$L$21:$L$613,MATCH($A684,Market_Data!$K$21:INDEX(Market_Data!$K$21:$K$613,COUNT(Market_Data!$K$21:$K$613)),1)),""))</f>
        <v/>
      </c>
      <c r="F684" s="145" t="str">
        <f ca="1">IF($A684="","",IFERROR(INDEX(Market_Data!$O$21:$O$613,MATCH($A684,Market_Data!$N$21:INDEX(Market_Data!$N$21:$N$613,COUNT(Market_Data!$N$21:$N$613)),1)),""))</f>
        <v/>
      </c>
      <c r="G684" s="145" t="str">
        <f ca="1">IF($A684="","",IFERROR(INDEX(Market_Data!$R$21:$R$613,MATCH($A684,Market_Data!$Q$21:INDEX(Market_Data!$Q$21:$Q$613,COUNT(Market_Data!$Q$21:$Q$613)),1)),""))</f>
        <v/>
      </c>
      <c r="H684" s="145" t="str">
        <f ca="1">IF($A684="","",IFERROR(INDEX(Market_Data!$U$21:$U$613,MATCH($A684,Market_Data!$T$21:INDEX(Market_Data!$T$21:$T$613,COUNT(Market_Data!$T$21:$T$613)),1)),""))</f>
        <v/>
      </c>
      <c r="I684" s="146" t="str">
        <f ca="1">IF($A684="","",IFERROR(INDEX(Query1[Close],MATCH($A684,Query1[Date],1)),""))</f>
        <v/>
      </c>
    </row>
    <row r="685" spans="1:9" x14ac:dyDescent="0.3">
      <c r="A685" s="144" t="str">
        <f t="shared" ca="1" si="12"/>
        <v/>
      </c>
      <c r="B685" s="145" t="str">
        <f ca="1">IF($A685="","",IFERROR(INDEX(Market_Data!$C$21:$C$613,MATCH($A685,Market_Data!$B$21:INDEX(Market_Data!$B$21:$B$613,COUNT(Market_Data!$B$21:$B$613)),1)),""))</f>
        <v/>
      </c>
      <c r="C685" s="145" t="str">
        <f ca="1">IF($A685="","",IFERROR(INDEX(Market_Data!$F$21:$F$613,MATCH($A685,Market_Data!$E$21:INDEX(Market_Data!$E$21:$E$613,COUNT(Market_Data!$E$21:$E$613)),1)),""))</f>
        <v/>
      </c>
      <c r="D685" s="145" t="str">
        <f ca="1">IF($A685="","",IFERROR(INDEX(Market_Data!$I$21:$I$613,MATCH($A685,Market_Data!$H$21:INDEX(Market_Data!$H$21:$H$613,COUNT(Market_Data!$H$21:$H$613)),1)),""))</f>
        <v/>
      </c>
      <c r="E685" s="145" t="str">
        <f ca="1">IF($A685="","",IFERROR(INDEX(Market_Data!$L$21:$L$613,MATCH($A685,Market_Data!$K$21:INDEX(Market_Data!$K$21:$K$613,COUNT(Market_Data!$K$21:$K$613)),1)),""))</f>
        <v/>
      </c>
      <c r="F685" s="145" t="str">
        <f ca="1">IF($A685="","",IFERROR(INDEX(Market_Data!$O$21:$O$613,MATCH($A685,Market_Data!$N$21:INDEX(Market_Data!$N$21:$N$613,COUNT(Market_Data!$N$21:$N$613)),1)),""))</f>
        <v/>
      </c>
      <c r="G685" s="145" t="str">
        <f ca="1">IF($A685="","",IFERROR(INDEX(Market_Data!$R$21:$R$613,MATCH($A685,Market_Data!$Q$21:INDEX(Market_Data!$Q$21:$Q$613,COUNT(Market_Data!$Q$21:$Q$613)),1)),""))</f>
        <v/>
      </c>
      <c r="H685" s="145" t="str">
        <f ca="1">IF($A685="","",IFERROR(INDEX(Market_Data!$U$21:$U$613,MATCH($A685,Market_Data!$T$21:INDEX(Market_Data!$T$21:$T$613,COUNT(Market_Data!$T$21:$T$613)),1)),""))</f>
        <v/>
      </c>
      <c r="I685" s="146" t="str">
        <f ca="1">IF($A685="","",IFERROR(INDEX(Query1[Close],MATCH($A685,Query1[Date],1)),""))</f>
        <v/>
      </c>
    </row>
    <row r="686" spans="1:9" x14ac:dyDescent="0.3">
      <c r="A686" s="144" t="str">
        <f t="shared" ca="1" si="12"/>
        <v/>
      </c>
      <c r="B686" s="145" t="str">
        <f ca="1">IF($A686="","",IFERROR(INDEX(Market_Data!$C$21:$C$613,MATCH($A686,Market_Data!$B$21:INDEX(Market_Data!$B$21:$B$613,COUNT(Market_Data!$B$21:$B$613)),1)),""))</f>
        <v/>
      </c>
      <c r="C686" s="145" t="str">
        <f ca="1">IF($A686="","",IFERROR(INDEX(Market_Data!$F$21:$F$613,MATCH($A686,Market_Data!$E$21:INDEX(Market_Data!$E$21:$E$613,COUNT(Market_Data!$E$21:$E$613)),1)),""))</f>
        <v/>
      </c>
      <c r="D686" s="145" t="str">
        <f ca="1">IF($A686="","",IFERROR(INDEX(Market_Data!$I$21:$I$613,MATCH($A686,Market_Data!$H$21:INDEX(Market_Data!$H$21:$H$613,COUNT(Market_Data!$H$21:$H$613)),1)),""))</f>
        <v/>
      </c>
      <c r="E686" s="145" t="str">
        <f ca="1">IF($A686="","",IFERROR(INDEX(Market_Data!$L$21:$L$613,MATCH($A686,Market_Data!$K$21:INDEX(Market_Data!$K$21:$K$613,COUNT(Market_Data!$K$21:$K$613)),1)),""))</f>
        <v/>
      </c>
      <c r="F686" s="145" t="str">
        <f ca="1">IF($A686="","",IFERROR(INDEX(Market_Data!$O$21:$O$613,MATCH($A686,Market_Data!$N$21:INDEX(Market_Data!$N$21:$N$613,COUNT(Market_Data!$N$21:$N$613)),1)),""))</f>
        <v/>
      </c>
      <c r="G686" s="145" t="str">
        <f ca="1">IF($A686="","",IFERROR(INDEX(Market_Data!$R$21:$R$613,MATCH($A686,Market_Data!$Q$21:INDEX(Market_Data!$Q$21:$Q$613,COUNT(Market_Data!$Q$21:$Q$613)),1)),""))</f>
        <v/>
      </c>
      <c r="H686" s="145" t="str">
        <f ca="1">IF($A686="","",IFERROR(INDEX(Market_Data!$U$21:$U$613,MATCH($A686,Market_Data!$T$21:INDEX(Market_Data!$T$21:$T$613,COUNT(Market_Data!$T$21:$T$613)),1)),""))</f>
        <v/>
      </c>
      <c r="I686" s="146" t="str">
        <f ca="1">IF($A686="","",IFERROR(INDEX(Query1[Close],MATCH($A686,Query1[Date],1)),""))</f>
        <v/>
      </c>
    </row>
    <row r="687" spans="1:9" x14ac:dyDescent="0.3">
      <c r="A687" s="144" t="str">
        <f t="shared" ca="1" si="12"/>
        <v/>
      </c>
      <c r="B687" s="145" t="str">
        <f ca="1">IF($A687="","",IFERROR(INDEX(Market_Data!$C$21:$C$613,MATCH($A687,Market_Data!$B$21:INDEX(Market_Data!$B$21:$B$613,COUNT(Market_Data!$B$21:$B$613)),1)),""))</f>
        <v/>
      </c>
      <c r="C687" s="145" t="str">
        <f ca="1">IF($A687="","",IFERROR(INDEX(Market_Data!$F$21:$F$613,MATCH($A687,Market_Data!$E$21:INDEX(Market_Data!$E$21:$E$613,COUNT(Market_Data!$E$21:$E$613)),1)),""))</f>
        <v/>
      </c>
      <c r="D687" s="145" t="str">
        <f ca="1">IF($A687="","",IFERROR(INDEX(Market_Data!$I$21:$I$613,MATCH($A687,Market_Data!$H$21:INDEX(Market_Data!$H$21:$H$613,COUNT(Market_Data!$H$21:$H$613)),1)),""))</f>
        <v/>
      </c>
      <c r="E687" s="145" t="str">
        <f ca="1">IF($A687="","",IFERROR(INDEX(Market_Data!$L$21:$L$613,MATCH($A687,Market_Data!$K$21:INDEX(Market_Data!$K$21:$K$613,COUNT(Market_Data!$K$21:$K$613)),1)),""))</f>
        <v/>
      </c>
      <c r="F687" s="145" t="str">
        <f ca="1">IF($A687="","",IFERROR(INDEX(Market_Data!$O$21:$O$613,MATCH($A687,Market_Data!$N$21:INDEX(Market_Data!$N$21:$N$613,COUNT(Market_Data!$N$21:$N$613)),1)),""))</f>
        <v/>
      </c>
      <c r="G687" s="145" t="str">
        <f ca="1">IF($A687="","",IFERROR(INDEX(Market_Data!$R$21:$R$613,MATCH($A687,Market_Data!$Q$21:INDEX(Market_Data!$Q$21:$Q$613,COUNT(Market_Data!$Q$21:$Q$613)),1)),""))</f>
        <v/>
      </c>
      <c r="H687" s="145" t="str">
        <f ca="1">IF($A687="","",IFERROR(INDEX(Market_Data!$U$21:$U$613,MATCH($A687,Market_Data!$T$21:INDEX(Market_Data!$T$21:$T$613,COUNT(Market_Data!$T$21:$T$613)),1)),""))</f>
        <v/>
      </c>
      <c r="I687" s="146" t="str">
        <f ca="1">IF($A687="","",IFERROR(INDEX(Query1[Close],MATCH($A687,Query1[Date],1)),""))</f>
        <v/>
      </c>
    </row>
    <row r="688" spans="1:9" x14ac:dyDescent="0.3">
      <c r="A688" s="144" t="str">
        <f t="shared" ca="1" si="12"/>
        <v/>
      </c>
      <c r="B688" s="145" t="str">
        <f ca="1">IF($A688="","",IFERROR(INDEX(Market_Data!$C$21:$C$613,MATCH($A688,Market_Data!$B$21:INDEX(Market_Data!$B$21:$B$613,COUNT(Market_Data!$B$21:$B$613)),1)),""))</f>
        <v/>
      </c>
      <c r="C688" s="145" t="str">
        <f ca="1">IF($A688="","",IFERROR(INDEX(Market_Data!$F$21:$F$613,MATCH($A688,Market_Data!$E$21:INDEX(Market_Data!$E$21:$E$613,COUNT(Market_Data!$E$21:$E$613)),1)),""))</f>
        <v/>
      </c>
      <c r="D688" s="145" t="str">
        <f ca="1">IF($A688="","",IFERROR(INDEX(Market_Data!$I$21:$I$613,MATCH($A688,Market_Data!$H$21:INDEX(Market_Data!$H$21:$H$613,COUNT(Market_Data!$H$21:$H$613)),1)),""))</f>
        <v/>
      </c>
      <c r="E688" s="145" t="str">
        <f ca="1">IF($A688="","",IFERROR(INDEX(Market_Data!$L$21:$L$613,MATCH($A688,Market_Data!$K$21:INDEX(Market_Data!$K$21:$K$613,COUNT(Market_Data!$K$21:$K$613)),1)),""))</f>
        <v/>
      </c>
      <c r="F688" s="145" t="str">
        <f ca="1">IF($A688="","",IFERROR(INDEX(Market_Data!$O$21:$O$613,MATCH($A688,Market_Data!$N$21:INDEX(Market_Data!$N$21:$N$613,COUNT(Market_Data!$N$21:$N$613)),1)),""))</f>
        <v/>
      </c>
      <c r="G688" s="145" t="str">
        <f ca="1">IF($A688="","",IFERROR(INDEX(Market_Data!$R$21:$R$613,MATCH($A688,Market_Data!$Q$21:INDEX(Market_Data!$Q$21:$Q$613,COUNT(Market_Data!$Q$21:$Q$613)),1)),""))</f>
        <v/>
      </c>
      <c r="H688" s="145" t="str">
        <f ca="1">IF($A688="","",IFERROR(INDEX(Market_Data!$U$21:$U$613,MATCH($A688,Market_Data!$T$21:INDEX(Market_Data!$T$21:$T$613,COUNT(Market_Data!$T$21:$T$613)),1)),""))</f>
        <v/>
      </c>
      <c r="I688" s="146" t="str">
        <f ca="1">IF($A688="","",IFERROR(INDEX(Query1[Close],MATCH($A688,Query1[Date],1)),""))</f>
        <v/>
      </c>
    </row>
    <row r="689" spans="1:9" x14ac:dyDescent="0.3">
      <c r="A689" s="144" t="str">
        <f t="shared" ca="1" si="12"/>
        <v/>
      </c>
      <c r="B689" s="145" t="str">
        <f ca="1">IF($A689="","",IFERROR(INDEX(Market_Data!$C$21:$C$613,MATCH($A689,Market_Data!$B$21:INDEX(Market_Data!$B$21:$B$613,COUNT(Market_Data!$B$21:$B$613)),1)),""))</f>
        <v/>
      </c>
      <c r="C689" s="145" t="str">
        <f ca="1">IF($A689="","",IFERROR(INDEX(Market_Data!$F$21:$F$613,MATCH($A689,Market_Data!$E$21:INDEX(Market_Data!$E$21:$E$613,COUNT(Market_Data!$E$21:$E$613)),1)),""))</f>
        <v/>
      </c>
      <c r="D689" s="145" t="str">
        <f ca="1">IF($A689="","",IFERROR(INDEX(Market_Data!$I$21:$I$613,MATCH($A689,Market_Data!$H$21:INDEX(Market_Data!$H$21:$H$613,COUNT(Market_Data!$H$21:$H$613)),1)),""))</f>
        <v/>
      </c>
      <c r="E689" s="145" t="str">
        <f ca="1">IF($A689="","",IFERROR(INDEX(Market_Data!$L$21:$L$613,MATCH($A689,Market_Data!$K$21:INDEX(Market_Data!$K$21:$K$613,COUNT(Market_Data!$K$21:$K$613)),1)),""))</f>
        <v/>
      </c>
      <c r="F689" s="145" t="str">
        <f ca="1">IF($A689="","",IFERROR(INDEX(Market_Data!$O$21:$O$613,MATCH($A689,Market_Data!$N$21:INDEX(Market_Data!$N$21:$N$613,COUNT(Market_Data!$N$21:$N$613)),1)),""))</f>
        <v/>
      </c>
      <c r="G689" s="145" t="str">
        <f ca="1">IF($A689="","",IFERROR(INDEX(Market_Data!$R$21:$R$613,MATCH($A689,Market_Data!$Q$21:INDEX(Market_Data!$Q$21:$Q$613,COUNT(Market_Data!$Q$21:$Q$613)),1)),""))</f>
        <v/>
      </c>
      <c r="H689" s="145" t="str">
        <f ca="1">IF($A689="","",IFERROR(INDEX(Market_Data!$U$21:$U$613,MATCH($A689,Market_Data!$T$21:INDEX(Market_Data!$T$21:$T$613,COUNT(Market_Data!$T$21:$T$613)),1)),""))</f>
        <v/>
      </c>
      <c r="I689" s="146" t="str">
        <f ca="1">IF($A689="","",IFERROR(INDEX(Query1[Close],MATCH($A689,Query1[Date],1)),""))</f>
        <v/>
      </c>
    </row>
    <row r="690" spans="1:9" x14ac:dyDescent="0.3">
      <c r="A690" s="144" t="str">
        <f t="shared" ca="1" si="12"/>
        <v/>
      </c>
      <c r="B690" s="145" t="str">
        <f ca="1">IF($A690="","",IFERROR(INDEX(Market_Data!$C$21:$C$613,MATCH($A690,Market_Data!$B$21:INDEX(Market_Data!$B$21:$B$613,COUNT(Market_Data!$B$21:$B$613)),1)),""))</f>
        <v/>
      </c>
      <c r="C690" s="145" t="str">
        <f ca="1">IF($A690="","",IFERROR(INDEX(Market_Data!$F$21:$F$613,MATCH($A690,Market_Data!$E$21:INDEX(Market_Data!$E$21:$E$613,COUNT(Market_Data!$E$21:$E$613)),1)),""))</f>
        <v/>
      </c>
      <c r="D690" s="145" t="str">
        <f ca="1">IF($A690="","",IFERROR(INDEX(Market_Data!$I$21:$I$613,MATCH($A690,Market_Data!$H$21:INDEX(Market_Data!$H$21:$H$613,COUNT(Market_Data!$H$21:$H$613)),1)),""))</f>
        <v/>
      </c>
      <c r="E690" s="145" t="str">
        <f ca="1">IF($A690="","",IFERROR(INDEX(Market_Data!$L$21:$L$613,MATCH($A690,Market_Data!$K$21:INDEX(Market_Data!$K$21:$K$613,COUNT(Market_Data!$K$21:$K$613)),1)),""))</f>
        <v/>
      </c>
      <c r="F690" s="145" t="str">
        <f ca="1">IF($A690="","",IFERROR(INDEX(Market_Data!$O$21:$O$613,MATCH($A690,Market_Data!$N$21:INDEX(Market_Data!$N$21:$N$613,COUNT(Market_Data!$N$21:$N$613)),1)),""))</f>
        <v/>
      </c>
      <c r="G690" s="145" t="str">
        <f ca="1">IF($A690="","",IFERROR(INDEX(Market_Data!$R$21:$R$613,MATCH($A690,Market_Data!$Q$21:INDEX(Market_Data!$Q$21:$Q$613,COUNT(Market_Data!$Q$21:$Q$613)),1)),""))</f>
        <v/>
      </c>
      <c r="H690" s="145" t="str">
        <f ca="1">IF($A690="","",IFERROR(INDEX(Market_Data!$U$21:$U$613,MATCH($A690,Market_Data!$T$21:INDEX(Market_Data!$T$21:$T$613,COUNT(Market_Data!$T$21:$T$613)),1)),""))</f>
        <v/>
      </c>
      <c r="I690" s="146" t="str">
        <f ca="1">IF($A690="","",IFERROR(INDEX(Query1[Close],MATCH($A690,Query1[Date],1)),""))</f>
        <v/>
      </c>
    </row>
    <row r="691" spans="1:9" x14ac:dyDescent="0.3">
      <c r="A691" s="144" t="str">
        <f t="shared" ca="1" si="12"/>
        <v/>
      </c>
      <c r="B691" s="145" t="str">
        <f ca="1">IF($A691="","",IFERROR(INDEX(Market_Data!$C$21:$C$613,MATCH($A691,Market_Data!$B$21:INDEX(Market_Data!$B$21:$B$613,COUNT(Market_Data!$B$21:$B$613)),1)),""))</f>
        <v/>
      </c>
      <c r="C691" s="145" t="str">
        <f ca="1">IF($A691="","",IFERROR(INDEX(Market_Data!$F$21:$F$613,MATCH($A691,Market_Data!$E$21:INDEX(Market_Data!$E$21:$E$613,COUNT(Market_Data!$E$21:$E$613)),1)),""))</f>
        <v/>
      </c>
      <c r="D691" s="145" t="str">
        <f ca="1">IF($A691="","",IFERROR(INDEX(Market_Data!$I$21:$I$613,MATCH($A691,Market_Data!$H$21:INDEX(Market_Data!$H$21:$H$613,COUNT(Market_Data!$H$21:$H$613)),1)),""))</f>
        <v/>
      </c>
      <c r="E691" s="145" t="str">
        <f ca="1">IF($A691="","",IFERROR(INDEX(Market_Data!$L$21:$L$613,MATCH($A691,Market_Data!$K$21:INDEX(Market_Data!$K$21:$K$613,COUNT(Market_Data!$K$21:$K$613)),1)),""))</f>
        <v/>
      </c>
      <c r="F691" s="145" t="str">
        <f ca="1">IF($A691="","",IFERROR(INDEX(Market_Data!$O$21:$O$613,MATCH($A691,Market_Data!$N$21:INDEX(Market_Data!$N$21:$N$613,COUNT(Market_Data!$N$21:$N$613)),1)),""))</f>
        <v/>
      </c>
      <c r="G691" s="145" t="str">
        <f ca="1">IF($A691="","",IFERROR(INDEX(Market_Data!$R$21:$R$613,MATCH($A691,Market_Data!$Q$21:INDEX(Market_Data!$Q$21:$Q$613,COUNT(Market_Data!$Q$21:$Q$613)),1)),""))</f>
        <v/>
      </c>
      <c r="H691" s="145" t="str">
        <f ca="1">IF($A691="","",IFERROR(INDEX(Market_Data!$U$21:$U$613,MATCH($A691,Market_Data!$T$21:INDEX(Market_Data!$T$21:$T$613,COUNT(Market_Data!$T$21:$T$613)),1)),""))</f>
        <v/>
      </c>
      <c r="I691" s="146" t="str">
        <f ca="1">IF($A691="","",IFERROR(INDEX(Query1[Close],MATCH($A691,Query1[Date],1)),""))</f>
        <v/>
      </c>
    </row>
    <row r="692" spans="1:9" x14ac:dyDescent="0.3">
      <c r="A692" s="144" t="str">
        <f t="shared" ca="1" si="12"/>
        <v/>
      </c>
      <c r="B692" s="145" t="str">
        <f ca="1">IF($A692="","",IFERROR(INDEX(Market_Data!$C$21:$C$613,MATCH($A692,Market_Data!$B$21:INDEX(Market_Data!$B$21:$B$613,COUNT(Market_Data!$B$21:$B$613)),1)),""))</f>
        <v/>
      </c>
      <c r="C692" s="145" t="str">
        <f ca="1">IF($A692="","",IFERROR(INDEX(Market_Data!$F$21:$F$613,MATCH($A692,Market_Data!$E$21:INDEX(Market_Data!$E$21:$E$613,COUNT(Market_Data!$E$21:$E$613)),1)),""))</f>
        <v/>
      </c>
      <c r="D692" s="145" t="str">
        <f ca="1">IF($A692="","",IFERROR(INDEX(Market_Data!$I$21:$I$613,MATCH($A692,Market_Data!$H$21:INDEX(Market_Data!$H$21:$H$613,COUNT(Market_Data!$H$21:$H$613)),1)),""))</f>
        <v/>
      </c>
      <c r="E692" s="145" t="str">
        <f ca="1">IF($A692="","",IFERROR(INDEX(Market_Data!$L$21:$L$613,MATCH($A692,Market_Data!$K$21:INDEX(Market_Data!$K$21:$K$613,COUNT(Market_Data!$K$21:$K$613)),1)),""))</f>
        <v/>
      </c>
      <c r="F692" s="145" t="str">
        <f ca="1">IF($A692="","",IFERROR(INDEX(Market_Data!$O$21:$O$613,MATCH($A692,Market_Data!$N$21:INDEX(Market_Data!$N$21:$N$613,COUNT(Market_Data!$N$21:$N$613)),1)),""))</f>
        <v/>
      </c>
      <c r="G692" s="145" t="str">
        <f ca="1">IF($A692="","",IFERROR(INDEX(Market_Data!$R$21:$R$613,MATCH($A692,Market_Data!$Q$21:INDEX(Market_Data!$Q$21:$Q$613,COUNT(Market_Data!$Q$21:$Q$613)),1)),""))</f>
        <v/>
      </c>
      <c r="H692" s="145" t="str">
        <f ca="1">IF($A692="","",IFERROR(INDEX(Market_Data!$U$21:$U$613,MATCH($A692,Market_Data!$T$21:INDEX(Market_Data!$T$21:$T$613,COUNT(Market_Data!$T$21:$T$613)),1)),""))</f>
        <v/>
      </c>
      <c r="I692" s="146" t="str">
        <f ca="1">IF($A692="","",IFERROR(INDEX(Query1[Close],MATCH($A692,Query1[Date],1)),""))</f>
        <v/>
      </c>
    </row>
    <row r="693" spans="1:9" x14ac:dyDescent="0.3">
      <c r="A693" s="144" t="str">
        <f t="shared" ca="1" si="12"/>
        <v/>
      </c>
      <c r="B693" s="145" t="str">
        <f ca="1">IF($A693="","",IFERROR(INDEX(Market_Data!$C$21:$C$613,MATCH($A693,Market_Data!$B$21:INDEX(Market_Data!$B$21:$B$613,COUNT(Market_Data!$B$21:$B$613)),1)),""))</f>
        <v/>
      </c>
      <c r="C693" s="145" t="str">
        <f ca="1">IF($A693="","",IFERROR(INDEX(Market_Data!$F$21:$F$613,MATCH($A693,Market_Data!$E$21:INDEX(Market_Data!$E$21:$E$613,COUNT(Market_Data!$E$21:$E$613)),1)),""))</f>
        <v/>
      </c>
      <c r="D693" s="145" t="str">
        <f ca="1">IF($A693="","",IFERROR(INDEX(Market_Data!$I$21:$I$613,MATCH($A693,Market_Data!$H$21:INDEX(Market_Data!$H$21:$H$613,COUNT(Market_Data!$H$21:$H$613)),1)),""))</f>
        <v/>
      </c>
      <c r="E693" s="145" t="str">
        <f ca="1">IF($A693="","",IFERROR(INDEX(Market_Data!$L$21:$L$613,MATCH($A693,Market_Data!$K$21:INDEX(Market_Data!$K$21:$K$613,COUNT(Market_Data!$K$21:$K$613)),1)),""))</f>
        <v/>
      </c>
      <c r="F693" s="145" t="str">
        <f ca="1">IF($A693="","",IFERROR(INDEX(Market_Data!$O$21:$O$613,MATCH($A693,Market_Data!$N$21:INDEX(Market_Data!$N$21:$N$613,COUNT(Market_Data!$N$21:$N$613)),1)),""))</f>
        <v/>
      </c>
      <c r="G693" s="145" t="str">
        <f ca="1">IF($A693="","",IFERROR(INDEX(Market_Data!$R$21:$R$613,MATCH($A693,Market_Data!$Q$21:INDEX(Market_Data!$Q$21:$Q$613,COUNT(Market_Data!$Q$21:$Q$613)),1)),""))</f>
        <v/>
      </c>
      <c r="H693" s="145" t="str">
        <f ca="1">IF($A693="","",IFERROR(INDEX(Market_Data!$U$21:$U$613,MATCH($A693,Market_Data!$T$21:INDEX(Market_Data!$T$21:$T$613,COUNT(Market_Data!$T$21:$T$613)),1)),""))</f>
        <v/>
      </c>
      <c r="I693" s="146" t="str">
        <f ca="1">IF($A693="","",IFERROR(INDEX(Query1[Close],MATCH($A693,Query1[Date],1)),""))</f>
        <v/>
      </c>
    </row>
    <row r="694" spans="1:9" x14ac:dyDescent="0.3">
      <c r="A694" s="144" t="str">
        <f t="shared" ca="1" si="12"/>
        <v/>
      </c>
      <c r="B694" s="145" t="str">
        <f ca="1">IF($A694="","",IFERROR(INDEX(Market_Data!$C$21:$C$613,MATCH($A694,Market_Data!$B$21:INDEX(Market_Data!$B$21:$B$613,COUNT(Market_Data!$B$21:$B$613)),1)),""))</f>
        <v/>
      </c>
      <c r="C694" s="145" t="str">
        <f ca="1">IF($A694="","",IFERROR(INDEX(Market_Data!$F$21:$F$613,MATCH($A694,Market_Data!$E$21:INDEX(Market_Data!$E$21:$E$613,COUNT(Market_Data!$E$21:$E$613)),1)),""))</f>
        <v/>
      </c>
      <c r="D694" s="145" t="str">
        <f ca="1">IF($A694="","",IFERROR(INDEX(Market_Data!$I$21:$I$613,MATCH($A694,Market_Data!$H$21:INDEX(Market_Data!$H$21:$H$613,COUNT(Market_Data!$H$21:$H$613)),1)),""))</f>
        <v/>
      </c>
      <c r="E694" s="145" t="str">
        <f ca="1">IF($A694="","",IFERROR(INDEX(Market_Data!$L$21:$L$613,MATCH($A694,Market_Data!$K$21:INDEX(Market_Data!$K$21:$K$613,COUNT(Market_Data!$K$21:$K$613)),1)),""))</f>
        <v/>
      </c>
      <c r="F694" s="145" t="str">
        <f ca="1">IF($A694="","",IFERROR(INDEX(Market_Data!$O$21:$O$613,MATCH($A694,Market_Data!$N$21:INDEX(Market_Data!$N$21:$N$613,COUNT(Market_Data!$N$21:$N$613)),1)),""))</f>
        <v/>
      </c>
      <c r="G694" s="145" t="str">
        <f ca="1">IF($A694="","",IFERROR(INDEX(Market_Data!$R$21:$R$613,MATCH($A694,Market_Data!$Q$21:INDEX(Market_Data!$Q$21:$Q$613,COUNT(Market_Data!$Q$21:$Q$613)),1)),""))</f>
        <v/>
      </c>
      <c r="H694" s="145" t="str">
        <f ca="1">IF($A694="","",IFERROR(INDEX(Market_Data!$U$21:$U$613,MATCH($A694,Market_Data!$T$21:INDEX(Market_Data!$T$21:$T$613,COUNT(Market_Data!$T$21:$T$613)),1)),""))</f>
        <v/>
      </c>
      <c r="I694" s="146" t="str">
        <f ca="1">IF($A694="","",IFERROR(INDEX(Query1[Close],MATCH($A694,Query1[Date],1)),""))</f>
        <v/>
      </c>
    </row>
    <row r="695" spans="1:9" x14ac:dyDescent="0.3">
      <c r="A695" s="144" t="str">
        <f t="shared" ca="1" si="12"/>
        <v/>
      </c>
      <c r="B695" s="145" t="str">
        <f ca="1">IF($A695="","",IFERROR(INDEX(Market_Data!$C$21:$C$613,MATCH($A695,Market_Data!$B$21:INDEX(Market_Data!$B$21:$B$613,COUNT(Market_Data!$B$21:$B$613)),1)),""))</f>
        <v/>
      </c>
      <c r="C695" s="145" t="str">
        <f ca="1">IF($A695="","",IFERROR(INDEX(Market_Data!$F$21:$F$613,MATCH($A695,Market_Data!$E$21:INDEX(Market_Data!$E$21:$E$613,COUNT(Market_Data!$E$21:$E$613)),1)),""))</f>
        <v/>
      </c>
      <c r="D695" s="145" t="str">
        <f ca="1">IF($A695="","",IFERROR(INDEX(Market_Data!$I$21:$I$613,MATCH($A695,Market_Data!$H$21:INDEX(Market_Data!$H$21:$H$613,COUNT(Market_Data!$H$21:$H$613)),1)),""))</f>
        <v/>
      </c>
      <c r="E695" s="145" t="str">
        <f ca="1">IF($A695="","",IFERROR(INDEX(Market_Data!$L$21:$L$613,MATCH($A695,Market_Data!$K$21:INDEX(Market_Data!$K$21:$K$613,COUNT(Market_Data!$K$21:$K$613)),1)),""))</f>
        <v/>
      </c>
      <c r="F695" s="145" t="str">
        <f ca="1">IF($A695="","",IFERROR(INDEX(Market_Data!$O$21:$O$613,MATCH($A695,Market_Data!$N$21:INDEX(Market_Data!$N$21:$N$613,COUNT(Market_Data!$N$21:$N$613)),1)),""))</f>
        <v/>
      </c>
      <c r="G695" s="145" t="str">
        <f ca="1">IF($A695="","",IFERROR(INDEX(Market_Data!$R$21:$R$613,MATCH($A695,Market_Data!$Q$21:INDEX(Market_Data!$Q$21:$Q$613,COUNT(Market_Data!$Q$21:$Q$613)),1)),""))</f>
        <v/>
      </c>
      <c r="H695" s="145" t="str">
        <f ca="1">IF($A695="","",IFERROR(INDEX(Market_Data!$U$21:$U$613,MATCH($A695,Market_Data!$T$21:INDEX(Market_Data!$T$21:$T$613,COUNT(Market_Data!$T$21:$T$613)),1)),""))</f>
        <v/>
      </c>
      <c r="I695" s="146" t="str">
        <f ca="1">IF($A695="","",IFERROR(INDEX(Query1[Close],MATCH($A695,Query1[Date],1)),""))</f>
        <v/>
      </c>
    </row>
    <row r="696" spans="1:9" x14ac:dyDescent="0.3">
      <c r="A696" s="144" t="str">
        <f t="shared" ca="1" si="12"/>
        <v/>
      </c>
      <c r="B696" s="145" t="str">
        <f ca="1">IF($A696="","",IFERROR(INDEX(Market_Data!$C$21:$C$613,MATCH($A696,Market_Data!$B$21:INDEX(Market_Data!$B$21:$B$613,COUNT(Market_Data!$B$21:$B$613)),1)),""))</f>
        <v/>
      </c>
      <c r="C696" s="145" t="str">
        <f ca="1">IF($A696="","",IFERROR(INDEX(Market_Data!$F$21:$F$613,MATCH($A696,Market_Data!$E$21:INDEX(Market_Data!$E$21:$E$613,COUNT(Market_Data!$E$21:$E$613)),1)),""))</f>
        <v/>
      </c>
      <c r="D696" s="145" t="str">
        <f ca="1">IF($A696="","",IFERROR(INDEX(Market_Data!$I$21:$I$613,MATCH($A696,Market_Data!$H$21:INDEX(Market_Data!$H$21:$H$613,COUNT(Market_Data!$H$21:$H$613)),1)),""))</f>
        <v/>
      </c>
      <c r="E696" s="145" t="str">
        <f ca="1">IF($A696="","",IFERROR(INDEX(Market_Data!$L$21:$L$613,MATCH($A696,Market_Data!$K$21:INDEX(Market_Data!$K$21:$K$613,COUNT(Market_Data!$K$21:$K$613)),1)),""))</f>
        <v/>
      </c>
      <c r="F696" s="145" t="str">
        <f ca="1">IF($A696="","",IFERROR(INDEX(Market_Data!$O$21:$O$613,MATCH($A696,Market_Data!$N$21:INDEX(Market_Data!$N$21:$N$613,COUNT(Market_Data!$N$21:$N$613)),1)),""))</f>
        <v/>
      </c>
      <c r="G696" s="145" t="str">
        <f ca="1">IF($A696="","",IFERROR(INDEX(Market_Data!$R$21:$R$613,MATCH($A696,Market_Data!$Q$21:INDEX(Market_Data!$Q$21:$Q$613,COUNT(Market_Data!$Q$21:$Q$613)),1)),""))</f>
        <v/>
      </c>
      <c r="H696" s="145" t="str">
        <f ca="1">IF($A696="","",IFERROR(INDEX(Market_Data!$U$21:$U$613,MATCH($A696,Market_Data!$T$21:INDEX(Market_Data!$T$21:$T$613,COUNT(Market_Data!$T$21:$T$613)),1)),""))</f>
        <v/>
      </c>
      <c r="I696" s="146" t="str">
        <f ca="1">IF($A696="","",IFERROR(INDEX(Query1[Close],MATCH($A696,Query1[Date],1)),""))</f>
        <v/>
      </c>
    </row>
    <row r="697" spans="1:9" x14ac:dyDescent="0.3">
      <c r="A697" s="144" t="str">
        <f t="shared" ca="1" si="12"/>
        <v/>
      </c>
      <c r="B697" s="145" t="str">
        <f ca="1">IF($A697="","",IFERROR(INDEX(Market_Data!$C$21:$C$613,MATCH($A697,Market_Data!$B$21:INDEX(Market_Data!$B$21:$B$613,COUNT(Market_Data!$B$21:$B$613)),1)),""))</f>
        <v/>
      </c>
      <c r="C697" s="145" t="str">
        <f ca="1">IF($A697="","",IFERROR(INDEX(Market_Data!$F$21:$F$613,MATCH($A697,Market_Data!$E$21:INDEX(Market_Data!$E$21:$E$613,COUNT(Market_Data!$E$21:$E$613)),1)),""))</f>
        <v/>
      </c>
      <c r="D697" s="145" t="str">
        <f ca="1">IF($A697="","",IFERROR(INDEX(Market_Data!$I$21:$I$613,MATCH($A697,Market_Data!$H$21:INDEX(Market_Data!$H$21:$H$613,COUNT(Market_Data!$H$21:$H$613)),1)),""))</f>
        <v/>
      </c>
      <c r="E697" s="145" t="str">
        <f ca="1">IF($A697="","",IFERROR(INDEX(Market_Data!$L$21:$L$613,MATCH($A697,Market_Data!$K$21:INDEX(Market_Data!$K$21:$K$613,COUNT(Market_Data!$K$21:$K$613)),1)),""))</f>
        <v/>
      </c>
      <c r="F697" s="145" t="str">
        <f ca="1">IF($A697="","",IFERROR(INDEX(Market_Data!$O$21:$O$613,MATCH($A697,Market_Data!$N$21:INDEX(Market_Data!$N$21:$N$613,COUNT(Market_Data!$N$21:$N$613)),1)),""))</f>
        <v/>
      </c>
      <c r="G697" s="145" t="str">
        <f ca="1">IF($A697="","",IFERROR(INDEX(Market_Data!$R$21:$R$613,MATCH($A697,Market_Data!$Q$21:INDEX(Market_Data!$Q$21:$Q$613,COUNT(Market_Data!$Q$21:$Q$613)),1)),""))</f>
        <v/>
      </c>
      <c r="H697" s="145" t="str">
        <f ca="1">IF($A697="","",IFERROR(INDEX(Market_Data!$U$21:$U$613,MATCH($A697,Market_Data!$T$21:INDEX(Market_Data!$T$21:$T$613,COUNT(Market_Data!$T$21:$T$613)),1)),""))</f>
        <v/>
      </c>
      <c r="I697" s="146" t="str">
        <f ca="1">IF($A697="","",IFERROR(INDEX(Query1[Close],MATCH($A697,Query1[Date],1)),""))</f>
        <v/>
      </c>
    </row>
    <row r="698" spans="1:9" x14ac:dyDescent="0.3">
      <c r="A698" s="144" t="str">
        <f t="shared" ca="1" si="12"/>
        <v/>
      </c>
      <c r="B698" s="145" t="str">
        <f ca="1">IF($A698="","",IFERROR(INDEX(Market_Data!$C$21:$C$613,MATCH($A698,Market_Data!$B$21:INDEX(Market_Data!$B$21:$B$613,COUNT(Market_Data!$B$21:$B$613)),1)),""))</f>
        <v/>
      </c>
      <c r="C698" s="145" t="str">
        <f ca="1">IF($A698="","",IFERROR(INDEX(Market_Data!$F$21:$F$613,MATCH($A698,Market_Data!$E$21:INDEX(Market_Data!$E$21:$E$613,COUNT(Market_Data!$E$21:$E$613)),1)),""))</f>
        <v/>
      </c>
      <c r="D698" s="145" t="str">
        <f ca="1">IF($A698="","",IFERROR(INDEX(Market_Data!$I$21:$I$613,MATCH($A698,Market_Data!$H$21:INDEX(Market_Data!$H$21:$H$613,COUNT(Market_Data!$H$21:$H$613)),1)),""))</f>
        <v/>
      </c>
      <c r="E698" s="145" t="str">
        <f ca="1">IF($A698="","",IFERROR(INDEX(Market_Data!$L$21:$L$613,MATCH($A698,Market_Data!$K$21:INDEX(Market_Data!$K$21:$K$613,COUNT(Market_Data!$K$21:$K$613)),1)),""))</f>
        <v/>
      </c>
      <c r="F698" s="145" t="str">
        <f ca="1">IF($A698="","",IFERROR(INDEX(Market_Data!$O$21:$O$613,MATCH($A698,Market_Data!$N$21:INDEX(Market_Data!$N$21:$N$613,COUNT(Market_Data!$N$21:$N$613)),1)),""))</f>
        <v/>
      </c>
      <c r="G698" s="145" t="str">
        <f ca="1">IF($A698="","",IFERROR(INDEX(Market_Data!$R$21:$R$613,MATCH($A698,Market_Data!$Q$21:INDEX(Market_Data!$Q$21:$Q$613,COUNT(Market_Data!$Q$21:$Q$613)),1)),""))</f>
        <v/>
      </c>
      <c r="H698" s="145" t="str">
        <f ca="1">IF($A698="","",IFERROR(INDEX(Market_Data!$U$21:$U$613,MATCH($A698,Market_Data!$T$21:INDEX(Market_Data!$T$21:$T$613,COUNT(Market_Data!$T$21:$T$613)),1)),""))</f>
        <v/>
      </c>
      <c r="I698" s="146" t="str">
        <f ca="1">IF($A698="","",IFERROR(INDEX(Query1[Close],MATCH($A698,Query1[Date],1)),""))</f>
        <v/>
      </c>
    </row>
    <row r="699" spans="1:9" x14ac:dyDescent="0.3">
      <c r="A699" s="144" t="str">
        <f t="shared" ca="1" si="12"/>
        <v/>
      </c>
      <c r="B699" s="145" t="str">
        <f ca="1">IF($A699="","",IFERROR(INDEX(Market_Data!$C$21:$C$613,MATCH($A699,Market_Data!$B$21:INDEX(Market_Data!$B$21:$B$613,COUNT(Market_Data!$B$21:$B$613)),1)),""))</f>
        <v/>
      </c>
      <c r="C699" s="145" t="str">
        <f ca="1">IF($A699="","",IFERROR(INDEX(Market_Data!$F$21:$F$613,MATCH($A699,Market_Data!$E$21:INDEX(Market_Data!$E$21:$E$613,COUNT(Market_Data!$E$21:$E$613)),1)),""))</f>
        <v/>
      </c>
      <c r="D699" s="145" t="str">
        <f ca="1">IF($A699="","",IFERROR(INDEX(Market_Data!$I$21:$I$613,MATCH($A699,Market_Data!$H$21:INDEX(Market_Data!$H$21:$H$613,COUNT(Market_Data!$H$21:$H$613)),1)),""))</f>
        <v/>
      </c>
      <c r="E699" s="145" t="str">
        <f ca="1">IF($A699="","",IFERROR(INDEX(Market_Data!$L$21:$L$613,MATCH($A699,Market_Data!$K$21:INDEX(Market_Data!$K$21:$K$613,COUNT(Market_Data!$K$21:$K$613)),1)),""))</f>
        <v/>
      </c>
      <c r="F699" s="145" t="str">
        <f ca="1">IF($A699="","",IFERROR(INDEX(Market_Data!$O$21:$O$613,MATCH($A699,Market_Data!$N$21:INDEX(Market_Data!$N$21:$N$613,COUNT(Market_Data!$N$21:$N$613)),1)),""))</f>
        <v/>
      </c>
      <c r="G699" s="145" t="str">
        <f ca="1">IF($A699="","",IFERROR(INDEX(Market_Data!$R$21:$R$613,MATCH($A699,Market_Data!$Q$21:INDEX(Market_Data!$Q$21:$Q$613,COUNT(Market_Data!$Q$21:$Q$613)),1)),""))</f>
        <v/>
      </c>
      <c r="H699" s="145" t="str">
        <f ca="1">IF($A699="","",IFERROR(INDEX(Market_Data!$U$21:$U$613,MATCH($A699,Market_Data!$T$21:INDEX(Market_Data!$T$21:$T$613,COUNT(Market_Data!$T$21:$T$613)),1)),""))</f>
        <v/>
      </c>
      <c r="I699" s="146" t="str">
        <f ca="1">IF($A699="","",IFERROR(INDEX(Query1[Close],MATCH($A699,Query1[Date],1)),""))</f>
        <v/>
      </c>
    </row>
    <row r="700" spans="1:9" x14ac:dyDescent="0.3">
      <c r="A700" s="144" t="str">
        <f t="shared" ca="1" si="12"/>
        <v/>
      </c>
      <c r="B700" s="145" t="str">
        <f ca="1">IF($A700="","",IFERROR(INDEX(Market_Data!$C$21:$C$613,MATCH($A700,Market_Data!$B$21:INDEX(Market_Data!$B$21:$B$613,COUNT(Market_Data!$B$21:$B$613)),1)),""))</f>
        <v/>
      </c>
      <c r="C700" s="145" t="str">
        <f ca="1">IF($A700="","",IFERROR(INDEX(Market_Data!$F$21:$F$613,MATCH($A700,Market_Data!$E$21:INDEX(Market_Data!$E$21:$E$613,COUNT(Market_Data!$E$21:$E$613)),1)),""))</f>
        <v/>
      </c>
      <c r="D700" s="145" t="str">
        <f ca="1">IF($A700="","",IFERROR(INDEX(Market_Data!$I$21:$I$613,MATCH($A700,Market_Data!$H$21:INDEX(Market_Data!$H$21:$H$613,COUNT(Market_Data!$H$21:$H$613)),1)),""))</f>
        <v/>
      </c>
      <c r="E700" s="145" t="str">
        <f ca="1">IF($A700="","",IFERROR(INDEX(Market_Data!$L$21:$L$613,MATCH($A700,Market_Data!$K$21:INDEX(Market_Data!$K$21:$K$613,COUNT(Market_Data!$K$21:$K$613)),1)),""))</f>
        <v/>
      </c>
      <c r="F700" s="145" t="str">
        <f ca="1">IF($A700="","",IFERROR(INDEX(Market_Data!$O$21:$O$613,MATCH($A700,Market_Data!$N$21:INDEX(Market_Data!$N$21:$N$613,COUNT(Market_Data!$N$21:$N$613)),1)),""))</f>
        <v/>
      </c>
      <c r="G700" s="145" t="str">
        <f ca="1">IF($A700="","",IFERROR(INDEX(Market_Data!$R$21:$R$613,MATCH($A700,Market_Data!$Q$21:INDEX(Market_Data!$Q$21:$Q$613,COUNT(Market_Data!$Q$21:$Q$613)),1)),""))</f>
        <v/>
      </c>
      <c r="H700" s="145" t="str">
        <f ca="1">IF($A700="","",IFERROR(INDEX(Market_Data!$U$21:$U$613,MATCH($A700,Market_Data!$T$21:INDEX(Market_Data!$T$21:$T$613,COUNT(Market_Data!$T$21:$T$613)),1)),""))</f>
        <v/>
      </c>
      <c r="I700" s="146" t="str">
        <f ca="1">IF($A700="","",IFERROR(INDEX(Query1[Close],MATCH($A700,Query1[Date],1)),""))</f>
        <v/>
      </c>
    </row>
    <row r="701" spans="1:9" x14ac:dyDescent="0.3">
      <c r="A701" s="144" t="str">
        <f t="shared" ca="1" si="12"/>
        <v/>
      </c>
      <c r="B701" s="145" t="str">
        <f ca="1">IF($A701="","",IFERROR(INDEX(Market_Data!$C$21:$C$613,MATCH($A701,Market_Data!$B$21:INDEX(Market_Data!$B$21:$B$613,COUNT(Market_Data!$B$21:$B$613)),1)),""))</f>
        <v/>
      </c>
      <c r="C701" s="145" t="str">
        <f ca="1">IF($A701="","",IFERROR(INDEX(Market_Data!$F$21:$F$613,MATCH($A701,Market_Data!$E$21:INDEX(Market_Data!$E$21:$E$613,COUNT(Market_Data!$E$21:$E$613)),1)),""))</f>
        <v/>
      </c>
      <c r="D701" s="145" t="str">
        <f ca="1">IF($A701="","",IFERROR(INDEX(Market_Data!$I$21:$I$613,MATCH($A701,Market_Data!$H$21:INDEX(Market_Data!$H$21:$H$613,COUNT(Market_Data!$H$21:$H$613)),1)),""))</f>
        <v/>
      </c>
      <c r="E701" s="145" t="str">
        <f ca="1">IF($A701="","",IFERROR(INDEX(Market_Data!$L$21:$L$613,MATCH($A701,Market_Data!$K$21:INDEX(Market_Data!$K$21:$K$613,COUNT(Market_Data!$K$21:$K$613)),1)),""))</f>
        <v/>
      </c>
      <c r="F701" s="145" t="str">
        <f ca="1">IF($A701="","",IFERROR(INDEX(Market_Data!$O$21:$O$613,MATCH($A701,Market_Data!$N$21:INDEX(Market_Data!$N$21:$N$613,COUNT(Market_Data!$N$21:$N$613)),1)),""))</f>
        <v/>
      </c>
      <c r="G701" s="145" t="str">
        <f ca="1">IF($A701="","",IFERROR(INDEX(Market_Data!$R$21:$R$613,MATCH($A701,Market_Data!$Q$21:INDEX(Market_Data!$Q$21:$Q$613,COUNT(Market_Data!$Q$21:$Q$613)),1)),""))</f>
        <v/>
      </c>
      <c r="H701" s="145" t="str">
        <f ca="1">IF($A701="","",IFERROR(INDEX(Market_Data!$U$21:$U$613,MATCH($A701,Market_Data!$T$21:INDEX(Market_Data!$T$21:$T$613,COUNT(Market_Data!$T$21:$T$613)),1)),""))</f>
        <v/>
      </c>
      <c r="I701" s="146" t="str">
        <f ca="1">IF($A701="","",IFERROR(INDEX(Query1[Close],MATCH($A701,Query1[Date],1)),""))</f>
        <v/>
      </c>
    </row>
    <row r="702" spans="1:9" x14ac:dyDescent="0.3">
      <c r="A702" s="144" t="str">
        <f t="shared" ca="1" si="12"/>
        <v/>
      </c>
      <c r="B702" s="145" t="str">
        <f ca="1">IF($A702="","",IFERROR(INDEX(Market_Data!$C$21:$C$613,MATCH($A702,Market_Data!$B$21:INDEX(Market_Data!$B$21:$B$613,COUNT(Market_Data!$B$21:$B$613)),1)),""))</f>
        <v/>
      </c>
      <c r="C702" s="145" t="str">
        <f ca="1">IF($A702="","",IFERROR(INDEX(Market_Data!$F$21:$F$613,MATCH($A702,Market_Data!$E$21:INDEX(Market_Data!$E$21:$E$613,COUNT(Market_Data!$E$21:$E$613)),1)),""))</f>
        <v/>
      </c>
      <c r="D702" s="145" t="str">
        <f ca="1">IF($A702="","",IFERROR(INDEX(Market_Data!$I$21:$I$613,MATCH($A702,Market_Data!$H$21:INDEX(Market_Data!$H$21:$H$613,COUNT(Market_Data!$H$21:$H$613)),1)),""))</f>
        <v/>
      </c>
      <c r="E702" s="145" t="str">
        <f ca="1">IF($A702="","",IFERROR(INDEX(Market_Data!$L$21:$L$613,MATCH($A702,Market_Data!$K$21:INDEX(Market_Data!$K$21:$K$613,COUNT(Market_Data!$K$21:$K$613)),1)),""))</f>
        <v/>
      </c>
      <c r="F702" s="145" t="str">
        <f ca="1">IF($A702="","",IFERROR(INDEX(Market_Data!$O$21:$O$613,MATCH($A702,Market_Data!$N$21:INDEX(Market_Data!$N$21:$N$613,COUNT(Market_Data!$N$21:$N$613)),1)),""))</f>
        <v/>
      </c>
      <c r="G702" s="145" t="str">
        <f ca="1">IF($A702="","",IFERROR(INDEX(Market_Data!$R$21:$R$613,MATCH($A702,Market_Data!$Q$21:INDEX(Market_Data!$Q$21:$Q$613,COUNT(Market_Data!$Q$21:$Q$613)),1)),""))</f>
        <v/>
      </c>
      <c r="H702" s="145" t="str">
        <f ca="1">IF($A702="","",IFERROR(INDEX(Market_Data!$U$21:$U$613,MATCH($A702,Market_Data!$T$21:INDEX(Market_Data!$T$21:$T$613,COUNT(Market_Data!$T$21:$T$613)),1)),""))</f>
        <v/>
      </c>
      <c r="I702" s="146" t="str">
        <f ca="1">IF($A702="","",IFERROR(INDEX(Query1[Close],MATCH($A702,Query1[Date],1)),""))</f>
        <v/>
      </c>
    </row>
    <row r="703" spans="1:9" x14ac:dyDescent="0.3">
      <c r="A703" s="144" t="str">
        <f t="shared" ca="1" si="12"/>
        <v/>
      </c>
      <c r="B703" s="145" t="str">
        <f ca="1">IF($A703="","",IFERROR(INDEX(Market_Data!$C$21:$C$613,MATCH($A703,Market_Data!$B$21:INDEX(Market_Data!$B$21:$B$613,COUNT(Market_Data!$B$21:$B$613)),1)),""))</f>
        <v/>
      </c>
      <c r="C703" s="145" t="str">
        <f ca="1">IF($A703="","",IFERROR(INDEX(Market_Data!$F$21:$F$613,MATCH($A703,Market_Data!$E$21:INDEX(Market_Data!$E$21:$E$613,COUNT(Market_Data!$E$21:$E$613)),1)),""))</f>
        <v/>
      </c>
      <c r="D703" s="145" t="str">
        <f ca="1">IF($A703="","",IFERROR(INDEX(Market_Data!$I$21:$I$613,MATCH($A703,Market_Data!$H$21:INDEX(Market_Data!$H$21:$H$613,COUNT(Market_Data!$H$21:$H$613)),1)),""))</f>
        <v/>
      </c>
      <c r="E703" s="145" t="str">
        <f ca="1">IF($A703="","",IFERROR(INDEX(Market_Data!$L$21:$L$613,MATCH($A703,Market_Data!$K$21:INDEX(Market_Data!$K$21:$K$613,COUNT(Market_Data!$K$21:$K$613)),1)),""))</f>
        <v/>
      </c>
      <c r="F703" s="145" t="str">
        <f ca="1">IF($A703="","",IFERROR(INDEX(Market_Data!$O$21:$O$613,MATCH($A703,Market_Data!$N$21:INDEX(Market_Data!$N$21:$N$613,COUNT(Market_Data!$N$21:$N$613)),1)),""))</f>
        <v/>
      </c>
      <c r="G703" s="145" t="str">
        <f ca="1">IF($A703="","",IFERROR(INDEX(Market_Data!$R$21:$R$613,MATCH($A703,Market_Data!$Q$21:INDEX(Market_Data!$Q$21:$Q$613,COUNT(Market_Data!$Q$21:$Q$613)),1)),""))</f>
        <v/>
      </c>
      <c r="H703" s="145" t="str">
        <f ca="1">IF($A703="","",IFERROR(INDEX(Market_Data!$U$21:$U$613,MATCH($A703,Market_Data!$T$21:INDEX(Market_Data!$T$21:$T$613,COUNT(Market_Data!$T$21:$T$613)),1)),""))</f>
        <v/>
      </c>
      <c r="I703" s="146" t="str">
        <f ca="1">IF($A703="","",IFERROR(INDEX(Query1[Close],MATCH($A703,Query1[Date],1)),""))</f>
        <v/>
      </c>
    </row>
    <row r="704" spans="1:9" x14ac:dyDescent="0.3">
      <c r="A704" s="144" t="str">
        <f t="shared" ca="1" si="12"/>
        <v/>
      </c>
      <c r="B704" s="145" t="str">
        <f ca="1">IF($A704="","",IFERROR(INDEX(Market_Data!$C$21:$C$613,MATCH($A704,Market_Data!$B$21:INDEX(Market_Data!$B$21:$B$613,COUNT(Market_Data!$B$21:$B$613)),1)),""))</f>
        <v/>
      </c>
      <c r="C704" s="145" t="str">
        <f ca="1">IF($A704="","",IFERROR(INDEX(Market_Data!$F$21:$F$613,MATCH($A704,Market_Data!$E$21:INDEX(Market_Data!$E$21:$E$613,COUNT(Market_Data!$E$21:$E$613)),1)),""))</f>
        <v/>
      </c>
      <c r="D704" s="145" t="str">
        <f ca="1">IF($A704="","",IFERROR(INDEX(Market_Data!$I$21:$I$613,MATCH($A704,Market_Data!$H$21:INDEX(Market_Data!$H$21:$H$613,COUNT(Market_Data!$H$21:$H$613)),1)),""))</f>
        <v/>
      </c>
      <c r="E704" s="145" t="str">
        <f ca="1">IF($A704="","",IFERROR(INDEX(Market_Data!$L$21:$L$613,MATCH($A704,Market_Data!$K$21:INDEX(Market_Data!$K$21:$K$613,COUNT(Market_Data!$K$21:$K$613)),1)),""))</f>
        <v/>
      </c>
      <c r="F704" s="145" t="str">
        <f ca="1">IF($A704="","",IFERROR(INDEX(Market_Data!$O$21:$O$613,MATCH($A704,Market_Data!$N$21:INDEX(Market_Data!$N$21:$N$613,COUNT(Market_Data!$N$21:$N$613)),1)),""))</f>
        <v/>
      </c>
      <c r="G704" s="145" t="str">
        <f ca="1">IF($A704="","",IFERROR(INDEX(Market_Data!$R$21:$R$613,MATCH($A704,Market_Data!$Q$21:INDEX(Market_Data!$Q$21:$Q$613,COUNT(Market_Data!$Q$21:$Q$613)),1)),""))</f>
        <v/>
      </c>
      <c r="H704" s="145" t="str">
        <f ca="1">IF($A704="","",IFERROR(INDEX(Market_Data!$U$21:$U$613,MATCH($A704,Market_Data!$T$21:INDEX(Market_Data!$T$21:$T$613,COUNT(Market_Data!$T$21:$T$613)),1)),""))</f>
        <v/>
      </c>
      <c r="I704" s="146" t="str">
        <f ca="1">IF($A704="","",IFERROR(INDEX(Query1[Close],MATCH($A704,Query1[Date],1)),""))</f>
        <v/>
      </c>
    </row>
    <row r="705" spans="1:9" x14ac:dyDescent="0.3">
      <c r="A705" s="144" t="str">
        <f t="shared" ca="1" si="12"/>
        <v/>
      </c>
      <c r="B705" s="145" t="str">
        <f ca="1">IF($A705="","",IFERROR(INDEX(Market_Data!$C$21:$C$613,MATCH($A705,Market_Data!$B$21:INDEX(Market_Data!$B$21:$B$613,COUNT(Market_Data!$B$21:$B$613)),1)),""))</f>
        <v/>
      </c>
      <c r="C705" s="145" t="str">
        <f ca="1">IF($A705="","",IFERROR(INDEX(Market_Data!$F$21:$F$613,MATCH($A705,Market_Data!$E$21:INDEX(Market_Data!$E$21:$E$613,COUNT(Market_Data!$E$21:$E$613)),1)),""))</f>
        <v/>
      </c>
      <c r="D705" s="145" t="str">
        <f ca="1">IF($A705="","",IFERROR(INDEX(Market_Data!$I$21:$I$613,MATCH($A705,Market_Data!$H$21:INDEX(Market_Data!$H$21:$H$613,COUNT(Market_Data!$H$21:$H$613)),1)),""))</f>
        <v/>
      </c>
      <c r="E705" s="145" t="str">
        <f ca="1">IF($A705="","",IFERROR(INDEX(Market_Data!$L$21:$L$613,MATCH($A705,Market_Data!$K$21:INDEX(Market_Data!$K$21:$K$613,COUNT(Market_Data!$K$21:$K$613)),1)),""))</f>
        <v/>
      </c>
      <c r="F705" s="145" t="str">
        <f ca="1">IF($A705="","",IFERROR(INDEX(Market_Data!$O$21:$O$613,MATCH($A705,Market_Data!$N$21:INDEX(Market_Data!$N$21:$N$613,COUNT(Market_Data!$N$21:$N$613)),1)),""))</f>
        <v/>
      </c>
      <c r="G705" s="145" t="str">
        <f ca="1">IF($A705="","",IFERROR(INDEX(Market_Data!$R$21:$R$613,MATCH($A705,Market_Data!$Q$21:INDEX(Market_Data!$Q$21:$Q$613,COUNT(Market_Data!$Q$21:$Q$613)),1)),""))</f>
        <v/>
      </c>
      <c r="H705" s="145" t="str">
        <f ca="1">IF($A705="","",IFERROR(INDEX(Market_Data!$U$21:$U$613,MATCH($A705,Market_Data!$T$21:INDEX(Market_Data!$T$21:$T$613,COUNT(Market_Data!$T$21:$T$613)),1)),""))</f>
        <v/>
      </c>
      <c r="I705" s="146" t="str">
        <f ca="1">IF($A705="","",IFERROR(INDEX(Query1[Close],MATCH($A705,Query1[Date],1)),""))</f>
        <v/>
      </c>
    </row>
    <row r="706" spans="1:9" x14ac:dyDescent="0.3">
      <c r="A706" s="144" t="str">
        <f t="shared" ca="1" si="12"/>
        <v/>
      </c>
      <c r="B706" s="145" t="str">
        <f ca="1">IF($A706="","",IFERROR(INDEX(Market_Data!$C$21:$C$613,MATCH($A706,Market_Data!$B$21:INDEX(Market_Data!$B$21:$B$613,COUNT(Market_Data!$B$21:$B$613)),1)),""))</f>
        <v/>
      </c>
      <c r="C706" s="145" t="str">
        <f ca="1">IF($A706="","",IFERROR(INDEX(Market_Data!$F$21:$F$613,MATCH($A706,Market_Data!$E$21:INDEX(Market_Data!$E$21:$E$613,COUNT(Market_Data!$E$21:$E$613)),1)),""))</f>
        <v/>
      </c>
      <c r="D706" s="145" t="str">
        <f ca="1">IF($A706="","",IFERROR(INDEX(Market_Data!$I$21:$I$613,MATCH($A706,Market_Data!$H$21:INDEX(Market_Data!$H$21:$H$613,COUNT(Market_Data!$H$21:$H$613)),1)),""))</f>
        <v/>
      </c>
      <c r="E706" s="145" t="str">
        <f ca="1">IF($A706="","",IFERROR(INDEX(Market_Data!$L$21:$L$613,MATCH($A706,Market_Data!$K$21:INDEX(Market_Data!$K$21:$K$613,COUNT(Market_Data!$K$21:$K$613)),1)),""))</f>
        <v/>
      </c>
      <c r="F706" s="145" t="str">
        <f ca="1">IF($A706="","",IFERROR(INDEX(Market_Data!$O$21:$O$613,MATCH($A706,Market_Data!$N$21:INDEX(Market_Data!$N$21:$N$613,COUNT(Market_Data!$N$21:$N$613)),1)),""))</f>
        <v/>
      </c>
      <c r="G706" s="145" t="str">
        <f ca="1">IF($A706="","",IFERROR(INDEX(Market_Data!$R$21:$R$613,MATCH($A706,Market_Data!$Q$21:INDEX(Market_Data!$Q$21:$Q$613,COUNT(Market_Data!$Q$21:$Q$613)),1)),""))</f>
        <v/>
      </c>
      <c r="H706" s="145" t="str">
        <f ca="1">IF($A706="","",IFERROR(INDEX(Market_Data!$U$21:$U$613,MATCH($A706,Market_Data!$T$21:INDEX(Market_Data!$T$21:$T$613,COUNT(Market_Data!$T$21:$T$613)),1)),""))</f>
        <v/>
      </c>
      <c r="I706" s="146" t="str">
        <f ca="1">IF($A706="","",IFERROR(INDEX(Query1[Close],MATCH($A706,Query1[Date],1)),""))</f>
        <v/>
      </c>
    </row>
    <row r="707" spans="1:9" x14ac:dyDescent="0.3">
      <c r="A707" s="144" t="str">
        <f t="shared" ca="1" si="12"/>
        <v/>
      </c>
      <c r="B707" s="145" t="str">
        <f ca="1">IF($A707="","",IFERROR(INDEX(Market_Data!$C$21:$C$613,MATCH($A707,Market_Data!$B$21:INDEX(Market_Data!$B$21:$B$613,COUNT(Market_Data!$B$21:$B$613)),1)),""))</f>
        <v/>
      </c>
      <c r="C707" s="145" t="str">
        <f ca="1">IF($A707="","",IFERROR(INDEX(Market_Data!$F$21:$F$613,MATCH($A707,Market_Data!$E$21:INDEX(Market_Data!$E$21:$E$613,COUNT(Market_Data!$E$21:$E$613)),1)),""))</f>
        <v/>
      </c>
      <c r="D707" s="145" t="str">
        <f ca="1">IF($A707="","",IFERROR(INDEX(Market_Data!$I$21:$I$613,MATCH($A707,Market_Data!$H$21:INDEX(Market_Data!$H$21:$H$613,COUNT(Market_Data!$H$21:$H$613)),1)),""))</f>
        <v/>
      </c>
      <c r="E707" s="145" t="str">
        <f ca="1">IF($A707="","",IFERROR(INDEX(Market_Data!$L$21:$L$613,MATCH($A707,Market_Data!$K$21:INDEX(Market_Data!$K$21:$K$613,COUNT(Market_Data!$K$21:$K$613)),1)),""))</f>
        <v/>
      </c>
      <c r="F707" s="145" t="str">
        <f ca="1">IF($A707="","",IFERROR(INDEX(Market_Data!$O$21:$O$613,MATCH($A707,Market_Data!$N$21:INDEX(Market_Data!$N$21:$N$613,COUNT(Market_Data!$N$21:$N$613)),1)),""))</f>
        <v/>
      </c>
      <c r="G707" s="145" t="str">
        <f ca="1">IF($A707="","",IFERROR(INDEX(Market_Data!$R$21:$R$613,MATCH($A707,Market_Data!$Q$21:INDEX(Market_Data!$Q$21:$Q$613,COUNT(Market_Data!$Q$21:$Q$613)),1)),""))</f>
        <v/>
      </c>
      <c r="H707" s="145" t="str">
        <f ca="1">IF($A707="","",IFERROR(INDEX(Market_Data!$U$21:$U$613,MATCH($A707,Market_Data!$T$21:INDEX(Market_Data!$T$21:$T$613,COUNT(Market_Data!$T$21:$T$613)),1)),""))</f>
        <v/>
      </c>
      <c r="I707" s="146" t="str">
        <f ca="1">IF($A707="","",IFERROR(INDEX(Query1[Close],MATCH($A707,Query1[Date],1)),""))</f>
        <v/>
      </c>
    </row>
    <row r="708" spans="1:9" x14ac:dyDescent="0.3">
      <c r="A708" s="144" t="str">
        <f t="shared" ca="1" si="12"/>
        <v/>
      </c>
      <c r="B708" s="145" t="str">
        <f ca="1">IF($A708="","",IFERROR(INDEX(Market_Data!$C$21:$C$613,MATCH($A708,Market_Data!$B$21:INDEX(Market_Data!$B$21:$B$613,COUNT(Market_Data!$B$21:$B$613)),1)),""))</f>
        <v/>
      </c>
      <c r="C708" s="145" t="str">
        <f ca="1">IF($A708="","",IFERROR(INDEX(Market_Data!$F$21:$F$613,MATCH($A708,Market_Data!$E$21:INDEX(Market_Data!$E$21:$E$613,COUNT(Market_Data!$E$21:$E$613)),1)),""))</f>
        <v/>
      </c>
      <c r="D708" s="145" t="str">
        <f ca="1">IF($A708="","",IFERROR(INDEX(Market_Data!$I$21:$I$613,MATCH($A708,Market_Data!$H$21:INDEX(Market_Data!$H$21:$H$613,COUNT(Market_Data!$H$21:$H$613)),1)),""))</f>
        <v/>
      </c>
      <c r="E708" s="145" t="str">
        <f ca="1">IF($A708="","",IFERROR(INDEX(Market_Data!$L$21:$L$613,MATCH($A708,Market_Data!$K$21:INDEX(Market_Data!$K$21:$K$613,COUNT(Market_Data!$K$21:$K$613)),1)),""))</f>
        <v/>
      </c>
      <c r="F708" s="145" t="str">
        <f ca="1">IF($A708="","",IFERROR(INDEX(Market_Data!$O$21:$O$613,MATCH($A708,Market_Data!$N$21:INDEX(Market_Data!$N$21:$N$613,COUNT(Market_Data!$N$21:$N$613)),1)),""))</f>
        <v/>
      </c>
      <c r="G708" s="145" t="str">
        <f ca="1">IF($A708="","",IFERROR(INDEX(Market_Data!$R$21:$R$613,MATCH($A708,Market_Data!$Q$21:INDEX(Market_Data!$Q$21:$Q$613,COUNT(Market_Data!$Q$21:$Q$613)),1)),""))</f>
        <v/>
      </c>
      <c r="H708" s="145" t="str">
        <f ca="1">IF($A708="","",IFERROR(INDEX(Market_Data!$U$21:$U$613,MATCH($A708,Market_Data!$T$21:INDEX(Market_Data!$T$21:$T$613,COUNT(Market_Data!$T$21:$T$613)),1)),""))</f>
        <v/>
      </c>
      <c r="I708" s="146" t="str">
        <f ca="1">IF($A708="","",IFERROR(INDEX(Query1[Close],MATCH($A708,Query1[Date],1)),""))</f>
        <v/>
      </c>
    </row>
    <row r="709" spans="1:9" x14ac:dyDescent="0.3">
      <c r="A709" s="144" t="str">
        <f t="shared" ca="1" si="12"/>
        <v/>
      </c>
      <c r="B709" s="145" t="str">
        <f ca="1">IF($A709="","",IFERROR(INDEX(Market_Data!$C$21:$C$613,MATCH($A709,Market_Data!$B$21:INDEX(Market_Data!$B$21:$B$613,COUNT(Market_Data!$B$21:$B$613)),1)),""))</f>
        <v/>
      </c>
      <c r="C709" s="145" t="str">
        <f ca="1">IF($A709="","",IFERROR(INDEX(Market_Data!$F$21:$F$613,MATCH($A709,Market_Data!$E$21:INDEX(Market_Data!$E$21:$E$613,COUNT(Market_Data!$E$21:$E$613)),1)),""))</f>
        <v/>
      </c>
      <c r="D709" s="145" t="str">
        <f ca="1">IF($A709="","",IFERROR(INDEX(Market_Data!$I$21:$I$613,MATCH($A709,Market_Data!$H$21:INDEX(Market_Data!$H$21:$H$613,COUNT(Market_Data!$H$21:$H$613)),1)),""))</f>
        <v/>
      </c>
      <c r="E709" s="145" t="str">
        <f ca="1">IF($A709="","",IFERROR(INDEX(Market_Data!$L$21:$L$613,MATCH($A709,Market_Data!$K$21:INDEX(Market_Data!$K$21:$K$613,COUNT(Market_Data!$K$21:$K$613)),1)),""))</f>
        <v/>
      </c>
      <c r="F709" s="145" t="str">
        <f ca="1">IF($A709="","",IFERROR(INDEX(Market_Data!$O$21:$O$613,MATCH($A709,Market_Data!$N$21:INDEX(Market_Data!$N$21:$N$613,COUNT(Market_Data!$N$21:$N$613)),1)),""))</f>
        <v/>
      </c>
      <c r="G709" s="145" t="str">
        <f ca="1">IF($A709="","",IFERROR(INDEX(Market_Data!$R$21:$R$613,MATCH($A709,Market_Data!$Q$21:INDEX(Market_Data!$Q$21:$Q$613,COUNT(Market_Data!$Q$21:$Q$613)),1)),""))</f>
        <v/>
      </c>
      <c r="H709" s="145" t="str">
        <f ca="1">IF($A709="","",IFERROR(INDEX(Market_Data!$U$21:$U$613,MATCH($A709,Market_Data!$T$21:INDEX(Market_Data!$T$21:$T$613,COUNT(Market_Data!$T$21:$T$613)),1)),""))</f>
        <v/>
      </c>
      <c r="I709" s="146" t="str">
        <f ca="1">IF($A709="","",IFERROR(INDEX(Query1[Close],MATCH($A709,Query1[Date],1)),""))</f>
        <v/>
      </c>
    </row>
    <row r="710" spans="1:9" x14ac:dyDescent="0.3">
      <c r="A710" s="144" t="str">
        <f t="shared" ref="A710:A773" ca="1" si="13">IF($A709="","",IF($A709+7&lt;=TODAY(),$A709+7,""))</f>
        <v/>
      </c>
      <c r="B710" s="145" t="str">
        <f ca="1">IF($A710="","",IFERROR(INDEX(Market_Data!$C$21:$C$613,MATCH($A710,Market_Data!$B$21:INDEX(Market_Data!$B$21:$B$613,COUNT(Market_Data!$B$21:$B$613)),1)),""))</f>
        <v/>
      </c>
      <c r="C710" s="145" t="str">
        <f ca="1">IF($A710="","",IFERROR(INDEX(Market_Data!$F$21:$F$613,MATCH($A710,Market_Data!$E$21:INDEX(Market_Data!$E$21:$E$613,COUNT(Market_Data!$E$21:$E$613)),1)),""))</f>
        <v/>
      </c>
      <c r="D710" s="145" t="str">
        <f ca="1">IF($A710="","",IFERROR(INDEX(Market_Data!$I$21:$I$613,MATCH($A710,Market_Data!$H$21:INDEX(Market_Data!$H$21:$H$613,COUNT(Market_Data!$H$21:$H$613)),1)),""))</f>
        <v/>
      </c>
      <c r="E710" s="145" t="str">
        <f ca="1">IF($A710="","",IFERROR(INDEX(Market_Data!$L$21:$L$613,MATCH($A710,Market_Data!$K$21:INDEX(Market_Data!$K$21:$K$613,COUNT(Market_Data!$K$21:$K$613)),1)),""))</f>
        <v/>
      </c>
      <c r="F710" s="145" t="str">
        <f ca="1">IF($A710="","",IFERROR(INDEX(Market_Data!$O$21:$O$613,MATCH($A710,Market_Data!$N$21:INDEX(Market_Data!$N$21:$N$613,COUNT(Market_Data!$N$21:$N$613)),1)),""))</f>
        <v/>
      </c>
      <c r="G710" s="145" t="str">
        <f ca="1">IF($A710="","",IFERROR(INDEX(Market_Data!$R$21:$R$613,MATCH($A710,Market_Data!$Q$21:INDEX(Market_Data!$Q$21:$Q$613,COUNT(Market_Data!$Q$21:$Q$613)),1)),""))</f>
        <v/>
      </c>
      <c r="H710" s="145" t="str">
        <f ca="1">IF($A710="","",IFERROR(INDEX(Market_Data!$U$21:$U$613,MATCH($A710,Market_Data!$T$21:INDEX(Market_Data!$T$21:$T$613,COUNT(Market_Data!$T$21:$T$613)),1)),""))</f>
        <v/>
      </c>
      <c r="I710" s="146" t="str">
        <f ca="1">IF($A710="","",IFERROR(INDEX(Query1[Close],MATCH($A710,Query1[Date],1)),""))</f>
        <v/>
      </c>
    </row>
    <row r="711" spans="1:9" x14ac:dyDescent="0.3">
      <c r="A711" s="144" t="str">
        <f t="shared" ca="1" si="13"/>
        <v/>
      </c>
      <c r="B711" s="145" t="str">
        <f ca="1">IF($A711="","",IFERROR(INDEX(Market_Data!$C$21:$C$613,MATCH($A711,Market_Data!$B$21:INDEX(Market_Data!$B$21:$B$613,COUNT(Market_Data!$B$21:$B$613)),1)),""))</f>
        <v/>
      </c>
      <c r="C711" s="145" t="str">
        <f ca="1">IF($A711="","",IFERROR(INDEX(Market_Data!$F$21:$F$613,MATCH($A711,Market_Data!$E$21:INDEX(Market_Data!$E$21:$E$613,COUNT(Market_Data!$E$21:$E$613)),1)),""))</f>
        <v/>
      </c>
      <c r="D711" s="145" t="str">
        <f ca="1">IF($A711="","",IFERROR(INDEX(Market_Data!$I$21:$I$613,MATCH($A711,Market_Data!$H$21:INDEX(Market_Data!$H$21:$H$613,COUNT(Market_Data!$H$21:$H$613)),1)),""))</f>
        <v/>
      </c>
      <c r="E711" s="145" t="str">
        <f ca="1">IF($A711="","",IFERROR(INDEX(Market_Data!$L$21:$L$613,MATCH($A711,Market_Data!$K$21:INDEX(Market_Data!$K$21:$K$613,COUNT(Market_Data!$K$21:$K$613)),1)),""))</f>
        <v/>
      </c>
      <c r="F711" s="145" t="str">
        <f ca="1">IF($A711="","",IFERROR(INDEX(Market_Data!$O$21:$O$613,MATCH($A711,Market_Data!$N$21:INDEX(Market_Data!$N$21:$N$613,COUNT(Market_Data!$N$21:$N$613)),1)),""))</f>
        <v/>
      </c>
      <c r="G711" s="145" t="str">
        <f ca="1">IF($A711="","",IFERROR(INDEX(Market_Data!$R$21:$R$613,MATCH($A711,Market_Data!$Q$21:INDEX(Market_Data!$Q$21:$Q$613,COUNT(Market_Data!$Q$21:$Q$613)),1)),""))</f>
        <v/>
      </c>
      <c r="H711" s="145" t="str">
        <f ca="1">IF($A711="","",IFERROR(INDEX(Market_Data!$U$21:$U$613,MATCH($A711,Market_Data!$T$21:INDEX(Market_Data!$T$21:$T$613,COUNT(Market_Data!$T$21:$T$613)),1)),""))</f>
        <v/>
      </c>
      <c r="I711" s="146" t="str">
        <f ca="1">IF($A711="","",IFERROR(INDEX(Query1[Close],MATCH($A711,Query1[Date],1)),""))</f>
        <v/>
      </c>
    </row>
    <row r="712" spans="1:9" x14ac:dyDescent="0.3">
      <c r="A712" s="144" t="str">
        <f t="shared" ca="1" si="13"/>
        <v/>
      </c>
      <c r="B712" s="145" t="str">
        <f ca="1">IF($A712="","",IFERROR(INDEX(Market_Data!$C$21:$C$613,MATCH($A712,Market_Data!$B$21:INDEX(Market_Data!$B$21:$B$613,COUNT(Market_Data!$B$21:$B$613)),1)),""))</f>
        <v/>
      </c>
      <c r="C712" s="145" t="str">
        <f ca="1">IF($A712="","",IFERROR(INDEX(Market_Data!$F$21:$F$613,MATCH($A712,Market_Data!$E$21:INDEX(Market_Data!$E$21:$E$613,COUNT(Market_Data!$E$21:$E$613)),1)),""))</f>
        <v/>
      </c>
      <c r="D712" s="145" t="str">
        <f ca="1">IF($A712="","",IFERROR(INDEX(Market_Data!$I$21:$I$613,MATCH($A712,Market_Data!$H$21:INDEX(Market_Data!$H$21:$H$613,COUNT(Market_Data!$H$21:$H$613)),1)),""))</f>
        <v/>
      </c>
      <c r="E712" s="145" t="str">
        <f ca="1">IF($A712="","",IFERROR(INDEX(Market_Data!$L$21:$L$613,MATCH($A712,Market_Data!$K$21:INDEX(Market_Data!$K$21:$K$613,COUNT(Market_Data!$K$21:$K$613)),1)),""))</f>
        <v/>
      </c>
      <c r="F712" s="145" t="str">
        <f ca="1">IF($A712="","",IFERROR(INDEX(Market_Data!$O$21:$O$613,MATCH($A712,Market_Data!$N$21:INDEX(Market_Data!$N$21:$N$613,COUNT(Market_Data!$N$21:$N$613)),1)),""))</f>
        <v/>
      </c>
      <c r="G712" s="145" t="str">
        <f ca="1">IF($A712="","",IFERROR(INDEX(Market_Data!$R$21:$R$613,MATCH($A712,Market_Data!$Q$21:INDEX(Market_Data!$Q$21:$Q$613,COUNT(Market_Data!$Q$21:$Q$613)),1)),""))</f>
        <v/>
      </c>
      <c r="H712" s="145" t="str">
        <f ca="1">IF($A712="","",IFERROR(INDEX(Market_Data!$U$21:$U$613,MATCH($A712,Market_Data!$T$21:INDEX(Market_Data!$T$21:$T$613,COUNT(Market_Data!$T$21:$T$613)),1)),""))</f>
        <v/>
      </c>
      <c r="I712" s="146" t="str">
        <f ca="1">IF($A712="","",IFERROR(INDEX(Query1[Close],MATCH($A712,Query1[Date],1)),""))</f>
        <v/>
      </c>
    </row>
    <row r="713" spans="1:9" x14ac:dyDescent="0.3">
      <c r="A713" s="144" t="str">
        <f t="shared" ca="1" si="13"/>
        <v/>
      </c>
      <c r="B713" s="145" t="str">
        <f ca="1">IF($A713="","",IFERROR(INDEX(Market_Data!$C$21:$C$613,MATCH($A713,Market_Data!$B$21:INDEX(Market_Data!$B$21:$B$613,COUNT(Market_Data!$B$21:$B$613)),1)),""))</f>
        <v/>
      </c>
      <c r="C713" s="145" t="str">
        <f ca="1">IF($A713="","",IFERROR(INDEX(Market_Data!$F$21:$F$613,MATCH($A713,Market_Data!$E$21:INDEX(Market_Data!$E$21:$E$613,COUNT(Market_Data!$E$21:$E$613)),1)),""))</f>
        <v/>
      </c>
      <c r="D713" s="145" t="str">
        <f ca="1">IF($A713="","",IFERROR(INDEX(Market_Data!$I$21:$I$613,MATCH($A713,Market_Data!$H$21:INDEX(Market_Data!$H$21:$H$613,COUNT(Market_Data!$H$21:$H$613)),1)),""))</f>
        <v/>
      </c>
      <c r="E713" s="145" t="str">
        <f ca="1">IF($A713="","",IFERROR(INDEX(Market_Data!$L$21:$L$613,MATCH($A713,Market_Data!$K$21:INDEX(Market_Data!$K$21:$K$613,COUNT(Market_Data!$K$21:$K$613)),1)),""))</f>
        <v/>
      </c>
      <c r="F713" s="145" t="str">
        <f ca="1">IF($A713="","",IFERROR(INDEX(Market_Data!$O$21:$O$613,MATCH($A713,Market_Data!$N$21:INDEX(Market_Data!$N$21:$N$613,COUNT(Market_Data!$N$21:$N$613)),1)),""))</f>
        <v/>
      </c>
      <c r="G713" s="145" t="str">
        <f ca="1">IF($A713="","",IFERROR(INDEX(Market_Data!$R$21:$R$613,MATCH($A713,Market_Data!$Q$21:INDEX(Market_Data!$Q$21:$Q$613,COUNT(Market_Data!$Q$21:$Q$613)),1)),""))</f>
        <v/>
      </c>
      <c r="H713" s="145" t="str">
        <f ca="1">IF($A713="","",IFERROR(INDEX(Market_Data!$U$21:$U$613,MATCH($A713,Market_Data!$T$21:INDEX(Market_Data!$T$21:$T$613,COUNT(Market_Data!$T$21:$T$613)),1)),""))</f>
        <v/>
      </c>
      <c r="I713" s="146" t="str">
        <f ca="1">IF($A713="","",IFERROR(INDEX(Query1[Close],MATCH($A713,Query1[Date],1)),""))</f>
        <v/>
      </c>
    </row>
    <row r="714" spans="1:9" x14ac:dyDescent="0.3">
      <c r="A714" s="144" t="str">
        <f t="shared" ca="1" si="13"/>
        <v/>
      </c>
      <c r="B714" s="145" t="str">
        <f ca="1">IF($A714="","",IFERROR(INDEX(Market_Data!$C$21:$C$613,MATCH($A714,Market_Data!$B$21:INDEX(Market_Data!$B$21:$B$613,COUNT(Market_Data!$B$21:$B$613)),1)),""))</f>
        <v/>
      </c>
      <c r="C714" s="145" t="str">
        <f ca="1">IF($A714="","",IFERROR(INDEX(Market_Data!$F$21:$F$613,MATCH($A714,Market_Data!$E$21:INDEX(Market_Data!$E$21:$E$613,COUNT(Market_Data!$E$21:$E$613)),1)),""))</f>
        <v/>
      </c>
      <c r="D714" s="145" t="str">
        <f ca="1">IF($A714="","",IFERROR(INDEX(Market_Data!$I$21:$I$613,MATCH($A714,Market_Data!$H$21:INDEX(Market_Data!$H$21:$H$613,COUNT(Market_Data!$H$21:$H$613)),1)),""))</f>
        <v/>
      </c>
      <c r="E714" s="145" t="str">
        <f ca="1">IF($A714="","",IFERROR(INDEX(Market_Data!$L$21:$L$613,MATCH($A714,Market_Data!$K$21:INDEX(Market_Data!$K$21:$K$613,COUNT(Market_Data!$K$21:$K$613)),1)),""))</f>
        <v/>
      </c>
      <c r="F714" s="145" t="str">
        <f ca="1">IF($A714="","",IFERROR(INDEX(Market_Data!$O$21:$O$613,MATCH($A714,Market_Data!$N$21:INDEX(Market_Data!$N$21:$N$613,COUNT(Market_Data!$N$21:$N$613)),1)),""))</f>
        <v/>
      </c>
      <c r="G714" s="145" t="str">
        <f ca="1">IF($A714="","",IFERROR(INDEX(Market_Data!$R$21:$R$613,MATCH($A714,Market_Data!$Q$21:INDEX(Market_Data!$Q$21:$Q$613,COUNT(Market_Data!$Q$21:$Q$613)),1)),""))</f>
        <v/>
      </c>
      <c r="H714" s="145" t="str">
        <f ca="1">IF($A714="","",IFERROR(INDEX(Market_Data!$U$21:$U$613,MATCH($A714,Market_Data!$T$21:INDEX(Market_Data!$T$21:$T$613,COUNT(Market_Data!$T$21:$T$613)),1)),""))</f>
        <v/>
      </c>
      <c r="I714" s="146" t="str">
        <f ca="1">IF($A714="","",IFERROR(INDEX(Query1[Close],MATCH($A714,Query1[Date],1)),""))</f>
        <v/>
      </c>
    </row>
    <row r="715" spans="1:9" x14ac:dyDescent="0.3">
      <c r="A715" s="144" t="str">
        <f t="shared" ca="1" si="13"/>
        <v/>
      </c>
      <c r="B715" s="145" t="str">
        <f ca="1">IF($A715="","",IFERROR(INDEX(Market_Data!$C$21:$C$613,MATCH($A715,Market_Data!$B$21:INDEX(Market_Data!$B$21:$B$613,COUNT(Market_Data!$B$21:$B$613)),1)),""))</f>
        <v/>
      </c>
      <c r="C715" s="145" t="str">
        <f ca="1">IF($A715="","",IFERROR(INDEX(Market_Data!$F$21:$F$613,MATCH($A715,Market_Data!$E$21:INDEX(Market_Data!$E$21:$E$613,COUNT(Market_Data!$E$21:$E$613)),1)),""))</f>
        <v/>
      </c>
      <c r="D715" s="145" t="str">
        <f ca="1">IF($A715="","",IFERROR(INDEX(Market_Data!$I$21:$I$613,MATCH($A715,Market_Data!$H$21:INDEX(Market_Data!$H$21:$H$613,COUNT(Market_Data!$H$21:$H$613)),1)),""))</f>
        <v/>
      </c>
      <c r="E715" s="145" t="str">
        <f ca="1">IF($A715="","",IFERROR(INDEX(Market_Data!$L$21:$L$613,MATCH($A715,Market_Data!$K$21:INDEX(Market_Data!$K$21:$K$613,COUNT(Market_Data!$K$21:$K$613)),1)),""))</f>
        <v/>
      </c>
      <c r="F715" s="145" t="str">
        <f ca="1">IF($A715="","",IFERROR(INDEX(Market_Data!$O$21:$O$613,MATCH($A715,Market_Data!$N$21:INDEX(Market_Data!$N$21:$N$613,COUNT(Market_Data!$N$21:$N$613)),1)),""))</f>
        <v/>
      </c>
      <c r="G715" s="145" t="str">
        <f ca="1">IF($A715="","",IFERROR(INDEX(Market_Data!$R$21:$R$613,MATCH($A715,Market_Data!$Q$21:INDEX(Market_Data!$Q$21:$Q$613,COUNT(Market_Data!$Q$21:$Q$613)),1)),""))</f>
        <v/>
      </c>
      <c r="H715" s="145" t="str">
        <f ca="1">IF($A715="","",IFERROR(INDEX(Market_Data!$U$21:$U$613,MATCH($A715,Market_Data!$T$21:INDEX(Market_Data!$T$21:$T$613,COUNT(Market_Data!$T$21:$T$613)),1)),""))</f>
        <v/>
      </c>
      <c r="I715" s="146" t="str">
        <f ca="1">IF($A715="","",IFERROR(INDEX(Query1[Close],MATCH($A715,Query1[Date],1)),""))</f>
        <v/>
      </c>
    </row>
    <row r="716" spans="1:9" x14ac:dyDescent="0.3">
      <c r="A716" s="144" t="str">
        <f t="shared" ca="1" si="13"/>
        <v/>
      </c>
      <c r="B716" s="145" t="str">
        <f ca="1">IF($A716="","",IFERROR(INDEX(Market_Data!$C$21:$C$613,MATCH($A716,Market_Data!$B$21:INDEX(Market_Data!$B$21:$B$613,COUNT(Market_Data!$B$21:$B$613)),1)),""))</f>
        <v/>
      </c>
      <c r="C716" s="145" t="str">
        <f ca="1">IF($A716="","",IFERROR(INDEX(Market_Data!$F$21:$F$613,MATCH($A716,Market_Data!$E$21:INDEX(Market_Data!$E$21:$E$613,COUNT(Market_Data!$E$21:$E$613)),1)),""))</f>
        <v/>
      </c>
      <c r="D716" s="145" t="str">
        <f ca="1">IF($A716="","",IFERROR(INDEX(Market_Data!$I$21:$I$613,MATCH($A716,Market_Data!$H$21:INDEX(Market_Data!$H$21:$H$613,COUNT(Market_Data!$H$21:$H$613)),1)),""))</f>
        <v/>
      </c>
      <c r="E716" s="145" t="str">
        <f ca="1">IF($A716="","",IFERROR(INDEX(Market_Data!$L$21:$L$613,MATCH($A716,Market_Data!$K$21:INDEX(Market_Data!$K$21:$K$613,COUNT(Market_Data!$K$21:$K$613)),1)),""))</f>
        <v/>
      </c>
      <c r="F716" s="145" t="str">
        <f ca="1">IF($A716="","",IFERROR(INDEX(Market_Data!$O$21:$O$613,MATCH($A716,Market_Data!$N$21:INDEX(Market_Data!$N$21:$N$613,COUNT(Market_Data!$N$21:$N$613)),1)),""))</f>
        <v/>
      </c>
      <c r="G716" s="145" t="str">
        <f ca="1">IF($A716="","",IFERROR(INDEX(Market_Data!$R$21:$R$613,MATCH($A716,Market_Data!$Q$21:INDEX(Market_Data!$Q$21:$Q$613,COUNT(Market_Data!$Q$21:$Q$613)),1)),""))</f>
        <v/>
      </c>
      <c r="H716" s="145" t="str">
        <f ca="1">IF($A716="","",IFERROR(INDEX(Market_Data!$U$21:$U$613,MATCH($A716,Market_Data!$T$21:INDEX(Market_Data!$T$21:$T$613,COUNT(Market_Data!$T$21:$T$613)),1)),""))</f>
        <v/>
      </c>
      <c r="I716" s="146" t="str">
        <f ca="1">IF($A716="","",IFERROR(INDEX(Query1[Close],MATCH($A716,Query1[Date],1)),""))</f>
        <v/>
      </c>
    </row>
    <row r="717" spans="1:9" x14ac:dyDescent="0.3">
      <c r="A717" s="144" t="str">
        <f t="shared" ca="1" si="13"/>
        <v/>
      </c>
      <c r="B717" s="145" t="str">
        <f ca="1">IF($A717="","",IFERROR(INDEX(Market_Data!$C$21:$C$613,MATCH($A717,Market_Data!$B$21:INDEX(Market_Data!$B$21:$B$613,COUNT(Market_Data!$B$21:$B$613)),1)),""))</f>
        <v/>
      </c>
      <c r="C717" s="145" t="str">
        <f ca="1">IF($A717="","",IFERROR(INDEX(Market_Data!$F$21:$F$613,MATCH($A717,Market_Data!$E$21:INDEX(Market_Data!$E$21:$E$613,COUNT(Market_Data!$E$21:$E$613)),1)),""))</f>
        <v/>
      </c>
      <c r="D717" s="145" t="str">
        <f ca="1">IF($A717="","",IFERROR(INDEX(Market_Data!$I$21:$I$613,MATCH($A717,Market_Data!$H$21:INDEX(Market_Data!$H$21:$H$613,COUNT(Market_Data!$H$21:$H$613)),1)),""))</f>
        <v/>
      </c>
      <c r="E717" s="145" t="str">
        <f ca="1">IF($A717="","",IFERROR(INDEX(Market_Data!$L$21:$L$613,MATCH($A717,Market_Data!$K$21:INDEX(Market_Data!$K$21:$K$613,COUNT(Market_Data!$K$21:$K$613)),1)),""))</f>
        <v/>
      </c>
      <c r="F717" s="145" t="str">
        <f ca="1">IF($A717="","",IFERROR(INDEX(Market_Data!$O$21:$O$613,MATCH($A717,Market_Data!$N$21:INDEX(Market_Data!$N$21:$N$613,COUNT(Market_Data!$N$21:$N$613)),1)),""))</f>
        <v/>
      </c>
      <c r="G717" s="145" t="str">
        <f ca="1">IF($A717="","",IFERROR(INDEX(Market_Data!$R$21:$R$613,MATCH($A717,Market_Data!$Q$21:INDEX(Market_Data!$Q$21:$Q$613,COUNT(Market_Data!$Q$21:$Q$613)),1)),""))</f>
        <v/>
      </c>
      <c r="H717" s="145" t="str">
        <f ca="1">IF($A717="","",IFERROR(INDEX(Market_Data!$U$21:$U$613,MATCH($A717,Market_Data!$T$21:INDEX(Market_Data!$T$21:$T$613,COUNT(Market_Data!$T$21:$T$613)),1)),""))</f>
        <v/>
      </c>
      <c r="I717" s="146" t="str">
        <f ca="1">IF($A717="","",IFERROR(INDEX(Query1[Close],MATCH($A717,Query1[Date],1)),""))</f>
        <v/>
      </c>
    </row>
    <row r="718" spans="1:9" x14ac:dyDescent="0.3">
      <c r="A718" s="144" t="str">
        <f t="shared" ca="1" si="13"/>
        <v/>
      </c>
      <c r="B718" s="145" t="str">
        <f ca="1">IF($A718="","",IFERROR(INDEX(Market_Data!$C$21:$C$613,MATCH($A718,Market_Data!$B$21:INDEX(Market_Data!$B$21:$B$613,COUNT(Market_Data!$B$21:$B$613)),1)),""))</f>
        <v/>
      </c>
      <c r="C718" s="145" t="str">
        <f ca="1">IF($A718="","",IFERROR(INDEX(Market_Data!$F$21:$F$613,MATCH($A718,Market_Data!$E$21:INDEX(Market_Data!$E$21:$E$613,COUNT(Market_Data!$E$21:$E$613)),1)),""))</f>
        <v/>
      </c>
      <c r="D718" s="145" t="str">
        <f ca="1">IF($A718="","",IFERROR(INDEX(Market_Data!$I$21:$I$613,MATCH($A718,Market_Data!$H$21:INDEX(Market_Data!$H$21:$H$613,COUNT(Market_Data!$H$21:$H$613)),1)),""))</f>
        <v/>
      </c>
      <c r="E718" s="145" t="str">
        <f ca="1">IF($A718="","",IFERROR(INDEX(Market_Data!$L$21:$L$613,MATCH($A718,Market_Data!$K$21:INDEX(Market_Data!$K$21:$K$613,COUNT(Market_Data!$K$21:$K$613)),1)),""))</f>
        <v/>
      </c>
      <c r="F718" s="145" t="str">
        <f ca="1">IF($A718="","",IFERROR(INDEX(Market_Data!$O$21:$O$613,MATCH($A718,Market_Data!$N$21:INDEX(Market_Data!$N$21:$N$613,COUNT(Market_Data!$N$21:$N$613)),1)),""))</f>
        <v/>
      </c>
      <c r="G718" s="145" t="str">
        <f ca="1">IF($A718="","",IFERROR(INDEX(Market_Data!$R$21:$R$613,MATCH($A718,Market_Data!$Q$21:INDEX(Market_Data!$Q$21:$Q$613,COUNT(Market_Data!$Q$21:$Q$613)),1)),""))</f>
        <v/>
      </c>
      <c r="H718" s="145" t="str">
        <f ca="1">IF($A718="","",IFERROR(INDEX(Market_Data!$U$21:$U$613,MATCH($A718,Market_Data!$T$21:INDEX(Market_Data!$T$21:$T$613,COUNT(Market_Data!$T$21:$T$613)),1)),""))</f>
        <v/>
      </c>
      <c r="I718" s="146" t="str">
        <f ca="1">IF($A718="","",IFERROR(INDEX(Query1[Close],MATCH($A718,Query1[Date],1)),""))</f>
        <v/>
      </c>
    </row>
    <row r="719" spans="1:9" x14ac:dyDescent="0.3">
      <c r="A719" s="144" t="str">
        <f t="shared" ca="1" si="13"/>
        <v/>
      </c>
      <c r="B719" s="145" t="str">
        <f ca="1">IF($A719="","",IFERROR(INDEX(Market_Data!$C$21:$C$613,MATCH($A719,Market_Data!$B$21:INDEX(Market_Data!$B$21:$B$613,COUNT(Market_Data!$B$21:$B$613)),1)),""))</f>
        <v/>
      </c>
      <c r="C719" s="145" t="str">
        <f ca="1">IF($A719="","",IFERROR(INDEX(Market_Data!$F$21:$F$613,MATCH($A719,Market_Data!$E$21:INDEX(Market_Data!$E$21:$E$613,COUNT(Market_Data!$E$21:$E$613)),1)),""))</f>
        <v/>
      </c>
      <c r="D719" s="145" t="str">
        <f ca="1">IF($A719="","",IFERROR(INDEX(Market_Data!$I$21:$I$613,MATCH($A719,Market_Data!$H$21:INDEX(Market_Data!$H$21:$H$613,COUNT(Market_Data!$H$21:$H$613)),1)),""))</f>
        <v/>
      </c>
      <c r="E719" s="145" t="str">
        <f ca="1">IF($A719="","",IFERROR(INDEX(Market_Data!$L$21:$L$613,MATCH($A719,Market_Data!$K$21:INDEX(Market_Data!$K$21:$K$613,COUNT(Market_Data!$K$21:$K$613)),1)),""))</f>
        <v/>
      </c>
      <c r="F719" s="145" t="str">
        <f ca="1">IF($A719="","",IFERROR(INDEX(Market_Data!$O$21:$O$613,MATCH($A719,Market_Data!$N$21:INDEX(Market_Data!$N$21:$N$613,COUNT(Market_Data!$N$21:$N$613)),1)),""))</f>
        <v/>
      </c>
      <c r="G719" s="145" t="str">
        <f ca="1">IF($A719="","",IFERROR(INDEX(Market_Data!$R$21:$R$613,MATCH($A719,Market_Data!$Q$21:INDEX(Market_Data!$Q$21:$Q$613,COUNT(Market_Data!$Q$21:$Q$613)),1)),""))</f>
        <v/>
      </c>
      <c r="H719" s="145" t="str">
        <f ca="1">IF($A719="","",IFERROR(INDEX(Market_Data!$U$21:$U$613,MATCH($A719,Market_Data!$T$21:INDEX(Market_Data!$T$21:$T$613,COUNT(Market_Data!$T$21:$T$613)),1)),""))</f>
        <v/>
      </c>
      <c r="I719" s="146" t="str">
        <f ca="1">IF($A719="","",IFERROR(INDEX(Query1[Close],MATCH($A719,Query1[Date],1)),""))</f>
        <v/>
      </c>
    </row>
    <row r="720" spans="1:9" x14ac:dyDescent="0.3">
      <c r="A720" s="144" t="str">
        <f t="shared" ca="1" si="13"/>
        <v/>
      </c>
      <c r="B720" s="145" t="str">
        <f ca="1">IF($A720="","",IFERROR(INDEX(Market_Data!$C$21:$C$613,MATCH($A720,Market_Data!$B$21:INDEX(Market_Data!$B$21:$B$613,COUNT(Market_Data!$B$21:$B$613)),1)),""))</f>
        <v/>
      </c>
      <c r="C720" s="145" t="str">
        <f ca="1">IF($A720="","",IFERROR(INDEX(Market_Data!$F$21:$F$613,MATCH($A720,Market_Data!$E$21:INDEX(Market_Data!$E$21:$E$613,COUNT(Market_Data!$E$21:$E$613)),1)),""))</f>
        <v/>
      </c>
      <c r="D720" s="145" t="str">
        <f ca="1">IF($A720="","",IFERROR(INDEX(Market_Data!$I$21:$I$613,MATCH($A720,Market_Data!$H$21:INDEX(Market_Data!$H$21:$H$613,COUNT(Market_Data!$H$21:$H$613)),1)),""))</f>
        <v/>
      </c>
      <c r="E720" s="145" t="str">
        <f ca="1">IF($A720="","",IFERROR(INDEX(Market_Data!$L$21:$L$613,MATCH($A720,Market_Data!$K$21:INDEX(Market_Data!$K$21:$K$613,COUNT(Market_Data!$K$21:$K$613)),1)),""))</f>
        <v/>
      </c>
      <c r="F720" s="145" t="str">
        <f ca="1">IF($A720="","",IFERROR(INDEX(Market_Data!$O$21:$O$613,MATCH($A720,Market_Data!$N$21:INDEX(Market_Data!$N$21:$N$613,COUNT(Market_Data!$N$21:$N$613)),1)),""))</f>
        <v/>
      </c>
      <c r="G720" s="145" t="str">
        <f ca="1">IF($A720="","",IFERROR(INDEX(Market_Data!$R$21:$R$613,MATCH($A720,Market_Data!$Q$21:INDEX(Market_Data!$Q$21:$Q$613,COUNT(Market_Data!$Q$21:$Q$613)),1)),""))</f>
        <v/>
      </c>
      <c r="H720" s="145" t="str">
        <f ca="1">IF($A720="","",IFERROR(INDEX(Market_Data!$U$21:$U$613,MATCH($A720,Market_Data!$T$21:INDEX(Market_Data!$T$21:$T$613,COUNT(Market_Data!$T$21:$T$613)),1)),""))</f>
        <v/>
      </c>
      <c r="I720" s="146" t="str">
        <f ca="1">IF($A720="","",IFERROR(INDEX(Query1[Close],MATCH($A720,Query1[Date],1)),""))</f>
        <v/>
      </c>
    </row>
    <row r="721" spans="1:9" x14ac:dyDescent="0.3">
      <c r="A721" s="144" t="str">
        <f t="shared" ca="1" si="13"/>
        <v/>
      </c>
      <c r="B721" s="145" t="str">
        <f ca="1">IF($A721="","",IFERROR(INDEX(Market_Data!$C$21:$C$613,MATCH($A721,Market_Data!$B$21:INDEX(Market_Data!$B$21:$B$613,COUNT(Market_Data!$B$21:$B$613)),1)),""))</f>
        <v/>
      </c>
      <c r="C721" s="145" t="str">
        <f ca="1">IF($A721="","",IFERROR(INDEX(Market_Data!$F$21:$F$613,MATCH($A721,Market_Data!$E$21:INDEX(Market_Data!$E$21:$E$613,COUNT(Market_Data!$E$21:$E$613)),1)),""))</f>
        <v/>
      </c>
      <c r="D721" s="145" t="str">
        <f ca="1">IF($A721="","",IFERROR(INDEX(Market_Data!$I$21:$I$613,MATCH($A721,Market_Data!$H$21:INDEX(Market_Data!$H$21:$H$613,COUNT(Market_Data!$H$21:$H$613)),1)),""))</f>
        <v/>
      </c>
      <c r="E721" s="145" t="str">
        <f ca="1">IF($A721="","",IFERROR(INDEX(Market_Data!$L$21:$L$613,MATCH($A721,Market_Data!$K$21:INDEX(Market_Data!$K$21:$K$613,COUNT(Market_Data!$K$21:$K$613)),1)),""))</f>
        <v/>
      </c>
      <c r="F721" s="145" t="str">
        <f ca="1">IF($A721="","",IFERROR(INDEX(Market_Data!$O$21:$O$613,MATCH($A721,Market_Data!$N$21:INDEX(Market_Data!$N$21:$N$613,COUNT(Market_Data!$N$21:$N$613)),1)),""))</f>
        <v/>
      </c>
      <c r="G721" s="145" t="str">
        <f ca="1">IF($A721="","",IFERROR(INDEX(Market_Data!$R$21:$R$613,MATCH($A721,Market_Data!$Q$21:INDEX(Market_Data!$Q$21:$Q$613,COUNT(Market_Data!$Q$21:$Q$613)),1)),""))</f>
        <v/>
      </c>
      <c r="H721" s="145" t="str">
        <f ca="1">IF($A721="","",IFERROR(INDEX(Market_Data!$U$21:$U$613,MATCH($A721,Market_Data!$T$21:INDEX(Market_Data!$T$21:$T$613,COUNT(Market_Data!$T$21:$T$613)),1)),""))</f>
        <v/>
      </c>
      <c r="I721" s="146" t="str">
        <f ca="1">IF($A721="","",IFERROR(INDEX(Query1[Close],MATCH($A721,Query1[Date],1)),""))</f>
        <v/>
      </c>
    </row>
    <row r="722" spans="1:9" x14ac:dyDescent="0.3">
      <c r="A722" s="144" t="str">
        <f t="shared" ca="1" si="13"/>
        <v/>
      </c>
      <c r="B722" s="145" t="str">
        <f ca="1">IF($A722="","",IFERROR(INDEX(Market_Data!$C$21:$C$613,MATCH($A722,Market_Data!$B$21:INDEX(Market_Data!$B$21:$B$613,COUNT(Market_Data!$B$21:$B$613)),1)),""))</f>
        <v/>
      </c>
      <c r="C722" s="145" t="str">
        <f ca="1">IF($A722="","",IFERROR(INDEX(Market_Data!$F$21:$F$613,MATCH($A722,Market_Data!$E$21:INDEX(Market_Data!$E$21:$E$613,COUNT(Market_Data!$E$21:$E$613)),1)),""))</f>
        <v/>
      </c>
      <c r="D722" s="145" t="str">
        <f ca="1">IF($A722="","",IFERROR(INDEX(Market_Data!$I$21:$I$613,MATCH($A722,Market_Data!$H$21:INDEX(Market_Data!$H$21:$H$613,COUNT(Market_Data!$H$21:$H$613)),1)),""))</f>
        <v/>
      </c>
      <c r="E722" s="145" t="str">
        <f ca="1">IF($A722="","",IFERROR(INDEX(Market_Data!$L$21:$L$613,MATCH($A722,Market_Data!$K$21:INDEX(Market_Data!$K$21:$K$613,COUNT(Market_Data!$K$21:$K$613)),1)),""))</f>
        <v/>
      </c>
      <c r="F722" s="145" t="str">
        <f ca="1">IF($A722="","",IFERROR(INDEX(Market_Data!$O$21:$O$613,MATCH($A722,Market_Data!$N$21:INDEX(Market_Data!$N$21:$N$613,COUNT(Market_Data!$N$21:$N$613)),1)),""))</f>
        <v/>
      </c>
      <c r="G722" s="145" t="str">
        <f ca="1">IF($A722="","",IFERROR(INDEX(Market_Data!$R$21:$R$613,MATCH($A722,Market_Data!$Q$21:INDEX(Market_Data!$Q$21:$Q$613,COUNT(Market_Data!$Q$21:$Q$613)),1)),""))</f>
        <v/>
      </c>
      <c r="H722" s="145" t="str">
        <f ca="1">IF($A722="","",IFERROR(INDEX(Market_Data!$U$21:$U$613,MATCH($A722,Market_Data!$T$21:INDEX(Market_Data!$T$21:$T$613,COUNT(Market_Data!$T$21:$T$613)),1)),""))</f>
        <v/>
      </c>
      <c r="I722" s="146" t="str">
        <f ca="1">IF($A722="","",IFERROR(INDEX(Query1[Close],MATCH($A722,Query1[Date],1)),""))</f>
        <v/>
      </c>
    </row>
    <row r="723" spans="1:9" x14ac:dyDescent="0.3">
      <c r="A723" s="144" t="str">
        <f t="shared" ca="1" si="13"/>
        <v/>
      </c>
      <c r="B723" s="145" t="str">
        <f ca="1">IF($A723="","",IFERROR(INDEX(Market_Data!$C$21:$C$613,MATCH($A723,Market_Data!$B$21:INDEX(Market_Data!$B$21:$B$613,COUNT(Market_Data!$B$21:$B$613)),1)),""))</f>
        <v/>
      </c>
      <c r="C723" s="145" t="str">
        <f ca="1">IF($A723="","",IFERROR(INDEX(Market_Data!$F$21:$F$613,MATCH($A723,Market_Data!$E$21:INDEX(Market_Data!$E$21:$E$613,COUNT(Market_Data!$E$21:$E$613)),1)),""))</f>
        <v/>
      </c>
      <c r="D723" s="145" t="str">
        <f ca="1">IF($A723="","",IFERROR(INDEX(Market_Data!$I$21:$I$613,MATCH($A723,Market_Data!$H$21:INDEX(Market_Data!$H$21:$H$613,COUNT(Market_Data!$H$21:$H$613)),1)),""))</f>
        <v/>
      </c>
      <c r="E723" s="145" t="str">
        <f ca="1">IF($A723="","",IFERROR(INDEX(Market_Data!$L$21:$L$613,MATCH($A723,Market_Data!$K$21:INDEX(Market_Data!$K$21:$K$613,COUNT(Market_Data!$K$21:$K$613)),1)),""))</f>
        <v/>
      </c>
      <c r="F723" s="145" t="str">
        <f ca="1">IF($A723="","",IFERROR(INDEX(Market_Data!$O$21:$O$613,MATCH($A723,Market_Data!$N$21:INDEX(Market_Data!$N$21:$N$613,COUNT(Market_Data!$N$21:$N$613)),1)),""))</f>
        <v/>
      </c>
      <c r="G723" s="145" t="str">
        <f ca="1">IF($A723="","",IFERROR(INDEX(Market_Data!$R$21:$R$613,MATCH($A723,Market_Data!$Q$21:INDEX(Market_Data!$Q$21:$Q$613,COUNT(Market_Data!$Q$21:$Q$613)),1)),""))</f>
        <v/>
      </c>
      <c r="H723" s="145" t="str">
        <f ca="1">IF($A723="","",IFERROR(INDEX(Market_Data!$U$21:$U$613,MATCH($A723,Market_Data!$T$21:INDEX(Market_Data!$T$21:$T$613,COUNT(Market_Data!$T$21:$T$613)),1)),""))</f>
        <v/>
      </c>
      <c r="I723" s="146" t="str">
        <f ca="1">IF($A723="","",IFERROR(INDEX(Query1[Close],MATCH($A723,Query1[Date],1)),""))</f>
        <v/>
      </c>
    </row>
    <row r="724" spans="1:9" x14ac:dyDescent="0.3">
      <c r="A724" s="144" t="str">
        <f t="shared" ca="1" si="13"/>
        <v/>
      </c>
      <c r="B724" s="145" t="str">
        <f ca="1">IF($A724="","",IFERROR(INDEX(Market_Data!$C$21:$C$613,MATCH($A724,Market_Data!$B$21:INDEX(Market_Data!$B$21:$B$613,COUNT(Market_Data!$B$21:$B$613)),1)),""))</f>
        <v/>
      </c>
      <c r="C724" s="145" t="str">
        <f ca="1">IF($A724="","",IFERROR(INDEX(Market_Data!$F$21:$F$613,MATCH($A724,Market_Data!$E$21:INDEX(Market_Data!$E$21:$E$613,COUNT(Market_Data!$E$21:$E$613)),1)),""))</f>
        <v/>
      </c>
      <c r="D724" s="145" t="str">
        <f ca="1">IF($A724="","",IFERROR(INDEX(Market_Data!$I$21:$I$613,MATCH($A724,Market_Data!$H$21:INDEX(Market_Data!$H$21:$H$613,COUNT(Market_Data!$H$21:$H$613)),1)),""))</f>
        <v/>
      </c>
      <c r="E724" s="145" t="str">
        <f ca="1">IF($A724="","",IFERROR(INDEX(Market_Data!$L$21:$L$613,MATCH($A724,Market_Data!$K$21:INDEX(Market_Data!$K$21:$K$613,COUNT(Market_Data!$K$21:$K$613)),1)),""))</f>
        <v/>
      </c>
      <c r="F724" s="145" t="str">
        <f ca="1">IF($A724="","",IFERROR(INDEX(Market_Data!$O$21:$O$613,MATCH($A724,Market_Data!$N$21:INDEX(Market_Data!$N$21:$N$613,COUNT(Market_Data!$N$21:$N$613)),1)),""))</f>
        <v/>
      </c>
      <c r="G724" s="145" t="str">
        <f ca="1">IF($A724="","",IFERROR(INDEX(Market_Data!$R$21:$R$613,MATCH($A724,Market_Data!$Q$21:INDEX(Market_Data!$Q$21:$Q$613,COUNT(Market_Data!$Q$21:$Q$613)),1)),""))</f>
        <v/>
      </c>
      <c r="H724" s="145" t="str">
        <f ca="1">IF($A724="","",IFERROR(INDEX(Market_Data!$U$21:$U$613,MATCH($A724,Market_Data!$T$21:INDEX(Market_Data!$T$21:$T$613,COUNT(Market_Data!$T$21:$T$613)),1)),""))</f>
        <v/>
      </c>
      <c r="I724" s="146" t="str">
        <f ca="1">IF($A724="","",IFERROR(INDEX(Query1[Close],MATCH($A724,Query1[Date],1)),""))</f>
        <v/>
      </c>
    </row>
    <row r="725" spans="1:9" x14ac:dyDescent="0.3">
      <c r="A725" s="144" t="str">
        <f t="shared" ca="1" si="13"/>
        <v/>
      </c>
      <c r="B725" s="145" t="str">
        <f ca="1">IF($A725="","",IFERROR(INDEX(Market_Data!$C$21:$C$613,MATCH($A725,Market_Data!$B$21:INDEX(Market_Data!$B$21:$B$613,COUNT(Market_Data!$B$21:$B$613)),1)),""))</f>
        <v/>
      </c>
      <c r="C725" s="145" t="str">
        <f ca="1">IF($A725="","",IFERROR(INDEX(Market_Data!$F$21:$F$613,MATCH($A725,Market_Data!$E$21:INDEX(Market_Data!$E$21:$E$613,COUNT(Market_Data!$E$21:$E$613)),1)),""))</f>
        <v/>
      </c>
      <c r="D725" s="145" t="str">
        <f ca="1">IF($A725="","",IFERROR(INDEX(Market_Data!$I$21:$I$613,MATCH($A725,Market_Data!$H$21:INDEX(Market_Data!$H$21:$H$613,COUNT(Market_Data!$H$21:$H$613)),1)),""))</f>
        <v/>
      </c>
      <c r="E725" s="145" t="str">
        <f ca="1">IF($A725="","",IFERROR(INDEX(Market_Data!$L$21:$L$613,MATCH($A725,Market_Data!$K$21:INDEX(Market_Data!$K$21:$K$613,COUNT(Market_Data!$K$21:$K$613)),1)),""))</f>
        <v/>
      </c>
      <c r="F725" s="145" t="str">
        <f ca="1">IF($A725="","",IFERROR(INDEX(Market_Data!$O$21:$O$613,MATCH($A725,Market_Data!$N$21:INDEX(Market_Data!$N$21:$N$613,COUNT(Market_Data!$N$21:$N$613)),1)),""))</f>
        <v/>
      </c>
      <c r="G725" s="145" t="str">
        <f ca="1">IF($A725="","",IFERROR(INDEX(Market_Data!$R$21:$R$613,MATCH($A725,Market_Data!$Q$21:INDEX(Market_Data!$Q$21:$Q$613,COUNT(Market_Data!$Q$21:$Q$613)),1)),""))</f>
        <v/>
      </c>
      <c r="H725" s="145" t="str">
        <f ca="1">IF($A725="","",IFERROR(INDEX(Market_Data!$U$21:$U$613,MATCH($A725,Market_Data!$T$21:INDEX(Market_Data!$T$21:$T$613,COUNT(Market_Data!$T$21:$T$613)),1)),""))</f>
        <v/>
      </c>
      <c r="I725" s="146" t="str">
        <f ca="1">IF($A725="","",IFERROR(INDEX(Query1[Close],MATCH($A725,Query1[Date],1)),""))</f>
        <v/>
      </c>
    </row>
    <row r="726" spans="1:9" x14ac:dyDescent="0.3">
      <c r="A726" s="144" t="str">
        <f t="shared" ca="1" si="13"/>
        <v/>
      </c>
      <c r="B726" s="145" t="str">
        <f ca="1">IF($A726="","",IFERROR(INDEX(Market_Data!$C$21:$C$613,MATCH($A726,Market_Data!$B$21:INDEX(Market_Data!$B$21:$B$613,COUNT(Market_Data!$B$21:$B$613)),1)),""))</f>
        <v/>
      </c>
      <c r="C726" s="145" t="str">
        <f ca="1">IF($A726="","",IFERROR(INDEX(Market_Data!$F$21:$F$613,MATCH($A726,Market_Data!$E$21:INDEX(Market_Data!$E$21:$E$613,COUNT(Market_Data!$E$21:$E$613)),1)),""))</f>
        <v/>
      </c>
      <c r="D726" s="145" t="str">
        <f ca="1">IF($A726="","",IFERROR(INDEX(Market_Data!$I$21:$I$613,MATCH($A726,Market_Data!$H$21:INDEX(Market_Data!$H$21:$H$613,COUNT(Market_Data!$H$21:$H$613)),1)),""))</f>
        <v/>
      </c>
      <c r="E726" s="145" t="str">
        <f ca="1">IF($A726="","",IFERROR(INDEX(Market_Data!$L$21:$L$613,MATCH($A726,Market_Data!$K$21:INDEX(Market_Data!$K$21:$K$613,COUNT(Market_Data!$K$21:$K$613)),1)),""))</f>
        <v/>
      </c>
      <c r="F726" s="145" t="str">
        <f ca="1">IF($A726="","",IFERROR(INDEX(Market_Data!$O$21:$O$613,MATCH($A726,Market_Data!$N$21:INDEX(Market_Data!$N$21:$N$613,COUNT(Market_Data!$N$21:$N$613)),1)),""))</f>
        <v/>
      </c>
      <c r="G726" s="145" t="str">
        <f ca="1">IF($A726="","",IFERROR(INDEX(Market_Data!$R$21:$R$613,MATCH($A726,Market_Data!$Q$21:INDEX(Market_Data!$Q$21:$Q$613,COUNT(Market_Data!$Q$21:$Q$613)),1)),""))</f>
        <v/>
      </c>
      <c r="H726" s="145" t="str">
        <f ca="1">IF($A726="","",IFERROR(INDEX(Market_Data!$U$21:$U$613,MATCH($A726,Market_Data!$T$21:INDEX(Market_Data!$T$21:$T$613,COUNT(Market_Data!$T$21:$T$613)),1)),""))</f>
        <v/>
      </c>
      <c r="I726" s="146" t="str">
        <f ca="1">IF($A726="","",IFERROR(INDEX(Query1[Close],MATCH($A726,Query1[Date],1)),""))</f>
        <v/>
      </c>
    </row>
    <row r="727" spans="1:9" x14ac:dyDescent="0.3">
      <c r="A727" s="144" t="str">
        <f t="shared" ca="1" si="13"/>
        <v/>
      </c>
      <c r="B727" s="145" t="str">
        <f ca="1">IF($A727="","",IFERROR(INDEX(Market_Data!$C$21:$C$613,MATCH($A727,Market_Data!$B$21:INDEX(Market_Data!$B$21:$B$613,COUNT(Market_Data!$B$21:$B$613)),1)),""))</f>
        <v/>
      </c>
      <c r="C727" s="145" t="str">
        <f ca="1">IF($A727="","",IFERROR(INDEX(Market_Data!$F$21:$F$613,MATCH($A727,Market_Data!$E$21:INDEX(Market_Data!$E$21:$E$613,COUNT(Market_Data!$E$21:$E$613)),1)),""))</f>
        <v/>
      </c>
      <c r="D727" s="145" t="str">
        <f ca="1">IF($A727="","",IFERROR(INDEX(Market_Data!$I$21:$I$613,MATCH($A727,Market_Data!$H$21:INDEX(Market_Data!$H$21:$H$613,COUNT(Market_Data!$H$21:$H$613)),1)),""))</f>
        <v/>
      </c>
      <c r="E727" s="145" t="str">
        <f ca="1">IF($A727="","",IFERROR(INDEX(Market_Data!$L$21:$L$613,MATCH($A727,Market_Data!$K$21:INDEX(Market_Data!$K$21:$K$613,COUNT(Market_Data!$K$21:$K$613)),1)),""))</f>
        <v/>
      </c>
      <c r="F727" s="145" t="str">
        <f ca="1">IF($A727="","",IFERROR(INDEX(Market_Data!$O$21:$O$613,MATCH($A727,Market_Data!$N$21:INDEX(Market_Data!$N$21:$N$613,COUNT(Market_Data!$N$21:$N$613)),1)),""))</f>
        <v/>
      </c>
      <c r="G727" s="145" t="str">
        <f ca="1">IF($A727="","",IFERROR(INDEX(Market_Data!$R$21:$R$613,MATCH($A727,Market_Data!$Q$21:INDEX(Market_Data!$Q$21:$Q$613,COUNT(Market_Data!$Q$21:$Q$613)),1)),""))</f>
        <v/>
      </c>
      <c r="H727" s="145" t="str">
        <f ca="1">IF($A727="","",IFERROR(INDEX(Market_Data!$U$21:$U$613,MATCH($A727,Market_Data!$T$21:INDEX(Market_Data!$T$21:$T$613,COUNT(Market_Data!$T$21:$T$613)),1)),""))</f>
        <v/>
      </c>
      <c r="I727" s="146" t="str">
        <f ca="1">IF($A727="","",IFERROR(INDEX(Query1[Close],MATCH($A727,Query1[Date],1)),""))</f>
        <v/>
      </c>
    </row>
    <row r="728" spans="1:9" x14ac:dyDescent="0.3">
      <c r="A728" s="144" t="str">
        <f t="shared" ca="1" si="13"/>
        <v/>
      </c>
      <c r="B728" s="145" t="str">
        <f ca="1">IF($A728="","",IFERROR(INDEX(Market_Data!$C$21:$C$613,MATCH($A728,Market_Data!$B$21:INDEX(Market_Data!$B$21:$B$613,COUNT(Market_Data!$B$21:$B$613)),1)),""))</f>
        <v/>
      </c>
      <c r="C728" s="145" t="str">
        <f ca="1">IF($A728="","",IFERROR(INDEX(Market_Data!$F$21:$F$613,MATCH($A728,Market_Data!$E$21:INDEX(Market_Data!$E$21:$E$613,COUNT(Market_Data!$E$21:$E$613)),1)),""))</f>
        <v/>
      </c>
      <c r="D728" s="145" t="str">
        <f ca="1">IF($A728="","",IFERROR(INDEX(Market_Data!$I$21:$I$613,MATCH($A728,Market_Data!$H$21:INDEX(Market_Data!$H$21:$H$613,COUNT(Market_Data!$H$21:$H$613)),1)),""))</f>
        <v/>
      </c>
      <c r="E728" s="145" t="str">
        <f ca="1">IF($A728="","",IFERROR(INDEX(Market_Data!$L$21:$L$613,MATCH($A728,Market_Data!$K$21:INDEX(Market_Data!$K$21:$K$613,COUNT(Market_Data!$K$21:$K$613)),1)),""))</f>
        <v/>
      </c>
      <c r="F728" s="145" t="str">
        <f ca="1">IF($A728="","",IFERROR(INDEX(Market_Data!$O$21:$O$613,MATCH($A728,Market_Data!$N$21:INDEX(Market_Data!$N$21:$N$613,COUNT(Market_Data!$N$21:$N$613)),1)),""))</f>
        <v/>
      </c>
      <c r="G728" s="145" t="str">
        <f ca="1">IF($A728="","",IFERROR(INDEX(Market_Data!$R$21:$R$613,MATCH($A728,Market_Data!$Q$21:INDEX(Market_Data!$Q$21:$Q$613,COUNT(Market_Data!$Q$21:$Q$613)),1)),""))</f>
        <v/>
      </c>
      <c r="H728" s="145" t="str">
        <f ca="1">IF($A728="","",IFERROR(INDEX(Market_Data!$U$21:$U$613,MATCH($A728,Market_Data!$T$21:INDEX(Market_Data!$T$21:$T$613,COUNT(Market_Data!$T$21:$T$613)),1)),""))</f>
        <v/>
      </c>
      <c r="I728" s="146" t="str">
        <f ca="1">IF($A728="","",IFERROR(INDEX(Query1[Close],MATCH($A728,Query1[Date],1)),""))</f>
        <v/>
      </c>
    </row>
    <row r="729" spans="1:9" x14ac:dyDescent="0.3">
      <c r="A729" s="144" t="str">
        <f t="shared" ca="1" si="13"/>
        <v/>
      </c>
      <c r="B729" s="145" t="str">
        <f ca="1">IF($A729="","",IFERROR(INDEX(Market_Data!$C$21:$C$613,MATCH($A729,Market_Data!$B$21:INDEX(Market_Data!$B$21:$B$613,COUNT(Market_Data!$B$21:$B$613)),1)),""))</f>
        <v/>
      </c>
      <c r="C729" s="145" t="str">
        <f ca="1">IF($A729="","",IFERROR(INDEX(Market_Data!$F$21:$F$613,MATCH($A729,Market_Data!$E$21:INDEX(Market_Data!$E$21:$E$613,COUNT(Market_Data!$E$21:$E$613)),1)),""))</f>
        <v/>
      </c>
      <c r="D729" s="145" t="str">
        <f ca="1">IF($A729="","",IFERROR(INDEX(Market_Data!$I$21:$I$613,MATCH($A729,Market_Data!$H$21:INDEX(Market_Data!$H$21:$H$613,COUNT(Market_Data!$H$21:$H$613)),1)),""))</f>
        <v/>
      </c>
      <c r="E729" s="145" t="str">
        <f ca="1">IF($A729="","",IFERROR(INDEX(Market_Data!$L$21:$L$613,MATCH($A729,Market_Data!$K$21:INDEX(Market_Data!$K$21:$K$613,COUNT(Market_Data!$K$21:$K$613)),1)),""))</f>
        <v/>
      </c>
      <c r="F729" s="145" t="str">
        <f ca="1">IF($A729="","",IFERROR(INDEX(Market_Data!$O$21:$O$613,MATCH($A729,Market_Data!$N$21:INDEX(Market_Data!$N$21:$N$613,COUNT(Market_Data!$N$21:$N$613)),1)),""))</f>
        <v/>
      </c>
      <c r="G729" s="145" t="str">
        <f ca="1">IF($A729="","",IFERROR(INDEX(Market_Data!$R$21:$R$613,MATCH($A729,Market_Data!$Q$21:INDEX(Market_Data!$Q$21:$Q$613,COUNT(Market_Data!$Q$21:$Q$613)),1)),""))</f>
        <v/>
      </c>
      <c r="H729" s="145" t="str">
        <f ca="1">IF($A729="","",IFERROR(INDEX(Market_Data!$U$21:$U$613,MATCH($A729,Market_Data!$T$21:INDEX(Market_Data!$T$21:$T$613,COUNT(Market_Data!$T$21:$T$613)),1)),""))</f>
        <v/>
      </c>
      <c r="I729" s="146" t="str">
        <f ca="1">IF($A729="","",IFERROR(INDEX(Query1[Close],MATCH($A729,Query1[Date],1)),""))</f>
        <v/>
      </c>
    </row>
    <row r="730" spans="1:9" x14ac:dyDescent="0.3">
      <c r="A730" s="144" t="str">
        <f t="shared" ca="1" si="13"/>
        <v/>
      </c>
      <c r="B730" s="145" t="str">
        <f ca="1">IF($A730="","",IFERROR(INDEX(Market_Data!$C$21:$C$613,MATCH($A730,Market_Data!$B$21:INDEX(Market_Data!$B$21:$B$613,COUNT(Market_Data!$B$21:$B$613)),1)),""))</f>
        <v/>
      </c>
      <c r="C730" s="145" t="str">
        <f ca="1">IF($A730="","",IFERROR(INDEX(Market_Data!$F$21:$F$613,MATCH($A730,Market_Data!$E$21:INDEX(Market_Data!$E$21:$E$613,COUNT(Market_Data!$E$21:$E$613)),1)),""))</f>
        <v/>
      </c>
      <c r="D730" s="145" t="str">
        <f ca="1">IF($A730="","",IFERROR(INDEX(Market_Data!$I$21:$I$613,MATCH($A730,Market_Data!$H$21:INDEX(Market_Data!$H$21:$H$613,COUNT(Market_Data!$H$21:$H$613)),1)),""))</f>
        <v/>
      </c>
      <c r="E730" s="145" t="str">
        <f ca="1">IF($A730="","",IFERROR(INDEX(Market_Data!$L$21:$L$613,MATCH($A730,Market_Data!$K$21:INDEX(Market_Data!$K$21:$K$613,COUNT(Market_Data!$K$21:$K$613)),1)),""))</f>
        <v/>
      </c>
      <c r="F730" s="145" t="str">
        <f ca="1">IF($A730="","",IFERROR(INDEX(Market_Data!$O$21:$O$613,MATCH($A730,Market_Data!$N$21:INDEX(Market_Data!$N$21:$N$613,COUNT(Market_Data!$N$21:$N$613)),1)),""))</f>
        <v/>
      </c>
      <c r="G730" s="145" t="str">
        <f ca="1">IF($A730="","",IFERROR(INDEX(Market_Data!$R$21:$R$613,MATCH($A730,Market_Data!$Q$21:INDEX(Market_Data!$Q$21:$Q$613,COUNT(Market_Data!$Q$21:$Q$613)),1)),""))</f>
        <v/>
      </c>
      <c r="H730" s="145" t="str">
        <f ca="1">IF($A730="","",IFERROR(INDEX(Market_Data!$U$21:$U$613,MATCH($A730,Market_Data!$T$21:INDEX(Market_Data!$T$21:$T$613,COUNT(Market_Data!$T$21:$T$613)),1)),""))</f>
        <v/>
      </c>
      <c r="I730" s="146" t="str">
        <f ca="1">IF($A730="","",IFERROR(INDEX(Query1[Close],MATCH($A730,Query1[Date],1)),""))</f>
        <v/>
      </c>
    </row>
    <row r="731" spans="1:9" x14ac:dyDescent="0.3">
      <c r="A731" s="144" t="str">
        <f t="shared" ca="1" si="13"/>
        <v/>
      </c>
      <c r="B731" s="145" t="str">
        <f ca="1">IF($A731="","",IFERROR(INDEX(Market_Data!$C$21:$C$613,MATCH($A731,Market_Data!$B$21:INDEX(Market_Data!$B$21:$B$613,COUNT(Market_Data!$B$21:$B$613)),1)),""))</f>
        <v/>
      </c>
      <c r="C731" s="145" t="str">
        <f ca="1">IF($A731="","",IFERROR(INDEX(Market_Data!$F$21:$F$613,MATCH($A731,Market_Data!$E$21:INDEX(Market_Data!$E$21:$E$613,COUNT(Market_Data!$E$21:$E$613)),1)),""))</f>
        <v/>
      </c>
      <c r="D731" s="145" t="str">
        <f ca="1">IF($A731="","",IFERROR(INDEX(Market_Data!$I$21:$I$613,MATCH($A731,Market_Data!$H$21:INDEX(Market_Data!$H$21:$H$613,COUNT(Market_Data!$H$21:$H$613)),1)),""))</f>
        <v/>
      </c>
      <c r="E731" s="145" t="str">
        <f ca="1">IF($A731="","",IFERROR(INDEX(Market_Data!$L$21:$L$613,MATCH($A731,Market_Data!$K$21:INDEX(Market_Data!$K$21:$K$613,COUNT(Market_Data!$K$21:$K$613)),1)),""))</f>
        <v/>
      </c>
      <c r="F731" s="145" t="str">
        <f ca="1">IF($A731="","",IFERROR(INDEX(Market_Data!$O$21:$O$613,MATCH($A731,Market_Data!$N$21:INDEX(Market_Data!$N$21:$N$613,COUNT(Market_Data!$N$21:$N$613)),1)),""))</f>
        <v/>
      </c>
      <c r="G731" s="145" t="str">
        <f ca="1">IF($A731="","",IFERROR(INDEX(Market_Data!$R$21:$R$613,MATCH($A731,Market_Data!$Q$21:INDEX(Market_Data!$Q$21:$Q$613,COUNT(Market_Data!$Q$21:$Q$613)),1)),""))</f>
        <v/>
      </c>
      <c r="H731" s="145" t="str">
        <f ca="1">IF($A731="","",IFERROR(INDEX(Market_Data!$U$21:$U$613,MATCH($A731,Market_Data!$T$21:INDEX(Market_Data!$T$21:$T$613,COUNT(Market_Data!$T$21:$T$613)),1)),""))</f>
        <v/>
      </c>
      <c r="I731" s="146" t="str">
        <f ca="1">IF($A731="","",IFERROR(INDEX(Query1[Close],MATCH($A731,Query1[Date],1)),""))</f>
        <v/>
      </c>
    </row>
    <row r="732" spans="1:9" x14ac:dyDescent="0.3">
      <c r="A732" s="144" t="str">
        <f t="shared" ca="1" si="13"/>
        <v/>
      </c>
      <c r="B732" s="145" t="str">
        <f ca="1">IF($A732="","",IFERROR(INDEX(Market_Data!$C$21:$C$613,MATCH($A732,Market_Data!$B$21:INDEX(Market_Data!$B$21:$B$613,COUNT(Market_Data!$B$21:$B$613)),1)),""))</f>
        <v/>
      </c>
      <c r="C732" s="145" t="str">
        <f ca="1">IF($A732="","",IFERROR(INDEX(Market_Data!$F$21:$F$613,MATCH($A732,Market_Data!$E$21:INDEX(Market_Data!$E$21:$E$613,COUNT(Market_Data!$E$21:$E$613)),1)),""))</f>
        <v/>
      </c>
      <c r="D732" s="145" t="str">
        <f ca="1">IF($A732="","",IFERROR(INDEX(Market_Data!$I$21:$I$613,MATCH($A732,Market_Data!$H$21:INDEX(Market_Data!$H$21:$H$613,COUNT(Market_Data!$H$21:$H$613)),1)),""))</f>
        <v/>
      </c>
      <c r="E732" s="145" t="str">
        <f ca="1">IF($A732="","",IFERROR(INDEX(Market_Data!$L$21:$L$613,MATCH($A732,Market_Data!$K$21:INDEX(Market_Data!$K$21:$K$613,COUNT(Market_Data!$K$21:$K$613)),1)),""))</f>
        <v/>
      </c>
      <c r="F732" s="145" t="str">
        <f ca="1">IF($A732="","",IFERROR(INDEX(Market_Data!$O$21:$O$613,MATCH($A732,Market_Data!$N$21:INDEX(Market_Data!$N$21:$N$613,COUNT(Market_Data!$N$21:$N$613)),1)),""))</f>
        <v/>
      </c>
      <c r="G732" s="145" t="str">
        <f ca="1">IF($A732="","",IFERROR(INDEX(Market_Data!$R$21:$R$613,MATCH($A732,Market_Data!$Q$21:INDEX(Market_Data!$Q$21:$Q$613,COUNT(Market_Data!$Q$21:$Q$613)),1)),""))</f>
        <v/>
      </c>
      <c r="H732" s="145" t="str">
        <f ca="1">IF($A732="","",IFERROR(INDEX(Market_Data!$U$21:$U$613,MATCH($A732,Market_Data!$T$21:INDEX(Market_Data!$T$21:$T$613,COUNT(Market_Data!$T$21:$T$613)),1)),""))</f>
        <v/>
      </c>
      <c r="I732" s="146" t="str">
        <f ca="1">IF($A732="","",IFERROR(INDEX(Query1[Close],MATCH($A732,Query1[Date],1)),""))</f>
        <v/>
      </c>
    </row>
    <row r="733" spans="1:9" x14ac:dyDescent="0.3">
      <c r="A733" s="144" t="str">
        <f t="shared" ca="1" si="13"/>
        <v/>
      </c>
      <c r="B733" s="145" t="str">
        <f ca="1">IF($A733="","",IFERROR(INDEX(Market_Data!$C$21:$C$613,MATCH($A733,Market_Data!$B$21:INDEX(Market_Data!$B$21:$B$613,COUNT(Market_Data!$B$21:$B$613)),1)),""))</f>
        <v/>
      </c>
      <c r="C733" s="145" t="str">
        <f ca="1">IF($A733="","",IFERROR(INDEX(Market_Data!$F$21:$F$613,MATCH($A733,Market_Data!$E$21:INDEX(Market_Data!$E$21:$E$613,COUNT(Market_Data!$E$21:$E$613)),1)),""))</f>
        <v/>
      </c>
      <c r="D733" s="145" t="str">
        <f ca="1">IF($A733="","",IFERROR(INDEX(Market_Data!$I$21:$I$613,MATCH($A733,Market_Data!$H$21:INDEX(Market_Data!$H$21:$H$613,COUNT(Market_Data!$H$21:$H$613)),1)),""))</f>
        <v/>
      </c>
      <c r="E733" s="145" t="str">
        <f ca="1">IF($A733="","",IFERROR(INDEX(Market_Data!$L$21:$L$613,MATCH($A733,Market_Data!$K$21:INDEX(Market_Data!$K$21:$K$613,COUNT(Market_Data!$K$21:$K$613)),1)),""))</f>
        <v/>
      </c>
      <c r="F733" s="145" t="str">
        <f ca="1">IF($A733="","",IFERROR(INDEX(Market_Data!$O$21:$O$613,MATCH($A733,Market_Data!$N$21:INDEX(Market_Data!$N$21:$N$613,COUNT(Market_Data!$N$21:$N$613)),1)),""))</f>
        <v/>
      </c>
      <c r="G733" s="145" t="str">
        <f ca="1">IF($A733="","",IFERROR(INDEX(Market_Data!$R$21:$R$613,MATCH($A733,Market_Data!$Q$21:INDEX(Market_Data!$Q$21:$Q$613,COUNT(Market_Data!$Q$21:$Q$613)),1)),""))</f>
        <v/>
      </c>
      <c r="H733" s="145" t="str">
        <f ca="1">IF($A733="","",IFERROR(INDEX(Market_Data!$U$21:$U$613,MATCH($A733,Market_Data!$T$21:INDEX(Market_Data!$T$21:$T$613,COUNT(Market_Data!$T$21:$T$613)),1)),""))</f>
        <v/>
      </c>
      <c r="I733" s="146" t="str">
        <f ca="1">IF($A733="","",IFERROR(INDEX(Query1[Close],MATCH($A733,Query1[Date],1)),""))</f>
        <v/>
      </c>
    </row>
    <row r="734" spans="1:9" x14ac:dyDescent="0.3">
      <c r="A734" s="144" t="str">
        <f t="shared" ca="1" si="13"/>
        <v/>
      </c>
      <c r="B734" s="145" t="str">
        <f ca="1">IF($A734="","",IFERROR(INDEX(Market_Data!$C$21:$C$613,MATCH($A734,Market_Data!$B$21:INDEX(Market_Data!$B$21:$B$613,COUNT(Market_Data!$B$21:$B$613)),1)),""))</f>
        <v/>
      </c>
      <c r="C734" s="145" t="str">
        <f ca="1">IF($A734="","",IFERROR(INDEX(Market_Data!$F$21:$F$613,MATCH($A734,Market_Data!$E$21:INDEX(Market_Data!$E$21:$E$613,COUNT(Market_Data!$E$21:$E$613)),1)),""))</f>
        <v/>
      </c>
      <c r="D734" s="145" t="str">
        <f ca="1">IF($A734="","",IFERROR(INDEX(Market_Data!$I$21:$I$613,MATCH($A734,Market_Data!$H$21:INDEX(Market_Data!$H$21:$H$613,COUNT(Market_Data!$H$21:$H$613)),1)),""))</f>
        <v/>
      </c>
      <c r="E734" s="145" t="str">
        <f ca="1">IF($A734="","",IFERROR(INDEX(Market_Data!$L$21:$L$613,MATCH($A734,Market_Data!$K$21:INDEX(Market_Data!$K$21:$K$613,COUNT(Market_Data!$K$21:$K$613)),1)),""))</f>
        <v/>
      </c>
      <c r="F734" s="145" t="str">
        <f ca="1">IF($A734="","",IFERROR(INDEX(Market_Data!$O$21:$O$613,MATCH($A734,Market_Data!$N$21:INDEX(Market_Data!$N$21:$N$613,COUNT(Market_Data!$N$21:$N$613)),1)),""))</f>
        <v/>
      </c>
      <c r="G734" s="145" t="str">
        <f ca="1">IF($A734="","",IFERROR(INDEX(Market_Data!$R$21:$R$613,MATCH($A734,Market_Data!$Q$21:INDEX(Market_Data!$Q$21:$Q$613,COUNT(Market_Data!$Q$21:$Q$613)),1)),""))</f>
        <v/>
      </c>
      <c r="H734" s="145" t="str">
        <f ca="1">IF($A734="","",IFERROR(INDEX(Market_Data!$U$21:$U$613,MATCH($A734,Market_Data!$T$21:INDEX(Market_Data!$T$21:$T$613,COUNT(Market_Data!$T$21:$T$613)),1)),""))</f>
        <v/>
      </c>
      <c r="I734" s="146" t="str">
        <f ca="1">IF($A734="","",IFERROR(INDEX(Query1[Close],MATCH($A734,Query1[Date],1)),""))</f>
        <v/>
      </c>
    </row>
    <row r="735" spans="1:9" x14ac:dyDescent="0.3">
      <c r="A735" s="144" t="str">
        <f t="shared" ca="1" si="13"/>
        <v/>
      </c>
      <c r="B735" s="145" t="str">
        <f ca="1">IF($A735="","",IFERROR(INDEX(Market_Data!$C$21:$C$613,MATCH($A735,Market_Data!$B$21:INDEX(Market_Data!$B$21:$B$613,COUNT(Market_Data!$B$21:$B$613)),1)),""))</f>
        <v/>
      </c>
      <c r="C735" s="145" t="str">
        <f ca="1">IF($A735="","",IFERROR(INDEX(Market_Data!$F$21:$F$613,MATCH($A735,Market_Data!$E$21:INDEX(Market_Data!$E$21:$E$613,COUNT(Market_Data!$E$21:$E$613)),1)),""))</f>
        <v/>
      </c>
      <c r="D735" s="145" t="str">
        <f ca="1">IF($A735="","",IFERROR(INDEX(Market_Data!$I$21:$I$613,MATCH($A735,Market_Data!$H$21:INDEX(Market_Data!$H$21:$H$613,COUNT(Market_Data!$H$21:$H$613)),1)),""))</f>
        <v/>
      </c>
      <c r="E735" s="145" t="str">
        <f ca="1">IF($A735="","",IFERROR(INDEX(Market_Data!$L$21:$L$613,MATCH($A735,Market_Data!$K$21:INDEX(Market_Data!$K$21:$K$613,COUNT(Market_Data!$K$21:$K$613)),1)),""))</f>
        <v/>
      </c>
      <c r="F735" s="145" t="str">
        <f ca="1">IF($A735="","",IFERROR(INDEX(Market_Data!$O$21:$O$613,MATCH($A735,Market_Data!$N$21:INDEX(Market_Data!$N$21:$N$613,COUNT(Market_Data!$N$21:$N$613)),1)),""))</f>
        <v/>
      </c>
      <c r="G735" s="145" t="str">
        <f ca="1">IF($A735="","",IFERROR(INDEX(Market_Data!$R$21:$R$613,MATCH($A735,Market_Data!$Q$21:INDEX(Market_Data!$Q$21:$Q$613,COUNT(Market_Data!$Q$21:$Q$613)),1)),""))</f>
        <v/>
      </c>
      <c r="H735" s="145" t="str">
        <f ca="1">IF($A735="","",IFERROR(INDEX(Market_Data!$U$21:$U$613,MATCH($A735,Market_Data!$T$21:INDEX(Market_Data!$T$21:$T$613,COUNT(Market_Data!$T$21:$T$613)),1)),""))</f>
        <v/>
      </c>
      <c r="I735" s="146" t="str">
        <f ca="1">IF($A735="","",IFERROR(INDEX(Query1[Close],MATCH($A735,Query1[Date],1)),""))</f>
        <v/>
      </c>
    </row>
    <row r="736" spans="1:9" x14ac:dyDescent="0.3">
      <c r="A736" s="144" t="str">
        <f t="shared" ca="1" si="13"/>
        <v/>
      </c>
      <c r="B736" s="145" t="str">
        <f ca="1">IF($A736="","",IFERROR(INDEX(Market_Data!$C$21:$C$613,MATCH($A736,Market_Data!$B$21:INDEX(Market_Data!$B$21:$B$613,COUNT(Market_Data!$B$21:$B$613)),1)),""))</f>
        <v/>
      </c>
      <c r="C736" s="145" t="str">
        <f ca="1">IF($A736="","",IFERROR(INDEX(Market_Data!$F$21:$F$613,MATCH($A736,Market_Data!$E$21:INDEX(Market_Data!$E$21:$E$613,COUNT(Market_Data!$E$21:$E$613)),1)),""))</f>
        <v/>
      </c>
      <c r="D736" s="145" t="str">
        <f ca="1">IF($A736="","",IFERROR(INDEX(Market_Data!$I$21:$I$613,MATCH($A736,Market_Data!$H$21:INDEX(Market_Data!$H$21:$H$613,COUNT(Market_Data!$H$21:$H$613)),1)),""))</f>
        <v/>
      </c>
      <c r="E736" s="145" t="str">
        <f ca="1">IF($A736="","",IFERROR(INDEX(Market_Data!$L$21:$L$613,MATCH($A736,Market_Data!$K$21:INDEX(Market_Data!$K$21:$K$613,COUNT(Market_Data!$K$21:$K$613)),1)),""))</f>
        <v/>
      </c>
      <c r="F736" s="145" t="str">
        <f ca="1">IF($A736="","",IFERROR(INDEX(Market_Data!$O$21:$O$613,MATCH($A736,Market_Data!$N$21:INDEX(Market_Data!$N$21:$N$613,COUNT(Market_Data!$N$21:$N$613)),1)),""))</f>
        <v/>
      </c>
      <c r="G736" s="145" t="str">
        <f ca="1">IF($A736="","",IFERROR(INDEX(Market_Data!$R$21:$R$613,MATCH($A736,Market_Data!$Q$21:INDEX(Market_Data!$Q$21:$Q$613,COUNT(Market_Data!$Q$21:$Q$613)),1)),""))</f>
        <v/>
      </c>
      <c r="H736" s="145" t="str">
        <f ca="1">IF($A736="","",IFERROR(INDEX(Market_Data!$U$21:$U$613,MATCH($A736,Market_Data!$T$21:INDEX(Market_Data!$T$21:$T$613,COUNT(Market_Data!$T$21:$T$613)),1)),""))</f>
        <v/>
      </c>
      <c r="I736" s="146" t="str">
        <f ca="1">IF($A736="","",IFERROR(INDEX(Query1[Close],MATCH($A736,Query1[Date],1)),""))</f>
        <v/>
      </c>
    </row>
    <row r="737" spans="1:9" x14ac:dyDescent="0.3">
      <c r="A737" s="144" t="str">
        <f t="shared" ca="1" si="13"/>
        <v/>
      </c>
      <c r="B737" s="145" t="str">
        <f ca="1">IF($A737="","",IFERROR(INDEX(Market_Data!$C$21:$C$613,MATCH($A737,Market_Data!$B$21:INDEX(Market_Data!$B$21:$B$613,COUNT(Market_Data!$B$21:$B$613)),1)),""))</f>
        <v/>
      </c>
      <c r="C737" s="145" t="str">
        <f ca="1">IF($A737="","",IFERROR(INDEX(Market_Data!$F$21:$F$613,MATCH($A737,Market_Data!$E$21:INDEX(Market_Data!$E$21:$E$613,COUNT(Market_Data!$E$21:$E$613)),1)),""))</f>
        <v/>
      </c>
      <c r="D737" s="145" t="str">
        <f ca="1">IF($A737="","",IFERROR(INDEX(Market_Data!$I$21:$I$613,MATCH($A737,Market_Data!$H$21:INDEX(Market_Data!$H$21:$H$613,COUNT(Market_Data!$H$21:$H$613)),1)),""))</f>
        <v/>
      </c>
      <c r="E737" s="145" t="str">
        <f ca="1">IF($A737="","",IFERROR(INDEX(Market_Data!$L$21:$L$613,MATCH($A737,Market_Data!$K$21:INDEX(Market_Data!$K$21:$K$613,COUNT(Market_Data!$K$21:$K$613)),1)),""))</f>
        <v/>
      </c>
      <c r="F737" s="145" t="str">
        <f ca="1">IF($A737="","",IFERROR(INDEX(Market_Data!$O$21:$O$613,MATCH($A737,Market_Data!$N$21:INDEX(Market_Data!$N$21:$N$613,COUNT(Market_Data!$N$21:$N$613)),1)),""))</f>
        <v/>
      </c>
      <c r="G737" s="145" t="str">
        <f ca="1">IF($A737="","",IFERROR(INDEX(Market_Data!$R$21:$R$613,MATCH($A737,Market_Data!$Q$21:INDEX(Market_Data!$Q$21:$Q$613,COUNT(Market_Data!$Q$21:$Q$613)),1)),""))</f>
        <v/>
      </c>
      <c r="H737" s="145" t="str">
        <f ca="1">IF($A737="","",IFERROR(INDEX(Market_Data!$U$21:$U$613,MATCH($A737,Market_Data!$T$21:INDEX(Market_Data!$T$21:$T$613,COUNT(Market_Data!$T$21:$T$613)),1)),""))</f>
        <v/>
      </c>
      <c r="I737" s="146" t="str">
        <f ca="1">IF($A737="","",IFERROR(INDEX(Query1[Close],MATCH($A737,Query1[Date],1)),""))</f>
        <v/>
      </c>
    </row>
    <row r="738" spans="1:9" x14ac:dyDescent="0.3">
      <c r="A738" s="144" t="str">
        <f t="shared" ca="1" si="13"/>
        <v/>
      </c>
      <c r="B738" s="145" t="str">
        <f ca="1">IF($A738="","",IFERROR(INDEX(Market_Data!$C$21:$C$613,MATCH($A738,Market_Data!$B$21:INDEX(Market_Data!$B$21:$B$613,COUNT(Market_Data!$B$21:$B$613)),1)),""))</f>
        <v/>
      </c>
      <c r="C738" s="145" t="str">
        <f ca="1">IF($A738="","",IFERROR(INDEX(Market_Data!$F$21:$F$613,MATCH($A738,Market_Data!$E$21:INDEX(Market_Data!$E$21:$E$613,COUNT(Market_Data!$E$21:$E$613)),1)),""))</f>
        <v/>
      </c>
      <c r="D738" s="145" t="str">
        <f ca="1">IF($A738="","",IFERROR(INDEX(Market_Data!$I$21:$I$613,MATCH($A738,Market_Data!$H$21:INDEX(Market_Data!$H$21:$H$613,COUNT(Market_Data!$H$21:$H$613)),1)),""))</f>
        <v/>
      </c>
      <c r="E738" s="145" t="str">
        <f ca="1">IF($A738="","",IFERROR(INDEX(Market_Data!$L$21:$L$613,MATCH($A738,Market_Data!$K$21:INDEX(Market_Data!$K$21:$K$613,COUNT(Market_Data!$K$21:$K$613)),1)),""))</f>
        <v/>
      </c>
      <c r="F738" s="145" t="str">
        <f ca="1">IF($A738="","",IFERROR(INDEX(Market_Data!$O$21:$O$613,MATCH($A738,Market_Data!$N$21:INDEX(Market_Data!$N$21:$N$613,COUNT(Market_Data!$N$21:$N$613)),1)),""))</f>
        <v/>
      </c>
      <c r="G738" s="145" t="str">
        <f ca="1">IF($A738="","",IFERROR(INDEX(Market_Data!$R$21:$R$613,MATCH($A738,Market_Data!$Q$21:INDEX(Market_Data!$Q$21:$Q$613,COUNT(Market_Data!$Q$21:$Q$613)),1)),""))</f>
        <v/>
      </c>
      <c r="H738" s="145" t="str">
        <f ca="1">IF($A738="","",IFERROR(INDEX(Market_Data!$U$21:$U$613,MATCH($A738,Market_Data!$T$21:INDEX(Market_Data!$T$21:$T$613,COUNT(Market_Data!$T$21:$T$613)),1)),""))</f>
        <v/>
      </c>
      <c r="I738" s="146" t="str">
        <f ca="1">IF($A738="","",IFERROR(INDEX(Query1[Close],MATCH($A738,Query1[Date],1)),""))</f>
        <v/>
      </c>
    </row>
    <row r="739" spans="1:9" x14ac:dyDescent="0.3">
      <c r="A739" s="144" t="str">
        <f t="shared" ca="1" si="13"/>
        <v/>
      </c>
      <c r="B739" s="145" t="str">
        <f ca="1">IF($A739="","",IFERROR(INDEX(Market_Data!$C$21:$C$613,MATCH($A739,Market_Data!$B$21:INDEX(Market_Data!$B$21:$B$613,COUNT(Market_Data!$B$21:$B$613)),1)),""))</f>
        <v/>
      </c>
      <c r="C739" s="145" t="str">
        <f ca="1">IF($A739="","",IFERROR(INDEX(Market_Data!$F$21:$F$613,MATCH($A739,Market_Data!$E$21:INDEX(Market_Data!$E$21:$E$613,COUNT(Market_Data!$E$21:$E$613)),1)),""))</f>
        <v/>
      </c>
      <c r="D739" s="145" t="str">
        <f ca="1">IF($A739="","",IFERROR(INDEX(Market_Data!$I$21:$I$613,MATCH($A739,Market_Data!$H$21:INDEX(Market_Data!$H$21:$H$613,COUNT(Market_Data!$H$21:$H$613)),1)),""))</f>
        <v/>
      </c>
      <c r="E739" s="145" t="str">
        <f ca="1">IF($A739="","",IFERROR(INDEX(Market_Data!$L$21:$L$613,MATCH($A739,Market_Data!$K$21:INDEX(Market_Data!$K$21:$K$613,COUNT(Market_Data!$K$21:$K$613)),1)),""))</f>
        <v/>
      </c>
      <c r="F739" s="145" t="str">
        <f ca="1">IF($A739="","",IFERROR(INDEX(Market_Data!$O$21:$O$613,MATCH($A739,Market_Data!$N$21:INDEX(Market_Data!$N$21:$N$613,COUNT(Market_Data!$N$21:$N$613)),1)),""))</f>
        <v/>
      </c>
      <c r="G739" s="145" t="str">
        <f ca="1">IF($A739="","",IFERROR(INDEX(Market_Data!$R$21:$R$613,MATCH($A739,Market_Data!$Q$21:INDEX(Market_Data!$Q$21:$Q$613,COUNT(Market_Data!$Q$21:$Q$613)),1)),""))</f>
        <v/>
      </c>
      <c r="H739" s="145" t="str">
        <f ca="1">IF($A739="","",IFERROR(INDEX(Market_Data!$U$21:$U$613,MATCH($A739,Market_Data!$T$21:INDEX(Market_Data!$T$21:$T$613,COUNT(Market_Data!$T$21:$T$613)),1)),""))</f>
        <v/>
      </c>
      <c r="I739" s="146" t="str">
        <f ca="1">IF($A739="","",IFERROR(INDEX(Query1[Close],MATCH($A739,Query1[Date],1)),""))</f>
        <v/>
      </c>
    </row>
    <row r="740" spans="1:9" x14ac:dyDescent="0.3">
      <c r="A740" s="144" t="str">
        <f t="shared" ca="1" si="13"/>
        <v/>
      </c>
      <c r="B740" s="145" t="str">
        <f ca="1">IF($A740="","",IFERROR(INDEX(Market_Data!$C$21:$C$613,MATCH($A740,Market_Data!$B$21:INDEX(Market_Data!$B$21:$B$613,COUNT(Market_Data!$B$21:$B$613)),1)),""))</f>
        <v/>
      </c>
      <c r="C740" s="145" t="str">
        <f ca="1">IF($A740="","",IFERROR(INDEX(Market_Data!$F$21:$F$613,MATCH($A740,Market_Data!$E$21:INDEX(Market_Data!$E$21:$E$613,COUNT(Market_Data!$E$21:$E$613)),1)),""))</f>
        <v/>
      </c>
      <c r="D740" s="145" t="str">
        <f ca="1">IF($A740="","",IFERROR(INDEX(Market_Data!$I$21:$I$613,MATCH($A740,Market_Data!$H$21:INDEX(Market_Data!$H$21:$H$613,COUNT(Market_Data!$H$21:$H$613)),1)),""))</f>
        <v/>
      </c>
      <c r="E740" s="145" t="str">
        <f ca="1">IF($A740="","",IFERROR(INDEX(Market_Data!$L$21:$L$613,MATCH($A740,Market_Data!$K$21:INDEX(Market_Data!$K$21:$K$613,COUNT(Market_Data!$K$21:$K$613)),1)),""))</f>
        <v/>
      </c>
      <c r="F740" s="145" t="str">
        <f ca="1">IF($A740="","",IFERROR(INDEX(Market_Data!$O$21:$O$613,MATCH($A740,Market_Data!$N$21:INDEX(Market_Data!$N$21:$N$613,COUNT(Market_Data!$N$21:$N$613)),1)),""))</f>
        <v/>
      </c>
      <c r="G740" s="145" t="str">
        <f ca="1">IF($A740="","",IFERROR(INDEX(Market_Data!$R$21:$R$613,MATCH($A740,Market_Data!$Q$21:INDEX(Market_Data!$Q$21:$Q$613,COUNT(Market_Data!$Q$21:$Q$613)),1)),""))</f>
        <v/>
      </c>
      <c r="H740" s="145" t="str">
        <f ca="1">IF($A740="","",IFERROR(INDEX(Market_Data!$U$21:$U$613,MATCH($A740,Market_Data!$T$21:INDEX(Market_Data!$T$21:$T$613,COUNT(Market_Data!$T$21:$T$613)),1)),""))</f>
        <v/>
      </c>
      <c r="I740" s="146" t="str">
        <f ca="1">IF($A740="","",IFERROR(INDEX(Query1[Close],MATCH($A740,Query1[Date],1)),""))</f>
        <v/>
      </c>
    </row>
    <row r="741" spans="1:9" x14ac:dyDescent="0.3">
      <c r="A741" s="144" t="str">
        <f t="shared" ca="1" si="13"/>
        <v/>
      </c>
      <c r="B741" s="145" t="str">
        <f ca="1">IF($A741="","",IFERROR(INDEX(Market_Data!$C$21:$C$613,MATCH($A741,Market_Data!$B$21:INDEX(Market_Data!$B$21:$B$613,COUNT(Market_Data!$B$21:$B$613)),1)),""))</f>
        <v/>
      </c>
      <c r="C741" s="145" t="str">
        <f ca="1">IF($A741="","",IFERROR(INDEX(Market_Data!$F$21:$F$613,MATCH($A741,Market_Data!$E$21:INDEX(Market_Data!$E$21:$E$613,COUNT(Market_Data!$E$21:$E$613)),1)),""))</f>
        <v/>
      </c>
      <c r="D741" s="145" t="str">
        <f ca="1">IF($A741="","",IFERROR(INDEX(Market_Data!$I$21:$I$613,MATCH($A741,Market_Data!$H$21:INDEX(Market_Data!$H$21:$H$613,COUNT(Market_Data!$H$21:$H$613)),1)),""))</f>
        <v/>
      </c>
      <c r="E741" s="145" t="str">
        <f ca="1">IF($A741="","",IFERROR(INDEX(Market_Data!$L$21:$L$613,MATCH($A741,Market_Data!$K$21:INDEX(Market_Data!$K$21:$K$613,COUNT(Market_Data!$K$21:$K$613)),1)),""))</f>
        <v/>
      </c>
      <c r="F741" s="145" t="str">
        <f ca="1">IF($A741="","",IFERROR(INDEX(Market_Data!$O$21:$O$613,MATCH($A741,Market_Data!$N$21:INDEX(Market_Data!$N$21:$N$613,COUNT(Market_Data!$N$21:$N$613)),1)),""))</f>
        <v/>
      </c>
      <c r="G741" s="145" t="str">
        <f ca="1">IF($A741="","",IFERROR(INDEX(Market_Data!$R$21:$R$613,MATCH($A741,Market_Data!$Q$21:INDEX(Market_Data!$Q$21:$Q$613,COUNT(Market_Data!$Q$21:$Q$613)),1)),""))</f>
        <v/>
      </c>
      <c r="H741" s="145" t="str">
        <f ca="1">IF($A741="","",IFERROR(INDEX(Market_Data!$U$21:$U$613,MATCH($A741,Market_Data!$T$21:INDEX(Market_Data!$T$21:$T$613,COUNT(Market_Data!$T$21:$T$613)),1)),""))</f>
        <v/>
      </c>
      <c r="I741" s="146" t="str">
        <f ca="1">IF($A741="","",IFERROR(INDEX(Query1[Close],MATCH($A741,Query1[Date],1)),""))</f>
        <v/>
      </c>
    </row>
    <row r="742" spans="1:9" x14ac:dyDescent="0.3">
      <c r="A742" s="144" t="str">
        <f t="shared" ca="1" si="13"/>
        <v/>
      </c>
      <c r="B742" s="145" t="str">
        <f ca="1">IF($A742="","",IFERROR(INDEX(Market_Data!$C$21:$C$613,MATCH($A742,Market_Data!$B$21:INDEX(Market_Data!$B$21:$B$613,COUNT(Market_Data!$B$21:$B$613)),1)),""))</f>
        <v/>
      </c>
      <c r="C742" s="145" t="str">
        <f ca="1">IF($A742="","",IFERROR(INDEX(Market_Data!$F$21:$F$613,MATCH($A742,Market_Data!$E$21:INDEX(Market_Data!$E$21:$E$613,COUNT(Market_Data!$E$21:$E$613)),1)),""))</f>
        <v/>
      </c>
      <c r="D742" s="145" t="str">
        <f ca="1">IF($A742="","",IFERROR(INDEX(Market_Data!$I$21:$I$613,MATCH($A742,Market_Data!$H$21:INDEX(Market_Data!$H$21:$H$613,COUNT(Market_Data!$H$21:$H$613)),1)),""))</f>
        <v/>
      </c>
      <c r="E742" s="145" t="str">
        <f ca="1">IF($A742="","",IFERROR(INDEX(Market_Data!$L$21:$L$613,MATCH($A742,Market_Data!$K$21:INDEX(Market_Data!$K$21:$K$613,COUNT(Market_Data!$K$21:$K$613)),1)),""))</f>
        <v/>
      </c>
      <c r="F742" s="145" t="str">
        <f ca="1">IF($A742="","",IFERROR(INDEX(Market_Data!$O$21:$O$613,MATCH($A742,Market_Data!$N$21:INDEX(Market_Data!$N$21:$N$613,COUNT(Market_Data!$N$21:$N$613)),1)),""))</f>
        <v/>
      </c>
      <c r="G742" s="145" t="str">
        <f ca="1">IF($A742="","",IFERROR(INDEX(Market_Data!$R$21:$R$613,MATCH($A742,Market_Data!$Q$21:INDEX(Market_Data!$Q$21:$Q$613,COUNT(Market_Data!$Q$21:$Q$613)),1)),""))</f>
        <v/>
      </c>
      <c r="H742" s="145" t="str">
        <f ca="1">IF($A742="","",IFERROR(INDEX(Market_Data!$U$21:$U$613,MATCH($A742,Market_Data!$T$21:INDEX(Market_Data!$T$21:$T$613,COUNT(Market_Data!$T$21:$T$613)),1)),""))</f>
        <v/>
      </c>
      <c r="I742" s="146" t="str">
        <f ca="1">IF($A742="","",IFERROR(INDEX(Query1[Close],MATCH($A742,Query1[Date],1)),""))</f>
        <v/>
      </c>
    </row>
    <row r="743" spans="1:9" x14ac:dyDescent="0.3">
      <c r="A743" s="144" t="str">
        <f t="shared" ca="1" si="13"/>
        <v/>
      </c>
      <c r="B743" s="145" t="str">
        <f ca="1">IF($A743="","",IFERROR(INDEX(Market_Data!$C$21:$C$613,MATCH($A743,Market_Data!$B$21:INDEX(Market_Data!$B$21:$B$613,COUNT(Market_Data!$B$21:$B$613)),1)),""))</f>
        <v/>
      </c>
      <c r="C743" s="145" t="str">
        <f ca="1">IF($A743="","",IFERROR(INDEX(Market_Data!$F$21:$F$613,MATCH($A743,Market_Data!$E$21:INDEX(Market_Data!$E$21:$E$613,COUNT(Market_Data!$E$21:$E$613)),1)),""))</f>
        <v/>
      </c>
      <c r="D743" s="145" t="str">
        <f ca="1">IF($A743="","",IFERROR(INDEX(Market_Data!$I$21:$I$613,MATCH($A743,Market_Data!$H$21:INDEX(Market_Data!$H$21:$H$613,COUNT(Market_Data!$H$21:$H$613)),1)),""))</f>
        <v/>
      </c>
      <c r="E743" s="145" t="str">
        <f ca="1">IF($A743="","",IFERROR(INDEX(Market_Data!$L$21:$L$613,MATCH($A743,Market_Data!$K$21:INDEX(Market_Data!$K$21:$K$613,COUNT(Market_Data!$K$21:$K$613)),1)),""))</f>
        <v/>
      </c>
      <c r="F743" s="145" t="str">
        <f ca="1">IF($A743="","",IFERROR(INDEX(Market_Data!$O$21:$O$613,MATCH($A743,Market_Data!$N$21:INDEX(Market_Data!$N$21:$N$613,COUNT(Market_Data!$N$21:$N$613)),1)),""))</f>
        <v/>
      </c>
      <c r="G743" s="145" t="str">
        <f ca="1">IF($A743="","",IFERROR(INDEX(Market_Data!$R$21:$R$613,MATCH($A743,Market_Data!$Q$21:INDEX(Market_Data!$Q$21:$Q$613,COUNT(Market_Data!$Q$21:$Q$613)),1)),""))</f>
        <v/>
      </c>
      <c r="H743" s="145" t="str">
        <f ca="1">IF($A743="","",IFERROR(INDEX(Market_Data!$U$21:$U$613,MATCH($A743,Market_Data!$T$21:INDEX(Market_Data!$T$21:$T$613,COUNT(Market_Data!$T$21:$T$613)),1)),""))</f>
        <v/>
      </c>
      <c r="I743" s="146" t="str">
        <f ca="1">IF($A743="","",IFERROR(INDEX(Query1[Close],MATCH($A743,Query1[Date],1)),""))</f>
        <v/>
      </c>
    </row>
    <row r="744" spans="1:9" x14ac:dyDescent="0.3">
      <c r="A744" s="144" t="str">
        <f t="shared" ca="1" si="13"/>
        <v/>
      </c>
      <c r="B744" s="145" t="str">
        <f ca="1">IF($A744="","",IFERROR(INDEX(Market_Data!$C$21:$C$613,MATCH($A744,Market_Data!$B$21:INDEX(Market_Data!$B$21:$B$613,COUNT(Market_Data!$B$21:$B$613)),1)),""))</f>
        <v/>
      </c>
      <c r="C744" s="145" t="str">
        <f ca="1">IF($A744="","",IFERROR(INDEX(Market_Data!$F$21:$F$613,MATCH($A744,Market_Data!$E$21:INDEX(Market_Data!$E$21:$E$613,COUNT(Market_Data!$E$21:$E$613)),1)),""))</f>
        <v/>
      </c>
      <c r="D744" s="145" t="str">
        <f ca="1">IF($A744="","",IFERROR(INDEX(Market_Data!$I$21:$I$613,MATCH($A744,Market_Data!$H$21:INDEX(Market_Data!$H$21:$H$613,COUNT(Market_Data!$H$21:$H$613)),1)),""))</f>
        <v/>
      </c>
      <c r="E744" s="145" t="str">
        <f ca="1">IF($A744="","",IFERROR(INDEX(Market_Data!$L$21:$L$613,MATCH($A744,Market_Data!$K$21:INDEX(Market_Data!$K$21:$K$613,COUNT(Market_Data!$K$21:$K$613)),1)),""))</f>
        <v/>
      </c>
      <c r="F744" s="145" t="str">
        <f ca="1">IF($A744="","",IFERROR(INDEX(Market_Data!$O$21:$O$613,MATCH($A744,Market_Data!$N$21:INDEX(Market_Data!$N$21:$N$613,COUNT(Market_Data!$N$21:$N$613)),1)),""))</f>
        <v/>
      </c>
      <c r="G744" s="145" t="str">
        <f ca="1">IF($A744="","",IFERROR(INDEX(Market_Data!$R$21:$R$613,MATCH($A744,Market_Data!$Q$21:INDEX(Market_Data!$Q$21:$Q$613,COUNT(Market_Data!$Q$21:$Q$613)),1)),""))</f>
        <v/>
      </c>
      <c r="H744" s="145" t="str">
        <f ca="1">IF($A744="","",IFERROR(INDEX(Market_Data!$U$21:$U$613,MATCH($A744,Market_Data!$T$21:INDEX(Market_Data!$T$21:$T$613,COUNT(Market_Data!$T$21:$T$613)),1)),""))</f>
        <v/>
      </c>
      <c r="I744" s="146" t="str">
        <f ca="1">IF($A744="","",IFERROR(INDEX(Query1[Close],MATCH($A744,Query1[Date],1)),""))</f>
        <v/>
      </c>
    </row>
    <row r="745" spans="1:9" x14ac:dyDescent="0.3">
      <c r="A745" s="144" t="str">
        <f t="shared" ca="1" si="13"/>
        <v/>
      </c>
      <c r="B745" s="145" t="str">
        <f ca="1">IF($A745="","",IFERROR(INDEX(Market_Data!$C$21:$C$613,MATCH($A745,Market_Data!$B$21:INDEX(Market_Data!$B$21:$B$613,COUNT(Market_Data!$B$21:$B$613)),1)),""))</f>
        <v/>
      </c>
      <c r="C745" s="145" t="str">
        <f ca="1">IF($A745="","",IFERROR(INDEX(Market_Data!$F$21:$F$613,MATCH($A745,Market_Data!$E$21:INDEX(Market_Data!$E$21:$E$613,COUNT(Market_Data!$E$21:$E$613)),1)),""))</f>
        <v/>
      </c>
      <c r="D745" s="145" t="str">
        <f ca="1">IF($A745="","",IFERROR(INDEX(Market_Data!$I$21:$I$613,MATCH($A745,Market_Data!$H$21:INDEX(Market_Data!$H$21:$H$613,COUNT(Market_Data!$H$21:$H$613)),1)),""))</f>
        <v/>
      </c>
      <c r="E745" s="145" t="str">
        <f ca="1">IF($A745="","",IFERROR(INDEX(Market_Data!$L$21:$L$613,MATCH($A745,Market_Data!$K$21:INDEX(Market_Data!$K$21:$K$613,COUNT(Market_Data!$K$21:$K$613)),1)),""))</f>
        <v/>
      </c>
      <c r="F745" s="145" t="str">
        <f ca="1">IF($A745="","",IFERROR(INDEX(Market_Data!$O$21:$O$613,MATCH($A745,Market_Data!$N$21:INDEX(Market_Data!$N$21:$N$613,COUNT(Market_Data!$N$21:$N$613)),1)),""))</f>
        <v/>
      </c>
      <c r="G745" s="145" t="str">
        <f ca="1">IF($A745="","",IFERROR(INDEX(Market_Data!$R$21:$R$613,MATCH($A745,Market_Data!$Q$21:INDEX(Market_Data!$Q$21:$Q$613,COUNT(Market_Data!$Q$21:$Q$613)),1)),""))</f>
        <v/>
      </c>
      <c r="H745" s="145" t="str">
        <f ca="1">IF($A745="","",IFERROR(INDEX(Market_Data!$U$21:$U$613,MATCH($A745,Market_Data!$T$21:INDEX(Market_Data!$T$21:$T$613,COUNT(Market_Data!$T$21:$T$613)),1)),""))</f>
        <v/>
      </c>
      <c r="I745" s="146" t="str">
        <f ca="1">IF($A745="","",IFERROR(INDEX(Query1[Close],MATCH($A745,Query1[Date],1)),""))</f>
        <v/>
      </c>
    </row>
    <row r="746" spans="1:9" x14ac:dyDescent="0.3">
      <c r="A746" s="144" t="str">
        <f t="shared" ca="1" si="13"/>
        <v/>
      </c>
      <c r="B746" s="145" t="str">
        <f ca="1">IF($A746="","",IFERROR(INDEX(Market_Data!$C$21:$C$613,MATCH($A746,Market_Data!$B$21:INDEX(Market_Data!$B$21:$B$613,COUNT(Market_Data!$B$21:$B$613)),1)),""))</f>
        <v/>
      </c>
      <c r="C746" s="145" t="str">
        <f ca="1">IF($A746="","",IFERROR(INDEX(Market_Data!$F$21:$F$613,MATCH($A746,Market_Data!$E$21:INDEX(Market_Data!$E$21:$E$613,COUNT(Market_Data!$E$21:$E$613)),1)),""))</f>
        <v/>
      </c>
      <c r="D746" s="145" t="str">
        <f ca="1">IF($A746="","",IFERROR(INDEX(Market_Data!$I$21:$I$613,MATCH($A746,Market_Data!$H$21:INDEX(Market_Data!$H$21:$H$613,COUNT(Market_Data!$H$21:$H$613)),1)),""))</f>
        <v/>
      </c>
      <c r="E746" s="145" t="str">
        <f ca="1">IF($A746="","",IFERROR(INDEX(Market_Data!$L$21:$L$613,MATCH($A746,Market_Data!$K$21:INDEX(Market_Data!$K$21:$K$613,COUNT(Market_Data!$K$21:$K$613)),1)),""))</f>
        <v/>
      </c>
      <c r="F746" s="145" t="str">
        <f ca="1">IF($A746="","",IFERROR(INDEX(Market_Data!$O$21:$O$613,MATCH($A746,Market_Data!$N$21:INDEX(Market_Data!$N$21:$N$613,COUNT(Market_Data!$N$21:$N$613)),1)),""))</f>
        <v/>
      </c>
      <c r="G746" s="145" t="str">
        <f ca="1">IF($A746="","",IFERROR(INDEX(Market_Data!$R$21:$R$613,MATCH($A746,Market_Data!$Q$21:INDEX(Market_Data!$Q$21:$Q$613,COUNT(Market_Data!$Q$21:$Q$613)),1)),""))</f>
        <v/>
      </c>
      <c r="H746" s="145" t="str">
        <f ca="1">IF($A746="","",IFERROR(INDEX(Market_Data!$U$21:$U$613,MATCH($A746,Market_Data!$T$21:INDEX(Market_Data!$T$21:$T$613,COUNT(Market_Data!$T$21:$T$613)),1)),""))</f>
        <v/>
      </c>
      <c r="I746" s="146" t="str">
        <f ca="1">IF($A746="","",IFERROR(INDEX(Query1[Close],MATCH($A746,Query1[Date],1)),""))</f>
        <v/>
      </c>
    </row>
    <row r="747" spans="1:9" x14ac:dyDescent="0.3">
      <c r="A747" s="144" t="str">
        <f t="shared" ca="1" si="13"/>
        <v/>
      </c>
      <c r="B747" s="145" t="str">
        <f ca="1">IF($A747="","",IFERROR(INDEX(Market_Data!$C$21:$C$613,MATCH($A747,Market_Data!$B$21:INDEX(Market_Data!$B$21:$B$613,COUNT(Market_Data!$B$21:$B$613)),1)),""))</f>
        <v/>
      </c>
      <c r="C747" s="145" t="str">
        <f ca="1">IF($A747="","",IFERROR(INDEX(Market_Data!$F$21:$F$613,MATCH($A747,Market_Data!$E$21:INDEX(Market_Data!$E$21:$E$613,COUNT(Market_Data!$E$21:$E$613)),1)),""))</f>
        <v/>
      </c>
      <c r="D747" s="145" t="str">
        <f ca="1">IF($A747="","",IFERROR(INDEX(Market_Data!$I$21:$I$613,MATCH($A747,Market_Data!$H$21:INDEX(Market_Data!$H$21:$H$613,COUNT(Market_Data!$H$21:$H$613)),1)),""))</f>
        <v/>
      </c>
      <c r="E747" s="145" t="str">
        <f ca="1">IF($A747="","",IFERROR(INDEX(Market_Data!$L$21:$L$613,MATCH($A747,Market_Data!$K$21:INDEX(Market_Data!$K$21:$K$613,COUNT(Market_Data!$K$21:$K$613)),1)),""))</f>
        <v/>
      </c>
      <c r="F747" s="145" t="str">
        <f ca="1">IF($A747="","",IFERROR(INDEX(Market_Data!$O$21:$O$613,MATCH($A747,Market_Data!$N$21:INDEX(Market_Data!$N$21:$N$613,COUNT(Market_Data!$N$21:$N$613)),1)),""))</f>
        <v/>
      </c>
      <c r="G747" s="145" t="str">
        <f ca="1">IF($A747="","",IFERROR(INDEX(Market_Data!$R$21:$R$613,MATCH($A747,Market_Data!$Q$21:INDEX(Market_Data!$Q$21:$Q$613,COUNT(Market_Data!$Q$21:$Q$613)),1)),""))</f>
        <v/>
      </c>
      <c r="H747" s="145" t="str">
        <f ca="1">IF($A747="","",IFERROR(INDEX(Market_Data!$U$21:$U$613,MATCH($A747,Market_Data!$T$21:INDEX(Market_Data!$T$21:$T$613,COUNT(Market_Data!$T$21:$T$613)),1)),""))</f>
        <v/>
      </c>
      <c r="I747" s="146" t="str">
        <f ca="1">IF($A747="","",IFERROR(INDEX(Query1[Close],MATCH($A747,Query1[Date],1)),""))</f>
        <v/>
      </c>
    </row>
    <row r="748" spans="1:9" x14ac:dyDescent="0.3">
      <c r="A748" s="144" t="str">
        <f t="shared" ca="1" si="13"/>
        <v/>
      </c>
      <c r="B748" s="145" t="str">
        <f ca="1">IF($A748="","",IFERROR(INDEX(Market_Data!$C$21:$C$613,MATCH($A748,Market_Data!$B$21:INDEX(Market_Data!$B$21:$B$613,COUNT(Market_Data!$B$21:$B$613)),1)),""))</f>
        <v/>
      </c>
      <c r="C748" s="145" t="str">
        <f ca="1">IF($A748="","",IFERROR(INDEX(Market_Data!$F$21:$F$613,MATCH($A748,Market_Data!$E$21:INDEX(Market_Data!$E$21:$E$613,COUNT(Market_Data!$E$21:$E$613)),1)),""))</f>
        <v/>
      </c>
      <c r="D748" s="145" t="str">
        <f ca="1">IF($A748="","",IFERROR(INDEX(Market_Data!$I$21:$I$613,MATCH($A748,Market_Data!$H$21:INDEX(Market_Data!$H$21:$H$613,COUNT(Market_Data!$H$21:$H$613)),1)),""))</f>
        <v/>
      </c>
      <c r="E748" s="145" t="str">
        <f ca="1">IF($A748="","",IFERROR(INDEX(Market_Data!$L$21:$L$613,MATCH($A748,Market_Data!$K$21:INDEX(Market_Data!$K$21:$K$613,COUNT(Market_Data!$K$21:$K$613)),1)),""))</f>
        <v/>
      </c>
      <c r="F748" s="145" t="str">
        <f ca="1">IF($A748="","",IFERROR(INDEX(Market_Data!$O$21:$O$613,MATCH($A748,Market_Data!$N$21:INDEX(Market_Data!$N$21:$N$613,COUNT(Market_Data!$N$21:$N$613)),1)),""))</f>
        <v/>
      </c>
      <c r="G748" s="145" t="str">
        <f ca="1">IF($A748="","",IFERROR(INDEX(Market_Data!$R$21:$R$613,MATCH($A748,Market_Data!$Q$21:INDEX(Market_Data!$Q$21:$Q$613,COUNT(Market_Data!$Q$21:$Q$613)),1)),""))</f>
        <v/>
      </c>
      <c r="H748" s="145" t="str">
        <f ca="1">IF($A748="","",IFERROR(INDEX(Market_Data!$U$21:$U$613,MATCH($A748,Market_Data!$T$21:INDEX(Market_Data!$T$21:$T$613,COUNT(Market_Data!$T$21:$T$613)),1)),""))</f>
        <v/>
      </c>
      <c r="I748" s="146" t="str">
        <f ca="1">IF($A748="","",IFERROR(INDEX(Query1[Close],MATCH($A748,Query1[Date],1)),""))</f>
        <v/>
      </c>
    </row>
    <row r="749" spans="1:9" x14ac:dyDescent="0.3">
      <c r="A749" s="144" t="str">
        <f t="shared" ca="1" si="13"/>
        <v/>
      </c>
      <c r="B749" s="145" t="str">
        <f ca="1">IF($A749="","",IFERROR(INDEX(Market_Data!$C$21:$C$613,MATCH($A749,Market_Data!$B$21:INDEX(Market_Data!$B$21:$B$613,COUNT(Market_Data!$B$21:$B$613)),1)),""))</f>
        <v/>
      </c>
      <c r="C749" s="145" t="str">
        <f ca="1">IF($A749="","",IFERROR(INDEX(Market_Data!$F$21:$F$613,MATCH($A749,Market_Data!$E$21:INDEX(Market_Data!$E$21:$E$613,COUNT(Market_Data!$E$21:$E$613)),1)),""))</f>
        <v/>
      </c>
      <c r="D749" s="145" t="str">
        <f ca="1">IF($A749="","",IFERROR(INDEX(Market_Data!$I$21:$I$613,MATCH($A749,Market_Data!$H$21:INDEX(Market_Data!$H$21:$H$613,COUNT(Market_Data!$H$21:$H$613)),1)),""))</f>
        <v/>
      </c>
      <c r="E749" s="145" t="str">
        <f ca="1">IF($A749="","",IFERROR(INDEX(Market_Data!$L$21:$L$613,MATCH($A749,Market_Data!$K$21:INDEX(Market_Data!$K$21:$K$613,COUNT(Market_Data!$K$21:$K$613)),1)),""))</f>
        <v/>
      </c>
      <c r="F749" s="145" t="str">
        <f ca="1">IF($A749="","",IFERROR(INDEX(Market_Data!$O$21:$O$613,MATCH($A749,Market_Data!$N$21:INDEX(Market_Data!$N$21:$N$613,COUNT(Market_Data!$N$21:$N$613)),1)),""))</f>
        <v/>
      </c>
      <c r="G749" s="145" t="str">
        <f ca="1">IF($A749="","",IFERROR(INDEX(Market_Data!$R$21:$R$613,MATCH($A749,Market_Data!$Q$21:INDEX(Market_Data!$Q$21:$Q$613,COUNT(Market_Data!$Q$21:$Q$613)),1)),""))</f>
        <v/>
      </c>
      <c r="H749" s="145" t="str">
        <f ca="1">IF($A749="","",IFERROR(INDEX(Market_Data!$U$21:$U$613,MATCH($A749,Market_Data!$T$21:INDEX(Market_Data!$T$21:$T$613,COUNT(Market_Data!$T$21:$T$613)),1)),""))</f>
        <v/>
      </c>
      <c r="I749" s="146" t="str">
        <f ca="1">IF($A749="","",IFERROR(INDEX(Query1[Close],MATCH($A749,Query1[Date],1)),""))</f>
        <v/>
      </c>
    </row>
    <row r="750" spans="1:9" x14ac:dyDescent="0.3">
      <c r="A750" s="144" t="str">
        <f t="shared" ca="1" si="13"/>
        <v/>
      </c>
      <c r="B750" s="145" t="str">
        <f ca="1">IF($A750="","",IFERROR(INDEX(Market_Data!$C$21:$C$613,MATCH($A750,Market_Data!$B$21:INDEX(Market_Data!$B$21:$B$613,COUNT(Market_Data!$B$21:$B$613)),1)),""))</f>
        <v/>
      </c>
      <c r="C750" s="145" t="str">
        <f ca="1">IF($A750="","",IFERROR(INDEX(Market_Data!$F$21:$F$613,MATCH($A750,Market_Data!$E$21:INDEX(Market_Data!$E$21:$E$613,COUNT(Market_Data!$E$21:$E$613)),1)),""))</f>
        <v/>
      </c>
      <c r="D750" s="145" t="str">
        <f ca="1">IF($A750="","",IFERROR(INDEX(Market_Data!$I$21:$I$613,MATCH($A750,Market_Data!$H$21:INDEX(Market_Data!$H$21:$H$613,COUNT(Market_Data!$H$21:$H$613)),1)),""))</f>
        <v/>
      </c>
      <c r="E750" s="145" t="str">
        <f ca="1">IF($A750="","",IFERROR(INDEX(Market_Data!$L$21:$L$613,MATCH($A750,Market_Data!$K$21:INDEX(Market_Data!$K$21:$K$613,COUNT(Market_Data!$K$21:$K$613)),1)),""))</f>
        <v/>
      </c>
      <c r="F750" s="145" t="str">
        <f ca="1">IF($A750="","",IFERROR(INDEX(Market_Data!$O$21:$O$613,MATCH($A750,Market_Data!$N$21:INDEX(Market_Data!$N$21:$N$613,COUNT(Market_Data!$N$21:$N$613)),1)),""))</f>
        <v/>
      </c>
      <c r="G750" s="145" t="str">
        <f ca="1">IF($A750="","",IFERROR(INDEX(Market_Data!$R$21:$R$613,MATCH($A750,Market_Data!$Q$21:INDEX(Market_Data!$Q$21:$Q$613,COUNT(Market_Data!$Q$21:$Q$613)),1)),""))</f>
        <v/>
      </c>
      <c r="H750" s="145" t="str">
        <f ca="1">IF($A750="","",IFERROR(INDEX(Market_Data!$U$21:$U$613,MATCH($A750,Market_Data!$T$21:INDEX(Market_Data!$T$21:$T$613,COUNT(Market_Data!$T$21:$T$613)),1)),""))</f>
        <v/>
      </c>
      <c r="I750" s="146" t="str">
        <f ca="1">IF($A750="","",IFERROR(INDEX(Query1[Close],MATCH($A750,Query1[Date],1)),""))</f>
        <v/>
      </c>
    </row>
    <row r="751" spans="1:9" x14ac:dyDescent="0.3">
      <c r="A751" s="144" t="str">
        <f t="shared" ca="1" si="13"/>
        <v/>
      </c>
      <c r="B751" s="145" t="str">
        <f ca="1">IF($A751="","",IFERROR(INDEX(Market_Data!$C$21:$C$613,MATCH($A751,Market_Data!$B$21:INDEX(Market_Data!$B$21:$B$613,COUNT(Market_Data!$B$21:$B$613)),1)),""))</f>
        <v/>
      </c>
      <c r="C751" s="145" t="str">
        <f ca="1">IF($A751="","",IFERROR(INDEX(Market_Data!$F$21:$F$613,MATCH($A751,Market_Data!$E$21:INDEX(Market_Data!$E$21:$E$613,COUNT(Market_Data!$E$21:$E$613)),1)),""))</f>
        <v/>
      </c>
      <c r="D751" s="145" t="str">
        <f ca="1">IF($A751="","",IFERROR(INDEX(Market_Data!$I$21:$I$613,MATCH($A751,Market_Data!$H$21:INDEX(Market_Data!$H$21:$H$613,COUNT(Market_Data!$H$21:$H$613)),1)),""))</f>
        <v/>
      </c>
      <c r="E751" s="145" t="str">
        <f ca="1">IF($A751="","",IFERROR(INDEX(Market_Data!$L$21:$L$613,MATCH($A751,Market_Data!$K$21:INDEX(Market_Data!$K$21:$K$613,COUNT(Market_Data!$K$21:$K$613)),1)),""))</f>
        <v/>
      </c>
      <c r="F751" s="145" t="str">
        <f ca="1">IF($A751="","",IFERROR(INDEX(Market_Data!$O$21:$O$613,MATCH($A751,Market_Data!$N$21:INDEX(Market_Data!$N$21:$N$613,COUNT(Market_Data!$N$21:$N$613)),1)),""))</f>
        <v/>
      </c>
      <c r="G751" s="145" t="str">
        <f ca="1">IF($A751="","",IFERROR(INDEX(Market_Data!$R$21:$R$613,MATCH($A751,Market_Data!$Q$21:INDEX(Market_Data!$Q$21:$Q$613,COUNT(Market_Data!$Q$21:$Q$613)),1)),""))</f>
        <v/>
      </c>
      <c r="H751" s="145" t="str">
        <f ca="1">IF($A751="","",IFERROR(INDEX(Market_Data!$U$21:$U$613,MATCH($A751,Market_Data!$T$21:INDEX(Market_Data!$T$21:$T$613,COUNT(Market_Data!$T$21:$T$613)),1)),""))</f>
        <v/>
      </c>
      <c r="I751" s="146" t="str">
        <f ca="1">IF($A751="","",IFERROR(INDEX(Query1[Close],MATCH($A751,Query1[Date],1)),""))</f>
        <v/>
      </c>
    </row>
    <row r="752" spans="1:9" x14ac:dyDescent="0.3">
      <c r="A752" s="144" t="str">
        <f t="shared" ca="1" si="13"/>
        <v/>
      </c>
      <c r="B752" s="145" t="str">
        <f ca="1">IF($A752="","",IFERROR(INDEX(Market_Data!$C$21:$C$613,MATCH($A752,Market_Data!$B$21:INDEX(Market_Data!$B$21:$B$613,COUNT(Market_Data!$B$21:$B$613)),1)),""))</f>
        <v/>
      </c>
      <c r="C752" s="145" t="str">
        <f ca="1">IF($A752="","",IFERROR(INDEX(Market_Data!$F$21:$F$613,MATCH($A752,Market_Data!$E$21:INDEX(Market_Data!$E$21:$E$613,COUNT(Market_Data!$E$21:$E$613)),1)),""))</f>
        <v/>
      </c>
      <c r="D752" s="145" t="str">
        <f ca="1">IF($A752="","",IFERROR(INDEX(Market_Data!$I$21:$I$613,MATCH($A752,Market_Data!$H$21:INDEX(Market_Data!$H$21:$H$613,COUNT(Market_Data!$H$21:$H$613)),1)),""))</f>
        <v/>
      </c>
      <c r="E752" s="145" t="str">
        <f ca="1">IF($A752="","",IFERROR(INDEX(Market_Data!$L$21:$L$613,MATCH($A752,Market_Data!$K$21:INDEX(Market_Data!$K$21:$K$613,COUNT(Market_Data!$K$21:$K$613)),1)),""))</f>
        <v/>
      </c>
      <c r="F752" s="145" t="str">
        <f ca="1">IF($A752="","",IFERROR(INDEX(Market_Data!$O$21:$O$613,MATCH($A752,Market_Data!$N$21:INDEX(Market_Data!$N$21:$N$613,COUNT(Market_Data!$N$21:$N$613)),1)),""))</f>
        <v/>
      </c>
      <c r="G752" s="145" t="str">
        <f ca="1">IF($A752="","",IFERROR(INDEX(Market_Data!$R$21:$R$613,MATCH($A752,Market_Data!$Q$21:INDEX(Market_Data!$Q$21:$Q$613,COUNT(Market_Data!$Q$21:$Q$613)),1)),""))</f>
        <v/>
      </c>
      <c r="H752" s="145" t="str">
        <f ca="1">IF($A752="","",IFERROR(INDEX(Market_Data!$U$21:$U$613,MATCH($A752,Market_Data!$T$21:INDEX(Market_Data!$T$21:$T$613,COUNT(Market_Data!$T$21:$T$613)),1)),""))</f>
        <v/>
      </c>
      <c r="I752" s="146" t="str">
        <f ca="1">IF($A752="","",IFERROR(INDEX(Query1[Close],MATCH($A752,Query1[Date],1)),""))</f>
        <v/>
      </c>
    </row>
    <row r="753" spans="1:9" x14ac:dyDescent="0.3">
      <c r="A753" s="144" t="str">
        <f t="shared" ca="1" si="13"/>
        <v/>
      </c>
      <c r="B753" s="145" t="str">
        <f ca="1">IF($A753="","",IFERROR(INDEX(Market_Data!$C$21:$C$613,MATCH($A753,Market_Data!$B$21:INDEX(Market_Data!$B$21:$B$613,COUNT(Market_Data!$B$21:$B$613)),1)),""))</f>
        <v/>
      </c>
      <c r="C753" s="145" t="str">
        <f ca="1">IF($A753="","",IFERROR(INDEX(Market_Data!$F$21:$F$613,MATCH($A753,Market_Data!$E$21:INDEX(Market_Data!$E$21:$E$613,COUNT(Market_Data!$E$21:$E$613)),1)),""))</f>
        <v/>
      </c>
      <c r="D753" s="145" t="str">
        <f ca="1">IF($A753="","",IFERROR(INDEX(Market_Data!$I$21:$I$613,MATCH($A753,Market_Data!$H$21:INDEX(Market_Data!$H$21:$H$613,COUNT(Market_Data!$H$21:$H$613)),1)),""))</f>
        <v/>
      </c>
      <c r="E753" s="145" t="str">
        <f ca="1">IF($A753="","",IFERROR(INDEX(Market_Data!$L$21:$L$613,MATCH($A753,Market_Data!$K$21:INDEX(Market_Data!$K$21:$K$613,COUNT(Market_Data!$K$21:$K$613)),1)),""))</f>
        <v/>
      </c>
      <c r="F753" s="145" t="str">
        <f ca="1">IF($A753="","",IFERROR(INDEX(Market_Data!$O$21:$O$613,MATCH($A753,Market_Data!$N$21:INDEX(Market_Data!$N$21:$N$613,COUNT(Market_Data!$N$21:$N$613)),1)),""))</f>
        <v/>
      </c>
      <c r="G753" s="145" t="str">
        <f ca="1">IF($A753="","",IFERROR(INDEX(Market_Data!$R$21:$R$613,MATCH($A753,Market_Data!$Q$21:INDEX(Market_Data!$Q$21:$Q$613,COUNT(Market_Data!$Q$21:$Q$613)),1)),""))</f>
        <v/>
      </c>
      <c r="H753" s="145" t="str">
        <f ca="1">IF($A753="","",IFERROR(INDEX(Market_Data!$U$21:$U$613,MATCH($A753,Market_Data!$T$21:INDEX(Market_Data!$T$21:$T$613,COUNT(Market_Data!$T$21:$T$613)),1)),""))</f>
        <v/>
      </c>
      <c r="I753" s="146" t="str">
        <f ca="1">IF($A753="","",IFERROR(INDEX(Query1[Close],MATCH($A753,Query1[Date],1)),""))</f>
        <v/>
      </c>
    </row>
    <row r="754" spans="1:9" x14ac:dyDescent="0.3">
      <c r="A754" s="144" t="str">
        <f t="shared" ca="1" si="13"/>
        <v/>
      </c>
      <c r="B754" s="145" t="str">
        <f ca="1">IF($A754="","",IFERROR(INDEX(Market_Data!$C$21:$C$613,MATCH($A754,Market_Data!$B$21:INDEX(Market_Data!$B$21:$B$613,COUNT(Market_Data!$B$21:$B$613)),1)),""))</f>
        <v/>
      </c>
      <c r="C754" s="145" t="str">
        <f ca="1">IF($A754="","",IFERROR(INDEX(Market_Data!$F$21:$F$613,MATCH($A754,Market_Data!$E$21:INDEX(Market_Data!$E$21:$E$613,COUNT(Market_Data!$E$21:$E$613)),1)),""))</f>
        <v/>
      </c>
      <c r="D754" s="145" t="str">
        <f ca="1">IF($A754="","",IFERROR(INDEX(Market_Data!$I$21:$I$613,MATCH($A754,Market_Data!$H$21:INDEX(Market_Data!$H$21:$H$613,COUNT(Market_Data!$H$21:$H$613)),1)),""))</f>
        <v/>
      </c>
      <c r="E754" s="145" t="str">
        <f ca="1">IF($A754="","",IFERROR(INDEX(Market_Data!$L$21:$L$613,MATCH($A754,Market_Data!$K$21:INDEX(Market_Data!$K$21:$K$613,COUNT(Market_Data!$K$21:$K$613)),1)),""))</f>
        <v/>
      </c>
      <c r="F754" s="145" t="str">
        <f ca="1">IF($A754="","",IFERROR(INDEX(Market_Data!$O$21:$O$613,MATCH($A754,Market_Data!$N$21:INDEX(Market_Data!$N$21:$N$613,COUNT(Market_Data!$N$21:$N$613)),1)),""))</f>
        <v/>
      </c>
      <c r="G754" s="145" t="str">
        <f ca="1">IF($A754="","",IFERROR(INDEX(Market_Data!$R$21:$R$613,MATCH($A754,Market_Data!$Q$21:INDEX(Market_Data!$Q$21:$Q$613,COUNT(Market_Data!$Q$21:$Q$613)),1)),""))</f>
        <v/>
      </c>
      <c r="H754" s="145" t="str">
        <f ca="1">IF($A754="","",IFERROR(INDEX(Market_Data!$U$21:$U$613,MATCH($A754,Market_Data!$T$21:INDEX(Market_Data!$T$21:$T$613,COUNT(Market_Data!$T$21:$T$613)),1)),""))</f>
        <v/>
      </c>
      <c r="I754" s="146" t="str">
        <f ca="1">IF($A754="","",IFERROR(INDEX(Query1[Close],MATCH($A754,Query1[Date],1)),""))</f>
        <v/>
      </c>
    </row>
    <row r="755" spans="1:9" x14ac:dyDescent="0.3">
      <c r="A755" s="144" t="str">
        <f t="shared" ca="1" si="13"/>
        <v/>
      </c>
      <c r="B755" s="145" t="str">
        <f ca="1">IF($A755="","",IFERROR(INDEX(Market_Data!$C$21:$C$613,MATCH($A755,Market_Data!$B$21:INDEX(Market_Data!$B$21:$B$613,COUNT(Market_Data!$B$21:$B$613)),1)),""))</f>
        <v/>
      </c>
      <c r="C755" s="145" t="str">
        <f ca="1">IF($A755="","",IFERROR(INDEX(Market_Data!$F$21:$F$613,MATCH($A755,Market_Data!$E$21:INDEX(Market_Data!$E$21:$E$613,COUNT(Market_Data!$E$21:$E$613)),1)),""))</f>
        <v/>
      </c>
      <c r="D755" s="145" t="str">
        <f ca="1">IF($A755="","",IFERROR(INDEX(Market_Data!$I$21:$I$613,MATCH($A755,Market_Data!$H$21:INDEX(Market_Data!$H$21:$H$613,COUNT(Market_Data!$H$21:$H$613)),1)),""))</f>
        <v/>
      </c>
      <c r="E755" s="145" t="str">
        <f ca="1">IF($A755="","",IFERROR(INDEX(Market_Data!$L$21:$L$613,MATCH($A755,Market_Data!$K$21:INDEX(Market_Data!$K$21:$K$613,COUNT(Market_Data!$K$21:$K$613)),1)),""))</f>
        <v/>
      </c>
      <c r="F755" s="145" t="str">
        <f ca="1">IF($A755="","",IFERROR(INDEX(Market_Data!$O$21:$O$613,MATCH($A755,Market_Data!$N$21:INDEX(Market_Data!$N$21:$N$613,COUNT(Market_Data!$N$21:$N$613)),1)),""))</f>
        <v/>
      </c>
      <c r="G755" s="145" t="str">
        <f ca="1">IF($A755="","",IFERROR(INDEX(Market_Data!$R$21:$R$613,MATCH($A755,Market_Data!$Q$21:INDEX(Market_Data!$Q$21:$Q$613,COUNT(Market_Data!$Q$21:$Q$613)),1)),""))</f>
        <v/>
      </c>
      <c r="H755" s="145" t="str">
        <f ca="1">IF($A755="","",IFERROR(INDEX(Market_Data!$U$21:$U$613,MATCH($A755,Market_Data!$T$21:INDEX(Market_Data!$T$21:$T$613,COUNT(Market_Data!$T$21:$T$613)),1)),""))</f>
        <v/>
      </c>
      <c r="I755" s="146" t="str">
        <f ca="1">IF($A755="","",IFERROR(INDEX(Query1[Close],MATCH($A755,Query1[Date],1)),""))</f>
        <v/>
      </c>
    </row>
    <row r="756" spans="1:9" x14ac:dyDescent="0.3">
      <c r="A756" s="144" t="str">
        <f t="shared" ca="1" si="13"/>
        <v/>
      </c>
      <c r="B756" s="145" t="str">
        <f ca="1">IF($A756="","",IFERROR(INDEX(Market_Data!$C$21:$C$613,MATCH($A756,Market_Data!$B$21:INDEX(Market_Data!$B$21:$B$613,COUNT(Market_Data!$B$21:$B$613)),1)),""))</f>
        <v/>
      </c>
      <c r="C756" s="145" t="str">
        <f ca="1">IF($A756="","",IFERROR(INDEX(Market_Data!$F$21:$F$613,MATCH($A756,Market_Data!$E$21:INDEX(Market_Data!$E$21:$E$613,COUNT(Market_Data!$E$21:$E$613)),1)),""))</f>
        <v/>
      </c>
      <c r="D756" s="145" t="str">
        <f ca="1">IF($A756="","",IFERROR(INDEX(Market_Data!$I$21:$I$613,MATCH($A756,Market_Data!$H$21:INDEX(Market_Data!$H$21:$H$613,COUNT(Market_Data!$H$21:$H$613)),1)),""))</f>
        <v/>
      </c>
      <c r="E756" s="145" t="str">
        <f ca="1">IF($A756="","",IFERROR(INDEX(Market_Data!$L$21:$L$613,MATCH($A756,Market_Data!$K$21:INDEX(Market_Data!$K$21:$K$613,COUNT(Market_Data!$K$21:$K$613)),1)),""))</f>
        <v/>
      </c>
      <c r="F756" s="145" t="str">
        <f ca="1">IF($A756="","",IFERROR(INDEX(Market_Data!$O$21:$O$613,MATCH($A756,Market_Data!$N$21:INDEX(Market_Data!$N$21:$N$613,COUNT(Market_Data!$N$21:$N$613)),1)),""))</f>
        <v/>
      </c>
      <c r="G756" s="145" t="str">
        <f ca="1">IF($A756="","",IFERROR(INDEX(Market_Data!$R$21:$R$613,MATCH($A756,Market_Data!$Q$21:INDEX(Market_Data!$Q$21:$Q$613,COUNT(Market_Data!$Q$21:$Q$613)),1)),""))</f>
        <v/>
      </c>
      <c r="H756" s="145" t="str">
        <f ca="1">IF($A756="","",IFERROR(INDEX(Market_Data!$U$21:$U$613,MATCH($A756,Market_Data!$T$21:INDEX(Market_Data!$T$21:$T$613,COUNT(Market_Data!$T$21:$T$613)),1)),""))</f>
        <v/>
      </c>
      <c r="I756" s="146" t="str">
        <f ca="1">IF($A756="","",IFERROR(INDEX(Query1[Close],MATCH($A756,Query1[Date],1)),""))</f>
        <v/>
      </c>
    </row>
    <row r="757" spans="1:9" x14ac:dyDescent="0.3">
      <c r="A757" s="144" t="str">
        <f t="shared" ca="1" si="13"/>
        <v/>
      </c>
      <c r="B757" s="145" t="str">
        <f ca="1">IF($A757="","",IFERROR(INDEX(Market_Data!$C$21:$C$613,MATCH($A757,Market_Data!$B$21:INDEX(Market_Data!$B$21:$B$613,COUNT(Market_Data!$B$21:$B$613)),1)),""))</f>
        <v/>
      </c>
      <c r="C757" s="145" t="str">
        <f ca="1">IF($A757="","",IFERROR(INDEX(Market_Data!$F$21:$F$613,MATCH($A757,Market_Data!$E$21:INDEX(Market_Data!$E$21:$E$613,COUNT(Market_Data!$E$21:$E$613)),1)),""))</f>
        <v/>
      </c>
      <c r="D757" s="145" t="str">
        <f ca="1">IF($A757="","",IFERROR(INDEX(Market_Data!$I$21:$I$613,MATCH($A757,Market_Data!$H$21:INDEX(Market_Data!$H$21:$H$613,COUNT(Market_Data!$H$21:$H$613)),1)),""))</f>
        <v/>
      </c>
      <c r="E757" s="145" t="str">
        <f ca="1">IF($A757="","",IFERROR(INDEX(Market_Data!$L$21:$L$613,MATCH($A757,Market_Data!$K$21:INDEX(Market_Data!$K$21:$K$613,COUNT(Market_Data!$K$21:$K$613)),1)),""))</f>
        <v/>
      </c>
      <c r="F757" s="145" t="str">
        <f ca="1">IF($A757="","",IFERROR(INDEX(Market_Data!$O$21:$O$613,MATCH($A757,Market_Data!$N$21:INDEX(Market_Data!$N$21:$N$613,COUNT(Market_Data!$N$21:$N$613)),1)),""))</f>
        <v/>
      </c>
      <c r="G757" s="145" t="str">
        <f ca="1">IF($A757="","",IFERROR(INDEX(Market_Data!$R$21:$R$613,MATCH($A757,Market_Data!$Q$21:INDEX(Market_Data!$Q$21:$Q$613,COUNT(Market_Data!$Q$21:$Q$613)),1)),""))</f>
        <v/>
      </c>
      <c r="H757" s="145" t="str">
        <f ca="1">IF($A757="","",IFERROR(INDEX(Market_Data!$U$21:$U$613,MATCH($A757,Market_Data!$T$21:INDEX(Market_Data!$T$21:$T$613,COUNT(Market_Data!$T$21:$T$613)),1)),""))</f>
        <v/>
      </c>
      <c r="I757" s="146" t="str">
        <f ca="1">IF($A757="","",IFERROR(INDEX(Query1[Close],MATCH($A757,Query1[Date],1)),""))</f>
        <v/>
      </c>
    </row>
    <row r="758" spans="1:9" x14ac:dyDescent="0.3">
      <c r="A758" s="144" t="str">
        <f t="shared" ca="1" si="13"/>
        <v/>
      </c>
      <c r="B758" s="145" t="str">
        <f ca="1">IF($A758="","",IFERROR(INDEX(Market_Data!$C$21:$C$613,MATCH($A758,Market_Data!$B$21:INDEX(Market_Data!$B$21:$B$613,COUNT(Market_Data!$B$21:$B$613)),1)),""))</f>
        <v/>
      </c>
      <c r="C758" s="145" t="str">
        <f ca="1">IF($A758="","",IFERROR(INDEX(Market_Data!$F$21:$F$613,MATCH($A758,Market_Data!$E$21:INDEX(Market_Data!$E$21:$E$613,COUNT(Market_Data!$E$21:$E$613)),1)),""))</f>
        <v/>
      </c>
      <c r="D758" s="145" t="str">
        <f ca="1">IF($A758="","",IFERROR(INDEX(Market_Data!$I$21:$I$613,MATCH($A758,Market_Data!$H$21:INDEX(Market_Data!$H$21:$H$613,COUNT(Market_Data!$H$21:$H$613)),1)),""))</f>
        <v/>
      </c>
      <c r="E758" s="145" t="str">
        <f ca="1">IF($A758="","",IFERROR(INDEX(Market_Data!$L$21:$L$613,MATCH($A758,Market_Data!$K$21:INDEX(Market_Data!$K$21:$K$613,COUNT(Market_Data!$K$21:$K$613)),1)),""))</f>
        <v/>
      </c>
      <c r="F758" s="145" t="str">
        <f ca="1">IF($A758="","",IFERROR(INDEX(Market_Data!$O$21:$O$613,MATCH($A758,Market_Data!$N$21:INDEX(Market_Data!$N$21:$N$613,COUNT(Market_Data!$N$21:$N$613)),1)),""))</f>
        <v/>
      </c>
      <c r="G758" s="145" t="str">
        <f ca="1">IF($A758="","",IFERROR(INDEX(Market_Data!$R$21:$R$613,MATCH($A758,Market_Data!$Q$21:INDEX(Market_Data!$Q$21:$Q$613,COUNT(Market_Data!$Q$21:$Q$613)),1)),""))</f>
        <v/>
      </c>
      <c r="H758" s="145" t="str">
        <f ca="1">IF($A758="","",IFERROR(INDEX(Market_Data!$U$21:$U$613,MATCH($A758,Market_Data!$T$21:INDEX(Market_Data!$T$21:$T$613,COUNT(Market_Data!$T$21:$T$613)),1)),""))</f>
        <v/>
      </c>
      <c r="I758" s="146" t="str">
        <f ca="1">IF($A758="","",IFERROR(INDEX(Query1[Close],MATCH($A758,Query1[Date],1)),""))</f>
        <v/>
      </c>
    </row>
    <row r="759" spans="1:9" x14ac:dyDescent="0.3">
      <c r="A759" s="144" t="str">
        <f t="shared" ca="1" si="13"/>
        <v/>
      </c>
      <c r="B759" s="145" t="str">
        <f ca="1">IF($A759="","",IFERROR(INDEX(Market_Data!$C$21:$C$613,MATCH($A759,Market_Data!$B$21:INDEX(Market_Data!$B$21:$B$613,COUNT(Market_Data!$B$21:$B$613)),1)),""))</f>
        <v/>
      </c>
      <c r="C759" s="145" t="str">
        <f ca="1">IF($A759="","",IFERROR(INDEX(Market_Data!$F$21:$F$613,MATCH($A759,Market_Data!$E$21:INDEX(Market_Data!$E$21:$E$613,COUNT(Market_Data!$E$21:$E$613)),1)),""))</f>
        <v/>
      </c>
      <c r="D759" s="145" t="str">
        <f ca="1">IF($A759="","",IFERROR(INDEX(Market_Data!$I$21:$I$613,MATCH($A759,Market_Data!$H$21:INDEX(Market_Data!$H$21:$H$613,COUNT(Market_Data!$H$21:$H$613)),1)),""))</f>
        <v/>
      </c>
      <c r="E759" s="145" t="str">
        <f ca="1">IF($A759="","",IFERROR(INDEX(Market_Data!$L$21:$L$613,MATCH($A759,Market_Data!$K$21:INDEX(Market_Data!$K$21:$K$613,COUNT(Market_Data!$K$21:$K$613)),1)),""))</f>
        <v/>
      </c>
      <c r="F759" s="145" t="str">
        <f ca="1">IF($A759="","",IFERROR(INDEX(Market_Data!$O$21:$O$613,MATCH($A759,Market_Data!$N$21:INDEX(Market_Data!$N$21:$N$613,COUNT(Market_Data!$N$21:$N$613)),1)),""))</f>
        <v/>
      </c>
      <c r="G759" s="145" t="str">
        <f ca="1">IF($A759="","",IFERROR(INDEX(Market_Data!$R$21:$R$613,MATCH($A759,Market_Data!$Q$21:INDEX(Market_Data!$Q$21:$Q$613,COUNT(Market_Data!$Q$21:$Q$613)),1)),""))</f>
        <v/>
      </c>
      <c r="H759" s="145" t="str">
        <f ca="1">IF($A759="","",IFERROR(INDEX(Market_Data!$U$21:$U$613,MATCH($A759,Market_Data!$T$21:INDEX(Market_Data!$T$21:$T$613,COUNT(Market_Data!$T$21:$T$613)),1)),""))</f>
        <v/>
      </c>
      <c r="I759" s="146" t="str">
        <f ca="1">IF($A759="","",IFERROR(INDEX(Query1[Close],MATCH($A759,Query1[Date],1)),""))</f>
        <v/>
      </c>
    </row>
    <row r="760" spans="1:9" x14ac:dyDescent="0.3">
      <c r="A760" s="144" t="str">
        <f t="shared" ca="1" si="13"/>
        <v/>
      </c>
      <c r="B760" s="145" t="str">
        <f ca="1">IF($A760="","",IFERROR(INDEX(Market_Data!$C$21:$C$613,MATCH($A760,Market_Data!$B$21:INDEX(Market_Data!$B$21:$B$613,COUNT(Market_Data!$B$21:$B$613)),1)),""))</f>
        <v/>
      </c>
      <c r="C760" s="145" t="str">
        <f ca="1">IF($A760="","",IFERROR(INDEX(Market_Data!$F$21:$F$613,MATCH($A760,Market_Data!$E$21:INDEX(Market_Data!$E$21:$E$613,COUNT(Market_Data!$E$21:$E$613)),1)),""))</f>
        <v/>
      </c>
      <c r="D760" s="145" t="str">
        <f ca="1">IF($A760="","",IFERROR(INDEX(Market_Data!$I$21:$I$613,MATCH($A760,Market_Data!$H$21:INDEX(Market_Data!$H$21:$H$613,COUNT(Market_Data!$H$21:$H$613)),1)),""))</f>
        <v/>
      </c>
      <c r="E760" s="145" t="str">
        <f ca="1">IF($A760="","",IFERROR(INDEX(Market_Data!$L$21:$L$613,MATCH($A760,Market_Data!$K$21:INDEX(Market_Data!$K$21:$K$613,COUNT(Market_Data!$K$21:$K$613)),1)),""))</f>
        <v/>
      </c>
      <c r="F760" s="145" t="str">
        <f ca="1">IF($A760="","",IFERROR(INDEX(Market_Data!$O$21:$O$613,MATCH($A760,Market_Data!$N$21:INDEX(Market_Data!$N$21:$N$613,COUNT(Market_Data!$N$21:$N$613)),1)),""))</f>
        <v/>
      </c>
      <c r="G760" s="145" t="str">
        <f ca="1">IF($A760="","",IFERROR(INDEX(Market_Data!$R$21:$R$613,MATCH($A760,Market_Data!$Q$21:INDEX(Market_Data!$Q$21:$Q$613,COUNT(Market_Data!$Q$21:$Q$613)),1)),""))</f>
        <v/>
      </c>
      <c r="H760" s="145" t="str">
        <f ca="1">IF($A760="","",IFERROR(INDEX(Market_Data!$U$21:$U$613,MATCH($A760,Market_Data!$T$21:INDEX(Market_Data!$T$21:$T$613,COUNT(Market_Data!$T$21:$T$613)),1)),""))</f>
        <v/>
      </c>
      <c r="I760" s="146" t="str">
        <f ca="1">IF($A760="","",IFERROR(INDEX(Query1[Close],MATCH($A760,Query1[Date],1)),""))</f>
        <v/>
      </c>
    </row>
    <row r="761" spans="1:9" x14ac:dyDescent="0.3">
      <c r="A761" s="144" t="str">
        <f t="shared" ca="1" si="13"/>
        <v/>
      </c>
      <c r="B761" s="145" t="str">
        <f ca="1">IF($A761="","",IFERROR(INDEX(Market_Data!$C$21:$C$613,MATCH($A761,Market_Data!$B$21:INDEX(Market_Data!$B$21:$B$613,COUNT(Market_Data!$B$21:$B$613)),1)),""))</f>
        <v/>
      </c>
      <c r="C761" s="145" t="str">
        <f ca="1">IF($A761="","",IFERROR(INDEX(Market_Data!$F$21:$F$613,MATCH($A761,Market_Data!$E$21:INDEX(Market_Data!$E$21:$E$613,COUNT(Market_Data!$E$21:$E$613)),1)),""))</f>
        <v/>
      </c>
      <c r="D761" s="145" t="str">
        <f ca="1">IF($A761="","",IFERROR(INDEX(Market_Data!$I$21:$I$613,MATCH($A761,Market_Data!$H$21:INDEX(Market_Data!$H$21:$H$613,COUNT(Market_Data!$H$21:$H$613)),1)),""))</f>
        <v/>
      </c>
      <c r="E761" s="145" t="str">
        <f ca="1">IF($A761="","",IFERROR(INDEX(Market_Data!$L$21:$L$613,MATCH($A761,Market_Data!$K$21:INDEX(Market_Data!$K$21:$K$613,COUNT(Market_Data!$K$21:$K$613)),1)),""))</f>
        <v/>
      </c>
      <c r="F761" s="145" t="str">
        <f ca="1">IF($A761="","",IFERROR(INDEX(Market_Data!$O$21:$O$613,MATCH($A761,Market_Data!$N$21:INDEX(Market_Data!$N$21:$N$613,COUNT(Market_Data!$N$21:$N$613)),1)),""))</f>
        <v/>
      </c>
      <c r="G761" s="145" t="str">
        <f ca="1">IF($A761="","",IFERROR(INDEX(Market_Data!$R$21:$R$613,MATCH($A761,Market_Data!$Q$21:INDEX(Market_Data!$Q$21:$Q$613,COUNT(Market_Data!$Q$21:$Q$613)),1)),""))</f>
        <v/>
      </c>
      <c r="H761" s="145" t="str">
        <f ca="1">IF($A761="","",IFERROR(INDEX(Market_Data!$U$21:$U$613,MATCH($A761,Market_Data!$T$21:INDEX(Market_Data!$T$21:$T$613,COUNT(Market_Data!$T$21:$T$613)),1)),""))</f>
        <v/>
      </c>
      <c r="I761" s="146" t="str">
        <f ca="1">IF($A761="","",IFERROR(INDEX(Query1[Close],MATCH($A761,Query1[Date],1)),""))</f>
        <v/>
      </c>
    </row>
    <row r="762" spans="1:9" x14ac:dyDescent="0.3">
      <c r="A762" s="144" t="str">
        <f t="shared" ca="1" si="13"/>
        <v/>
      </c>
      <c r="B762" s="145" t="str">
        <f ca="1">IF($A762="","",IFERROR(INDEX(Market_Data!$C$21:$C$613,MATCH($A762,Market_Data!$B$21:INDEX(Market_Data!$B$21:$B$613,COUNT(Market_Data!$B$21:$B$613)),1)),""))</f>
        <v/>
      </c>
      <c r="C762" s="145" t="str">
        <f ca="1">IF($A762="","",IFERROR(INDEX(Market_Data!$F$21:$F$613,MATCH($A762,Market_Data!$E$21:INDEX(Market_Data!$E$21:$E$613,COUNT(Market_Data!$E$21:$E$613)),1)),""))</f>
        <v/>
      </c>
      <c r="D762" s="145" t="str">
        <f ca="1">IF($A762="","",IFERROR(INDEX(Market_Data!$I$21:$I$613,MATCH($A762,Market_Data!$H$21:INDEX(Market_Data!$H$21:$H$613,COUNT(Market_Data!$H$21:$H$613)),1)),""))</f>
        <v/>
      </c>
      <c r="E762" s="145" t="str">
        <f ca="1">IF($A762="","",IFERROR(INDEX(Market_Data!$L$21:$L$613,MATCH($A762,Market_Data!$K$21:INDEX(Market_Data!$K$21:$K$613,COUNT(Market_Data!$K$21:$K$613)),1)),""))</f>
        <v/>
      </c>
      <c r="F762" s="145" t="str">
        <f ca="1">IF($A762="","",IFERROR(INDEX(Market_Data!$O$21:$O$613,MATCH($A762,Market_Data!$N$21:INDEX(Market_Data!$N$21:$N$613,COUNT(Market_Data!$N$21:$N$613)),1)),""))</f>
        <v/>
      </c>
      <c r="G762" s="145" t="str">
        <f ca="1">IF($A762="","",IFERROR(INDEX(Market_Data!$R$21:$R$613,MATCH($A762,Market_Data!$Q$21:INDEX(Market_Data!$Q$21:$Q$613,COUNT(Market_Data!$Q$21:$Q$613)),1)),""))</f>
        <v/>
      </c>
      <c r="H762" s="145" t="str">
        <f ca="1">IF($A762="","",IFERROR(INDEX(Market_Data!$U$21:$U$613,MATCH($A762,Market_Data!$T$21:INDEX(Market_Data!$T$21:$T$613,COUNT(Market_Data!$T$21:$T$613)),1)),""))</f>
        <v/>
      </c>
      <c r="I762" s="146" t="str">
        <f ca="1">IF($A762="","",IFERROR(INDEX(Query1[Close],MATCH($A762,Query1[Date],1)),""))</f>
        <v/>
      </c>
    </row>
    <row r="763" spans="1:9" x14ac:dyDescent="0.3">
      <c r="A763" s="144" t="str">
        <f t="shared" ca="1" si="13"/>
        <v/>
      </c>
      <c r="B763" s="145" t="str">
        <f ca="1">IF($A763="","",IFERROR(INDEX(Market_Data!$C$21:$C$613,MATCH($A763,Market_Data!$B$21:INDEX(Market_Data!$B$21:$B$613,COUNT(Market_Data!$B$21:$B$613)),1)),""))</f>
        <v/>
      </c>
      <c r="C763" s="145" t="str">
        <f ca="1">IF($A763="","",IFERROR(INDEX(Market_Data!$F$21:$F$613,MATCH($A763,Market_Data!$E$21:INDEX(Market_Data!$E$21:$E$613,COUNT(Market_Data!$E$21:$E$613)),1)),""))</f>
        <v/>
      </c>
      <c r="D763" s="145" t="str">
        <f ca="1">IF($A763="","",IFERROR(INDEX(Market_Data!$I$21:$I$613,MATCH($A763,Market_Data!$H$21:INDEX(Market_Data!$H$21:$H$613,COUNT(Market_Data!$H$21:$H$613)),1)),""))</f>
        <v/>
      </c>
      <c r="E763" s="145" t="str">
        <f ca="1">IF($A763="","",IFERROR(INDEX(Market_Data!$L$21:$L$613,MATCH($A763,Market_Data!$K$21:INDEX(Market_Data!$K$21:$K$613,COUNT(Market_Data!$K$21:$K$613)),1)),""))</f>
        <v/>
      </c>
      <c r="F763" s="145" t="str">
        <f ca="1">IF($A763="","",IFERROR(INDEX(Market_Data!$O$21:$O$613,MATCH($A763,Market_Data!$N$21:INDEX(Market_Data!$N$21:$N$613,COUNT(Market_Data!$N$21:$N$613)),1)),""))</f>
        <v/>
      </c>
      <c r="G763" s="145" t="str">
        <f ca="1">IF($A763="","",IFERROR(INDEX(Market_Data!$R$21:$R$613,MATCH($A763,Market_Data!$Q$21:INDEX(Market_Data!$Q$21:$Q$613,COUNT(Market_Data!$Q$21:$Q$613)),1)),""))</f>
        <v/>
      </c>
      <c r="H763" s="145" t="str">
        <f ca="1">IF($A763="","",IFERROR(INDEX(Market_Data!$U$21:$U$613,MATCH($A763,Market_Data!$T$21:INDEX(Market_Data!$T$21:$T$613,COUNT(Market_Data!$T$21:$T$613)),1)),""))</f>
        <v/>
      </c>
      <c r="I763" s="146" t="str">
        <f ca="1">IF($A763="","",IFERROR(INDEX(Query1[Close],MATCH($A763,Query1[Date],1)),""))</f>
        <v/>
      </c>
    </row>
    <row r="764" spans="1:9" x14ac:dyDescent="0.3">
      <c r="A764" s="144" t="str">
        <f t="shared" ca="1" si="13"/>
        <v/>
      </c>
      <c r="B764" s="145" t="str">
        <f ca="1">IF($A764="","",IFERROR(INDEX(Market_Data!$C$21:$C$613,MATCH($A764,Market_Data!$B$21:INDEX(Market_Data!$B$21:$B$613,COUNT(Market_Data!$B$21:$B$613)),1)),""))</f>
        <v/>
      </c>
      <c r="C764" s="145" t="str">
        <f ca="1">IF($A764="","",IFERROR(INDEX(Market_Data!$F$21:$F$613,MATCH($A764,Market_Data!$E$21:INDEX(Market_Data!$E$21:$E$613,COUNT(Market_Data!$E$21:$E$613)),1)),""))</f>
        <v/>
      </c>
      <c r="D764" s="145" t="str">
        <f ca="1">IF($A764="","",IFERROR(INDEX(Market_Data!$I$21:$I$613,MATCH($A764,Market_Data!$H$21:INDEX(Market_Data!$H$21:$H$613,COUNT(Market_Data!$H$21:$H$613)),1)),""))</f>
        <v/>
      </c>
      <c r="E764" s="145" t="str">
        <f ca="1">IF($A764="","",IFERROR(INDEX(Market_Data!$L$21:$L$613,MATCH($A764,Market_Data!$K$21:INDEX(Market_Data!$K$21:$K$613,COUNT(Market_Data!$K$21:$K$613)),1)),""))</f>
        <v/>
      </c>
      <c r="F764" s="145" t="str">
        <f ca="1">IF($A764="","",IFERROR(INDEX(Market_Data!$O$21:$O$613,MATCH($A764,Market_Data!$N$21:INDEX(Market_Data!$N$21:$N$613,COUNT(Market_Data!$N$21:$N$613)),1)),""))</f>
        <v/>
      </c>
      <c r="G764" s="145" t="str">
        <f ca="1">IF($A764="","",IFERROR(INDEX(Market_Data!$R$21:$R$613,MATCH($A764,Market_Data!$Q$21:INDEX(Market_Data!$Q$21:$Q$613,COUNT(Market_Data!$Q$21:$Q$613)),1)),""))</f>
        <v/>
      </c>
      <c r="H764" s="145" t="str">
        <f ca="1">IF($A764="","",IFERROR(INDEX(Market_Data!$U$21:$U$613,MATCH($A764,Market_Data!$T$21:INDEX(Market_Data!$T$21:$T$613,COUNT(Market_Data!$T$21:$T$613)),1)),""))</f>
        <v/>
      </c>
      <c r="I764" s="146" t="str">
        <f ca="1">IF($A764="","",IFERROR(INDEX(Query1[Close],MATCH($A764,Query1[Date],1)),""))</f>
        <v/>
      </c>
    </row>
    <row r="765" spans="1:9" x14ac:dyDescent="0.3">
      <c r="A765" s="144" t="str">
        <f t="shared" ca="1" si="13"/>
        <v/>
      </c>
      <c r="B765" s="145" t="str">
        <f ca="1">IF($A765="","",IFERROR(INDEX(Market_Data!$C$21:$C$613,MATCH($A765,Market_Data!$B$21:INDEX(Market_Data!$B$21:$B$613,COUNT(Market_Data!$B$21:$B$613)),1)),""))</f>
        <v/>
      </c>
      <c r="C765" s="145" t="str">
        <f ca="1">IF($A765="","",IFERROR(INDEX(Market_Data!$F$21:$F$613,MATCH($A765,Market_Data!$E$21:INDEX(Market_Data!$E$21:$E$613,COUNT(Market_Data!$E$21:$E$613)),1)),""))</f>
        <v/>
      </c>
      <c r="D765" s="145" t="str">
        <f ca="1">IF($A765="","",IFERROR(INDEX(Market_Data!$I$21:$I$613,MATCH($A765,Market_Data!$H$21:INDEX(Market_Data!$H$21:$H$613,COUNT(Market_Data!$H$21:$H$613)),1)),""))</f>
        <v/>
      </c>
      <c r="E765" s="145" t="str">
        <f ca="1">IF($A765="","",IFERROR(INDEX(Market_Data!$L$21:$L$613,MATCH($A765,Market_Data!$K$21:INDEX(Market_Data!$K$21:$K$613,COUNT(Market_Data!$K$21:$K$613)),1)),""))</f>
        <v/>
      </c>
      <c r="F765" s="145" t="str">
        <f ca="1">IF($A765="","",IFERROR(INDEX(Market_Data!$O$21:$O$613,MATCH($A765,Market_Data!$N$21:INDEX(Market_Data!$N$21:$N$613,COUNT(Market_Data!$N$21:$N$613)),1)),""))</f>
        <v/>
      </c>
      <c r="G765" s="145" t="str">
        <f ca="1">IF($A765="","",IFERROR(INDEX(Market_Data!$R$21:$R$613,MATCH($A765,Market_Data!$Q$21:INDEX(Market_Data!$Q$21:$Q$613,COUNT(Market_Data!$Q$21:$Q$613)),1)),""))</f>
        <v/>
      </c>
      <c r="H765" s="145" t="str">
        <f ca="1">IF($A765="","",IFERROR(INDEX(Market_Data!$U$21:$U$613,MATCH($A765,Market_Data!$T$21:INDEX(Market_Data!$T$21:$T$613,COUNT(Market_Data!$T$21:$T$613)),1)),""))</f>
        <v/>
      </c>
      <c r="I765" s="146" t="str">
        <f ca="1">IF($A765="","",IFERROR(INDEX(Query1[Close],MATCH($A765,Query1[Date],1)),""))</f>
        <v/>
      </c>
    </row>
    <row r="766" spans="1:9" x14ac:dyDescent="0.3">
      <c r="A766" s="144" t="str">
        <f t="shared" ca="1" si="13"/>
        <v/>
      </c>
      <c r="B766" s="145" t="str">
        <f ca="1">IF($A766="","",IFERROR(INDEX(Market_Data!$C$21:$C$613,MATCH($A766,Market_Data!$B$21:INDEX(Market_Data!$B$21:$B$613,COUNT(Market_Data!$B$21:$B$613)),1)),""))</f>
        <v/>
      </c>
      <c r="C766" s="145" t="str">
        <f ca="1">IF($A766="","",IFERROR(INDEX(Market_Data!$F$21:$F$613,MATCH($A766,Market_Data!$E$21:INDEX(Market_Data!$E$21:$E$613,COUNT(Market_Data!$E$21:$E$613)),1)),""))</f>
        <v/>
      </c>
      <c r="D766" s="145" t="str">
        <f ca="1">IF($A766="","",IFERROR(INDEX(Market_Data!$I$21:$I$613,MATCH($A766,Market_Data!$H$21:INDEX(Market_Data!$H$21:$H$613,COUNT(Market_Data!$H$21:$H$613)),1)),""))</f>
        <v/>
      </c>
      <c r="E766" s="145" t="str">
        <f ca="1">IF($A766="","",IFERROR(INDEX(Market_Data!$L$21:$L$613,MATCH($A766,Market_Data!$K$21:INDEX(Market_Data!$K$21:$K$613,COUNT(Market_Data!$K$21:$K$613)),1)),""))</f>
        <v/>
      </c>
      <c r="F766" s="145" t="str">
        <f ca="1">IF($A766="","",IFERROR(INDEX(Market_Data!$O$21:$O$613,MATCH($A766,Market_Data!$N$21:INDEX(Market_Data!$N$21:$N$613,COUNT(Market_Data!$N$21:$N$613)),1)),""))</f>
        <v/>
      </c>
      <c r="G766" s="145" t="str">
        <f ca="1">IF($A766="","",IFERROR(INDEX(Market_Data!$R$21:$R$613,MATCH($A766,Market_Data!$Q$21:INDEX(Market_Data!$Q$21:$Q$613,COUNT(Market_Data!$Q$21:$Q$613)),1)),""))</f>
        <v/>
      </c>
      <c r="H766" s="145" t="str">
        <f ca="1">IF($A766="","",IFERROR(INDEX(Market_Data!$U$21:$U$613,MATCH($A766,Market_Data!$T$21:INDEX(Market_Data!$T$21:$T$613,COUNT(Market_Data!$T$21:$T$613)),1)),""))</f>
        <v/>
      </c>
      <c r="I766" s="146" t="str">
        <f ca="1">IF($A766="","",IFERROR(INDEX(Query1[Close],MATCH($A766,Query1[Date],1)),""))</f>
        <v/>
      </c>
    </row>
    <row r="767" spans="1:9" x14ac:dyDescent="0.3">
      <c r="A767" s="144" t="str">
        <f t="shared" ca="1" si="13"/>
        <v/>
      </c>
      <c r="B767" s="145" t="str">
        <f ca="1">IF($A767="","",IFERROR(INDEX(Market_Data!$C$21:$C$613,MATCH($A767,Market_Data!$B$21:INDEX(Market_Data!$B$21:$B$613,COUNT(Market_Data!$B$21:$B$613)),1)),""))</f>
        <v/>
      </c>
      <c r="C767" s="145" t="str">
        <f ca="1">IF($A767="","",IFERROR(INDEX(Market_Data!$F$21:$F$613,MATCH($A767,Market_Data!$E$21:INDEX(Market_Data!$E$21:$E$613,COUNT(Market_Data!$E$21:$E$613)),1)),""))</f>
        <v/>
      </c>
      <c r="D767" s="145" t="str">
        <f ca="1">IF($A767="","",IFERROR(INDEX(Market_Data!$I$21:$I$613,MATCH($A767,Market_Data!$H$21:INDEX(Market_Data!$H$21:$H$613,COUNT(Market_Data!$H$21:$H$613)),1)),""))</f>
        <v/>
      </c>
      <c r="E767" s="145" t="str">
        <f ca="1">IF($A767="","",IFERROR(INDEX(Market_Data!$L$21:$L$613,MATCH($A767,Market_Data!$K$21:INDEX(Market_Data!$K$21:$K$613,COUNT(Market_Data!$K$21:$K$613)),1)),""))</f>
        <v/>
      </c>
      <c r="F767" s="145" t="str">
        <f ca="1">IF($A767="","",IFERROR(INDEX(Market_Data!$O$21:$O$613,MATCH($A767,Market_Data!$N$21:INDEX(Market_Data!$N$21:$N$613,COUNT(Market_Data!$N$21:$N$613)),1)),""))</f>
        <v/>
      </c>
      <c r="G767" s="145" t="str">
        <f ca="1">IF($A767="","",IFERROR(INDEX(Market_Data!$R$21:$R$613,MATCH($A767,Market_Data!$Q$21:INDEX(Market_Data!$Q$21:$Q$613,COUNT(Market_Data!$Q$21:$Q$613)),1)),""))</f>
        <v/>
      </c>
      <c r="H767" s="145" t="str">
        <f ca="1">IF($A767="","",IFERROR(INDEX(Market_Data!$U$21:$U$613,MATCH($A767,Market_Data!$T$21:INDEX(Market_Data!$T$21:$T$613,COUNT(Market_Data!$T$21:$T$613)),1)),""))</f>
        <v/>
      </c>
      <c r="I767" s="146" t="str">
        <f ca="1">IF($A767="","",IFERROR(INDEX(Query1[Close],MATCH($A767,Query1[Date],1)),""))</f>
        <v/>
      </c>
    </row>
    <row r="768" spans="1:9" x14ac:dyDescent="0.3">
      <c r="A768" s="144" t="str">
        <f t="shared" ca="1" si="13"/>
        <v/>
      </c>
      <c r="B768" s="145" t="str">
        <f ca="1">IF($A768="","",IFERROR(INDEX(Market_Data!$C$21:$C$613,MATCH($A768,Market_Data!$B$21:INDEX(Market_Data!$B$21:$B$613,COUNT(Market_Data!$B$21:$B$613)),1)),""))</f>
        <v/>
      </c>
      <c r="C768" s="145" t="str">
        <f ca="1">IF($A768="","",IFERROR(INDEX(Market_Data!$F$21:$F$613,MATCH($A768,Market_Data!$E$21:INDEX(Market_Data!$E$21:$E$613,COUNT(Market_Data!$E$21:$E$613)),1)),""))</f>
        <v/>
      </c>
      <c r="D768" s="145" t="str">
        <f ca="1">IF($A768="","",IFERROR(INDEX(Market_Data!$I$21:$I$613,MATCH($A768,Market_Data!$H$21:INDEX(Market_Data!$H$21:$H$613,COUNT(Market_Data!$H$21:$H$613)),1)),""))</f>
        <v/>
      </c>
      <c r="E768" s="145" t="str">
        <f ca="1">IF($A768="","",IFERROR(INDEX(Market_Data!$L$21:$L$613,MATCH($A768,Market_Data!$K$21:INDEX(Market_Data!$K$21:$K$613,COUNT(Market_Data!$K$21:$K$613)),1)),""))</f>
        <v/>
      </c>
      <c r="F768" s="145" t="str">
        <f ca="1">IF($A768="","",IFERROR(INDEX(Market_Data!$O$21:$O$613,MATCH($A768,Market_Data!$N$21:INDEX(Market_Data!$N$21:$N$613,COUNT(Market_Data!$N$21:$N$613)),1)),""))</f>
        <v/>
      </c>
      <c r="G768" s="145" t="str">
        <f ca="1">IF($A768="","",IFERROR(INDEX(Market_Data!$R$21:$R$613,MATCH($A768,Market_Data!$Q$21:INDEX(Market_Data!$Q$21:$Q$613,COUNT(Market_Data!$Q$21:$Q$613)),1)),""))</f>
        <v/>
      </c>
      <c r="H768" s="145" t="str">
        <f ca="1">IF($A768="","",IFERROR(INDEX(Market_Data!$U$21:$U$613,MATCH($A768,Market_Data!$T$21:INDEX(Market_Data!$T$21:$T$613,COUNT(Market_Data!$T$21:$T$613)),1)),""))</f>
        <v/>
      </c>
      <c r="I768" s="146" t="str">
        <f ca="1">IF($A768="","",IFERROR(INDEX(Query1[Close],MATCH($A768,Query1[Date],1)),""))</f>
        <v/>
      </c>
    </row>
    <row r="769" spans="1:9" x14ac:dyDescent="0.3">
      <c r="A769" s="144" t="str">
        <f t="shared" ca="1" si="13"/>
        <v/>
      </c>
      <c r="B769" s="145" t="str">
        <f ca="1">IF($A769="","",IFERROR(INDEX(Market_Data!$C$21:$C$613,MATCH($A769,Market_Data!$B$21:INDEX(Market_Data!$B$21:$B$613,COUNT(Market_Data!$B$21:$B$613)),1)),""))</f>
        <v/>
      </c>
      <c r="C769" s="145" t="str">
        <f ca="1">IF($A769="","",IFERROR(INDEX(Market_Data!$F$21:$F$613,MATCH($A769,Market_Data!$E$21:INDEX(Market_Data!$E$21:$E$613,COUNT(Market_Data!$E$21:$E$613)),1)),""))</f>
        <v/>
      </c>
      <c r="D769" s="145" t="str">
        <f ca="1">IF($A769="","",IFERROR(INDEX(Market_Data!$I$21:$I$613,MATCH($A769,Market_Data!$H$21:INDEX(Market_Data!$H$21:$H$613,COUNT(Market_Data!$H$21:$H$613)),1)),""))</f>
        <v/>
      </c>
      <c r="E769" s="145" t="str">
        <f ca="1">IF($A769="","",IFERROR(INDEX(Market_Data!$L$21:$L$613,MATCH($A769,Market_Data!$K$21:INDEX(Market_Data!$K$21:$K$613,COUNT(Market_Data!$K$21:$K$613)),1)),""))</f>
        <v/>
      </c>
      <c r="F769" s="145" t="str">
        <f ca="1">IF($A769="","",IFERROR(INDEX(Market_Data!$O$21:$O$613,MATCH($A769,Market_Data!$N$21:INDEX(Market_Data!$N$21:$N$613,COUNT(Market_Data!$N$21:$N$613)),1)),""))</f>
        <v/>
      </c>
      <c r="G769" s="145" t="str">
        <f ca="1">IF($A769="","",IFERROR(INDEX(Market_Data!$R$21:$R$613,MATCH($A769,Market_Data!$Q$21:INDEX(Market_Data!$Q$21:$Q$613,COUNT(Market_Data!$Q$21:$Q$613)),1)),""))</f>
        <v/>
      </c>
      <c r="H769" s="145" t="str">
        <f ca="1">IF($A769="","",IFERROR(INDEX(Market_Data!$U$21:$U$613,MATCH($A769,Market_Data!$T$21:INDEX(Market_Data!$T$21:$T$613,COUNT(Market_Data!$T$21:$T$613)),1)),""))</f>
        <v/>
      </c>
      <c r="I769" s="146" t="str">
        <f ca="1">IF($A769="","",IFERROR(INDEX(Query1[Close],MATCH($A769,Query1[Date],1)),""))</f>
        <v/>
      </c>
    </row>
    <row r="770" spans="1:9" x14ac:dyDescent="0.3">
      <c r="A770" s="144" t="str">
        <f t="shared" ca="1" si="13"/>
        <v/>
      </c>
      <c r="B770" s="145" t="str">
        <f ca="1">IF($A770="","",IFERROR(INDEX(Market_Data!$C$21:$C$613,MATCH($A770,Market_Data!$B$21:INDEX(Market_Data!$B$21:$B$613,COUNT(Market_Data!$B$21:$B$613)),1)),""))</f>
        <v/>
      </c>
      <c r="C770" s="145" t="str">
        <f ca="1">IF($A770="","",IFERROR(INDEX(Market_Data!$F$21:$F$613,MATCH($A770,Market_Data!$E$21:INDEX(Market_Data!$E$21:$E$613,COUNT(Market_Data!$E$21:$E$613)),1)),""))</f>
        <v/>
      </c>
      <c r="D770" s="145" t="str">
        <f ca="1">IF($A770="","",IFERROR(INDEX(Market_Data!$I$21:$I$613,MATCH($A770,Market_Data!$H$21:INDEX(Market_Data!$H$21:$H$613,COUNT(Market_Data!$H$21:$H$613)),1)),""))</f>
        <v/>
      </c>
      <c r="E770" s="145" t="str">
        <f ca="1">IF($A770="","",IFERROR(INDEX(Market_Data!$L$21:$L$613,MATCH($A770,Market_Data!$K$21:INDEX(Market_Data!$K$21:$K$613,COUNT(Market_Data!$K$21:$K$613)),1)),""))</f>
        <v/>
      </c>
      <c r="F770" s="145" t="str">
        <f ca="1">IF($A770="","",IFERROR(INDEX(Market_Data!$O$21:$O$613,MATCH($A770,Market_Data!$N$21:INDEX(Market_Data!$N$21:$N$613,COUNT(Market_Data!$N$21:$N$613)),1)),""))</f>
        <v/>
      </c>
      <c r="G770" s="145" t="str">
        <f ca="1">IF($A770="","",IFERROR(INDEX(Market_Data!$R$21:$R$613,MATCH($A770,Market_Data!$Q$21:INDEX(Market_Data!$Q$21:$Q$613,COUNT(Market_Data!$Q$21:$Q$613)),1)),""))</f>
        <v/>
      </c>
      <c r="H770" s="145" t="str">
        <f ca="1">IF($A770="","",IFERROR(INDEX(Market_Data!$U$21:$U$613,MATCH($A770,Market_Data!$T$21:INDEX(Market_Data!$T$21:$T$613,COUNT(Market_Data!$T$21:$T$613)),1)),""))</f>
        <v/>
      </c>
      <c r="I770" s="146" t="str">
        <f ca="1">IF($A770="","",IFERROR(INDEX(Query1[Close],MATCH($A770,Query1[Date],1)),""))</f>
        <v/>
      </c>
    </row>
    <row r="771" spans="1:9" x14ac:dyDescent="0.3">
      <c r="A771" s="144" t="str">
        <f t="shared" ca="1" si="13"/>
        <v/>
      </c>
      <c r="B771" s="145" t="str">
        <f ca="1">IF($A771="","",IFERROR(INDEX(Market_Data!$C$21:$C$613,MATCH($A771,Market_Data!$B$21:INDEX(Market_Data!$B$21:$B$613,COUNT(Market_Data!$B$21:$B$613)),1)),""))</f>
        <v/>
      </c>
      <c r="C771" s="145" t="str">
        <f ca="1">IF($A771="","",IFERROR(INDEX(Market_Data!$F$21:$F$613,MATCH($A771,Market_Data!$E$21:INDEX(Market_Data!$E$21:$E$613,COUNT(Market_Data!$E$21:$E$613)),1)),""))</f>
        <v/>
      </c>
      <c r="D771" s="145" t="str">
        <f ca="1">IF($A771="","",IFERROR(INDEX(Market_Data!$I$21:$I$613,MATCH($A771,Market_Data!$H$21:INDEX(Market_Data!$H$21:$H$613,COUNT(Market_Data!$H$21:$H$613)),1)),""))</f>
        <v/>
      </c>
      <c r="E771" s="145" t="str">
        <f ca="1">IF($A771="","",IFERROR(INDEX(Market_Data!$L$21:$L$613,MATCH($A771,Market_Data!$K$21:INDEX(Market_Data!$K$21:$K$613,COUNT(Market_Data!$K$21:$K$613)),1)),""))</f>
        <v/>
      </c>
      <c r="F771" s="145" t="str">
        <f ca="1">IF($A771="","",IFERROR(INDEX(Market_Data!$O$21:$O$613,MATCH($A771,Market_Data!$N$21:INDEX(Market_Data!$N$21:$N$613,COUNT(Market_Data!$N$21:$N$613)),1)),""))</f>
        <v/>
      </c>
      <c r="G771" s="145" t="str">
        <f ca="1">IF($A771="","",IFERROR(INDEX(Market_Data!$R$21:$R$613,MATCH($A771,Market_Data!$Q$21:INDEX(Market_Data!$Q$21:$Q$613,COUNT(Market_Data!$Q$21:$Q$613)),1)),""))</f>
        <v/>
      </c>
      <c r="H771" s="145" t="str">
        <f ca="1">IF($A771="","",IFERROR(INDEX(Market_Data!$U$21:$U$613,MATCH($A771,Market_Data!$T$21:INDEX(Market_Data!$T$21:$T$613,COUNT(Market_Data!$T$21:$T$613)),1)),""))</f>
        <v/>
      </c>
      <c r="I771" s="146" t="str">
        <f ca="1">IF($A771="","",IFERROR(INDEX(Query1[Close],MATCH($A771,Query1[Date],1)),""))</f>
        <v/>
      </c>
    </row>
    <row r="772" spans="1:9" x14ac:dyDescent="0.3">
      <c r="A772" s="144" t="str">
        <f t="shared" ca="1" si="13"/>
        <v/>
      </c>
      <c r="B772" s="145" t="str">
        <f ca="1">IF($A772="","",IFERROR(INDEX(Market_Data!$C$21:$C$613,MATCH($A772,Market_Data!$B$21:INDEX(Market_Data!$B$21:$B$613,COUNT(Market_Data!$B$21:$B$613)),1)),""))</f>
        <v/>
      </c>
      <c r="C772" s="145" t="str">
        <f ca="1">IF($A772="","",IFERROR(INDEX(Market_Data!$F$21:$F$613,MATCH($A772,Market_Data!$E$21:INDEX(Market_Data!$E$21:$E$613,COUNT(Market_Data!$E$21:$E$613)),1)),""))</f>
        <v/>
      </c>
      <c r="D772" s="145" t="str">
        <f ca="1">IF($A772="","",IFERROR(INDEX(Market_Data!$I$21:$I$613,MATCH($A772,Market_Data!$H$21:INDEX(Market_Data!$H$21:$H$613,COUNT(Market_Data!$H$21:$H$613)),1)),""))</f>
        <v/>
      </c>
      <c r="E772" s="145" t="str">
        <f ca="1">IF($A772="","",IFERROR(INDEX(Market_Data!$L$21:$L$613,MATCH($A772,Market_Data!$K$21:INDEX(Market_Data!$K$21:$K$613,COUNT(Market_Data!$K$21:$K$613)),1)),""))</f>
        <v/>
      </c>
      <c r="F772" s="145" t="str">
        <f ca="1">IF($A772="","",IFERROR(INDEX(Market_Data!$O$21:$O$613,MATCH($A772,Market_Data!$N$21:INDEX(Market_Data!$N$21:$N$613,COUNT(Market_Data!$N$21:$N$613)),1)),""))</f>
        <v/>
      </c>
      <c r="G772" s="145" t="str">
        <f ca="1">IF($A772="","",IFERROR(INDEX(Market_Data!$R$21:$R$613,MATCH($A772,Market_Data!$Q$21:INDEX(Market_Data!$Q$21:$Q$613,COUNT(Market_Data!$Q$21:$Q$613)),1)),""))</f>
        <v/>
      </c>
      <c r="H772" s="145" t="str">
        <f ca="1">IF($A772="","",IFERROR(INDEX(Market_Data!$U$21:$U$613,MATCH($A772,Market_Data!$T$21:INDEX(Market_Data!$T$21:$T$613,COUNT(Market_Data!$T$21:$T$613)),1)),""))</f>
        <v/>
      </c>
      <c r="I772" s="146" t="str">
        <f ca="1">IF($A772="","",IFERROR(INDEX(Query1[Close],MATCH($A772,Query1[Date],1)),""))</f>
        <v/>
      </c>
    </row>
    <row r="773" spans="1:9" x14ac:dyDescent="0.3">
      <c r="A773" s="144" t="str">
        <f t="shared" ca="1" si="13"/>
        <v/>
      </c>
      <c r="B773" s="145" t="str">
        <f ca="1">IF($A773="","",IFERROR(INDEX(Market_Data!$C$21:$C$613,MATCH($A773,Market_Data!$B$21:INDEX(Market_Data!$B$21:$B$613,COUNT(Market_Data!$B$21:$B$613)),1)),""))</f>
        <v/>
      </c>
      <c r="C773" s="145" t="str">
        <f ca="1">IF($A773="","",IFERROR(INDEX(Market_Data!$F$21:$F$613,MATCH($A773,Market_Data!$E$21:INDEX(Market_Data!$E$21:$E$613,COUNT(Market_Data!$E$21:$E$613)),1)),""))</f>
        <v/>
      </c>
      <c r="D773" s="145" t="str">
        <f ca="1">IF($A773="","",IFERROR(INDEX(Market_Data!$I$21:$I$613,MATCH($A773,Market_Data!$H$21:INDEX(Market_Data!$H$21:$H$613,COUNT(Market_Data!$H$21:$H$613)),1)),""))</f>
        <v/>
      </c>
      <c r="E773" s="145" t="str">
        <f ca="1">IF($A773="","",IFERROR(INDEX(Market_Data!$L$21:$L$613,MATCH($A773,Market_Data!$K$21:INDEX(Market_Data!$K$21:$K$613,COUNT(Market_Data!$K$21:$K$613)),1)),""))</f>
        <v/>
      </c>
      <c r="F773" s="145" t="str">
        <f ca="1">IF($A773="","",IFERROR(INDEX(Market_Data!$O$21:$O$613,MATCH($A773,Market_Data!$N$21:INDEX(Market_Data!$N$21:$N$613,COUNT(Market_Data!$N$21:$N$613)),1)),""))</f>
        <v/>
      </c>
      <c r="G773" s="145" t="str">
        <f ca="1">IF($A773="","",IFERROR(INDEX(Market_Data!$R$21:$R$613,MATCH($A773,Market_Data!$Q$21:INDEX(Market_Data!$Q$21:$Q$613,COUNT(Market_Data!$Q$21:$Q$613)),1)),""))</f>
        <v/>
      </c>
      <c r="H773" s="145" t="str">
        <f ca="1">IF($A773="","",IFERROR(INDEX(Market_Data!$U$21:$U$613,MATCH($A773,Market_Data!$T$21:INDEX(Market_Data!$T$21:$T$613,COUNT(Market_Data!$T$21:$T$613)),1)),""))</f>
        <v/>
      </c>
      <c r="I773" s="146" t="str">
        <f ca="1">IF($A773="","",IFERROR(INDEX(Query1[Close],MATCH($A773,Query1[Date],1)),""))</f>
        <v/>
      </c>
    </row>
    <row r="774" spans="1:9" x14ac:dyDescent="0.3">
      <c r="A774" s="144" t="str">
        <f t="shared" ref="A774:A837" ca="1" si="14">IF($A773="","",IF($A773+7&lt;=TODAY(),$A773+7,""))</f>
        <v/>
      </c>
      <c r="B774" s="145" t="str">
        <f ca="1">IF($A774="","",IFERROR(INDEX(Market_Data!$C$21:$C$613,MATCH($A774,Market_Data!$B$21:INDEX(Market_Data!$B$21:$B$613,COUNT(Market_Data!$B$21:$B$613)),1)),""))</f>
        <v/>
      </c>
      <c r="C774" s="145" t="str">
        <f ca="1">IF($A774="","",IFERROR(INDEX(Market_Data!$F$21:$F$613,MATCH($A774,Market_Data!$E$21:INDEX(Market_Data!$E$21:$E$613,COUNT(Market_Data!$E$21:$E$613)),1)),""))</f>
        <v/>
      </c>
      <c r="D774" s="145" t="str">
        <f ca="1">IF($A774="","",IFERROR(INDEX(Market_Data!$I$21:$I$613,MATCH($A774,Market_Data!$H$21:INDEX(Market_Data!$H$21:$H$613,COUNT(Market_Data!$H$21:$H$613)),1)),""))</f>
        <v/>
      </c>
      <c r="E774" s="145" t="str">
        <f ca="1">IF($A774="","",IFERROR(INDEX(Market_Data!$L$21:$L$613,MATCH($A774,Market_Data!$K$21:INDEX(Market_Data!$K$21:$K$613,COUNT(Market_Data!$K$21:$K$613)),1)),""))</f>
        <v/>
      </c>
      <c r="F774" s="145" t="str">
        <f ca="1">IF($A774="","",IFERROR(INDEX(Market_Data!$O$21:$O$613,MATCH($A774,Market_Data!$N$21:INDEX(Market_Data!$N$21:$N$613,COUNT(Market_Data!$N$21:$N$613)),1)),""))</f>
        <v/>
      </c>
      <c r="G774" s="145" t="str">
        <f ca="1">IF($A774="","",IFERROR(INDEX(Market_Data!$R$21:$R$613,MATCH($A774,Market_Data!$Q$21:INDEX(Market_Data!$Q$21:$Q$613,COUNT(Market_Data!$Q$21:$Q$613)),1)),""))</f>
        <v/>
      </c>
      <c r="H774" s="145" t="str">
        <f ca="1">IF($A774="","",IFERROR(INDEX(Market_Data!$U$21:$U$613,MATCH($A774,Market_Data!$T$21:INDEX(Market_Data!$T$21:$T$613,COUNT(Market_Data!$T$21:$T$613)),1)),""))</f>
        <v/>
      </c>
      <c r="I774" s="146" t="str">
        <f ca="1">IF($A774="","",IFERROR(INDEX(Query1[Close],MATCH($A774,Query1[Date],1)),""))</f>
        <v/>
      </c>
    </row>
    <row r="775" spans="1:9" x14ac:dyDescent="0.3">
      <c r="A775" s="144" t="str">
        <f t="shared" ca="1" si="14"/>
        <v/>
      </c>
      <c r="B775" s="145" t="str">
        <f ca="1">IF($A775="","",IFERROR(INDEX(Market_Data!$C$21:$C$613,MATCH($A775,Market_Data!$B$21:INDEX(Market_Data!$B$21:$B$613,COUNT(Market_Data!$B$21:$B$613)),1)),""))</f>
        <v/>
      </c>
      <c r="C775" s="145" t="str">
        <f ca="1">IF($A775="","",IFERROR(INDEX(Market_Data!$F$21:$F$613,MATCH($A775,Market_Data!$E$21:INDEX(Market_Data!$E$21:$E$613,COUNT(Market_Data!$E$21:$E$613)),1)),""))</f>
        <v/>
      </c>
      <c r="D775" s="145" t="str">
        <f ca="1">IF($A775="","",IFERROR(INDEX(Market_Data!$I$21:$I$613,MATCH($A775,Market_Data!$H$21:INDEX(Market_Data!$H$21:$H$613,COUNT(Market_Data!$H$21:$H$613)),1)),""))</f>
        <v/>
      </c>
      <c r="E775" s="145" t="str">
        <f ca="1">IF($A775="","",IFERROR(INDEX(Market_Data!$L$21:$L$613,MATCH($A775,Market_Data!$K$21:INDEX(Market_Data!$K$21:$K$613,COUNT(Market_Data!$K$21:$K$613)),1)),""))</f>
        <v/>
      </c>
      <c r="F775" s="145" t="str">
        <f ca="1">IF($A775="","",IFERROR(INDEX(Market_Data!$O$21:$O$613,MATCH($A775,Market_Data!$N$21:INDEX(Market_Data!$N$21:$N$613,COUNT(Market_Data!$N$21:$N$613)),1)),""))</f>
        <v/>
      </c>
      <c r="G775" s="145" t="str">
        <f ca="1">IF($A775="","",IFERROR(INDEX(Market_Data!$R$21:$R$613,MATCH($A775,Market_Data!$Q$21:INDEX(Market_Data!$Q$21:$Q$613,COUNT(Market_Data!$Q$21:$Q$613)),1)),""))</f>
        <v/>
      </c>
      <c r="H775" s="145" t="str">
        <f ca="1">IF($A775="","",IFERROR(INDEX(Market_Data!$U$21:$U$613,MATCH($A775,Market_Data!$T$21:INDEX(Market_Data!$T$21:$T$613,COUNT(Market_Data!$T$21:$T$613)),1)),""))</f>
        <v/>
      </c>
      <c r="I775" s="146" t="str">
        <f ca="1">IF($A775="","",IFERROR(INDEX(Query1[Close],MATCH($A775,Query1[Date],1)),""))</f>
        <v/>
      </c>
    </row>
    <row r="776" spans="1:9" x14ac:dyDescent="0.3">
      <c r="A776" s="144" t="str">
        <f t="shared" ca="1" si="14"/>
        <v/>
      </c>
      <c r="B776" s="145" t="str">
        <f ca="1">IF($A776="","",IFERROR(INDEX(Market_Data!$C$21:$C$613,MATCH($A776,Market_Data!$B$21:INDEX(Market_Data!$B$21:$B$613,COUNT(Market_Data!$B$21:$B$613)),1)),""))</f>
        <v/>
      </c>
      <c r="C776" s="145" t="str">
        <f ca="1">IF($A776="","",IFERROR(INDEX(Market_Data!$F$21:$F$613,MATCH($A776,Market_Data!$E$21:INDEX(Market_Data!$E$21:$E$613,COUNT(Market_Data!$E$21:$E$613)),1)),""))</f>
        <v/>
      </c>
      <c r="D776" s="145" t="str">
        <f ca="1">IF($A776="","",IFERROR(INDEX(Market_Data!$I$21:$I$613,MATCH($A776,Market_Data!$H$21:INDEX(Market_Data!$H$21:$H$613,COUNT(Market_Data!$H$21:$H$613)),1)),""))</f>
        <v/>
      </c>
      <c r="E776" s="145" t="str">
        <f ca="1">IF($A776="","",IFERROR(INDEX(Market_Data!$L$21:$L$613,MATCH($A776,Market_Data!$K$21:INDEX(Market_Data!$K$21:$K$613,COUNT(Market_Data!$K$21:$K$613)),1)),""))</f>
        <v/>
      </c>
      <c r="F776" s="145" t="str">
        <f ca="1">IF($A776="","",IFERROR(INDEX(Market_Data!$O$21:$O$613,MATCH($A776,Market_Data!$N$21:INDEX(Market_Data!$N$21:$N$613,COUNT(Market_Data!$N$21:$N$613)),1)),""))</f>
        <v/>
      </c>
      <c r="G776" s="145" t="str">
        <f ca="1">IF($A776="","",IFERROR(INDEX(Market_Data!$R$21:$R$613,MATCH($A776,Market_Data!$Q$21:INDEX(Market_Data!$Q$21:$Q$613,COUNT(Market_Data!$Q$21:$Q$613)),1)),""))</f>
        <v/>
      </c>
      <c r="H776" s="145" t="str">
        <f ca="1">IF($A776="","",IFERROR(INDEX(Market_Data!$U$21:$U$613,MATCH($A776,Market_Data!$T$21:INDEX(Market_Data!$T$21:$T$613,COUNT(Market_Data!$T$21:$T$613)),1)),""))</f>
        <v/>
      </c>
      <c r="I776" s="146" t="str">
        <f ca="1">IF($A776="","",IFERROR(INDEX(Query1[Close],MATCH($A776,Query1[Date],1)),""))</f>
        <v/>
      </c>
    </row>
    <row r="777" spans="1:9" x14ac:dyDescent="0.3">
      <c r="A777" s="144" t="str">
        <f t="shared" ca="1" si="14"/>
        <v/>
      </c>
      <c r="B777" s="145" t="str">
        <f ca="1">IF($A777="","",IFERROR(INDEX(Market_Data!$C$21:$C$613,MATCH($A777,Market_Data!$B$21:INDEX(Market_Data!$B$21:$B$613,COUNT(Market_Data!$B$21:$B$613)),1)),""))</f>
        <v/>
      </c>
      <c r="C777" s="145" t="str">
        <f ca="1">IF($A777="","",IFERROR(INDEX(Market_Data!$F$21:$F$613,MATCH($A777,Market_Data!$E$21:INDEX(Market_Data!$E$21:$E$613,COUNT(Market_Data!$E$21:$E$613)),1)),""))</f>
        <v/>
      </c>
      <c r="D777" s="145" t="str">
        <f ca="1">IF($A777="","",IFERROR(INDEX(Market_Data!$I$21:$I$613,MATCH($A777,Market_Data!$H$21:INDEX(Market_Data!$H$21:$H$613,COUNT(Market_Data!$H$21:$H$613)),1)),""))</f>
        <v/>
      </c>
      <c r="E777" s="145" t="str">
        <f ca="1">IF($A777="","",IFERROR(INDEX(Market_Data!$L$21:$L$613,MATCH($A777,Market_Data!$K$21:INDEX(Market_Data!$K$21:$K$613,COUNT(Market_Data!$K$21:$K$613)),1)),""))</f>
        <v/>
      </c>
      <c r="F777" s="145" t="str">
        <f ca="1">IF($A777="","",IFERROR(INDEX(Market_Data!$O$21:$O$613,MATCH($A777,Market_Data!$N$21:INDEX(Market_Data!$N$21:$N$613,COUNT(Market_Data!$N$21:$N$613)),1)),""))</f>
        <v/>
      </c>
      <c r="G777" s="145" t="str">
        <f ca="1">IF($A777="","",IFERROR(INDEX(Market_Data!$R$21:$R$613,MATCH($A777,Market_Data!$Q$21:INDEX(Market_Data!$Q$21:$Q$613,COUNT(Market_Data!$Q$21:$Q$613)),1)),""))</f>
        <v/>
      </c>
      <c r="H777" s="145" t="str">
        <f ca="1">IF($A777="","",IFERROR(INDEX(Market_Data!$U$21:$U$613,MATCH($A777,Market_Data!$T$21:INDEX(Market_Data!$T$21:$T$613,COUNT(Market_Data!$T$21:$T$613)),1)),""))</f>
        <v/>
      </c>
      <c r="I777" s="146" t="str">
        <f ca="1">IF($A777="","",IFERROR(INDEX(Query1[Close],MATCH($A777,Query1[Date],1)),""))</f>
        <v/>
      </c>
    </row>
    <row r="778" spans="1:9" x14ac:dyDescent="0.3">
      <c r="A778" s="144" t="str">
        <f t="shared" ca="1" si="14"/>
        <v/>
      </c>
      <c r="B778" s="145" t="str">
        <f ca="1">IF($A778="","",IFERROR(INDEX(Market_Data!$C$21:$C$613,MATCH($A778,Market_Data!$B$21:INDEX(Market_Data!$B$21:$B$613,COUNT(Market_Data!$B$21:$B$613)),1)),""))</f>
        <v/>
      </c>
      <c r="C778" s="145" t="str">
        <f ca="1">IF($A778="","",IFERROR(INDEX(Market_Data!$F$21:$F$613,MATCH($A778,Market_Data!$E$21:INDEX(Market_Data!$E$21:$E$613,COUNT(Market_Data!$E$21:$E$613)),1)),""))</f>
        <v/>
      </c>
      <c r="D778" s="145" t="str">
        <f ca="1">IF($A778="","",IFERROR(INDEX(Market_Data!$I$21:$I$613,MATCH($A778,Market_Data!$H$21:INDEX(Market_Data!$H$21:$H$613,COUNT(Market_Data!$H$21:$H$613)),1)),""))</f>
        <v/>
      </c>
      <c r="E778" s="145" t="str">
        <f ca="1">IF($A778="","",IFERROR(INDEX(Market_Data!$L$21:$L$613,MATCH($A778,Market_Data!$K$21:INDEX(Market_Data!$K$21:$K$613,COUNT(Market_Data!$K$21:$K$613)),1)),""))</f>
        <v/>
      </c>
      <c r="F778" s="145" t="str">
        <f ca="1">IF($A778="","",IFERROR(INDEX(Market_Data!$O$21:$O$613,MATCH($A778,Market_Data!$N$21:INDEX(Market_Data!$N$21:$N$613,COUNT(Market_Data!$N$21:$N$613)),1)),""))</f>
        <v/>
      </c>
      <c r="G778" s="145" t="str">
        <f ca="1">IF($A778="","",IFERROR(INDEX(Market_Data!$R$21:$R$613,MATCH($A778,Market_Data!$Q$21:INDEX(Market_Data!$Q$21:$Q$613,COUNT(Market_Data!$Q$21:$Q$613)),1)),""))</f>
        <v/>
      </c>
      <c r="H778" s="145" t="str">
        <f ca="1">IF($A778="","",IFERROR(INDEX(Market_Data!$U$21:$U$613,MATCH($A778,Market_Data!$T$21:INDEX(Market_Data!$T$21:$T$613,COUNT(Market_Data!$T$21:$T$613)),1)),""))</f>
        <v/>
      </c>
      <c r="I778" s="146" t="str">
        <f ca="1">IF($A778="","",IFERROR(INDEX(Query1[Close],MATCH($A778,Query1[Date],1)),""))</f>
        <v/>
      </c>
    </row>
    <row r="779" spans="1:9" x14ac:dyDescent="0.3">
      <c r="A779" s="144" t="str">
        <f t="shared" ca="1" si="14"/>
        <v/>
      </c>
      <c r="B779" s="145" t="str">
        <f ca="1">IF($A779="","",IFERROR(INDEX(Market_Data!$C$21:$C$613,MATCH($A779,Market_Data!$B$21:INDEX(Market_Data!$B$21:$B$613,COUNT(Market_Data!$B$21:$B$613)),1)),""))</f>
        <v/>
      </c>
      <c r="C779" s="145" t="str">
        <f ca="1">IF($A779="","",IFERROR(INDEX(Market_Data!$F$21:$F$613,MATCH($A779,Market_Data!$E$21:INDEX(Market_Data!$E$21:$E$613,COUNT(Market_Data!$E$21:$E$613)),1)),""))</f>
        <v/>
      </c>
      <c r="D779" s="145" t="str">
        <f ca="1">IF($A779="","",IFERROR(INDEX(Market_Data!$I$21:$I$613,MATCH($A779,Market_Data!$H$21:INDEX(Market_Data!$H$21:$H$613,COUNT(Market_Data!$H$21:$H$613)),1)),""))</f>
        <v/>
      </c>
      <c r="E779" s="145" t="str">
        <f ca="1">IF($A779="","",IFERROR(INDEX(Market_Data!$L$21:$L$613,MATCH($A779,Market_Data!$K$21:INDEX(Market_Data!$K$21:$K$613,COUNT(Market_Data!$K$21:$K$613)),1)),""))</f>
        <v/>
      </c>
      <c r="F779" s="145" t="str">
        <f ca="1">IF($A779="","",IFERROR(INDEX(Market_Data!$O$21:$O$613,MATCH($A779,Market_Data!$N$21:INDEX(Market_Data!$N$21:$N$613,COUNT(Market_Data!$N$21:$N$613)),1)),""))</f>
        <v/>
      </c>
      <c r="G779" s="145" t="str">
        <f ca="1">IF($A779="","",IFERROR(INDEX(Market_Data!$R$21:$R$613,MATCH($A779,Market_Data!$Q$21:INDEX(Market_Data!$Q$21:$Q$613,COUNT(Market_Data!$Q$21:$Q$613)),1)),""))</f>
        <v/>
      </c>
      <c r="H779" s="145" t="str">
        <f ca="1">IF($A779="","",IFERROR(INDEX(Market_Data!$U$21:$U$613,MATCH($A779,Market_Data!$T$21:INDEX(Market_Data!$T$21:$T$613,COUNT(Market_Data!$T$21:$T$613)),1)),""))</f>
        <v/>
      </c>
      <c r="I779" s="146" t="str">
        <f ca="1">IF($A779="","",IFERROR(INDEX(Query1[Close],MATCH($A779,Query1[Date],1)),""))</f>
        <v/>
      </c>
    </row>
    <row r="780" spans="1:9" x14ac:dyDescent="0.3">
      <c r="A780" s="144" t="str">
        <f t="shared" ca="1" si="14"/>
        <v/>
      </c>
      <c r="B780" s="145" t="str">
        <f ca="1">IF($A780="","",IFERROR(INDEX(Market_Data!$C$21:$C$613,MATCH($A780,Market_Data!$B$21:INDEX(Market_Data!$B$21:$B$613,COUNT(Market_Data!$B$21:$B$613)),1)),""))</f>
        <v/>
      </c>
      <c r="C780" s="145" t="str">
        <f ca="1">IF($A780="","",IFERROR(INDEX(Market_Data!$F$21:$F$613,MATCH($A780,Market_Data!$E$21:INDEX(Market_Data!$E$21:$E$613,COUNT(Market_Data!$E$21:$E$613)),1)),""))</f>
        <v/>
      </c>
      <c r="D780" s="145" t="str">
        <f ca="1">IF($A780="","",IFERROR(INDEX(Market_Data!$I$21:$I$613,MATCH($A780,Market_Data!$H$21:INDEX(Market_Data!$H$21:$H$613,COUNT(Market_Data!$H$21:$H$613)),1)),""))</f>
        <v/>
      </c>
      <c r="E780" s="145" t="str">
        <f ca="1">IF($A780="","",IFERROR(INDEX(Market_Data!$L$21:$L$613,MATCH($A780,Market_Data!$K$21:INDEX(Market_Data!$K$21:$K$613,COUNT(Market_Data!$K$21:$K$613)),1)),""))</f>
        <v/>
      </c>
      <c r="F780" s="145" t="str">
        <f ca="1">IF($A780="","",IFERROR(INDEX(Market_Data!$O$21:$O$613,MATCH($A780,Market_Data!$N$21:INDEX(Market_Data!$N$21:$N$613,COUNT(Market_Data!$N$21:$N$613)),1)),""))</f>
        <v/>
      </c>
      <c r="G780" s="145" t="str">
        <f ca="1">IF($A780="","",IFERROR(INDEX(Market_Data!$R$21:$R$613,MATCH($A780,Market_Data!$Q$21:INDEX(Market_Data!$Q$21:$Q$613,COUNT(Market_Data!$Q$21:$Q$613)),1)),""))</f>
        <v/>
      </c>
      <c r="H780" s="145" t="str">
        <f ca="1">IF($A780="","",IFERROR(INDEX(Market_Data!$U$21:$U$613,MATCH($A780,Market_Data!$T$21:INDEX(Market_Data!$T$21:$T$613,COUNT(Market_Data!$T$21:$T$613)),1)),""))</f>
        <v/>
      </c>
      <c r="I780" s="146" t="str">
        <f ca="1">IF($A780="","",IFERROR(INDEX(Query1[Close],MATCH($A780,Query1[Date],1)),""))</f>
        <v/>
      </c>
    </row>
    <row r="781" spans="1:9" x14ac:dyDescent="0.3">
      <c r="A781" s="144" t="str">
        <f t="shared" ca="1" si="14"/>
        <v/>
      </c>
      <c r="B781" s="145" t="str">
        <f ca="1">IF($A781="","",IFERROR(INDEX(Market_Data!$C$21:$C$613,MATCH($A781,Market_Data!$B$21:INDEX(Market_Data!$B$21:$B$613,COUNT(Market_Data!$B$21:$B$613)),1)),""))</f>
        <v/>
      </c>
      <c r="C781" s="145" t="str">
        <f ca="1">IF($A781="","",IFERROR(INDEX(Market_Data!$F$21:$F$613,MATCH($A781,Market_Data!$E$21:INDEX(Market_Data!$E$21:$E$613,COUNT(Market_Data!$E$21:$E$613)),1)),""))</f>
        <v/>
      </c>
      <c r="D781" s="145" t="str">
        <f ca="1">IF($A781="","",IFERROR(INDEX(Market_Data!$I$21:$I$613,MATCH($A781,Market_Data!$H$21:INDEX(Market_Data!$H$21:$H$613,COUNT(Market_Data!$H$21:$H$613)),1)),""))</f>
        <v/>
      </c>
      <c r="E781" s="145" t="str">
        <f ca="1">IF($A781="","",IFERROR(INDEX(Market_Data!$L$21:$L$613,MATCH($A781,Market_Data!$K$21:INDEX(Market_Data!$K$21:$K$613,COUNT(Market_Data!$K$21:$K$613)),1)),""))</f>
        <v/>
      </c>
      <c r="F781" s="145" t="str">
        <f ca="1">IF($A781="","",IFERROR(INDEX(Market_Data!$O$21:$O$613,MATCH($A781,Market_Data!$N$21:INDEX(Market_Data!$N$21:$N$613,COUNT(Market_Data!$N$21:$N$613)),1)),""))</f>
        <v/>
      </c>
      <c r="G781" s="145" t="str">
        <f ca="1">IF($A781="","",IFERROR(INDEX(Market_Data!$R$21:$R$613,MATCH($A781,Market_Data!$Q$21:INDEX(Market_Data!$Q$21:$Q$613,COUNT(Market_Data!$Q$21:$Q$613)),1)),""))</f>
        <v/>
      </c>
      <c r="H781" s="145" t="str">
        <f ca="1">IF($A781="","",IFERROR(INDEX(Market_Data!$U$21:$U$613,MATCH($A781,Market_Data!$T$21:INDEX(Market_Data!$T$21:$T$613,COUNT(Market_Data!$T$21:$T$613)),1)),""))</f>
        <v/>
      </c>
      <c r="I781" s="146" t="str">
        <f ca="1">IF($A781="","",IFERROR(INDEX(Query1[Close],MATCH($A781,Query1[Date],1)),""))</f>
        <v/>
      </c>
    </row>
    <row r="782" spans="1:9" x14ac:dyDescent="0.3">
      <c r="A782" s="144" t="str">
        <f t="shared" ca="1" si="14"/>
        <v/>
      </c>
      <c r="B782" s="145" t="str">
        <f ca="1">IF($A782="","",IFERROR(INDEX(Market_Data!$C$21:$C$613,MATCH($A782,Market_Data!$B$21:INDEX(Market_Data!$B$21:$B$613,COUNT(Market_Data!$B$21:$B$613)),1)),""))</f>
        <v/>
      </c>
      <c r="C782" s="145" t="str">
        <f ca="1">IF($A782="","",IFERROR(INDEX(Market_Data!$F$21:$F$613,MATCH($A782,Market_Data!$E$21:INDEX(Market_Data!$E$21:$E$613,COUNT(Market_Data!$E$21:$E$613)),1)),""))</f>
        <v/>
      </c>
      <c r="D782" s="145" t="str">
        <f ca="1">IF($A782="","",IFERROR(INDEX(Market_Data!$I$21:$I$613,MATCH($A782,Market_Data!$H$21:INDEX(Market_Data!$H$21:$H$613,COUNT(Market_Data!$H$21:$H$613)),1)),""))</f>
        <v/>
      </c>
      <c r="E782" s="145" t="str">
        <f ca="1">IF($A782="","",IFERROR(INDEX(Market_Data!$L$21:$L$613,MATCH($A782,Market_Data!$K$21:INDEX(Market_Data!$K$21:$K$613,COUNT(Market_Data!$K$21:$K$613)),1)),""))</f>
        <v/>
      </c>
      <c r="F782" s="145" t="str">
        <f ca="1">IF($A782="","",IFERROR(INDEX(Market_Data!$O$21:$O$613,MATCH($A782,Market_Data!$N$21:INDEX(Market_Data!$N$21:$N$613,COUNT(Market_Data!$N$21:$N$613)),1)),""))</f>
        <v/>
      </c>
      <c r="G782" s="145" t="str">
        <f ca="1">IF($A782="","",IFERROR(INDEX(Market_Data!$R$21:$R$613,MATCH($A782,Market_Data!$Q$21:INDEX(Market_Data!$Q$21:$Q$613,COUNT(Market_Data!$Q$21:$Q$613)),1)),""))</f>
        <v/>
      </c>
      <c r="H782" s="145" t="str">
        <f ca="1">IF($A782="","",IFERROR(INDEX(Market_Data!$U$21:$U$613,MATCH($A782,Market_Data!$T$21:INDEX(Market_Data!$T$21:$T$613,COUNT(Market_Data!$T$21:$T$613)),1)),""))</f>
        <v/>
      </c>
      <c r="I782" s="146" t="str">
        <f ca="1">IF($A782="","",IFERROR(INDEX(Query1[Close],MATCH($A782,Query1[Date],1)),""))</f>
        <v/>
      </c>
    </row>
    <row r="783" spans="1:9" x14ac:dyDescent="0.3">
      <c r="A783" s="144" t="str">
        <f t="shared" ca="1" si="14"/>
        <v/>
      </c>
      <c r="B783" s="145" t="str">
        <f ca="1">IF($A783="","",IFERROR(INDEX(Market_Data!$C$21:$C$613,MATCH($A783,Market_Data!$B$21:INDEX(Market_Data!$B$21:$B$613,COUNT(Market_Data!$B$21:$B$613)),1)),""))</f>
        <v/>
      </c>
      <c r="C783" s="145" t="str">
        <f ca="1">IF($A783="","",IFERROR(INDEX(Market_Data!$F$21:$F$613,MATCH($A783,Market_Data!$E$21:INDEX(Market_Data!$E$21:$E$613,COUNT(Market_Data!$E$21:$E$613)),1)),""))</f>
        <v/>
      </c>
      <c r="D783" s="145" t="str">
        <f ca="1">IF($A783="","",IFERROR(INDEX(Market_Data!$I$21:$I$613,MATCH($A783,Market_Data!$H$21:INDEX(Market_Data!$H$21:$H$613,COUNT(Market_Data!$H$21:$H$613)),1)),""))</f>
        <v/>
      </c>
      <c r="E783" s="145" t="str">
        <f ca="1">IF($A783="","",IFERROR(INDEX(Market_Data!$L$21:$L$613,MATCH($A783,Market_Data!$K$21:INDEX(Market_Data!$K$21:$K$613,COUNT(Market_Data!$K$21:$K$613)),1)),""))</f>
        <v/>
      </c>
      <c r="F783" s="145" t="str">
        <f ca="1">IF($A783="","",IFERROR(INDEX(Market_Data!$O$21:$O$613,MATCH($A783,Market_Data!$N$21:INDEX(Market_Data!$N$21:$N$613,COUNT(Market_Data!$N$21:$N$613)),1)),""))</f>
        <v/>
      </c>
      <c r="G783" s="145" t="str">
        <f ca="1">IF($A783="","",IFERROR(INDEX(Market_Data!$R$21:$R$613,MATCH($A783,Market_Data!$Q$21:INDEX(Market_Data!$Q$21:$Q$613,COUNT(Market_Data!$Q$21:$Q$613)),1)),""))</f>
        <v/>
      </c>
      <c r="H783" s="145" t="str">
        <f ca="1">IF($A783="","",IFERROR(INDEX(Market_Data!$U$21:$U$613,MATCH($A783,Market_Data!$T$21:INDEX(Market_Data!$T$21:$T$613,COUNT(Market_Data!$T$21:$T$613)),1)),""))</f>
        <v/>
      </c>
      <c r="I783" s="146" t="str">
        <f ca="1">IF($A783="","",IFERROR(INDEX(Query1[Close],MATCH($A783,Query1[Date],1)),""))</f>
        <v/>
      </c>
    </row>
    <row r="784" spans="1:9" x14ac:dyDescent="0.3">
      <c r="A784" s="144" t="str">
        <f t="shared" ca="1" si="14"/>
        <v/>
      </c>
      <c r="B784" s="145" t="str">
        <f ca="1">IF($A784="","",IFERROR(INDEX(Market_Data!$C$21:$C$613,MATCH($A784,Market_Data!$B$21:INDEX(Market_Data!$B$21:$B$613,COUNT(Market_Data!$B$21:$B$613)),1)),""))</f>
        <v/>
      </c>
      <c r="C784" s="145" t="str">
        <f ca="1">IF($A784="","",IFERROR(INDEX(Market_Data!$F$21:$F$613,MATCH($A784,Market_Data!$E$21:INDEX(Market_Data!$E$21:$E$613,COUNT(Market_Data!$E$21:$E$613)),1)),""))</f>
        <v/>
      </c>
      <c r="D784" s="145" t="str">
        <f ca="1">IF($A784="","",IFERROR(INDEX(Market_Data!$I$21:$I$613,MATCH($A784,Market_Data!$H$21:INDEX(Market_Data!$H$21:$H$613,COUNT(Market_Data!$H$21:$H$613)),1)),""))</f>
        <v/>
      </c>
      <c r="E784" s="145" t="str">
        <f ca="1">IF($A784="","",IFERROR(INDEX(Market_Data!$L$21:$L$613,MATCH($A784,Market_Data!$K$21:INDEX(Market_Data!$K$21:$K$613,COUNT(Market_Data!$K$21:$K$613)),1)),""))</f>
        <v/>
      </c>
      <c r="F784" s="145" t="str">
        <f ca="1">IF($A784="","",IFERROR(INDEX(Market_Data!$O$21:$O$613,MATCH($A784,Market_Data!$N$21:INDEX(Market_Data!$N$21:$N$613,COUNT(Market_Data!$N$21:$N$613)),1)),""))</f>
        <v/>
      </c>
      <c r="G784" s="145" t="str">
        <f ca="1">IF($A784="","",IFERROR(INDEX(Market_Data!$R$21:$R$613,MATCH($A784,Market_Data!$Q$21:INDEX(Market_Data!$Q$21:$Q$613,COUNT(Market_Data!$Q$21:$Q$613)),1)),""))</f>
        <v/>
      </c>
      <c r="H784" s="145" t="str">
        <f ca="1">IF($A784="","",IFERROR(INDEX(Market_Data!$U$21:$U$613,MATCH($A784,Market_Data!$T$21:INDEX(Market_Data!$T$21:$T$613,COUNT(Market_Data!$T$21:$T$613)),1)),""))</f>
        <v/>
      </c>
      <c r="I784" s="146" t="str">
        <f ca="1">IF($A784="","",IFERROR(INDEX(Query1[Close],MATCH($A784,Query1[Date],1)),""))</f>
        <v/>
      </c>
    </row>
    <row r="785" spans="1:9" x14ac:dyDescent="0.3">
      <c r="A785" s="144" t="str">
        <f t="shared" ca="1" si="14"/>
        <v/>
      </c>
      <c r="B785" s="145" t="str">
        <f ca="1">IF($A785="","",IFERROR(INDEX(Market_Data!$C$21:$C$613,MATCH($A785,Market_Data!$B$21:INDEX(Market_Data!$B$21:$B$613,COUNT(Market_Data!$B$21:$B$613)),1)),""))</f>
        <v/>
      </c>
      <c r="C785" s="145" t="str">
        <f ca="1">IF($A785="","",IFERROR(INDEX(Market_Data!$F$21:$F$613,MATCH($A785,Market_Data!$E$21:INDEX(Market_Data!$E$21:$E$613,COUNT(Market_Data!$E$21:$E$613)),1)),""))</f>
        <v/>
      </c>
      <c r="D785" s="145" t="str">
        <f ca="1">IF($A785="","",IFERROR(INDEX(Market_Data!$I$21:$I$613,MATCH($A785,Market_Data!$H$21:INDEX(Market_Data!$H$21:$H$613,COUNT(Market_Data!$H$21:$H$613)),1)),""))</f>
        <v/>
      </c>
      <c r="E785" s="145" t="str">
        <f ca="1">IF($A785="","",IFERROR(INDEX(Market_Data!$L$21:$L$613,MATCH($A785,Market_Data!$K$21:INDEX(Market_Data!$K$21:$K$613,COUNT(Market_Data!$K$21:$K$613)),1)),""))</f>
        <v/>
      </c>
      <c r="F785" s="145" t="str">
        <f ca="1">IF($A785="","",IFERROR(INDEX(Market_Data!$O$21:$O$613,MATCH($A785,Market_Data!$N$21:INDEX(Market_Data!$N$21:$N$613,COUNT(Market_Data!$N$21:$N$613)),1)),""))</f>
        <v/>
      </c>
      <c r="G785" s="145" t="str">
        <f ca="1">IF($A785="","",IFERROR(INDEX(Market_Data!$R$21:$R$613,MATCH($A785,Market_Data!$Q$21:INDEX(Market_Data!$Q$21:$Q$613,COUNT(Market_Data!$Q$21:$Q$613)),1)),""))</f>
        <v/>
      </c>
      <c r="H785" s="145" t="str">
        <f ca="1">IF($A785="","",IFERROR(INDEX(Market_Data!$U$21:$U$613,MATCH($A785,Market_Data!$T$21:INDEX(Market_Data!$T$21:$T$613,COUNT(Market_Data!$T$21:$T$613)),1)),""))</f>
        <v/>
      </c>
      <c r="I785" s="146" t="str">
        <f ca="1">IF($A785="","",IFERROR(INDEX(Query1[Close],MATCH($A785,Query1[Date],1)),""))</f>
        <v/>
      </c>
    </row>
    <row r="786" spans="1:9" x14ac:dyDescent="0.3">
      <c r="A786" s="144" t="str">
        <f t="shared" ca="1" si="14"/>
        <v/>
      </c>
      <c r="B786" s="145" t="str">
        <f ca="1">IF($A786="","",IFERROR(INDEX(Market_Data!$C$21:$C$613,MATCH($A786,Market_Data!$B$21:INDEX(Market_Data!$B$21:$B$613,COUNT(Market_Data!$B$21:$B$613)),1)),""))</f>
        <v/>
      </c>
      <c r="C786" s="145" t="str">
        <f ca="1">IF($A786="","",IFERROR(INDEX(Market_Data!$F$21:$F$613,MATCH($A786,Market_Data!$E$21:INDEX(Market_Data!$E$21:$E$613,COUNT(Market_Data!$E$21:$E$613)),1)),""))</f>
        <v/>
      </c>
      <c r="D786" s="145" t="str">
        <f ca="1">IF($A786="","",IFERROR(INDEX(Market_Data!$I$21:$I$613,MATCH($A786,Market_Data!$H$21:INDEX(Market_Data!$H$21:$H$613,COUNT(Market_Data!$H$21:$H$613)),1)),""))</f>
        <v/>
      </c>
      <c r="E786" s="145" t="str">
        <f ca="1">IF($A786="","",IFERROR(INDEX(Market_Data!$L$21:$L$613,MATCH($A786,Market_Data!$K$21:INDEX(Market_Data!$K$21:$K$613,COUNT(Market_Data!$K$21:$K$613)),1)),""))</f>
        <v/>
      </c>
      <c r="F786" s="145" t="str">
        <f ca="1">IF($A786="","",IFERROR(INDEX(Market_Data!$O$21:$O$613,MATCH($A786,Market_Data!$N$21:INDEX(Market_Data!$N$21:$N$613,COUNT(Market_Data!$N$21:$N$613)),1)),""))</f>
        <v/>
      </c>
      <c r="G786" s="145" t="str">
        <f ca="1">IF($A786="","",IFERROR(INDEX(Market_Data!$R$21:$R$613,MATCH($A786,Market_Data!$Q$21:INDEX(Market_Data!$Q$21:$Q$613,COUNT(Market_Data!$Q$21:$Q$613)),1)),""))</f>
        <v/>
      </c>
      <c r="H786" s="145" t="str">
        <f ca="1">IF($A786="","",IFERROR(INDEX(Market_Data!$U$21:$U$613,MATCH($A786,Market_Data!$T$21:INDEX(Market_Data!$T$21:$T$613,COUNT(Market_Data!$T$21:$T$613)),1)),""))</f>
        <v/>
      </c>
      <c r="I786" s="146" t="str">
        <f ca="1">IF($A786="","",IFERROR(INDEX(Query1[Close],MATCH($A786,Query1[Date],1)),""))</f>
        <v/>
      </c>
    </row>
    <row r="787" spans="1:9" x14ac:dyDescent="0.3">
      <c r="A787" s="144" t="str">
        <f t="shared" ca="1" si="14"/>
        <v/>
      </c>
      <c r="B787" s="145" t="str">
        <f ca="1">IF($A787="","",IFERROR(INDEX(Market_Data!$C$21:$C$613,MATCH($A787,Market_Data!$B$21:INDEX(Market_Data!$B$21:$B$613,COUNT(Market_Data!$B$21:$B$613)),1)),""))</f>
        <v/>
      </c>
      <c r="C787" s="145" t="str">
        <f ca="1">IF($A787="","",IFERROR(INDEX(Market_Data!$F$21:$F$613,MATCH($A787,Market_Data!$E$21:INDEX(Market_Data!$E$21:$E$613,COUNT(Market_Data!$E$21:$E$613)),1)),""))</f>
        <v/>
      </c>
      <c r="D787" s="145" t="str">
        <f ca="1">IF($A787="","",IFERROR(INDEX(Market_Data!$I$21:$I$613,MATCH($A787,Market_Data!$H$21:INDEX(Market_Data!$H$21:$H$613,COUNT(Market_Data!$H$21:$H$613)),1)),""))</f>
        <v/>
      </c>
      <c r="E787" s="145" t="str">
        <f ca="1">IF($A787="","",IFERROR(INDEX(Market_Data!$L$21:$L$613,MATCH($A787,Market_Data!$K$21:INDEX(Market_Data!$K$21:$K$613,COUNT(Market_Data!$K$21:$K$613)),1)),""))</f>
        <v/>
      </c>
      <c r="F787" s="145" t="str">
        <f ca="1">IF($A787="","",IFERROR(INDEX(Market_Data!$O$21:$O$613,MATCH($A787,Market_Data!$N$21:INDEX(Market_Data!$N$21:$N$613,COUNT(Market_Data!$N$21:$N$613)),1)),""))</f>
        <v/>
      </c>
      <c r="G787" s="145" t="str">
        <f ca="1">IF($A787="","",IFERROR(INDEX(Market_Data!$R$21:$R$613,MATCH($A787,Market_Data!$Q$21:INDEX(Market_Data!$Q$21:$Q$613,COUNT(Market_Data!$Q$21:$Q$613)),1)),""))</f>
        <v/>
      </c>
      <c r="H787" s="145" t="str">
        <f ca="1">IF($A787="","",IFERROR(INDEX(Market_Data!$U$21:$U$613,MATCH($A787,Market_Data!$T$21:INDEX(Market_Data!$T$21:$T$613,COUNT(Market_Data!$T$21:$T$613)),1)),""))</f>
        <v/>
      </c>
      <c r="I787" s="146" t="str">
        <f ca="1">IF($A787="","",IFERROR(INDEX(Query1[Close],MATCH($A787,Query1[Date],1)),""))</f>
        <v/>
      </c>
    </row>
    <row r="788" spans="1:9" x14ac:dyDescent="0.3">
      <c r="A788" s="144" t="str">
        <f t="shared" ca="1" si="14"/>
        <v/>
      </c>
      <c r="B788" s="145" t="str">
        <f ca="1">IF($A788="","",IFERROR(INDEX(Market_Data!$C$21:$C$613,MATCH($A788,Market_Data!$B$21:INDEX(Market_Data!$B$21:$B$613,COUNT(Market_Data!$B$21:$B$613)),1)),""))</f>
        <v/>
      </c>
      <c r="C788" s="145" t="str">
        <f ca="1">IF($A788="","",IFERROR(INDEX(Market_Data!$F$21:$F$613,MATCH($A788,Market_Data!$E$21:INDEX(Market_Data!$E$21:$E$613,COUNT(Market_Data!$E$21:$E$613)),1)),""))</f>
        <v/>
      </c>
      <c r="D788" s="145" t="str">
        <f ca="1">IF($A788="","",IFERROR(INDEX(Market_Data!$I$21:$I$613,MATCH($A788,Market_Data!$H$21:INDEX(Market_Data!$H$21:$H$613,COUNT(Market_Data!$H$21:$H$613)),1)),""))</f>
        <v/>
      </c>
      <c r="E788" s="145" t="str">
        <f ca="1">IF($A788="","",IFERROR(INDEX(Market_Data!$L$21:$L$613,MATCH($A788,Market_Data!$K$21:INDEX(Market_Data!$K$21:$K$613,COUNT(Market_Data!$K$21:$K$613)),1)),""))</f>
        <v/>
      </c>
      <c r="F788" s="145" t="str">
        <f ca="1">IF($A788="","",IFERROR(INDEX(Market_Data!$O$21:$O$613,MATCH($A788,Market_Data!$N$21:INDEX(Market_Data!$N$21:$N$613,COUNT(Market_Data!$N$21:$N$613)),1)),""))</f>
        <v/>
      </c>
      <c r="G788" s="145" t="str">
        <f ca="1">IF($A788="","",IFERROR(INDEX(Market_Data!$R$21:$R$613,MATCH($A788,Market_Data!$Q$21:INDEX(Market_Data!$Q$21:$Q$613,COUNT(Market_Data!$Q$21:$Q$613)),1)),""))</f>
        <v/>
      </c>
      <c r="H788" s="145" t="str">
        <f ca="1">IF($A788="","",IFERROR(INDEX(Market_Data!$U$21:$U$613,MATCH($A788,Market_Data!$T$21:INDEX(Market_Data!$T$21:$T$613,COUNT(Market_Data!$T$21:$T$613)),1)),""))</f>
        <v/>
      </c>
      <c r="I788" s="146" t="str">
        <f ca="1">IF($A788="","",IFERROR(INDEX(Query1[Close],MATCH($A788,Query1[Date],1)),""))</f>
        <v/>
      </c>
    </row>
    <row r="789" spans="1:9" x14ac:dyDescent="0.3">
      <c r="A789" s="144" t="str">
        <f t="shared" ca="1" si="14"/>
        <v/>
      </c>
      <c r="B789" s="145" t="str">
        <f ca="1">IF($A789="","",IFERROR(INDEX(Market_Data!$C$21:$C$613,MATCH($A789,Market_Data!$B$21:INDEX(Market_Data!$B$21:$B$613,COUNT(Market_Data!$B$21:$B$613)),1)),""))</f>
        <v/>
      </c>
      <c r="C789" s="145" t="str">
        <f ca="1">IF($A789="","",IFERROR(INDEX(Market_Data!$F$21:$F$613,MATCH($A789,Market_Data!$E$21:INDEX(Market_Data!$E$21:$E$613,COUNT(Market_Data!$E$21:$E$613)),1)),""))</f>
        <v/>
      </c>
      <c r="D789" s="145" t="str">
        <f ca="1">IF($A789="","",IFERROR(INDEX(Market_Data!$I$21:$I$613,MATCH($A789,Market_Data!$H$21:INDEX(Market_Data!$H$21:$H$613,COUNT(Market_Data!$H$21:$H$613)),1)),""))</f>
        <v/>
      </c>
      <c r="E789" s="145" t="str">
        <f ca="1">IF($A789="","",IFERROR(INDEX(Market_Data!$L$21:$L$613,MATCH($A789,Market_Data!$K$21:INDEX(Market_Data!$K$21:$K$613,COUNT(Market_Data!$K$21:$K$613)),1)),""))</f>
        <v/>
      </c>
      <c r="F789" s="145" t="str">
        <f ca="1">IF($A789="","",IFERROR(INDEX(Market_Data!$O$21:$O$613,MATCH($A789,Market_Data!$N$21:INDEX(Market_Data!$N$21:$N$613,COUNT(Market_Data!$N$21:$N$613)),1)),""))</f>
        <v/>
      </c>
      <c r="G789" s="145" t="str">
        <f ca="1">IF($A789="","",IFERROR(INDEX(Market_Data!$R$21:$R$613,MATCH($A789,Market_Data!$Q$21:INDEX(Market_Data!$Q$21:$Q$613,COUNT(Market_Data!$Q$21:$Q$613)),1)),""))</f>
        <v/>
      </c>
      <c r="H789" s="145" t="str">
        <f ca="1">IF($A789="","",IFERROR(INDEX(Market_Data!$U$21:$U$613,MATCH($A789,Market_Data!$T$21:INDEX(Market_Data!$T$21:$T$613,COUNT(Market_Data!$T$21:$T$613)),1)),""))</f>
        <v/>
      </c>
      <c r="I789" s="146" t="str">
        <f ca="1">IF($A789="","",IFERROR(INDEX(Query1[Close],MATCH($A789,Query1[Date],1)),""))</f>
        <v/>
      </c>
    </row>
    <row r="790" spans="1:9" x14ac:dyDescent="0.3">
      <c r="A790" s="144" t="str">
        <f t="shared" ca="1" si="14"/>
        <v/>
      </c>
      <c r="B790" s="145" t="str">
        <f ca="1">IF($A790="","",IFERROR(INDEX(Market_Data!$C$21:$C$613,MATCH($A790,Market_Data!$B$21:INDEX(Market_Data!$B$21:$B$613,COUNT(Market_Data!$B$21:$B$613)),1)),""))</f>
        <v/>
      </c>
      <c r="C790" s="145" t="str">
        <f ca="1">IF($A790="","",IFERROR(INDEX(Market_Data!$F$21:$F$613,MATCH($A790,Market_Data!$E$21:INDEX(Market_Data!$E$21:$E$613,COUNT(Market_Data!$E$21:$E$613)),1)),""))</f>
        <v/>
      </c>
      <c r="D790" s="145" t="str">
        <f ca="1">IF($A790="","",IFERROR(INDEX(Market_Data!$I$21:$I$613,MATCH($A790,Market_Data!$H$21:INDEX(Market_Data!$H$21:$H$613,COUNT(Market_Data!$H$21:$H$613)),1)),""))</f>
        <v/>
      </c>
      <c r="E790" s="145" t="str">
        <f ca="1">IF($A790="","",IFERROR(INDEX(Market_Data!$L$21:$L$613,MATCH($A790,Market_Data!$K$21:INDEX(Market_Data!$K$21:$K$613,COUNT(Market_Data!$K$21:$K$613)),1)),""))</f>
        <v/>
      </c>
      <c r="F790" s="145" t="str">
        <f ca="1">IF($A790="","",IFERROR(INDEX(Market_Data!$O$21:$O$613,MATCH($A790,Market_Data!$N$21:INDEX(Market_Data!$N$21:$N$613,COUNT(Market_Data!$N$21:$N$613)),1)),""))</f>
        <v/>
      </c>
      <c r="G790" s="145" t="str">
        <f ca="1">IF($A790="","",IFERROR(INDEX(Market_Data!$R$21:$R$613,MATCH($A790,Market_Data!$Q$21:INDEX(Market_Data!$Q$21:$Q$613,COUNT(Market_Data!$Q$21:$Q$613)),1)),""))</f>
        <v/>
      </c>
      <c r="H790" s="145" t="str">
        <f ca="1">IF($A790="","",IFERROR(INDEX(Market_Data!$U$21:$U$613,MATCH($A790,Market_Data!$T$21:INDEX(Market_Data!$T$21:$T$613,COUNT(Market_Data!$T$21:$T$613)),1)),""))</f>
        <v/>
      </c>
      <c r="I790" s="146" t="str">
        <f ca="1">IF($A790="","",IFERROR(INDEX(Query1[Close],MATCH($A790,Query1[Date],1)),""))</f>
        <v/>
      </c>
    </row>
    <row r="791" spans="1:9" x14ac:dyDescent="0.3">
      <c r="A791" s="144" t="str">
        <f t="shared" ca="1" si="14"/>
        <v/>
      </c>
      <c r="B791" s="145" t="str">
        <f ca="1">IF($A791="","",IFERROR(INDEX(Market_Data!$C$21:$C$613,MATCH($A791,Market_Data!$B$21:INDEX(Market_Data!$B$21:$B$613,COUNT(Market_Data!$B$21:$B$613)),1)),""))</f>
        <v/>
      </c>
      <c r="C791" s="145" t="str">
        <f ca="1">IF($A791="","",IFERROR(INDEX(Market_Data!$F$21:$F$613,MATCH($A791,Market_Data!$E$21:INDEX(Market_Data!$E$21:$E$613,COUNT(Market_Data!$E$21:$E$613)),1)),""))</f>
        <v/>
      </c>
      <c r="D791" s="145" t="str">
        <f ca="1">IF($A791="","",IFERROR(INDEX(Market_Data!$I$21:$I$613,MATCH($A791,Market_Data!$H$21:INDEX(Market_Data!$H$21:$H$613,COUNT(Market_Data!$H$21:$H$613)),1)),""))</f>
        <v/>
      </c>
      <c r="E791" s="145" t="str">
        <f ca="1">IF($A791="","",IFERROR(INDEX(Market_Data!$L$21:$L$613,MATCH($A791,Market_Data!$K$21:INDEX(Market_Data!$K$21:$K$613,COUNT(Market_Data!$K$21:$K$613)),1)),""))</f>
        <v/>
      </c>
      <c r="F791" s="145" t="str">
        <f ca="1">IF($A791="","",IFERROR(INDEX(Market_Data!$O$21:$O$613,MATCH($A791,Market_Data!$N$21:INDEX(Market_Data!$N$21:$N$613,COUNT(Market_Data!$N$21:$N$613)),1)),""))</f>
        <v/>
      </c>
      <c r="G791" s="145" t="str">
        <f ca="1">IF($A791="","",IFERROR(INDEX(Market_Data!$R$21:$R$613,MATCH($A791,Market_Data!$Q$21:INDEX(Market_Data!$Q$21:$Q$613,COUNT(Market_Data!$Q$21:$Q$613)),1)),""))</f>
        <v/>
      </c>
      <c r="H791" s="145" t="str">
        <f ca="1">IF($A791="","",IFERROR(INDEX(Market_Data!$U$21:$U$613,MATCH($A791,Market_Data!$T$21:INDEX(Market_Data!$T$21:$T$613,COUNT(Market_Data!$T$21:$T$613)),1)),""))</f>
        <v/>
      </c>
      <c r="I791" s="146" t="str">
        <f ca="1">IF($A791="","",IFERROR(INDEX(Query1[Close],MATCH($A791,Query1[Date],1)),""))</f>
        <v/>
      </c>
    </row>
    <row r="792" spans="1:9" x14ac:dyDescent="0.3">
      <c r="A792" s="144" t="str">
        <f t="shared" ca="1" si="14"/>
        <v/>
      </c>
      <c r="B792" s="145" t="str">
        <f ca="1">IF($A792="","",IFERROR(INDEX(Market_Data!$C$21:$C$613,MATCH($A792,Market_Data!$B$21:INDEX(Market_Data!$B$21:$B$613,COUNT(Market_Data!$B$21:$B$613)),1)),""))</f>
        <v/>
      </c>
      <c r="C792" s="145" t="str">
        <f ca="1">IF($A792="","",IFERROR(INDEX(Market_Data!$F$21:$F$613,MATCH($A792,Market_Data!$E$21:INDEX(Market_Data!$E$21:$E$613,COUNT(Market_Data!$E$21:$E$613)),1)),""))</f>
        <v/>
      </c>
      <c r="D792" s="145" t="str">
        <f ca="1">IF($A792="","",IFERROR(INDEX(Market_Data!$I$21:$I$613,MATCH($A792,Market_Data!$H$21:INDEX(Market_Data!$H$21:$H$613,COUNT(Market_Data!$H$21:$H$613)),1)),""))</f>
        <v/>
      </c>
      <c r="E792" s="145" t="str">
        <f ca="1">IF($A792="","",IFERROR(INDEX(Market_Data!$L$21:$L$613,MATCH($A792,Market_Data!$K$21:INDEX(Market_Data!$K$21:$K$613,COUNT(Market_Data!$K$21:$K$613)),1)),""))</f>
        <v/>
      </c>
      <c r="F792" s="145" t="str">
        <f ca="1">IF($A792="","",IFERROR(INDEX(Market_Data!$O$21:$O$613,MATCH($A792,Market_Data!$N$21:INDEX(Market_Data!$N$21:$N$613,COUNT(Market_Data!$N$21:$N$613)),1)),""))</f>
        <v/>
      </c>
      <c r="G792" s="145" t="str">
        <f ca="1">IF($A792="","",IFERROR(INDEX(Market_Data!$R$21:$R$613,MATCH($A792,Market_Data!$Q$21:INDEX(Market_Data!$Q$21:$Q$613,COUNT(Market_Data!$Q$21:$Q$613)),1)),""))</f>
        <v/>
      </c>
      <c r="H792" s="145" t="str">
        <f ca="1">IF($A792="","",IFERROR(INDEX(Market_Data!$U$21:$U$613,MATCH($A792,Market_Data!$T$21:INDEX(Market_Data!$T$21:$T$613,COUNT(Market_Data!$T$21:$T$613)),1)),""))</f>
        <v/>
      </c>
      <c r="I792" s="146" t="str">
        <f ca="1">IF($A792="","",IFERROR(INDEX(Query1[Close],MATCH($A792,Query1[Date],1)),""))</f>
        <v/>
      </c>
    </row>
    <row r="793" spans="1:9" x14ac:dyDescent="0.3">
      <c r="A793" s="144" t="str">
        <f t="shared" ca="1" si="14"/>
        <v/>
      </c>
      <c r="B793" s="145" t="str">
        <f ca="1">IF($A793="","",IFERROR(INDEX(Market_Data!$C$21:$C$613,MATCH($A793,Market_Data!$B$21:INDEX(Market_Data!$B$21:$B$613,COUNT(Market_Data!$B$21:$B$613)),1)),""))</f>
        <v/>
      </c>
      <c r="C793" s="145" t="str">
        <f ca="1">IF($A793="","",IFERROR(INDEX(Market_Data!$F$21:$F$613,MATCH($A793,Market_Data!$E$21:INDEX(Market_Data!$E$21:$E$613,COUNT(Market_Data!$E$21:$E$613)),1)),""))</f>
        <v/>
      </c>
      <c r="D793" s="145" t="str">
        <f ca="1">IF($A793="","",IFERROR(INDEX(Market_Data!$I$21:$I$613,MATCH($A793,Market_Data!$H$21:INDEX(Market_Data!$H$21:$H$613,COUNT(Market_Data!$H$21:$H$613)),1)),""))</f>
        <v/>
      </c>
      <c r="E793" s="145" t="str">
        <f ca="1">IF($A793="","",IFERROR(INDEX(Market_Data!$L$21:$L$613,MATCH($A793,Market_Data!$K$21:INDEX(Market_Data!$K$21:$K$613,COUNT(Market_Data!$K$21:$K$613)),1)),""))</f>
        <v/>
      </c>
      <c r="F793" s="145" t="str">
        <f ca="1">IF($A793="","",IFERROR(INDEX(Market_Data!$O$21:$O$613,MATCH($A793,Market_Data!$N$21:INDEX(Market_Data!$N$21:$N$613,COUNT(Market_Data!$N$21:$N$613)),1)),""))</f>
        <v/>
      </c>
      <c r="G793" s="145" t="str">
        <f ca="1">IF($A793="","",IFERROR(INDEX(Market_Data!$R$21:$R$613,MATCH($A793,Market_Data!$Q$21:INDEX(Market_Data!$Q$21:$Q$613,COUNT(Market_Data!$Q$21:$Q$613)),1)),""))</f>
        <v/>
      </c>
      <c r="H793" s="145" t="str">
        <f ca="1">IF($A793="","",IFERROR(INDEX(Market_Data!$U$21:$U$613,MATCH($A793,Market_Data!$T$21:INDEX(Market_Data!$T$21:$T$613,COUNT(Market_Data!$T$21:$T$613)),1)),""))</f>
        <v/>
      </c>
      <c r="I793" s="146" t="str">
        <f ca="1">IF($A793="","",IFERROR(INDEX(Query1[Close],MATCH($A793,Query1[Date],1)),""))</f>
        <v/>
      </c>
    </row>
    <row r="794" spans="1:9" x14ac:dyDescent="0.3">
      <c r="A794" s="144" t="str">
        <f t="shared" ca="1" si="14"/>
        <v/>
      </c>
      <c r="B794" s="145" t="str">
        <f ca="1">IF($A794="","",IFERROR(INDEX(Market_Data!$C$21:$C$613,MATCH($A794,Market_Data!$B$21:INDEX(Market_Data!$B$21:$B$613,COUNT(Market_Data!$B$21:$B$613)),1)),""))</f>
        <v/>
      </c>
      <c r="C794" s="145" t="str">
        <f ca="1">IF($A794="","",IFERROR(INDEX(Market_Data!$F$21:$F$613,MATCH($A794,Market_Data!$E$21:INDEX(Market_Data!$E$21:$E$613,COUNT(Market_Data!$E$21:$E$613)),1)),""))</f>
        <v/>
      </c>
      <c r="D794" s="145" t="str">
        <f ca="1">IF($A794="","",IFERROR(INDEX(Market_Data!$I$21:$I$613,MATCH($A794,Market_Data!$H$21:INDEX(Market_Data!$H$21:$H$613,COUNT(Market_Data!$H$21:$H$613)),1)),""))</f>
        <v/>
      </c>
      <c r="E794" s="145" t="str">
        <f ca="1">IF($A794="","",IFERROR(INDEX(Market_Data!$L$21:$L$613,MATCH($A794,Market_Data!$K$21:INDEX(Market_Data!$K$21:$K$613,COUNT(Market_Data!$K$21:$K$613)),1)),""))</f>
        <v/>
      </c>
      <c r="F794" s="145" t="str">
        <f ca="1">IF($A794="","",IFERROR(INDEX(Market_Data!$O$21:$O$613,MATCH($A794,Market_Data!$N$21:INDEX(Market_Data!$N$21:$N$613,COUNT(Market_Data!$N$21:$N$613)),1)),""))</f>
        <v/>
      </c>
      <c r="G794" s="145" t="str">
        <f ca="1">IF($A794="","",IFERROR(INDEX(Market_Data!$R$21:$R$613,MATCH($A794,Market_Data!$Q$21:INDEX(Market_Data!$Q$21:$Q$613,COUNT(Market_Data!$Q$21:$Q$613)),1)),""))</f>
        <v/>
      </c>
      <c r="H794" s="145" t="str">
        <f ca="1">IF($A794="","",IFERROR(INDEX(Market_Data!$U$21:$U$613,MATCH($A794,Market_Data!$T$21:INDEX(Market_Data!$T$21:$T$613,COUNT(Market_Data!$T$21:$T$613)),1)),""))</f>
        <v/>
      </c>
      <c r="I794" s="146" t="str">
        <f ca="1">IF($A794="","",IFERROR(INDEX(Query1[Close],MATCH($A794,Query1[Date],1)),""))</f>
        <v/>
      </c>
    </row>
    <row r="795" spans="1:9" x14ac:dyDescent="0.3">
      <c r="A795" s="144" t="str">
        <f t="shared" ca="1" si="14"/>
        <v/>
      </c>
      <c r="B795" s="145" t="str">
        <f ca="1">IF($A795="","",IFERROR(INDEX(Market_Data!$C$21:$C$613,MATCH($A795,Market_Data!$B$21:INDEX(Market_Data!$B$21:$B$613,COUNT(Market_Data!$B$21:$B$613)),1)),""))</f>
        <v/>
      </c>
      <c r="C795" s="145" t="str">
        <f ca="1">IF($A795="","",IFERROR(INDEX(Market_Data!$F$21:$F$613,MATCH($A795,Market_Data!$E$21:INDEX(Market_Data!$E$21:$E$613,COUNT(Market_Data!$E$21:$E$613)),1)),""))</f>
        <v/>
      </c>
      <c r="D795" s="145" t="str">
        <f ca="1">IF($A795="","",IFERROR(INDEX(Market_Data!$I$21:$I$613,MATCH($A795,Market_Data!$H$21:INDEX(Market_Data!$H$21:$H$613,COUNT(Market_Data!$H$21:$H$613)),1)),""))</f>
        <v/>
      </c>
      <c r="E795" s="145" t="str">
        <f ca="1">IF($A795="","",IFERROR(INDEX(Market_Data!$L$21:$L$613,MATCH($A795,Market_Data!$K$21:INDEX(Market_Data!$K$21:$K$613,COUNT(Market_Data!$K$21:$K$613)),1)),""))</f>
        <v/>
      </c>
      <c r="F795" s="145" t="str">
        <f ca="1">IF($A795="","",IFERROR(INDEX(Market_Data!$O$21:$O$613,MATCH($A795,Market_Data!$N$21:INDEX(Market_Data!$N$21:$N$613,COUNT(Market_Data!$N$21:$N$613)),1)),""))</f>
        <v/>
      </c>
      <c r="G795" s="145" t="str">
        <f ca="1">IF($A795="","",IFERROR(INDEX(Market_Data!$R$21:$R$613,MATCH($A795,Market_Data!$Q$21:INDEX(Market_Data!$Q$21:$Q$613,COUNT(Market_Data!$Q$21:$Q$613)),1)),""))</f>
        <v/>
      </c>
      <c r="H795" s="145" t="str">
        <f ca="1">IF($A795="","",IFERROR(INDEX(Market_Data!$U$21:$U$613,MATCH($A795,Market_Data!$T$21:INDEX(Market_Data!$T$21:$T$613,COUNT(Market_Data!$T$21:$T$613)),1)),""))</f>
        <v/>
      </c>
      <c r="I795" s="146" t="str">
        <f ca="1">IF($A795="","",IFERROR(INDEX(Query1[Close],MATCH($A795,Query1[Date],1)),""))</f>
        <v/>
      </c>
    </row>
    <row r="796" spans="1:9" x14ac:dyDescent="0.3">
      <c r="A796" s="144" t="str">
        <f t="shared" ca="1" si="14"/>
        <v/>
      </c>
      <c r="B796" s="145" t="str">
        <f ca="1">IF($A796="","",IFERROR(INDEX(Market_Data!$C$21:$C$613,MATCH($A796,Market_Data!$B$21:INDEX(Market_Data!$B$21:$B$613,COUNT(Market_Data!$B$21:$B$613)),1)),""))</f>
        <v/>
      </c>
      <c r="C796" s="145" t="str">
        <f ca="1">IF($A796="","",IFERROR(INDEX(Market_Data!$F$21:$F$613,MATCH($A796,Market_Data!$E$21:INDEX(Market_Data!$E$21:$E$613,COUNT(Market_Data!$E$21:$E$613)),1)),""))</f>
        <v/>
      </c>
      <c r="D796" s="145" t="str">
        <f ca="1">IF($A796="","",IFERROR(INDEX(Market_Data!$I$21:$I$613,MATCH($A796,Market_Data!$H$21:INDEX(Market_Data!$H$21:$H$613,COUNT(Market_Data!$H$21:$H$613)),1)),""))</f>
        <v/>
      </c>
      <c r="E796" s="145" t="str">
        <f ca="1">IF($A796="","",IFERROR(INDEX(Market_Data!$L$21:$L$613,MATCH($A796,Market_Data!$K$21:INDEX(Market_Data!$K$21:$K$613,COUNT(Market_Data!$K$21:$K$613)),1)),""))</f>
        <v/>
      </c>
      <c r="F796" s="145" t="str">
        <f ca="1">IF($A796="","",IFERROR(INDEX(Market_Data!$O$21:$O$613,MATCH($A796,Market_Data!$N$21:INDEX(Market_Data!$N$21:$N$613,COUNT(Market_Data!$N$21:$N$613)),1)),""))</f>
        <v/>
      </c>
      <c r="G796" s="145" t="str">
        <f ca="1">IF($A796="","",IFERROR(INDEX(Market_Data!$R$21:$R$613,MATCH($A796,Market_Data!$Q$21:INDEX(Market_Data!$Q$21:$Q$613,COUNT(Market_Data!$Q$21:$Q$613)),1)),""))</f>
        <v/>
      </c>
      <c r="H796" s="145" t="str">
        <f ca="1">IF($A796="","",IFERROR(INDEX(Market_Data!$U$21:$U$613,MATCH($A796,Market_Data!$T$21:INDEX(Market_Data!$T$21:$T$613,COUNT(Market_Data!$T$21:$T$613)),1)),""))</f>
        <v/>
      </c>
      <c r="I796" s="146" t="str">
        <f ca="1">IF($A796="","",IFERROR(INDEX(Query1[Close],MATCH($A796,Query1[Date],1)),""))</f>
        <v/>
      </c>
    </row>
    <row r="797" spans="1:9" x14ac:dyDescent="0.3">
      <c r="A797" s="144" t="str">
        <f t="shared" ca="1" si="14"/>
        <v/>
      </c>
      <c r="B797" s="145" t="str">
        <f ca="1">IF($A797="","",IFERROR(INDEX(Market_Data!$C$21:$C$613,MATCH($A797,Market_Data!$B$21:INDEX(Market_Data!$B$21:$B$613,COUNT(Market_Data!$B$21:$B$613)),1)),""))</f>
        <v/>
      </c>
      <c r="C797" s="145" t="str">
        <f ca="1">IF($A797="","",IFERROR(INDEX(Market_Data!$F$21:$F$613,MATCH($A797,Market_Data!$E$21:INDEX(Market_Data!$E$21:$E$613,COUNT(Market_Data!$E$21:$E$613)),1)),""))</f>
        <v/>
      </c>
      <c r="D797" s="145" t="str">
        <f ca="1">IF($A797="","",IFERROR(INDEX(Market_Data!$I$21:$I$613,MATCH($A797,Market_Data!$H$21:INDEX(Market_Data!$H$21:$H$613,COUNT(Market_Data!$H$21:$H$613)),1)),""))</f>
        <v/>
      </c>
      <c r="E797" s="145" t="str">
        <f ca="1">IF($A797="","",IFERROR(INDEX(Market_Data!$L$21:$L$613,MATCH($A797,Market_Data!$K$21:INDEX(Market_Data!$K$21:$K$613,COUNT(Market_Data!$K$21:$K$613)),1)),""))</f>
        <v/>
      </c>
      <c r="F797" s="145" t="str">
        <f ca="1">IF($A797="","",IFERROR(INDEX(Market_Data!$O$21:$O$613,MATCH($A797,Market_Data!$N$21:INDEX(Market_Data!$N$21:$N$613,COUNT(Market_Data!$N$21:$N$613)),1)),""))</f>
        <v/>
      </c>
      <c r="G797" s="145" t="str">
        <f ca="1">IF($A797="","",IFERROR(INDEX(Market_Data!$R$21:$R$613,MATCH($A797,Market_Data!$Q$21:INDEX(Market_Data!$Q$21:$Q$613,COUNT(Market_Data!$Q$21:$Q$613)),1)),""))</f>
        <v/>
      </c>
      <c r="H797" s="145" t="str">
        <f ca="1">IF($A797="","",IFERROR(INDEX(Market_Data!$U$21:$U$613,MATCH($A797,Market_Data!$T$21:INDEX(Market_Data!$T$21:$T$613,COUNT(Market_Data!$T$21:$T$613)),1)),""))</f>
        <v/>
      </c>
      <c r="I797" s="146" t="str">
        <f ca="1">IF($A797="","",IFERROR(INDEX(Query1[Close],MATCH($A797,Query1[Date],1)),""))</f>
        <v/>
      </c>
    </row>
    <row r="798" spans="1:9" x14ac:dyDescent="0.3">
      <c r="A798" s="144" t="str">
        <f t="shared" ca="1" si="14"/>
        <v/>
      </c>
      <c r="B798" s="145" t="str">
        <f ca="1">IF($A798="","",IFERROR(INDEX(Market_Data!$C$21:$C$613,MATCH($A798,Market_Data!$B$21:INDEX(Market_Data!$B$21:$B$613,COUNT(Market_Data!$B$21:$B$613)),1)),""))</f>
        <v/>
      </c>
      <c r="C798" s="145" t="str">
        <f ca="1">IF($A798="","",IFERROR(INDEX(Market_Data!$F$21:$F$613,MATCH($A798,Market_Data!$E$21:INDEX(Market_Data!$E$21:$E$613,COUNT(Market_Data!$E$21:$E$613)),1)),""))</f>
        <v/>
      </c>
      <c r="D798" s="145" t="str">
        <f ca="1">IF($A798="","",IFERROR(INDEX(Market_Data!$I$21:$I$613,MATCH($A798,Market_Data!$H$21:INDEX(Market_Data!$H$21:$H$613,COUNT(Market_Data!$H$21:$H$613)),1)),""))</f>
        <v/>
      </c>
      <c r="E798" s="145" t="str">
        <f ca="1">IF($A798="","",IFERROR(INDEX(Market_Data!$L$21:$L$613,MATCH($A798,Market_Data!$K$21:INDEX(Market_Data!$K$21:$K$613,COUNT(Market_Data!$K$21:$K$613)),1)),""))</f>
        <v/>
      </c>
      <c r="F798" s="145" t="str">
        <f ca="1">IF($A798="","",IFERROR(INDEX(Market_Data!$O$21:$O$613,MATCH($A798,Market_Data!$N$21:INDEX(Market_Data!$N$21:$N$613,COUNT(Market_Data!$N$21:$N$613)),1)),""))</f>
        <v/>
      </c>
      <c r="G798" s="145" t="str">
        <f ca="1">IF($A798="","",IFERROR(INDEX(Market_Data!$R$21:$R$613,MATCH($A798,Market_Data!$Q$21:INDEX(Market_Data!$Q$21:$Q$613,COUNT(Market_Data!$Q$21:$Q$613)),1)),""))</f>
        <v/>
      </c>
      <c r="H798" s="145" t="str">
        <f ca="1">IF($A798="","",IFERROR(INDEX(Market_Data!$U$21:$U$613,MATCH($A798,Market_Data!$T$21:INDEX(Market_Data!$T$21:$T$613,COUNT(Market_Data!$T$21:$T$613)),1)),""))</f>
        <v/>
      </c>
      <c r="I798" s="146" t="str">
        <f ca="1">IF($A798="","",IFERROR(INDEX(Query1[Close],MATCH($A798,Query1[Date],1)),""))</f>
        <v/>
      </c>
    </row>
    <row r="799" spans="1:9" x14ac:dyDescent="0.3">
      <c r="A799" s="144" t="str">
        <f t="shared" ca="1" si="14"/>
        <v/>
      </c>
      <c r="B799" s="145" t="str">
        <f ca="1">IF($A799="","",IFERROR(INDEX(Market_Data!$C$21:$C$613,MATCH($A799,Market_Data!$B$21:INDEX(Market_Data!$B$21:$B$613,COUNT(Market_Data!$B$21:$B$613)),1)),""))</f>
        <v/>
      </c>
      <c r="C799" s="145" t="str">
        <f ca="1">IF($A799="","",IFERROR(INDEX(Market_Data!$F$21:$F$613,MATCH($A799,Market_Data!$E$21:INDEX(Market_Data!$E$21:$E$613,COUNT(Market_Data!$E$21:$E$613)),1)),""))</f>
        <v/>
      </c>
      <c r="D799" s="145" t="str">
        <f ca="1">IF($A799="","",IFERROR(INDEX(Market_Data!$I$21:$I$613,MATCH($A799,Market_Data!$H$21:INDEX(Market_Data!$H$21:$H$613,COUNT(Market_Data!$H$21:$H$613)),1)),""))</f>
        <v/>
      </c>
      <c r="E799" s="145" t="str">
        <f ca="1">IF($A799="","",IFERROR(INDEX(Market_Data!$L$21:$L$613,MATCH($A799,Market_Data!$K$21:INDEX(Market_Data!$K$21:$K$613,COUNT(Market_Data!$K$21:$K$613)),1)),""))</f>
        <v/>
      </c>
      <c r="F799" s="145" t="str">
        <f ca="1">IF($A799="","",IFERROR(INDEX(Market_Data!$O$21:$O$613,MATCH($A799,Market_Data!$N$21:INDEX(Market_Data!$N$21:$N$613,COUNT(Market_Data!$N$21:$N$613)),1)),""))</f>
        <v/>
      </c>
      <c r="G799" s="145" t="str">
        <f ca="1">IF($A799="","",IFERROR(INDEX(Market_Data!$R$21:$R$613,MATCH($A799,Market_Data!$Q$21:INDEX(Market_Data!$Q$21:$Q$613,COUNT(Market_Data!$Q$21:$Q$613)),1)),""))</f>
        <v/>
      </c>
      <c r="H799" s="145" t="str">
        <f ca="1">IF($A799="","",IFERROR(INDEX(Market_Data!$U$21:$U$613,MATCH($A799,Market_Data!$T$21:INDEX(Market_Data!$T$21:$T$613,COUNT(Market_Data!$T$21:$T$613)),1)),""))</f>
        <v/>
      </c>
      <c r="I799" s="146" t="str">
        <f ca="1">IF($A799="","",IFERROR(INDEX(Query1[Close],MATCH($A799,Query1[Date],1)),""))</f>
        <v/>
      </c>
    </row>
    <row r="800" spans="1:9" x14ac:dyDescent="0.3">
      <c r="A800" s="144" t="str">
        <f t="shared" ca="1" si="14"/>
        <v/>
      </c>
      <c r="B800" s="145" t="str">
        <f ca="1">IF($A800="","",IFERROR(INDEX(Market_Data!$C$21:$C$613,MATCH($A800,Market_Data!$B$21:INDEX(Market_Data!$B$21:$B$613,COUNT(Market_Data!$B$21:$B$613)),1)),""))</f>
        <v/>
      </c>
      <c r="C800" s="145" t="str">
        <f ca="1">IF($A800="","",IFERROR(INDEX(Market_Data!$F$21:$F$613,MATCH($A800,Market_Data!$E$21:INDEX(Market_Data!$E$21:$E$613,COUNT(Market_Data!$E$21:$E$613)),1)),""))</f>
        <v/>
      </c>
      <c r="D800" s="145" t="str">
        <f ca="1">IF($A800="","",IFERROR(INDEX(Market_Data!$I$21:$I$613,MATCH($A800,Market_Data!$H$21:INDEX(Market_Data!$H$21:$H$613,COUNT(Market_Data!$H$21:$H$613)),1)),""))</f>
        <v/>
      </c>
      <c r="E800" s="145" t="str">
        <f ca="1">IF($A800="","",IFERROR(INDEX(Market_Data!$L$21:$L$613,MATCH($A800,Market_Data!$K$21:INDEX(Market_Data!$K$21:$K$613,COUNT(Market_Data!$K$21:$K$613)),1)),""))</f>
        <v/>
      </c>
      <c r="F800" s="145" t="str">
        <f ca="1">IF($A800="","",IFERROR(INDEX(Market_Data!$O$21:$O$613,MATCH($A800,Market_Data!$N$21:INDEX(Market_Data!$N$21:$N$613,COUNT(Market_Data!$N$21:$N$613)),1)),""))</f>
        <v/>
      </c>
      <c r="G800" s="145" t="str">
        <f ca="1">IF($A800="","",IFERROR(INDEX(Market_Data!$R$21:$R$613,MATCH($A800,Market_Data!$Q$21:INDEX(Market_Data!$Q$21:$Q$613,COUNT(Market_Data!$Q$21:$Q$613)),1)),""))</f>
        <v/>
      </c>
      <c r="H800" s="145" t="str">
        <f ca="1">IF($A800="","",IFERROR(INDEX(Market_Data!$U$21:$U$613,MATCH($A800,Market_Data!$T$21:INDEX(Market_Data!$T$21:$T$613,COUNT(Market_Data!$T$21:$T$613)),1)),""))</f>
        <v/>
      </c>
      <c r="I800" s="146" t="str">
        <f ca="1">IF($A800="","",IFERROR(INDEX(Query1[Close],MATCH($A800,Query1[Date],1)),""))</f>
        <v/>
      </c>
    </row>
    <row r="801" spans="1:9" x14ac:dyDescent="0.3">
      <c r="A801" s="144" t="str">
        <f t="shared" ca="1" si="14"/>
        <v/>
      </c>
      <c r="B801" s="145" t="str">
        <f ca="1">IF($A801="","",IFERROR(INDEX(Market_Data!$C$21:$C$613,MATCH($A801,Market_Data!$B$21:INDEX(Market_Data!$B$21:$B$613,COUNT(Market_Data!$B$21:$B$613)),1)),""))</f>
        <v/>
      </c>
      <c r="C801" s="145" t="str">
        <f ca="1">IF($A801="","",IFERROR(INDEX(Market_Data!$F$21:$F$613,MATCH($A801,Market_Data!$E$21:INDEX(Market_Data!$E$21:$E$613,COUNT(Market_Data!$E$21:$E$613)),1)),""))</f>
        <v/>
      </c>
      <c r="D801" s="145" t="str">
        <f ca="1">IF($A801="","",IFERROR(INDEX(Market_Data!$I$21:$I$613,MATCH($A801,Market_Data!$H$21:INDEX(Market_Data!$H$21:$H$613,COUNT(Market_Data!$H$21:$H$613)),1)),""))</f>
        <v/>
      </c>
      <c r="E801" s="145" t="str">
        <f ca="1">IF($A801="","",IFERROR(INDEX(Market_Data!$L$21:$L$613,MATCH($A801,Market_Data!$K$21:INDEX(Market_Data!$K$21:$K$613,COUNT(Market_Data!$K$21:$K$613)),1)),""))</f>
        <v/>
      </c>
      <c r="F801" s="145" t="str">
        <f ca="1">IF($A801="","",IFERROR(INDEX(Market_Data!$O$21:$O$613,MATCH($A801,Market_Data!$N$21:INDEX(Market_Data!$N$21:$N$613,COUNT(Market_Data!$N$21:$N$613)),1)),""))</f>
        <v/>
      </c>
      <c r="G801" s="145" t="str">
        <f ca="1">IF($A801="","",IFERROR(INDEX(Market_Data!$R$21:$R$613,MATCH($A801,Market_Data!$Q$21:INDEX(Market_Data!$Q$21:$Q$613,COUNT(Market_Data!$Q$21:$Q$613)),1)),""))</f>
        <v/>
      </c>
      <c r="H801" s="145" t="str">
        <f ca="1">IF($A801="","",IFERROR(INDEX(Market_Data!$U$21:$U$613,MATCH($A801,Market_Data!$T$21:INDEX(Market_Data!$T$21:$T$613,COUNT(Market_Data!$T$21:$T$613)),1)),""))</f>
        <v/>
      </c>
      <c r="I801" s="146" t="str">
        <f ca="1">IF($A801="","",IFERROR(INDEX(Query1[Close],MATCH($A801,Query1[Date],1)),""))</f>
        <v/>
      </c>
    </row>
    <row r="802" spans="1:9" x14ac:dyDescent="0.3">
      <c r="A802" s="144" t="str">
        <f t="shared" ca="1" si="14"/>
        <v/>
      </c>
      <c r="B802" s="145" t="str">
        <f ca="1">IF($A802="","",IFERROR(INDEX(Market_Data!$C$21:$C$613,MATCH($A802,Market_Data!$B$21:INDEX(Market_Data!$B$21:$B$613,COUNT(Market_Data!$B$21:$B$613)),1)),""))</f>
        <v/>
      </c>
      <c r="C802" s="145" t="str">
        <f ca="1">IF($A802="","",IFERROR(INDEX(Market_Data!$F$21:$F$613,MATCH($A802,Market_Data!$E$21:INDEX(Market_Data!$E$21:$E$613,COUNT(Market_Data!$E$21:$E$613)),1)),""))</f>
        <v/>
      </c>
      <c r="D802" s="145" t="str">
        <f ca="1">IF($A802="","",IFERROR(INDEX(Market_Data!$I$21:$I$613,MATCH($A802,Market_Data!$H$21:INDEX(Market_Data!$H$21:$H$613,COUNT(Market_Data!$H$21:$H$613)),1)),""))</f>
        <v/>
      </c>
      <c r="E802" s="145" t="str">
        <f ca="1">IF($A802="","",IFERROR(INDEX(Market_Data!$L$21:$L$613,MATCH($A802,Market_Data!$K$21:INDEX(Market_Data!$K$21:$K$613,COUNT(Market_Data!$K$21:$K$613)),1)),""))</f>
        <v/>
      </c>
      <c r="F802" s="145" t="str">
        <f ca="1">IF($A802="","",IFERROR(INDEX(Market_Data!$O$21:$O$613,MATCH($A802,Market_Data!$N$21:INDEX(Market_Data!$N$21:$N$613,COUNT(Market_Data!$N$21:$N$613)),1)),""))</f>
        <v/>
      </c>
      <c r="G802" s="145" t="str">
        <f ca="1">IF($A802="","",IFERROR(INDEX(Market_Data!$R$21:$R$613,MATCH($A802,Market_Data!$Q$21:INDEX(Market_Data!$Q$21:$Q$613,COUNT(Market_Data!$Q$21:$Q$613)),1)),""))</f>
        <v/>
      </c>
      <c r="H802" s="145" t="str">
        <f ca="1">IF($A802="","",IFERROR(INDEX(Market_Data!$U$21:$U$613,MATCH($A802,Market_Data!$T$21:INDEX(Market_Data!$T$21:$T$613,COUNT(Market_Data!$T$21:$T$613)),1)),""))</f>
        <v/>
      </c>
      <c r="I802" s="146" t="str">
        <f ca="1">IF($A802="","",IFERROR(INDEX(Query1[Close],MATCH($A802,Query1[Date],1)),""))</f>
        <v/>
      </c>
    </row>
    <row r="803" spans="1:9" x14ac:dyDescent="0.3">
      <c r="A803" s="144" t="str">
        <f t="shared" ca="1" si="14"/>
        <v/>
      </c>
      <c r="B803" s="145" t="str">
        <f ca="1">IF($A803="","",IFERROR(INDEX(Market_Data!$C$21:$C$613,MATCH($A803,Market_Data!$B$21:INDEX(Market_Data!$B$21:$B$613,COUNT(Market_Data!$B$21:$B$613)),1)),""))</f>
        <v/>
      </c>
      <c r="C803" s="145" t="str">
        <f ca="1">IF($A803="","",IFERROR(INDEX(Market_Data!$F$21:$F$613,MATCH($A803,Market_Data!$E$21:INDEX(Market_Data!$E$21:$E$613,COUNT(Market_Data!$E$21:$E$613)),1)),""))</f>
        <v/>
      </c>
      <c r="D803" s="145" t="str">
        <f ca="1">IF($A803="","",IFERROR(INDEX(Market_Data!$I$21:$I$613,MATCH($A803,Market_Data!$H$21:INDEX(Market_Data!$H$21:$H$613,COUNT(Market_Data!$H$21:$H$613)),1)),""))</f>
        <v/>
      </c>
      <c r="E803" s="145" t="str">
        <f ca="1">IF($A803="","",IFERROR(INDEX(Market_Data!$L$21:$L$613,MATCH($A803,Market_Data!$K$21:INDEX(Market_Data!$K$21:$K$613,COUNT(Market_Data!$K$21:$K$613)),1)),""))</f>
        <v/>
      </c>
      <c r="F803" s="145" t="str">
        <f ca="1">IF($A803="","",IFERROR(INDEX(Market_Data!$O$21:$O$613,MATCH($A803,Market_Data!$N$21:INDEX(Market_Data!$N$21:$N$613,COUNT(Market_Data!$N$21:$N$613)),1)),""))</f>
        <v/>
      </c>
      <c r="G803" s="145" t="str">
        <f ca="1">IF($A803="","",IFERROR(INDEX(Market_Data!$R$21:$R$613,MATCH($A803,Market_Data!$Q$21:INDEX(Market_Data!$Q$21:$Q$613,COUNT(Market_Data!$Q$21:$Q$613)),1)),""))</f>
        <v/>
      </c>
      <c r="H803" s="145" t="str">
        <f ca="1">IF($A803="","",IFERROR(INDEX(Market_Data!$U$21:$U$613,MATCH($A803,Market_Data!$T$21:INDEX(Market_Data!$T$21:$T$613,COUNT(Market_Data!$T$21:$T$613)),1)),""))</f>
        <v/>
      </c>
      <c r="I803" s="146" t="str">
        <f ca="1">IF($A803="","",IFERROR(INDEX(Query1[Close],MATCH($A803,Query1[Date],1)),""))</f>
        <v/>
      </c>
    </row>
    <row r="804" spans="1:9" x14ac:dyDescent="0.3">
      <c r="A804" s="144" t="str">
        <f t="shared" ca="1" si="14"/>
        <v/>
      </c>
      <c r="B804" s="145" t="str">
        <f ca="1">IF($A804="","",IFERROR(INDEX(Market_Data!$C$21:$C$613,MATCH($A804,Market_Data!$B$21:INDEX(Market_Data!$B$21:$B$613,COUNT(Market_Data!$B$21:$B$613)),1)),""))</f>
        <v/>
      </c>
      <c r="C804" s="145" t="str">
        <f ca="1">IF($A804="","",IFERROR(INDEX(Market_Data!$F$21:$F$613,MATCH($A804,Market_Data!$E$21:INDEX(Market_Data!$E$21:$E$613,COUNT(Market_Data!$E$21:$E$613)),1)),""))</f>
        <v/>
      </c>
      <c r="D804" s="145" t="str">
        <f ca="1">IF($A804="","",IFERROR(INDEX(Market_Data!$I$21:$I$613,MATCH($A804,Market_Data!$H$21:INDEX(Market_Data!$H$21:$H$613,COUNT(Market_Data!$H$21:$H$613)),1)),""))</f>
        <v/>
      </c>
      <c r="E804" s="145" t="str">
        <f ca="1">IF($A804="","",IFERROR(INDEX(Market_Data!$L$21:$L$613,MATCH($A804,Market_Data!$K$21:INDEX(Market_Data!$K$21:$K$613,COUNT(Market_Data!$K$21:$K$613)),1)),""))</f>
        <v/>
      </c>
      <c r="F804" s="145" t="str">
        <f ca="1">IF($A804="","",IFERROR(INDEX(Market_Data!$O$21:$O$613,MATCH($A804,Market_Data!$N$21:INDEX(Market_Data!$N$21:$N$613,COUNT(Market_Data!$N$21:$N$613)),1)),""))</f>
        <v/>
      </c>
      <c r="G804" s="145" t="str">
        <f ca="1">IF($A804="","",IFERROR(INDEX(Market_Data!$R$21:$R$613,MATCH($A804,Market_Data!$Q$21:INDEX(Market_Data!$Q$21:$Q$613,COUNT(Market_Data!$Q$21:$Q$613)),1)),""))</f>
        <v/>
      </c>
      <c r="H804" s="145" t="str">
        <f ca="1">IF($A804="","",IFERROR(INDEX(Market_Data!$U$21:$U$613,MATCH($A804,Market_Data!$T$21:INDEX(Market_Data!$T$21:$T$613,COUNT(Market_Data!$T$21:$T$613)),1)),""))</f>
        <v/>
      </c>
      <c r="I804" s="146" t="str">
        <f ca="1">IF($A804="","",IFERROR(INDEX(Query1[Close],MATCH($A804,Query1[Date],1)),""))</f>
        <v/>
      </c>
    </row>
    <row r="805" spans="1:9" x14ac:dyDescent="0.3">
      <c r="A805" s="144" t="str">
        <f t="shared" ca="1" si="14"/>
        <v/>
      </c>
      <c r="B805" s="145" t="str">
        <f ca="1">IF($A805="","",IFERROR(INDEX(Market_Data!$C$21:$C$613,MATCH($A805,Market_Data!$B$21:INDEX(Market_Data!$B$21:$B$613,COUNT(Market_Data!$B$21:$B$613)),1)),""))</f>
        <v/>
      </c>
      <c r="C805" s="145" t="str">
        <f ca="1">IF($A805="","",IFERROR(INDEX(Market_Data!$F$21:$F$613,MATCH($A805,Market_Data!$E$21:INDEX(Market_Data!$E$21:$E$613,COUNT(Market_Data!$E$21:$E$613)),1)),""))</f>
        <v/>
      </c>
      <c r="D805" s="145" t="str">
        <f ca="1">IF($A805="","",IFERROR(INDEX(Market_Data!$I$21:$I$613,MATCH($A805,Market_Data!$H$21:INDEX(Market_Data!$H$21:$H$613,COUNT(Market_Data!$H$21:$H$613)),1)),""))</f>
        <v/>
      </c>
      <c r="E805" s="145" t="str">
        <f ca="1">IF($A805="","",IFERROR(INDEX(Market_Data!$L$21:$L$613,MATCH($A805,Market_Data!$K$21:INDEX(Market_Data!$K$21:$K$613,COUNT(Market_Data!$K$21:$K$613)),1)),""))</f>
        <v/>
      </c>
      <c r="F805" s="145" t="str">
        <f ca="1">IF($A805="","",IFERROR(INDEX(Market_Data!$O$21:$O$613,MATCH($A805,Market_Data!$N$21:INDEX(Market_Data!$N$21:$N$613,COUNT(Market_Data!$N$21:$N$613)),1)),""))</f>
        <v/>
      </c>
      <c r="G805" s="145" t="str">
        <f ca="1">IF($A805="","",IFERROR(INDEX(Market_Data!$R$21:$R$613,MATCH($A805,Market_Data!$Q$21:INDEX(Market_Data!$Q$21:$Q$613,COUNT(Market_Data!$Q$21:$Q$613)),1)),""))</f>
        <v/>
      </c>
      <c r="H805" s="145" t="str">
        <f ca="1">IF($A805="","",IFERROR(INDEX(Market_Data!$U$21:$U$613,MATCH($A805,Market_Data!$T$21:INDEX(Market_Data!$T$21:$T$613,COUNT(Market_Data!$T$21:$T$613)),1)),""))</f>
        <v/>
      </c>
      <c r="I805" s="146" t="str">
        <f ca="1">IF($A805="","",IFERROR(INDEX(Query1[Close],MATCH($A805,Query1[Date],1)),""))</f>
        <v/>
      </c>
    </row>
    <row r="806" spans="1:9" x14ac:dyDescent="0.3">
      <c r="A806" s="144" t="str">
        <f t="shared" ca="1" si="14"/>
        <v/>
      </c>
      <c r="B806" s="145" t="str">
        <f ca="1">IF($A806="","",IFERROR(INDEX(Market_Data!$C$21:$C$613,MATCH($A806,Market_Data!$B$21:INDEX(Market_Data!$B$21:$B$613,COUNT(Market_Data!$B$21:$B$613)),1)),""))</f>
        <v/>
      </c>
      <c r="C806" s="145" t="str">
        <f ca="1">IF($A806="","",IFERROR(INDEX(Market_Data!$F$21:$F$613,MATCH($A806,Market_Data!$E$21:INDEX(Market_Data!$E$21:$E$613,COUNT(Market_Data!$E$21:$E$613)),1)),""))</f>
        <v/>
      </c>
      <c r="D806" s="145" t="str">
        <f ca="1">IF($A806="","",IFERROR(INDEX(Market_Data!$I$21:$I$613,MATCH($A806,Market_Data!$H$21:INDEX(Market_Data!$H$21:$H$613,COUNT(Market_Data!$H$21:$H$613)),1)),""))</f>
        <v/>
      </c>
      <c r="E806" s="145" t="str">
        <f ca="1">IF($A806="","",IFERROR(INDEX(Market_Data!$L$21:$L$613,MATCH($A806,Market_Data!$K$21:INDEX(Market_Data!$K$21:$K$613,COUNT(Market_Data!$K$21:$K$613)),1)),""))</f>
        <v/>
      </c>
      <c r="F806" s="145" t="str">
        <f ca="1">IF($A806="","",IFERROR(INDEX(Market_Data!$O$21:$O$613,MATCH($A806,Market_Data!$N$21:INDEX(Market_Data!$N$21:$N$613,COUNT(Market_Data!$N$21:$N$613)),1)),""))</f>
        <v/>
      </c>
      <c r="G806" s="145" t="str">
        <f ca="1">IF($A806="","",IFERROR(INDEX(Market_Data!$R$21:$R$613,MATCH($A806,Market_Data!$Q$21:INDEX(Market_Data!$Q$21:$Q$613,COUNT(Market_Data!$Q$21:$Q$613)),1)),""))</f>
        <v/>
      </c>
      <c r="H806" s="145" t="str">
        <f ca="1">IF($A806="","",IFERROR(INDEX(Market_Data!$U$21:$U$613,MATCH($A806,Market_Data!$T$21:INDEX(Market_Data!$T$21:$T$613,COUNT(Market_Data!$T$21:$T$613)),1)),""))</f>
        <v/>
      </c>
      <c r="I806" s="146" t="str">
        <f ca="1">IF($A806="","",IFERROR(INDEX(Query1[Close],MATCH($A806,Query1[Date],1)),""))</f>
        <v/>
      </c>
    </row>
    <row r="807" spans="1:9" x14ac:dyDescent="0.3">
      <c r="A807" s="144" t="str">
        <f t="shared" ca="1" si="14"/>
        <v/>
      </c>
      <c r="B807" s="145" t="str">
        <f ca="1">IF($A807="","",IFERROR(INDEX(Market_Data!$C$21:$C$613,MATCH($A807,Market_Data!$B$21:INDEX(Market_Data!$B$21:$B$613,COUNT(Market_Data!$B$21:$B$613)),1)),""))</f>
        <v/>
      </c>
      <c r="C807" s="145" t="str">
        <f ca="1">IF($A807="","",IFERROR(INDEX(Market_Data!$F$21:$F$613,MATCH($A807,Market_Data!$E$21:INDEX(Market_Data!$E$21:$E$613,COUNT(Market_Data!$E$21:$E$613)),1)),""))</f>
        <v/>
      </c>
      <c r="D807" s="145" t="str">
        <f ca="1">IF($A807="","",IFERROR(INDEX(Market_Data!$I$21:$I$613,MATCH($A807,Market_Data!$H$21:INDEX(Market_Data!$H$21:$H$613,COUNT(Market_Data!$H$21:$H$613)),1)),""))</f>
        <v/>
      </c>
      <c r="E807" s="145" t="str">
        <f ca="1">IF($A807="","",IFERROR(INDEX(Market_Data!$L$21:$L$613,MATCH($A807,Market_Data!$K$21:INDEX(Market_Data!$K$21:$K$613,COUNT(Market_Data!$K$21:$K$613)),1)),""))</f>
        <v/>
      </c>
      <c r="F807" s="145" t="str">
        <f ca="1">IF($A807="","",IFERROR(INDEX(Market_Data!$O$21:$O$613,MATCH($A807,Market_Data!$N$21:INDEX(Market_Data!$N$21:$N$613,COUNT(Market_Data!$N$21:$N$613)),1)),""))</f>
        <v/>
      </c>
      <c r="G807" s="145" t="str">
        <f ca="1">IF($A807="","",IFERROR(INDEX(Market_Data!$R$21:$R$613,MATCH($A807,Market_Data!$Q$21:INDEX(Market_Data!$Q$21:$Q$613,COUNT(Market_Data!$Q$21:$Q$613)),1)),""))</f>
        <v/>
      </c>
      <c r="H807" s="145" t="str">
        <f ca="1">IF($A807="","",IFERROR(INDEX(Market_Data!$U$21:$U$613,MATCH($A807,Market_Data!$T$21:INDEX(Market_Data!$T$21:$T$613,COUNT(Market_Data!$T$21:$T$613)),1)),""))</f>
        <v/>
      </c>
      <c r="I807" s="146" t="str">
        <f ca="1">IF($A807="","",IFERROR(INDEX(Query1[Close],MATCH($A807,Query1[Date],1)),""))</f>
        <v/>
      </c>
    </row>
    <row r="808" spans="1:9" x14ac:dyDescent="0.3">
      <c r="A808" s="144" t="str">
        <f t="shared" ca="1" si="14"/>
        <v/>
      </c>
      <c r="B808" s="145" t="str">
        <f ca="1">IF($A808="","",IFERROR(INDEX(Market_Data!$C$21:$C$613,MATCH($A808,Market_Data!$B$21:INDEX(Market_Data!$B$21:$B$613,COUNT(Market_Data!$B$21:$B$613)),1)),""))</f>
        <v/>
      </c>
      <c r="C808" s="145" t="str">
        <f ca="1">IF($A808="","",IFERROR(INDEX(Market_Data!$F$21:$F$613,MATCH($A808,Market_Data!$E$21:INDEX(Market_Data!$E$21:$E$613,COUNT(Market_Data!$E$21:$E$613)),1)),""))</f>
        <v/>
      </c>
      <c r="D808" s="145" t="str">
        <f ca="1">IF($A808="","",IFERROR(INDEX(Market_Data!$I$21:$I$613,MATCH($A808,Market_Data!$H$21:INDEX(Market_Data!$H$21:$H$613,COUNT(Market_Data!$H$21:$H$613)),1)),""))</f>
        <v/>
      </c>
      <c r="E808" s="145" t="str">
        <f ca="1">IF($A808="","",IFERROR(INDEX(Market_Data!$L$21:$L$613,MATCH($A808,Market_Data!$K$21:INDEX(Market_Data!$K$21:$K$613,COUNT(Market_Data!$K$21:$K$613)),1)),""))</f>
        <v/>
      </c>
      <c r="F808" s="145" t="str">
        <f ca="1">IF($A808="","",IFERROR(INDEX(Market_Data!$O$21:$O$613,MATCH($A808,Market_Data!$N$21:INDEX(Market_Data!$N$21:$N$613,COUNT(Market_Data!$N$21:$N$613)),1)),""))</f>
        <v/>
      </c>
      <c r="G808" s="145" t="str">
        <f ca="1">IF($A808="","",IFERROR(INDEX(Market_Data!$R$21:$R$613,MATCH($A808,Market_Data!$Q$21:INDEX(Market_Data!$Q$21:$Q$613,COUNT(Market_Data!$Q$21:$Q$613)),1)),""))</f>
        <v/>
      </c>
      <c r="H808" s="145" t="str">
        <f ca="1">IF($A808="","",IFERROR(INDEX(Market_Data!$U$21:$U$613,MATCH($A808,Market_Data!$T$21:INDEX(Market_Data!$T$21:$T$613,COUNT(Market_Data!$T$21:$T$613)),1)),""))</f>
        <v/>
      </c>
      <c r="I808" s="146" t="str">
        <f ca="1">IF($A808="","",IFERROR(INDEX(Query1[Close],MATCH($A808,Query1[Date],1)),""))</f>
        <v/>
      </c>
    </row>
    <row r="809" spans="1:9" x14ac:dyDescent="0.3">
      <c r="A809" s="144" t="str">
        <f t="shared" ca="1" si="14"/>
        <v/>
      </c>
      <c r="B809" s="145" t="str">
        <f ca="1">IF($A809="","",IFERROR(INDEX(Market_Data!$C$21:$C$613,MATCH($A809,Market_Data!$B$21:INDEX(Market_Data!$B$21:$B$613,COUNT(Market_Data!$B$21:$B$613)),1)),""))</f>
        <v/>
      </c>
      <c r="C809" s="145" t="str">
        <f ca="1">IF($A809="","",IFERROR(INDEX(Market_Data!$F$21:$F$613,MATCH($A809,Market_Data!$E$21:INDEX(Market_Data!$E$21:$E$613,COUNT(Market_Data!$E$21:$E$613)),1)),""))</f>
        <v/>
      </c>
      <c r="D809" s="145" t="str">
        <f ca="1">IF($A809="","",IFERROR(INDEX(Market_Data!$I$21:$I$613,MATCH($A809,Market_Data!$H$21:INDEX(Market_Data!$H$21:$H$613,COUNT(Market_Data!$H$21:$H$613)),1)),""))</f>
        <v/>
      </c>
      <c r="E809" s="145" t="str">
        <f ca="1">IF($A809="","",IFERROR(INDEX(Market_Data!$L$21:$L$613,MATCH($A809,Market_Data!$K$21:INDEX(Market_Data!$K$21:$K$613,COUNT(Market_Data!$K$21:$K$613)),1)),""))</f>
        <v/>
      </c>
      <c r="F809" s="145" t="str">
        <f ca="1">IF($A809="","",IFERROR(INDEX(Market_Data!$O$21:$O$613,MATCH($A809,Market_Data!$N$21:INDEX(Market_Data!$N$21:$N$613,COUNT(Market_Data!$N$21:$N$613)),1)),""))</f>
        <v/>
      </c>
      <c r="G809" s="145" t="str">
        <f ca="1">IF($A809="","",IFERROR(INDEX(Market_Data!$R$21:$R$613,MATCH($A809,Market_Data!$Q$21:INDEX(Market_Data!$Q$21:$Q$613,COUNT(Market_Data!$Q$21:$Q$613)),1)),""))</f>
        <v/>
      </c>
      <c r="H809" s="145" t="str">
        <f ca="1">IF($A809="","",IFERROR(INDEX(Market_Data!$U$21:$U$613,MATCH($A809,Market_Data!$T$21:INDEX(Market_Data!$T$21:$T$613,COUNT(Market_Data!$T$21:$T$613)),1)),""))</f>
        <v/>
      </c>
      <c r="I809" s="146" t="str">
        <f ca="1">IF($A809="","",IFERROR(INDEX(Query1[Close],MATCH($A809,Query1[Date],1)),""))</f>
        <v/>
      </c>
    </row>
    <row r="810" spans="1:9" x14ac:dyDescent="0.3">
      <c r="A810" s="144" t="str">
        <f t="shared" ca="1" si="14"/>
        <v/>
      </c>
      <c r="B810" s="145" t="str">
        <f ca="1">IF($A810="","",IFERROR(INDEX(Market_Data!$C$21:$C$613,MATCH($A810,Market_Data!$B$21:INDEX(Market_Data!$B$21:$B$613,COUNT(Market_Data!$B$21:$B$613)),1)),""))</f>
        <v/>
      </c>
      <c r="C810" s="145" t="str">
        <f ca="1">IF($A810="","",IFERROR(INDEX(Market_Data!$F$21:$F$613,MATCH($A810,Market_Data!$E$21:INDEX(Market_Data!$E$21:$E$613,COUNT(Market_Data!$E$21:$E$613)),1)),""))</f>
        <v/>
      </c>
      <c r="D810" s="145" t="str">
        <f ca="1">IF($A810="","",IFERROR(INDEX(Market_Data!$I$21:$I$613,MATCH($A810,Market_Data!$H$21:INDEX(Market_Data!$H$21:$H$613,COUNT(Market_Data!$H$21:$H$613)),1)),""))</f>
        <v/>
      </c>
      <c r="E810" s="145" t="str">
        <f ca="1">IF($A810="","",IFERROR(INDEX(Market_Data!$L$21:$L$613,MATCH($A810,Market_Data!$K$21:INDEX(Market_Data!$K$21:$K$613,COUNT(Market_Data!$K$21:$K$613)),1)),""))</f>
        <v/>
      </c>
      <c r="F810" s="145" t="str">
        <f ca="1">IF($A810="","",IFERROR(INDEX(Market_Data!$O$21:$O$613,MATCH($A810,Market_Data!$N$21:INDEX(Market_Data!$N$21:$N$613,COUNT(Market_Data!$N$21:$N$613)),1)),""))</f>
        <v/>
      </c>
      <c r="G810" s="145" t="str">
        <f ca="1">IF($A810="","",IFERROR(INDEX(Market_Data!$R$21:$R$613,MATCH($A810,Market_Data!$Q$21:INDEX(Market_Data!$Q$21:$Q$613,COUNT(Market_Data!$Q$21:$Q$613)),1)),""))</f>
        <v/>
      </c>
      <c r="H810" s="145" t="str">
        <f ca="1">IF($A810="","",IFERROR(INDEX(Market_Data!$U$21:$U$613,MATCH($A810,Market_Data!$T$21:INDEX(Market_Data!$T$21:$T$613,COUNT(Market_Data!$T$21:$T$613)),1)),""))</f>
        <v/>
      </c>
      <c r="I810" s="146" t="str">
        <f ca="1">IF($A810="","",IFERROR(INDEX(Query1[Close],MATCH($A810,Query1[Date],1)),""))</f>
        <v/>
      </c>
    </row>
    <row r="811" spans="1:9" x14ac:dyDescent="0.3">
      <c r="A811" s="144" t="str">
        <f t="shared" ca="1" si="14"/>
        <v/>
      </c>
      <c r="B811" s="145" t="str">
        <f ca="1">IF($A811="","",IFERROR(INDEX(Market_Data!$C$21:$C$613,MATCH($A811,Market_Data!$B$21:INDEX(Market_Data!$B$21:$B$613,COUNT(Market_Data!$B$21:$B$613)),1)),""))</f>
        <v/>
      </c>
      <c r="C811" s="145" t="str">
        <f ca="1">IF($A811="","",IFERROR(INDEX(Market_Data!$F$21:$F$613,MATCH($A811,Market_Data!$E$21:INDEX(Market_Data!$E$21:$E$613,COUNT(Market_Data!$E$21:$E$613)),1)),""))</f>
        <v/>
      </c>
      <c r="D811" s="145" t="str">
        <f ca="1">IF($A811="","",IFERROR(INDEX(Market_Data!$I$21:$I$613,MATCH($A811,Market_Data!$H$21:INDEX(Market_Data!$H$21:$H$613,COUNT(Market_Data!$H$21:$H$613)),1)),""))</f>
        <v/>
      </c>
      <c r="E811" s="145" t="str">
        <f ca="1">IF($A811="","",IFERROR(INDEX(Market_Data!$L$21:$L$613,MATCH($A811,Market_Data!$K$21:INDEX(Market_Data!$K$21:$K$613,COUNT(Market_Data!$K$21:$K$613)),1)),""))</f>
        <v/>
      </c>
      <c r="F811" s="145" t="str">
        <f ca="1">IF($A811="","",IFERROR(INDEX(Market_Data!$O$21:$O$613,MATCH($A811,Market_Data!$N$21:INDEX(Market_Data!$N$21:$N$613,COUNT(Market_Data!$N$21:$N$613)),1)),""))</f>
        <v/>
      </c>
      <c r="G811" s="145" t="str">
        <f ca="1">IF($A811="","",IFERROR(INDEX(Market_Data!$R$21:$R$613,MATCH($A811,Market_Data!$Q$21:INDEX(Market_Data!$Q$21:$Q$613,COUNT(Market_Data!$Q$21:$Q$613)),1)),""))</f>
        <v/>
      </c>
      <c r="H811" s="145" t="str">
        <f ca="1">IF($A811="","",IFERROR(INDEX(Market_Data!$U$21:$U$613,MATCH($A811,Market_Data!$T$21:INDEX(Market_Data!$T$21:$T$613,COUNT(Market_Data!$T$21:$T$613)),1)),""))</f>
        <v/>
      </c>
      <c r="I811" s="146" t="str">
        <f ca="1">IF($A811="","",IFERROR(INDEX(Query1[Close],MATCH($A811,Query1[Date],1)),""))</f>
        <v/>
      </c>
    </row>
    <row r="812" spans="1:9" x14ac:dyDescent="0.3">
      <c r="A812" s="144" t="str">
        <f t="shared" ca="1" si="14"/>
        <v/>
      </c>
      <c r="B812" s="145" t="str">
        <f ca="1">IF($A812="","",IFERROR(INDEX(Market_Data!$C$21:$C$613,MATCH($A812,Market_Data!$B$21:INDEX(Market_Data!$B$21:$B$613,COUNT(Market_Data!$B$21:$B$613)),1)),""))</f>
        <v/>
      </c>
      <c r="C812" s="145" t="str">
        <f ca="1">IF($A812="","",IFERROR(INDEX(Market_Data!$F$21:$F$613,MATCH($A812,Market_Data!$E$21:INDEX(Market_Data!$E$21:$E$613,COUNT(Market_Data!$E$21:$E$613)),1)),""))</f>
        <v/>
      </c>
      <c r="D812" s="145" t="str">
        <f ca="1">IF($A812="","",IFERROR(INDEX(Market_Data!$I$21:$I$613,MATCH($A812,Market_Data!$H$21:INDEX(Market_Data!$H$21:$H$613,COUNT(Market_Data!$H$21:$H$613)),1)),""))</f>
        <v/>
      </c>
      <c r="E812" s="145" t="str">
        <f ca="1">IF($A812="","",IFERROR(INDEX(Market_Data!$L$21:$L$613,MATCH($A812,Market_Data!$K$21:INDEX(Market_Data!$K$21:$K$613,COUNT(Market_Data!$K$21:$K$613)),1)),""))</f>
        <v/>
      </c>
      <c r="F812" s="145" t="str">
        <f ca="1">IF($A812="","",IFERROR(INDEX(Market_Data!$O$21:$O$613,MATCH($A812,Market_Data!$N$21:INDEX(Market_Data!$N$21:$N$613,COUNT(Market_Data!$N$21:$N$613)),1)),""))</f>
        <v/>
      </c>
      <c r="G812" s="145" t="str">
        <f ca="1">IF($A812="","",IFERROR(INDEX(Market_Data!$R$21:$R$613,MATCH($A812,Market_Data!$Q$21:INDEX(Market_Data!$Q$21:$Q$613,COUNT(Market_Data!$Q$21:$Q$613)),1)),""))</f>
        <v/>
      </c>
      <c r="H812" s="145" t="str">
        <f ca="1">IF($A812="","",IFERROR(INDEX(Market_Data!$U$21:$U$613,MATCH($A812,Market_Data!$T$21:INDEX(Market_Data!$T$21:$T$613,COUNT(Market_Data!$T$21:$T$613)),1)),""))</f>
        <v/>
      </c>
      <c r="I812" s="146" t="str">
        <f ca="1">IF($A812="","",IFERROR(INDEX(Query1[Close],MATCH($A812,Query1[Date],1)),""))</f>
        <v/>
      </c>
    </row>
    <row r="813" spans="1:9" x14ac:dyDescent="0.3">
      <c r="A813" s="144" t="str">
        <f t="shared" ca="1" si="14"/>
        <v/>
      </c>
      <c r="B813" s="145" t="str">
        <f ca="1">IF($A813="","",IFERROR(INDEX(Market_Data!$C$21:$C$613,MATCH($A813,Market_Data!$B$21:INDEX(Market_Data!$B$21:$B$613,COUNT(Market_Data!$B$21:$B$613)),1)),""))</f>
        <v/>
      </c>
      <c r="C813" s="145" t="str">
        <f ca="1">IF($A813="","",IFERROR(INDEX(Market_Data!$F$21:$F$613,MATCH($A813,Market_Data!$E$21:INDEX(Market_Data!$E$21:$E$613,COUNT(Market_Data!$E$21:$E$613)),1)),""))</f>
        <v/>
      </c>
      <c r="D813" s="145" t="str">
        <f ca="1">IF($A813="","",IFERROR(INDEX(Market_Data!$I$21:$I$613,MATCH($A813,Market_Data!$H$21:INDEX(Market_Data!$H$21:$H$613,COUNT(Market_Data!$H$21:$H$613)),1)),""))</f>
        <v/>
      </c>
      <c r="E813" s="145" t="str">
        <f ca="1">IF($A813="","",IFERROR(INDEX(Market_Data!$L$21:$L$613,MATCH($A813,Market_Data!$K$21:INDEX(Market_Data!$K$21:$K$613,COUNT(Market_Data!$K$21:$K$613)),1)),""))</f>
        <v/>
      </c>
      <c r="F813" s="145" t="str">
        <f ca="1">IF($A813="","",IFERROR(INDEX(Market_Data!$O$21:$O$613,MATCH($A813,Market_Data!$N$21:INDEX(Market_Data!$N$21:$N$613,COUNT(Market_Data!$N$21:$N$613)),1)),""))</f>
        <v/>
      </c>
      <c r="G813" s="145" t="str">
        <f ca="1">IF($A813="","",IFERROR(INDEX(Market_Data!$R$21:$R$613,MATCH($A813,Market_Data!$Q$21:INDEX(Market_Data!$Q$21:$Q$613,COUNT(Market_Data!$Q$21:$Q$613)),1)),""))</f>
        <v/>
      </c>
      <c r="H813" s="145" t="str">
        <f ca="1">IF($A813="","",IFERROR(INDEX(Market_Data!$U$21:$U$613,MATCH($A813,Market_Data!$T$21:INDEX(Market_Data!$T$21:$T$613,COUNT(Market_Data!$T$21:$T$613)),1)),""))</f>
        <v/>
      </c>
      <c r="I813" s="146" t="str">
        <f ca="1">IF($A813="","",IFERROR(INDEX(Query1[Close],MATCH($A813,Query1[Date],1)),""))</f>
        <v/>
      </c>
    </row>
    <row r="814" spans="1:9" x14ac:dyDescent="0.3">
      <c r="A814" s="144" t="str">
        <f t="shared" ca="1" si="14"/>
        <v/>
      </c>
      <c r="B814" s="145" t="str">
        <f ca="1">IF($A814="","",IFERROR(INDEX(Market_Data!$C$21:$C$613,MATCH($A814,Market_Data!$B$21:INDEX(Market_Data!$B$21:$B$613,COUNT(Market_Data!$B$21:$B$613)),1)),""))</f>
        <v/>
      </c>
      <c r="C814" s="145" t="str">
        <f ca="1">IF($A814="","",IFERROR(INDEX(Market_Data!$F$21:$F$613,MATCH($A814,Market_Data!$E$21:INDEX(Market_Data!$E$21:$E$613,COUNT(Market_Data!$E$21:$E$613)),1)),""))</f>
        <v/>
      </c>
      <c r="D814" s="145" t="str">
        <f ca="1">IF($A814="","",IFERROR(INDEX(Market_Data!$I$21:$I$613,MATCH($A814,Market_Data!$H$21:INDEX(Market_Data!$H$21:$H$613,COUNT(Market_Data!$H$21:$H$613)),1)),""))</f>
        <v/>
      </c>
      <c r="E814" s="145" t="str">
        <f ca="1">IF($A814="","",IFERROR(INDEX(Market_Data!$L$21:$L$613,MATCH($A814,Market_Data!$K$21:INDEX(Market_Data!$K$21:$K$613,COUNT(Market_Data!$K$21:$K$613)),1)),""))</f>
        <v/>
      </c>
      <c r="F814" s="145" t="str">
        <f ca="1">IF($A814="","",IFERROR(INDEX(Market_Data!$O$21:$O$613,MATCH($A814,Market_Data!$N$21:INDEX(Market_Data!$N$21:$N$613,COUNT(Market_Data!$N$21:$N$613)),1)),""))</f>
        <v/>
      </c>
      <c r="G814" s="145" t="str">
        <f ca="1">IF($A814="","",IFERROR(INDEX(Market_Data!$R$21:$R$613,MATCH($A814,Market_Data!$Q$21:INDEX(Market_Data!$Q$21:$Q$613,COUNT(Market_Data!$Q$21:$Q$613)),1)),""))</f>
        <v/>
      </c>
      <c r="H814" s="145" t="str">
        <f ca="1">IF($A814="","",IFERROR(INDEX(Market_Data!$U$21:$U$613,MATCH($A814,Market_Data!$T$21:INDEX(Market_Data!$T$21:$T$613,COUNT(Market_Data!$T$21:$T$613)),1)),""))</f>
        <v/>
      </c>
      <c r="I814" s="146" t="str">
        <f ca="1">IF($A814="","",IFERROR(INDEX(Query1[Close],MATCH($A814,Query1[Date],1)),""))</f>
        <v/>
      </c>
    </row>
    <row r="815" spans="1:9" x14ac:dyDescent="0.3">
      <c r="A815" s="144" t="str">
        <f t="shared" ca="1" si="14"/>
        <v/>
      </c>
      <c r="B815" s="145" t="str">
        <f ca="1">IF($A815="","",IFERROR(INDEX(Market_Data!$C$21:$C$613,MATCH($A815,Market_Data!$B$21:INDEX(Market_Data!$B$21:$B$613,COUNT(Market_Data!$B$21:$B$613)),1)),""))</f>
        <v/>
      </c>
      <c r="C815" s="145" t="str">
        <f ca="1">IF($A815="","",IFERROR(INDEX(Market_Data!$F$21:$F$613,MATCH($A815,Market_Data!$E$21:INDEX(Market_Data!$E$21:$E$613,COUNT(Market_Data!$E$21:$E$613)),1)),""))</f>
        <v/>
      </c>
      <c r="D815" s="145" t="str">
        <f ca="1">IF($A815="","",IFERROR(INDEX(Market_Data!$I$21:$I$613,MATCH($A815,Market_Data!$H$21:INDEX(Market_Data!$H$21:$H$613,COUNT(Market_Data!$H$21:$H$613)),1)),""))</f>
        <v/>
      </c>
      <c r="E815" s="145" t="str">
        <f ca="1">IF($A815="","",IFERROR(INDEX(Market_Data!$L$21:$L$613,MATCH($A815,Market_Data!$K$21:INDEX(Market_Data!$K$21:$K$613,COUNT(Market_Data!$K$21:$K$613)),1)),""))</f>
        <v/>
      </c>
      <c r="F815" s="145" t="str">
        <f ca="1">IF($A815="","",IFERROR(INDEX(Market_Data!$O$21:$O$613,MATCH($A815,Market_Data!$N$21:INDEX(Market_Data!$N$21:$N$613,COUNT(Market_Data!$N$21:$N$613)),1)),""))</f>
        <v/>
      </c>
      <c r="G815" s="145" t="str">
        <f ca="1">IF($A815="","",IFERROR(INDEX(Market_Data!$R$21:$R$613,MATCH($A815,Market_Data!$Q$21:INDEX(Market_Data!$Q$21:$Q$613,COUNT(Market_Data!$Q$21:$Q$613)),1)),""))</f>
        <v/>
      </c>
      <c r="H815" s="145" t="str">
        <f ca="1">IF($A815="","",IFERROR(INDEX(Market_Data!$U$21:$U$613,MATCH($A815,Market_Data!$T$21:INDEX(Market_Data!$T$21:$T$613,COUNT(Market_Data!$T$21:$T$613)),1)),""))</f>
        <v/>
      </c>
      <c r="I815" s="146" t="str">
        <f ca="1">IF($A815="","",IFERROR(INDEX(Query1[Close],MATCH($A815,Query1[Date],1)),""))</f>
        <v/>
      </c>
    </row>
    <row r="816" spans="1:9" x14ac:dyDescent="0.3">
      <c r="A816" s="144" t="str">
        <f t="shared" ca="1" si="14"/>
        <v/>
      </c>
      <c r="B816" s="145" t="str">
        <f ca="1">IF($A816="","",IFERROR(INDEX(Market_Data!$C$21:$C$613,MATCH($A816,Market_Data!$B$21:INDEX(Market_Data!$B$21:$B$613,COUNT(Market_Data!$B$21:$B$613)),1)),""))</f>
        <v/>
      </c>
      <c r="C816" s="145" t="str">
        <f ca="1">IF($A816="","",IFERROR(INDEX(Market_Data!$F$21:$F$613,MATCH($A816,Market_Data!$E$21:INDEX(Market_Data!$E$21:$E$613,COUNT(Market_Data!$E$21:$E$613)),1)),""))</f>
        <v/>
      </c>
      <c r="D816" s="145" t="str">
        <f ca="1">IF($A816="","",IFERROR(INDEX(Market_Data!$I$21:$I$613,MATCH($A816,Market_Data!$H$21:INDEX(Market_Data!$H$21:$H$613,COUNT(Market_Data!$H$21:$H$613)),1)),""))</f>
        <v/>
      </c>
      <c r="E816" s="145" t="str">
        <f ca="1">IF($A816="","",IFERROR(INDEX(Market_Data!$L$21:$L$613,MATCH($A816,Market_Data!$K$21:INDEX(Market_Data!$K$21:$K$613,COUNT(Market_Data!$K$21:$K$613)),1)),""))</f>
        <v/>
      </c>
      <c r="F816" s="145" t="str">
        <f ca="1">IF($A816="","",IFERROR(INDEX(Market_Data!$O$21:$O$613,MATCH($A816,Market_Data!$N$21:INDEX(Market_Data!$N$21:$N$613,COUNT(Market_Data!$N$21:$N$613)),1)),""))</f>
        <v/>
      </c>
      <c r="G816" s="145" t="str">
        <f ca="1">IF($A816="","",IFERROR(INDEX(Market_Data!$R$21:$R$613,MATCH($A816,Market_Data!$Q$21:INDEX(Market_Data!$Q$21:$Q$613,COUNT(Market_Data!$Q$21:$Q$613)),1)),""))</f>
        <v/>
      </c>
      <c r="H816" s="145" t="str">
        <f ca="1">IF($A816="","",IFERROR(INDEX(Market_Data!$U$21:$U$613,MATCH($A816,Market_Data!$T$21:INDEX(Market_Data!$T$21:$T$613,COUNT(Market_Data!$T$21:$T$613)),1)),""))</f>
        <v/>
      </c>
      <c r="I816" s="146" t="str">
        <f ca="1">IF($A816="","",IFERROR(INDEX(Query1[Close],MATCH($A816,Query1[Date],1)),""))</f>
        <v/>
      </c>
    </row>
    <row r="817" spans="1:9" x14ac:dyDescent="0.3">
      <c r="A817" s="144" t="str">
        <f t="shared" ca="1" si="14"/>
        <v/>
      </c>
      <c r="B817" s="145" t="str">
        <f ca="1">IF($A817="","",IFERROR(INDEX(Market_Data!$C$21:$C$613,MATCH($A817,Market_Data!$B$21:INDEX(Market_Data!$B$21:$B$613,COUNT(Market_Data!$B$21:$B$613)),1)),""))</f>
        <v/>
      </c>
      <c r="C817" s="145" t="str">
        <f ca="1">IF($A817="","",IFERROR(INDEX(Market_Data!$F$21:$F$613,MATCH($A817,Market_Data!$E$21:INDEX(Market_Data!$E$21:$E$613,COUNT(Market_Data!$E$21:$E$613)),1)),""))</f>
        <v/>
      </c>
      <c r="D817" s="145" t="str">
        <f ca="1">IF($A817="","",IFERROR(INDEX(Market_Data!$I$21:$I$613,MATCH($A817,Market_Data!$H$21:INDEX(Market_Data!$H$21:$H$613,COUNT(Market_Data!$H$21:$H$613)),1)),""))</f>
        <v/>
      </c>
      <c r="E817" s="145" t="str">
        <f ca="1">IF($A817="","",IFERROR(INDEX(Market_Data!$L$21:$L$613,MATCH($A817,Market_Data!$K$21:INDEX(Market_Data!$K$21:$K$613,COUNT(Market_Data!$K$21:$K$613)),1)),""))</f>
        <v/>
      </c>
      <c r="F817" s="145" t="str">
        <f ca="1">IF($A817="","",IFERROR(INDEX(Market_Data!$O$21:$O$613,MATCH($A817,Market_Data!$N$21:INDEX(Market_Data!$N$21:$N$613,COUNT(Market_Data!$N$21:$N$613)),1)),""))</f>
        <v/>
      </c>
      <c r="G817" s="145" t="str">
        <f ca="1">IF($A817="","",IFERROR(INDEX(Market_Data!$R$21:$R$613,MATCH($A817,Market_Data!$Q$21:INDEX(Market_Data!$Q$21:$Q$613,COUNT(Market_Data!$Q$21:$Q$613)),1)),""))</f>
        <v/>
      </c>
      <c r="H817" s="145" t="str">
        <f ca="1">IF($A817="","",IFERROR(INDEX(Market_Data!$U$21:$U$613,MATCH($A817,Market_Data!$T$21:INDEX(Market_Data!$T$21:$T$613,COUNT(Market_Data!$T$21:$T$613)),1)),""))</f>
        <v/>
      </c>
      <c r="I817" s="146" t="str">
        <f ca="1">IF($A817="","",IFERROR(INDEX(Query1[Close],MATCH($A817,Query1[Date],1)),""))</f>
        <v/>
      </c>
    </row>
    <row r="818" spans="1:9" x14ac:dyDescent="0.3">
      <c r="A818" s="144" t="str">
        <f t="shared" ca="1" si="14"/>
        <v/>
      </c>
      <c r="B818" s="145" t="str">
        <f ca="1">IF($A818="","",IFERROR(INDEX(Market_Data!$C$21:$C$613,MATCH($A818,Market_Data!$B$21:INDEX(Market_Data!$B$21:$B$613,COUNT(Market_Data!$B$21:$B$613)),1)),""))</f>
        <v/>
      </c>
      <c r="C818" s="145" t="str">
        <f ca="1">IF($A818="","",IFERROR(INDEX(Market_Data!$F$21:$F$613,MATCH($A818,Market_Data!$E$21:INDEX(Market_Data!$E$21:$E$613,COUNT(Market_Data!$E$21:$E$613)),1)),""))</f>
        <v/>
      </c>
      <c r="D818" s="145" t="str">
        <f ca="1">IF($A818="","",IFERROR(INDEX(Market_Data!$I$21:$I$613,MATCH($A818,Market_Data!$H$21:INDEX(Market_Data!$H$21:$H$613,COUNT(Market_Data!$H$21:$H$613)),1)),""))</f>
        <v/>
      </c>
      <c r="E818" s="145" t="str">
        <f ca="1">IF($A818="","",IFERROR(INDEX(Market_Data!$L$21:$L$613,MATCH($A818,Market_Data!$K$21:INDEX(Market_Data!$K$21:$K$613,COUNT(Market_Data!$K$21:$K$613)),1)),""))</f>
        <v/>
      </c>
      <c r="F818" s="145" t="str">
        <f ca="1">IF($A818="","",IFERROR(INDEX(Market_Data!$O$21:$O$613,MATCH($A818,Market_Data!$N$21:INDEX(Market_Data!$N$21:$N$613,COUNT(Market_Data!$N$21:$N$613)),1)),""))</f>
        <v/>
      </c>
      <c r="G818" s="145" t="str">
        <f ca="1">IF($A818="","",IFERROR(INDEX(Market_Data!$R$21:$R$613,MATCH($A818,Market_Data!$Q$21:INDEX(Market_Data!$Q$21:$Q$613,COUNT(Market_Data!$Q$21:$Q$613)),1)),""))</f>
        <v/>
      </c>
      <c r="H818" s="145" t="str">
        <f ca="1">IF($A818="","",IFERROR(INDEX(Market_Data!$U$21:$U$613,MATCH($A818,Market_Data!$T$21:INDEX(Market_Data!$T$21:$T$613,COUNT(Market_Data!$T$21:$T$613)),1)),""))</f>
        <v/>
      </c>
      <c r="I818" s="146" t="str">
        <f ca="1">IF($A818="","",IFERROR(INDEX(Query1[Close],MATCH($A818,Query1[Date],1)),""))</f>
        <v/>
      </c>
    </row>
    <row r="819" spans="1:9" x14ac:dyDescent="0.3">
      <c r="A819" s="144" t="str">
        <f t="shared" ca="1" si="14"/>
        <v/>
      </c>
      <c r="B819" s="145" t="str">
        <f ca="1">IF($A819="","",IFERROR(INDEX(Market_Data!$C$21:$C$613,MATCH($A819,Market_Data!$B$21:INDEX(Market_Data!$B$21:$B$613,COUNT(Market_Data!$B$21:$B$613)),1)),""))</f>
        <v/>
      </c>
      <c r="C819" s="145" t="str">
        <f ca="1">IF($A819="","",IFERROR(INDEX(Market_Data!$F$21:$F$613,MATCH($A819,Market_Data!$E$21:INDEX(Market_Data!$E$21:$E$613,COUNT(Market_Data!$E$21:$E$613)),1)),""))</f>
        <v/>
      </c>
      <c r="D819" s="145" t="str">
        <f ca="1">IF($A819="","",IFERROR(INDEX(Market_Data!$I$21:$I$613,MATCH($A819,Market_Data!$H$21:INDEX(Market_Data!$H$21:$H$613,COUNT(Market_Data!$H$21:$H$613)),1)),""))</f>
        <v/>
      </c>
      <c r="E819" s="145" t="str">
        <f ca="1">IF($A819="","",IFERROR(INDEX(Market_Data!$L$21:$L$613,MATCH($A819,Market_Data!$K$21:INDEX(Market_Data!$K$21:$K$613,COUNT(Market_Data!$K$21:$K$613)),1)),""))</f>
        <v/>
      </c>
      <c r="F819" s="145" t="str">
        <f ca="1">IF($A819="","",IFERROR(INDEX(Market_Data!$O$21:$O$613,MATCH($A819,Market_Data!$N$21:INDEX(Market_Data!$N$21:$N$613,COUNT(Market_Data!$N$21:$N$613)),1)),""))</f>
        <v/>
      </c>
      <c r="G819" s="145" t="str">
        <f ca="1">IF($A819="","",IFERROR(INDEX(Market_Data!$R$21:$R$613,MATCH($A819,Market_Data!$Q$21:INDEX(Market_Data!$Q$21:$Q$613,COUNT(Market_Data!$Q$21:$Q$613)),1)),""))</f>
        <v/>
      </c>
      <c r="H819" s="145" t="str">
        <f ca="1">IF($A819="","",IFERROR(INDEX(Market_Data!$U$21:$U$613,MATCH($A819,Market_Data!$T$21:INDEX(Market_Data!$T$21:$T$613,COUNT(Market_Data!$T$21:$T$613)),1)),""))</f>
        <v/>
      </c>
      <c r="I819" s="146" t="str">
        <f ca="1">IF($A819="","",IFERROR(INDEX(Query1[Close],MATCH($A819,Query1[Date],1)),""))</f>
        <v/>
      </c>
    </row>
    <row r="820" spans="1:9" x14ac:dyDescent="0.3">
      <c r="A820" s="144" t="str">
        <f t="shared" ca="1" si="14"/>
        <v/>
      </c>
      <c r="B820" s="145" t="str">
        <f ca="1">IF($A820="","",IFERROR(INDEX(Market_Data!$C$21:$C$613,MATCH($A820,Market_Data!$B$21:INDEX(Market_Data!$B$21:$B$613,COUNT(Market_Data!$B$21:$B$613)),1)),""))</f>
        <v/>
      </c>
      <c r="C820" s="145" t="str">
        <f ca="1">IF($A820="","",IFERROR(INDEX(Market_Data!$F$21:$F$613,MATCH($A820,Market_Data!$E$21:INDEX(Market_Data!$E$21:$E$613,COUNT(Market_Data!$E$21:$E$613)),1)),""))</f>
        <v/>
      </c>
      <c r="D820" s="145" t="str">
        <f ca="1">IF($A820="","",IFERROR(INDEX(Market_Data!$I$21:$I$613,MATCH($A820,Market_Data!$H$21:INDEX(Market_Data!$H$21:$H$613,COUNT(Market_Data!$H$21:$H$613)),1)),""))</f>
        <v/>
      </c>
      <c r="E820" s="145" t="str">
        <f ca="1">IF($A820="","",IFERROR(INDEX(Market_Data!$L$21:$L$613,MATCH($A820,Market_Data!$K$21:INDEX(Market_Data!$K$21:$K$613,COUNT(Market_Data!$K$21:$K$613)),1)),""))</f>
        <v/>
      </c>
      <c r="F820" s="145" t="str">
        <f ca="1">IF($A820="","",IFERROR(INDEX(Market_Data!$O$21:$O$613,MATCH($A820,Market_Data!$N$21:INDEX(Market_Data!$N$21:$N$613,COUNT(Market_Data!$N$21:$N$613)),1)),""))</f>
        <v/>
      </c>
      <c r="G820" s="145" t="str">
        <f ca="1">IF($A820="","",IFERROR(INDEX(Market_Data!$R$21:$R$613,MATCH($A820,Market_Data!$Q$21:INDEX(Market_Data!$Q$21:$Q$613,COUNT(Market_Data!$Q$21:$Q$613)),1)),""))</f>
        <v/>
      </c>
      <c r="H820" s="145" t="str">
        <f ca="1">IF($A820="","",IFERROR(INDEX(Market_Data!$U$21:$U$613,MATCH($A820,Market_Data!$T$21:INDEX(Market_Data!$T$21:$T$613,COUNT(Market_Data!$T$21:$T$613)),1)),""))</f>
        <v/>
      </c>
      <c r="I820" s="146" t="str">
        <f ca="1">IF($A820="","",IFERROR(INDEX(Query1[Close],MATCH($A820,Query1[Date],1)),""))</f>
        <v/>
      </c>
    </row>
    <row r="821" spans="1:9" x14ac:dyDescent="0.3">
      <c r="A821" s="144" t="str">
        <f t="shared" ca="1" si="14"/>
        <v/>
      </c>
      <c r="B821" s="145" t="str">
        <f ca="1">IF($A821="","",IFERROR(INDEX(Market_Data!$C$21:$C$613,MATCH($A821,Market_Data!$B$21:INDEX(Market_Data!$B$21:$B$613,COUNT(Market_Data!$B$21:$B$613)),1)),""))</f>
        <v/>
      </c>
      <c r="C821" s="145" t="str">
        <f ca="1">IF($A821="","",IFERROR(INDEX(Market_Data!$F$21:$F$613,MATCH($A821,Market_Data!$E$21:INDEX(Market_Data!$E$21:$E$613,COUNT(Market_Data!$E$21:$E$613)),1)),""))</f>
        <v/>
      </c>
      <c r="D821" s="145" t="str">
        <f ca="1">IF($A821="","",IFERROR(INDEX(Market_Data!$I$21:$I$613,MATCH($A821,Market_Data!$H$21:INDEX(Market_Data!$H$21:$H$613,COUNT(Market_Data!$H$21:$H$613)),1)),""))</f>
        <v/>
      </c>
      <c r="E821" s="145" t="str">
        <f ca="1">IF($A821="","",IFERROR(INDEX(Market_Data!$L$21:$L$613,MATCH($A821,Market_Data!$K$21:INDEX(Market_Data!$K$21:$K$613,COUNT(Market_Data!$K$21:$K$613)),1)),""))</f>
        <v/>
      </c>
      <c r="F821" s="145" t="str">
        <f ca="1">IF($A821="","",IFERROR(INDEX(Market_Data!$O$21:$O$613,MATCH($A821,Market_Data!$N$21:INDEX(Market_Data!$N$21:$N$613,COUNT(Market_Data!$N$21:$N$613)),1)),""))</f>
        <v/>
      </c>
      <c r="G821" s="145" t="str">
        <f ca="1">IF($A821="","",IFERROR(INDEX(Market_Data!$R$21:$R$613,MATCH($A821,Market_Data!$Q$21:INDEX(Market_Data!$Q$21:$Q$613,COUNT(Market_Data!$Q$21:$Q$613)),1)),""))</f>
        <v/>
      </c>
      <c r="H821" s="145" t="str">
        <f ca="1">IF($A821="","",IFERROR(INDEX(Market_Data!$U$21:$U$613,MATCH($A821,Market_Data!$T$21:INDEX(Market_Data!$T$21:$T$613,COUNT(Market_Data!$T$21:$T$613)),1)),""))</f>
        <v/>
      </c>
      <c r="I821" s="146" t="str">
        <f ca="1">IF($A821="","",IFERROR(INDEX(Query1[Close],MATCH($A821,Query1[Date],1)),""))</f>
        <v/>
      </c>
    </row>
    <row r="822" spans="1:9" x14ac:dyDescent="0.3">
      <c r="A822" s="144" t="str">
        <f t="shared" ca="1" si="14"/>
        <v/>
      </c>
      <c r="B822" s="145" t="str">
        <f ca="1">IF($A822="","",IFERROR(INDEX(Market_Data!$C$21:$C$613,MATCH($A822,Market_Data!$B$21:INDEX(Market_Data!$B$21:$B$613,COUNT(Market_Data!$B$21:$B$613)),1)),""))</f>
        <v/>
      </c>
      <c r="C822" s="145" t="str">
        <f ca="1">IF($A822="","",IFERROR(INDEX(Market_Data!$F$21:$F$613,MATCH($A822,Market_Data!$E$21:INDEX(Market_Data!$E$21:$E$613,COUNT(Market_Data!$E$21:$E$613)),1)),""))</f>
        <v/>
      </c>
      <c r="D822" s="145" t="str">
        <f ca="1">IF($A822="","",IFERROR(INDEX(Market_Data!$I$21:$I$613,MATCH($A822,Market_Data!$H$21:INDEX(Market_Data!$H$21:$H$613,COUNT(Market_Data!$H$21:$H$613)),1)),""))</f>
        <v/>
      </c>
      <c r="E822" s="145" t="str">
        <f ca="1">IF($A822="","",IFERROR(INDEX(Market_Data!$L$21:$L$613,MATCH($A822,Market_Data!$K$21:INDEX(Market_Data!$K$21:$K$613,COUNT(Market_Data!$K$21:$K$613)),1)),""))</f>
        <v/>
      </c>
      <c r="F822" s="145" t="str">
        <f ca="1">IF($A822="","",IFERROR(INDEX(Market_Data!$O$21:$O$613,MATCH($A822,Market_Data!$N$21:INDEX(Market_Data!$N$21:$N$613,COUNT(Market_Data!$N$21:$N$613)),1)),""))</f>
        <v/>
      </c>
      <c r="G822" s="145" t="str">
        <f ca="1">IF($A822="","",IFERROR(INDEX(Market_Data!$R$21:$R$613,MATCH($A822,Market_Data!$Q$21:INDEX(Market_Data!$Q$21:$Q$613,COUNT(Market_Data!$Q$21:$Q$613)),1)),""))</f>
        <v/>
      </c>
      <c r="H822" s="145" t="str">
        <f ca="1">IF($A822="","",IFERROR(INDEX(Market_Data!$U$21:$U$613,MATCH($A822,Market_Data!$T$21:INDEX(Market_Data!$T$21:$T$613,COUNT(Market_Data!$T$21:$T$613)),1)),""))</f>
        <v/>
      </c>
      <c r="I822" s="146" t="str">
        <f ca="1">IF($A822="","",IFERROR(INDEX(Query1[Close],MATCH($A822,Query1[Date],1)),""))</f>
        <v/>
      </c>
    </row>
    <row r="823" spans="1:9" x14ac:dyDescent="0.3">
      <c r="A823" s="144" t="str">
        <f t="shared" ca="1" si="14"/>
        <v/>
      </c>
      <c r="B823" s="145" t="str">
        <f ca="1">IF($A823="","",IFERROR(INDEX(Market_Data!$C$21:$C$613,MATCH($A823,Market_Data!$B$21:INDEX(Market_Data!$B$21:$B$613,COUNT(Market_Data!$B$21:$B$613)),1)),""))</f>
        <v/>
      </c>
      <c r="C823" s="145" t="str">
        <f ca="1">IF($A823="","",IFERROR(INDEX(Market_Data!$F$21:$F$613,MATCH($A823,Market_Data!$E$21:INDEX(Market_Data!$E$21:$E$613,COUNT(Market_Data!$E$21:$E$613)),1)),""))</f>
        <v/>
      </c>
      <c r="D823" s="145" t="str">
        <f ca="1">IF($A823="","",IFERROR(INDEX(Market_Data!$I$21:$I$613,MATCH($A823,Market_Data!$H$21:INDEX(Market_Data!$H$21:$H$613,COUNT(Market_Data!$H$21:$H$613)),1)),""))</f>
        <v/>
      </c>
      <c r="E823" s="145" t="str">
        <f ca="1">IF($A823="","",IFERROR(INDEX(Market_Data!$L$21:$L$613,MATCH($A823,Market_Data!$K$21:INDEX(Market_Data!$K$21:$K$613,COUNT(Market_Data!$K$21:$K$613)),1)),""))</f>
        <v/>
      </c>
      <c r="F823" s="145" t="str">
        <f ca="1">IF($A823="","",IFERROR(INDEX(Market_Data!$O$21:$O$613,MATCH($A823,Market_Data!$N$21:INDEX(Market_Data!$N$21:$N$613,COUNT(Market_Data!$N$21:$N$613)),1)),""))</f>
        <v/>
      </c>
      <c r="G823" s="145" t="str">
        <f ca="1">IF($A823="","",IFERROR(INDEX(Market_Data!$R$21:$R$613,MATCH($A823,Market_Data!$Q$21:INDEX(Market_Data!$Q$21:$Q$613,COUNT(Market_Data!$Q$21:$Q$613)),1)),""))</f>
        <v/>
      </c>
      <c r="H823" s="145" t="str">
        <f ca="1">IF($A823="","",IFERROR(INDEX(Market_Data!$U$21:$U$613,MATCH($A823,Market_Data!$T$21:INDEX(Market_Data!$T$21:$T$613,COUNT(Market_Data!$T$21:$T$613)),1)),""))</f>
        <v/>
      </c>
      <c r="I823" s="146" t="str">
        <f ca="1">IF($A823="","",IFERROR(INDEX(Query1[Close],MATCH($A823,Query1[Date],1)),""))</f>
        <v/>
      </c>
    </row>
    <row r="824" spans="1:9" x14ac:dyDescent="0.3">
      <c r="A824" s="144" t="str">
        <f t="shared" ca="1" si="14"/>
        <v/>
      </c>
      <c r="B824" s="145" t="str">
        <f ca="1">IF($A824="","",IFERROR(INDEX(Market_Data!$C$21:$C$613,MATCH($A824,Market_Data!$B$21:INDEX(Market_Data!$B$21:$B$613,COUNT(Market_Data!$B$21:$B$613)),1)),""))</f>
        <v/>
      </c>
      <c r="C824" s="145" t="str">
        <f ca="1">IF($A824="","",IFERROR(INDEX(Market_Data!$F$21:$F$613,MATCH($A824,Market_Data!$E$21:INDEX(Market_Data!$E$21:$E$613,COUNT(Market_Data!$E$21:$E$613)),1)),""))</f>
        <v/>
      </c>
      <c r="D824" s="145" t="str">
        <f ca="1">IF($A824="","",IFERROR(INDEX(Market_Data!$I$21:$I$613,MATCH($A824,Market_Data!$H$21:INDEX(Market_Data!$H$21:$H$613,COUNT(Market_Data!$H$21:$H$613)),1)),""))</f>
        <v/>
      </c>
      <c r="E824" s="145" t="str">
        <f ca="1">IF($A824="","",IFERROR(INDEX(Market_Data!$L$21:$L$613,MATCH($A824,Market_Data!$K$21:INDEX(Market_Data!$K$21:$K$613,COUNT(Market_Data!$K$21:$K$613)),1)),""))</f>
        <v/>
      </c>
      <c r="F824" s="145" t="str">
        <f ca="1">IF($A824="","",IFERROR(INDEX(Market_Data!$O$21:$O$613,MATCH($A824,Market_Data!$N$21:INDEX(Market_Data!$N$21:$N$613,COUNT(Market_Data!$N$21:$N$613)),1)),""))</f>
        <v/>
      </c>
      <c r="G824" s="145" t="str">
        <f ca="1">IF($A824="","",IFERROR(INDEX(Market_Data!$R$21:$R$613,MATCH($A824,Market_Data!$Q$21:INDEX(Market_Data!$Q$21:$Q$613,COUNT(Market_Data!$Q$21:$Q$613)),1)),""))</f>
        <v/>
      </c>
      <c r="H824" s="145" t="str">
        <f ca="1">IF($A824="","",IFERROR(INDEX(Market_Data!$U$21:$U$613,MATCH($A824,Market_Data!$T$21:INDEX(Market_Data!$T$21:$T$613,COUNT(Market_Data!$T$21:$T$613)),1)),""))</f>
        <v/>
      </c>
      <c r="I824" s="146" t="str">
        <f ca="1">IF($A824="","",IFERROR(INDEX(Query1[Close],MATCH($A824,Query1[Date],1)),""))</f>
        <v/>
      </c>
    </row>
    <row r="825" spans="1:9" x14ac:dyDescent="0.3">
      <c r="A825" s="144" t="str">
        <f t="shared" ca="1" si="14"/>
        <v/>
      </c>
      <c r="B825" s="145" t="str">
        <f ca="1">IF($A825="","",IFERROR(INDEX(Market_Data!$C$21:$C$613,MATCH($A825,Market_Data!$B$21:INDEX(Market_Data!$B$21:$B$613,COUNT(Market_Data!$B$21:$B$613)),1)),""))</f>
        <v/>
      </c>
      <c r="C825" s="145" t="str">
        <f ca="1">IF($A825="","",IFERROR(INDEX(Market_Data!$F$21:$F$613,MATCH($A825,Market_Data!$E$21:INDEX(Market_Data!$E$21:$E$613,COUNT(Market_Data!$E$21:$E$613)),1)),""))</f>
        <v/>
      </c>
      <c r="D825" s="145" t="str">
        <f ca="1">IF($A825="","",IFERROR(INDEX(Market_Data!$I$21:$I$613,MATCH($A825,Market_Data!$H$21:INDEX(Market_Data!$H$21:$H$613,COUNT(Market_Data!$H$21:$H$613)),1)),""))</f>
        <v/>
      </c>
      <c r="E825" s="145" t="str">
        <f ca="1">IF($A825="","",IFERROR(INDEX(Market_Data!$L$21:$L$613,MATCH($A825,Market_Data!$K$21:INDEX(Market_Data!$K$21:$K$613,COUNT(Market_Data!$K$21:$K$613)),1)),""))</f>
        <v/>
      </c>
      <c r="F825" s="145" t="str">
        <f ca="1">IF($A825="","",IFERROR(INDEX(Market_Data!$O$21:$O$613,MATCH($A825,Market_Data!$N$21:INDEX(Market_Data!$N$21:$N$613,COUNT(Market_Data!$N$21:$N$613)),1)),""))</f>
        <v/>
      </c>
      <c r="G825" s="145" t="str">
        <f ca="1">IF($A825="","",IFERROR(INDEX(Market_Data!$R$21:$R$613,MATCH($A825,Market_Data!$Q$21:INDEX(Market_Data!$Q$21:$Q$613,COUNT(Market_Data!$Q$21:$Q$613)),1)),""))</f>
        <v/>
      </c>
      <c r="H825" s="145" t="str">
        <f ca="1">IF($A825="","",IFERROR(INDEX(Market_Data!$U$21:$U$613,MATCH($A825,Market_Data!$T$21:INDEX(Market_Data!$T$21:$T$613,COUNT(Market_Data!$T$21:$T$613)),1)),""))</f>
        <v/>
      </c>
      <c r="I825" s="146" t="str">
        <f ca="1">IF($A825="","",IFERROR(INDEX(Query1[Close],MATCH($A825,Query1[Date],1)),""))</f>
        <v/>
      </c>
    </row>
    <row r="826" spans="1:9" x14ac:dyDescent="0.3">
      <c r="A826" s="144" t="str">
        <f t="shared" ca="1" si="14"/>
        <v/>
      </c>
      <c r="B826" s="145" t="str">
        <f ca="1">IF($A826="","",IFERROR(INDEX(Market_Data!$C$21:$C$613,MATCH($A826,Market_Data!$B$21:INDEX(Market_Data!$B$21:$B$613,COUNT(Market_Data!$B$21:$B$613)),1)),""))</f>
        <v/>
      </c>
      <c r="C826" s="145" t="str">
        <f ca="1">IF($A826="","",IFERROR(INDEX(Market_Data!$F$21:$F$613,MATCH($A826,Market_Data!$E$21:INDEX(Market_Data!$E$21:$E$613,COUNT(Market_Data!$E$21:$E$613)),1)),""))</f>
        <v/>
      </c>
      <c r="D826" s="145" t="str">
        <f ca="1">IF($A826="","",IFERROR(INDEX(Market_Data!$I$21:$I$613,MATCH($A826,Market_Data!$H$21:INDEX(Market_Data!$H$21:$H$613,COUNT(Market_Data!$H$21:$H$613)),1)),""))</f>
        <v/>
      </c>
      <c r="E826" s="145" t="str">
        <f ca="1">IF($A826="","",IFERROR(INDEX(Market_Data!$L$21:$L$613,MATCH($A826,Market_Data!$K$21:INDEX(Market_Data!$K$21:$K$613,COUNT(Market_Data!$K$21:$K$613)),1)),""))</f>
        <v/>
      </c>
      <c r="F826" s="145" t="str">
        <f ca="1">IF($A826="","",IFERROR(INDEX(Market_Data!$O$21:$O$613,MATCH($A826,Market_Data!$N$21:INDEX(Market_Data!$N$21:$N$613,COUNT(Market_Data!$N$21:$N$613)),1)),""))</f>
        <v/>
      </c>
      <c r="G826" s="145" t="str">
        <f ca="1">IF($A826="","",IFERROR(INDEX(Market_Data!$R$21:$R$613,MATCH($A826,Market_Data!$Q$21:INDEX(Market_Data!$Q$21:$Q$613,COUNT(Market_Data!$Q$21:$Q$613)),1)),""))</f>
        <v/>
      </c>
      <c r="H826" s="145" t="str">
        <f ca="1">IF($A826="","",IFERROR(INDEX(Market_Data!$U$21:$U$613,MATCH($A826,Market_Data!$T$21:INDEX(Market_Data!$T$21:$T$613,COUNT(Market_Data!$T$21:$T$613)),1)),""))</f>
        <v/>
      </c>
      <c r="I826" s="146" t="str">
        <f ca="1">IF($A826="","",IFERROR(INDEX(Query1[Close],MATCH($A826,Query1[Date],1)),""))</f>
        <v/>
      </c>
    </row>
    <row r="827" spans="1:9" x14ac:dyDescent="0.3">
      <c r="A827" s="144" t="str">
        <f t="shared" ca="1" si="14"/>
        <v/>
      </c>
      <c r="B827" s="145" t="str">
        <f ca="1">IF($A827="","",IFERROR(INDEX(Market_Data!$C$21:$C$613,MATCH($A827,Market_Data!$B$21:INDEX(Market_Data!$B$21:$B$613,COUNT(Market_Data!$B$21:$B$613)),1)),""))</f>
        <v/>
      </c>
      <c r="C827" s="145" t="str">
        <f ca="1">IF($A827="","",IFERROR(INDEX(Market_Data!$F$21:$F$613,MATCH($A827,Market_Data!$E$21:INDEX(Market_Data!$E$21:$E$613,COUNT(Market_Data!$E$21:$E$613)),1)),""))</f>
        <v/>
      </c>
      <c r="D827" s="145" t="str">
        <f ca="1">IF($A827="","",IFERROR(INDEX(Market_Data!$I$21:$I$613,MATCH($A827,Market_Data!$H$21:INDEX(Market_Data!$H$21:$H$613,COUNT(Market_Data!$H$21:$H$613)),1)),""))</f>
        <v/>
      </c>
      <c r="E827" s="145" t="str">
        <f ca="1">IF($A827="","",IFERROR(INDEX(Market_Data!$L$21:$L$613,MATCH($A827,Market_Data!$K$21:INDEX(Market_Data!$K$21:$K$613,COUNT(Market_Data!$K$21:$K$613)),1)),""))</f>
        <v/>
      </c>
      <c r="F827" s="145" t="str">
        <f ca="1">IF($A827="","",IFERROR(INDEX(Market_Data!$O$21:$O$613,MATCH($A827,Market_Data!$N$21:INDEX(Market_Data!$N$21:$N$613,COUNT(Market_Data!$N$21:$N$613)),1)),""))</f>
        <v/>
      </c>
      <c r="G827" s="145" t="str">
        <f ca="1">IF($A827="","",IFERROR(INDEX(Market_Data!$R$21:$R$613,MATCH($A827,Market_Data!$Q$21:INDEX(Market_Data!$Q$21:$Q$613,COUNT(Market_Data!$Q$21:$Q$613)),1)),""))</f>
        <v/>
      </c>
      <c r="H827" s="145" t="str">
        <f ca="1">IF($A827="","",IFERROR(INDEX(Market_Data!$U$21:$U$613,MATCH($A827,Market_Data!$T$21:INDEX(Market_Data!$T$21:$T$613,COUNT(Market_Data!$T$21:$T$613)),1)),""))</f>
        <v/>
      </c>
      <c r="I827" s="146" t="str">
        <f ca="1">IF($A827="","",IFERROR(INDEX(Query1[Close],MATCH($A827,Query1[Date],1)),""))</f>
        <v/>
      </c>
    </row>
    <row r="828" spans="1:9" x14ac:dyDescent="0.3">
      <c r="A828" s="144" t="str">
        <f t="shared" ca="1" si="14"/>
        <v/>
      </c>
      <c r="B828" s="145" t="str">
        <f ca="1">IF($A828="","",IFERROR(INDEX(Market_Data!$C$21:$C$613,MATCH($A828,Market_Data!$B$21:INDEX(Market_Data!$B$21:$B$613,COUNT(Market_Data!$B$21:$B$613)),1)),""))</f>
        <v/>
      </c>
      <c r="C828" s="145" t="str">
        <f ca="1">IF($A828="","",IFERROR(INDEX(Market_Data!$F$21:$F$613,MATCH($A828,Market_Data!$E$21:INDEX(Market_Data!$E$21:$E$613,COUNT(Market_Data!$E$21:$E$613)),1)),""))</f>
        <v/>
      </c>
      <c r="D828" s="145" t="str">
        <f ca="1">IF($A828="","",IFERROR(INDEX(Market_Data!$I$21:$I$613,MATCH($A828,Market_Data!$H$21:INDEX(Market_Data!$H$21:$H$613,COUNT(Market_Data!$H$21:$H$613)),1)),""))</f>
        <v/>
      </c>
      <c r="E828" s="145" t="str">
        <f ca="1">IF($A828="","",IFERROR(INDEX(Market_Data!$L$21:$L$613,MATCH($A828,Market_Data!$K$21:INDEX(Market_Data!$K$21:$K$613,COUNT(Market_Data!$K$21:$K$613)),1)),""))</f>
        <v/>
      </c>
      <c r="F828" s="145" t="str">
        <f ca="1">IF($A828="","",IFERROR(INDEX(Market_Data!$O$21:$O$613,MATCH($A828,Market_Data!$N$21:INDEX(Market_Data!$N$21:$N$613,COUNT(Market_Data!$N$21:$N$613)),1)),""))</f>
        <v/>
      </c>
      <c r="G828" s="145" t="str">
        <f ca="1">IF($A828="","",IFERROR(INDEX(Market_Data!$R$21:$R$613,MATCH($A828,Market_Data!$Q$21:INDEX(Market_Data!$Q$21:$Q$613,COUNT(Market_Data!$Q$21:$Q$613)),1)),""))</f>
        <v/>
      </c>
      <c r="H828" s="145" t="str">
        <f ca="1">IF($A828="","",IFERROR(INDEX(Market_Data!$U$21:$U$613,MATCH($A828,Market_Data!$T$21:INDEX(Market_Data!$T$21:$T$613,COUNT(Market_Data!$T$21:$T$613)),1)),""))</f>
        <v/>
      </c>
      <c r="I828" s="146" t="str">
        <f ca="1">IF($A828="","",IFERROR(INDEX(Query1[Close],MATCH($A828,Query1[Date],1)),""))</f>
        <v/>
      </c>
    </row>
    <row r="829" spans="1:9" x14ac:dyDescent="0.3">
      <c r="A829" s="144" t="str">
        <f t="shared" ca="1" si="14"/>
        <v/>
      </c>
      <c r="B829" s="145" t="str">
        <f ca="1">IF($A829="","",IFERROR(INDEX(Market_Data!$C$21:$C$613,MATCH($A829,Market_Data!$B$21:INDEX(Market_Data!$B$21:$B$613,COUNT(Market_Data!$B$21:$B$613)),1)),""))</f>
        <v/>
      </c>
      <c r="C829" s="145" t="str">
        <f ca="1">IF($A829="","",IFERROR(INDEX(Market_Data!$F$21:$F$613,MATCH($A829,Market_Data!$E$21:INDEX(Market_Data!$E$21:$E$613,COUNT(Market_Data!$E$21:$E$613)),1)),""))</f>
        <v/>
      </c>
      <c r="D829" s="145" t="str">
        <f ca="1">IF($A829="","",IFERROR(INDEX(Market_Data!$I$21:$I$613,MATCH($A829,Market_Data!$H$21:INDEX(Market_Data!$H$21:$H$613,COUNT(Market_Data!$H$21:$H$613)),1)),""))</f>
        <v/>
      </c>
      <c r="E829" s="145" t="str">
        <f ca="1">IF($A829="","",IFERROR(INDEX(Market_Data!$L$21:$L$613,MATCH($A829,Market_Data!$K$21:INDEX(Market_Data!$K$21:$K$613,COUNT(Market_Data!$K$21:$K$613)),1)),""))</f>
        <v/>
      </c>
      <c r="F829" s="145" t="str">
        <f ca="1">IF($A829="","",IFERROR(INDEX(Market_Data!$O$21:$O$613,MATCH($A829,Market_Data!$N$21:INDEX(Market_Data!$N$21:$N$613,COUNT(Market_Data!$N$21:$N$613)),1)),""))</f>
        <v/>
      </c>
      <c r="G829" s="145" t="str">
        <f ca="1">IF($A829="","",IFERROR(INDEX(Market_Data!$R$21:$R$613,MATCH($A829,Market_Data!$Q$21:INDEX(Market_Data!$Q$21:$Q$613,COUNT(Market_Data!$Q$21:$Q$613)),1)),""))</f>
        <v/>
      </c>
      <c r="H829" s="145" t="str">
        <f ca="1">IF($A829="","",IFERROR(INDEX(Market_Data!$U$21:$U$613,MATCH($A829,Market_Data!$T$21:INDEX(Market_Data!$T$21:$T$613,COUNT(Market_Data!$T$21:$T$613)),1)),""))</f>
        <v/>
      </c>
      <c r="I829" s="146" t="str">
        <f ca="1">IF($A829="","",IFERROR(INDEX(Query1[Close],MATCH($A829,Query1[Date],1)),""))</f>
        <v/>
      </c>
    </row>
    <row r="830" spans="1:9" x14ac:dyDescent="0.3">
      <c r="A830" s="144" t="str">
        <f t="shared" ca="1" si="14"/>
        <v/>
      </c>
      <c r="B830" s="145" t="str">
        <f ca="1">IF($A830="","",IFERROR(INDEX(Market_Data!$C$21:$C$613,MATCH($A830,Market_Data!$B$21:INDEX(Market_Data!$B$21:$B$613,COUNT(Market_Data!$B$21:$B$613)),1)),""))</f>
        <v/>
      </c>
      <c r="C830" s="145" t="str">
        <f ca="1">IF($A830="","",IFERROR(INDEX(Market_Data!$F$21:$F$613,MATCH($A830,Market_Data!$E$21:INDEX(Market_Data!$E$21:$E$613,COUNT(Market_Data!$E$21:$E$613)),1)),""))</f>
        <v/>
      </c>
      <c r="D830" s="145" t="str">
        <f ca="1">IF($A830="","",IFERROR(INDEX(Market_Data!$I$21:$I$613,MATCH($A830,Market_Data!$H$21:INDEX(Market_Data!$H$21:$H$613,COUNT(Market_Data!$H$21:$H$613)),1)),""))</f>
        <v/>
      </c>
      <c r="E830" s="145" t="str">
        <f ca="1">IF($A830="","",IFERROR(INDEX(Market_Data!$L$21:$L$613,MATCH($A830,Market_Data!$K$21:INDEX(Market_Data!$K$21:$K$613,COUNT(Market_Data!$K$21:$K$613)),1)),""))</f>
        <v/>
      </c>
      <c r="F830" s="145" t="str">
        <f ca="1">IF($A830="","",IFERROR(INDEX(Market_Data!$O$21:$O$613,MATCH($A830,Market_Data!$N$21:INDEX(Market_Data!$N$21:$N$613,COUNT(Market_Data!$N$21:$N$613)),1)),""))</f>
        <v/>
      </c>
      <c r="G830" s="145" t="str">
        <f ca="1">IF($A830="","",IFERROR(INDEX(Market_Data!$R$21:$R$613,MATCH($A830,Market_Data!$Q$21:INDEX(Market_Data!$Q$21:$Q$613,COUNT(Market_Data!$Q$21:$Q$613)),1)),""))</f>
        <v/>
      </c>
      <c r="H830" s="145" t="str">
        <f ca="1">IF($A830="","",IFERROR(INDEX(Market_Data!$U$21:$U$613,MATCH($A830,Market_Data!$T$21:INDEX(Market_Data!$T$21:$T$613,COUNT(Market_Data!$T$21:$T$613)),1)),""))</f>
        <v/>
      </c>
      <c r="I830" s="146" t="str">
        <f ca="1">IF($A830="","",IFERROR(INDEX(Query1[Close],MATCH($A830,Query1[Date],1)),""))</f>
        <v/>
      </c>
    </row>
    <row r="831" spans="1:9" x14ac:dyDescent="0.3">
      <c r="A831" s="144" t="str">
        <f t="shared" ca="1" si="14"/>
        <v/>
      </c>
      <c r="B831" s="145" t="str">
        <f ca="1">IF($A831="","",IFERROR(INDEX(Market_Data!$C$21:$C$613,MATCH($A831,Market_Data!$B$21:INDEX(Market_Data!$B$21:$B$613,COUNT(Market_Data!$B$21:$B$613)),1)),""))</f>
        <v/>
      </c>
      <c r="C831" s="145" t="str">
        <f ca="1">IF($A831="","",IFERROR(INDEX(Market_Data!$F$21:$F$613,MATCH($A831,Market_Data!$E$21:INDEX(Market_Data!$E$21:$E$613,COUNT(Market_Data!$E$21:$E$613)),1)),""))</f>
        <v/>
      </c>
      <c r="D831" s="145" t="str">
        <f ca="1">IF($A831="","",IFERROR(INDEX(Market_Data!$I$21:$I$613,MATCH($A831,Market_Data!$H$21:INDEX(Market_Data!$H$21:$H$613,COUNT(Market_Data!$H$21:$H$613)),1)),""))</f>
        <v/>
      </c>
      <c r="E831" s="145" t="str">
        <f ca="1">IF($A831="","",IFERROR(INDEX(Market_Data!$L$21:$L$613,MATCH($A831,Market_Data!$K$21:INDEX(Market_Data!$K$21:$K$613,COUNT(Market_Data!$K$21:$K$613)),1)),""))</f>
        <v/>
      </c>
      <c r="F831" s="145" t="str">
        <f ca="1">IF($A831="","",IFERROR(INDEX(Market_Data!$O$21:$O$613,MATCH($A831,Market_Data!$N$21:INDEX(Market_Data!$N$21:$N$613,COUNT(Market_Data!$N$21:$N$613)),1)),""))</f>
        <v/>
      </c>
      <c r="G831" s="145" t="str">
        <f ca="1">IF($A831="","",IFERROR(INDEX(Market_Data!$R$21:$R$613,MATCH($A831,Market_Data!$Q$21:INDEX(Market_Data!$Q$21:$Q$613,COUNT(Market_Data!$Q$21:$Q$613)),1)),""))</f>
        <v/>
      </c>
      <c r="H831" s="145" t="str">
        <f ca="1">IF($A831="","",IFERROR(INDEX(Market_Data!$U$21:$U$613,MATCH($A831,Market_Data!$T$21:INDEX(Market_Data!$T$21:$T$613,COUNT(Market_Data!$T$21:$T$613)),1)),""))</f>
        <v/>
      </c>
      <c r="I831" s="146" t="str">
        <f ca="1">IF($A831="","",IFERROR(INDEX(Query1[Close],MATCH($A831,Query1[Date],1)),""))</f>
        <v/>
      </c>
    </row>
    <row r="832" spans="1:9" x14ac:dyDescent="0.3">
      <c r="A832" s="144" t="str">
        <f t="shared" ca="1" si="14"/>
        <v/>
      </c>
      <c r="B832" s="145" t="str">
        <f ca="1">IF($A832="","",IFERROR(INDEX(Market_Data!$C$21:$C$613,MATCH($A832,Market_Data!$B$21:INDEX(Market_Data!$B$21:$B$613,COUNT(Market_Data!$B$21:$B$613)),1)),""))</f>
        <v/>
      </c>
      <c r="C832" s="145" t="str">
        <f ca="1">IF($A832="","",IFERROR(INDEX(Market_Data!$F$21:$F$613,MATCH($A832,Market_Data!$E$21:INDEX(Market_Data!$E$21:$E$613,COUNT(Market_Data!$E$21:$E$613)),1)),""))</f>
        <v/>
      </c>
      <c r="D832" s="145" t="str">
        <f ca="1">IF($A832="","",IFERROR(INDEX(Market_Data!$I$21:$I$613,MATCH($A832,Market_Data!$H$21:INDEX(Market_Data!$H$21:$H$613,COUNT(Market_Data!$H$21:$H$613)),1)),""))</f>
        <v/>
      </c>
      <c r="E832" s="145" t="str">
        <f ca="1">IF($A832="","",IFERROR(INDEX(Market_Data!$L$21:$L$613,MATCH($A832,Market_Data!$K$21:INDEX(Market_Data!$K$21:$K$613,COUNT(Market_Data!$K$21:$K$613)),1)),""))</f>
        <v/>
      </c>
      <c r="F832" s="145" t="str">
        <f ca="1">IF($A832="","",IFERROR(INDEX(Market_Data!$O$21:$O$613,MATCH($A832,Market_Data!$N$21:INDEX(Market_Data!$N$21:$N$613,COUNT(Market_Data!$N$21:$N$613)),1)),""))</f>
        <v/>
      </c>
      <c r="G832" s="145" t="str">
        <f ca="1">IF($A832="","",IFERROR(INDEX(Market_Data!$R$21:$R$613,MATCH($A832,Market_Data!$Q$21:INDEX(Market_Data!$Q$21:$Q$613,COUNT(Market_Data!$Q$21:$Q$613)),1)),""))</f>
        <v/>
      </c>
      <c r="H832" s="145" t="str">
        <f ca="1">IF($A832="","",IFERROR(INDEX(Market_Data!$U$21:$U$613,MATCH($A832,Market_Data!$T$21:INDEX(Market_Data!$T$21:$T$613,COUNT(Market_Data!$T$21:$T$613)),1)),""))</f>
        <v/>
      </c>
      <c r="I832" s="146" t="str">
        <f ca="1">IF($A832="","",IFERROR(INDEX(Query1[Close],MATCH($A832,Query1[Date],1)),""))</f>
        <v/>
      </c>
    </row>
    <row r="833" spans="1:9" x14ac:dyDescent="0.3">
      <c r="A833" s="144" t="str">
        <f t="shared" ca="1" si="14"/>
        <v/>
      </c>
      <c r="B833" s="145" t="str">
        <f ca="1">IF($A833="","",IFERROR(INDEX(Market_Data!$C$21:$C$613,MATCH($A833,Market_Data!$B$21:INDEX(Market_Data!$B$21:$B$613,COUNT(Market_Data!$B$21:$B$613)),1)),""))</f>
        <v/>
      </c>
      <c r="C833" s="145" t="str">
        <f ca="1">IF($A833="","",IFERROR(INDEX(Market_Data!$F$21:$F$613,MATCH($A833,Market_Data!$E$21:INDEX(Market_Data!$E$21:$E$613,COUNT(Market_Data!$E$21:$E$613)),1)),""))</f>
        <v/>
      </c>
      <c r="D833" s="145" t="str">
        <f ca="1">IF($A833="","",IFERROR(INDEX(Market_Data!$I$21:$I$613,MATCH($A833,Market_Data!$H$21:INDEX(Market_Data!$H$21:$H$613,COUNT(Market_Data!$H$21:$H$613)),1)),""))</f>
        <v/>
      </c>
      <c r="E833" s="145" t="str">
        <f ca="1">IF($A833="","",IFERROR(INDEX(Market_Data!$L$21:$L$613,MATCH($A833,Market_Data!$K$21:INDEX(Market_Data!$K$21:$K$613,COUNT(Market_Data!$K$21:$K$613)),1)),""))</f>
        <v/>
      </c>
      <c r="F833" s="145" t="str">
        <f ca="1">IF($A833="","",IFERROR(INDEX(Market_Data!$O$21:$O$613,MATCH($A833,Market_Data!$N$21:INDEX(Market_Data!$N$21:$N$613,COUNT(Market_Data!$N$21:$N$613)),1)),""))</f>
        <v/>
      </c>
      <c r="G833" s="145" t="str">
        <f ca="1">IF($A833="","",IFERROR(INDEX(Market_Data!$R$21:$R$613,MATCH($A833,Market_Data!$Q$21:INDEX(Market_Data!$Q$21:$Q$613,COUNT(Market_Data!$Q$21:$Q$613)),1)),""))</f>
        <v/>
      </c>
      <c r="H833" s="145" t="str">
        <f ca="1">IF($A833="","",IFERROR(INDEX(Market_Data!$U$21:$U$613,MATCH($A833,Market_Data!$T$21:INDEX(Market_Data!$T$21:$T$613,COUNT(Market_Data!$T$21:$T$613)),1)),""))</f>
        <v/>
      </c>
      <c r="I833" s="146" t="str">
        <f ca="1">IF($A833="","",IFERROR(INDEX(Query1[Close],MATCH($A833,Query1[Date],1)),""))</f>
        <v/>
      </c>
    </row>
    <row r="834" spans="1:9" x14ac:dyDescent="0.3">
      <c r="A834" s="144" t="str">
        <f t="shared" ca="1" si="14"/>
        <v/>
      </c>
      <c r="B834" s="145" t="str">
        <f ca="1">IF($A834="","",IFERROR(INDEX(Market_Data!$C$21:$C$613,MATCH($A834,Market_Data!$B$21:INDEX(Market_Data!$B$21:$B$613,COUNT(Market_Data!$B$21:$B$613)),1)),""))</f>
        <v/>
      </c>
      <c r="C834" s="145" t="str">
        <f ca="1">IF($A834="","",IFERROR(INDEX(Market_Data!$F$21:$F$613,MATCH($A834,Market_Data!$E$21:INDEX(Market_Data!$E$21:$E$613,COUNT(Market_Data!$E$21:$E$613)),1)),""))</f>
        <v/>
      </c>
      <c r="D834" s="145" t="str">
        <f ca="1">IF($A834="","",IFERROR(INDEX(Market_Data!$I$21:$I$613,MATCH($A834,Market_Data!$H$21:INDEX(Market_Data!$H$21:$H$613,COUNT(Market_Data!$H$21:$H$613)),1)),""))</f>
        <v/>
      </c>
      <c r="E834" s="145" t="str">
        <f ca="1">IF($A834="","",IFERROR(INDEX(Market_Data!$L$21:$L$613,MATCH($A834,Market_Data!$K$21:INDEX(Market_Data!$K$21:$K$613,COUNT(Market_Data!$K$21:$K$613)),1)),""))</f>
        <v/>
      </c>
      <c r="F834" s="145" t="str">
        <f ca="1">IF($A834="","",IFERROR(INDEX(Market_Data!$O$21:$O$613,MATCH($A834,Market_Data!$N$21:INDEX(Market_Data!$N$21:$N$613,COUNT(Market_Data!$N$21:$N$613)),1)),""))</f>
        <v/>
      </c>
      <c r="G834" s="145" t="str">
        <f ca="1">IF($A834="","",IFERROR(INDEX(Market_Data!$R$21:$R$613,MATCH($A834,Market_Data!$Q$21:INDEX(Market_Data!$Q$21:$Q$613,COUNT(Market_Data!$Q$21:$Q$613)),1)),""))</f>
        <v/>
      </c>
      <c r="H834" s="145" t="str">
        <f ca="1">IF($A834="","",IFERROR(INDEX(Market_Data!$U$21:$U$613,MATCH($A834,Market_Data!$T$21:INDEX(Market_Data!$T$21:$T$613,COUNT(Market_Data!$T$21:$T$613)),1)),""))</f>
        <v/>
      </c>
      <c r="I834" s="146" t="str">
        <f ca="1">IF($A834="","",IFERROR(INDEX(Query1[Close],MATCH($A834,Query1[Date],1)),""))</f>
        <v/>
      </c>
    </row>
    <row r="835" spans="1:9" x14ac:dyDescent="0.3">
      <c r="A835" s="144" t="str">
        <f t="shared" ca="1" si="14"/>
        <v/>
      </c>
      <c r="B835" s="145" t="str">
        <f ca="1">IF($A835="","",IFERROR(INDEX(Market_Data!$C$21:$C$613,MATCH($A835,Market_Data!$B$21:INDEX(Market_Data!$B$21:$B$613,COUNT(Market_Data!$B$21:$B$613)),1)),""))</f>
        <v/>
      </c>
      <c r="C835" s="145" t="str">
        <f ca="1">IF($A835="","",IFERROR(INDEX(Market_Data!$F$21:$F$613,MATCH($A835,Market_Data!$E$21:INDEX(Market_Data!$E$21:$E$613,COUNT(Market_Data!$E$21:$E$613)),1)),""))</f>
        <v/>
      </c>
      <c r="D835" s="145" t="str">
        <f ca="1">IF($A835="","",IFERROR(INDEX(Market_Data!$I$21:$I$613,MATCH($A835,Market_Data!$H$21:INDEX(Market_Data!$H$21:$H$613,COUNT(Market_Data!$H$21:$H$613)),1)),""))</f>
        <v/>
      </c>
      <c r="E835" s="145" t="str">
        <f ca="1">IF($A835="","",IFERROR(INDEX(Market_Data!$L$21:$L$613,MATCH($A835,Market_Data!$K$21:INDEX(Market_Data!$K$21:$K$613,COUNT(Market_Data!$K$21:$K$613)),1)),""))</f>
        <v/>
      </c>
      <c r="F835" s="145" t="str">
        <f ca="1">IF($A835="","",IFERROR(INDEX(Market_Data!$O$21:$O$613,MATCH($A835,Market_Data!$N$21:INDEX(Market_Data!$N$21:$N$613,COUNT(Market_Data!$N$21:$N$613)),1)),""))</f>
        <v/>
      </c>
      <c r="G835" s="145" t="str">
        <f ca="1">IF($A835="","",IFERROR(INDEX(Market_Data!$R$21:$R$613,MATCH($A835,Market_Data!$Q$21:INDEX(Market_Data!$Q$21:$Q$613,COUNT(Market_Data!$Q$21:$Q$613)),1)),""))</f>
        <v/>
      </c>
      <c r="H835" s="145" t="str">
        <f ca="1">IF($A835="","",IFERROR(INDEX(Market_Data!$U$21:$U$613,MATCH($A835,Market_Data!$T$21:INDEX(Market_Data!$T$21:$T$613,COUNT(Market_Data!$T$21:$T$613)),1)),""))</f>
        <v/>
      </c>
      <c r="I835" s="146" t="str">
        <f ca="1">IF($A835="","",IFERROR(INDEX(Query1[Close],MATCH($A835,Query1[Date],1)),""))</f>
        <v/>
      </c>
    </row>
    <row r="836" spans="1:9" x14ac:dyDescent="0.3">
      <c r="A836" s="144" t="str">
        <f t="shared" ca="1" si="14"/>
        <v/>
      </c>
      <c r="B836" s="145" t="str">
        <f ca="1">IF($A836="","",IFERROR(INDEX(Market_Data!$C$21:$C$613,MATCH($A836,Market_Data!$B$21:INDEX(Market_Data!$B$21:$B$613,COUNT(Market_Data!$B$21:$B$613)),1)),""))</f>
        <v/>
      </c>
      <c r="C836" s="145" t="str">
        <f ca="1">IF($A836="","",IFERROR(INDEX(Market_Data!$F$21:$F$613,MATCH($A836,Market_Data!$E$21:INDEX(Market_Data!$E$21:$E$613,COUNT(Market_Data!$E$21:$E$613)),1)),""))</f>
        <v/>
      </c>
      <c r="D836" s="145" t="str">
        <f ca="1">IF($A836="","",IFERROR(INDEX(Market_Data!$I$21:$I$613,MATCH($A836,Market_Data!$H$21:INDEX(Market_Data!$H$21:$H$613,COUNT(Market_Data!$H$21:$H$613)),1)),""))</f>
        <v/>
      </c>
      <c r="E836" s="145" t="str">
        <f ca="1">IF($A836="","",IFERROR(INDEX(Market_Data!$L$21:$L$613,MATCH($A836,Market_Data!$K$21:INDEX(Market_Data!$K$21:$K$613,COUNT(Market_Data!$K$21:$K$613)),1)),""))</f>
        <v/>
      </c>
      <c r="F836" s="145" t="str">
        <f ca="1">IF($A836="","",IFERROR(INDEX(Market_Data!$O$21:$O$613,MATCH($A836,Market_Data!$N$21:INDEX(Market_Data!$N$21:$N$613,COUNT(Market_Data!$N$21:$N$613)),1)),""))</f>
        <v/>
      </c>
      <c r="G836" s="145" t="str">
        <f ca="1">IF($A836="","",IFERROR(INDEX(Market_Data!$R$21:$R$613,MATCH($A836,Market_Data!$Q$21:INDEX(Market_Data!$Q$21:$Q$613,COUNT(Market_Data!$Q$21:$Q$613)),1)),""))</f>
        <v/>
      </c>
      <c r="H836" s="145" t="str">
        <f ca="1">IF($A836="","",IFERROR(INDEX(Market_Data!$U$21:$U$613,MATCH($A836,Market_Data!$T$21:INDEX(Market_Data!$T$21:$T$613,COUNT(Market_Data!$T$21:$T$613)),1)),""))</f>
        <v/>
      </c>
      <c r="I836" s="146" t="str">
        <f ca="1">IF($A836="","",IFERROR(INDEX(Query1[Close],MATCH($A836,Query1[Date],1)),""))</f>
        <v/>
      </c>
    </row>
    <row r="837" spans="1:9" x14ac:dyDescent="0.3">
      <c r="A837" s="144" t="str">
        <f t="shared" ca="1" si="14"/>
        <v/>
      </c>
      <c r="B837" s="145" t="str">
        <f ca="1">IF($A837="","",IFERROR(INDEX(Market_Data!$C$21:$C$613,MATCH($A837,Market_Data!$B$21:INDEX(Market_Data!$B$21:$B$613,COUNT(Market_Data!$B$21:$B$613)),1)),""))</f>
        <v/>
      </c>
      <c r="C837" s="145" t="str">
        <f ca="1">IF($A837="","",IFERROR(INDEX(Market_Data!$F$21:$F$613,MATCH($A837,Market_Data!$E$21:INDEX(Market_Data!$E$21:$E$613,COUNT(Market_Data!$E$21:$E$613)),1)),""))</f>
        <v/>
      </c>
      <c r="D837" s="145" t="str">
        <f ca="1">IF($A837="","",IFERROR(INDEX(Market_Data!$I$21:$I$613,MATCH($A837,Market_Data!$H$21:INDEX(Market_Data!$H$21:$H$613,COUNT(Market_Data!$H$21:$H$613)),1)),""))</f>
        <v/>
      </c>
      <c r="E837" s="145" t="str">
        <f ca="1">IF($A837="","",IFERROR(INDEX(Market_Data!$L$21:$L$613,MATCH($A837,Market_Data!$K$21:INDEX(Market_Data!$K$21:$K$613,COUNT(Market_Data!$K$21:$K$613)),1)),""))</f>
        <v/>
      </c>
      <c r="F837" s="145" t="str">
        <f ca="1">IF($A837="","",IFERROR(INDEX(Market_Data!$O$21:$O$613,MATCH($A837,Market_Data!$N$21:INDEX(Market_Data!$N$21:$N$613,COUNT(Market_Data!$N$21:$N$613)),1)),""))</f>
        <v/>
      </c>
      <c r="G837" s="145" t="str">
        <f ca="1">IF($A837="","",IFERROR(INDEX(Market_Data!$R$21:$R$613,MATCH($A837,Market_Data!$Q$21:INDEX(Market_Data!$Q$21:$Q$613,COUNT(Market_Data!$Q$21:$Q$613)),1)),""))</f>
        <v/>
      </c>
      <c r="H837" s="145" t="str">
        <f ca="1">IF($A837="","",IFERROR(INDEX(Market_Data!$U$21:$U$613,MATCH($A837,Market_Data!$T$21:INDEX(Market_Data!$T$21:$T$613,COUNT(Market_Data!$T$21:$T$613)),1)),""))</f>
        <v/>
      </c>
      <c r="I837" s="146" t="str">
        <f ca="1">IF($A837="","",IFERROR(INDEX(Query1[Close],MATCH($A837,Query1[Date],1)),""))</f>
        <v/>
      </c>
    </row>
    <row r="838" spans="1:9" x14ac:dyDescent="0.3">
      <c r="A838" s="144" t="str">
        <f t="shared" ref="A838:A901" ca="1" si="15">IF($A837="","",IF($A837+7&lt;=TODAY(),$A837+7,""))</f>
        <v/>
      </c>
      <c r="B838" s="145" t="str">
        <f ca="1">IF($A838="","",IFERROR(INDEX(Market_Data!$C$21:$C$613,MATCH($A838,Market_Data!$B$21:INDEX(Market_Data!$B$21:$B$613,COUNT(Market_Data!$B$21:$B$613)),1)),""))</f>
        <v/>
      </c>
      <c r="C838" s="145" t="str">
        <f ca="1">IF($A838="","",IFERROR(INDEX(Market_Data!$F$21:$F$613,MATCH($A838,Market_Data!$E$21:INDEX(Market_Data!$E$21:$E$613,COUNT(Market_Data!$E$21:$E$613)),1)),""))</f>
        <v/>
      </c>
      <c r="D838" s="145" t="str">
        <f ca="1">IF($A838="","",IFERROR(INDEX(Market_Data!$I$21:$I$613,MATCH($A838,Market_Data!$H$21:INDEX(Market_Data!$H$21:$H$613,COUNT(Market_Data!$H$21:$H$613)),1)),""))</f>
        <v/>
      </c>
      <c r="E838" s="145" t="str">
        <f ca="1">IF($A838="","",IFERROR(INDEX(Market_Data!$L$21:$L$613,MATCH($A838,Market_Data!$K$21:INDEX(Market_Data!$K$21:$K$613,COUNT(Market_Data!$K$21:$K$613)),1)),""))</f>
        <v/>
      </c>
      <c r="F838" s="145" t="str">
        <f ca="1">IF($A838="","",IFERROR(INDEX(Market_Data!$O$21:$O$613,MATCH($A838,Market_Data!$N$21:INDEX(Market_Data!$N$21:$N$613,COUNT(Market_Data!$N$21:$N$613)),1)),""))</f>
        <v/>
      </c>
      <c r="G838" s="145" t="str">
        <f ca="1">IF($A838="","",IFERROR(INDEX(Market_Data!$R$21:$R$613,MATCH($A838,Market_Data!$Q$21:INDEX(Market_Data!$Q$21:$Q$613,COUNT(Market_Data!$Q$21:$Q$613)),1)),""))</f>
        <v/>
      </c>
      <c r="H838" s="145" t="str">
        <f ca="1">IF($A838="","",IFERROR(INDEX(Market_Data!$U$21:$U$613,MATCH($A838,Market_Data!$T$21:INDEX(Market_Data!$T$21:$T$613,COUNT(Market_Data!$T$21:$T$613)),1)),""))</f>
        <v/>
      </c>
      <c r="I838" s="146" t="str">
        <f ca="1">IF($A838="","",IFERROR(INDEX(Query1[Close],MATCH($A838,Query1[Date],1)),""))</f>
        <v/>
      </c>
    </row>
    <row r="839" spans="1:9" x14ac:dyDescent="0.3">
      <c r="A839" s="144" t="str">
        <f t="shared" ca="1" si="15"/>
        <v/>
      </c>
      <c r="B839" s="145" t="str">
        <f ca="1">IF($A839="","",IFERROR(INDEX(Market_Data!$C$21:$C$613,MATCH($A839,Market_Data!$B$21:INDEX(Market_Data!$B$21:$B$613,COUNT(Market_Data!$B$21:$B$613)),1)),""))</f>
        <v/>
      </c>
      <c r="C839" s="145" t="str">
        <f ca="1">IF($A839="","",IFERROR(INDEX(Market_Data!$F$21:$F$613,MATCH($A839,Market_Data!$E$21:INDEX(Market_Data!$E$21:$E$613,COUNT(Market_Data!$E$21:$E$613)),1)),""))</f>
        <v/>
      </c>
      <c r="D839" s="145" t="str">
        <f ca="1">IF($A839="","",IFERROR(INDEX(Market_Data!$I$21:$I$613,MATCH($A839,Market_Data!$H$21:INDEX(Market_Data!$H$21:$H$613,COUNT(Market_Data!$H$21:$H$613)),1)),""))</f>
        <v/>
      </c>
      <c r="E839" s="145" t="str">
        <f ca="1">IF($A839="","",IFERROR(INDEX(Market_Data!$L$21:$L$613,MATCH($A839,Market_Data!$K$21:INDEX(Market_Data!$K$21:$K$613,COUNT(Market_Data!$K$21:$K$613)),1)),""))</f>
        <v/>
      </c>
      <c r="F839" s="145" t="str">
        <f ca="1">IF($A839="","",IFERROR(INDEX(Market_Data!$O$21:$O$613,MATCH($A839,Market_Data!$N$21:INDEX(Market_Data!$N$21:$N$613,COUNT(Market_Data!$N$21:$N$613)),1)),""))</f>
        <v/>
      </c>
      <c r="G839" s="145" t="str">
        <f ca="1">IF($A839="","",IFERROR(INDEX(Market_Data!$R$21:$R$613,MATCH($A839,Market_Data!$Q$21:INDEX(Market_Data!$Q$21:$Q$613,COUNT(Market_Data!$Q$21:$Q$613)),1)),""))</f>
        <v/>
      </c>
      <c r="H839" s="145" t="str">
        <f ca="1">IF($A839="","",IFERROR(INDEX(Market_Data!$U$21:$U$613,MATCH($A839,Market_Data!$T$21:INDEX(Market_Data!$T$21:$T$613,COUNT(Market_Data!$T$21:$T$613)),1)),""))</f>
        <v/>
      </c>
      <c r="I839" s="146" t="str">
        <f ca="1">IF($A839="","",IFERROR(INDEX(Query1[Close],MATCH($A839,Query1[Date],1)),""))</f>
        <v/>
      </c>
    </row>
    <row r="840" spans="1:9" x14ac:dyDescent="0.3">
      <c r="A840" s="144" t="str">
        <f t="shared" ca="1" si="15"/>
        <v/>
      </c>
      <c r="B840" s="145" t="str">
        <f ca="1">IF($A840="","",IFERROR(INDEX(Market_Data!$C$21:$C$613,MATCH($A840,Market_Data!$B$21:INDEX(Market_Data!$B$21:$B$613,COUNT(Market_Data!$B$21:$B$613)),1)),""))</f>
        <v/>
      </c>
      <c r="C840" s="145" t="str">
        <f ca="1">IF($A840="","",IFERROR(INDEX(Market_Data!$F$21:$F$613,MATCH($A840,Market_Data!$E$21:INDEX(Market_Data!$E$21:$E$613,COUNT(Market_Data!$E$21:$E$613)),1)),""))</f>
        <v/>
      </c>
      <c r="D840" s="145" t="str">
        <f ca="1">IF($A840="","",IFERROR(INDEX(Market_Data!$I$21:$I$613,MATCH($A840,Market_Data!$H$21:INDEX(Market_Data!$H$21:$H$613,COUNT(Market_Data!$H$21:$H$613)),1)),""))</f>
        <v/>
      </c>
      <c r="E840" s="145" t="str">
        <f ca="1">IF($A840="","",IFERROR(INDEX(Market_Data!$L$21:$L$613,MATCH($A840,Market_Data!$K$21:INDEX(Market_Data!$K$21:$K$613,COUNT(Market_Data!$K$21:$K$613)),1)),""))</f>
        <v/>
      </c>
      <c r="F840" s="145" t="str">
        <f ca="1">IF($A840="","",IFERROR(INDEX(Market_Data!$O$21:$O$613,MATCH($A840,Market_Data!$N$21:INDEX(Market_Data!$N$21:$N$613,COUNT(Market_Data!$N$21:$N$613)),1)),""))</f>
        <v/>
      </c>
      <c r="G840" s="145" t="str">
        <f ca="1">IF($A840="","",IFERROR(INDEX(Market_Data!$R$21:$R$613,MATCH($A840,Market_Data!$Q$21:INDEX(Market_Data!$Q$21:$Q$613,COUNT(Market_Data!$Q$21:$Q$613)),1)),""))</f>
        <v/>
      </c>
      <c r="H840" s="145" t="str">
        <f ca="1">IF($A840="","",IFERROR(INDEX(Market_Data!$U$21:$U$613,MATCH($A840,Market_Data!$T$21:INDEX(Market_Data!$T$21:$T$613,COUNT(Market_Data!$T$21:$T$613)),1)),""))</f>
        <v/>
      </c>
      <c r="I840" s="146" t="str">
        <f ca="1">IF($A840="","",IFERROR(INDEX(Query1[Close],MATCH($A840,Query1[Date],1)),""))</f>
        <v/>
      </c>
    </row>
    <row r="841" spans="1:9" x14ac:dyDescent="0.3">
      <c r="A841" s="144" t="str">
        <f t="shared" ca="1" si="15"/>
        <v/>
      </c>
      <c r="B841" s="145" t="str">
        <f ca="1">IF($A841="","",IFERROR(INDEX(Market_Data!$C$21:$C$613,MATCH($A841,Market_Data!$B$21:INDEX(Market_Data!$B$21:$B$613,COUNT(Market_Data!$B$21:$B$613)),1)),""))</f>
        <v/>
      </c>
      <c r="C841" s="145" t="str">
        <f ca="1">IF($A841="","",IFERROR(INDEX(Market_Data!$F$21:$F$613,MATCH($A841,Market_Data!$E$21:INDEX(Market_Data!$E$21:$E$613,COUNT(Market_Data!$E$21:$E$613)),1)),""))</f>
        <v/>
      </c>
      <c r="D841" s="145" t="str">
        <f ca="1">IF($A841="","",IFERROR(INDEX(Market_Data!$I$21:$I$613,MATCH($A841,Market_Data!$H$21:INDEX(Market_Data!$H$21:$H$613,COUNT(Market_Data!$H$21:$H$613)),1)),""))</f>
        <v/>
      </c>
      <c r="E841" s="145" t="str">
        <f ca="1">IF($A841="","",IFERROR(INDEX(Market_Data!$L$21:$L$613,MATCH($A841,Market_Data!$K$21:INDEX(Market_Data!$K$21:$K$613,COUNT(Market_Data!$K$21:$K$613)),1)),""))</f>
        <v/>
      </c>
      <c r="F841" s="145" t="str">
        <f ca="1">IF($A841="","",IFERROR(INDEX(Market_Data!$O$21:$O$613,MATCH($A841,Market_Data!$N$21:INDEX(Market_Data!$N$21:$N$613,COUNT(Market_Data!$N$21:$N$613)),1)),""))</f>
        <v/>
      </c>
      <c r="G841" s="145" t="str">
        <f ca="1">IF($A841="","",IFERROR(INDEX(Market_Data!$R$21:$R$613,MATCH($A841,Market_Data!$Q$21:INDEX(Market_Data!$Q$21:$Q$613,COUNT(Market_Data!$Q$21:$Q$613)),1)),""))</f>
        <v/>
      </c>
      <c r="H841" s="145" t="str">
        <f ca="1">IF($A841="","",IFERROR(INDEX(Market_Data!$U$21:$U$613,MATCH($A841,Market_Data!$T$21:INDEX(Market_Data!$T$21:$T$613,COUNT(Market_Data!$T$21:$T$613)),1)),""))</f>
        <v/>
      </c>
      <c r="I841" s="146" t="str">
        <f ca="1">IF($A841="","",IFERROR(INDEX(Query1[Close],MATCH($A841,Query1[Date],1)),""))</f>
        <v/>
      </c>
    </row>
    <row r="842" spans="1:9" x14ac:dyDescent="0.3">
      <c r="A842" s="144" t="str">
        <f t="shared" ca="1" si="15"/>
        <v/>
      </c>
      <c r="B842" s="145" t="str">
        <f ca="1">IF($A842="","",IFERROR(INDEX(Market_Data!$C$21:$C$613,MATCH($A842,Market_Data!$B$21:INDEX(Market_Data!$B$21:$B$613,COUNT(Market_Data!$B$21:$B$613)),1)),""))</f>
        <v/>
      </c>
      <c r="C842" s="145" t="str">
        <f ca="1">IF($A842="","",IFERROR(INDEX(Market_Data!$F$21:$F$613,MATCH($A842,Market_Data!$E$21:INDEX(Market_Data!$E$21:$E$613,COUNT(Market_Data!$E$21:$E$613)),1)),""))</f>
        <v/>
      </c>
      <c r="D842" s="145" t="str">
        <f ca="1">IF($A842="","",IFERROR(INDEX(Market_Data!$I$21:$I$613,MATCH($A842,Market_Data!$H$21:INDEX(Market_Data!$H$21:$H$613,COUNT(Market_Data!$H$21:$H$613)),1)),""))</f>
        <v/>
      </c>
      <c r="E842" s="145" t="str">
        <f ca="1">IF($A842="","",IFERROR(INDEX(Market_Data!$L$21:$L$613,MATCH($A842,Market_Data!$K$21:INDEX(Market_Data!$K$21:$K$613,COUNT(Market_Data!$K$21:$K$613)),1)),""))</f>
        <v/>
      </c>
      <c r="F842" s="145" t="str">
        <f ca="1">IF($A842="","",IFERROR(INDEX(Market_Data!$O$21:$O$613,MATCH($A842,Market_Data!$N$21:INDEX(Market_Data!$N$21:$N$613,COUNT(Market_Data!$N$21:$N$613)),1)),""))</f>
        <v/>
      </c>
      <c r="G842" s="145" t="str">
        <f ca="1">IF($A842="","",IFERROR(INDEX(Market_Data!$R$21:$R$613,MATCH($A842,Market_Data!$Q$21:INDEX(Market_Data!$Q$21:$Q$613,COUNT(Market_Data!$Q$21:$Q$613)),1)),""))</f>
        <v/>
      </c>
      <c r="H842" s="145" t="str">
        <f ca="1">IF($A842="","",IFERROR(INDEX(Market_Data!$U$21:$U$613,MATCH($A842,Market_Data!$T$21:INDEX(Market_Data!$T$21:$T$613,COUNT(Market_Data!$T$21:$T$613)),1)),""))</f>
        <v/>
      </c>
      <c r="I842" s="146" t="str">
        <f ca="1">IF($A842="","",IFERROR(INDEX(Query1[Close],MATCH($A842,Query1[Date],1)),""))</f>
        <v/>
      </c>
    </row>
    <row r="843" spans="1:9" x14ac:dyDescent="0.3">
      <c r="A843" s="144" t="str">
        <f t="shared" ca="1" si="15"/>
        <v/>
      </c>
      <c r="B843" s="145" t="str">
        <f ca="1">IF($A843="","",IFERROR(INDEX(Market_Data!$C$21:$C$613,MATCH($A843,Market_Data!$B$21:INDEX(Market_Data!$B$21:$B$613,COUNT(Market_Data!$B$21:$B$613)),1)),""))</f>
        <v/>
      </c>
      <c r="C843" s="145" t="str">
        <f ca="1">IF($A843="","",IFERROR(INDEX(Market_Data!$F$21:$F$613,MATCH($A843,Market_Data!$E$21:INDEX(Market_Data!$E$21:$E$613,COUNT(Market_Data!$E$21:$E$613)),1)),""))</f>
        <v/>
      </c>
      <c r="D843" s="145" t="str">
        <f ca="1">IF($A843="","",IFERROR(INDEX(Market_Data!$I$21:$I$613,MATCH($A843,Market_Data!$H$21:INDEX(Market_Data!$H$21:$H$613,COUNT(Market_Data!$H$21:$H$613)),1)),""))</f>
        <v/>
      </c>
      <c r="E843" s="145" t="str">
        <f ca="1">IF($A843="","",IFERROR(INDEX(Market_Data!$L$21:$L$613,MATCH($A843,Market_Data!$K$21:INDEX(Market_Data!$K$21:$K$613,COUNT(Market_Data!$K$21:$K$613)),1)),""))</f>
        <v/>
      </c>
      <c r="F843" s="145" t="str">
        <f ca="1">IF($A843="","",IFERROR(INDEX(Market_Data!$O$21:$O$613,MATCH($A843,Market_Data!$N$21:INDEX(Market_Data!$N$21:$N$613,COUNT(Market_Data!$N$21:$N$613)),1)),""))</f>
        <v/>
      </c>
      <c r="G843" s="145" t="str">
        <f ca="1">IF($A843="","",IFERROR(INDEX(Market_Data!$R$21:$R$613,MATCH($A843,Market_Data!$Q$21:INDEX(Market_Data!$Q$21:$Q$613,COUNT(Market_Data!$Q$21:$Q$613)),1)),""))</f>
        <v/>
      </c>
      <c r="H843" s="145" t="str">
        <f ca="1">IF($A843="","",IFERROR(INDEX(Market_Data!$U$21:$U$613,MATCH($A843,Market_Data!$T$21:INDEX(Market_Data!$T$21:$T$613,COUNT(Market_Data!$T$21:$T$613)),1)),""))</f>
        <v/>
      </c>
      <c r="I843" s="146" t="str">
        <f ca="1">IF($A843="","",IFERROR(INDEX(Query1[Close],MATCH($A843,Query1[Date],1)),""))</f>
        <v/>
      </c>
    </row>
    <row r="844" spans="1:9" x14ac:dyDescent="0.3">
      <c r="A844" s="144" t="str">
        <f t="shared" ca="1" si="15"/>
        <v/>
      </c>
      <c r="B844" s="145" t="str">
        <f ca="1">IF($A844="","",IFERROR(INDEX(Market_Data!$C$21:$C$613,MATCH($A844,Market_Data!$B$21:INDEX(Market_Data!$B$21:$B$613,COUNT(Market_Data!$B$21:$B$613)),1)),""))</f>
        <v/>
      </c>
      <c r="C844" s="145" t="str">
        <f ca="1">IF($A844="","",IFERROR(INDEX(Market_Data!$F$21:$F$613,MATCH($A844,Market_Data!$E$21:INDEX(Market_Data!$E$21:$E$613,COUNT(Market_Data!$E$21:$E$613)),1)),""))</f>
        <v/>
      </c>
      <c r="D844" s="145" t="str">
        <f ca="1">IF($A844="","",IFERROR(INDEX(Market_Data!$I$21:$I$613,MATCH($A844,Market_Data!$H$21:INDEX(Market_Data!$H$21:$H$613,COUNT(Market_Data!$H$21:$H$613)),1)),""))</f>
        <v/>
      </c>
      <c r="E844" s="145" t="str">
        <f ca="1">IF($A844="","",IFERROR(INDEX(Market_Data!$L$21:$L$613,MATCH($A844,Market_Data!$K$21:INDEX(Market_Data!$K$21:$K$613,COUNT(Market_Data!$K$21:$K$613)),1)),""))</f>
        <v/>
      </c>
      <c r="F844" s="145" t="str">
        <f ca="1">IF($A844="","",IFERROR(INDEX(Market_Data!$O$21:$O$613,MATCH($A844,Market_Data!$N$21:INDEX(Market_Data!$N$21:$N$613,COUNT(Market_Data!$N$21:$N$613)),1)),""))</f>
        <v/>
      </c>
      <c r="G844" s="145" t="str">
        <f ca="1">IF($A844="","",IFERROR(INDEX(Market_Data!$R$21:$R$613,MATCH($A844,Market_Data!$Q$21:INDEX(Market_Data!$Q$21:$Q$613,COUNT(Market_Data!$Q$21:$Q$613)),1)),""))</f>
        <v/>
      </c>
      <c r="H844" s="145" t="str">
        <f ca="1">IF($A844="","",IFERROR(INDEX(Market_Data!$U$21:$U$613,MATCH($A844,Market_Data!$T$21:INDEX(Market_Data!$T$21:$T$613,COUNT(Market_Data!$T$21:$T$613)),1)),""))</f>
        <v/>
      </c>
      <c r="I844" s="146" t="str">
        <f ca="1">IF($A844="","",IFERROR(INDEX(Query1[Close],MATCH($A844,Query1[Date],1)),""))</f>
        <v/>
      </c>
    </row>
    <row r="845" spans="1:9" x14ac:dyDescent="0.3">
      <c r="A845" s="144" t="str">
        <f t="shared" ca="1" si="15"/>
        <v/>
      </c>
      <c r="B845" s="145" t="str">
        <f ca="1">IF($A845="","",IFERROR(INDEX(Market_Data!$C$21:$C$613,MATCH($A845,Market_Data!$B$21:INDEX(Market_Data!$B$21:$B$613,COUNT(Market_Data!$B$21:$B$613)),1)),""))</f>
        <v/>
      </c>
      <c r="C845" s="145" t="str">
        <f ca="1">IF($A845="","",IFERROR(INDEX(Market_Data!$F$21:$F$613,MATCH($A845,Market_Data!$E$21:INDEX(Market_Data!$E$21:$E$613,COUNT(Market_Data!$E$21:$E$613)),1)),""))</f>
        <v/>
      </c>
      <c r="D845" s="145" t="str">
        <f ca="1">IF($A845="","",IFERROR(INDEX(Market_Data!$I$21:$I$613,MATCH($A845,Market_Data!$H$21:INDEX(Market_Data!$H$21:$H$613,COUNT(Market_Data!$H$21:$H$613)),1)),""))</f>
        <v/>
      </c>
      <c r="E845" s="145" t="str">
        <f ca="1">IF($A845="","",IFERROR(INDEX(Market_Data!$L$21:$L$613,MATCH($A845,Market_Data!$K$21:INDEX(Market_Data!$K$21:$K$613,COUNT(Market_Data!$K$21:$K$613)),1)),""))</f>
        <v/>
      </c>
      <c r="F845" s="145" t="str">
        <f ca="1">IF($A845="","",IFERROR(INDEX(Market_Data!$O$21:$O$613,MATCH($A845,Market_Data!$N$21:INDEX(Market_Data!$N$21:$N$613,COUNT(Market_Data!$N$21:$N$613)),1)),""))</f>
        <v/>
      </c>
      <c r="G845" s="145" t="str">
        <f ca="1">IF($A845="","",IFERROR(INDEX(Market_Data!$R$21:$R$613,MATCH($A845,Market_Data!$Q$21:INDEX(Market_Data!$Q$21:$Q$613,COUNT(Market_Data!$Q$21:$Q$613)),1)),""))</f>
        <v/>
      </c>
      <c r="H845" s="145" t="str">
        <f ca="1">IF($A845="","",IFERROR(INDEX(Market_Data!$U$21:$U$613,MATCH($A845,Market_Data!$T$21:INDEX(Market_Data!$T$21:$T$613,COUNT(Market_Data!$T$21:$T$613)),1)),""))</f>
        <v/>
      </c>
      <c r="I845" s="146" t="str">
        <f ca="1">IF($A845="","",IFERROR(INDEX(Query1[Close],MATCH($A845,Query1[Date],1)),""))</f>
        <v/>
      </c>
    </row>
    <row r="846" spans="1:9" x14ac:dyDescent="0.3">
      <c r="A846" s="144" t="str">
        <f t="shared" ca="1" si="15"/>
        <v/>
      </c>
      <c r="B846" s="145" t="str">
        <f ca="1">IF($A846="","",IFERROR(INDEX(Market_Data!$C$21:$C$613,MATCH($A846,Market_Data!$B$21:INDEX(Market_Data!$B$21:$B$613,COUNT(Market_Data!$B$21:$B$613)),1)),""))</f>
        <v/>
      </c>
      <c r="C846" s="145" t="str">
        <f ca="1">IF($A846="","",IFERROR(INDEX(Market_Data!$F$21:$F$613,MATCH($A846,Market_Data!$E$21:INDEX(Market_Data!$E$21:$E$613,COUNT(Market_Data!$E$21:$E$613)),1)),""))</f>
        <v/>
      </c>
      <c r="D846" s="145" t="str">
        <f ca="1">IF($A846="","",IFERROR(INDEX(Market_Data!$I$21:$I$613,MATCH($A846,Market_Data!$H$21:INDEX(Market_Data!$H$21:$H$613,COUNT(Market_Data!$H$21:$H$613)),1)),""))</f>
        <v/>
      </c>
      <c r="E846" s="145" t="str">
        <f ca="1">IF($A846="","",IFERROR(INDEX(Market_Data!$L$21:$L$613,MATCH($A846,Market_Data!$K$21:INDEX(Market_Data!$K$21:$K$613,COUNT(Market_Data!$K$21:$K$613)),1)),""))</f>
        <v/>
      </c>
      <c r="F846" s="145" t="str">
        <f ca="1">IF($A846="","",IFERROR(INDEX(Market_Data!$O$21:$O$613,MATCH($A846,Market_Data!$N$21:INDEX(Market_Data!$N$21:$N$613,COUNT(Market_Data!$N$21:$N$613)),1)),""))</f>
        <v/>
      </c>
      <c r="G846" s="145" t="str">
        <f ca="1">IF($A846="","",IFERROR(INDEX(Market_Data!$R$21:$R$613,MATCH($A846,Market_Data!$Q$21:INDEX(Market_Data!$Q$21:$Q$613,COUNT(Market_Data!$Q$21:$Q$613)),1)),""))</f>
        <v/>
      </c>
      <c r="H846" s="145" t="str">
        <f ca="1">IF($A846="","",IFERROR(INDEX(Market_Data!$U$21:$U$613,MATCH($A846,Market_Data!$T$21:INDEX(Market_Data!$T$21:$T$613,COUNT(Market_Data!$T$21:$T$613)),1)),""))</f>
        <v/>
      </c>
      <c r="I846" s="146" t="str">
        <f ca="1">IF($A846="","",IFERROR(INDEX(Query1[Close],MATCH($A846,Query1[Date],1)),""))</f>
        <v/>
      </c>
    </row>
    <row r="847" spans="1:9" x14ac:dyDescent="0.3">
      <c r="A847" s="144" t="str">
        <f t="shared" ca="1" si="15"/>
        <v/>
      </c>
      <c r="B847" s="145" t="str">
        <f ca="1">IF($A847="","",IFERROR(INDEX(Market_Data!$C$21:$C$613,MATCH($A847,Market_Data!$B$21:INDEX(Market_Data!$B$21:$B$613,COUNT(Market_Data!$B$21:$B$613)),1)),""))</f>
        <v/>
      </c>
      <c r="C847" s="145" t="str">
        <f ca="1">IF($A847="","",IFERROR(INDEX(Market_Data!$F$21:$F$613,MATCH($A847,Market_Data!$E$21:INDEX(Market_Data!$E$21:$E$613,COUNT(Market_Data!$E$21:$E$613)),1)),""))</f>
        <v/>
      </c>
      <c r="D847" s="145" t="str">
        <f ca="1">IF($A847="","",IFERROR(INDEX(Market_Data!$I$21:$I$613,MATCH($A847,Market_Data!$H$21:INDEX(Market_Data!$H$21:$H$613,COUNT(Market_Data!$H$21:$H$613)),1)),""))</f>
        <v/>
      </c>
      <c r="E847" s="145" t="str">
        <f ca="1">IF($A847="","",IFERROR(INDEX(Market_Data!$L$21:$L$613,MATCH($A847,Market_Data!$K$21:INDEX(Market_Data!$K$21:$K$613,COUNT(Market_Data!$K$21:$K$613)),1)),""))</f>
        <v/>
      </c>
      <c r="F847" s="145" t="str">
        <f ca="1">IF($A847="","",IFERROR(INDEX(Market_Data!$O$21:$O$613,MATCH($A847,Market_Data!$N$21:INDEX(Market_Data!$N$21:$N$613,COUNT(Market_Data!$N$21:$N$613)),1)),""))</f>
        <v/>
      </c>
      <c r="G847" s="145" t="str">
        <f ca="1">IF($A847="","",IFERROR(INDEX(Market_Data!$R$21:$R$613,MATCH($A847,Market_Data!$Q$21:INDEX(Market_Data!$Q$21:$Q$613,COUNT(Market_Data!$Q$21:$Q$613)),1)),""))</f>
        <v/>
      </c>
      <c r="H847" s="145" t="str">
        <f ca="1">IF($A847="","",IFERROR(INDEX(Market_Data!$U$21:$U$613,MATCH($A847,Market_Data!$T$21:INDEX(Market_Data!$T$21:$T$613,COUNT(Market_Data!$T$21:$T$613)),1)),""))</f>
        <v/>
      </c>
      <c r="I847" s="146" t="str">
        <f ca="1">IF($A847="","",IFERROR(INDEX(Query1[Close],MATCH($A847,Query1[Date],1)),""))</f>
        <v/>
      </c>
    </row>
    <row r="848" spans="1:9" x14ac:dyDescent="0.3">
      <c r="A848" s="144" t="str">
        <f t="shared" ca="1" si="15"/>
        <v/>
      </c>
      <c r="B848" s="145" t="str">
        <f ca="1">IF($A848="","",IFERROR(INDEX(Market_Data!$C$21:$C$613,MATCH($A848,Market_Data!$B$21:INDEX(Market_Data!$B$21:$B$613,COUNT(Market_Data!$B$21:$B$613)),1)),""))</f>
        <v/>
      </c>
      <c r="C848" s="145" t="str">
        <f ca="1">IF($A848="","",IFERROR(INDEX(Market_Data!$F$21:$F$613,MATCH($A848,Market_Data!$E$21:INDEX(Market_Data!$E$21:$E$613,COUNT(Market_Data!$E$21:$E$613)),1)),""))</f>
        <v/>
      </c>
      <c r="D848" s="145" t="str">
        <f ca="1">IF($A848="","",IFERROR(INDEX(Market_Data!$I$21:$I$613,MATCH($A848,Market_Data!$H$21:INDEX(Market_Data!$H$21:$H$613,COUNT(Market_Data!$H$21:$H$613)),1)),""))</f>
        <v/>
      </c>
      <c r="E848" s="145" t="str">
        <f ca="1">IF($A848="","",IFERROR(INDEX(Market_Data!$L$21:$L$613,MATCH($A848,Market_Data!$K$21:INDEX(Market_Data!$K$21:$K$613,COUNT(Market_Data!$K$21:$K$613)),1)),""))</f>
        <v/>
      </c>
      <c r="F848" s="145" t="str">
        <f ca="1">IF($A848="","",IFERROR(INDEX(Market_Data!$O$21:$O$613,MATCH($A848,Market_Data!$N$21:INDEX(Market_Data!$N$21:$N$613,COUNT(Market_Data!$N$21:$N$613)),1)),""))</f>
        <v/>
      </c>
      <c r="G848" s="145" t="str">
        <f ca="1">IF($A848="","",IFERROR(INDEX(Market_Data!$R$21:$R$613,MATCH($A848,Market_Data!$Q$21:INDEX(Market_Data!$Q$21:$Q$613,COUNT(Market_Data!$Q$21:$Q$613)),1)),""))</f>
        <v/>
      </c>
      <c r="H848" s="145" t="str">
        <f ca="1">IF($A848="","",IFERROR(INDEX(Market_Data!$U$21:$U$613,MATCH($A848,Market_Data!$T$21:INDEX(Market_Data!$T$21:$T$613,COUNT(Market_Data!$T$21:$T$613)),1)),""))</f>
        <v/>
      </c>
      <c r="I848" s="146" t="str">
        <f ca="1">IF($A848="","",IFERROR(INDEX(Query1[Close],MATCH($A848,Query1[Date],1)),""))</f>
        <v/>
      </c>
    </row>
    <row r="849" spans="1:9" x14ac:dyDescent="0.3">
      <c r="A849" s="144" t="str">
        <f t="shared" ca="1" si="15"/>
        <v/>
      </c>
      <c r="B849" s="145" t="str">
        <f ca="1">IF($A849="","",IFERROR(INDEX(Market_Data!$C$21:$C$613,MATCH($A849,Market_Data!$B$21:INDEX(Market_Data!$B$21:$B$613,COUNT(Market_Data!$B$21:$B$613)),1)),""))</f>
        <v/>
      </c>
      <c r="C849" s="145" t="str">
        <f ca="1">IF($A849="","",IFERROR(INDEX(Market_Data!$F$21:$F$613,MATCH($A849,Market_Data!$E$21:INDEX(Market_Data!$E$21:$E$613,COUNT(Market_Data!$E$21:$E$613)),1)),""))</f>
        <v/>
      </c>
      <c r="D849" s="145" t="str">
        <f ca="1">IF($A849="","",IFERROR(INDEX(Market_Data!$I$21:$I$613,MATCH($A849,Market_Data!$H$21:INDEX(Market_Data!$H$21:$H$613,COUNT(Market_Data!$H$21:$H$613)),1)),""))</f>
        <v/>
      </c>
      <c r="E849" s="145" t="str">
        <f ca="1">IF($A849="","",IFERROR(INDEX(Market_Data!$L$21:$L$613,MATCH($A849,Market_Data!$K$21:INDEX(Market_Data!$K$21:$K$613,COUNT(Market_Data!$K$21:$K$613)),1)),""))</f>
        <v/>
      </c>
      <c r="F849" s="145" t="str">
        <f ca="1">IF($A849="","",IFERROR(INDEX(Market_Data!$O$21:$O$613,MATCH($A849,Market_Data!$N$21:INDEX(Market_Data!$N$21:$N$613,COUNT(Market_Data!$N$21:$N$613)),1)),""))</f>
        <v/>
      </c>
      <c r="G849" s="145" t="str">
        <f ca="1">IF($A849="","",IFERROR(INDEX(Market_Data!$R$21:$R$613,MATCH($A849,Market_Data!$Q$21:INDEX(Market_Data!$Q$21:$Q$613,COUNT(Market_Data!$Q$21:$Q$613)),1)),""))</f>
        <v/>
      </c>
      <c r="H849" s="145" t="str">
        <f ca="1">IF($A849="","",IFERROR(INDEX(Market_Data!$U$21:$U$613,MATCH($A849,Market_Data!$T$21:INDEX(Market_Data!$T$21:$T$613,COUNT(Market_Data!$T$21:$T$613)),1)),""))</f>
        <v/>
      </c>
      <c r="I849" s="146" t="str">
        <f ca="1">IF($A849="","",IFERROR(INDEX(Query1[Close],MATCH($A849,Query1[Date],1)),""))</f>
        <v/>
      </c>
    </row>
    <row r="850" spans="1:9" x14ac:dyDescent="0.3">
      <c r="A850" s="144" t="str">
        <f t="shared" ca="1" si="15"/>
        <v/>
      </c>
      <c r="B850" s="145" t="str">
        <f ca="1">IF($A850="","",IFERROR(INDEX(Market_Data!$C$21:$C$613,MATCH($A850,Market_Data!$B$21:INDEX(Market_Data!$B$21:$B$613,COUNT(Market_Data!$B$21:$B$613)),1)),""))</f>
        <v/>
      </c>
      <c r="C850" s="145" t="str">
        <f ca="1">IF($A850="","",IFERROR(INDEX(Market_Data!$F$21:$F$613,MATCH($A850,Market_Data!$E$21:INDEX(Market_Data!$E$21:$E$613,COUNT(Market_Data!$E$21:$E$613)),1)),""))</f>
        <v/>
      </c>
      <c r="D850" s="145" t="str">
        <f ca="1">IF($A850="","",IFERROR(INDEX(Market_Data!$I$21:$I$613,MATCH($A850,Market_Data!$H$21:INDEX(Market_Data!$H$21:$H$613,COUNT(Market_Data!$H$21:$H$613)),1)),""))</f>
        <v/>
      </c>
      <c r="E850" s="145" t="str">
        <f ca="1">IF($A850="","",IFERROR(INDEX(Market_Data!$L$21:$L$613,MATCH($A850,Market_Data!$K$21:INDEX(Market_Data!$K$21:$K$613,COUNT(Market_Data!$K$21:$K$613)),1)),""))</f>
        <v/>
      </c>
      <c r="F850" s="145" t="str">
        <f ca="1">IF($A850="","",IFERROR(INDEX(Market_Data!$O$21:$O$613,MATCH($A850,Market_Data!$N$21:INDEX(Market_Data!$N$21:$N$613,COUNT(Market_Data!$N$21:$N$613)),1)),""))</f>
        <v/>
      </c>
      <c r="G850" s="145" t="str">
        <f ca="1">IF($A850="","",IFERROR(INDEX(Market_Data!$R$21:$R$613,MATCH($A850,Market_Data!$Q$21:INDEX(Market_Data!$Q$21:$Q$613,COUNT(Market_Data!$Q$21:$Q$613)),1)),""))</f>
        <v/>
      </c>
      <c r="H850" s="145" t="str">
        <f ca="1">IF($A850="","",IFERROR(INDEX(Market_Data!$U$21:$U$613,MATCH($A850,Market_Data!$T$21:INDEX(Market_Data!$T$21:$T$613,COUNT(Market_Data!$T$21:$T$613)),1)),""))</f>
        <v/>
      </c>
      <c r="I850" s="146" t="str">
        <f ca="1">IF($A850="","",IFERROR(INDEX(Query1[Close],MATCH($A850,Query1[Date],1)),""))</f>
        <v/>
      </c>
    </row>
    <row r="851" spans="1:9" x14ac:dyDescent="0.3">
      <c r="A851" s="144" t="str">
        <f t="shared" ca="1" si="15"/>
        <v/>
      </c>
      <c r="B851" s="145" t="str">
        <f ca="1">IF($A851="","",IFERROR(INDEX(Market_Data!$C$21:$C$613,MATCH($A851,Market_Data!$B$21:INDEX(Market_Data!$B$21:$B$613,COUNT(Market_Data!$B$21:$B$613)),1)),""))</f>
        <v/>
      </c>
      <c r="C851" s="145" t="str">
        <f ca="1">IF($A851="","",IFERROR(INDEX(Market_Data!$F$21:$F$613,MATCH($A851,Market_Data!$E$21:INDEX(Market_Data!$E$21:$E$613,COUNT(Market_Data!$E$21:$E$613)),1)),""))</f>
        <v/>
      </c>
      <c r="D851" s="145" t="str">
        <f ca="1">IF($A851="","",IFERROR(INDEX(Market_Data!$I$21:$I$613,MATCH($A851,Market_Data!$H$21:INDEX(Market_Data!$H$21:$H$613,COUNT(Market_Data!$H$21:$H$613)),1)),""))</f>
        <v/>
      </c>
      <c r="E851" s="145" t="str">
        <f ca="1">IF($A851="","",IFERROR(INDEX(Market_Data!$L$21:$L$613,MATCH($A851,Market_Data!$K$21:INDEX(Market_Data!$K$21:$K$613,COUNT(Market_Data!$K$21:$K$613)),1)),""))</f>
        <v/>
      </c>
      <c r="F851" s="145" t="str">
        <f ca="1">IF($A851="","",IFERROR(INDEX(Market_Data!$O$21:$O$613,MATCH($A851,Market_Data!$N$21:INDEX(Market_Data!$N$21:$N$613,COUNT(Market_Data!$N$21:$N$613)),1)),""))</f>
        <v/>
      </c>
      <c r="G851" s="145" t="str">
        <f ca="1">IF($A851="","",IFERROR(INDEX(Market_Data!$R$21:$R$613,MATCH($A851,Market_Data!$Q$21:INDEX(Market_Data!$Q$21:$Q$613,COUNT(Market_Data!$Q$21:$Q$613)),1)),""))</f>
        <v/>
      </c>
      <c r="H851" s="145" t="str">
        <f ca="1">IF($A851="","",IFERROR(INDEX(Market_Data!$U$21:$U$613,MATCH($A851,Market_Data!$T$21:INDEX(Market_Data!$T$21:$T$613,COUNT(Market_Data!$T$21:$T$613)),1)),""))</f>
        <v/>
      </c>
      <c r="I851" s="146" t="str">
        <f ca="1">IF($A851="","",IFERROR(INDEX(Query1[Close],MATCH($A851,Query1[Date],1)),""))</f>
        <v/>
      </c>
    </row>
    <row r="852" spans="1:9" x14ac:dyDescent="0.3">
      <c r="A852" s="144" t="str">
        <f t="shared" ca="1" si="15"/>
        <v/>
      </c>
      <c r="B852" s="145" t="str">
        <f ca="1">IF($A852="","",IFERROR(INDEX(Market_Data!$C$21:$C$613,MATCH($A852,Market_Data!$B$21:INDEX(Market_Data!$B$21:$B$613,COUNT(Market_Data!$B$21:$B$613)),1)),""))</f>
        <v/>
      </c>
      <c r="C852" s="145" t="str">
        <f ca="1">IF($A852="","",IFERROR(INDEX(Market_Data!$F$21:$F$613,MATCH($A852,Market_Data!$E$21:INDEX(Market_Data!$E$21:$E$613,COUNT(Market_Data!$E$21:$E$613)),1)),""))</f>
        <v/>
      </c>
      <c r="D852" s="145" t="str">
        <f ca="1">IF($A852="","",IFERROR(INDEX(Market_Data!$I$21:$I$613,MATCH($A852,Market_Data!$H$21:INDEX(Market_Data!$H$21:$H$613,COUNT(Market_Data!$H$21:$H$613)),1)),""))</f>
        <v/>
      </c>
      <c r="E852" s="145" t="str">
        <f ca="1">IF($A852="","",IFERROR(INDEX(Market_Data!$L$21:$L$613,MATCH($A852,Market_Data!$K$21:INDEX(Market_Data!$K$21:$K$613,COUNT(Market_Data!$K$21:$K$613)),1)),""))</f>
        <v/>
      </c>
      <c r="F852" s="145" t="str">
        <f ca="1">IF($A852="","",IFERROR(INDEX(Market_Data!$O$21:$O$613,MATCH($A852,Market_Data!$N$21:INDEX(Market_Data!$N$21:$N$613,COUNT(Market_Data!$N$21:$N$613)),1)),""))</f>
        <v/>
      </c>
      <c r="G852" s="145" t="str">
        <f ca="1">IF($A852="","",IFERROR(INDEX(Market_Data!$R$21:$R$613,MATCH($A852,Market_Data!$Q$21:INDEX(Market_Data!$Q$21:$Q$613,COUNT(Market_Data!$Q$21:$Q$613)),1)),""))</f>
        <v/>
      </c>
      <c r="H852" s="145" t="str">
        <f ca="1">IF($A852="","",IFERROR(INDEX(Market_Data!$U$21:$U$613,MATCH($A852,Market_Data!$T$21:INDEX(Market_Data!$T$21:$T$613,COUNT(Market_Data!$T$21:$T$613)),1)),""))</f>
        <v/>
      </c>
      <c r="I852" s="146" t="str">
        <f ca="1">IF($A852="","",IFERROR(INDEX(Query1[Close],MATCH($A852,Query1[Date],1)),""))</f>
        <v/>
      </c>
    </row>
    <row r="853" spans="1:9" x14ac:dyDescent="0.3">
      <c r="A853" s="144" t="str">
        <f t="shared" ca="1" si="15"/>
        <v/>
      </c>
      <c r="B853" s="145" t="str">
        <f ca="1">IF($A853="","",IFERROR(INDEX(Market_Data!$C$21:$C$613,MATCH($A853,Market_Data!$B$21:INDEX(Market_Data!$B$21:$B$613,COUNT(Market_Data!$B$21:$B$613)),1)),""))</f>
        <v/>
      </c>
      <c r="C853" s="145" t="str">
        <f ca="1">IF($A853="","",IFERROR(INDEX(Market_Data!$F$21:$F$613,MATCH($A853,Market_Data!$E$21:INDEX(Market_Data!$E$21:$E$613,COUNT(Market_Data!$E$21:$E$613)),1)),""))</f>
        <v/>
      </c>
      <c r="D853" s="145" t="str">
        <f ca="1">IF($A853="","",IFERROR(INDEX(Market_Data!$I$21:$I$613,MATCH($A853,Market_Data!$H$21:INDEX(Market_Data!$H$21:$H$613,COUNT(Market_Data!$H$21:$H$613)),1)),""))</f>
        <v/>
      </c>
      <c r="E853" s="145" t="str">
        <f ca="1">IF($A853="","",IFERROR(INDEX(Market_Data!$L$21:$L$613,MATCH($A853,Market_Data!$K$21:INDEX(Market_Data!$K$21:$K$613,COUNT(Market_Data!$K$21:$K$613)),1)),""))</f>
        <v/>
      </c>
      <c r="F853" s="145" t="str">
        <f ca="1">IF($A853="","",IFERROR(INDEX(Market_Data!$O$21:$O$613,MATCH($A853,Market_Data!$N$21:INDEX(Market_Data!$N$21:$N$613,COUNT(Market_Data!$N$21:$N$613)),1)),""))</f>
        <v/>
      </c>
      <c r="G853" s="145" t="str">
        <f ca="1">IF($A853="","",IFERROR(INDEX(Market_Data!$R$21:$R$613,MATCH($A853,Market_Data!$Q$21:INDEX(Market_Data!$Q$21:$Q$613,COUNT(Market_Data!$Q$21:$Q$613)),1)),""))</f>
        <v/>
      </c>
      <c r="H853" s="145" t="str">
        <f ca="1">IF($A853="","",IFERROR(INDEX(Market_Data!$U$21:$U$613,MATCH($A853,Market_Data!$T$21:INDEX(Market_Data!$T$21:$T$613,COUNT(Market_Data!$T$21:$T$613)),1)),""))</f>
        <v/>
      </c>
      <c r="I853" s="146" t="str">
        <f ca="1">IF($A853="","",IFERROR(INDEX(Query1[Close],MATCH($A853,Query1[Date],1)),""))</f>
        <v/>
      </c>
    </row>
    <row r="854" spans="1:9" x14ac:dyDescent="0.3">
      <c r="A854" s="144" t="str">
        <f t="shared" ca="1" si="15"/>
        <v/>
      </c>
      <c r="B854" s="145" t="str">
        <f ca="1">IF($A854="","",IFERROR(INDEX(Market_Data!$C$21:$C$613,MATCH($A854,Market_Data!$B$21:INDEX(Market_Data!$B$21:$B$613,COUNT(Market_Data!$B$21:$B$613)),1)),""))</f>
        <v/>
      </c>
      <c r="C854" s="145" t="str">
        <f ca="1">IF($A854="","",IFERROR(INDEX(Market_Data!$F$21:$F$613,MATCH($A854,Market_Data!$E$21:INDEX(Market_Data!$E$21:$E$613,COUNT(Market_Data!$E$21:$E$613)),1)),""))</f>
        <v/>
      </c>
      <c r="D854" s="145" t="str">
        <f ca="1">IF($A854="","",IFERROR(INDEX(Market_Data!$I$21:$I$613,MATCH($A854,Market_Data!$H$21:INDEX(Market_Data!$H$21:$H$613,COUNT(Market_Data!$H$21:$H$613)),1)),""))</f>
        <v/>
      </c>
      <c r="E854" s="145" t="str">
        <f ca="1">IF($A854="","",IFERROR(INDEX(Market_Data!$L$21:$L$613,MATCH($A854,Market_Data!$K$21:INDEX(Market_Data!$K$21:$K$613,COUNT(Market_Data!$K$21:$K$613)),1)),""))</f>
        <v/>
      </c>
      <c r="F854" s="145" t="str">
        <f ca="1">IF($A854="","",IFERROR(INDEX(Market_Data!$O$21:$O$613,MATCH($A854,Market_Data!$N$21:INDEX(Market_Data!$N$21:$N$613,COUNT(Market_Data!$N$21:$N$613)),1)),""))</f>
        <v/>
      </c>
      <c r="G854" s="145" t="str">
        <f ca="1">IF($A854="","",IFERROR(INDEX(Market_Data!$R$21:$R$613,MATCH($A854,Market_Data!$Q$21:INDEX(Market_Data!$Q$21:$Q$613,COUNT(Market_Data!$Q$21:$Q$613)),1)),""))</f>
        <v/>
      </c>
      <c r="H854" s="145" t="str">
        <f ca="1">IF($A854="","",IFERROR(INDEX(Market_Data!$U$21:$U$613,MATCH($A854,Market_Data!$T$21:INDEX(Market_Data!$T$21:$T$613,COUNT(Market_Data!$T$21:$T$613)),1)),""))</f>
        <v/>
      </c>
      <c r="I854" s="146" t="str">
        <f ca="1">IF($A854="","",IFERROR(INDEX(Query1[Close],MATCH($A854,Query1[Date],1)),""))</f>
        <v/>
      </c>
    </row>
    <row r="855" spans="1:9" x14ac:dyDescent="0.3">
      <c r="A855" s="144" t="str">
        <f t="shared" ca="1" si="15"/>
        <v/>
      </c>
      <c r="B855" s="145" t="str">
        <f ca="1">IF($A855="","",IFERROR(INDEX(Market_Data!$C$21:$C$613,MATCH($A855,Market_Data!$B$21:INDEX(Market_Data!$B$21:$B$613,COUNT(Market_Data!$B$21:$B$613)),1)),""))</f>
        <v/>
      </c>
      <c r="C855" s="145" t="str">
        <f ca="1">IF($A855="","",IFERROR(INDEX(Market_Data!$F$21:$F$613,MATCH($A855,Market_Data!$E$21:INDEX(Market_Data!$E$21:$E$613,COUNT(Market_Data!$E$21:$E$613)),1)),""))</f>
        <v/>
      </c>
      <c r="D855" s="145" t="str">
        <f ca="1">IF($A855="","",IFERROR(INDEX(Market_Data!$I$21:$I$613,MATCH($A855,Market_Data!$H$21:INDEX(Market_Data!$H$21:$H$613,COUNT(Market_Data!$H$21:$H$613)),1)),""))</f>
        <v/>
      </c>
      <c r="E855" s="145" t="str">
        <f ca="1">IF($A855="","",IFERROR(INDEX(Market_Data!$L$21:$L$613,MATCH($A855,Market_Data!$K$21:INDEX(Market_Data!$K$21:$K$613,COUNT(Market_Data!$K$21:$K$613)),1)),""))</f>
        <v/>
      </c>
      <c r="F855" s="145" t="str">
        <f ca="1">IF($A855="","",IFERROR(INDEX(Market_Data!$O$21:$O$613,MATCH($A855,Market_Data!$N$21:INDEX(Market_Data!$N$21:$N$613,COUNT(Market_Data!$N$21:$N$613)),1)),""))</f>
        <v/>
      </c>
      <c r="G855" s="145" t="str">
        <f ca="1">IF($A855="","",IFERROR(INDEX(Market_Data!$R$21:$R$613,MATCH($A855,Market_Data!$Q$21:INDEX(Market_Data!$Q$21:$Q$613,COUNT(Market_Data!$Q$21:$Q$613)),1)),""))</f>
        <v/>
      </c>
      <c r="H855" s="145" t="str">
        <f ca="1">IF($A855="","",IFERROR(INDEX(Market_Data!$U$21:$U$613,MATCH($A855,Market_Data!$T$21:INDEX(Market_Data!$T$21:$T$613,COUNT(Market_Data!$T$21:$T$613)),1)),""))</f>
        <v/>
      </c>
      <c r="I855" s="146" t="str">
        <f ca="1">IF($A855="","",IFERROR(INDEX(Query1[Close],MATCH($A855,Query1[Date],1)),""))</f>
        <v/>
      </c>
    </row>
    <row r="856" spans="1:9" x14ac:dyDescent="0.3">
      <c r="A856" s="144" t="str">
        <f t="shared" ca="1" si="15"/>
        <v/>
      </c>
      <c r="B856" s="145" t="str">
        <f ca="1">IF($A856="","",IFERROR(INDEX(Market_Data!$C$21:$C$613,MATCH($A856,Market_Data!$B$21:INDEX(Market_Data!$B$21:$B$613,COUNT(Market_Data!$B$21:$B$613)),1)),""))</f>
        <v/>
      </c>
      <c r="C856" s="145" t="str">
        <f ca="1">IF($A856="","",IFERROR(INDEX(Market_Data!$F$21:$F$613,MATCH($A856,Market_Data!$E$21:INDEX(Market_Data!$E$21:$E$613,COUNT(Market_Data!$E$21:$E$613)),1)),""))</f>
        <v/>
      </c>
      <c r="D856" s="145" t="str">
        <f ca="1">IF($A856="","",IFERROR(INDEX(Market_Data!$I$21:$I$613,MATCH($A856,Market_Data!$H$21:INDEX(Market_Data!$H$21:$H$613,COUNT(Market_Data!$H$21:$H$613)),1)),""))</f>
        <v/>
      </c>
      <c r="E856" s="145" t="str">
        <f ca="1">IF($A856="","",IFERROR(INDEX(Market_Data!$L$21:$L$613,MATCH($A856,Market_Data!$K$21:INDEX(Market_Data!$K$21:$K$613,COUNT(Market_Data!$K$21:$K$613)),1)),""))</f>
        <v/>
      </c>
      <c r="F856" s="145" t="str">
        <f ca="1">IF($A856="","",IFERROR(INDEX(Market_Data!$O$21:$O$613,MATCH($A856,Market_Data!$N$21:INDEX(Market_Data!$N$21:$N$613,COUNT(Market_Data!$N$21:$N$613)),1)),""))</f>
        <v/>
      </c>
      <c r="G856" s="145" t="str">
        <f ca="1">IF($A856="","",IFERROR(INDEX(Market_Data!$R$21:$R$613,MATCH($A856,Market_Data!$Q$21:INDEX(Market_Data!$Q$21:$Q$613,COUNT(Market_Data!$Q$21:$Q$613)),1)),""))</f>
        <v/>
      </c>
      <c r="H856" s="145" t="str">
        <f ca="1">IF($A856="","",IFERROR(INDEX(Market_Data!$U$21:$U$613,MATCH($A856,Market_Data!$T$21:INDEX(Market_Data!$T$21:$T$613,COUNT(Market_Data!$T$21:$T$613)),1)),""))</f>
        <v/>
      </c>
      <c r="I856" s="146" t="str">
        <f ca="1">IF($A856="","",IFERROR(INDEX(Query1[Close],MATCH($A856,Query1[Date],1)),""))</f>
        <v/>
      </c>
    </row>
    <row r="857" spans="1:9" x14ac:dyDescent="0.3">
      <c r="A857" s="144" t="str">
        <f t="shared" ca="1" si="15"/>
        <v/>
      </c>
      <c r="B857" s="145" t="str">
        <f ca="1">IF($A857="","",IFERROR(INDEX(Market_Data!$C$21:$C$613,MATCH($A857,Market_Data!$B$21:INDEX(Market_Data!$B$21:$B$613,COUNT(Market_Data!$B$21:$B$613)),1)),""))</f>
        <v/>
      </c>
      <c r="C857" s="145" t="str">
        <f ca="1">IF($A857="","",IFERROR(INDEX(Market_Data!$F$21:$F$613,MATCH($A857,Market_Data!$E$21:INDEX(Market_Data!$E$21:$E$613,COUNT(Market_Data!$E$21:$E$613)),1)),""))</f>
        <v/>
      </c>
      <c r="D857" s="145" t="str">
        <f ca="1">IF($A857="","",IFERROR(INDEX(Market_Data!$I$21:$I$613,MATCH($A857,Market_Data!$H$21:INDEX(Market_Data!$H$21:$H$613,COUNT(Market_Data!$H$21:$H$613)),1)),""))</f>
        <v/>
      </c>
      <c r="E857" s="145" t="str">
        <f ca="1">IF($A857="","",IFERROR(INDEX(Market_Data!$L$21:$L$613,MATCH($A857,Market_Data!$K$21:INDEX(Market_Data!$K$21:$K$613,COUNT(Market_Data!$K$21:$K$613)),1)),""))</f>
        <v/>
      </c>
      <c r="F857" s="145" t="str">
        <f ca="1">IF($A857="","",IFERROR(INDEX(Market_Data!$O$21:$O$613,MATCH($A857,Market_Data!$N$21:INDEX(Market_Data!$N$21:$N$613,COUNT(Market_Data!$N$21:$N$613)),1)),""))</f>
        <v/>
      </c>
      <c r="G857" s="145" t="str">
        <f ca="1">IF($A857="","",IFERROR(INDEX(Market_Data!$R$21:$R$613,MATCH($A857,Market_Data!$Q$21:INDEX(Market_Data!$Q$21:$Q$613,COUNT(Market_Data!$Q$21:$Q$613)),1)),""))</f>
        <v/>
      </c>
      <c r="H857" s="145" t="str">
        <f ca="1">IF($A857="","",IFERROR(INDEX(Market_Data!$U$21:$U$613,MATCH($A857,Market_Data!$T$21:INDEX(Market_Data!$T$21:$T$613,COUNT(Market_Data!$T$21:$T$613)),1)),""))</f>
        <v/>
      </c>
      <c r="I857" s="146" t="str">
        <f ca="1">IF($A857="","",IFERROR(INDEX(Query1[Close],MATCH($A857,Query1[Date],1)),""))</f>
        <v/>
      </c>
    </row>
    <row r="858" spans="1:9" x14ac:dyDescent="0.3">
      <c r="A858" s="144" t="str">
        <f t="shared" ca="1" si="15"/>
        <v/>
      </c>
      <c r="B858" s="145" t="str">
        <f ca="1">IF($A858="","",IFERROR(INDEX(Market_Data!$C$21:$C$613,MATCH($A858,Market_Data!$B$21:INDEX(Market_Data!$B$21:$B$613,COUNT(Market_Data!$B$21:$B$613)),1)),""))</f>
        <v/>
      </c>
      <c r="C858" s="145" t="str">
        <f ca="1">IF($A858="","",IFERROR(INDEX(Market_Data!$F$21:$F$613,MATCH($A858,Market_Data!$E$21:INDEX(Market_Data!$E$21:$E$613,COUNT(Market_Data!$E$21:$E$613)),1)),""))</f>
        <v/>
      </c>
      <c r="D858" s="145" t="str">
        <f ca="1">IF($A858="","",IFERROR(INDEX(Market_Data!$I$21:$I$613,MATCH($A858,Market_Data!$H$21:INDEX(Market_Data!$H$21:$H$613,COUNT(Market_Data!$H$21:$H$613)),1)),""))</f>
        <v/>
      </c>
      <c r="E858" s="145" t="str">
        <f ca="1">IF($A858="","",IFERROR(INDEX(Market_Data!$L$21:$L$613,MATCH($A858,Market_Data!$K$21:INDEX(Market_Data!$K$21:$K$613,COUNT(Market_Data!$K$21:$K$613)),1)),""))</f>
        <v/>
      </c>
      <c r="F858" s="145" t="str">
        <f ca="1">IF($A858="","",IFERROR(INDEX(Market_Data!$O$21:$O$613,MATCH($A858,Market_Data!$N$21:INDEX(Market_Data!$N$21:$N$613,COUNT(Market_Data!$N$21:$N$613)),1)),""))</f>
        <v/>
      </c>
      <c r="G858" s="145" t="str">
        <f ca="1">IF($A858="","",IFERROR(INDEX(Market_Data!$R$21:$R$613,MATCH($A858,Market_Data!$Q$21:INDEX(Market_Data!$Q$21:$Q$613,COUNT(Market_Data!$Q$21:$Q$613)),1)),""))</f>
        <v/>
      </c>
      <c r="H858" s="145" t="str">
        <f ca="1">IF($A858="","",IFERROR(INDEX(Market_Data!$U$21:$U$613,MATCH($A858,Market_Data!$T$21:INDEX(Market_Data!$T$21:$T$613,COUNT(Market_Data!$T$21:$T$613)),1)),""))</f>
        <v/>
      </c>
      <c r="I858" s="146" t="str">
        <f ca="1">IF($A858="","",IFERROR(INDEX(Query1[Close],MATCH($A858,Query1[Date],1)),""))</f>
        <v/>
      </c>
    </row>
    <row r="859" spans="1:9" x14ac:dyDescent="0.3">
      <c r="A859" s="144" t="str">
        <f t="shared" ca="1" si="15"/>
        <v/>
      </c>
      <c r="B859" s="145" t="str">
        <f ca="1">IF($A859="","",IFERROR(INDEX(Market_Data!$C$21:$C$613,MATCH($A859,Market_Data!$B$21:INDEX(Market_Data!$B$21:$B$613,COUNT(Market_Data!$B$21:$B$613)),1)),""))</f>
        <v/>
      </c>
      <c r="C859" s="145" t="str">
        <f ca="1">IF($A859="","",IFERROR(INDEX(Market_Data!$F$21:$F$613,MATCH($A859,Market_Data!$E$21:INDEX(Market_Data!$E$21:$E$613,COUNT(Market_Data!$E$21:$E$613)),1)),""))</f>
        <v/>
      </c>
      <c r="D859" s="145" t="str">
        <f ca="1">IF($A859="","",IFERROR(INDEX(Market_Data!$I$21:$I$613,MATCH($A859,Market_Data!$H$21:INDEX(Market_Data!$H$21:$H$613,COUNT(Market_Data!$H$21:$H$613)),1)),""))</f>
        <v/>
      </c>
      <c r="E859" s="145" t="str">
        <f ca="1">IF($A859="","",IFERROR(INDEX(Market_Data!$L$21:$L$613,MATCH($A859,Market_Data!$K$21:INDEX(Market_Data!$K$21:$K$613,COUNT(Market_Data!$K$21:$K$613)),1)),""))</f>
        <v/>
      </c>
      <c r="F859" s="145" t="str">
        <f ca="1">IF($A859="","",IFERROR(INDEX(Market_Data!$O$21:$O$613,MATCH($A859,Market_Data!$N$21:INDEX(Market_Data!$N$21:$N$613,COUNT(Market_Data!$N$21:$N$613)),1)),""))</f>
        <v/>
      </c>
      <c r="G859" s="145" t="str">
        <f ca="1">IF($A859="","",IFERROR(INDEX(Market_Data!$R$21:$R$613,MATCH($A859,Market_Data!$Q$21:INDEX(Market_Data!$Q$21:$Q$613,COUNT(Market_Data!$Q$21:$Q$613)),1)),""))</f>
        <v/>
      </c>
      <c r="H859" s="145" t="str">
        <f ca="1">IF($A859="","",IFERROR(INDEX(Market_Data!$U$21:$U$613,MATCH($A859,Market_Data!$T$21:INDEX(Market_Data!$T$21:$T$613,COUNT(Market_Data!$T$21:$T$613)),1)),""))</f>
        <v/>
      </c>
      <c r="I859" s="146" t="str">
        <f ca="1">IF($A859="","",IFERROR(INDEX(Query1[Close],MATCH($A859,Query1[Date],1)),""))</f>
        <v/>
      </c>
    </row>
    <row r="860" spans="1:9" x14ac:dyDescent="0.3">
      <c r="A860" s="144" t="str">
        <f t="shared" ca="1" si="15"/>
        <v/>
      </c>
      <c r="B860" s="145" t="str">
        <f ca="1">IF($A860="","",IFERROR(INDEX(Market_Data!$C$21:$C$613,MATCH($A860,Market_Data!$B$21:INDEX(Market_Data!$B$21:$B$613,COUNT(Market_Data!$B$21:$B$613)),1)),""))</f>
        <v/>
      </c>
      <c r="C860" s="145" t="str">
        <f ca="1">IF($A860="","",IFERROR(INDEX(Market_Data!$F$21:$F$613,MATCH($A860,Market_Data!$E$21:INDEX(Market_Data!$E$21:$E$613,COUNT(Market_Data!$E$21:$E$613)),1)),""))</f>
        <v/>
      </c>
      <c r="D860" s="145" t="str">
        <f ca="1">IF($A860="","",IFERROR(INDEX(Market_Data!$I$21:$I$613,MATCH($A860,Market_Data!$H$21:INDEX(Market_Data!$H$21:$H$613,COUNT(Market_Data!$H$21:$H$613)),1)),""))</f>
        <v/>
      </c>
      <c r="E860" s="145" t="str">
        <f ca="1">IF($A860="","",IFERROR(INDEX(Market_Data!$L$21:$L$613,MATCH($A860,Market_Data!$K$21:INDEX(Market_Data!$K$21:$K$613,COUNT(Market_Data!$K$21:$K$613)),1)),""))</f>
        <v/>
      </c>
      <c r="F860" s="145" t="str">
        <f ca="1">IF($A860="","",IFERROR(INDEX(Market_Data!$O$21:$O$613,MATCH($A860,Market_Data!$N$21:INDEX(Market_Data!$N$21:$N$613,COUNT(Market_Data!$N$21:$N$613)),1)),""))</f>
        <v/>
      </c>
      <c r="G860" s="145" t="str">
        <f ca="1">IF($A860="","",IFERROR(INDEX(Market_Data!$R$21:$R$613,MATCH($A860,Market_Data!$Q$21:INDEX(Market_Data!$Q$21:$Q$613,COUNT(Market_Data!$Q$21:$Q$613)),1)),""))</f>
        <v/>
      </c>
      <c r="H860" s="145" t="str">
        <f ca="1">IF($A860="","",IFERROR(INDEX(Market_Data!$U$21:$U$613,MATCH($A860,Market_Data!$T$21:INDEX(Market_Data!$T$21:$T$613,COUNT(Market_Data!$T$21:$T$613)),1)),""))</f>
        <v/>
      </c>
      <c r="I860" s="146" t="str">
        <f ca="1">IF($A860="","",IFERROR(INDEX(Query1[Close],MATCH($A860,Query1[Date],1)),""))</f>
        <v/>
      </c>
    </row>
    <row r="861" spans="1:9" x14ac:dyDescent="0.3">
      <c r="A861" s="144" t="str">
        <f t="shared" ca="1" si="15"/>
        <v/>
      </c>
      <c r="B861" s="145" t="str">
        <f ca="1">IF($A861="","",IFERROR(INDEX(Market_Data!$C$21:$C$613,MATCH($A861,Market_Data!$B$21:INDEX(Market_Data!$B$21:$B$613,COUNT(Market_Data!$B$21:$B$613)),1)),""))</f>
        <v/>
      </c>
      <c r="C861" s="145" t="str">
        <f ca="1">IF($A861="","",IFERROR(INDEX(Market_Data!$F$21:$F$613,MATCH($A861,Market_Data!$E$21:INDEX(Market_Data!$E$21:$E$613,COUNT(Market_Data!$E$21:$E$613)),1)),""))</f>
        <v/>
      </c>
      <c r="D861" s="145" t="str">
        <f ca="1">IF($A861="","",IFERROR(INDEX(Market_Data!$I$21:$I$613,MATCH($A861,Market_Data!$H$21:INDEX(Market_Data!$H$21:$H$613,COUNT(Market_Data!$H$21:$H$613)),1)),""))</f>
        <v/>
      </c>
      <c r="E861" s="145" t="str">
        <f ca="1">IF($A861="","",IFERROR(INDEX(Market_Data!$L$21:$L$613,MATCH($A861,Market_Data!$K$21:INDEX(Market_Data!$K$21:$K$613,COUNT(Market_Data!$K$21:$K$613)),1)),""))</f>
        <v/>
      </c>
      <c r="F861" s="145" t="str">
        <f ca="1">IF($A861="","",IFERROR(INDEX(Market_Data!$O$21:$O$613,MATCH($A861,Market_Data!$N$21:INDEX(Market_Data!$N$21:$N$613,COUNT(Market_Data!$N$21:$N$613)),1)),""))</f>
        <v/>
      </c>
      <c r="G861" s="145" t="str">
        <f ca="1">IF($A861="","",IFERROR(INDEX(Market_Data!$R$21:$R$613,MATCH($A861,Market_Data!$Q$21:INDEX(Market_Data!$Q$21:$Q$613,COUNT(Market_Data!$Q$21:$Q$613)),1)),""))</f>
        <v/>
      </c>
      <c r="H861" s="145" t="str">
        <f ca="1">IF($A861="","",IFERROR(INDEX(Market_Data!$U$21:$U$613,MATCH($A861,Market_Data!$T$21:INDEX(Market_Data!$T$21:$T$613,COUNT(Market_Data!$T$21:$T$613)),1)),""))</f>
        <v/>
      </c>
      <c r="I861" s="146" t="str">
        <f ca="1">IF($A861="","",IFERROR(INDEX(Query1[Close],MATCH($A861,Query1[Date],1)),""))</f>
        <v/>
      </c>
    </row>
    <row r="862" spans="1:9" x14ac:dyDescent="0.3">
      <c r="A862" s="144" t="str">
        <f t="shared" ca="1" si="15"/>
        <v/>
      </c>
      <c r="B862" s="145" t="str">
        <f ca="1">IF($A862="","",IFERROR(INDEX(Market_Data!$C$21:$C$613,MATCH($A862,Market_Data!$B$21:INDEX(Market_Data!$B$21:$B$613,COUNT(Market_Data!$B$21:$B$613)),1)),""))</f>
        <v/>
      </c>
      <c r="C862" s="145" t="str">
        <f ca="1">IF($A862="","",IFERROR(INDEX(Market_Data!$F$21:$F$613,MATCH($A862,Market_Data!$E$21:INDEX(Market_Data!$E$21:$E$613,COUNT(Market_Data!$E$21:$E$613)),1)),""))</f>
        <v/>
      </c>
      <c r="D862" s="145" t="str">
        <f ca="1">IF($A862="","",IFERROR(INDEX(Market_Data!$I$21:$I$613,MATCH($A862,Market_Data!$H$21:INDEX(Market_Data!$H$21:$H$613,COUNT(Market_Data!$H$21:$H$613)),1)),""))</f>
        <v/>
      </c>
      <c r="E862" s="145" t="str">
        <f ca="1">IF($A862="","",IFERROR(INDEX(Market_Data!$L$21:$L$613,MATCH($A862,Market_Data!$K$21:INDEX(Market_Data!$K$21:$K$613,COUNT(Market_Data!$K$21:$K$613)),1)),""))</f>
        <v/>
      </c>
      <c r="F862" s="145" t="str">
        <f ca="1">IF($A862="","",IFERROR(INDEX(Market_Data!$O$21:$O$613,MATCH($A862,Market_Data!$N$21:INDEX(Market_Data!$N$21:$N$613,COUNT(Market_Data!$N$21:$N$613)),1)),""))</f>
        <v/>
      </c>
      <c r="G862" s="145" t="str">
        <f ca="1">IF($A862="","",IFERROR(INDEX(Market_Data!$R$21:$R$613,MATCH($A862,Market_Data!$Q$21:INDEX(Market_Data!$Q$21:$Q$613,COUNT(Market_Data!$Q$21:$Q$613)),1)),""))</f>
        <v/>
      </c>
      <c r="H862" s="145" t="str">
        <f ca="1">IF($A862="","",IFERROR(INDEX(Market_Data!$U$21:$U$613,MATCH($A862,Market_Data!$T$21:INDEX(Market_Data!$T$21:$T$613,COUNT(Market_Data!$T$21:$T$613)),1)),""))</f>
        <v/>
      </c>
      <c r="I862" s="146" t="str">
        <f ca="1">IF($A862="","",IFERROR(INDEX(Query1[Close],MATCH($A862,Query1[Date],1)),""))</f>
        <v/>
      </c>
    </row>
    <row r="863" spans="1:9" x14ac:dyDescent="0.3">
      <c r="A863" s="144" t="str">
        <f t="shared" ca="1" si="15"/>
        <v/>
      </c>
      <c r="B863" s="145" t="str">
        <f ca="1">IF($A863="","",IFERROR(INDEX(Market_Data!$C$21:$C$613,MATCH($A863,Market_Data!$B$21:INDEX(Market_Data!$B$21:$B$613,COUNT(Market_Data!$B$21:$B$613)),1)),""))</f>
        <v/>
      </c>
      <c r="C863" s="145" t="str">
        <f ca="1">IF($A863="","",IFERROR(INDEX(Market_Data!$F$21:$F$613,MATCH($A863,Market_Data!$E$21:INDEX(Market_Data!$E$21:$E$613,COUNT(Market_Data!$E$21:$E$613)),1)),""))</f>
        <v/>
      </c>
      <c r="D863" s="145" t="str">
        <f ca="1">IF($A863="","",IFERROR(INDEX(Market_Data!$I$21:$I$613,MATCH($A863,Market_Data!$H$21:INDEX(Market_Data!$H$21:$H$613,COUNT(Market_Data!$H$21:$H$613)),1)),""))</f>
        <v/>
      </c>
      <c r="E863" s="145" t="str">
        <f ca="1">IF($A863="","",IFERROR(INDEX(Market_Data!$L$21:$L$613,MATCH($A863,Market_Data!$K$21:INDEX(Market_Data!$K$21:$K$613,COUNT(Market_Data!$K$21:$K$613)),1)),""))</f>
        <v/>
      </c>
      <c r="F863" s="145" t="str">
        <f ca="1">IF($A863="","",IFERROR(INDEX(Market_Data!$O$21:$O$613,MATCH($A863,Market_Data!$N$21:INDEX(Market_Data!$N$21:$N$613,COUNT(Market_Data!$N$21:$N$613)),1)),""))</f>
        <v/>
      </c>
      <c r="G863" s="145" t="str">
        <f ca="1">IF($A863="","",IFERROR(INDEX(Market_Data!$R$21:$R$613,MATCH($A863,Market_Data!$Q$21:INDEX(Market_Data!$Q$21:$Q$613,COUNT(Market_Data!$Q$21:$Q$613)),1)),""))</f>
        <v/>
      </c>
      <c r="H863" s="145" t="str">
        <f ca="1">IF($A863="","",IFERROR(INDEX(Market_Data!$U$21:$U$613,MATCH($A863,Market_Data!$T$21:INDEX(Market_Data!$T$21:$T$613,COUNT(Market_Data!$T$21:$T$613)),1)),""))</f>
        <v/>
      </c>
      <c r="I863" s="146" t="str">
        <f ca="1">IF($A863="","",IFERROR(INDEX(Query1[Close],MATCH($A863,Query1[Date],1)),""))</f>
        <v/>
      </c>
    </row>
    <row r="864" spans="1:9" x14ac:dyDescent="0.3">
      <c r="A864" s="144" t="str">
        <f t="shared" ca="1" si="15"/>
        <v/>
      </c>
      <c r="B864" s="145" t="str">
        <f ca="1">IF($A864="","",IFERROR(INDEX(Market_Data!$C$21:$C$613,MATCH($A864,Market_Data!$B$21:INDEX(Market_Data!$B$21:$B$613,COUNT(Market_Data!$B$21:$B$613)),1)),""))</f>
        <v/>
      </c>
      <c r="C864" s="145" t="str">
        <f ca="1">IF($A864="","",IFERROR(INDEX(Market_Data!$F$21:$F$613,MATCH($A864,Market_Data!$E$21:INDEX(Market_Data!$E$21:$E$613,COUNT(Market_Data!$E$21:$E$613)),1)),""))</f>
        <v/>
      </c>
      <c r="D864" s="145" t="str">
        <f ca="1">IF($A864="","",IFERROR(INDEX(Market_Data!$I$21:$I$613,MATCH($A864,Market_Data!$H$21:INDEX(Market_Data!$H$21:$H$613,COUNT(Market_Data!$H$21:$H$613)),1)),""))</f>
        <v/>
      </c>
      <c r="E864" s="145" t="str">
        <f ca="1">IF($A864="","",IFERROR(INDEX(Market_Data!$L$21:$L$613,MATCH($A864,Market_Data!$K$21:INDEX(Market_Data!$K$21:$K$613,COUNT(Market_Data!$K$21:$K$613)),1)),""))</f>
        <v/>
      </c>
      <c r="F864" s="145" t="str">
        <f ca="1">IF($A864="","",IFERROR(INDEX(Market_Data!$O$21:$O$613,MATCH($A864,Market_Data!$N$21:INDEX(Market_Data!$N$21:$N$613,COUNT(Market_Data!$N$21:$N$613)),1)),""))</f>
        <v/>
      </c>
      <c r="G864" s="145" t="str">
        <f ca="1">IF($A864="","",IFERROR(INDEX(Market_Data!$R$21:$R$613,MATCH($A864,Market_Data!$Q$21:INDEX(Market_Data!$Q$21:$Q$613,COUNT(Market_Data!$Q$21:$Q$613)),1)),""))</f>
        <v/>
      </c>
      <c r="H864" s="145" t="str">
        <f ca="1">IF($A864="","",IFERROR(INDEX(Market_Data!$U$21:$U$613,MATCH($A864,Market_Data!$T$21:INDEX(Market_Data!$T$21:$T$613,COUNT(Market_Data!$T$21:$T$613)),1)),""))</f>
        <v/>
      </c>
      <c r="I864" s="146" t="str">
        <f ca="1">IF($A864="","",IFERROR(INDEX(Query1[Close],MATCH($A864,Query1[Date],1)),""))</f>
        <v/>
      </c>
    </row>
    <row r="865" spans="1:9" x14ac:dyDescent="0.3">
      <c r="A865" s="144" t="str">
        <f t="shared" ca="1" si="15"/>
        <v/>
      </c>
      <c r="B865" s="145" t="str">
        <f ca="1">IF($A865="","",IFERROR(INDEX(Market_Data!$C$21:$C$613,MATCH($A865,Market_Data!$B$21:INDEX(Market_Data!$B$21:$B$613,COUNT(Market_Data!$B$21:$B$613)),1)),""))</f>
        <v/>
      </c>
      <c r="C865" s="145" t="str">
        <f ca="1">IF($A865="","",IFERROR(INDEX(Market_Data!$F$21:$F$613,MATCH($A865,Market_Data!$E$21:INDEX(Market_Data!$E$21:$E$613,COUNT(Market_Data!$E$21:$E$613)),1)),""))</f>
        <v/>
      </c>
      <c r="D865" s="145" t="str">
        <f ca="1">IF($A865="","",IFERROR(INDEX(Market_Data!$I$21:$I$613,MATCH($A865,Market_Data!$H$21:INDEX(Market_Data!$H$21:$H$613,COUNT(Market_Data!$H$21:$H$613)),1)),""))</f>
        <v/>
      </c>
      <c r="E865" s="145" t="str">
        <f ca="1">IF($A865="","",IFERROR(INDEX(Market_Data!$L$21:$L$613,MATCH($A865,Market_Data!$K$21:INDEX(Market_Data!$K$21:$K$613,COUNT(Market_Data!$K$21:$K$613)),1)),""))</f>
        <v/>
      </c>
      <c r="F865" s="145" t="str">
        <f ca="1">IF($A865="","",IFERROR(INDEX(Market_Data!$O$21:$O$613,MATCH($A865,Market_Data!$N$21:INDEX(Market_Data!$N$21:$N$613,COUNT(Market_Data!$N$21:$N$613)),1)),""))</f>
        <v/>
      </c>
      <c r="G865" s="145" t="str">
        <f ca="1">IF($A865="","",IFERROR(INDEX(Market_Data!$R$21:$R$613,MATCH($A865,Market_Data!$Q$21:INDEX(Market_Data!$Q$21:$Q$613,COUNT(Market_Data!$Q$21:$Q$613)),1)),""))</f>
        <v/>
      </c>
      <c r="H865" s="145" t="str">
        <f ca="1">IF($A865="","",IFERROR(INDEX(Market_Data!$U$21:$U$613,MATCH($A865,Market_Data!$T$21:INDEX(Market_Data!$T$21:$T$613,COUNT(Market_Data!$T$21:$T$613)),1)),""))</f>
        <v/>
      </c>
      <c r="I865" s="146" t="str">
        <f ca="1">IF($A865="","",IFERROR(INDEX(Query1[Close],MATCH($A865,Query1[Date],1)),""))</f>
        <v/>
      </c>
    </row>
    <row r="866" spans="1:9" x14ac:dyDescent="0.3">
      <c r="A866" s="144" t="str">
        <f t="shared" ca="1" si="15"/>
        <v/>
      </c>
      <c r="B866" s="145" t="str">
        <f ca="1">IF($A866="","",IFERROR(INDEX(Market_Data!$C$21:$C$613,MATCH($A866,Market_Data!$B$21:INDEX(Market_Data!$B$21:$B$613,COUNT(Market_Data!$B$21:$B$613)),1)),""))</f>
        <v/>
      </c>
      <c r="C866" s="145" t="str">
        <f ca="1">IF($A866="","",IFERROR(INDEX(Market_Data!$F$21:$F$613,MATCH($A866,Market_Data!$E$21:INDEX(Market_Data!$E$21:$E$613,COUNT(Market_Data!$E$21:$E$613)),1)),""))</f>
        <v/>
      </c>
      <c r="D866" s="145" t="str">
        <f ca="1">IF($A866="","",IFERROR(INDEX(Market_Data!$I$21:$I$613,MATCH($A866,Market_Data!$H$21:INDEX(Market_Data!$H$21:$H$613,COUNT(Market_Data!$H$21:$H$613)),1)),""))</f>
        <v/>
      </c>
      <c r="E866" s="145" t="str">
        <f ca="1">IF($A866="","",IFERROR(INDEX(Market_Data!$L$21:$L$613,MATCH($A866,Market_Data!$K$21:INDEX(Market_Data!$K$21:$K$613,COUNT(Market_Data!$K$21:$K$613)),1)),""))</f>
        <v/>
      </c>
      <c r="F866" s="145" t="str">
        <f ca="1">IF($A866="","",IFERROR(INDEX(Market_Data!$O$21:$O$613,MATCH($A866,Market_Data!$N$21:INDEX(Market_Data!$N$21:$N$613,COUNT(Market_Data!$N$21:$N$613)),1)),""))</f>
        <v/>
      </c>
      <c r="G866" s="145" t="str">
        <f ca="1">IF($A866="","",IFERROR(INDEX(Market_Data!$R$21:$R$613,MATCH($A866,Market_Data!$Q$21:INDEX(Market_Data!$Q$21:$Q$613,COUNT(Market_Data!$Q$21:$Q$613)),1)),""))</f>
        <v/>
      </c>
      <c r="H866" s="145" t="str">
        <f ca="1">IF($A866="","",IFERROR(INDEX(Market_Data!$U$21:$U$613,MATCH($A866,Market_Data!$T$21:INDEX(Market_Data!$T$21:$T$613,COUNT(Market_Data!$T$21:$T$613)),1)),""))</f>
        <v/>
      </c>
      <c r="I866" s="146" t="str">
        <f ca="1">IF($A866="","",IFERROR(INDEX(Query1[Close],MATCH($A866,Query1[Date],1)),""))</f>
        <v/>
      </c>
    </row>
    <row r="867" spans="1:9" x14ac:dyDescent="0.3">
      <c r="A867" s="144" t="str">
        <f t="shared" ca="1" si="15"/>
        <v/>
      </c>
      <c r="B867" s="145" t="str">
        <f ca="1">IF($A867="","",IFERROR(INDEX(Market_Data!$C$21:$C$613,MATCH($A867,Market_Data!$B$21:INDEX(Market_Data!$B$21:$B$613,COUNT(Market_Data!$B$21:$B$613)),1)),""))</f>
        <v/>
      </c>
      <c r="C867" s="145" t="str">
        <f ca="1">IF($A867="","",IFERROR(INDEX(Market_Data!$F$21:$F$613,MATCH($A867,Market_Data!$E$21:INDEX(Market_Data!$E$21:$E$613,COUNT(Market_Data!$E$21:$E$613)),1)),""))</f>
        <v/>
      </c>
      <c r="D867" s="145" t="str">
        <f ca="1">IF($A867="","",IFERROR(INDEX(Market_Data!$I$21:$I$613,MATCH($A867,Market_Data!$H$21:INDEX(Market_Data!$H$21:$H$613,COUNT(Market_Data!$H$21:$H$613)),1)),""))</f>
        <v/>
      </c>
      <c r="E867" s="145" t="str">
        <f ca="1">IF($A867="","",IFERROR(INDEX(Market_Data!$L$21:$L$613,MATCH($A867,Market_Data!$K$21:INDEX(Market_Data!$K$21:$K$613,COUNT(Market_Data!$K$21:$K$613)),1)),""))</f>
        <v/>
      </c>
      <c r="F867" s="145" t="str">
        <f ca="1">IF($A867="","",IFERROR(INDEX(Market_Data!$O$21:$O$613,MATCH($A867,Market_Data!$N$21:INDEX(Market_Data!$N$21:$N$613,COUNT(Market_Data!$N$21:$N$613)),1)),""))</f>
        <v/>
      </c>
      <c r="G867" s="145" t="str">
        <f ca="1">IF($A867="","",IFERROR(INDEX(Market_Data!$R$21:$R$613,MATCH($A867,Market_Data!$Q$21:INDEX(Market_Data!$Q$21:$Q$613,COUNT(Market_Data!$Q$21:$Q$613)),1)),""))</f>
        <v/>
      </c>
      <c r="H867" s="145" t="str">
        <f ca="1">IF($A867="","",IFERROR(INDEX(Market_Data!$U$21:$U$613,MATCH($A867,Market_Data!$T$21:INDEX(Market_Data!$T$21:$T$613,COUNT(Market_Data!$T$21:$T$613)),1)),""))</f>
        <v/>
      </c>
      <c r="I867" s="146" t="str">
        <f ca="1">IF($A867="","",IFERROR(INDEX(Query1[Close],MATCH($A867,Query1[Date],1)),""))</f>
        <v/>
      </c>
    </row>
    <row r="868" spans="1:9" x14ac:dyDescent="0.3">
      <c r="A868" s="144" t="str">
        <f t="shared" ca="1" si="15"/>
        <v/>
      </c>
      <c r="B868" s="145" t="str">
        <f ca="1">IF($A868="","",IFERROR(INDEX(Market_Data!$C$21:$C$613,MATCH($A868,Market_Data!$B$21:INDEX(Market_Data!$B$21:$B$613,COUNT(Market_Data!$B$21:$B$613)),1)),""))</f>
        <v/>
      </c>
      <c r="C868" s="145" t="str">
        <f ca="1">IF($A868="","",IFERROR(INDEX(Market_Data!$F$21:$F$613,MATCH($A868,Market_Data!$E$21:INDEX(Market_Data!$E$21:$E$613,COUNT(Market_Data!$E$21:$E$613)),1)),""))</f>
        <v/>
      </c>
      <c r="D868" s="145" t="str">
        <f ca="1">IF($A868="","",IFERROR(INDEX(Market_Data!$I$21:$I$613,MATCH($A868,Market_Data!$H$21:INDEX(Market_Data!$H$21:$H$613,COUNT(Market_Data!$H$21:$H$613)),1)),""))</f>
        <v/>
      </c>
      <c r="E868" s="145" t="str">
        <f ca="1">IF($A868="","",IFERROR(INDEX(Market_Data!$L$21:$L$613,MATCH($A868,Market_Data!$K$21:INDEX(Market_Data!$K$21:$K$613,COUNT(Market_Data!$K$21:$K$613)),1)),""))</f>
        <v/>
      </c>
      <c r="F868" s="145" t="str">
        <f ca="1">IF($A868="","",IFERROR(INDEX(Market_Data!$O$21:$O$613,MATCH($A868,Market_Data!$N$21:INDEX(Market_Data!$N$21:$N$613,COUNT(Market_Data!$N$21:$N$613)),1)),""))</f>
        <v/>
      </c>
      <c r="G868" s="145" t="str">
        <f ca="1">IF($A868="","",IFERROR(INDEX(Market_Data!$R$21:$R$613,MATCH($A868,Market_Data!$Q$21:INDEX(Market_Data!$Q$21:$Q$613,COUNT(Market_Data!$Q$21:$Q$613)),1)),""))</f>
        <v/>
      </c>
      <c r="H868" s="145" t="str">
        <f ca="1">IF($A868="","",IFERROR(INDEX(Market_Data!$U$21:$U$613,MATCH($A868,Market_Data!$T$21:INDEX(Market_Data!$T$21:$T$613,COUNT(Market_Data!$T$21:$T$613)),1)),""))</f>
        <v/>
      </c>
      <c r="I868" s="146" t="str">
        <f ca="1">IF($A868="","",IFERROR(INDEX(Query1[Close],MATCH($A868,Query1[Date],1)),""))</f>
        <v/>
      </c>
    </row>
    <row r="869" spans="1:9" x14ac:dyDescent="0.3">
      <c r="A869" s="144" t="str">
        <f t="shared" ca="1" si="15"/>
        <v/>
      </c>
      <c r="B869" s="145" t="str">
        <f ca="1">IF($A869="","",IFERROR(INDEX(Market_Data!$C$21:$C$613,MATCH($A869,Market_Data!$B$21:INDEX(Market_Data!$B$21:$B$613,COUNT(Market_Data!$B$21:$B$613)),1)),""))</f>
        <v/>
      </c>
      <c r="C869" s="145" t="str">
        <f ca="1">IF($A869="","",IFERROR(INDEX(Market_Data!$F$21:$F$613,MATCH($A869,Market_Data!$E$21:INDEX(Market_Data!$E$21:$E$613,COUNT(Market_Data!$E$21:$E$613)),1)),""))</f>
        <v/>
      </c>
      <c r="D869" s="145" t="str">
        <f ca="1">IF($A869="","",IFERROR(INDEX(Market_Data!$I$21:$I$613,MATCH($A869,Market_Data!$H$21:INDEX(Market_Data!$H$21:$H$613,COUNT(Market_Data!$H$21:$H$613)),1)),""))</f>
        <v/>
      </c>
      <c r="E869" s="145" t="str">
        <f ca="1">IF($A869="","",IFERROR(INDEX(Market_Data!$L$21:$L$613,MATCH($A869,Market_Data!$K$21:INDEX(Market_Data!$K$21:$K$613,COUNT(Market_Data!$K$21:$K$613)),1)),""))</f>
        <v/>
      </c>
      <c r="F869" s="145" t="str">
        <f ca="1">IF($A869="","",IFERROR(INDEX(Market_Data!$O$21:$O$613,MATCH($A869,Market_Data!$N$21:INDEX(Market_Data!$N$21:$N$613,COUNT(Market_Data!$N$21:$N$613)),1)),""))</f>
        <v/>
      </c>
      <c r="G869" s="145" t="str">
        <f ca="1">IF($A869="","",IFERROR(INDEX(Market_Data!$R$21:$R$613,MATCH($A869,Market_Data!$Q$21:INDEX(Market_Data!$Q$21:$Q$613,COUNT(Market_Data!$Q$21:$Q$613)),1)),""))</f>
        <v/>
      </c>
      <c r="H869" s="145" t="str">
        <f ca="1">IF($A869="","",IFERROR(INDEX(Market_Data!$U$21:$U$613,MATCH($A869,Market_Data!$T$21:INDEX(Market_Data!$T$21:$T$613,COUNT(Market_Data!$T$21:$T$613)),1)),""))</f>
        <v/>
      </c>
      <c r="I869" s="146" t="str">
        <f ca="1">IF($A869="","",IFERROR(INDEX(Query1[Close],MATCH($A869,Query1[Date],1)),""))</f>
        <v/>
      </c>
    </row>
    <row r="870" spans="1:9" x14ac:dyDescent="0.3">
      <c r="A870" s="144" t="str">
        <f t="shared" ca="1" si="15"/>
        <v/>
      </c>
      <c r="B870" s="145" t="str">
        <f ca="1">IF($A870="","",IFERROR(INDEX(Market_Data!$C$21:$C$613,MATCH($A870,Market_Data!$B$21:INDEX(Market_Data!$B$21:$B$613,COUNT(Market_Data!$B$21:$B$613)),1)),""))</f>
        <v/>
      </c>
      <c r="C870" s="145" t="str">
        <f ca="1">IF($A870="","",IFERROR(INDEX(Market_Data!$F$21:$F$613,MATCH($A870,Market_Data!$E$21:INDEX(Market_Data!$E$21:$E$613,COUNT(Market_Data!$E$21:$E$613)),1)),""))</f>
        <v/>
      </c>
      <c r="D870" s="145" t="str">
        <f ca="1">IF($A870="","",IFERROR(INDEX(Market_Data!$I$21:$I$613,MATCH($A870,Market_Data!$H$21:INDEX(Market_Data!$H$21:$H$613,COUNT(Market_Data!$H$21:$H$613)),1)),""))</f>
        <v/>
      </c>
      <c r="E870" s="145" t="str">
        <f ca="1">IF($A870="","",IFERROR(INDEX(Market_Data!$L$21:$L$613,MATCH($A870,Market_Data!$K$21:INDEX(Market_Data!$K$21:$K$613,COUNT(Market_Data!$K$21:$K$613)),1)),""))</f>
        <v/>
      </c>
      <c r="F870" s="145" t="str">
        <f ca="1">IF($A870="","",IFERROR(INDEX(Market_Data!$O$21:$O$613,MATCH($A870,Market_Data!$N$21:INDEX(Market_Data!$N$21:$N$613,COUNT(Market_Data!$N$21:$N$613)),1)),""))</f>
        <v/>
      </c>
      <c r="G870" s="145" t="str">
        <f ca="1">IF($A870="","",IFERROR(INDEX(Market_Data!$R$21:$R$613,MATCH($A870,Market_Data!$Q$21:INDEX(Market_Data!$Q$21:$Q$613,COUNT(Market_Data!$Q$21:$Q$613)),1)),""))</f>
        <v/>
      </c>
      <c r="H870" s="145" t="str">
        <f ca="1">IF($A870="","",IFERROR(INDEX(Market_Data!$U$21:$U$613,MATCH($A870,Market_Data!$T$21:INDEX(Market_Data!$T$21:$T$613,COUNT(Market_Data!$T$21:$T$613)),1)),""))</f>
        <v/>
      </c>
      <c r="I870" s="146" t="str">
        <f ca="1">IF($A870="","",IFERROR(INDEX(Query1[Close],MATCH($A870,Query1[Date],1)),""))</f>
        <v/>
      </c>
    </row>
    <row r="871" spans="1:9" x14ac:dyDescent="0.3">
      <c r="A871" s="144" t="str">
        <f t="shared" ca="1" si="15"/>
        <v/>
      </c>
      <c r="B871" s="145" t="str">
        <f ca="1">IF($A871="","",IFERROR(INDEX(Market_Data!$C$21:$C$613,MATCH($A871,Market_Data!$B$21:INDEX(Market_Data!$B$21:$B$613,COUNT(Market_Data!$B$21:$B$613)),1)),""))</f>
        <v/>
      </c>
      <c r="C871" s="145" t="str">
        <f ca="1">IF($A871="","",IFERROR(INDEX(Market_Data!$F$21:$F$613,MATCH($A871,Market_Data!$E$21:INDEX(Market_Data!$E$21:$E$613,COUNT(Market_Data!$E$21:$E$613)),1)),""))</f>
        <v/>
      </c>
      <c r="D871" s="145" t="str">
        <f ca="1">IF($A871="","",IFERROR(INDEX(Market_Data!$I$21:$I$613,MATCH($A871,Market_Data!$H$21:INDEX(Market_Data!$H$21:$H$613,COUNT(Market_Data!$H$21:$H$613)),1)),""))</f>
        <v/>
      </c>
      <c r="E871" s="145" t="str">
        <f ca="1">IF($A871="","",IFERROR(INDEX(Market_Data!$L$21:$L$613,MATCH($A871,Market_Data!$K$21:INDEX(Market_Data!$K$21:$K$613,COUNT(Market_Data!$K$21:$K$613)),1)),""))</f>
        <v/>
      </c>
      <c r="F871" s="145" t="str">
        <f ca="1">IF($A871="","",IFERROR(INDEX(Market_Data!$O$21:$O$613,MATCH($A871,Market_Data!$N$21:INDEX(Market_Data!$N$21:$N$613,COUNT(Market_Data!$N$21:$N$613)),1)),""))</f>
        <v/>
      </c>
      <c r="G871" s="145" t="str">
        <f ca="1">IF($A871="","",IFERROR(INDEX(Market_Data!$R$21:$R$613,MATCH($A871,Market_Data!$Q$21:INDEX(Market_Data!$Q$21:$Q$613,COUNT(Market_Data!$Q$21:$Q$613)),1)),""))</f>
        <v/>
      </c>
      <c r="H871" s="145" t="str">
        <f ca="1">IF($A871="","",IFERROR(INDEX(Market_Data!$U$21:$U$613,MATCH($A871,Market_Data!$T$21:INDEX(Market_Data!$T$21:$T$613,COUNT(Market_Data!$T$21:$T$613)),1)),""))</f>
        <v/>
      </c>
      <c r="I871" s="146" t="str">
        <f ca="1">IF($A871="","",IFERROR(INDEX(Query1[Close],MATCH($A871,Query1[Date],1)),""))</f>
        <v/>
      </c>
    </row>
    <row r="872" spans="1:9" x14ac:dyDescent="0.3">
      <c r="A872" s="144" t="str">
        <f t="shared" ca="1" si="15"/>
        <v/>
      </c>
      <c r="B872" s="145" t="str">
        <f ca="1">IF($A872="","",IFERROR(INDEX(Market_Data!$C$21:$C$613,MATCH($A872,Market_Data!$B$21:INDEX(Market_Data!$B$21:$B$613,COUNT(Market_Data!$B$21:$B$613)),1)),""))</f>
        <v/>
      </c>
      <c r="C872" s="145" t="str">
        <f ca="1">IF($A872="","",IFERROR(INDEX(Market_Data!$F$21:$F$613,MATCH($A872,Market_Data!$E$21:INDEX(Market_Data!$E$21:$E$613,COUNT(Market_Data!$E$21:$E$613)),1)),""))</f>
        <v/>
      </c>
      <c r="D872" s="145" t="str">
        <f ca="1">IF($A872="","",IFERROR(INDEX(Market_Data!$I$21:$I$613,MATCH($A872,Market_Data!$H$21:INDEX(Market_Data!$H$21:$H$613,COUNT(Market_Data!$H$21:$H$613)),1)),""))</f>
        <v/>
      </c>
      <c r="E872" s="145" t="str">
        <f ca="1">IF($A872="","",IFERROR(INDEX(Market_Data!$L$21:$L$613,MATCH($A872,Market_Data!$K$21:INDEX(Market_Data!$K$21:$K$613,COUNT(Market_Data!$K$21:$K$613)),1)),""))</f>
        <v/>
      </c>
      <c r="F872" s="145" t="str">
        <f ca="1">IF($A872="","",IFERROR(INDEX(Market_Data!$O$21:$O$613,MATCH($A872,Market_Data!$N$21:INDEX(Market_Data!$N$21:$N$613,COUNT(Market_Data!$N$21:$N$613)),1)),""))</f>
        <v/>
      </c>
      <c r="G872" s="145" t="str">
        <f ca="1">IF($A872="","",IFERROR(INDEX(Market_Data!$R$21:$R$613,MATCH($A872,Market_Data!$Q$21:INDEX(Market_Data!$Q$21:$Q$613,COUNT(Market_Data!$Q$21:$Q$613)),1)),""))</f>
        <v/>
      </c>
      <c r="H872" s="145" t="str">
        <f ca="1">IF($A872="","",IFERROR(INDEX(Market_Data!$U$21:$U$613,MATCH($A872,Market_Data!$T$21:INDEX(Market_Data!$T$21:$T$613,COUNT(Market_Data!$T$21:$T$613)),1)),""))</f>
        <v/>
      </c>
      <c r="I872" s="146" t="str">
        <f ca="1">IF($A872="","",IFERROR(INDEX(Query1[Close],MATCH($A872,Query1[Date],1)),""))</f>
        <v/>
      </c>
    </row>
    <row r="873" spans="1:9" x14ac:dyDescent="0.3">
      <c r="A873" s="144" t="str">
        <f t="shared" ca="1" si="15"/>
        <v/>
      </c>
      <c r="B873" s="145" t="str">
        <f ca="1">IF($A873="","",IFERROR(INDEX(Market_Data!$C$21:$C$613,MATCH($A873,Market_Data!$B$21:INDEX(Market_Data!$B$21:$B$613,COUNT(Market_Data!$B$21:$B$613)),1)),""))</f>
        <v/>
      </c>
      <c r="C873" s="145" t="str">
        <f ca="1">IF($A873="","",IFERROR(INDEX(Market_Data!$F$21:$F$613,MATCH($A873,Market_Data!$E$21:INDEX(Market_Data!$E$21:$E$613,COUNT(Market_Data!$E$21:$E$613)),1)),""))</f>
        <v/>
      </c>
      <c r="D873" s="145" t="str">
        <f ca="1">IF($A873="","",IFERROR(INDEX(Market_Data!$I$21:$I$613,MATCH($A873,Market_Data!$H$21:INDEX(Market_Data!$H$21:$H$613,COUNT(Market_Data!$H$21:$H$613)),1)),""))</f>
        <v/>
      </c>
      <c r="E873" s="145" t="str">
        <f ca="1">IF($A873="","",IFERROR(INDEX(Market_Data!$L$21:$L$613,MATCH($A873,Market_Data!$K$21:INDEX(Market_Data!$K$21:$K$613,COUNT(Market_Data!$K$21:$K$613)),1)),""))</f>
        <v/>
      </c>
      <c r="F873" s="145" t="str">
        <f ca="1">IF($A873="","",IFERROR(INDEX(Market_Data!$O$21:$O$613,MATCH($A873,Market_Data!$N$21:INDEX(Market_Data!$N$21:$N$613,COUNT(Market_Data!$N$21:$N$613)),1)),""))</f>
        <v/>
      </c>
      <c r="G873" s="145" t="str">
        <f ca="1">IF($A873="","",IFERROR(INDEX(Market_Data!$R$21:$R$613,MATCH($A873,Market_Data!$Q$21:INDEX(Market_Data!$Q$21:$Q$613,COUNT(Market_Data!$Q$21:$Q$613)),1)),""))</f>
        <v/>
      </c>
      <c r="H873" s="145" t="str">
        <f ca="1">IF($A873="","",IFERROR(INDEX(Market_Data!$U$21:$U$613,MATCH($A873,Market_Data!$T$21:INDEX(Market_Data!$T$21:$T$613,COUNT(Market_Data!$T$21:$T$613)),1)),""))</f>
        <v/>
      </c>
      <c r="I873" s="146" t="str">
        <f ca="1">IF($A873="","",IFERROR(INDEX(Query1[Close],MATCH($A873,Query1[Date],1)),""))</f>
        <v/>
      </c>
    </row>
    <row r="874" spans="1:9" x14ac:dyDescent="0.3">
      <c r="A874" s="144" t="str">
        <f t="shared" ca="1" si="15"/>
        <v/>
      </c>
      <c r="B874" s="145" t="str">
        <f ca="1">IF($A874="","",IFERROR(INDEX(Market_Data!$C$21:$C$613,MATCH($A874,Market_Data!$B$21:INDEX(Market_Data!$B$21:$B$613,COUNT(Market_Data!$B$21:$B$613)),1)),""))</f>
        <v/>
      </c>
      <c r="C874" s="145" t="str">
        <f ca="1">IF($A874="","",IFERROR(INDEX(Market_Data!$F$21:$F$613,MATCH($A874,Market_Data!$E$21:INDEX(Market_Data!$E$21:$E$613,COUNT(Market_Data!$E$21:$E$613)),1)),""))</f>
        <v/>
      </c>
      <c r="D874" s="145" t="str">
        <f ca="1">IF($A874="","",IFERROR(INDEX(Market_Data!$I$21:$I$613,MATCH($A874,Market_Data!$H$21:INDEX(Market_Data!$H$21:$H$613,COUNT(Market_Data!$H$21:$H$613)),1)),""))</f>
        <v/>
      </c>
      <c r="E874" s="145" t="str">
        <f ca="1">IF($A874="","",IFERROR(INDEX(Market_Data!$L$21:$L$613,MATCH($A874,Market_Data!$K$21:INDEX(Market_Data!$K$21:$K$613,COUNT(Market_Data!$K$21:$K$613)),1)),""))</f>
        <v/>
      </c>
      <c r="F874" s="145" t="str">
        <f ca="1">IF($A874="","",IFERROR(INDEX(Market_Data!$O$21:$O$613,MATCH($A874,Market_Data!$N$21:INDEX(Market_Data!$N$21:$N$613,COUNT(Market_Data!$N$21:$N$613)),1)),""))</f>
        <v/>
      </c>
      <c r="G874" s="145" t="str">
        <f ca="1">IF($A874="","",IFERROR(INDEX(Market_Data!$R$21:$R$613,MATCH($A874,Market_Data!$Q$21:INDEX(Market_Data!$Q$21:$Q$613,COUNT(Market_Data!$Q$21:$Q$613)),1)),""))</f>
        <v/>
      </c>
      <c r="H874" s="145" t="str">
        <f ca="1">IF($A874="","",IFERROR(INDEX(Market_Data!$U$21:$U$613,MATCH($A874,Market_Data!$T$21:INDEX(Market_Data!$T$21:$T$613,COUNT(Market_Data!$T$21:$T$613)),1)),""))</f>
        <v/>
      </c>
      <c r="I874" s="146" t="str">
        <f ca="1">IF($A874="","",IFERROR(INDEX(Query1[Close],MATCH($A874,Query1[Date],1)),""))</f>
        <v/>
      </c>
    </row>
    <row r="875" spans="1:9" x14ac:dyDescent="0.3">
      <c r="A875" s="144" t="str">
        <f t="shared" ca="1" si="15"/>
        <v/>
      </c>
      <c r="B875" s="145" t="str">
        <f ca="1">IF($A875="","",IFERROR(INDEX(Market_Data!$C$21:$C$613,MATCH($A875,Market_Data!$B$21:INDEX(Market_Data!$B$21:$B$613,COUNT(Market_Data!$B$21:$B$613)),1)),""))</f>
        <v/>
      </c>
      <c r="C875" s="145" t="str">
        <f ca="1">IF($A875="","",IFERROR(INDEX(Market_Data!$F$21:$F$613,MATCH($A875,Market_Data!$E$21:INDEX(Market_Data!$E$21:$E$613,COUNT(Market_Data!$E$21:$E$613)),1)),""))</f>
        <v/>
      </c>
      <c r="D875" s="145" t="str">
        <f ca="1">IF($A875="","",IFERROR(INDEX(Market_Data!$I$21:$I$613,MATCH($A875,Market_Data!$H$21:INDEX(Market_Data!$H$21:$H$613,COUNT(Market_Data!$H$21:$H$613)),1)),""))</f>
        <v/>
      </c>
      <c r="E875" s="145" t="str">
        <f ca="1">IF($A875="","",IFERROR(INDEX(Market_Data!$L$21:$L$613,MATCH($A875,Market_Data!$K$21:INDEX(Market_Data!$K$21:$K$613,COUNT(Market_Data!$K$21:$K$613)),1)),""))</f>
        <v/>
      </c>
      <c r="F875" s="145" t="str">
        <f ca="1">IF($A875="","",IFERROR(INDEX(Market_Data!$O$21:$O$613,MATCH($A875,Market_Data!$N$21:INDEX(Market_Data!$N$21:$N$613,COUNT(Market_Data!$N$21:$N$613)),1)),""))</f>
        <v/>
      </c>
      <c r="G875" s="145" t="str">
        <f ca="1">IF($A875="","",IFERROR(INDEX(Market_Data!$R$21:$R$613,MATCH($A875,Market_Data!$Q$21:INDEX(Market_Data!$Q$21:$Q$613,COUNT(Market_Data!$Q$21:$Q$613)),1)),""))</f>
        <v/>
      </c>
      <c r="H875" s="145" t="str">
        <f ca="1">IF($A875="","",IFERROR(INDEX(Market_Data!$U$21:$U$613,MATCH($A875,Market_Data!$T$21:INDEX(Market_Data!$T$21:$T$613,COUNT(Market_Data!$T$21:$T$613)),1)),""))</f>
        <v/>
      </c>
      <c r="I875" s="146" t="str">
        <f ca="1">IF($A875="","",IFERROR(INDEX(Query1[Close],MATCH($A875,Query1[Date],1)),""))</f>
        <v/>
      </c>
    </row>
    <row r="876" spans="1:9" x14ac:dyDescent="0.3">
      <c r="A876" s="144" t="str">
        <f t="shared" ca="1" si="15"/>
        <v/>
      </c>
      <c r="B876" s="145" t="str">
        <f ca="1">IF($A876="","",IFERROR(INDEX(Market_Data!$C$21:$C$613,MATCH($A876,Market_Data!$B$21:INDEX(Market_Data!$B$21:$B$613,COUNT(Market_Data!$B$21:$B$613)),1)),""))</f>
        <v/>
      </c>
      <c r="C876" s="145" t="str">
        <f ca="1">IF($A876="","",IFERROR(INDEX(Market_Data!$F$21:$F$613,MATCH($A876,Market_Data!$E$21:INDEX(Market_Data!$E$21:$E$613,COUNT(Market_Data!$E$21:$E$613)),1)),""))</f>
        <v/>
      </c>
      <c r="D876" s="145" t="str">
        <f ca="1">IF($A876="","",IFERROR(INDEX(Market_Data!$I$21:$I$613,MATCH($A876,Market_Data!$H$21:INDEX(Market_Data!$H$21:$H$613,COUNT(Market_Data!$H$21:$H$613)),1)),""))</f>
        <v/>
      </c>
      <c r="E876" s="145" t="str">
        <f ca="1">IF($A876="","",IFERROR(INDEX(Market_Data!$L$21:$L$613,MATCH($A876,Market_Data!$K$21:INDEX(Market_Data!$K$21:$K$613,COUNT(Market_Data!$K$21:$K$613)),1)),""))</f>
        <v/>
      </c>
      <c r="F876" s="145" t="str">
        <f ca="1">IF($A876="","",IFERROR(INDEX(Market_Data!$O$21:$O$613,MATCH($A876,Market_Data!$N$21:INDEX(Market_Data!$N$21:$N$613,COUNT(Market_Data!$N$21:$N$613)),1)),""))</f>
        <v/>
      </c>
      <c r="G876" s="145" t="str">
        <f ca="1">IF($A876="","",IFERROR(INDEX(Market_Data!$R$21:$R$613,MATCH($A876,Market_Data!$Q$21:INDEX(Market_Data!$Q$21:$Q$613,COUNT(Market_Data!$Q$21:$Q$613)),1)),""))</f>
        <v/>
      </c>
      <c r="H876" s="145" t="str">
        <f ca="1">IF($A876="","",IFERROR(INDEX(Market_Data!$U$21:$U$613,MATCH($A876,Market_Data!$T$21:INDEX(Market_Data!$T$21:$T$613,COUNT(Market_Data!$T$21:$T$613)),1)),""))</f>
        <v/>
      </c>
      <c r="I876" s="146" t="str">
        <f ca="1">IF($A876="","",IFERROR(INDEX(Query1[Close],MATCH($A876,Query1[Date],1)),""))</f>
        <v/>
      </c>
    </row>
    <row r="877" spans="1:9" x14ac:dyDescent="0.3">
      <c r="A877" s="144" t="str">
        <f t="shared" ca="1" si="15"/>
        <v/>
      </c>
      <c r="B877" s="145" t="str">
        <f ca="1">IF($A877="","",IFERROR(INDEX(Market_Data!$C$21:$C$613,MATCH($A877,Market_Data!$B$21:INDEX(Market_Data!$B$21:$B$613,COUNT(Market_Data!$B$21:$B$613)),1)),""))</f>
        <v/>
      </c>
      <c r="C877" s="145" t="str">
        <f ca="1">IF($A877="","",IFERROR(INDEX(Market_Data!$F$21:$F$613,MATCH($A877,Market_Data!$E$21:INDEX(Market_Data!$E$21:$E$613,COUNT(Market_Data!$E$21:$E$613)),1)),""))</f>
        <v/>
      </c>
      <c r="D877" s="145" t="str">
        <f ca="1">IF($A877="","",IFERROR(INDEX(Market_Data!$I$21:$I$613,MATCH($A877,Market_Data!$H$21:INDEX(Market_Data!$H$21:$H$613,COUNT(Market_Data!$H$21:$H$613)),1)),""))</f>
        <v/>
      </c>
      <c r="E877" s="145" t="str">
        <f ca="1">IF($A877="","",IFERROR(INDEX(Market_Data!$L$21:$L$613,MATCH($A877,Market_Data!$K$21:INDEX(Market_Data!$K$21:$K$613,COUNT(Market_Data!$K$21:$K$613)),1)),""))</f>
        <v/>
      </c>
      <c r="F877" s="145" t="str">
        <f ca="1">IF($A877="","",IFERROR(INDEX(Market_Data!$O$21:$O$613,MATCH($A877,Market_Data!$N$21:INDEX(Market_Data!$N$21:$N$613,COUNT(Market_Data!$N$21:$N$613)),1)),""))</f>
        <v/>
      </c>
      <c r="G877" s="145" t="str">
        <f ca="1">IF($A877="","",IFERROR(INDEX(Market_Data!$R$21:$R$613,MATCH($A877,Market_Data!$Q$21:INDEX(Market_Data!$Q$21:$Q$613,COUNT(Market_Data!$Q$21:$Q$613)),1)),""))</f>
        <v/>
      </c>
      <c r="H877" s="145" t="str">
        <f ca="1">IF($A877="","",IFERROR(INDEX(Market_Data!$U$21:$U$613,MATCH($A877,Market_Data!$T$21:INDEX(Market_Data!$T$21:$T$613,COUNT(Market_Data!$T$21:$T$613)),1)),""))</f>
        <v/>
      </c>
      <c r="I877" s="146" t="str">
        <f ca="1">IF($A877="","",IFERROR(INDEX(Query1[Close],MATCH($A877,Query1[Date],1)),""))</f>
        <v/>
      </c>
    </row>
    <row r="878" spans="1:9" x14ac:dyDescent="0.3">
      <c r="A878" s="144" t="str">
        <f t="shared" ca="1" si="15"/>
        <v/>
      </c>
      <c r="B878" s="145" t="str">
        <f ca="1">IF($A878="","",IFERROR(INDEX(Market_Data!$C$21:$C$613,MATCH($A878,Market_Data!$B$21:INDEX(Market_Data!$B$21:$B$613,COUNT(Market_Data!$B$21:$B$613)),1)),""))</f>
        <v/>
      </c>
      <c r="C878" s="145" t="str">
        <f ca="1">IF($A878="","",IFERROR(INDEX(Market_Data!$F$21:$F$613,MATCH($A878,Market_Data!$E$21:INDEX(Market_Data!$E$21:$E$613,COUNT(Market_Data!$E$21:$E$613)),1)),""))</f>
        <v/>
      </c>
      <c r="D878" s="145" t="str">
        <f ca="1">IF($A878="","",IFERROR(INDEX(Market_Data!$I$21:$I$613,MATCH($A878,Market_Data!$H$21:INDEX(Market_Data!$H$21:$H$613,COUNT(Market_Data!$H$21:$H$613)),1)),""))</f>
        <v/>
      </c>
      <c r="E878" s="145" t="str">
        <f ca="1">IF($A878="","",IFERROR(INDEX(Market_Data!$L$21:$L$613,MATCH($A878,Market_Data!$K$21:INDEX(Market_Data!$K$21:$K$613,COUNT(Market_Data!$K$21:$K$613)),1)),""))</f>
        <v/>
      </c>
      <c r="F878" s="145" t="str">
        <f ca="1">IF($A878="","",IFERROR(INDEX(Market_Data!$O$21:$O$613,MATCH($A878,Market_Data!$N$21:INDEX(Market_Data!$N$21:$N$613,COUNT(Market_Data!$N$21:$N$613)),1)),""))</f>
        <v/>
      </c>
      <c r="G878" s="145" t="str">
        <f ca="1">IF($A878="","",IFERROR(INDEX(Market_Data!$R$21:$R$613,MATCH($A878,Market_Data!$Q$21:INDEX(Market_Data!$Q$21:$Q$613,COUNT(Market_Data!$Q$21:$Q$613)),1)),""))</f>
        <v/>
      </c>
      <c r="H878" s="145" t="str">
        <f ca="1">IF($A878="","",IFERROR(INDEX(Market_Data!$U$21:$U$613,MATCH($A878,Market_Data!$T$21:INDEX(Market_Data!$T$21:$T$613,COUNT(Market_Data!$T$21:$T$613)),1)),""))</f>
        <v/>
      </c>
      <c r="I878" s="146" t="str">
        <f ca="1">IF($A878="","",IFERROR(INDEX(Query1[Close],MATCH($A878,Query1[Date],1)),""))</f>
        <v/>
      </c>
    </row>
    <row r="879" spans="1:9" x14ac:dyDescent="0.3">
      <c r="A879" s="144" t="str">
        <f t="shared" ca="1" si="15"/>
        <v/>
      </c>
      <c r="B879" s="145" t="str">
        <f ca="1">IF($A879="","",IFERROR(INDEX(Market_Data!$C$21:$C$613,MATCH($A879,Market_Data!$B$21:INDEX(Market_Data!$B$21:$B$613,COUNT(Market_Data!$B$21:$B$613)),1)),""))</f>
        <v/>
      </c>
      <c r="C879" s="145" t="str">
        <f ca="1">IF($A879="","",IFERROR(INDEX(Market_Data!$F$21:$F$613,MATCH($A879,Market_Data!$E$21:INDEX(Market_Data!$E$21:$E$613,COUNT(Market_Data!$E$21:$E$613)),1)),""))</f>
        <v/>
      </c>
      <c r="D879" s="145" t="str">
        <f ca="1">IF($A879="","",IFERROR(INDEX(Market_Data!$I$21:$I$613,MATCH($A879,Market_Data!$H$21:INDEX(Market_Data!$H$21:$H$613,COUNT(Market_Data!$H$21:$H$613)),1)),""))</f>
        <v/>
      </c>
      <c r="E879" s="145" t="str">
        <f ca="1">IF($A879="","",IFERROR(INDEX(Market_Data!$L$21:$L$613,MATCH($A879,Market_Data!$K$21:INDEX(Market_Data!$K$21:$K$613,COUNT(Market_Data!$K$21:$K$613)),1)),""))</f>
        <v/>
      </c>
      <c r="F879" s="145" t="str">
        <f ca="1">IF($A879="","",IFERROR(INDEX(Market_Data!$O$21:$O$613,MATCH($A879,Market_Data!$N$21:INDEX(Market_Data!$N$21:$N$613,COUNT(Market_Data!$N$21:$N$613)),1)),""))</f>
        <v/>
      </c>
      <c r="G879" s="145" t="str">
        <f ca="1">IF($A879="","",IFERROR(INDEX(Market_Data!$R$21:$R$613,MATCH($A879,Market_Data!$Q$21:INDEX(Market_Data!$Q$21:$Q$613,COUNT(Market_Data!$Q$21:$Q$613)),1)),""))</f>
        <v/>
      </c>
      <c r="H879" s="145" t="str">
        <f ca="1">IF($A879="","",IFERROR(INDEX(Market_Data!$U$21:$U$613,MATCH($A879,Market_Data!$T$21:INDEX(Market_Data!$T$21:$T$613,COUNT(Market_Data!$T$21:$T$613)),1)),""))</f>
        <v/>
      </c>
      <c r="I879" s="146" t="str">
        <f ca="1">IF($A879="","",IFERROR(INDEX(Query1[Close],MATCH($A879,Query1[Date],1)),""))</f>
        <v/>
      </c>
    </row>
    <row r="880" spans="1:9" x14ac:dyDescent="0.3">
      <c r="A880" s="144" t="str">
        <f t="shared" ca="1" si="15"/>
        <v/>
      </c>
      <c r="B880" s="145" t="str">
        <f ca="1">IF($A880="","",IFERROR(INDEX(Market_Data!$C$21:$C$613,MATCH($A880,Market_Data!$B$21:INDEX(Market_Data!$B$21:$B$613,COUNT(Market_Data!$B$21:$B$613)),1)),""))</f>
        <v/>
      </c>
      <c r="C880" s="145" t="str">
        <f ca="1">IF($A880="","",IFERROR(INDEX(Market_Data!$F$21:$F$613,MATCH($A880,Market_Data!$E$21:INDEX(Market_Data!$E$21:$E$613,COUNT(Market_Data!$E$21:$E$613)),1)),""))</f>
        <v/>
      </c>
      <c r="D880" s="145" t="str">
        <f ca="1">IF($A880="","",IFERROR(INDEX(Market_Data!$I$21:$I$613,MATCH($A880,Market_Data!$H$21:INDEX(Market_Data!$H$21:$H$613,COUNT(Market_Data!$H$21:$H$613)),1)),""))</f>
        <v/>
      </c>
      <c r="E880" s="145" t="str">
        <f ca="1">IF($A880="","",IFERROR(INDEX(Market_Data!$L$21:$L$613,MATCH($A880,Market_Data!$K$21:INDEX(Market_Data!$K$21:$K$613,COUNT(Market_Data!$K$21:$K$613)),1)),""))</f>
        <v/>
      </c>
      <c r="F880" s="145" t="str">
        <f ca="1">IF($A880="","",IFERROR(INDEX(Market_Data!$O$21:$O$613,MATCH($A880,Market_Data!$N$21:INDEX(Market_Data!$N$21:$N$613,COUNT(Market_Data!$N$21:$N$613)),1)),""))</f>
        <v/>
      </c>
      <c r="G880" s="145" t="str">
        <f ca="1">IF($A880="","",IFERROR(INDEX(Market_Data!$R$21:$R$613,MATCH($A880,Market_Data!$Q$21:INDEX(Market_Data!$Q$21:$Q$613,COUNT(Market_Data!$Q$21:$Q$613)),1)),""))</f>
        <v/>
      </c>
      <c r="H880" s="145" t="str">
        <f ca="1">IF($A880="","",IFERROR(INDEX(Market_Data!$U$21:$U$613,MATCH($A880,Market_Data!$T$21:INDEX(Market_Data!$T$21:$T$613,COUNT(Market_Data!$T$21:$T$613)),1)),""))</f>
        <v/>
      </c>
      <c r="I880" s="146" t="str">
        <f ca="1">IF($A880="","",IFERROR(INDEX(Query1[Close],MATCH($A880,Query1[Date],1)),""))</f>
        <v/>
      </c>
    </row>
    <row r="881" spans="1:9" x14ac:dyDescent="0.3">
      <c r="A881" s="144" t="str">
        <f t="shared" ca="1" si="15"/>
        <v/>
      </c>
      <c r="B881" s="145" t="str">
        <f ca="1">IF($A881="","",IFERROR(INDEX(Market_Data!$C$21:$C$613,MATCH($A881,Market_Data!$B$21:INDEX(Market_Data!$B$21:$B$613,COUNT(Market_Data!$B$21:$B$613)),1)),""))</f>
        <v/>
      </c>
      <c r="C881" s="145" t="str">
        <f ca="1">IF($A881="","",IFERROR(INDEX(Market_Data!$F$21:$F$613,MATCH($A881,Market_Data!$E$21:INDEX(Market_Data!$E$21:$E$613,COUNT(Market_Data!$E$21:$E$613)),1)),""))</f>
        <v/>
      </c>
      <c r="D881" s="145" t="str">
        <f ca="1">IF($A881="","",IFERROR(INDEX(Market_Data!$I$21:$I$613,MATCH($A881,Market_Data!$H$21:INDEX(Market_Data!$H$21:$H$613,COUNT(Market_Data!$H$21:$H$613)),1)),""))</f>
        <v/>
      </c>
      <c r="E881" s="145" t="str">
        <f ca="1">IF($A881="","",IFERROR(INDEX(Market_Data!$L$21:$L$613,MATCH($A881,Market_Data!$K$21:INDEX(Market_Data!$K$21:$K$613,COUNT(Market_Data!$K$21:$K$613)),1)),""))</f>
        <v/>
      </c>
      <c r="F881" s="145" t="str">
        <f ca="1">IF($A881="","",IFERROR(INDEX(Market_Data!$O$21:$O$613,MATCH($A881,Market_Data!$N$21:INDEX(Market_Data!$N$21:$N$613,COUNT(Market_Data!$N$21:$N$613)),1)),""))</f>
        <v/>
      </c>
      <c r="G881" s="145" t="str">
        <f ca="1">IF($A881="","",IFERROR(INDEX(Market_Data!$R$21:$R$613,MATCH($A881,Market_Data!$Q$21:INDEX(Market_Data!$Q$21:$Q$613,COUNT(Market_Data!$Q$21:$Q$613)),1)),""))</f>
        <v/>
      </c>
      <c r="H881" s="145" t="str">
        <f ca="1">IF($A881="","",IFERROR(INDEX(Market_Data!$U$21:$U$613,MATCH($A881,Market_Data!$T$21:INDEX(Market_Data!$T$21:$T$613,COUNT(Market_Data!$T$21:$T$613)),1)),""))</f>
        <v/>
      </c>
      <c r="I881" s="146" t="str">
        <f ca="1">IF($A881="","",IFERROR(INDEX(Query1[Close],MATCH($A881,Query1[Date],1)),""))</f>
        <v/>
      </c>
    </row>
    <row r="882" spans="1:9" x14ac:dyDescent="0.3">
      <c r="A882" s="144" t="str">
        <f t="shared" ca="1" si="15"/>
        <v/>
      </c>
      <c r="B882" s="145" t="str">
        <f ca="1">IF($A882="","",IFERROR(INDEX(Market_Data!$C$21:$C$613,MATCH($A882,Market_Data!$B$21:INDEX(Market_Data!$B$21:$B$613,COUNT(Market_Data!$B$21:$B$613)),1)),""))</f>
        <v/>
      </c>
      <c r="C882" s="145" t="str">
        <f ca="1">IF($A882="","",IFERROR(INDEX(Market_Data!$F$21:$F$613,MATCH($A882,Market_Data!$E$21:INDEX(Market_Data!$E$21:$E$613,COUNT(Market_Data!$E$21:$E$613)),1)),""))</f>
        <v/>
      </c>
      <c r="D882" s="145" t="str">
        <f ca="1">IF($A882="","",IFERROR(INDEX(Market_Data!$I$21:$I$613,MATCH($A882,Market_Data!$H$21:INDEX(Market_Data!$H$21:$H$613,COUNT(Market_Data!$H$21:$H$613)),1)),""))</f>
        <v/>
      </c>
      <c r="E882" s="145" t="str">
        <f ca="1">IF($A882="","",IFERROR(INDEX(Market_Data!$L$21:$L$613,MATCH($A882,Market_Data!$K$21:INDEX(Market_Data!$K$21:$K$613,COUNT(Market_Data!$K$21:$K$613)),1)),""))</f>
        <v/>
      </c>
      <c r="F882" s="145" t="str">
        <f ca="1">IF($A882="","",IFERROR(INDEX(Market_Data!$O$21:$O$613,MATCH($A882,Market_Data!$N$21:INDEX(Market_Data!$N$21:$N$613,COUNT(Market_Data!$N$21:$N$613)),1)),""))</f>
        <v/>
      </c>
      <c r="G882" s="145" t="str">
        <f ca="1">IF($A882="","",IFERROR(INDEX(Market_Data!$R$21:$R$613,MATCH($A882,Market_Data!$Q$21:INDEX(Market_Data!$Q$21:$Q$613,COUNT(Market_Data!$Q$21:$Q$613)),1)),""))</f>
        <v/>
      </c>
      <c r="H882" s="145" t="str">
        <f ca="1">IF($A882="","",IFERROR(INDEX(Market_Data!$U$21:$U$613,MATCH($A882,Market_Data!$T$21:INDEX(Market_Data!$T$21:$T$613,COUNT(Market_Data!$T$21:$T$613)),1)),""))</f>
        <v/>
      </c>
      <c r="I882" s="146" t="str">
        <f ca="1">IF($A882="","",IFERROR(INDEX(Query1[Close],MATCH($A882,Query1[Date],1)),""))</f>
        <v/>
      </c>
    </row>
    <row r="883" spans="1:9" x14ac:dyDescent="0.3">
      <c r="A883" s="144" t="str">
        <f t="shared" ca="1" si="15"/>
        <v/>
      </c>
      <c r="B883" s="145" t="str">
        <f ca="1">IF($A883="","",IFERROR(INDEX(Market_Data!$C$21:$C$613,MATCH($A883,Market_Data!$B$21:INDEX(Market_Data!$B$21:$B$613,COUNT(Market_Data!$B$21:$B$613)),1)),""))</f>
        <v/>
      </c>
      <c r="C883" s="145" t="str">
        <f ca="1">IF($A883="","",IFERROR(INDEX(Market_Data!$F$21:$F$613,MATCH($A883,Market_Data!$E$21:INDEX(Market_Data!$E$21:$E$613,COUNT(Market_Data!$E$21:$E$613)),1)),""))</f>
        <v/>
      </c>
      <c r="D883" s="145" t="str">
        <f ca="1">IF($A883="","",IFERROR(INDEX(Market_Data!$I$21:$I$613,MATCH($A883,Market_Data!$H$21:INDEX(Market_Data!$H$21:$H$613,COUNT(Market_Data!$H$21:$H$613)),1)),""))</f>
        <v/>
      </c>
      <c r="E883" s="145" t="str">
        <f ca="1">IF($A883="","",IFERROR(INDEX(Market_Data!$L$21:$L$613,MATCH($A883,Market_Data!$K$21:INDEX(Market_Data!$K$21:$K$613,COUNT(Market_Data!$K$21:$K$613)),1)),""))</f>
        <v/>
      </c>
      <c r="F883" s="145" t="str">
        <f ca="1">IF($A883="","",IFERROR(INDEX(Market_Data!$O$21:$O$613,MATCH($A883,Market_Data!$N$21:INDEX(Market_Data!$N$21:$N$613,COUNT(Market_Data!$N$21:$N$613)),1)),""))</f>
        <v/>
      </c>
      <c r="G883" s="145" t="str">
        <f ca="1">IF($A883="","",IFERROR(INDEX(Market_Data!$R$21:$R$613,MATCH($A883,Market_Data!$Q$21:INDEX(Market_Data!$Q$21:$Q$613,COUNT(Market_Data!$Q$21:$Q$613)),1)),""))</f>
        <v/>
      </c>
      <c r="H883" s="145" t="str">
        <f ca="1">IF($A883="","",IFERROR(INDEX(Market_Data!$U$21:$U$613,MATCH($A883,Market_Data!$T$21:INDEX(Market_Data!$T$21:$T$613,COUNT(Market_Data!$T$21:$T$613)),1)),""))</f>
        <v/>
      </c>
      <c r="I883" s="146" t="str">
        <f ca="1">IF($A883="","",IFERROR(INDEX(Query1[Close],MATCH($A883,Query1[Date],1)),""))</f>
        <v/>
      </c>
    </row>
    <row r="884" spans="1:9" x14ac:dyDescent="0.3">
      <c r="A884" s="144" t="str">
        <f t="shared" ca="1" si="15"/>
        <v/>
      </c>
      <c r="B884" s="145" t="str">
        <f ca="1">IF($A884="","",IFERROR(INDEX(Market_Data!$C$21:$C$613,MATCH($A884,Market_Data!$B$21:INDEX(Market_Data!$B$21:$B$613,COUNT(Market_Data!$B$21:$B$613)),1)),""))</f>
        <v/>
      </c>
      <c r="C884" s="145" t="str">
        <f ca="1">IF($A884="","",IFERROR(INDEX(Market_Data!$F$21:$F$613,MATCH($A884,Market_Data!$E$21:INDEX(Market_Data!$E$21:$E$613,COUNT(Market_Data!$E$21:$E$613)),1)),""))</f>
        <v/>
      </c>
      <c r="D884" s="145" t="str">
        <f ca="1">IF($A884="","",IFERROR(INDEX(Market_Data!$I$21:$I$613,MATCH($A884,Market_Data!$H$21:INDEX(Market_Data!$H$21:$H$613,COUNT(Market_Data!$H$21:$H$613)),1)),""))</f>
        <v/>
      </c>
      <c r="E884" s="145" t="str">
        <f ca="1">IF($A884="","",IFERROR(INDEX(Market_Data!$L$21:$L$613,MATCH($A884,Market_Data!$K$21:INDEX(Market_Data!$K$21:$K$613,COUNT(Market_Data!$K$21:$K$613)),1)),""))</f>
        <v/>
      </c>
      <c r="F884" s="145" t="str">
        <f ca="1">IF($A884="","",IFERROR(INDEX(Market_Data!$O$21:$O$613,MATCH($A884,Market_Data!$N$21:INDEX(Market_Data!$N$21:$N$613,COUNT(Market_Data!$N$21:$N$613)),1)),""))</f>
        <v/>
      </c>
      <c r="G884" s="145" t="str">
        <f ca="1">IF($A884="","",IFERROR(INDEX(Market_Data!$R$21:$R$613,MATCH($A884,Market_Data!$Q$21:INDEX(Market_Data!$Q$21:$Q$613,COUNT(Market_Data!$Q$21:$Q$613)),1)),""))</f>
        <v/>
      </c>
      <c r="H884" s="145" t="str">
        <f ca="1">IF($A884="","",IFERROR(INDEX(Market_Data!$U$21:$U$613,MATCH($A884,Market_Data!$T$21:INDEX(Market_Data!$T$21:$T$613,COUNT(Market_Data!$T$21:$T$613)),1)),""))</f>
        <v/>
      </c>
      <c r="I884" s="146" t="str">
        <f ca="1">IF($A884="","",IFERROR(INDEX(Query1[Close],MATCH($A884,Query1[Date],1)),""))</f>
        <v/>
      </c>
    </row>
    <row r="885" spans="1:9" x14ac:dyDescent="0.3">
      <c r="A885" s="144" t="str">
        <f t="shared" ca="1" si="15"/>
        <v/>
      </c>
      <c r="B885" s="145" t="str">
        <f ca="1">IF($A885="","",IFERROR(INDEX(Market_Data!$C$21:$C$613,MATCH($A885,Market_Data!$B$21:INDEX(Market_Data!$B$21:$B$613,COUNT(Market_Data!$B$21:$B$613)),1)),""))</f>
        <v/>
      </c>
      <c r="C885" s="145" t="str">
        <f ca="1">IF($A885="","",IFERROR(INDEX(Market_Data!$F$21:$F$613,MATCH($A885,Market_Data!$E$21:INDEX(Market_Data!$E$21:$E$613,COUNT(Market_Data!$E$21:$E$613)),1)),""))</f>
        <v/>
      </c>
      <c r="D885" s="145" t="str">
        <f ca="1">IF($A885="","",IFERROR(INDEX(Market_Data!$I$21:$I$613,MATCH($A885,Market_Data!$H$21:INDEX(Market_Data!$H$21:$H$613,COUNT(Market_Data!$H$21:$H$613)),1)),""))</f>
        <v/>
      </c>
      <c r="E885" s="145" t="str">
        <f ca="1">IF($A885="","",IFERROR(INDEX(Market_Data!$L$21:$L$613,MATCH($A885,Market_Data!$K$21:INDEX(Market_Data!$K$21:$K$613,COUNT(Market_Data!$K$21:$K$613)),1)),""))</f>
        <v/>
      </c>
      <c r="F885" s="145" t="str">
        <f ca="1">IF($A885="","",IFERROR(INDEX(Market_Data!$O$21:$O$613,MATCH($A885,Market_Data!$N$21:INDEX(Market_Data!$N$21:$N$613,COUNT(Market_Data!$N$21:$N$613)),1)),""))</f>
        <v/>
      </c>
      <c r="G885" s="145" t="str">
        <f ca="1">IF($A885="","",IFERROR(INDEX(Market_Data!$R$21:$R$613,MATCH($A885,Market_Data!$Q$21:INDEX(Market_Data!$Q$21:$Q$613,COUNT(Market_Data!$Q$21:$Q$613)),1)),""))</f>
        <v/>
      </c>
      <c r="H885" s="145" t="str">
        <f ca="1">IF($A885="","",IFERROR(INDEX(Market_Data!$U$21:$U$613,MATCH($A885,Market_Data!$T$21:INDEX(Market_Data!$T$21:$T$613,COUNT(Market_Data!$T$21:$T$613)),1)),""))</f>
        <v/>
      </c>
      <c r="I885" s="146" t="str">
        <f ca="1">IF($A885="","",IFERROR(INDEX(Query1[Close],MATCH($A885,Query1[Date],1)),""))</f>
        <v/>
      </c>
    </row>
    <row r="886" spans="1:9" x14ac:dyDescent="0.3">
      <c r="A886" s="144" t="str">
        <f t="shared" ca="1" si="15"/>
        <v/>
      </c>
      <c r="B886" s="145" t="str">
        <f ca="1">IF($A886="","",IFERROR(INDEX(Market_Data!$C$21:$C$613,MATCH($A886,Market_Data!$B$21:INDEX(Market_Data!$B$21:$B$613,COUNT(Market_Data!$B$21:$B$613)),1)),""))</f>
        <v/>
      </c>
      <c r="C886" s="145" t="str">
        <f ca="1">IF($A886="","",IFERROR(INDEX(Market_Data!$F$21:$F$613,MATCH($A886,Market_Data!$E$21:INDEX(Market_Data!$E$21:$E$613,COUNT(Market_Data!$E$21:$E$613)),1)),""))</f>
        <v/>
      </c>
      <c r="D886" s="145" t="str">
        <f ca="1">IF($A886="","",IFERROR(INDEX(Market_Data!$I$21:$I$613,MATCH($A886,Market_Data!$H$21:INDEX(Market_Data!$H$21:$H$613,COUNT(Market_Data!$H$21:$H$613)),1)),""))</f>
        <v/>
      </c>
      <c r="E886" s="145" t="str">
        <f ca="1">IF($A886="","",IFERROR(INDEX(Market_Data!$L$21:$L$613,MATCH($A886,Market_Data!$K$21:INDEX(Market_Data!$K$21:$K$613,COUNT(Market_Data!$K$21:$K$613)),1)),""))</f>
        <v/>
      </c>
      <c r="F886" s="145" t="str">
        <f ca="1">IF($A886="","",IFERROR(INDEX(Market_Data!$O$21:$O$613,MATCH($A886,Market_Data!$N$21:INDEX(Market_Data!$N$21:$N$613,COUNT(Market_Data!$N$21:$N$613)),1)),""))</f>
        <v/>
      </c>
      <c r="G886" s="145" t="str">
        <f ca="1">IF($A886="","",IFERROR(INDEX(Market_Data!$R$21:$R$613,MATCH($A886,Market_Data!$Q$21:INDEX(Market_Data!$Q$21:$Q$613,COUNT(Market_Data!$Q$21:$Q$613)),1)),""))</f>
        <v/>
      </c>
      <c r="H886" s="145" t="str">
        <f ca="1">IF($A886="","",IFERROR(INDEX(Market_Data!$U$21:$U$613,MATCH($A886,Market_Data!$T$21:INDEX(Market_Data!$T$21:$T$613,COUNT(Market_Data!$T$21:$T$613)),1)),""))</f>
        <v/>
      </c>
      <c r="I886" s="146" t="str">
        <f ca="1">IF($A886="","",IFERROR(INDEX(Query1[Close],MATCH($A886,Query1[Date],1)),""))</f>
        <v/>
      </c>
    </row>
    <row r="887" spans="1:9" x14ac:dyDescent="0.3">
      <c r="A887" s="144" t="str">
        <f t="shared" ca="1" si="15"/>
        <v/>
      </c>
      <c r="B887" s="145" t="str">
        <f ca="1">IF($A887="","",IFERROR(INDEX(Market_Data!$C$21:$C$613,MATCH($A887,Market_Data!$B$21:INDEX(Market_Data!$B$21:$B$613,COUNT(Market_Data!$B$21:$B$613)),1)),""))</f>
        <v/>
      </c>
      <c r="C887" s="145" t="str">
        <f ca="1">IF($A887="","",IFERROR(INDEX(Market_Data!$F$21:$F$613,MATCH($A887,Market_Data!$E$21:INDEX(Market_Data!$E$21:$E$613,COUNT(Market_Data!$E$21:$E$613)),1)),""))</f>
        <v/>
      </c>
      <c r="D887" s="145" t="str">
        <f ca="1">IF($A887="","",IFERROR(INDEX(Market_Data!$I$21:$I$613,MATCH($A887,Market_Data!$H$21:INDEX(Market_Data!$H$21:$H$613,COUNT(Market_Data!$H$21:$H$613)),1)),""))</f>
        <v/>
      </c>
      <c r="E887" s="145" t="str">
        <f ca="1">IF($A887="","",IFERROR(INDEX(Market_Data!$L$21:$L$613,MATCH($A887,Market_Data!$K$21:INDEX(Market_Data!$K$21:$K$613,COUNT(Market_Data!$K$21:$K$613)),1)),""))</f>
        <v/>
      </c>
      <c r="F887" s="145" t="str">
        <f ca="1">IF($A887="","",IFERROR(INDEX(Market_Data!$O$21:$O$613,MATCH($A887,Market_Data!$N$21:INDEX(Market_Data!$N$21:$N$613,COUNT(Market_Data!$N$21:$N$613)),1)),""))</f>
        <v/>
      </c>
      <c r="G887" s="145" t="str">
        <f ca="1">IF($A887="","",IFERROR(INDEX(Market_Data!$R$21:$R$613,MATCH($A887,Market_Data!$Q$21:INDEX(Market_Data!$Q$21:$Q$613,COUNT(Market_Data!$Q$21:$Q$613)),1)),""))</f>
        <v/>
      </c>
      <c r="H887" s="145" t="str">
        <f ca="1">IF($A887="","",IFERROR(INDEX(Market_Data!$U$21:$U$613,MATCH($A887,Market_Data!$T$21:INDEX(Market_Data!$T$21:$T$613,COUNT(Market_Data!$T$21:$T$613)),1)),""))</f>
        <v/>
      </c>
      <c r="I887" s="146" t="str">
        <f ca="1">IF($A887="","",IFERROR(INDEX(Query1[Close],MATCH($A887,Query1[Date],1)),""))</f>
        <v/>
      </c>
    </row>
    <row r="888" spans="1:9" x14ac:dyDescent="0.3">
      <c r="A888" s="144" t="str">
        <f t="shared" ca="1" si="15"/>
        <v/>
      </c>
      <c r="B888" s="145" t="str">
        <f ca="1">IF($A888="","",IFERROR(INDEX(Market_Data!$C$21:$C$613,MATCH($A888,Market_Data!$B$21:INDEX(Market_Data!$B$21:$B$613,COUNT(Market_Data!$B$21:$B$613)),1)),""))</f>
        <v/>
      </c>
      <c r="C888" s="145" t="str">
        <f ca="1">IF($A888="","",IFERROR(INDEX(Market_Data!$F$21:$F$613,MATCH($A888,Market_Data!$E$21:INDEX(Market_Data!$E$21:$E$613,COUNT(Market_Data!$E$21:$E$613)),1)),""))</f>
        <v/>
      </c>
      <c r="D888" s="145" t="str">
        <f ca="1">IF($A888="","",IFERROR(INDEX(Market_Data!$I$21:$I$613,MATCH($A888,Market_Data!$H$21:INDEX(Market_Data!$H$21:$H$613,COUNT(Market_Data!$H$21:$H$613)),1)),""))</f>
        <v/>
      </c>
      <c r="E888" s="145" t="str">
        <f ca="1">IF($A888="","",IFERROR(INDEX(Market_Data!$L$21:$L$613,MATCH($A888,Market_Data!$K$21:INDEX(Market_Data!$K$21:$K$613,COUNT(Market_Data!$K$21:$K$613)),1)),""))</f>
        <v/>
      </c>
      <c r="F888" s="145" t="str">
        <f ca="1">IF($A888="","",IFERROR(INDEX(Market_Data!$O$21:$O$613,MATCH($A888,Market_Data!$N$21:INDEX(Market_Data!$N$21:$N$613,COUNT(Market_Data!$N$21:$N$613)),1)),""))</f>
        <v/>
      </c>
      <c r="G888" s="145" t="str">
        <f ca="1">IF($A888="","",IFERROR(INDEX(Market_Data!$R$21:$R$613,MATCH($A888,Market_Data!$Q$21:INDEX(Market_Data!$Q$21:$Q$613,COUNT(Market_Data!$Q$21:$Q$613)),1)),""))</f>
        <v/>
      </c>
      <c r="H888" s="145" t="str">
        <f ca="1">IF($A888="","",IFERROR(INDEX(Market_Data!$U$21:$U$613,MATCH($A888,Market_Data!$T$21:INDEX(Market_Data!$T$21:$T$613,COUNT(Market_Data!$T$21:$T$613)),1)),""))</f>
        <v/>
      </c>
      <c r="I888" s="146" t="str">
        <f ca="1">IF($A888="","",IFERROR(INDEX(Query1[Close],MATCH($A888,Query1[Date],1)),""))</f>
        <v/>
      </c>
    </row>
    <row r="889" spans="1:9" x14ac:dyDescent="0.3">
      <c r="A889" s="144" t="str">
        <f t="shared" ca="1" si="15"/>
        <v/>
      </c>
      <c r="B889" s="145" t="str">
        <f ca="1">IF($A889="","",IFERROR(INDEX(Market_Data!$C$21:$C$613,MATCH($A889,Market_Data!$B$21:INDEX(Market_Data!$B$21:$B$613,COUNT(Market_Data!$B$21:$B$613)),1)),""))</f>
        <v/>
      </c>
      <c r="C889" s="145" t="str">
        <f ca="1">IF($A889="","",IFERROR(INDEX(Market_Data!$F$21:$F$613,MATCH($A889,Market_Data!$E$21:INDEX(Market_Data!$E$21:$E$613,COUNT(Market_Data!$E$21:$E$613)),1)),""))</f>
        <v/>
      </c>
      <c r="D889" s="145" t="str">
        <f ca="1">IF($A889="","",IFERROR(INDEX(Market_Data!$I$21:$I$613,MATCH($A889,Market_Data!$H$21:INDEX(Market_Data!$H$21:$H$613,COUNT(Market_Data!$H$21:$H$613)),1)),""))</f>
        <v/>
      </c>
      <c r="E889" s="145" t="str">
        <f ca="1">IF($A889="","",IFERROR(INDEX(Market_Data!$L$21:$L$613,MATCH($A889,Market_Data!$K$21:INDEX(Market_Data!$K$21:$K$613,COUNT(Market_Data!$K$21:$K$613)),1)),""))</f>
        <v/>
      </c>
      <c r="F889" s="145" t="str">
        <f ca="1">IF($A889="","",IFERROR(INDEX(Market_Data!$O$21:$O$613,MATCH($A889,Market_Data!$N$21:INDEX(Market_Data!$N$21:$N$613,COUNT(Market_Data!$N$21:$N$613)),1)),""))</f>
        <v/>
      </c>
      <c r="G889" s="145" t="str">
        <f ca="1">IF($A889="","",IFERROR(INDEX(Market_Data!$R$21:$R$613,MATCH($A889,Market_Data!$Q$21:INDEX(Market_Data!$Q$21:$Q$613,COUNT(Market_Data!$Q$21:$Q$613)),1)),""))</f>
        <v/>
      </c>
      <c r="H889" s="145" t="str">
        <f ca="1">IF($A889="","",IFERROR(INDEX(Market_Data!$U$21:$U$613,MATCH($A889,Market_Data!$T$21:INDEX(Market_Data!$T$21:$T$613,COUNT(Market_Data!$T$21:$T$613)),1)),""))</f>
        <v/>
      </c>
      <c r="I889" s="146" t="str">
        <f ca="1">IF($A889="","",IFERROR(INDEX(Query1[Close],MATCH($A889,Query1[Date],1)),""))</f>
        <v/>
      </c>
    </row>
    <row r="890" spans="1:9" x14ac:dyDescent="0.3">
      <c r="A890" s="144" t="str">
        <f t="shared" ca="1" si="15"/>
        <v/>
      </c>
      <c r="B890" s="145" t="str">
        <f ca="1">IF($A890="","",IFERROR(INDEX(Market_Data!$C$21:$C$613,MATCH($A890,Market_Data!$B$21:INDEX(Market_Data!$B$21:$B$613,COUNT(Market_Data!$B$21:$B$613)),1)),""))</f>
        <v/>
      </c>
      <c r="C890" s="145" t="str">
        <f ca="1">IF($A890="","",IFERROR(INDEX(Market_Data!$F$21:$F$613,MATCH($A890,Market_Data!$E$21:INDEX(Market_Data!$E$21:$E$613,COUNT(Market_Data!$E$21:$E$613)),1)),""))</f>
        <v/>
      </c>
      <c r="D890" s="145" t="str">
        <f ca="1">IF($A890="","",IFERROR(INDEX(Market_Data!$I$21:$I$613,MATCH($A890,Market_Data!$H$21:INDEX(Market_Data!$H$21:$H$613,COUNT(Market_Data!$H$21:$H$613)),1)),""))</f>
        <v/>
      </c>
      <c r="E890" s="145" t="str">
        <f ca="1">IF($A890="","",IFERROR(INDEX(Market_Data!$L$21:$L$613,MATCH($A890,Market_Data!$K$21:INDEX(Market_Data!$K$21:$K$613,COUNT(Market_Data!$K$21:$K$613)),1)),""))</f>
        <v/>
      </c>
      <c r="F890" s="145" t="str">
        <f ca="1">IF($A890="","",IFERROR(INDEX(Market_Data!$O$21:$O$613,MATCH($A890,Market_Data!$N$21:INDEX(Market_Data!$N$21:$N$613,COUNT(Market_Data!$N$21:$N$613)),1)),""))</f>
        <v/>
      </c>
      <c r="G890" s="145" t="str">
        <f ca="1">IF($A890="","",IFERROR(INDEX(Market_Data!$R$21:$R$613,MATCH($A890,Market_Data!$Q$21:INDEX(Market_Data!$Q$21:$Q$613,COUNT(Market_Data!$Q$21:$Q$613)),1)),""))</f>
        <v/>
      </c>
      <c r="H890" s="145" t="str">
        <f ca="1">IF($A890="","",IFERROR(INDEX(Market_Data!$U$21:$U$613,MATCH($A890,Market_Data!$T$21:INDEX(Market_Data!$T$21:$T$613,COUNT(Market_Data!$T$21:$T$613)),1)),""))</f>
        <v/>
      </c>
      <c r="I890" s="146" t="str">
        <f ca="1">IF($A890="","",IFERROR(INDEX(Query1[Close],MATCH($A890,Query1[Date],1)),""))</f>
        <v/>
      </c>
    </row>
    <row r="891" spans="1:9" x14ac:dyDescent="0.3">
      <c r="A891" s="144" t="str">
        <f t="shared" ca="1" si="15"/>
        <v/>
      </c>
      <c r="B891" s="145" t="str">
        <f ca="1">IF($A891="","",IFERROR(INDEX(Market_Data!$C$21:$C$613,MATCH($A891,Market_Data!$B$21:INDEX(Market_Data!$B$21:$B$613,COUNT(Market_Data!$B$21:$B$613)),1)),""))</f>
        <v/>
      </c>
      <c r="C891" s="145" t="str">
        <f ca="1">IF($A891="","",IFERROR(INDEX(Market_Data!$F$21:$F$613,MATCH($A891,Market_Data!$E$21:INDEX(Market_Data!$E$21:$E$613,COUNT(Market_Data!$E$21:$E$613)),1)),""))</f>
        <v/>
      </c>
      <c r="D891" s="145" t="str">
        <f ca="1">IF($A891="","",IFERROR(INDEX(Market_Data!$I$21:$I$613,MATCH($A891,Market_Data!$H$21:INDEX(Market_Data!$H$21:$H$613,COUNT(Market_Data!$H$21:$H$613)),1)),""))</f>
        <v/>
      </c>
      <c r="E891" s="145" t="str">
        <f ca="1">IF($A891="","",IFERROR(INDEX(Market_Data!$L$21:$L$613,MATCH($A891,Market_Data!$K$21:INDEX(Market_Data!$K$21:$K$613,COUNT(Market_Data!$K$21:$K$613)),1)),""))</f>
        <v/>
      </c>
      <c r="F891" s="145" t="str">
        <f ca="1">IF($A891="","",IFERROR(INDEX(Market_Data!$O$21:$O$613,MATCH($A891,Market_Data!$N$21:INDEX(Market_Data!$N$21:$N$613,COUNT(Market_Data!$N$21:$N$613)),1)),""))</f>
        <v/>
      </c>
      <c r="G891" s="145" t="str">
        <f ca="1">IF($A891="","",IFERROR(INDEX(Market_Data!$R$21:$R$613,MATCH($A891,Market_Data!$Q$21:INDEX(Market_Data!$Q$21:$Q$613,COUNT(Market_Data!$Q$21:$Q$613)),1)),""))</f>
        <v/>
      </c>
      <c r="H891" s="145" t="str">
        <f ca="1">IF($A891="","",IFERROR(INDEX(Market_Data!$U$21:$U$613,MATCH($A891,Market_Data!$T$21:INDEX(Market_Data!$T$21:$T$613,COUNT(Market_Data!$T$21:$T$613)),1)),""))</f>
        <v/>
      </c>
      <c r="I891" s="146" t="str">
        <f ca="1">IF($A891="","",IFERROR(INDEX(Query1[Close],MATCH($A891,Query1[Date],1)),""))</f>
        <v/>
      </c>
    </row>
    <row r="892" spans="1:9" x14ac:dyDescent="0.3">
      <c r="A892" s="144" t="str">
        <f t="shared" ca="1" si="15"/>
        <v/>
      </c>
      <c r="B892" s="145" t="str">
        <f ca="1">IF($A892="","",IFERROR(INDEX(Market_Data!$C$21:$C$613,MATCH($A892,Market_Data!$B$21:INDEX(Market_Data!$B$21:$B$613,COUNT(Market_Data!$B$21:$B$613)),1)),""))</f>
        <v/>
      </c>
      <c r="C892" s="145" t="str">
        <f ca="1">IF($A892="","",IFERROR(INDEX(Market_Data!$F$21:$F$613,MATCH($A892,Market_Data!$E$21:INDEX(Market_Data!$E$21:$E$613,COUNT(Market_Data!$E$21:$E$613)),1)),""))</f>
        <v/>
      </c>
      <c r="D892" s="145" t="str">
        <f ca="1">IF($A892="","",IFERROR(INDEX(Market_Data!$I$21:$I$613,MATCH($A892,Market_Data!$H$21:INDEX(Market_Data!$H$21:$H$613,COUNT(Market_Data!$H$21:$H$613)),1)),""))</f>
        <v/>
      </c>
      <c r="E892" s="145" t="str">
        <f ca="1">IF($A892="","",IFERROR(INDEX(Market_Data!$L$21:$L$613,MATCH($A892,Market_Data!$K$21:INDEX(Market_Data!$K$21:$K$613,COUNT(Market_Data!$K$21:$K$613)),1)),""))</f>
        <v/>
      </c>
      <c r="F892" s="145" t="str">
        <f ca="1">IF($A892="","",IFERROR(INDEX(Market_Data!$O$21:$O$613,MATCH($A892,Market_Data!$N$21:INDEX(Market_Data!$N$21:$N$613,COUNT(Market_Data!$N$21:$N$613)),1)),""))</f>
        <v/>
      </c>
      <c r="G892" s="145" t="str">
        <f ca="1">IF($A892="","",IFERROR(INDEX(Market_Data!$R$21:$R$613,MATCH($A892,Market_Data!$Q$21:INDEX(Market_Data!$Q$21:$Q$613,COUNT(Market_Data!$Q$21:$Q$613)),1)),""))</f>
        <v/>
      </c>
      <c r="H892" s="145" t="str">
        <f ca="1">IF($A892="","",IFERROR(INDEX(Market_Data!$U$21:$U$613,MATCH($A892,Market_Data!$T$21:INDEX(Market_Data!$T$21:$T$613,COUNT(Market_Data!$T$21:$T$613)),1)),""))</f>
        <v/>
      </c>
      <c r="I892" s="146" t="str">
        <f ca="1">IF($A892="","",IFERROR(INDEX(Query1[Close],MATCH($A892,Query1[Date],1)),""))</f>
        <v/>
      </c>
    </row>
    <row r="893" spans="1:9" x14ac:dyDescent="0.3">
      <c r="A893" s="144" t="str">
        <f t="shared" ca="1" si="15"/>
        <v/>
      </c>
      <c r="B893" s="145" t="str">
        <f ca="1">IF($A893="","",IFERROR(INDEX(Market_Data!$C$21:$C$613,MATCH($A893,Market_Data!$B$21:INDEX(Market_Data!$B$21:$B$613,COUNT(Market_Data!$B$21:$B$613)),1)),""))</f>
        <v/>
      </c>
      <c r="C893" s="145" t="str">
        <f ca="1">IF($A893="","",IFERROR(INDEX(Market_Data!$F$21:$F$613,MATCH($A893,Market_Data!$E$21:INDEX(Market_Data!$E$21:$E$613,COUNT(Market_Data!$E$21:$E$613)),1)),""))</f>
        <v/>
      </c>
      <c r="D893" s="145" t="str">
        <f ca="1">IF($A893="","",IFERROR(INDEX(Market_Data!$I$21:$I$613,MATCH($A893,Market_Data!$H$21:INDEX(Market_Data!$H$21:$H$613,COUNT(Market_Data!$H$21:$H$613)),1)),""))</f>
        <v/>
      </c>
      <c r="E893" s="145" t="str">
        <f ca="1">IF($A893="","",IFERROR(INDEX(Market_Data!$L$21:$L$613,MATCH($A893,Market_Data!$K$21:INDEX(Market_Data!$K$21:$K$613,COUNT(Market_Data!$K$21:$K$613)),1)),""))</f>
        <v/>
      </c>
      <c r="F893" s="145" t="str">
        <f ca="1">IF($A893="","",IFERROR(INDEX(Market_Data!$O$21:$O$613,MATCH($A893,Market_Data!$N$21:INDEX(Market_Data!$N$21:$N$613,COUNT(Market_Data!$N$21:$N$613)),1)),""))</f>
        <v/>
      </c>
      <c r="G893" s="145" t="str">
        <f ca="1">IF($A893="","",IFERROR(INDEX(Market_Data!$R$21:$R$613,MATCH($A893,Market_Data!$Q$21:INDEX(Market_Data!$Q$21:$Q$613,COUNT(Market_Data!$Q$21:$Q$613)),1)),""))</f>
        <v/>
      </c>
      <c r="H893" s="145" t="str">
        <f ca="1">IF($A893="","",IFERROR(INDEX(Market_Data!$U$21:$U$613,MATCH($A893,Market_Data!$T$21:INDEX(Market_Data!$T$21:$T$613,COUNT(Market_Data!$T$21:$T$613)),1)),""))</f>
        <v/>
      </c>
      <c r="I893" s="146" t="str">
        <f ca="1">IF($A893="","",IFERROR(INDEX(Query1[Close],MATCH($A893,Query1[Date],1)),""))</f>
        <v/>
      </c>
    </row>
    <row r="894" spans="1:9" x14ac:dyDescent="0.3">
      <c r="A894" s="144" t="str">
        <f t="shared" ca="1" si="15"/>
        <v/>
      </c>
      <c r="B894" s="145" t="str">
        <f ca="1">IF($A894="","",IFERROR(INDEX(Market_Data!$C$21:$C$613,MATCH($A894,Market_Data!$B$21:INDEX(Market_Data!$B$21:$B$613,COUNT(Market_Data!$B$21:$B$613)),1)),""))</f>
        <v/>
      </c>
      <c r="C894" s="145" t="str">
        <f ca="1">IF($A894="","",IFERROR(INDEX(Market_Data!$F$21:$F$613,MATCH($A894,Market_Data!$E$21:INDEX(Market_Data!$E$21:$E$613,COUNT(Market_Data!$E$21:$E$613)),1)),""))</f>
        <v/>
      </c>
      <c r="D894" s="145" t="str">
        <f ca="1">IF($A894="","",IFERROR(INDEX(Market_Data!$I$21:$I$613,MATCH($A894,Market_Data!$H$21:INDEX(Market_Data!$H$21:$H$613,COUNT(Market_Data!$H$21:$H$613)),1)),""))</f>
        <v/>
      </c>
      <c r="E894" s="145" t="str">
        <f ca="1">IF($A894="","",IFERROR(INDEX(Market_Data!$L$21:$L$613,MATCH($A894,Market_Data!$K$21:INDEX(Market_Data!$K$21:$K$613,COUNT(Market_Data!$K$21:$K$613)),1)),""))</f>
        <v/>
      </c>
      <c r="F894" s="145" t="str">
        <f ca="1">IF($A894="","",IFERROR(INDEX(Market_Data!$O$21:$O$613,MATCH($A894,Market_Data!$N$21:INDEX(Market_Data!$N$21:$N$613,COUNT(Market_Data!$N$21:$N$613)),1)),""))</f>
        <v/>
      </c>
      <c r="G894" s="145" t="str">
        <f ca="1">IF($A894="","",IFERROR(INDEX(Market_Data!$R$21:$R$613,MATCH($A894,Market_Data!$Q$21:INDEX(Market_Data!$Q$21:$Q$613,COUNT(Market_Data!$Q$21:$Q$613)),1)),""))</f>
        <v/>
      </c>
      <c r="H894" s="145" t="str">
        <f ca="1">IF($A894="","",IFERROR(INDEX(Market_Data!$U$21:$U$613,MATCH($A894,Market_Data!$T$21:INDEX(Market_Data!$T$21:$T$613,COUNT(Market_Data!$T$21:$T$613)),1)),""))</f>
        <v/>
      </c>
      <c r="I894" s="146" t="str">
        <f ca="1">IF($A894="","",IFERROR(INDEX(Query1[Close],MATCH($A894,Query1[Date],1)),""))</f>
        <v/>
      </c>
    </row>
    <row r="895" spans="1:9" x14ac:dyDescent="0.3">
      <c r="A895" s="144" t="str">
        <f t="shared" ca="1" si="15"/>
        <v/>
      </c>
      <c r="B895" s="145" t="str">
        <f ca="1">IF($A895="","",IFERROR(INDEX(Market_Data!$C$21:$C$613,MATCH($A895,Market_Data!$B$21:INDEX(Market_Data!$B$21:$B$613,COUNT(Market_Data!$B$21:$B$613)),1)),""))</f>
        <v/>
      </c>
      <c r="C895" s="145" t="str">
        <f ca="1">IF($A895="","",IFERROR(INDEX(Market_Data!$F$21:$F$613,MATCH($A895,Market_Data!$E$21:INDEX(Market_Data!$E$21:$E$613,COUNT(Market_Data!$E$21:$E$613)),1)),""))</f>
        <v/>
      </c>
      <c r="D895" s="145" t="str">
        <f ca="1">IF($A895="","",IFERROR(INDEX(Market_Data!$I$21:$I$613,MATCH($A895,Market_Data!$H$21:INDEX(Market_Data!$H$21:$H$613,COUNT(Market_Data!$H$21:$H$613)),1)),""))</f>
        <v/>
      </c>
      <c r="E895" s="145" t="str">
        <f ca="1">IF($A895="","",IFERROR(INDEX(Market_Data!$L$21:$L$613,MATCH($A895,Market_Data!$K$21:INDEX(Market_Data!$K$21:$K$613,COUNT(Market_Data!$K$21:$K$613)),1)),""))</f>
        <v/>
      </c>
      <c r="F895" s="145" t="str">
        <f ca="1">IF($A895="","",IFERROR(INDEX(Market_Data!$O$21:$O$613,MATCH($A895,Market_Data!$N$21:INDEX(Market_Data!$N$21:$N$613,COUNT(Market_Data!$N$21:$N$613)),1)),""))</f>
        <v/>
      </c>
      <c r="G895" s="145" t="str">
        <f ca="1">IF($A895="","",IFERROR(INDEX(Market_Data!$R$21:$R$613,MATCH($A895,Market_Data!$Q$21:INDEX(Market_Data!$Q$21:$Q$613,COUNT(Market_Data!$Q$21:$Q$613)),1)),""))</f>
        <v/>
      </c>
      <c r="H895" s="145" t="str">
        <f ca="1">IF($A895="","",IFERROR(INDEX(Market_Data!$U$21:$U$613,MATCH($A895,Market_Data!$T$21:INDEX(Market_Data!$T$21:$T$613,COUNT(Market_Data!$T$21:$T$613)),1)),""))</f>
        <v/>
      </c>
      <c r="I895" s="146" t="str">
        <f ca="1">IF($A895="","",IFERROR(INDEX(Query1[Close],MATCH($A895,Query1[Date],1)),""))</f>
        <v/>
      </c>
    </row>
    <row r="896" spans="1:9" x14ac:dyDescent="0.3">
      <c r="A896" s="144" t="str">
        <f t="shared" ca="1" si="15"/>
        <v/>
      </c>
      <c r="B896" s="145" t="str">
        <f ca="1">IF($A896="","",IFERROR(INDEX(Market_Data!$C$21:$C$613,MATCH($A896,Market_Data!$B$21:INDEX(Market_Data!$B$21:$B$613,COUNT(Market_Data!$B$21:$B$613)),1)),""))</f>
        <v/>
      </c>
      <c r="C896" s="145" t="str">
        <f ca="1">IF($A896="","",IFERROR(INDEX(Market_Data!$F$21:$F$613,MATCH($A896,Market_Data!$E$21:INDEX(Market_Data!$E$21:$E$613,COUNT(Market_Data!$E$21:$E$613)),1)),""))</f>
        <v/>
      </c>
      <c r="D896" s="145" t="str">
        <f ca="1">IF($A896="","",IFERROR(INDEX(Market_Data!$I$21:$I$613,MATCH($A896,Market_Data!$H$21:INDEX(Market_Data!$H$21:$H$613,COUNT(Market_Data!$H$21:$H$613)),1)),""))</f>
        <v/>
      </c>
      <c r="E896" s="145" t="str">
        <f ca="1">IF($A896="","",IFERROR(INDEX(Market_Data!$L$21:$L$613,MATCH($A896,Market_Data!$K$21:INDEX(Market_Data!$K$21:$K$613,COUNT(Market_Data!$K$21:$K$613)),1)),""))</f>
        <v/>
      </c>
      <c r="F896" s="145" t="str">
        <f ca="1">IF($A896="","",IFERROR(INDEX(Market_Data!$O$21:$O$613,MATCH($A896,Market_Data!$N$21:INDEX(Market_Data!$N$21:$N$613,COUNT(Market_Data!$N$21:$N$613)),1)),""))</f>
        <v/>
      </c>
      <c r="G896" s="145" t="str">
        <f ca="1">IF($A896="","",IFERROR(INDEX(Market_Data!$R$21:$R$613,MATCH($A896,Market_Data!$Q$21:INDEX(Market_Data!$Q$21:$Q$613,COUNT(Market_Data!$Q$21:$Q$613)),1)),""))</f>
        <v/>
      </c>
      <c r="H896" s="145" t="str">
        <f ca="1">IF($A896="","",IFERROR(INDEX(Market_Data!$U$21:$U$613,MATCH($A896,Market_Data!$T$21:INDEX(Market_Data!$T$21:$T$613,COUNT(Market_Data!$T$21:$T$613)),1)),""))</f>
        <v/>
      </c>
      <c r="I896" s="146" t="str">
        <f ca="1">IF($A896="","",IFERROR(INDEX(Query1[Close],MATCH($A896,Query1[Date],1)),""))</f>
        <v/>
      </c>
    </row>
    <row r="897" spans="1:9" x14ac:dyDescent="0.3">
      <c r="A897" s="144" t="str">
        <f t="shared" ca="1" si="15"/>
        <v/>
      </c>
      <c r="B897" s="145" t="str">
        <f ca="1">IF($A897="","",IFERROR(INDEX(Market_Data!$C$21:$C$613,MATCH($A897,Market_Data!$B$21:INDEX(Market_Data!$B$21:$B$613,COUNT(Market_Data!$B$21:$B$613)),1)),""))</f>
        <v/>
      </c>
      <c r="C897" s="145" t="str">
        <f ca="1">IF($A897="","",IFERROR(INDEX(Market_Data!$F$21:$F$613,MATCH($A897,Market_Data!$E$21:INDEX(Market_Data!$E$21:$E$613,COUNT(Market_Data!$E$21:$E$613)),1)),""))</f>
        <v/>
      </c>
      <c r="D897" s="145" t="str">
        <f ca="1">IF($A897="","",IFERROR(INDEX(Market_Data!$I$21:$I$613,MATCH($A897,Market_Data!$H$21:INDEX(Market_Data!$H$21:$H$613,COUNT(Market_Data!$H$21:$H$613)),1)),""))</f>
        <v/>
      </c>
      <c r="E897" s="145" t="str">
        <f ca="1">IF($A897="","",IFERROR(INDEX(Market_Data!$L$21:$L$613,MATCH($A897,Market_Data!$K$21:INDEX(Market_Data!$K$21:$K$613,COUNT(Market_Data!$K$21:$K$613)),1)),""))</f>
        <v/>
      </c>
      <c r="F897" s="145" t="str">
        <f ca="1">IF($A897="","",IFERROR(INDEX(Market_Data!$O$21:$O$613,MATCH($A897,Market_Data!$N$21:INDEX(Market_Data!$N$21:$N$613,COUNT(Market_Data!$N$21:$N$613)),1)),""))</f>
        <v/>
      </c>
      <c r="G897" s="145" t="str">
        <f ca="1">IF($A897="","",IFERROR(INDEX(Market_Data!$R$21:$R$613,MATCH($A897,Market_Data!$Q$21:INDEX(Market_Data!$Q$21:$Q$613,COUNT(Market_Data!$Q$21:$Q$613)),1)),""))</f>
        <v/>
      </c>
      <c r="H897" s="145" t="str">
        <f ca="1">IF($A897="","",IFERROR(INDEX(Market_Data!$U$21:$U$613,MATCH($A897,Market_Data!$T$21:INDEX(Market_Data!$T$21:$T$613,COUNT(Market_Data!$T$21:$T$613)),1)),""))</f>
        <v/>
      </c>
      <c r="I897" s="146" t="str">
        <f ca="1">IF($A897="","",IFERROR(INDEX(Query1[Close],MATCH($A897,Query1[Date],1)),""))</f>
        <v/>
      </c>
    </row>
    <row r="898" spans="1:9" x14ac:dyDescent="0.3">
      <c r="A898" s="144" t="str">
        <f t="shared" ca="1" si="15"/>
        <v/>
      </c>
      <c r="B898" s="145" t="str">
        <f ca="1">IF($A898="","",IFERROR(INDEX(Market_Data!$C$21:$C$613,MATCH($A898,Market_Data!$B$21:INDEX(Market_Data!$B$21:$B$613,COUNT(Market_Data!$B$21:$B$613)),1)),""))</f>
        <v/>
      </c>
      <c r="C898" s="145" t="str">
        <f ca="1">IF($A898="","",IFERROR(INDEX(Market_Data!$F$21:$F$613,MATCH($A898,Market_Data!$E$21:INDEX(Market_Data!$E$21:$E$613,COUNT(Market_Data!$E$21:$E$613)),1)),""))</f>
        <v/>
      </c>
      <c r="D898" s="145" t="str">
        <f ca="1">IF($A898="","",IFERROR(INDEX(Market_Data!$I$21:$I$613,MATCH($A898,Market_Data!$H$21:INDEX(Market_Data!$H$21:$H$613,COUNT(Market_Data!$H$21:$H$613)),1)),""))</f>
        <v/>
      </c>
      <c r="E898" s="145" t="str">
        <f ca="1">IF($A898="","",IFERROR(INDEX(Market_Data!$L$21:$L$613,MATCH($A898,Market_Data!$K$21:INDEX(Market_Data!$K$21:$K$613,COUNT(Market_Data!$K$21:$K$613)),1)),""))</f>
        <v/>
      </c>
      <c r="F898" s="145" t="str">
        <f ca="1">IF($A898="","",IFERROR(INDEX(Market_Data!$O$21:$O$613,MATCH($A898,Market_Data!$N$21:INDEX(Market_Data!$N$21:$N$613,COUNT(Market_Data!$N$21:$N$613)),1)),""))</f>
        <v/>
      </c>
      <c r="G898" s="145" t="str">
        <f ca="1">IF($A898="","",IFERROR(INDEX(Market_Data!$R$21:$R$613,MATCH($A898,Market_Data!$Q$21:INDEX(Market_Data!$Q$21:$Q$613,COUNT(Market_Data!$Q$21:$Q$613)),1)),""))</f>
        <v/>
      </c>
      <c r="H898" s="145" t="str">
        <f ca="1">IF($A898="","",IFERROR(INDEX(Market_Data!$U$21:$U$613,MATCH($A898,Market_Data!$T$21:INDEX(Market_Data!$T$21:$T$613,COUNT(Market_Data!$T$21:$T$613)),1)),""))</f>
        <v/>
      </c>
      <c r="I898" s="146" t="str">
        <f ca="1">IF($A898="","",IFERROR(INDEX(Query1[Close],MATCH($A898,Query1[Date],1)),""))</f>
        <v/>
      </c>
    </row>
    <row r="899" spans="1:9" x14ac:dyDescent="0.3">
      <c r="A899" s="144" t="str">
        <f t="shared" ca="1" si="15"/>
        <v/>
      </c>
      <c r="B899" s="145" t="str">
        <f ca="1">IF($A899="","",IFERROR(INDEX(Market_Data!$C$21:$C$613,MATCH($A899,Market_Data!$B$21:INDEX(Market_Data!$B$21:$B$613,COUNT(Market_Data!$B$21:$B$613)),1)),""))</f>
        <v/>
      </c>
      <c r="C899" s="145" t="str">
        <f ca="1">IF($A899="","",IFERROR(INDEX(Market_Data!$F$21:$F$613,MATCH($A899,Market_Data!$E$21:INDEX(Market_Data!$E$21:$E$613,COUNT(Market_Data!$E$21:$E$613)),1)),""))</f>
        <v/>
      </c>
      <c r="D899" s="145" t="str">
        <f ca="1">IF($A899="","",IFERROR(INDEX(Market_Data!$I$21:$I$613,MATCH($A899,Market_Data!$H$21:INDEX(Market_Data!$H$21:$H$613,COUNT(Market_Data!$H$21:$H$613)),1)),""))</f>
        <v/>
      </c>
      <c r="E899" s="145" t="str">
        <f ca="1">IF($A899="","",IFERROR(INDEX(Market_Data!$L$21:$L$613,MATCH($A899,Market_Data!$K$21:INDEX(Market_Data!$K$21:$K$613,COUNT(Market_Data!$K$21:$K$613)),1)),""))</f>
        <v/>
      </c>
      <c r="F899" s="145" t="str">
        <f ca="1">IF($A899="","",IFERROR(INDEX(Market_Data!$O$21:$O$613,MATCH($A899,Market_Data!$N$21:INDEX(Market_Data!$N$21:$N$613,COUNT(Market_Data!$N$21:$N$613)),1)),""))</f>
        <v/>
      </c>
      <c r="G899" s="145" t="str">
        <f ca="1">IF($A899="","",IFERROR(INDEX(Market_Data!$R$21:$R$613,MATCH($A899,Market_Data!$Q$21:INDEX(Market_Data!$Q$21:$Q$613,COUNT(Market_Data!$Q$21:$Q$613)),1)),""))</f>
        <v/>
      </c>
      <c r="H899" s="145" t="str">
        <f ca="1">IF($A899="","",IFERROR(INDEX(Market_Data!$U$21:$U$613,MATCH($A899,Market_Data!$T$21:INDEX(Market_Data!$T$21:$T$613,COUNT(Market_Data!$T$21:$T$613)),1)),""))</f>
        <v/>
      </c>
      <c r="I899" s="146" t="str">
        <f ca="1">IF($A899="","",IFERROR(INDEX(Query1[Close],MATCH($A899,Query1[Date],1)),""))</f>
        <v/>
      </c>
    </row>
    <row r="900" spans="1:9" x14ac:dyDescent="0.3">
      <c r="A900" s="144" t="str">
        <f t="shared" ca="1" si="15"/>
        <v/>
      </c>
      <c r="B900" s="145" t="str">
        <f ca="1">IF($A900="","",IFERROR(INDEX(Market_Data!$C$21:$C$613,MATCH($A900,Market_Data!$B$21:INDEX(Market_Data!$B$21:$B$613,COUNT(Market_Data!$B$21:$B$613)),1)),""))</f>
        <v/>
      </c>
      <c r="C900" s="145" t="str">
        <f ca="1">IF($A900="","",IFERROR(INDEX(Market_Data!$F$21:$F$613,MATCH($A900,Market_Data!$E$21:INDEX(Market_Data!$E$21:$E$613,COUNT(Market_Data!$E$21:$E$613)),1)),""))</f>
        <v/>
      </c>
      <c r="D900" s="145" t="str">
        <f ca="1">IF($A900="","",IFERROR(INDEX(Market_Data!$I$21:$I$613,MATCH($A900,Market_Data!$H$21:INDEX(Market_Data!$H$21:$H$613,COUNT(Market_Data!$H$21:$H$613)),1)),""))</f>
        <v/>
      </c>
      <c r="E900" s="145" t="str">
        <f ca="1">IF($A900="","",IFERROR(INDEX(Market_Data!$L$21:$L$613,MATCH($A900,Market_Data!$K$21:INDEX(Market_Data!$K$21:$K$613,COUNT(Market_Data!$K$21:$K$613)),1)),""))</f>
        <v/>
      </c>
      <c r="F900" s="145" t="str">
        <f ca="1">IF($A900="","",IFERROR(INDEX(Market_Data!$O$21:$O$613,MATCH($A900,Market_Data!$N$21:INDEX(Market_Data!$N$21:$N$613,COUNT(Market_Data!$N$21:$N$613)),1)),""))</f>
        <v/>
      </c>
      <c r="G900" s="145" t="str">
        <f ca="1">IF($A900="","",IFERROR(INDEX(Market_Data!$R$21:$R$613,MATCH($A900,Market_Data!$Q$21:INDEX(Market_Data!$Q$21:$Q$613,COUNT(Market_Data!$Q$21:$Q$613)),1)),""))</f>
        <v/>
      </c>
      <c r="H900" s="145" t="str">
        <f ca="1">IF($A900="","",IFERROR(INDEX(Market_Data!$U$21:$U$613,MATCH($A900,Market_Data!$T$21:INDEX(Market_Data!$T$21:$T$613,COUNT(Market_Data!$T$21:$T$613)),1)),""))</f>
        <v/>
      </c>
      <c r="I900" s="146" t="str">
        <f ca="1">IF($A900="","",IFERROR(INDEX(Query1[Close],MATCH($A900,Query1[Date],1)),""))</f>
        <v/>
      </c>
    </row>
    <row r="901" spans="1:9" x14ac:dyDescent="0.3">
      <c r="A901" s="144" t="str">
        <f t="shared" ca="1" si="15"/>
        <v/>
      </c>
      <c r="B901" s="145" t="str">
        <f ca="1">IF($A901="","",IFERROR(INDEX(Market_Data!$C$21:$C$613,MATCH($A901,Market_Data!$B$21:INDEX(Market_Data!$B$21:$B$613,COUNT(Market_Data!$B$21:$B$613)),1)),""))</f>
        <v/>
      </c>
      <c r="C901" s="145" t="str">
        <f ca="1">IF($A901="","",IFERROR(INDEX(Market_Data!$F$21:$F$613,MATCH($A901,Market_Data!$E$21:INDEX(Market_Data!$E$21:$E$613,COUNT(Market_Data!$E$21:$E$613)),1)),""))</f>
        <v/>
      </c>
      <c r="D901" s="145" t="str">
        <f ca="1">IF($A901="","",IFERROR(INDEX(Market_Data!$I$21:$I$613,MATCH($A901,Market_Data!$H$21:INDEX(Market_Data!$H$21:$H$613,COUNT(Market_Data!$H$21:$H$613)),1)),""))</f>
        <v/>
      </c>
      <c r="E901" s="145" t="str">
        <f ca="1">IF($A901="","",IFERROR(INDEX(Market_Data!$L$21:$L$613,MATCH($A901,Market_Data!$K$21:INDEX(Market_Data!$K$21:$K$613,COUNT(Market_Data!$K$21:$K$613)),1)),""))</f>
        <v/>
      </c>
      <c r="F901" s="145" t="str">
        <f ca="1">IF($A901="","",IFERROR(INDEX(Market_Data!$O$21:$O$613,MATCH($A901,Market_Data!$N$21:INDEX(Market_Data!$N$21:$N$613,COUNT(Market_Data!$N$21:$N$613)),1)),""))</f>
        <v/>
      </c>
      <c r="G901" s="145" t="str">
        <f ca="1">IF($A901="","",IFERROR(INDEX(Market_Data!$R$21:$R$613,MATCH($A901,Market_Data!$Q$21:INDEX(Market_Data!$Q$21:$Q$613,COUNT(Market_Data!$Q$21:$Q$613)),1)),""))</f>
        <v/>
      </c>
      <c r="H901" s="145" t="str">
        <f ca="1">IF($A901="","",IFERROR(INDEX(Market_Data!$U$21:$U$613,MATCH($A901,Market_Data!$T$21:INDEX(Market_Data!$T$21:$T$613,COUNT(Market_Data!$T$21:$T$613)),1)),""))</f>
        <v/>
      </c>
      <c r="I901" s="146" t="str">
        <f ca="1">IF($A901="","",IFERROR(INDEX(Query1[Close],MATCH($A901,Query1[Date],1)),""))</f>
        <v/>
      </c>
    </row>
    <row r="902" spans="1:9" x14ac:dyDescent="0.3">
      <c r="A902" s="144" t="str">
        <f t="shared" ref="A902:A965" ca="1" si="16">IF($A901="","",IF($A901+7&lt;=TODAY(),$A901+7,""))</f>
        <v/>
      </c>
      <c r="B902" s="145" t="str">
        <f ca="1">IF($A902="","",IFERROR(INDEX(Market_Data!$C$21:$C$613,MATCH($A902,Market_Data!$B$21:INDEX(Market_Data!$B$21:$B$613,COUNT(Market_Data!$B$21:$B$613)),1)),""))</f>
        <v/>
      </c>
      <c r="C902" s="145" t="str">
        <f ca="1">IF($A902="","",IFERROR(INDEX(Market_Data!$F$21:$F$613,MATCH($A902,Market_Data!$E$21:INDEX(Market_Data!$E$21:$E$613,COUNT(Market_Data!$E$21:$E$613)),1)),""))</f>
        <v/>
      </c>
      <c r="D902" s="145" t="str">
        <f ca="1">IF($A902="","",IFERROR(INDEX(Market_Data!$I$21:$I$613,MATCH($A902,Market_Data!$H$21:INDEX(Market_Data!$H$21:$H$613,COUNT(Market_Data!$H$21:$H$613)),1)),""))</f>
        <v/>
      </c>
      <c r="E902" s="145" t="str">
        <f ca="1">IF($A902="","",IFERROR(INDEX(Market_Data!$L$21:$L$613,MATCH($A902,Market_Data!$K$21:INDEX(Market_Data!$K$21:$K$613,COUNT(Market_Data!$K$21:$K$613)),1)),""))</f>
        <v/>
      </c>
      <c r="F902" s="145" t="str">
        <f ca="1">IF($A902="","",IFERROR(INDEX(Market_Data!$O$21:$O$613,MATCH($A902,Market_Data!$N$21:INDEX(Market_Data!$N$21:$N$613,COUNT(Market_Data!$N$21:$N$613)),1)),""))</f>
        <v/>
      </c>
      <c r="G902" s="145" t="str">
        <f ca="1">IF($A902="","",IFERROR(INDEX(Market_Data!$R$21:$R$613,MATCH($A902,Market_Data!$Q$21:INDEX(Market_Data!$Q$21:$Q$613,COUNT(Market_Data!$Q$21:$Q$613)),1)),""))</f>
        <v/>
      </c>
      <c r="H902" s="145" t="str">
        <f ca="1">IF($A902="","",IFERROR(INDEX(Market_Data!$U$21:$U$613,MATCH($A902,Market_Data!$T$21:INDEX(Market_Data!$T$21:$T$613,COUNT(Market_Data!$T$21:$T$613)),1)),""))</f>
        <v/>
      </c>
      <c r="I902" s="146" t="str">
        <f ca="1">IF($A902="","",IFERROR(INDEX(Query1[Close],MATCH($A902,Query1[Date],1)),""))</f>
        <v/>
      </c>
    </row>
    <row r="903" spans="1:9" x14ac:dyDescent="0.3">
      <c r="A903" s="144" t="str">
        <f t="shared" ca="1" si="16"/>
        <v/>
      </c>
      <c r="B903" s="145" t="str">
        <f ca="1">IF($A903="","",IFERROR(INDEX(Market_Data!$C$21:$C$613,MATCH($A903,Market_Data!$B$21:INDEX(Market_Data!$B$21:$B$613,COUNT(Market_Data!$B$21:$B$613)),1)),""))</f>
        <v/>
      </c>
      <c r="C903" s="145" t="str">
        <f ca="1">IF($A903="","",IFERROR(INDEX(Market_Data!$F$21:$F$613,MATCH($A903,Market_Data!$E$21:INDEX(Market_Data!$E$21:$E$613,COUNT(Market_Data!$E$21:$E$613)),1)),""))</f>
        <v/>
      </c>
      <c r="D903" s="145" t="str">
        <f ca="1">IF($A903="","",IFERROR(INDEX(Market_Data!$I$21:$I$613,MATCH($A903,Market_Data!$H$21:INDEX(Market_Data!$H$21:$H$613,COUNT(Market_Data!$H$21:$H$613)),1)),""))</f>
        <v/>
      </c>
      <c r="E903" s="145" t="str">
        <f ca="1">IF($A903="","",IFERROR(INDEX(Market_Data!$L$21:$L$613,MATCH($A903,Market_Data!$K$21:INDEX(Market_Data!$K$21:$K$613,COUNT(Market_Data!$K$21:$K$613)),1)),""))</f>
        <v/>
      </c>
      <c r="F903" s="145" t="str">
        <f ca="1">IF($A903="","",IFERROR(INDEX(Market_Data!$O$21:$O$613,MATCH($A903,Market_Data!$N$21:INDEX(Market_Data!$N$21:$N$613,COUNT(Market_Data!$N$21:$N$613)),1)),""))</f>
        <v/>
      </c>
      <c r="G903" s="145" t="str">
        <f ca="1">IF($A903="","",IFERROR(INDEX(Market_Data!$R$21:$R$613,MATCH($A903,Market_Data!$Q$21:INDEX(Market_Data!$Q$21:$Q$613,COUNT(Market_Data!$Q$21:$Q$613)),1)),""))</f>
        <v/>
      </c>
      <c r="H903" s="145" t="str">
        <f ca="1">IF($A903="","",IFERROR(INDEX(Market_Data!$U$21:$U$613,MATCH($A903,Market_Data!$T$21:INDEX(Market_Data!$T$21:$T$613,COUNT(Market_Data!$T$21:$T$613)),1)),""))</f>
        <v/>
      </c>
      <c r="I903" s="146" t="str">
        <f ca="1">IF($A903="","",IFERROR(INDEX(Query1[Close],MATCH($A903,Query1[Date],1)),""))</f>
        <v/>
      </c>
    </row>
    <row r="904" spans="1:9" x14ac:dyDescent="0.3">
      <c r="A904" s="144" t="str">
        <f t="shared" ca="1" si="16"/>
        <v/>
      </c>
      <c r="B904" s="145" t="str">
        <f ca="1">IF($A904="","",IFERROR(INDEX(Market_Data!$C$21:$C$613,MATCH($A904,Market_Data!$B$21:INDEX(Market_Data!$B$21:$B$613,COUNT(Market_Data!$B$21:$B$613)),1)),""))</f>
        <v/>
      </c>
      <c r="C904" s="145" t="str">
        <f ca="1">IF($A904="","",IFERROR(INDEX(Market_Data!$F$21:$F$613,MATCH($A904,Market_Data!$E$21:INDEX(Market_Data!$E$21:$E$613,COUNT(Market_Data!$E$21:$E$613)),1)),""))</f>
        <v/>
      </c>
      <c r="D904" s="145" t="str">
        <f ca="1">IF($A904="","",IFERROR(INDEX(Market_Data!$I$21:$I$613,MATCH($A904,Market_Data!$H$21:INDEX(Market_Data!$H$21:$H$613,COUNT(Market_Data!$H$21:$H$613)),1)),""))</f>
        <v/>
      </c>
      <c r="E904" s="145" t="str">
        <f ca="1">IF($A904="","",IFERROR(INDEX(Market_Data!$L$21:$L$613,MATCH($A904,Market_Data!$K$21:INDEX(Market_Data!$K$21:$K$613,COUNT(Market_Data!$K$21:$K$613)),1)),""))</f>
        <v/>
      </c>
      <c r="F904" s="145" t="str">
        <f ca="1">IF($A904="","",IFERROR(INDEX(Market_Data!$O$21:$O$613,MATCH($A904,Market_Data!$N$21:INDEX(Market_Data!$N$21:$N$613,COUNT(Market_Data!$N$21:$N$613)),1)),""))</f>
        <v/>
      </c>
      <c r="G904" s="145" t="str">
        <f ca="1">IF($A904="","",IFERROR(INDEX(Market_Data!$R$21:$R$613,MATCH($A904,Market_Data!$Q$21:INDEX(Market_Data!$Q$21:$Q$613,COUNT(Market_Data!$Q$21:$Q$613)),1)),""))</f>
        <v/>
      </c>
      <c r="H904" s="145" t="str">
        <f ca="1">IF($A904="","",IFERROR(INDEX(Market_Data!$U$21:$U$613,MATCH($A904,Market_Data!$T$21:INDEX(Market_Data!$T$21:$T$613,COUNT(Market_Data!$T$21:$T$613)),1)),""))</f>
        <v/>
      </c>
      <c r="I904" s="146" t="str">
        <f ca="1">IF($A904="","",IFERROR(INDEX(Query1[Close],MATCH($A904,Query1[Date],1)),""))</f>
        <v/>
      </c>
    </row>
    <row r="905" spans="1:9" x14ac:dyDescent="0.3">
      <c r="A905" s="144" t="str">
        <f t="shared" ca="1" si="16"/>
        <v/>
      </c>
      <c r="B905" s="145" t="str">
        <f ca="1">IF($A905="","",IFERROR(INDEX(Market_Data!$C$21:$C$613,MATCH($A905,Market_Data!$B$21:INDEX(Market_Data!$B$21:$B$613,COUNT(Market_Data!$B$21:$B$613)),1)),""))</f>
        <v/>
      </c>
      <c r="C905" s="145" t="str">
        <f ca="1">IF($A905="","",IFERROR(INDEX(Market_Data!$F$21:$F$613,MATCH($A905,Market_Data!$E$21:INDEX(Market_Data!$E$21:$E$613,COUNT(Market_Data!$E$21:$E$613)),1)),""))</f>
        <v/>
      </c>
      <c r="D905" s="145" t="str">
        <f ca="1">IF($A905="","",IFERROR(INDEX(Market_Data!$I$21:$I$613,MATCH($A905,Market_Data!$H$21:INDEX(Market_Data!$H$21:$H$613,COUNT(Market_Data!$H$21:$H$613)),1)),""))</f>
        <v/>
      </c>
      <c r="E905" s="145" t="str">
        <f ca="1">IF($A905="","",IFERROR(INDEX(Market_Data!$L$21:$L$613,MATCH($A905,Market_Data!$K$21:INDEX(Market_Data!$K$21:$K$613,COUNT(Market_Data!$K$21:$K$613)),1)),""))</f>
        <v/>
      </c>
      <c r="F905" s="145" t="str">
        <f ca="1">IF($A905="","",IFERROR(INDEX(Market_Data!$O$21:$O$613,MATCH($A905,Market_Data!$N$21:INDEX(Market_Data!$N$21:$N$613,COUNT(Market_Data!$N$21:$N$613)),1)),""))</f>
        <v/>
      </c>
      <c r="G905" s="145" t="str">
        <f ca="1">IF($A905="","",IFERROR(INDEX(Market_Data!$R$21:$R$613,MATCH($A905,Market_Data!$Q$21:INDEX(Market_Data!$Q$21:$Q$613,COUNT(Market_Data!$Q$21:$Q$613)),1)),""))</f>
        <v/>
      </c>
      <c r="H905" s="145" t="str">
        <f ca="1">IF($A905="","",IFERROR(INDEX(Market_Data!$U$21:$U$613,MATCH($A905,Market_Data!$T$21:INDEX(Market_Data!$T$21:$T$613,COUNT(Market_Data!$T$21:$T$613)),1)),""))</f>
        <v/>
      </c>
      <c r="I905" s="146" t="str">
        <f ca="1">IF($A905="","",IFERROR(INDEX(Query1[Close],MATCH($A905,Query1[Date],1)),""))</f>
        <v/>
      </c>
    </row>
    <row r="906" spans="1:9" x14ac:dyDescent="0.3">
      <c r="A906" s="144" t="str">
        <f t="shared" ca="1" si="16"/>
        <v/>
      </c>
      <c r="B906" s="145" t="str">
        <f ca="1">IF($A906="","",IFERROR(INDEX(Market_Data!$C$21:$C$613,MATCH($A906,Market_Data!$B$21:INDEX(Market_Data!$B$21:$B$613,COUNT(Market_Data!$B$21:$B$613)),1)),""))</f>
        <v/>
      </c>
      <c r="C906" s="145" t="str">
        <f ca="1">IF($A906="","",IFERROR(INDEX(Market_Data!$F$21:$F$613,MATCH($A906,Market_Data!$E$21:INDEX(Market_Data!$E$21:$E$613,COUNT(Market_Data!$E$21:$E$613)),1)),""))</f>
        <v/>
      </c>
      <c r="D906" s="145" t="str">
        <f ca="1">IF($A906="","",IFERROR(INDEX(Market_Data!$I$21:$I$613,MATCH($A906,Market_Data!$H$21:INDEX(Market_Data!$H$21:$H$613,COUNT(Market_Data!$H$21:$H$613)),1)),""))</f>
        <v/>
      </c>
      <c r="E906" s="145" t="str">
        <f ca="1">IF($A906="","",IFERROR(INDEX(Market_Data!$L$21:$L$613,MATCH($A906,Market_Data!$K$21:INDEX(Market_Data!$K$21:$K$613,COUNT(Market_Data!$K$21:$K$613)),1)),""))</f>
        <v/>
      </c>
      <c r="F906" s="145" t="str">
        <f ca="1">IF($A906="","",IFERROR(INDEX(Market_Data!$O$21:$O$613,MATCH($A906,Market_Data!$N$21:INDEX(Market_Data!$N$21:$N$613,COUNT(Market_Data!$N$21:$N$613)),1)),""))</f>
        <v/>
      </c>
      <c r="G906" s="145" t="str">
        <f ca="1">IF($A906="","",IFERROR(INDEX(Market_Data!$R$21:$R$613,MATCH($A906,Market_Data!$Q$21:INDEX(Market_Data!$Q$21:$Q$613,COUNT(Market_Data!$Q$21:$Q$613)),1)),""))</f>
        <v/>
      </c>
      <c r="H906" s="145" t="str">
        <f ca="1">IF($A906="","",IFERROR(INDEX(Market_Data!$U$21:$U$613,MATCH($A906,Market_Data!$T$21:INDEX(Market_Data!$T$21:$T$613,COUNT(Market_Data!$T$21:$T$613)),1)),""))</f>
        <v/>
      </c>
      <c r="I906" s="146" t="str">
        <f ca="1">IF($A906="","",IFERROR(INDEX(Query1[Close],MATCH($A906,Query1[Date],1)),""))</f>
        <v/>
      </c>
    </row>
    <row r="907" spans="1:9" x14ac:dyDescent="0.3">
      <c r="A907" s="144" t="str">
        <f t="shared" ca="1" si="16"/>
        <v/>
      </c>
      <c r="B907" s="145" t="str">
        <f ca="1">IF($A907="","",IFERROR(INDEX(Market_Data!$C$21:$C$613,MATCH($A907,Market_Data!$B$21:INDEX(Market_Data!$B$21:$B$613,COUNT(Market_Data!$B$21:$B$613)),1)),""))</f>
        <v/>
      </c>
      <c r="C907" s="145" t="str">
        <f ca="1">IF($A907="","",IFERROR(INDEX(Market_Data!$F$21:$F$613,MATCH($A907,Market_Data!$E$21:INDEX(Market_Data!$E$21:$E$613,COUNT(Market_Data!$E$21:$E$613)),1)),""))</f>
        <v/>
      </c>
      <c r="D907" s="145" t="str">
        <f ca="1">IF($A907="","",IFERROR(INDEX(Market_Data!$I$21:$I$613,MATCH($A907,Market_Data!$H$21:INDEX(Market_Data!$H$21:$H$613,COUNT(Market_Data!$H$21:$H$613)),1)),""))</f>
        <v/>
      </c>
      <c r="E907" s="145" t="str">
        <f ca="1">IF($A907="","",IFERROR(INDEX(Market_Data!$L$21:$L$613,MATCH($A907,Market_Data!$K$21:INDEX(Market_Data!$K$21:$K$613,COUNT(Market_Data!$K$21:$K$613)),1)),""))</f>
        <v/>
      </c>
      <c r="F907" s="145" t="str">
        <f ca="1">IF($A907="","",IFERROR(INDEX(Market_Data!$O$21:$O$613,MATCH($A907,Market_Data!$N$21:INDEX(Market_Data!$N$21:$N$613,COUNT(Market_Data!$N$21:$N$613)),1)),""))</f>
        <v/>
      </c>
      <c r="G907" s="145" t="str">
        <f ca="1">IF($A907="","",IFERROR(INDEX(Market_Data!$R$21:$R$613,MATCH($A907,Market_Data!$Q$21:INDEX(Market_Data!$Q$21:$Q$613,COUNT(Market_Data!$Q$21:$Q$613)),1)),""))</f>
        <v/>
      </c>
      <c r="H907" s="145" t="str">
        <f ca="1">IF($A907="","",IFERROR(INDEX(Market_Data!$U$21:$U$613,MATCH($A907,Market_Data!$T$21:INDEX(Market_Data!$T$21:$T$613,COUNT(Market_Data!$T$21:$T$613)),1)),""))</f>
        <v/>
      </c>
      <c r="I907" s="146" t="str">
        <f ca="1">IF($A907="","",IFERROR(INDEX(Query1[Close],MATCH($A907,Query1[Date],1)),""))</f>
        <v/>
      </c>
    </row>
    <row r="908" spans="1:9" x14ac:dyDescent="0.3">
      <c r="A908" s="144" t="str">
        <f t="shared" ca="1" si="16"/>
        <v/>
      </c>
      <c r="B908" s="145" t="str">
        <f ca="1">IF($A908="","",IFERROR(INDEX(Market_Data!$C$21:$C$613,MATCH($A908,Market_Data!$B$21:INDEX(Market_Data!$B$21:$B$613,COUNT(Market_Data!$B$21:$B$613)),1)),""))</f>
        <v/>
      </c>
      <c r="C908" s="145" t="str">
        <f ca="1">IF($A908="","",IFERROR(INDEX(Market_Data!$F$21:$F$613,MATCH($A908,Market_Data!$E$21:INDEX(Market_Data!$E$21:$E$613,COUNT(Market_Data!$E$21:$E$613)),1)),""))</f>
        <v/>
      </c>
      <c r="D908" s="145" t="str">
        <f ca="1">IF($A908="","",IFERROR(INDEX(Market_Data!$I$21:$I$613,MATCH($A908,Market_Data!$H$21:INDEX(Market_Data!$H$21:$H$613,COUNT(Market_Data!$H$21:$H$613)),1)),""))</f>
        <v/>
      </c>
      <c r="E908" s="145" t="str">
        <f ca="1">IF($A908="","",IFERROR(INDEX(Market_Data!$L$21:$L$613,MATCH($A908,Market_Data!$K$21:INDEX(Market_Data!$K$21:$K$613,COUNT(Market_Data!$K$21:$K$613)),1)),""))</f>
        <v/>
      </c>
      <c r="F908" s="145" t="str">
        <f ca="1">IF($A908="","",IFERROR(INDEX(Market_Data!$O$21:$O$613,MATCH($A908,Market_Data!$N$21:INDEX(Market_Data!$N$21:$N$613,COUNT(Market_Data!$N$21:$N$613)),1)),""))</f>
        <v/>
      </c>
      <c r="G908" s="145" t="str">
        <f ca="1">IF($A908="","",IFERROR(INDEX(Market_Data!$R$21:$R$613,MATCH($A908,Market_Data!$Q$21:INDEX(Market_Data!$Q$21:$Q$613,COUNT(Market_Data!$Q$21:$Q$613)),1)),""))</f>
        <v/>
      </c>
      <c r="H908" s="145" t="str">
        <f ca="1">IF($A908="","",IFERROR(INDEX(Market_Data!$U$21:$U$613,MATCH($A908,Market_Data!$T$21:INDEX(Market_Data!$T$21:$T$613,COUNT(Market_Data!$T$21:$T$613)),1)),""))</f>
        <v/>
      </c>
      <c r="I908" s="146" t="str">
        <f ca="1">IF($A908="","",IFERROR(INDEX(Query1[Close],MATCH($A908,Query1[Date],1)),""))</f>
        <v/>
      </c>
    </row>
    <row r="909" spans="1:9" x14ac:dyDescent="0.3">
      <c r="A909" s="144" t="str">
        <f t="shared" ca="1" si="16"/>
        <v/>
      </c>
      <c r="B909" s="145" t="str">
        <f ca="1">IF($A909="","",IFERROR(INDEX(Market_Data!$C$21:$C$613,MATCH($A909,Market_Data!$B$21:INDEX(Market_Data!$B$21:$B$613,COUNT(Market_Data!$B$21:$B$613)),1)),""))</f>
        <v/>
      </c>
      <c r="C909" s="145" t="str">
        <f ca="1">IF($A909="","",IFERROR(INDEX(Market_Data!$F$21:$F$613,MATCH($A909,Market_Data!$E$21:INDEX(Market_Data!$E$21:$E$613,COUNT(Market_Data!$E$21:$E$613)),1)),""))</f>
        <v/>
      </c>
      <c r="D909" s="145" t="str">
        <f ca="1">IF($A909="","",IFERROR(INDEX(Market_Data!$I$21:$I$613,MATCH($A909,Market_Data!$H$21:INDEX(Market_Data!$H$21:$H$613,COUNT(Market_Data!$H$21:$H$613)),1)),""))</f>
        <v/>
      </c>
      <c r="E909" s="145" t="str">
        <f ca="1">IF($A909="","",IFERROR(INDEX(Market_Data!$L$21:$L$613,MATCH($A909,Market_Data!$K$21:INDEX(Market_Data!$K$21:$K$613,COUNT(Market_Data!$K$21:$K$613)),1)),""))</f>
        <v/>
      </c>
      <c r="F909" s="145" t="str">
        <f ca="1">IF($A909="","",IFERROR(INDEX(Market_Data!$O$21:$O$613,MATCH($A909,Market_Data!$N$21:INDEX(Market_Data!$N$21:$N$613,COUNT(Market_Data!$N$21:$N$613)),1)),""))</f>
        <v/>
      </c>
      <c r="G909" s="145" t="str">
        <f ca="1">IF($A909="","",IFERROR(INDEX(Market_Data!$R$21:$R$613,MATCH($A909,Market_Data!$Q$21:INDEX(Market_Data!$Q$21:$Q$613,COUNT(Market_Data!$Q$21:$Q$613)),1)),""))</f>
        <v/>
      </c>
      <c r="H909" s="145" t="str">
        <f ca="1">IF($A909="","",IFERROR(INDEX(Market_Data!$U$21:$U$613,MATCH($A909,Market_Data!$T$21:INDEX(Market_Data!$T$21:$T$613,COUNT(Market_Data!$T$21:$T$613)),1)),""))</f>
        <v/>
      </c>
      <c r="I909" s="146" t="str">
        <f ca="1">IF($A909="","",IFERROR(INDEX(Query1[Close],MATCH($A909,Query1[Date],1)),""))</f>
        <v/>
      </c>
    </row>
    <row r="910" spans="1:9" x14ac:dyDescent="0.3">
      <c r="A910" s="144" t="str">
        <f t="shared" ca="1" si="16"/>
        <v/>
      </c>
      <c r="B910" s="145" t="str">
        <f ca="1">IF($A910="","",IFERROR(INDEX(Market_Data!$C$21:$C$613,MATCH($A910,Market_Data!$B$21:INDEX(Market_Data!$B$21:$B$613,COUNT(Market_Data!$B$21:$B$613)),1)),""))</f>
        <v/>
      </c>
      <c r="C910" s="145" t="str">
        <f ca="1">IF($A910="","",IFERROR(INDEX(Market_Data!$F$21:$F$613,MATCH($A910,Market_Data!$E$21:INDEX(Market_Data!$E$21:$E$613,COUNT(Market_Data!$E$21:$E$613)),1)),""))</f>
        <v/>
      </c>
      <c r="D910" s="145" t="str">
        <f ca="1">IF($A910="","",IFERROR(INDEX(Market_Data!$I$21:$I$613,MATCH($A910,Market_Data!$H$21:INDEX(Market_Data!$H$21:$H$613,COUNT(Market_Data!$H$21:$H$613)),1)),""))</f>
        <v/>
      </c>
      <c r="E910" s="145" t="str">
        <f ca="1">IF($A910="","",IFERROR(INDEX(Market_Data!$L$21:$L$613,MATCH($A910,Market_Data!$K$21:INDEX(Market_Data!$K$21:$K$613,COUNT(Market_Data!$K$21:$K$613)),1)),""))</f>
        <v/>
      </c>
      <c r="F910" s="145" t="str">
        <f ca="1">IF($A910="","",IFERROR(INDEX(Market_Data!$O$21:$O$613,MATCH($A910,Market_Data!$N$21:INDEX(Market_Data!$N$21:$N$613,COUNT(Market_Data!$N$21:$N$613)),1)),""))</f>
        <v/>
      </c>
      <c r="G910" s="145" t="str">
        <f ca="1">IF($A910="","",IFERROR(INDEX(Market_Data!$R$21:$R$613,MATCH($A910,Market_Data!$Q$21:INDEX(Market_Data!$Q$21:$Q$613,COUNT(Market_Data!$Q$21:$Q$613)),1)),""))</f>
        <v/>
      </c>
      <c r="H910" s="145" t="str">
        <f ca="1">IF($A910="","",IFERROR(INDEX(Market_Data!$U$21:$U$613,MATCH($A910,Market_Data!$T$21:INDEX(Market_Data!$T$21:$T$613,COUNT(Market_Data!$T$21:$T$613)),1)),""))</f>
        <v/>
      </c>
      <c r="I910" s="146" t="str">
        <f ca="1">IF($A910="","",IFERROR(INDEX(Query1[Close],MATCH($A910,Query1[Date],1)),""))</f>
        <v/>
      </c>
    </row>
    <row r="911" spans="1:9" x14ac:dyDescent="0.3">
      <c r="A911" s="144" t="str">
        <f t="shared" ca="1" si="16"/>
        <v/>
      </c>
      <c r="B911" s="145" t="str">
        <f ca="1">IF($A911="","",IFERROR(INDEX(Market_Data!$C$21:$C$613,MATCH($A911,Market_Data!$B$21:INDEX(Market_Data!$B$21:$B$613,COUNT(Market_Data!$B$21:$B$613)),1)),""))</f>
        <v/>
      </c>
      <c r="C911" s="145" t="str">
        <f ca="1">IF($A911="","",IFERROR(INDEX(Market_Data!$F$21:$F$613,MATCH($A911,Market_Data!$E$21:INDEX(Market_Data!$E$21:$E$613,COUNT(Market_Data!$E$21:$E$613)),1)),""))</f>
        <v/>
      </c>
      <c r="D911" s="145" t="str">
        <f ca="1">IF($A911="","",IFERROR(INDEX(Market_Data!$I$21:$I$613,MATCH($A911,Market_Data!$H$21:INDEX(Market_Data!$H$21:$H$613,COUNT(Market_Data!$H$21:$H$613)),1)),""))</f>
        <v/>
      </c>
      <c r="E911" s="145" t="str">
        <f ca="1">IF($A911="","",IFERROR(INDEX(Market_Data!$L$21:$L$613,MATCH($A911,Market_Data!$K$21:INDEX(Market_Data!$K$21:$K$613,COUNT(Market_Data!$K$21:$K$613)),1)),""))</f>
        <v/>
      </c>
      <c r="F911" s="145" t="str">
        <f ca="1">IF($A911="","",IFERROR(INDEX(Market_Data!$O$21:$O$613,MATCH($A911,Market_Data!$N$21:INDEX(Market_Data!$N$21:$N$613,COUNT(Market_Data!$N$21:$N$613)),1)),""))</f>
        <v/>
      </c>
      <c r="G911" s="145" t="str">
        <f ca="1">IF($A911="","",IFERROR(INDEX(Market_Data!$R$21:$R$613,MATCH($A911,Market_Data!$Q$21:INDEX(Market_Data!$Q$21:$Q$613,COUNT(Market_Data!$Q$21:$Q$613)),1)),""))</f>
        <v/>
      </c>
      <c r="H911" s="145" t="str">
        <f ca="1">IF($A911="","",IFERROR(INDEX(Market_Data!$U$21:$U$613,MATCH($A911,Market_Data!$T$21:INDEX(Market_Data!$T$21:$T$613,COUNT(Market_Data!$T$21:$T$613)),1)),""))</f>
        <v/>
      </c>
      <c r="I911" s="146" t="str">
        <f ca="1">IF($A911="","",IFERROR(INDEX(Query1[Close],MATCH($A911,Query1[Date],1)),""))</f>
        <v/>
      </c>
    </row>
    <row r="912" spans="1:9" x14ac:dyDescent="0.3">
      <c r="A912" s="144" t="str">
        <f t="shared" ca="1" si="16"/>
        <v/>
      </c>
      <c r="B912" s="145" t="str">
        <f ca="1">IF($A912="","",IFERROR(INDEX(Market_Data!$C$21:$C$613,MATCH($A912,Market_Data!$B$21:INDEX(Market_Data!$B$21:$B$613,COUNT(Market_Data!$B$21:$B$613)),1)),""))</f>
        <v/>
      </c>
      <c r="C912" s="145" t="str">
        <f ca="1">IF($A912="","",IFERROR(INDEX(Market_Data!$F$21:$F$613,MATCH($A912,Market_Data!$E$21:INDEX(Market_Data!$E$21:$E$613,COUNT(Market_Data!$E$21:$E$613)),1)),""))</f>
        <v/>
      </c>
      <c r="D912" s="145" t="str">
        <f ca="1">IF($A912="","",IFERROR(INDEX(Market_Data!$I$21:$I$613,MATCH($A912,Market_Data!$H$21:INDEX(Market_Data!$H$21:$H$613,COUNT(Market_Data!$H$21:$H$613)),1)),""))</f>
        <v/>
      </c>
      <c r="E912" s="145" t="str">
        <f ca="1">IF($A912="","",IFERROR(INDEX(Market_Data!$L$21:$L$613,MATCH($A912,Market_Data!$K$21:INDEX(Market_Data!$K$21:$K$613,COUNT(Market_Data!$K$21:$K$613)),1)),""))</f>
        <v/>
      </c>
      <c r="F912" s="145" t="str">
        <f ca="1">IF($A912="","",IFERROR(INDEX(Market_Data!$O$21:$O$613,MATCH($A912,Market_Data!$N$21:INDEX(Market_Data!$N$21:$N$613,COUNT(Market_Data!$N$21:$N$613)),1)),""))</f>
        <v/>
      </c>
      <c r="G912" s="145" t="str">
        <f ca="1">IF($A912="","",IFERROR(INDEX(Market_Data!$R$21:$R$613,MATCH($A912,Market_Data!$Q$21:INDEX(Market_Data!$Q$21:$Q$613,COUNT(Market_Data!$Q$21:$Q$613)),1)),""))</f>
        <v/>
      </c>
      <c r="H912" s="145" t="str">
        <f ca="1">IF($A912="","",IFERROR(INDEX(Market_Data!$U$21:$U$613,MATCH($A912,Market_Data!$T$21:INDEX(Market_Data!$T$21:$T$613,COUNT(Market_Data!$T$21:$T$613)),1)),""))</f>
        <v/>
      </c>
      <c r="I912" s="146" t="str">
        <f ca="1">IF($A912="","",IFERROR(INDEX(Query1[Close],MATCH($A912,Query1[Date],1)),""))</f>
        <v/>
      </c>
    </row>
    <row r="913" spans="1:9" x14ac:dyDescent="0.3">
      <c r="A913" s="144" t="str">
        <f t="shared" ca="1" si="16"/>
        <v/>
      </c>
      <c r="B913" s="145" t="str">
        <f ca="1">IF($A913="","",IFERROR(INDEX(Market_Data!$C$21:$C$613,MATCH($A913,Market_Data!$B$21:INDEX(Market_Data!$B$21:$B$613,COUNT(Market_Data!$B$21:$B$613)),1)),""))</f>
        <v/>
      </c>
      <c r="C913" s="145" t="str">
        <f ca="1">IF($A913="","",IFERROR(INDEX(Market_Data!$F$21:$F$613,MATCH($A913,Market_Data!$E$21:INDEX(Market_Data!$E$21:$E$613,COUNT(Market_Data!$E$21:$E$613)),1)),""))</f>
        <v/>
      </c>
      <c r="D913" s="145" t="str">
        <f ca="1">IF($A913="","",IFERROR(INDEX(Market_Data!$I$21:$I$613,MATCH($A913,Market_Data!$H$21:INDEX(Market_Data!$H$21:$H$613,COUNT(Market_Data!$H$21:$H$613)),1)),""))</f>
        <v/>
      </c>
      <c r="E913" s="145" t="str">
        <f ca="1">IF($A913="","",IFERROR(INDEX(Market_Data!$L$21:$L$613,MATCH($A913,Market_Data!$K$21:INDEX(Market_Data!$K$21:$K$613,COUNT(Market_Data!$K$21:$K$613)),1)),""))</f>
        <v/>
      </c>
      <c r="F913" s="145" t="str">
        <f ca="1">IF($A913="","",IFERROR(INDEX(Market_Data!$O$21:$O$613,MATCH($A913,Market_Data!$N$21:INDEX(Market_Data!$N$21:$N$613,COUNT(Market_Data!$N$21:$N$613)),1)),""))</f>
        <v/>
      </c>
      <c r="G913" s="145" t="str">
        <f ca="1">IF($A913="","",IFERROR(INDEX(Market_Data!$R$21:$R$613,MATCH($A913,Market_Data!$Q$21:INDEX(Market_Data!$Q$21:$Q$613,COUNT(Market_Data!$Q$21:$Q$613)),1)),""))</f>
        <v/>
      </c>
      <c r="H913" s="145" t="str">
        <f ca="1">IF($A913="","",IFERROR(INDEX(Market_Data!$U$21:$U$613,MATCH($A913,Market_Data!$T$21:INDEX(Market_Data!$T$21:$T$613,COUNT(Market_Data!$T$21:$T$613)),1)),""))</f>
        <v/>
      </c>
      <c r="I913" s="146" t="str">
        <f ca="1">IF($A913="","",IFERROR(INDEX(Query1[Close],MATCH($A913,Query1[Date],1)),""))</f>
        <v/>
      </c>
    </row>
    <row r="914" spans="1:9" x14ac:dyDescent="0.3">
      <c r="A914" s="144" t="str">
        <f t="shared" ca="1" si="16"/>
        <v/>
      </c>
      <c r="B914" s="145" t="str">
        <f ca="1">IF($A914="","",IFERROR(INDEX(Market_Data!$C$21:$C$613,MATCH($A914,Market_Data!$B$21:INDEX(Market_Data!$B$21:$B$613,COUNT(Market_Data!$B$21:$B$613)),1)),""))</f>
        <v/>
      </c>
      <c r="C914" s="145" t="str">
        <f ca="1">IF($A914="","",IFERROR(INDEX(Market_Data!$F$21:$F$613,MATCH($A914,Market_Data!$E$21:INDEX(Market_Data!$E$21:$E$613,COUNT(Market_Data!$E$21:$E$613)),1)),""))</f>
        <v/>
      </c>
      <c r="D914" s="145" t="str">
        <f ca="1">IF($A914="","",IFERROR(INDEX(Market_Data!$I$21:$I$613,MATCH($A914,Market_Data!$H$21:INDEX(Market_Data!$H$21:$H$613,COUNT(Market_Data!$H$21:$H$613)),1)),""))</f>
        <v/>
      </c>
      <c r="E914" s="145" t="str">
        <f ca="1">IF($A914="","",IFERROR(INDEX(Market_Data!$L$21:$L$613,MATCH($A914,Market_Data!$K$21:INDEX(Market_Data!$K$21:$K$613,COUNT(Market_Data!$K$21:$K$613)),1)),""))</f>
        <v/>
      </c>
      <c r="F914" s="145" t="str">
        <f ca="1">IF($A914="","",IFERROR(INDEX(Market_Data!$O$21:$O$613,MATCH($A914,Market_Data!$N$21:INDEX(Market_Data!$N$21:$N$613,COUNT(Market_Data!$N$21:$N$613)),1)),""))</f>
        <v/>
      </c>
      <c r="G914" s="145" t="str">
        <f ca="1">IF($A914="","",IFERROR(INDEX(Market_Data!$R$21:$R$613,MATCH($A914,Market_Data!$Q$21:INDEX(Market_Data!$Q$21:$Q$613,COUNT(Market_Data!$Q$21:$Q$613)),1)),""))</f>
        <v/>
      </c>
      <c r="H914" s="145" t="str">
        <f ca="1">IF($A914="","",IFERROR(INDEX(Market_Data!$U$21:$U$613,MATCH($A914,Market_Data!$T$21:INDEX(Market_Data!$T$21:$T$613,COUNT(Market_Data!$T$21:$T$613)),1)),""))</f>
        <v/>
      </c>
      <c r="I914" s="146" t="str">
        <f ca="1">IF($A914="","",IFERROR(INDEX(Query1[Close],MATCH($A914,Query1[Date],1)),""))</f>
        <v/>
      </c>
    </row>
    <row r="915" spans="1:9" x14ac:dyDescent="0.3">
      <c r="A915" s="144" t="str">
        <f t="shared" ca="1" si="16"/>
        <v/>
      </c>
      <c r="B915" s="145" t="str">
        <f ca="1">IF($A915="","",IFERROR(INDEX(Market_Data!$C$21:$C$613,MATCH($A915,Market_Data!$B$21:INDEX(Market_Data!$B$21:$B$613,COUNT(Market_Data!$B$21:$B$613)),1)),""))</f>
        <v/>
      </c>
      <c r="C915" s="145" t="str">
        <f ca="1">IF($A915="","",IFERROR(INDEX(Market_Data!$F$21:$F$613,MATCH($A915,Market_Data!$E$21:INDEX(Market_Data!$E$21:$E$613,COUNT(Market_Data!$E$21:$E$613)),1)),""))</f>
        <v/>
      </c>
      <c r="D915" s="145" t="str">
        <f ca="1">IF($A915="","",IFERROR(INDEX(Market_Data!$I$21:$I$613,MATCH($A915,Market_Data!$H$21:INDEX(Market_Data!$H$21:$H$613,COUNT(Market_Data!$H$21:$H$613)),1)),""))</f>
        <v/>
      </c>
      <c r="E915" s="145" t="str">
        <f ca="1">IF($A915="","",IFERROR(INDEX(Market_Data!$L$21:$L$613,MATCH($A915,Market_Data!$K$21:INDEX(Market_Data!$K$21:$K$613,COUNT(Market_Data!$K$21:$K$613)),1)),""))</f>
        <v/>
      </c>
      <c r="F915" s="145" t="str">
        <f ca="1">IF($A915="","",IFERROR(INDEX(Market_Data!$O$21:$O$613,MATCH($A915,Market_Data!$N$21:INDEX(Market_Data!$N$21:$N$613,COUNT(Market_Data!$N$21:$N$613)),1)),""))</f>
        <v/>
      </c>
      <c r="G915" s="145" t="str">
        <f ca="1">IF($A915="","",IFERROR(INDEX(Market_Data!$R$21:$R$613,MATCH($A915,Market_Data!$Q$21:INDEX(Market_Data!$Q$21:$Q$613,COUNT(Market_Data!$Q$21:$Q$613)),1)),""))</f>
        <v/>
      </c>
      <c r="H915" s="145" t="str">
        <f ca="1">IF($A915="","",IFERROR(INDEX(Market_Data!$U$21:$U$613,MATCH($A915,Market_Data!$T$21:INDEX(Market_Data!$T$21:$T$613,COUNT(Market_Data!$T$21:$T$613)),1)),""))</f>
        <v/>
      </c>
      <c r="I915" s="146" t="str">
        <f ca="1">IF($A915="","",IFERROR(INDEX(Query1[Close],MATCH($A915,Query1[Date],1)),""))</f>
        <v/>
      </c>
    </row>
    <row r="916" spans="1:9" x14ac:dyDescent="0.3">
      <c r="A916" s="144" t="str">
        <f t="shared" ca="1" si="16"/>
        <v/>
      </c>
      <c r="B916" s="145" t="str">
        <f ca="1">IF($A916="","",IFERROR(INDEX(Market_Data!$C$21:$C$613,MATCH($A916,Market_Data!$B$21:INDEX(Market_Data!$B$21:$B$613,COUNT(Market_Data!$B$21:$B$613)),1)),""))</f>
        <v/>
      </c>
      <c r="C916" s="145" t="str">
        <f ca="1">IF($A916="","",IFERROR(INDEX(Market_Data!$F$21:$F$613,MATCH($A916,Market_Data!$E$21:INDEX(Market_Data!$E$21:$E$613,COUNT(Market_Data!$E$21:$E$613)),1)),""))</f>
        <v/>
      </c>
      <c r="D916" s="145" t="str">
        <f ca="1">IF($A916="","",IFERROR(INDEX(Market_Data!$I$21:$I$613,MATCH($A916,Market_Data!$H$21:INDEX(Market_Data!$H$21:$H$613,COUNT(Market_Data!$H$21:$H$613)),1)),""))</f>
        <v/>
      </c>
      <c r="E916" s="145" t="str">
        <f ca="1">IF($A916="","",IFERROR(INDEX(Market_Data!$L$21:$L$613,MATCH($A916,Market_Data!$K$21:INDEX(Market_Data!$K$21:$K$613,COUNT(Market_Data!$K$21:$K$613)),1)),""))</f>
        <v/>
      </c>
      <c r="F916" s="145" t="str">
        <f ca="1">IF($A916="","",IFERROR(INDEX(Market_Data!$O$21:$O$613,MATCH($A916,Market_Data!$N$21:INDEX(Market_Data!$N$21:$N$613,COUNT(Market_Data!$N$21:$N$613)),1)),""))</f>
        <v/>
      </c>
      <c r="G916" s="145" t="str">
        <f ca="1">IF($A916="","",IFERROR(INDEX(Market_Data!$R$21:$R$613,MATCH($A916,Market_Data!$Q$21:INDEX(Market_Data!$Q$21:$Q$613,COUNT(Market_Data!$Q$21:$Q$613)),1)),""))</f>
        <v/>
      </c>
      <c r="H916" s="145" t="str">
        <f ca="1">IF($A916="","",IFERROR(INDEX(Market_Data!$U$21:$U$613,MATCH($A916,Market_Data!$T$21:INDEX(Market_Data!$T$21:$T$613,COUNT(Market_Data!$T$21:$T$613)),1)),""))</f>
        <v/>
      </c>
      <c r="I916" s="146" t="str">
        <f ca="1">IF($A916="","",IFERROR(INDEX(Query1[Close],MATCH($A916,Query1[Date],1)),""))</f>
        <v/>
      </c>
    </row>
    <row r="917" spans="1:9" x14ac:dyDescent="0.3">
      <c r="A917" s="144" t="str">
        <f t="shared" ca="1" si="16"/>
        <v/>
      </c>
      <c r="B917" s="145" t="str">
        <f ca="1">IF($A917="","",IFERROR(INDEX(Market_Data!$C$21:$C$613,MATCH($A917,Market_Data!$B$21:INDEX(Market_Data!$B$21:$B$613,COUNT(Market_Data!$B$21:$B$613)),1)),""))</f>
        <v/>
      </c>
      <c r="C917" s="145" t="str">
        <f ca="1">IF($A917="","",IFERROR(INDEX(Market_Data!$F$21:$F$613,MATCH($A917,Market_Data!$E$21:INDEX(Market_Data!$E$21:$E$613,COUNT(Market_Data!$E$21:$E$613)),1)),""))</f>
        <v/>
      </c>
      <c r="D917" s="145" t="str">
        <f ca="1">IF($A917="","",IFERROR(INDEX(Market_Data!$I$21:$I$613,MATCH($A917,Market_Data!$H$21:INDEX(Market_Data!$H$21:$H$613,COUNT(Market_Data!$H$21:$H$613)),1)),""))</f>
        <v/>
      </c>
      <c r="E917" s="145" t="str">
        <f ca="1">IF($A917="","",IFERROR(INDEX(Market_Data!$L$21:$L$613,MATCH($A917,Market_Data!$K$21:INDEX(Market_Data!$K$21:$K$613,COUNT(Market_Data!$K$21:$K$613)),1)),""))</f>
        <v/>
      </c>
      <c r="F917" s="145" t="str">
        <f ca="1">IF($A917="","",IFERROR(INDEX(Market_Data!$O$21:$O$613,MATCH($A917,Market_Data!$N$21:INDEX(Market_Data!$N$21:$N$613,COUNT(Market_Data!$N$21:$N$613)),1)),""))</f>
        <v/>
      </c>
      <c r="G917" s="145" t="str">
        <f ca="1">IF($A917="","",IFERROR(INDEX(Market_Data!$R$21:$R$613,MATCH($A917,Market_Data!$Q$21:INDEX(Market_Data!$Q$21:$Q$613,COUNT(Market_Data!$Q$21:$Q$613)),1)),""))</f>
        <v/>
      </c>
      <c r="H917" s="145" t="str">
        <f ca="1">IF($A917="","",IFERROR(INDEX(Market_Data!$U$21:$U$613,MATCH($A917,Market_Data!$T$21:INDEX(Market_Data!$T$21:$T$613,COUNT(Market_Data!$T$21:$T$613)),1)),""))</f>
        <v/>
      </c>
      <c r="I917" s="146" t="str">
        <f ca="1">IF($A917="","",IFERROR(INDEX(Query1[Close],MATCH($A917,Query1[Date],1)),""))</f>
        <v/>
      </c>
    </row>
    <row r="918" spans="1:9" x14ac:dyDescent="0.3">
      <c r="A918" s="144" t="str">
        <f t="shared" ca="1" si="16"/>
        <v/>
      </c>
      <c r="B918" s="145" t="str">
        <f ca="1">IF($A918="","",IFERROR(INDEX(Market_Data!$C$21:$C$613,MATCH($A918,Market_Data!$B$21:INDEX(Market_Data!$B$21:$B$613,COUNT(Market_Data!$B$21:$B$613)),1)),""))</f>
        <v/>
      </c>
      <c r="C918" s="145" t="str">
        <f ca="1">IF($A918="","",IFERROR(INDEX(Market_Data!$F$21:$F$613,MATCH($A918,Market_Data!$E$21:INDEX(Market_Data!$E$21:$E$613,COUNT(Market_Data!$E$21:$E$613)),1)),""))</f>
        <v/>
      </c>
      <c r="D918" s="145" t="str">
        <f ca="1">IF($A918="","",IFERROR(INDEX(Market_Data!$I$21:$I$613,MATCH($A918,Market_Data!$H$21:INDEX(Market_Data!$H$21:$H$613,COUNT(Market_Data!$H$21:$H$613)),1)),""))</f>
        <v/>
      </c>
      <c r="E918" s="145" t="str">
        <f ca="1">IF($A918="","",IFERROR(INDEX(Market_Data!$L$21:$L$613,MATCH($A918,Market_Data!$K$21:INDEX(Market_Data!$K$21:$K$613,COUNT(Market_Data!$K$21:$K$613)),1)),""))</f>
        <v/>
      </c>
      <c r="F918" s="145" t="str">
        <f ca="1">IF($A918="","",IFERROR(INDEX(Market_Data!$O$21:$O$613,MATCH($A918,Market_Data!$N$21:INDEX(Market_Data!$N$21:$N$613,COUNT(Market_Data!$N$21:$N$613)),1)),""))</f>
        <v/>
      </c>
      <c r="G918" s="145" t="str">
        <f ca="1">IF($A918="","",IFERROR(INDEX(Market_Data!$R$21:$R$613,MATCH($A918,Market_Data!$Q$21:INDEX(Market_Data!$Q$21:$Q$613,COUNT(Market_Data!$Q$21:$Q$613)),1)),""))</f>
        <v/>
      </c>
      <c r="H918" s="145" t="str">
        <f ca="1">IF($A918="","",IFERROR(INDEX(Market_Data!$U$21:$U$613,MATCH($A918,Market_Data!$T$21:INDEX(Market_Data!$T$21:$T$613,COUNT(Market_Data!$T$21:$T$613)),1)),""))</f>
        <v/>
      </c>
      <c r="I918" s="146" t="str">
        <f ca="1">IF($A918="","",IFERROR(INDEX(Query1[Close],MATCH($A918,Query1[Date],1)),""))</f>
        <v/>
      </c>
    </row>
    <row r="919" spans="1:9" x14ac:dyDescent="0.3">
      <c r="A919" s="144" t="str">
        <f t="shared" ca="1" si="16"/>
        <v/>
      </c>
      <c r="B919" s="145" t="str">
        <f ca="1">IF($A919="","",IFERROR(INDEX(Market_Data!$C$21:$C$613,MATCH($A919,Market_Data!$B$21:INDEX(Market_Data!$B$21:$B$613,COUNT(Market_Data!$B$21:$B$613)),1)),""))</f>
        <v/>
      </c>
      <c r="C919" s="145" t="str">
        <f ca="1">IF($A919="","",IFERROR(INDEX(Market_Data!$F$21:$F$613,MATCH($A919,Market_Data!$E$21:INDEX(Market_Data!$E$21:$E$613,COUNT(Market_Data!$E$21:$E$613)),1)),""))</f>
        <v/>
      </c>
      <c r="D919" s="145" t="str">
        <f ca="1">IF($A919="","",IFERROR(INDEX(Market_Data!$I$21:$I$613,MATCH($A919,Market_Data!$H$21:INDEX(Market_Data!$H$21:$H$613,COUNT(Market_Data!$H$21:$H$613)),1)),""))</f>
        <v/>
      </c>
      <c r="E919" s="145" t="str">
        <f ca="1">IF($A919="","",IFERROR(INDEX(Market_Data!$L$21:$L$613,MATCH($A919,Market_Data!$K$21:INDEX(Market_Data!$K$21:$K$613,COUNT(Market_Data!$K$21:$K$613)),1)),""))</f>
        <v/>
      </c>
      <c r="F919" s="145" t="str">
        <f ca="1">IF($A919="","",IFERROR(INDEX(Market_Data!$O$21:$O$613,MATCH($A919,Market_Data!$N$21:INDEX(Market_Data!$N$21:$N$613,COUNT(Market_Data!$N$21:$N$613)),1)),""))</f>
        <v/>
      </c>
      <c r="G919" s="145" t="str">
        <f ca="1">IF($A919="","",IFERROR(INDEX(Market_Data!$R$21:$R$613,MATCH($A919,Market_Data!$Q$21:INDEX(Market_Data!$Q$21:$Q$613,COUNT(Market_Data!$Q$21:$Q$613)),1)),""))</f>
        <v/>
      </c>
      <c r="H919" s="145" t="str">
        <f ca="1">IF($A919="","",IFERROR(INDEX(Market_Data!$U$21:$U$613,MATCH($A919,Market_Data!$T$21:INDEX(Market_Data!$T$21:$T$613,COUNT(Market_Data!$T$21:$T$613)),1)),""))</f>
        <v/>
      </c>
      <c r="I919" s="146" t="str">
        <f ca="1">IF($A919="","",IFERROR(INDEX(Query1[Close],MATCH($A919,Query1[Date],1)),""))</f>
        <v/>
      </c>
    </row>
    <row r="920" spans="1:9" x14ac:dyDescent="0.3">
      <c r="A920" s="144" t="str">
        <f t="shared" ca="1" si="16"/>
        <v/>
      </c>
      <c r="B920" s="145" t="str">
        <f ca="1">IF($A920="","",IFERROR(INDEX(Market_Data!$C$21:$C$613,MATCH($A920,Market_Data!$B$21:INDEX(Market_Data!$B$21:$B$613,COUNT(Market_Data!$B$21:$B$613)),1)),""))</f>
        <v/>
      </c>
      <c r="C920" s="145" t="str">
        <f ca="1">IF($A920="","",IFERROR(INDEX(Market_Data!$F$21:$F$613,MATCH($A920,Market_Data!$E$21:INDEX(Market_Data!$E$21:$E$613,COUNT(Market_Data!$E$21:$E$613)),1)),""))</f>
        <v/>
      </c>
      <c r="D920" s="145" t="str">
        <f ca="1">IF($A920="","",IFERROR(INDEX(Market_Data!$I$21:$I$613,MATCH($A920,Market_Data!$H$21:INDEX(Market_Data!$H$21:$H$613,COUNT(Market_Data!$H$21:$H$613)),1)),""))</f>
        <v/>
      </c>
      <c r="E920" s="145" t="str">
        <f ca="1">IF($A920="","",IFERROR(INDEX(Market_Data!$L$21:$L$613,MATCH($A920,Market_Data!$K$21:INDEX(Market_Data!$K$21:$K$613,COUNT(Market_Data!$K$21:$K$613)),1)),""))</f>
        <v/>
      </c>
      <c r="F920" s="145" t="str">
        <f ca="1">IF($A920="","",IFERROR(INDEX(Market_Data!$O$21:$O$613,MATCH($A920,Market_Data!$N$21:INDEX(Market_Data!$N$21:$N$613,COUNT(Market_Data!$N$21:$N$613)),1)),""))</f>
        <v/>
      </c>
      <c r="G920" s="145" t="str">
        <f ca="1">IF($A920="","",IFERROR(INDEX(Market_Data!$R$21:$R$613,MATCH($A920,Market_Data!$Q$21:INDEX(Market_Data!$Q$21:$Q$613,COUNT(Market_Data!$Q$21:$Q$613)),1)),""))</f>
        <v/>
      </c>
      <c r="H920" s="145" t="str">
        <f ca="1">IF($A920="","",IFERROR(INDEX(Market_Data!$U$21:$U$613,MATCH($A920,Market_Data!$T$21:INDEX(Market_Data!$T$21:$T$613,COUNT(Market_Data!$T$21:$T$613)),1)),""))</f>
        <v/>
      </c>
      <c r="I920" s="146" t="str">
        <f ca="1">IF($A920="","",IFERROR(INDEX(Query1[Close],MATCH($A920,Query1[Date],1)),""))</f>
        <v/>
      </c>
    </row>
    <row r="921" spans="1:9" x14ac:dyDescent="0.3">
      <c r="A921" s="144" t="str">
        <f t="shared" ca="1" si="16"/>
        <v/>
      </c>
      <c r="B921" s="145" t="str">
        <f ca="1">IF($A921="","",IFERROR(INDEX(Market_Data!$C$21:$C$613,MATCH($A921,Market_Data!$B$21:INDEX(Market_Data!$B$21:$B$613,COUNT(Market_Data!$B$21:$B$613)),1)),""))</f>
        <v/>
      </c>
      <c r="C921" s="145" t="str">
        <f ca="1">IF($A921="","",IFERROR(INDEX(Market_Data!$F$21:$F$613,MATCH($A921,Market_Data!$E$21:INDEX(Market_Data!$E$21:$E$613,COUNT(Market_Data!$E$21:$E$613)),1)),""))</f>
        <v/>
      </c>
      <c r="D921" s="145" t="str">
        <f ca="1">IF($A921="","",IFERROR(INDEX(Market_Data!$I$21:$I$613,MATCH($A921,Market_Data!$H$21:INDEX(Market_Data!$H$21:$H$613,COUNT(Market_Data!$H$21:$H$613)),1)),""))</f>
        <v/>
      </c>
      <c r="E921" s="145" t="str">
        <f ca="1">IF($A921="","",IFERROR(INDEX(Market_Data!$L$21:$L$613,MATCH($A921,Market_Data!$K$21:INDEX(Market_Data!$K$21:$K$613,COUNT(Market_Data!$K$21:$K$613)),1)),""))</f>
        <v/>
      </c>
      <c r="F921" s="145" t="str">
        <f ca="1">IF($A921="","",IFERROR(INDEX(Market_Data!$O$21:$O$613,MATCH($A921,Market_Data!$N$21:INDEX(Market_Data!$N$21:$N$613,COUNT(Market_Data!$N$21:$N$613)),1)),""))</f>
        <v/>
      </c>
      <c r="G921" s="145" t="str">
        <f ca="1">IF($A921="","",IFERROR(INDEX(Market_Data!$R$21:$R$613,MATCH($A921,Market_Data!$Q$21:INDEX(Market_Data!$Q$21:$Q$613,COUNT(Market_Data!$Q$21:$Q$613)),1)),""))</f>
        <v/>
      </c>
      <c r="H921" s="145" t="str">
        <f ca="1">IF($A921="","",IFERROR(INDEX(Market_Data!$U$21:$U$613,MATCH($A921,Market_Data!$T$21:INDEX(Market_Data!$T$21:$T$613,COUNT(Market_Data!$T$21:$T$613)),1)),""))</f>
        <v/>
      </c>
      <c r="I921" s="146" t="str">
        <f ca="1">IF($A921="","",IFERROR(INDEX(Query1[Close],MATCH($A921,Query1[Date],1)),""))</f>
        <v/>
      </c>
    </row>
    <row r="922" spans="1:9" x14ac:dyDescent="0.3">
      <c r="A922" s="144" t="str">
        <f t="shared" ca="1" si="16"/>
        <v/>
      </c>
      <c r="B922" s="145" t="str">
        <f ca="1">IF($A922="","",IFERROR(INDEX(Market_Data!$C$21:$C$613,MATCH($A922,Market_Data!$B$21:INDEX(Market_Data!$B$21:$B$613,COUNT(Market_Data!$B$21:$B$613)),1)),""))</f>
        <v/>
      </c>
      <c r="C922" s="145" t="str">
        <f ca="1">IF($A922="","",IFERROR(INDEX(Market_Data!$F$21:$F$613,MATCH($A922,Market_Data!$E$21:INDEX(Market_Data!$E$21:$E$613,COUNT(Market_Data!$E$21:$E$613)),1)),""))</f>
        <v/>
      </c>
      <c r="D922" s="145" t="str">
        <f ca="1">IF($A922="","",IFERROR(INDEX(Market_Data!$I$21:$I$613,MATCH($A922,Market_Data!$H$21:INDEX(Market_Data!$H$21:$H$613,COUNT(Market_Data!$H$21:$H$613)),1)),""))</f>
        <v/>
      </c>
      <c r="E922" s="145" t="str">
        <f ca="1">IF($A922="","",IFERROR(INDEX(Market_Data!$L$21:$L$613,MATCH($A922,Market_Data!$K$21:INDEX(Market_Data!$K$21:$K$613,COUNT(Market_Data!$K$21:$K$613)),1)),""))</f>
        <v/>
      </c>
      <c r="F922" s="145" t="str">
        <f ca="1">IF($A922="","",IFERROR(INDEX(Market_Data!$O$21:$O$613,MATCH($A922,Market_Data!$N$21:INDEX(Market_Data!$N$21:$N$613,COUNT(Market_Data!$N$21:$N$613)),1)),""))</f>
        <v/>
      </c>
      <c r="G922" s="145" t="str">
        <f ca="1">IF($A922="","",IFERROR(INDEX(Market_Data!$R$21:$R$613,MATCH($A922,Market_Data!$Q$21:INDEX(Market_Data!$Q$21:$Q$613,COUNT(Market_Data!$Q$21:$Q$613)),1)),""))</f>
        <v/>
      </c>
      <c r="H922" s="145" t="str">
        <f ca="1">IF($A922="","",IFERROR(INDEX(Market_Data!$U$21:$U$613,MATCH($A922,Market_Data!$T$21:INDEX(Market_Data!$T$21:$T$613,COUNT(Market_Data!$T$21:$T$613)),1)),""))</f>
        <v/>
      </c>
      <c r="I922" s="146" t="str">
        <f ca="1">IF($A922="","",IFERROR(INDEX(Query1[Close],MATCH($A922,Query1[Date],1)),""))</f>
        <v/>
      </c>
    </row>
    <row r="923" spans="1:9" x14ac:dyDescent="0.3">
      <c r="A923" s="144" t="str">
        <f t="shared" ca="1" si="16"/>
        <v/>
      </c>
      <c r="B923" s="145" t="str">
        <f ca="1">IF($A923="","",IFERROR(INDEX(Market_Data!$C$21:$C$613,MATCH($A923,Market_Data!$B$21:INDEX(Market_Data!$B$21:$B$613,COUNT(Market_Data!$B$21:$B$613)),1)),""))</f>
        <v/>
      </c>
      <c r="C923" s="145" t="str">
        <f ca="1">IF($A923="","",IFERROR(INDEX(Market_Data!$F$21:$F$613,MATCH($A923,Market_Data!$E$21:INDEX(Market_Data!$E$21:$E$613,COUNT(Market_Data!$E$21:$E$613)),1)),""))</f>
        <v/>
      </c>
      <c r="D923" s="145" t="str">
        <f ca="1">IF($A923="","",IFERROR(INDEX(Market_Data!$I$21:$I$613,MATCH($A923,Market_Data!$H$21:INDEX(Market_Data!$H$21:$H$613,COUNT(Market_Data!$H$21:$H$613)),1)),""))</f>
        <v/>
      </c>
      <c r="E923" s="145" t="str">
        <f ca="1">IF($A923="","",IFERROR(INDEX(Market_Data!$L$21:$L$613,MATCH($A923,Market_Data!$K$21:INDEX(Market_Data!$K$21:$K$613,COUNT(Market_Data!$K$21:$K$613)),1)),""))</f>
        <v/>
      </c>
      <c r="F923" s="145" t="str">
        <f ca="1">IF($A923="","",IFERROR(INDEX(Market_Data!$O$21:$O$613,MATCH($A923,Market_Data!$N$21:INDEX(Market_Data!$N$21:$N$613,COUNT(Market_Data!$N$21:$N$613)),1)),""))</f>
        <v/>
      </c>
      <c r="G923" s="145" t="str">
        <f ca="1">IF($A923="","",IFERROR(INDEX(Market_Data!$R$21:$R$613,MATCH($A923,Market_Data!$Q$21:INDEX(Market_Data!$Q$21:$Q$613,COUNT(Market_Data!$Q$21:$Q$613)),1)),""))</f>
        <v/>
      </c>
      <c r="H923" s="145" t="str">
        <f ca="1">IF($A923="","",IFERROR(INDEX(Market_Data!$U$21:$U$613,MATCH($A923,Market_Data!$T$21:INDEX(Market_Data!$T$21:$T$613,COUNT(Market_Data!$T$21:$T$613)),1)),""))</f>
        <v/>
      </c>
      <c r="I923" s="146" t="str">
        <f ca="1">IF($A923="","",IFERROR(INDEX(Query1[Close],MATCH($A923,Query1[Date],1)),""))</f>
        <v/>
      </c>
    </row>
    <row r="924" spans="1:9" x14ac:dyDescent="0.3">
      <c r="A924" s="144" t="str">
        <f t="shared" ca="1" si="16"/>
        <v/>
      </c>
      <c r="B924" s="145" t="str">
        <f ca="1">IF($A924="","",IFERROR(INDEX(Market_Data!$C$21:$C$613,MATCH($A924,Market_Data!$B$21:INDEX(Market_Data!$B$21:$B$613,COUNT(Market_Data!$B$21:$B$613)),1)),""))</f>
        <v/>
      </c>
      <c r="C924" s="145" t="str">
        <f ca="1">IF($A924="","",IFERROR(INDEX(Market_Data!$F$21:$F$613,MATCH($A924,Market_Data!$E$21:INDEX(Market_Data!$E$21:$E$613,COUNT(Market_Data!$E$21:$E$613)),1)),""))</f>
        <v/>
      </c>
      <c r="D924" s="145" t="str">
        <f ca="1">IF($A924="","",IFERROR(INDEX(Market_Data!$I$21:$I$613,MATCH($A924,Market_Data!$H$21:INDEX(Market_Data!$H$21:$H$613,COUNT(Market_Data!$H$21:$H$613)),1)),""))</f>
        <v/>
      </c>
      <c r="E924" s="145" t="str">
        <f ca="1">IF($A924="","",IFERROR(INDEX(Market_Data!$L$21:$L$613,MATCH($A924,Market_Data!$K$21:INDEX(Market_Data!$K$21:$K$613,COUNT(Market_Data!$K$21:$K$613)),1)),""))</f>
        <v/>
      </c>
      <c r="F924" s="145" t="str">
        <f ca="1">IF($A924="","",IFERROR(INDEX(Market_Data!$O$21:$O$613,MATCH($A924,Market_Data!$N$21:INDEX(Market_Data!$N$21:$N$613,COUNT(Market_Data!$N$21:$N$613)),1)),""))</f>
        <v/>
      </c>
      <c r="G924" s="145" t="str">
        <f ca="1">IF($A924="","",IFERROR(INDEX(Market_Data!$R$21:$R$613,MATCH($A924,Market_Data!$Q$21:INDEX(Market_Data!$Q$21:$Q$613,COUNT(Market_Data!$Q$21:$Q$613)),1)),""))</f>
        <v/>
      </c>
      <c r="H924" s="145" t="str">
        <f ca="1">IF($A924="","",IFERROR(INDEX(Market_Data!$U$21:$U$613,MATCH($A924,Market_Data!$T$21:INDEX(Market_Data!$T$21:$T$613,COUNT(Market_Data!$T$21:$T$613)),1)),""))</f>
        <v/>
      </c>
      <c r="I924" s="146" t="str">
        <f ca="1">IF($A924="","",IFERROR(INDEX(Query1[Close],MATCH($A924,Query1[Date],1)),""))</f>
        <v/>
      </c>
    </row>
    <row r="925" spans="1:9" x14ac:dyDescent="0.3">
      <c r="A925" s="144" t="str">
        <f t="shared" ca="1" si="16"/>
        <v/>
      </c>
      <c r="B925" s="145" t="str">
        <f ca="1">IF($A925="","",IFERROR(INDEX(Market_Data!$C$21:$C$613,MATCH($A925,Market_Data!$B$21:INDEX(Market_Data!$B$21:$B$613,COUNT(Market_Data!$B$21:$B$613)),1)),""))</f>
        <v/>
      </c>
      <c r="C925" s="145" t="str">
        <f ca="1">IF($A925="","",IFERROR(INDEX(Market_Data!$F$21:$F$613,MATCH($A925,Market_Data!$E$21:INDEX(Market_Data!$E$21:$E$613,COUNT(Market_Data!$E$21:$E$613)),1)),""))</f>
        <v/>
      </c>
      <c r="D925" s="145" t="str">
        <f ca="1">IF($A925="","",IFERROR(INDEX(Market_Data!$I$21:$I$613,MATCH($A925,Market_Data!$H$21:INDEX(Market_Data!$H$21:$H$613,COUNT(Market_Data!$H$21:$H$613)),1)),""))</f>
        <v/>
      </c>
      <c r="E925" s="145" t="str">
        <f ca="1">IF($A925="","",IFERROR(INDEX(Market_Data!$L$21:$L$613,MATCH($A925,Market_Data!$K$21:INDEX(Market_Data!$K$21:$K$613,COUNT(Market_Data!$K$21:$K$613)),1)),""))</f>
        <v/>
      </c>
      <c r="F925" s="145" t="str">
        <f ca="1">IF($A925="","",IFERROR(INDEX(Market_Data!$O$21:$O$613,MATCH($A925,Market_Data!$N$21:INDEX(Market_Data!$N$21:$N$613,COUNT(Market_Data!$N$21:$N$613)),1)),""))</f>
        <v/>
      </c>
      <c r="G925" s="145" t="str">
        <f ca="1">IF($A925="","",IFERROR(INDEX(Market_Data!$R$21:$R$613,MATCH($A925,Market_Data!$Q$21:INDEX(Market_Data!$Q$21:$Q$613,COUNT(Market_Data!$Q$21:$Q$613)),1)),""))</f>
        <v/>
      </c>
      <c r="H925" s="145" t="str">
        <f ca="1">IF($A925="","",IFERROR(INDEX(Market_Data!$U$21:$U$613,MATCH($A925,Market_Data!$T$21:INDEX(Market_Data!$T$21:$T$613,COUNT(Market_Data!$T$21:$T$613)),1)),""))</f>
        <v/>
      </c>
      <c r="I925" s="146" t="str">
        <f ca="1">IF($A925="","",IFERROR(INDEX(Query1[Close],MATCH($A925,Query1[Date],1)),""))</f>
        <v/>
      </c>
    </row>
    <row r="926" spans="1:9" x14ac:dyDescent="0.3">
      <c r="A926" s="144" t="str">
        <f t="shared" ca="1" si="16"/>
        <v/>
      </c>
      <c r="B926" s="145" t="str">
        <f ca="1">IF($A926="","",IFERROR(INDEX(Market_Data!$C$21:$C$613,MATCH($A926,Market_Data!$B$21:INDEX(Market_Data!$B$21:$B$613,COUNT(Market_Data!$B$21:$B$613)),1)),""))</f>
        <v/>
      </c>
      <c r="C926" s="145" t="str">
        <f ca="1">IF($A926="","",IFERROR(INDEX(Market_Data!$F$21:$F$613,MATCH($A926,Market_Data!$E$21:INDEX(Market_Data!$E$21:$E$613,COUNT(Market_Data!$E$21:$E$613)),1)),""))</f>
        <v/>
      </c>
      <c r="D926" s="145" t="str">
        <f ca="1">IF($A926="","",IFERROR(INDEX(Market_Data!$I$21:$I$613,MATCH($A926,Market_Data!$H$21:INDEX(Market_Data!$H$21:$H$613,COUNT(Market_Data!$H$21:$H$613)),1)),""))</f>
        <v/>
      </c>
      <c r="E926" s="145" t="str">
        <f ca="1">IF($A926="","",IFERROR(INDEX(Market_Data!$L$21:$L$613,MATCH($A926,Market_Data!$K$21:INDEX(Market_Data!$K$21:$K$613,COUNT(Market_Data!$K$21:$K$613)),1)),""))</f>
        <v/>
      </c>
      <c r="F926" s="145" t="str">
        <f ca="1">IF($A926="","",IFERROR(INDEX(Market_Data!$O$21:$O$613,MATCH($A926,Market_Data!$N$21:INDEX(Market_Data!$N$21:$N$613,COUNT(Market_Data!$N$21:$N$613)),1)),""))</f>
        <v/>
      </c>
      <c r="G926" s="145" t="str">
        <f ca="1">IF($A926="","",IFERROR(INDEX(Market_Data!$R$21:$R$613,MATCH($A926,Market_Data!$Q$21:INDEX(Market_Data!$Q$21:$Q$613,COUNT(Market_Data!$Q$21:$Q$613)),1)),""))</f>
        <v/>
      </c>
      <c r="H926" s="145" t="str">
        <f ca="1">IF($A926="","",IFERROR(INDEX(Market_Data!$U$21:$U$613,MATCH($A926,Market_Data!$T$21:INDEX(Market_Data!$T$21:$T$613,COUNT(Market_Data!$T$21:$T$613)),1)),""))</f>
        <v/>
      </c>
      <c r="I926" s="146" t="str">
        <f ca="1">IF($A926="","",IFERROR(INDEX(Query1[Close],MATCH($A926,Query1[Date],1)),""))</f>
        <v/>
      </c>
    </row>
    <row r="927" spans="1:9" x14ac:dyDescent="0.3">
      <c r="A927" s="144" t="str">
        <f t="shared" ca="1" si="16"/>
        <v/>
      </c>
      <c r="B927" s="145" t="str">
        <f ca="1">IF($A927="","",IFERROR(INDEX(Market_Data!$C$21:$C$613,MATCH($A927,Market_Data!$B$21:INDEX(Market_Data!$B$21:$B$613,COUNT(Market_Data!$B$21:$B$613)),1)),""))</f>
        <v/>
      </c>
      <c r="C927" s="145" t="str">
        <f ca="1">IF($A927="","",IFERROR(INDEX(Market_Data!$F$21:$F$613,MATCH($A927,Market_Data!$E$21:INDEX(Market_Data!$E$21:$E$613,COUNT(Market_Data!$E$21:$E$613)),1)),""))</f>
        <v/>
      </c>
      <c r="D927" s="145" t="str">
        <f ca="1">IF($A927="","",IFERROR(INDEX(Market_Data!$I$21:$I$613,MATCH($A927,Market_Data!$H$21:INDEX(Market_Data!$H$21:$H$613,COUNT(Market_Data!$H$21:$H$613)),1)),""))</f>
        <v/>
      </c>
      <c r="E927" s="145" t="str">
        <f ca="1">IF($A927="","",IFERROR(INDEX(Market_Data!$L$21:$L$613,MATCH($A927,Market_Data!$K$21:INDEX(Market_Data!$K$21:$K$613,COUNT(Market_Data!$K$21:$K$613)),1)),""))</f>
        <v/>
      </c>
      <c r="F927" s="145" t="str">
        <f ca="1">IF($A927="","",IFERROR(INDEX(Market_Data!$O$21:$O$613,MATCH($A927,Market_Data!$N$21:INDEX(Market_Data!$N$21:$N$613,COUNT(Market_Data!$N$21:$N$613)),1)),""))</f>
        <v/>
      </c>
      <c r="G927" s="145" t="str">
        <f ca="1">IF($A927="","",IFERROR(INDEX(Market_Data!$R$21:$R$613,MATCH($A927,Market_Data!$Q$21:INDEX(Market_Data!$Q$21:$Q$613,COUNT(Market_Data!$Q$21:$Q$613)),1)),""))</f>
        <v/>
      </c>
      <c r="H927" s="145" t="str">
        <f ca="1">IF($A927="","",IFERROR(INDEX(Market_Data!$U$21:$U$613,MATCH($A927,Market_Data!$T$21:INDEX(Market_Data!$T$21:$T$613,COUNT(Market_Data!$T$21:$T$613)),1)),""))</f>
        <v/>
      </c>
      <c r="I927" s="146" t="str">
        <f ca="1">IF($A927="","",IFERROR(INDEX(Query1[Close],MATCH($A927,Query1[Date],1)),""))</f>
        <v/>
      </c>
    </row>
    <row r="928" spans="1:9" x14ac:dyDescent="0.3">
      <c r="A928" s="144" t="str">
        <f t="shared" ca="1" si="16"/>
        <v/>
      </c>
      <c r="B928" s="145" t="str">
        <f ca="1">IF($A928="","",IFERROR(INDEX(Market_Data!$C$21:$C$613,MATCH($A928,Market_Data!$B$21:INDEX(Market_Data!$B$21:$B$613,COUNT(Market_Data!$B$21:$B$613)),1)),""))</f>
        <v/>
      </c>
      <c r="C928" s="145" t="str">
        <f ca="1">IF($A928="","",IFERROR(INDEX(Market_Data!$F$21:$F$613,MATCH($A928,Market_Data!$E$21:INDEX(Market_Data!$E$21:$E$613,COUNT(Market_Data!$E$21:$E$613)),1)),""))</f>
        <v/>
      </c>
      <c r="D928" s="145" t="str">
        <f ca="1">IF($A928="","",IFERROR(INDEX(Market_Data!$I$21:$I$613,MATCH($A928,Market_Data!$H$21:INDEX(Market_Data!$H$21:$H$613,COUNT(Market_Data!$H$21:$H$613)),1)),""))</f>
        <v/>
      </c>
      <c r="E928" s="145" t="str">
        <f ca="1">IF($A928="","",IFERROR(INDEX(Market_Data!$L$21:$L$613,MATCH($A928,Market_Data!$K$21:INDEX(Market_Data!$K$21:$K$613,COUNT(Market_Data!$K$21:$K$613)),1)),""))</f>
        <v/>
      </c>
      <c r="F928" s="145" t="str">
        <f ca="1">IF($A928="","",IFERROR(INDEX(Market_Data!$O$21:$O$613,MATCH($A928,Market_Data!$N$21:INDEX(Market_Data!$N$21:$N$613,COUNT(Market_Data!$N$21:$N$613)),1)),""))</f>
        <v/>
      </c>
      <c r="G928" s="145" t="str">
        <f ca="1">IF($A928="","",IFERROR(INDEX(Market_Data!$R$21:$R$613,MATCH($A928,Market_Data!$Q$21:INDEX(Market_Data!$Q$21:$Q$613,COUNT(Market_Data!$Q$21:$Q$613)),1)),""))</f>
        <v/>
      </c>
      <c r="H928" s="145" t="str">
        <f ca="1">IF($A928="","",IFERROR(INDEX(Market_Data!$U$21:$U$613,MATCH($A928,Market_Data!$T$21:INDEX(Market_Data!$T$21:$T$613,COUNT(Market_Data!$T$21:$T$613)),1)),""))</f>
        <v/>
      </c>
      <c r="I928" s="146" t="str">
        <f ca="1">IF($A928="","",IFERROR(INDEX(Query1[Close],MATCH($A928,Query1[Date],1)),""))</f>
        <v/>
      </c>
    </row>
    <row r="929" spans="1:9" x14ac:dyDescent="0.3">
      <c r="A929" s="144" t="str">
        <f t="shared" ca="1" si="16"/>
        <v/>
      </c>
      <c r="B929" s="145" t="str">
        <f ca="1">IF($A929="","",IFERROR(INDEX(Market_Data!$C$21:$C$613,MATCH($A929,Market_Data!$B$21:INDEX(Market_Data!$B$21:$B$613,COUNT(Market_Data!$B$21:$B$613)),1)),""))</f>
        <v/>
      </c>
      <c r="C929" s="145" t="str">
        <f ca="1">IF($A929="","",IFERROR(INDEX(Market_Data!$F$21:$F$613,MATCH($A929,Market_Data!$E$21:INDEX(Market_Data!$E$21:$E$613,COUNT(Market_Data!$E$21:$E$613)),1)),""))</f>
        <v/>
      </c>
      <c r="D929" s="145" t="str">
        <f ca="1">IF($A929="","",IFERROR(INDEX(Market_Data!$I$21:$I$613,MATCH($A929,Market_Data!$H$21:INDEX(Market_Data!$H$21:$H$613,COUNT(Market_Data!$H$21:$H$613)),1)),""))</f>
        <v/>
      </c>
      <c r="E929" s="145" t="str">
        <f ca="1">IF($A929="","",IFERROR(INDEX(Market_Data!$L$21:$L$613,MATCH($A929,Market_Data!$K$21:INDEX(Market_Data!$K$21:$K$613,COUNT(Market_Data!$K$21:$K$613)),1)),""))</f>
        <v/>
      </c>
      <c r="F929" s="145" t="str">
        <f ca="1">IF($A929="","",IFERROR(INDEX(Market_Data!$O$21:$O$613,MATCH($A929,Market_Data!$N$21:INDEX(Market_Data!$N$21:$N$613,COUNT(Market_Data!$N$21:$N$613)),1)),""))</f>
        <v/>
      </c>
      <c r="G929" s="145" t="str">
        <f ca="1">IF($A929="","",IFERROR(INDEX(Market_Data!$R$21:$R$613,MATCH($A929,Market_Data!$Q$21:INDEX(Market_Data!$Q$21:$Q$613,COUNT(Market_Data!$Q$21:$Q$613)),1)),""))</f>
        <v/>
      </c>
      <c r="H929" s="145" t="str">
        <f ca="1">IF($A929="","",IFERROR(INDEX(Market_Data!$U$21:$U$613,MATCH($A929,Market_Data!$T$21:INDEX(Market_Data!$T$21:$T$613,COUNT(Market_Data!$T$21:$T$613)),1)),""))</f>
        <v/>
      </c>
      <c r="I929" s="146" t="str">
        <f ca="1">IF($A929="","",IFERROR(INDEX(Query1[Close],MATCH($A929,Query1[Date],1)),""))</f>
        <v/>
      </c>
    </row>
    <row r="930" spans="1:9" x14ac:dyDescent="0.3">
      <c r="A930" s="144" t="str">
        <f t="shared" ca="1" si="16"/>
        <v/>
      </c>
      <c r="B930" s="145" t="str">
        <f ca="1">IF($A930="","",IFERROR(INDEX(Market_Data!$C$21:$C$613,MATCH($A930,Market_Data!$B$21:INDEX(Market_Data!$B$21:$B$613,COUNT(Market_Data!$B$21:$B$613)),1)),""))</f>
        <v/>
      </c>
      <c r="C930" s="145" t="str">
        <f ca="1">IF($A930="","",IFERROR(INDEX(Market_Data!$F$21:$F$613,MATCH($A930,Market_Data!$E$21:INDEX(Market_Data!$E$21:$E$613,COUNT(Market_Data!$E$21:$E$613)),1)),""))</f>
        <v/>
      </c>
      <c r="D930" s="145" t="str">
        <f ca="1">IF($A930="","",IFERROR(INDEX(Market_Data!$I$21:$I$613,MATCH($A930,Market_Data!$H$21:INDEX(Market_Data!$H$21:$H$613,COUNT(Market_Data!$H$21:$H$613)),1)),""))</f>
        <v/>
      </c>
      <c r="E930" s="145" t="str">
        <f ca="1">IF($A930="","",IFERROR(INDEX(Market_Data!$L$21:$L$613,MATCH($A930,Market_Data!$K$21:INDEX(Market_Data!$K$21:$K$613,COUNT(Market_Data!$K$21:$K$613)),1)),""))</f>
        <v/>
      </c>
      <c r="F930" s="145" t="str">
        <f ca="1">IF($A930="","",IFERROR(INDEX(Market_Data!$O$21:$O$613,MATCH($A930,Market_Data!$N$21:INDEX(Market_Data!$N$21:$N$613,COUNT(Market_Data!$N$21:$N$613)),1)),""))</f>
        <v/>
      </c>
      <c r="G930" s="145" t="str">
        <f ca="1">IF($A930="","",IFERROR(INDEX(Market_Data!$R$21:$R$613,MATCH($A930,Market_Data!$Q$21:INDEX(Market_Data!$Q$21:$Q$613,COUNT(Market_Data!$Q$21:$Q$613)),1)),""))</f>
        <v/>
      </c>
      <c r="H930" s="145" t="str">
        <f ca="1">IF($A930="","",IFERROR(INDEX(Market_Data!$U$21:$U$613,MATCH($A930,Market_Data!$T$21:INDEX(Market_Data!$T$21:$T$613,COUNT(Market_Data!$T$21:$T$613)),1)),""))</f>
        <v/>
      </c>
      <c r="I930" s="146" t="str">
        <f ca="1">IF($A930="","",IFERROR(INDEX(Query1[Close],MATCH($A930,Query1[Date],1)),""))</f>
        <v/>
      </c>
    </row>
    <row r="931" spans="1:9" x14ac:dyDescent="0.3">
      <c r="A931" s="144" t="str">
        <f t="shared" ca="1" si="16"/>
        <v/>
      </c>
      <c r="B931" s="145" t="str">
        <f ca="1">IF($A931="","",IFERROR(INDEX(Market_Data!$C$21:$C$613,MATCH($A931,Market_Data!$B$21:INDEX(Market_Data!$B$21:$B$613,COUNT(Market_Data!$B$21:$B$613)),1)),""))</f>
        <v/>
      </c>
      <c r="C931" s="145" t="str">
        <f ca="1">IF($A931="","",IFERROR(INDEX(Market_Data!$F$21:$F$613,MATCH($A931,Market_Data!$E$21:INDEX(Market_Data!$E$21:$E$613,COUNT(Market_Data!$E$21:$E$613)),1)),""))</f>
        <v/>
      </c>
      <c r="D931" s="145" t="str">
        <f ca="1">IF($A931="","",IFERROR(INDEX(Market_Data!$I$21:$I$613,MATCH($A931,Market_Data!$H$21:INDEX(Market_Data!$H$21:$H$613,COUNT(Market_Data!$H$21:$H$613)),1)),""))</f>
        <v/>
      </c>
      <c r="E931" s="145" t="str">
        <f ca="1">IF($A931="","",IFERROR(INDEX(Market_Data!$L$21:$L$613,MATCH($A931,Market_Data!$K$21:INDEX(Market_Data!$K$21:$K$613,COUNT(Market_Data!$K$21:$K$613)),1)),""))</f>
        <v/>
      </c>
      <c r="F931" s="145" t="str">
        <f ca="1">IF($A931="","",IFERROR(INDEX(Market_Data!$O$21:$O$613,MATCH($A931,Market_Data!$N$21:INDEX(Market_Data!$N$21:$N$613,COUNT(Market_Data!$N$21:$N$613)),1)),""))</f>
        <v/>
      </c>
      <c r="G931" s="145" t="str">
        <f ca="1">IF($A931="","",IFERROR(INDEX(Market_Data!$R$21:$R$613,MATCH($A931,Market_Data!$Q$21:INDEX(Market_Data!$Q$21:$Q$613,COUNT(Market_Data!$Q$21:$Q$613)),1)),""))</f>
        <v/>
      </c>
      <c r="H931" s="145" t="str">
        <f ca="1">IF($A931="","",IFERROR(INDEX(Market_Data!$U$21:$U$613,MATCH($A931,Market_Data!$T$21:INDEX(Market_Data!$T$21:$T$613,COUNT(Market_Data!$T$21:$T$613)),1)),""))</f>
        <v/>
      </c>
      <c r="I931" s="146" t="str">
        <f ca="1">IF($A931="","",IFERROR(INDEX(Query1[Close],MATCH($A931,Query1[Date],1)),""))</f>
        <v/>
      </c>
    </row>
    <row r="932" spans="1:9" x14ac:dyDescent="0.3">
      <c r="A932" s="144" t="str">
        <f t="shared" ca="1" si="16"/>
        <v/>
      </c>
      <c r="B932" s="145" t="str">
        <f ca="1">IF($A932="","",IFERROR(INDEX(Market_Data!$C$21:$C$613,MATCH($A932,Market_Data!$B$21:INDEX(Market_Data!$B$21:$B$613,COUNT(Market_Data!$B$21:$B$613)),1)),""))</f>
        <v/>
      </c>
      <c r="C932" s="145" t="str">
        <f ca="1">IF($A932="","",IFERROR(INDEX(Market_Data!$F$21:$F$613,MATCH($A932,Market_Data!$E$21:INDEX(Market_Data!$E$21:$E$613,COUNT(Market_Data!$E$21:$E$613)),1)),""))</f>
        <v/>
      </c>
      <c r="D932" s="145" t="str">
        <f ca="1">IF($A932="","",IFERROR(INDEX(Market_Data!$I$21:$I$613,MATCH($A932,Market_Data!$H$21:INDEX(Market_Data!$H$21:$H$613,COUNT(Market_Data!$H$21:$H$613)),1)),""))</f>
        <v/>
      </c>
      <c r="E932" s="145" t="str">
        <f ca="1">IF($A932="","",IFERROR(INDEX(Market_Data!$L$21:$L$613,MATCH($A932,Market_Data!$K$21:INDEX(Market_Data!$K$21:$K$613,COUNT(Market_Data!$K$21:$K$613)),1)),""))</f>
        <v/>
      </c>
      <c r="F932" s="145" t="str">
        <f ca="1">IF($A932="","",IFERROR(INDEX(Market_Data!$O$21:$O$613,MATCH($A932,Market_Data!$N$21:INDEX(Market_Data!$N$21:$N$613,COUNT(Market_Data!$N$21:$N$613)),1)),""))</f>
        <v/>
      </c>
      <c r="G932" s="145" t="str">
        <f ca="1">IF($A932="","",IFERROR(INDEX(Market_Data!$R$21:$R$613,MATCH($A932,Market_Data!$Q$21:INDEX(Market_Data!$Q$21:$Q$613,COUNT(Market_Data!$Q$21:$Q$613)),1)),""))</f>
        <v/>
      </c>
      <c r="H932" s="145" t="str">
        <f ca="1">IF($A932="","",IFERROR(INDEX(Market_Data!$U$21:$U$613,MATCH($A932,Market_Data!$T$21:INDEX(Market_Data!$T$21:$T$613,COUNT(Market_Data!$T$21:$T$613)),1)),""))</f>
        <v/>
      </c>
      <c r="I932" s="146" t="str">
        <f ca="1">IF($A932="","",IFERROR(INDEX(Query1[Close],MATCH($A932,Query1[Date],1)),""))</f>
        <v/>
      </c>
    </row>
    <row r="933" spans="1:9" x14ac:dyDescent="0.3">
      <c r="A933" s="144" t="str">
        <f t="shared" ca="1" si="16"/>
        <v/>
      </c>
      <c r="B933" s="145" t="str">
        <f ca="1">IF($A933="","",IFERROR(INDEX(Market_Data!$C$21:$C$613,MATCH($A933,Market_Data!$B$21:INDEX(Market_Data!$B$21:$B$613,COUNT(Market_Data!$B$21:$B$613)),1)),""))</f>
        <v/>
      </c>
      <c r="C933" s="145" t="str">
        <f ca="1">IF($A933="","",IFERROR(INDEX(Market_Data!$F$21:$F$613,MATCH($A933,Market_Data!$E$21:INDEX(Market_Data!$E$21:$E$613,COUNT(Market_Data!$E$21:$E$613)),1)),""))</f>
        <v/>
      </c>
      <c r="D933" s="145" t="str">
        <f ca="1">IF($A933="","",IFERROR(INDEX(Market_Data!$I$21:$I$613,MATCH($A933,Market_Data!$H$21:INDEX(Market_Data!$H$21:$H$613,COUNT(Market_Data!$H$21:$H$613)),1)),""))</f>
        <v/>
      </c>
      <c r="E933" s="145" t="str">
        <f ca="1">IF($A933="","",IFERROR(INDEX(Market_Data!$L$21:$L$613,MATCH($A933,Market_Data!$K$21:INDEX(Market_Data!$K$21:$K$613,COUNT(Market_Data!$K$21:$K$613)),1)),""))</f>
        <v/>
      </c>
      <c r="F933" s="145" t="str">
        <f ca="1">IF($A933="","",IFERROR(INDEX(Market_Data!$O$21:$O$613,MATCH($A933,Market_Data!$N$21:INDEX(Market_Data!$N$21:$N$613,COUNT(Market_Data!$N$21:$N$613)),1)),""))</f>
        <v/>
      </c>
      <c r="G933" s="145" t="str">
        <f ca="1">IF($A933="","",IFERROR(INDEX(Market_Data!$R$21:$R$613,MATCH($A933,Market_Data!$Q$21:INDEX(Market_Data!$Q$21:$Q$613,COUNT(Market_Data!$Q$21:$Q$613)),1)),""))</f>
        <v/>
      </c>
      <c r="H933" s="145" t="str">
        <f ca="1">IF($A933="","",IFERROR(INDEX(Market_Data!$U$21:$U$613,MATCH($A933,Market_Data!$T$21:INDEX(Market_Data!$T$21:$T$613,COUNT(Market_Data!$T$21:$T$613)),1)),""))</f>
        <v/>
      </c>
      <c r="I933" s="146" t="str">
        <f ca="1">IF($A933="","",IFERROR(INDEX(Query1[Close],MATCH($A933,Query1[Date],1)),""))</f>
        <v/>
      </c>
    </row>
    <row r="934" spans="1:9" x14ac:dyDescent="0.3">
      <c r="A934" s="144" t="str">
        <f t="shared" ca="1" si="16"/>
        <v/>
      </c>
      <c r="B934" s="145" t="str">
        <f ca="1">IF($A934="","",IFERROR(INDEX(Market_Data!$C$21:$C$613,MATCH($A934,Market_Data!$B$21:INDEX(Market_Data!$B$21:$B$613,COUNT(Market_Data!$B$21:$B$613)),1)),""))</f>
        <v/>
      </c>
      <c r="C934" s="145" t="str">
        <f ca="1">IF($A934="","",IFERROR(INDEX(Market_Data!$F$21:$F$613,MATCH($A934,Market_Data!$E$21:INDEX(Market_Data!$E$21:$E$613,COUNT(Market_Data!$E$21:$E$613)),1)),""))</f>
        <v/>
      </c>
      <c r="D934" s="145" t="str">
        <f ca="1">IF($A934="","",IFERROR(INDEX(Market_Data!$I$21:$I$613,MATCH($A934,Market_Data!$H$21:INDEX(Market_Data!$H$21:$H$613,COUNT(Market_Data!$H$21:$H$613)),1)),""))</f>
        <v/>
      </c>
      <c r="E934" s="145" t="str">
        <f ca="1">IF($A934="","",IFERROR(INDEX(Market_Data!$L$21:$L$613,MATCH($A934,Market_Data!$K$21:INDEX(Market_Data!$K$21:$K$613,COUNT(Market_Data!$K$21:$K$613)),1)),""))</f>
        <v/>
      </c>
      <c r="F934" s="145" t="str">
        <f ca="1">IF($A934="","",IFERROR(INDEX(Market_Data!$O$21:$O$613,MATCH($A934,Market_Data!$N$21:INDEX(Market_Data!$N$21:$N$613,COUNT(Market_Data!$N$21:$N$613)),1)),""))</f>
        <v/>
      </c>
      <c r="G934" s="145" t="str">
        <f ca="1">IF($A934="","",IFERROR(INDEX(Market_Data!$R$21:$R$613,MATCH($A934,Market_Data!$Q$21:INDEX(Market_Data!$Q$21:$Q$613,COUNT(Market_Data!$Q$21:$Q$613)),1)),""))</f>
        <v/>
      </c>
      <c r="H934" s="145" t="str">
        <f ca="1">IF($A934="","",IFERROR(INDEX(Market_Data!$U$21:$U$613,MATCH($A934,Market_Data!$T$21:INDEX(Market_Data!$T$21:$T$613,COUNT(Market_Data!$T$21:$T$613)),1)),""))</f>
        <v/>
      </c>
      <c r="I934" s="146" t="str">
        <f ca="1">IF($A934="","",IFERROR(INDEX(Query1[Close],MATCH($A934,Query1[Date],1)),""))</f>
        <v/>
      </c>
    </row>
    <row r="935" spans="1:9" x14ac:dyDescent="0.3">
      <c r="A935" s="144" t="str">
        <f t="shared" ca="1" si="16"/>
        <v/>
      </c>
      <c r="B935" s="145" t="str">
        <f ca="1">IF($A935="","",IFERROR(INDEX(Market_Data!$C$21:$C$613,MATCH($A935,Market_Data!$B$21:INDEX(Market_Data!$B$21:$B$613,COUNT(Market_Data!$B$21:$B$613)),1)),""))</f>
        <v/>
      </c>
      <c r="C935" s="145" t="str">
        <f ca="1">IF($A935="","",IFERROR(INDEX(Market_Data!$F$21:$F$613,MATCH($A935,Market_Data!$E$21:INDEX(Market_Data!$E$21:$E$613,COUNT(Market_Data!$E$21:$E$613)),1)),""))</f>
        <v/>
      </c>
      <c r="D935" s="145" t="str">
        <f ca="1">IF($A935="","",IFERROR(INDEX(Market_Data!$I$21:$I$613,MATCH($A935,Market_Data!$H$21:INDEX(Market_Data!$H$21:$H$613,COUNT(Market_Data!$H$21:$H$613)),1)),""))</f>
        <v/>
      </c>
      <c r="E935" s="145" t="str">
        <f ca="1">IF($A935="","",IFERROR(INDEX(Market_Data!$L$21:$L$613,MATCH($A935,Market_Data!$K$21:INDEX(Market_Data!$K$21:$K$613,COUNT(Market_Data!$K$21:$K$613)),1)),""))</f>
        <v/>
      </c>
      <c r="F935" s="145" t="str">
        <f ca="1">IF($A935="","",IFERROR(INDEX(Market_Data!$O$21:$O$613,MATCH($A935,Market_Data!$N$21:INDEX(Market_Data!$N$21:$N$613,COUNT(Market_Data!$N$21:$N$613)),1)),""))</f>
        <v/>
      </c>
      <c r="G935" s="145" t="str">
        <f ca="1">IF($A935="","",IFERROR(INDEX(Market_Data!$R$21:$R$613,MATCH($A935,Market_Data!$Q$21:INDEX(Market_Data!$Q$21:$Q$613,COUNT(Market_Data!$Q$21:$Q$613)),1)),""))</f>
        <v/>
      </c>
      <c r="H935" s="145" t="str">
        <f ca="1">IF($A935="","",IFERROR(INDEX(Market_Data!$U$21:$U$613,MATCH($A935,Market_Data!$T$21:INDEX(Market_Data!$T$21:$T$613,COUNT(Market_Data!$T$21:$T$613)),1)),""))</f>
        <v/>
      </c>
      <c r="I935" s="146" t="str">
        <f ca="1">IF($A935="","",IFERROR(INDEX(Query1[Close],MATCH($A935,Query1[Date],1)),""))</f>
        <v/>
      </c>
    </row>
    <row r="936" spans="1:9" x14ac:dyDescent="0.3">
      <c r="A936" s="144" t="str">
        <f t="shared" ca="1" si="16"/>
        <v/>
      </c>
      <c r="B936" s="145" t="str">
        <f ca="1">IF($A936="","",IFERROR(INDEX(Market_Data!$C$21:$C$613,MATCH($A936,Market_Data!$B$21:INDEX(Market_Data!$B$21:$B$613,COUNT(Market_Data!$B$21:$B$613)),1)),""))</f>
        <v/>
      </c>
      <c r="C936" s="145" t="str">
        <f ca="1">IF($A936="","",IFERROR(INDEX(Market_Data!$F$21:$F$613,MATCH($A936,Market_Data!$E$21:INDEX(Market_Data!$E$21:$E$613,COUNT(Market_Data!$E$21:$E$613)),1)),""))</f>
        <v/>
      </c>
      <c r="D936" s="145" t="str">
        <f ca="1">IF($A936="","",IFERROR(INDEX(Market_Data!$I$21:$I$613,MATCH($A936,Market_Data!$H$21:INDEX(Market_Data!$H$21:$H$613,COUNT(Market_Data!$H$21:$H$613)),1)),""))</f>
        <v/>
      </c>
      <c r="E936" s="145" t="str">
        <f ca="1">IF($A936="","",IFERROR(INDEX(Market_Data!$L$21:$L$613,MATCH($A936,Market_Data!$K$21:INDEX(Market_Data!$K$21:$K$613,COUNT(Market_Data!$K$21:$K$613)),1)),""))</f>
        <v/>
      </c>
      <c r="F936" s="145" t="str">
        <f ca="1">IF($A936="","",IFERROR(INDEX(Market_Data!$O$21:$O$613,MATCH($A936,Market_Data!$N$21:INDEX(Market_Data!$N$21:$N$613,COUNT(Market_Data!$N$21:$N$613)),1)),""))</f>
        <v/>
      </c>
      <c r="G936" s="145" t="str">
        <f ca="1">IF($A936="","",IFERROR(INDEX(Market_Data!$R$21:$R$613,MATCH($A936,Market_Data!$Q$21:INDEX(Market_Data!$Q$21:$Q$613,COUNT(Market_Data!$Q$21:$Q$613)),1)),""))</f>
        <v/>
      </c>
      <c r="H936" s="145" t="str">
        <f ca="1">IF($A936="","",IFERROR(INDEX(Market_Data!$U$21:$U$613,MATCH($A936,Market_Data!$T$21:INDEX(Market_Data!$T$21:$T$613,COUNT(Market_Data!$T$21:$T$613)),1)),""))</f>
        <v/>
      </c>
      <c r="I936" s="146" t="str">
        <f ca="1">IF($A936="","",IFERROR(INDEX(Query1[Close],MATCH($A936,Query1[Date],1)),""))</f>
        <v/>
      </c>
    </row>
    <row r="937" spans="1:9" x14ac:dyDescent="0.3">
      <c r="A937" s="144" t="str">
        <f t="shared" ca="1" si="16"/>
        <v/>
      </c>
      <c r="B937" s="145" t="str">
        <f ca="1">IF($A937="","",IFERROR(INDEX(Market_Data!$C$21:$C$613,MATCH($A937,Market_Data!$B$21:INDEX(Market_Data!$B$21:$B$613,COUNT(Market_Data!$B$21:$B$613)),1)),""))</f>
        <v/>
      </c>
      <c r="C937" s="145" t="str">
        <f ca="1">IF($A937="","",IFERROR(INDEX(Market_Data!$F$21:$F$613,MATCH($A937,Market_Data!$E$21:INDEX(Market_Data!$E$21:$E$613,COUNT(Market_Data!$E$21:$E$613)),1)),""))</f>
        <v/>
      </c>
      <c r="D937" s="145" t="str">
        <f ca="1">IF($A937="","",IFERROR(INDEX(Market_Data!$I$21:$I$613,MATCH($A937,Market_Data!$H$21:INDEX(Market_Data!$H$21:$H$613,COUNT(Market_Data!$H$21:$H$613)),1)),""))</f>
        <v/>
      </c>
      <c r="E937" s="145" t="str">
        <f ca="1">IF($A937="","",IFERROR(INDEX(Market_Data!$L$21:$L$613,MATCH($A937,Market_Data!$K$21:INDEX(Market_Data!$K$21:$K$613,COUNT(Market_Data!$K$21:$K$613)),1)),""))</f>
        <v/>
      </c>
      <c r="F937" s="145" t="str">
        <f ca="1">IF($A937="","",IFERROR(INDEX(Market_Data!$O$21:$O$613,MATCH($A937,Market_Data!$N$21:INDEX(Market_Data!$N$21:$N$613,COUNT(Market_Data!$N$21:$N$613)),1)),""))</f>
        <v/>
      </c>
      <c r="G937" s="145" t="str">
        <f ca="1">IF($A937="","",IFERROR(INDEX(Market_Data!$R$21:$R$613,MATCH($A937,Market_Data!$Q$21:INDEX(Market_Data!$Q$21:$Q$613,COUNT(Market_Data!$Q$21:$Q$613)),1)),""))</f>
        <v/>
      </c>
      <c r="H937" s="145" t="str">
        <f ca="1">IF($A937="","",IFERROR(INDEX(Market_Data!$U$21:$U$613,MATCH($A937,Market_Data!$T$21:INDEX(Market_Data!$T$21:$T$613,COUNT(Market_Data!$T$21:$T$613)),1)),""))</f>
        <v/>
      </c>
      <c r="I937" s="146" t="str">
        <f ca="1">IF($A937="","",IFERROR(INDEX(Query1[Close],MATCH($A937,Query1[Date],1)),""))</f>
        <v/>
      </c>
    </row>
    <row r="938" spans="1:9" x14ac:dyDescent="0.3">
      <c r="A938" s="144" t="str">
        <f t="shared" ca="1" si="16"/>
        <v/>
      </c>
      <c r="B938" s="145" t="str">
        <f ca="1">IF($A938="","",IFERROR(INDEX(Market_Data!$C$21:$C$613,MATCH($A938,Market_Data!$B$21:INDEX(Market_Data!$B$21:$B$613,COUNT(Market_Data!$B$21:$B$613)),1)),""))</f>
        <v/>
      </c>
      <c r="C938" s="145" t="str">
        <f ca="1">IF($A938="","",IFERROR(INDEX(Market_Data!$F$21:$F$613,MATCH($A938,Market_Data!$E$21:INDEX(Market_Data!$E$21:$E$613,COUNT(Market_Data!$E$21:$E$613)),1)),""))</f>
        <v/>
      </c>
      <c r="D938" s="145" t="str">
        <f ca="1">IF($A938="","",IFERROR(INDEX(Market_Data!$I$21:$I$613,MATCH($A938,Market_Data!$H$21:INDEX(Market_Data!$H$21:$H$613,COUNT(Market_Data!$H$21:$H$613)),1)),""))</f>
        <v/>
      </c>
      <c r="E938" s="145" t="str">
        <f ca="1">IF($A938="","",IFERROR(INDEX(Market_Data!$L$21:$L$613,MATCH($A938,Market_Data!$K$21:INDEX(Market_Data!$K$21:$K$613,COUNT(Market_Data!$K$21:$K$613)),1)),""))</f>
        <v/>
      </c>
      <c r="F938" s="145" t="str">
        <f ca="1">IF($A938="","",IFERROR(INDEX(Market_Data!$O$21:$O$613,MATCH($A938,Market_Data!$N$21:INDEX(Market_Data!$N$21:$N$613,COUNT(Market_Data!$N$21:$N$613)),1)),""))</f>
        <v/>
      </c>
      <c r="G938" s="145" t="str">
        <f ca="1">IF($A938="","",IFERROR(INDEX(Market_Data!$R$21:$R$613,MATCH($A938,Market_Data!$Q$21:INDEX(Market_Data!$Q$21:$Q$613,COUNT(Market_Data!$Q$21:$Q$613)),1)),""))</f>
        <v/>
      </c>
      <c r="H938" s="145" t="str">
        <f ca="1">IF($A938="","",IFERROR(INDEX(Market_Data!$U$21:$U$613,MATCH($A938,Market_Data!$T$21:INDEX(Market_Data!$T$21:$T$613,COUNT(Market_Data!$T$21:$T$613)),1)),""))</f>
        <v/>
      </c>
      <c r="I938" s="146" t="str">
        <f ca="1">IF($A938="","",IFERROR(INDEX(Query1[Close],MATCH($A938,Query1[Date],1)),""))</f>
        <v/>
      </c>
    </row>
    <row r="939" spans="1:9" x14ac:dyDescent="0.3">
      <c r="A939" s="144" t="str">
        <f t="shared" ca="1" si="16"/>
        <v/>
      </c>
      <c r="B939" s="145" t="str">
        <f ca="1">IF($A939="","",IFERROR(INDEX(Market_Data!$C$21:$C$613,MATCH($A939,Market_Data!$B$21:INDEX(Market_Data!$B$21:$B$613,COUNT(Market_Data!$B$21:$B$613)),1)),""))</f>
        <v/>
      </c>
      <c r="C939" s="145" t="str">
        <f ca="1">IF($A939="","",IFERROR(INDEX(Market_Data!$F$21:$F$613,MATCH($A939,Market_Data!$E$21:INDEX(Market_Data!$E$21:$E$613,COUNT(Market_Data!$E$21:$E$613)),1)),""))</f>
        <v/>
      </c>
      <c r="D939" s="145" t="str">
        <f ca="1">IF($A939="","",IFERROR(INDEX(Market_Data!$I$21:$I$613,MATCH($A939,Market_Data!$H$21:INDEX(Market_Data!$H$21:$H$613,COUNT(Market_Data!$H$21:$H$613)),1)),""))</f>
        <v/>
      </c>
      <c r="E939" s="145" t="str">
        <f ca="1">IF($A939="","",IFERROR(INDEX(Market_Data!$L$21:$L$613,MATCH($A939,Market_Data!$K$21:INDEX(Market_Data!$K$21:$K$613,COUNT(Market_Data!$K$21:$K$613)),1)),""))</f>
        <v/>
      </c>
      <c r="F939" s="145" t="str">
        <f ca="1">IF($A939="","",IFERROR(INDEX(Market_Data!$O$21:$O$613,MATCH($A939,Market_Data!$N$21:INDEX(Market_Data!$N$21:$N$613,COUNT(Market_Data!$N$21:$N$613)),1)),""))</f>
        <v/>
      </c>
      <c r="G939" s="145" t="str">
        <f ca="1">IF($A939="","",IFERROR(INDEX(Market_Data!$R$21:$R$613,MATCH($A939,Market_Data!$Q$21:INDEX(Market_Data!$Q$21:$Q$613,COUNT(Market_Data!$Q$21:$Q$613)),1)),""))</f>
        <v/>
      </c>
      <c r="H939" s="145" t="str">
        <f ca="1">IF($A939="","",IFERROR(INDEX(Market_Data!$U$21:$U$613,MATCH($A939,Market_Data!$T$21:INDEX(Market_Data!$T$21:$T$613,COUNT(Market_Data!$T$21:$T$613)),1)),""))</f>
        <v/>
      </c>
      <c r="I939" s="146" t="str">
        <f ca="1">IF($A939="","",IFERROR(INDEX(Query1[Close],MATCH($A939,Query1[Date],1)),""))</f>
        <v/>
      </c>
    </row>
    <row r="940" spans="1:9" x14ac:dyDescent="0.3">
      <c r="A940" s="144" t="str">
        <f t="shared" ca="1" si="16"/>
        <v/>
      </c>
      <c r="B940" s="145" t="str">
        <f ca="1">IF($A940="","",IFERROR(INDEX(Market_Data!$C$21:$C$613,MATCH($A940,Market_Data!$B$21:INDEX(Market_Data!$B$21:$B$613,COUNT(Market_Data!$B$21:$B$613)),1)),""))</f>
        <v/>
      </c>
      <c r="C940" s="145" t="str">
        <f ca="1">IF($A940="","",IFERROR(INDEX(Market_Data!$F$21:$F$613,MATCH($A940,Market_Data!$E$21:INDEX(Market_Data!$E$21:$E$613,COUNT(Market_Data!$E$21:$E$613)),1)),""))</f>
        <v/>
      </c>
      <c r="D940" s="145" t="str">
        <f ca="1">IF($A940="","",IFERROR(INDEX(Market_Data!$I$21:$I$613,MATCH($A940,Market_Data!$H$21:INDEX(Market_Data!$H$21:$H$613,COUNT(Market_Data!$H$21:$H$613)),1)),""))</f>
        <v/>
      </c>
      <c r="E940" s="145" t="str">
        <f ca="1">IF($A940="","",IFERROR(INDEX(Market_Data!$L$21:$L$613,MATCH($A940,Market_Data!$K$21:INDEX(Market_Data!$K$21:$K$613,COUNT(Market_Data!$K$21:$K$613)),1)),""))</f>
        <v/>
      </c>
      <c r="F940" s="145" t="str">
        <f ca="1">IF($A940="","",IFERROR(INDEX(Market_Data!$O$21:$O$613,MATCH($A940,Market_Data!$N$21:INDEX(Market_Data!$N$21:$N$613,COUNT(Market_Data!$N$21:$N$613)),1)),""))</f>
        <v/>
      </c>
      <c r="G940" s="145" t="str">
        <f ca="1">IF($A940="","",IFERROR(INDEX(Market_Data!$R$21:$R$613,MATCH($A940,Market_Data!$Q$21:INDEX(Market_Data!$Q$21:$Q$613,COUNT(Market_Data!$Q$21:$Q$613)),1)),""))</f>
        <v/>
      </c>
      <c r="H940" s="145" t="str">
        <f ca="1">IF($A940="","",IFERROR(INDEX(Market_Data!$U$21:$U$613,MATCH($A940,Market_Data!$T$21:INDEX(Market_Data!$T$21:$T$613,COUNT(Market_Data!$T$21:$T$613)),1)),""))</f>
        <v/>
      </c>
      <c r="I940" s="146" t="str">
        <f ca="1">IF($A940="","",IFERROR(INDEX(Query1[Close],MATCH($A940,Query1[Date],1)),""))</f>
        <v/>
      </c>
    </row>
    <row r="941" spans="1:9" x14ac:dyDescent="0.3">
      <c r="A941" s="144" t="str">
        <f t="shared" ca="1" si="16"/>
        <v/>
      </c>
      <c r="B941" s="145" t="str">
        <f ca="1">IF($A941="","",IFERROR(INDEX(Market_Data!$C$21:$C$613,MATCH($A941,Market_Data!$B$21:INDEX(Market_Data!$B$21:$B$613,COUNT(Market_Data!$B$21:$B$613)),1)),""))</f>
        <v/>
      </c>
      <c r="C941" s="145" t="str">
        <f ca="1">IF($A941="","",IFERROR(INDEX(Market_Data!$F$21:$F$613,MATCH($A941,Market_Data!$E$21:INDEX(Market_Data!$E$21:$E$613,COUNT(Market_Data!$E$21:$E$613)),1)),""))</f>
        <v/>
      </c>
      <c r="D941" s="145" t="str">
        <f ca="1">IF($A941="","",IFERROR(INDEX(Market_Data!$I$21:$I$613,MATCH($A941,Market_Data!$H$21:INDEX(Market_Data!$H$21:$H$613,COUNT(Market_Data!$H$21:$H$613)),1)),""))</f>
        <v/>
      </c>
      <c r="E941" s="145" t="str">
        <f ca="1">IF($A941="","",IFERROR(INDEX(Market_Data!$L$21:$L$613,MATCH($A941,Market_Data!$K$21:INDEX(Market_Data!$K$21:$K$613,COUNT(Market_Data!$K$21:$K$613)),1)),""))</f>
        <v/>
      </c>
      <c r="F941" s="145" t="str">
        <f ca="1">IF($A941="","",IFERROR(INDEX(Market_Data!$O$21:$O$613,MATCH($A941,Market_Data!$N$21:INDEX(Market_Data!$N$21:$N$613,COUNT(Market_Data!$N$21:$N$613)),1)),""))</f>
        <v/>
      </c>
      <c r="G941" s="145" t="str">
        <f ca="1">IF($A941="","",IFERROR(INDEX(Market_Data!$R$21:$R$613,MATCH($A941,Market_Data!$Q$21:INDEX(Market_Data!$Q$21:$Q$613,COUNT(Market_Data!$Q$21:$Q$613)),1)),""))</f>
        <v/>
      </c>
      <c r="H941" s="145" t="str">
        <f ca="1">IF($A941="","",IFERROR(INDEX(Market_Data!$U$21:$U$613,MATCH($A941,Market_Data!$T$21:INDEX(Market_Data!$T$21:$T$613,COUNT(Market_Data!$T$21:$T$613)),1)),""))</f>
        <v/>
      </c>
      <c r="I941" s="146" t="str">
        <f ca="1">IF($A941="","",IFERROR(INDEX(Query1[Close],MATCH($A941,Query1[Date],1)),""))</f>
        <v/>
      </c>
    </row>
    <row r="942" spans="1:9" x14ac:dyDescent="0.3">
      <c r="A942" s="144" t="str">
        <f t="shared" ca="1" si="16"/>
        <v/>
      </c>
      <c r="B942" s="145" t="str">
        <f ca="1">IF($A942="","",IFERROR(INDEX(Market_Data!$C$21:$C$613,MATCH($A942,Market_Data!$B$21:INDEX(Market_Data!$B$21:$B$613,COUNT(Market_Data!$B$21:$B$613)),1)),""))</f>
        <v/>
      </c>
      <c r="C942" s="145" t="str">
        <f ca="1">IF($A942="","",IFERROR(INDEX(Market_Data!$F$21:$F$613,MATCH($A942,Market_Data!$E$21:INDEX(Market_Data!$E$21:$E$613,COUNT(Market_Data!$E$21:$E$613)),1)),""))</f>
        <v/>
      </c>
      <c r="D942" s="145" t="str">
        <f ca="1">IF($A942="","",IFERROR(INDEX(Market_Data!$I$21:$I$613,MATCH($A942,Market_Data!$H$21:INDEX(Market_Data!$H$21:$H$613,COUNT(Market_Data!$H$21:$H$613)),1)),""))</f>
        <v/>
      </c>
      <c r="E942" s="145" t="str">
        <f ca="1">IF($A942="","",IFERROR(INDEX(Market_Data!$L$21:$L$613,MATCH($A942,Market_Data!$K$21:INDEX(Market_Data!$K$21:$K$613,COUNT(Market_Data!$K$21:$K$613)),1)),""))</f>
        <v/>
      </c>
      <c r="F942" s="145" t="str">
        <f ca="1">IF($A942="","",IFERROR(INDEX(Market_Data!$O$21:$O$613,MATCH($A942,Market_Data!$N$21:INDEX(Market_Data!$N$21:$N$613,COUNT(Market_Data!$N$21:$N$613)),1)),""))</f>
        <v/>
      </c>
      <c r="G942" s="145" t="str">
        <f ca="1">IF($A942="","",IFERROR(INDEX(Market_Data!$R$21:$R$613,MATCH($A942,Market_Data!$Q$21:INDEX(Market_Data!$Q$21:$Q$613,COUNT(Market_Data!$Q$21:$Q$613)),1)),""))</f>
        <v/>
      </c>
      <c r="H942" s="145" t="str">
        <f ca="1">IF($A942="","",IFERROR(INDEX(Market_Data!$U$21:$U$613,MATCH($A942,Market_Data!$T$21:INDEX(Market_Data!$T$21:$T$613,COUNT(Market_Data!$T$21:$T$613)),1)),""))</f>
        <v/>
      </c>
      <c r="I942" s="146" t="str">
        <f ca="1">IF($A942="","",IFERROR(INDEX(Query1[Close],MATCH($A942,Query1[Date],1)),""))</f>
        <v/>
      </c>
    </row>
    <row r="943" spans="1:9" x14ac:dyDescent="0.3">
      <c r="A943" s="144" t="str">
        <f t="shared" ca="1" si="16"/>
        <v/>
      </c>
      <c r="B943" s="145" t="str">
        <f ca="1">IF($A943="","",IFERROR(INDEX(Market_Data!$C$21:$C$613,MATCH($A943,Market_Data!$B$21:INDEX(Market_Data!$B$21:$B$613,COUNT(Market_Data!$B$21:$B$613)),1)),""))</f>
        <v/>
      </c>
      <c r="C943" s="145" t="str">
        <f ca="1">IF($A943="","",IFERROR(INDEX(Market_Data!$F$21:$F$613,MATCH($A943,Market_Data!$E$21:INDEX(Market_Data!$E$21:$E$613,COUNT(Market_Data!$E$21:$E$613)),1)),""))</f>
        <v/>
      </c>
      <c r="D943" s="145" t="str">
        <f ca="1">IF($A943="","",IFERROR(INDEX(Market_Data!$I$21:$I$613,MATCH($A943,Market_Data!$H$21:INDEX(Market_Data!$H$21:$H$613,COUNT(Market_Data!$H$21:$H$613)),1)),""))</f>
        <v/>
      </c>
      <c r="E943" s="145" t="str">
        <f ca="1">IF($A943="","",IFERROR(INDEX(Market_Data!$L$21:$L$613,MATCH($A943,Market_Data!$K$21:INDEX(Market_Data!$K$21:$K$613,COUNT(Market_Data!$K$21:$K$613)),1)),""))</f>
        <v/>
      </c>
      <c r="F943" s="145" t="str">
        <f ca="1">IF($A943="","",IFERROR(INDEX(Market_Data!$O$21:$O$613,MATCH($A943,Market_Data!$N$21:INDEX(Market_Data!$N$21:$N$613,COUNT(Market_Data!$N$21:$N$613)),1)),""))</f>
        <v/>
      </c>
      <c r="G943" s="145" t="str">
        <f ca="1">IF($A943="","",IFERROR(INDEX(Market_Data!$R$21:$R$613,MATCH($A943,Market_Data!$Q$21:INDEX(Market_Data!$Q$21:$Q$613,COUNT(Market_Data!$Q$21:$Q$613)),1)),""))</f>
        <v/>
      </c>
      <c r="H943" s="145" t="str">
        <f ca="1">IF($A943="","",IFERROR(INDEX(Market_Data!$U$21:$U$613,MATCH($A943,Market_Data!$T$21:INDEX(Market_Data!$T$21:$T$613,COUNT(Market_Data!$T$21:$T$613)),1)),""))</f>
        <v/>
      </c>
      <c r="I943" s="146" t="str">
        <f ca="1">IF($A943="","",IFERROR(INDEX(Query1[Close],MATCH($A943,Query1[Date],1)),""))</f>
        <v/>
      </c>
    </row>
    <row r="944" spans="1:9" x14ac:dyDescent="0.3">
      <c r="A944" s="144" t="str">
        <f t="shared" ca="1" si="16"/>
        <v/>
      </c>
      <c r="B944" s="145" t="str">
        <f ca="1">IF($A944="","",IFERROR(INDEX(Market_Data!$C$21:$C$613,MATCH($A944,Market_Data!$B$21:INDEX(Market_Data!$B$21:$B$613,COUNT(Market_Data!$B$21:$B$613)),1)),""))</f>
        <v/>
      </c>
      <c r="C944" s="145" t="str">
        <f ca="1">IF($A944="","",IFERROR(INDEX(Market_Data!$F$21:$F$613,MATCH($A944,Market_Data!$E$21:INDEX(Market_Data!$E$21:$E$613,COUNT(Market_Data!$E$21:$E$613)),1)),""))</f>
        <v/>
      </c>
      <c r="D944" s="145" t="str">
        <f ca="1">IF($A944="","",IFERROR(INDEX(Market_Data!$I$21:$I$613,MATCH($A944,Market_Data!$H$21:INDEX(Market_Data!$H$21:$H$613,COUNT(Market_Data!$H$21:$H$613)),1)),""))</f>
        <v/>
      </c>
      <c r="E944" s="145" t="str">
        <f ca="1">IF($A944="","",IFERROR(INDEX(Market_Data!$L$21:$L$613,MATCH($A944,Market_Data!$K$21:INDEX(Market_Data!$K$21:$K$613,COUNT(Market_Data!$K$21:$K$613)),1)),""))</f>
        <v/>
      </c>
      <c r="F944" s="145" t="str">
        <f ca="1">IF($A944="","",IFERROR(INDEX(Market_Data!$O$21:$O$613,MATCH($A944,Market_Data!$N$21:INDEX(Market_Data!$N$21:$N$613,COUNT(Market_Data!$N$21:$N$613)),1)),""))</f>
        <v/>
      </c>
      <c r="G944" s="145" t="str">
        <f ca="1">IF($A944="","",IFERROR(INDEX(Market_Data!$R$21:$R$613,MATCH($A944,Market_Data!$Q$21:INDEX(Market_Data!$Q$21:$Q$613,COUNT(Market_Data!$Q$21:$Q$613)),1)),""))</f>
        <v/>
      </c>
      <c r="H944" s="145" t="str">
        <f ca="1">IF($A944="","",IFERROR(INDEX(Market_Data!$U$21:$U$613,MATCH($A944,Market_Data!$T$21:INDEX(Market_Data!$T$21:$T$613,COUNT(Market_Data!$T$21:$T$613)),1)),""))</f>
        <v/>
      </c>
      <c r="I944" s="146" t="str">
        <f ca="1">IF($A944="","",IFERROR(INDEX(Query1[Close],MATCH($A944,Query1[Date],1)),""))</f>
        <v/>
      </c>
    </row>
    <row r="945" spans="1:9" x14ac:dyDescent="0.3">
      <c r="A945" s="144" t="str">
        <f t="shared" ca="1" si="16"/>
        <v/>
      </c>
      <c r="B945" s="145" t="str">
        <f ca="1">IF($A945="","",IFERROR(INDEX(Market_Data!$C$21:$C$613,MATCH($A945,Market_Data!$B$21:INDEX(Market_Data!$B$21:$B$613,COUNT(Market_Data!$B$21:$B$613)),1)),""))</f>
        <v/>
      </c>
      <c r="C945" s="145" t="str">
        <f ca="1">IF($A945="","",IFERROR(INDEX(Market_Data!$F$21:$F$613,MATCH($A945,Market_Data!$E$21:INDEX(Market_Data!$E$21:$E$613,COUNT(Market_Data!$E$21:$E$613)),1)),""))</f>
        <v/>
      </c>
      <c r="D945" s="145" t="str">
        <f ca="1">IF($A945="","",IFERROR(INDEX(Market_Data!$I$21:$I$613,MATCH($A945,Market_Data!$H$21:INDEX(Market_Data!$H$21:$H$613,COUNT(Market_Data!$H$21:$H$613)),1)),""))</f>
        <v/>
      </c>
      <c r="E945" s="145" t="str">
        <f ca="1">IF($A945="","",IFERROR(INDEX(Market_Data!$L$21:$L$613,MATCH($A945,Market_Data!$K$21:INDEX(Market_Data!$K$21:$K$613,COUNT(Market_Data!$K$21:$K$613)),1)),""))</f>
        <v/>
      </c>
      <c r="F945" s="145" t="str">
        <f ca="1">IF($A945="","",IFERROR(INDEX(Market_Data!$O$21:$O$613,MATCH($A945,Market_Data!$N$21:INDEX(Market_Data!$N$21:$N$613,COUNT(Market_Data!$N$21:$N$613)),1)),""))</f>
        <v/>
      </c>
      <c r="G945" s="145" t="str">
        <f ca="1">IF($A945="","",IFERROR(INDEX(Market_Data!$R$21:$R$613,MATCH($A945,Market_Data!$Q$21:INDEX(Market_Data!$Q$21:$Q$613,COUNT(Market_Data!$Q$21:$Q$613)),1)),""))</f>
        <v/>
      </c>
      <c r="H945" s="145" t="str">
        <f ca="1">IF($A945="","",IFERROR(INDEX(Market_Data!$U$21:$U$613,MATCH($A945,Market_Data!$T$21:INDEX(Market_Data!$T$21:$T$613,COUNT(Market_Data!$T$21:$T$613)),1)),""))</f>
        <v/>
      </c>
      <c r="I945" s="146" t="str">
        <f ca="1">IF($A945="","",IFERROR(INDEX(Query1[Close],MATCH($A945,Query1[Date],1)),""))</f>
        <v/>
      </c>
    </row>
    <row r="946" spans="1:9" x14ac:dyDescent="0.3">
      <c r="A946" s="144" t="str">
        <f t="shared" ca="1" si="16"/>
        <v/>
      </c>
      <c r="B946" s="145" t="str">
        <f ca="1">IF($A946="","",IFERROR(INDEX(Market_Data!$C$21:$C$613,MATCH($A946,Market_Data!$B$21:INDEX(Market_Data!$B$21:$B$613,COUNT(Market_Data!$B$21:$B$613)),1)),""))</f>
        <v/>
      </c>
      <c r="C946" s="145" t="str">
        <f ca="1">IF($A946="","",IFERROR(INDEX(Market_Data!$F$21:$F$613,MATCH($A946,Market_Data!$E$21:INDEX(Market_Data!$E$21:$E$613,COUNT(Market_Data!$E$21:$E$613)),1)),""))</f>
        <v/>
      </c>
      <c r="D946" s="145" t="str">
        <f ca="1">IF($A946="","",IFERROR(INDEX(Market_Data!$I$21:$I$613,MATCH($A946,Market_Data!$H$21:INDEX(Market_Data!$H$21:$H$613,COUNT(Market_Data!$H$21:$H$613)),1)),""))</f>
        <v/>
      </c>
      <c r="E946" s="145" t="str">
        <f ca="1">IF($A946="","",IFERROR(INDEX(Market_Data!$L$21:$L$613,MATCH($A946,Market_Data!$K$21:INDEX(Market_Data!$K$21:$K$613,COUNT(Market_Data!$K$21:$K$613)),1)),""))</f>
        <v/>
      </c>
      <c r="F946" s="145" t="str">
        <f ca="1">IF($A946="","",IFERROR(INDEX(Market_Data!$O$21:$O$613,MATCH($A946,Market_Data!$N$21:INDEX(Market_Data!$N$21:$N$613,COUNT(Market_Data!$N$21:$N$613)),1)),""))</f>
        <v/>
      </c>
      <c r="G946" s="145" t="str">
        <f ca="1">IF($A946="","",IFERROR(INDEX(Market_Data!$R$21:$R$613,MATCH($A946,Market_Data!$Q$21:INDEX(Market_Data!$Q$21:$Q$613,COUNT(Market_Data!$Q$21:$Q$613)),1)),""))</f>
        <v/>
      </c>
      <c r="H946" s="145" t="str">
        <f ca="1">IF($A946="","",IFERROR(INDEX(Market_Data!$U$21:$U$613,MATCH($A946,Market_Data!$T$21:INDEX(Market_Data!$T$21:$T$613,COUNT(Market_Data!$T$21:$T$613)),1)),""))</f>
        <v/>
      </c>
      <c r="I946" s="146" t="str">
        <f ca="1">IF($A946="","",IFERROR(INDEX(Query1[Close],MATCH($A946,Query1[Date],1)),""))</f>
        <v/>
      </c>
    </row>
    <row r="947" spans="1:9" x14ac:dyDescent="0.3">
      <c r="A947" s="144" t="str">
        <f t="shared" ca="1" si="16"/>
        <v/>
      </c>
      <c r="B947" s="145" t="str">
        <f ca="1">IF($A947="","",IFERROR(INDEX(Market_Data!$C$21:$C$613,MATCH($A947,Market_Data!$B$21:INDEX(Market_Data!$B$21:$B$613,COUNT(Market_Data!$B$21:$B$613)),1)),""))</f>
        <v/>
      </c>
      <c r="C947" s="145" t="str">
        <f ca="1">IF($A947="","",IFERROR(INDEX(Market_Data!$F$21:$F$613,MATCH($A947,Market_Data!$E$21:INDEX(Market_Data!$E$21:$E$613,COUNT(Market_Data!$E$21:$E$613)),1)),""))</f>
        <v/>
      </c>
      <c r="D947" s="145" t="str">
        <f ca="1">IF($A947="","",IFERROR(INDEX(Market_Data!$I$21:$I$613,MATCH($A947,Market_Data!$H$21:INDEX(Market_Data!$H$21:$H$613,COUNT(Market_Data!$H$21:$H$613)),1)),""))</f>
        <v/>
      </c>
      <c r="E947" s="145" t="str">
        <f ca="1">IF($A947="","",IFERROR(INDEX(Market_Data!$L$21:$L$613,MATCH($A947,Market_Data!$K$21:INDEX(Market_Data!$K$21:$K$613,COUNT(Market_Data!$K$21:$K$613)),1)),""))</f>
        <v/>
      </c>
      <c r="F947" s="145" t="str">
        <f ca="1">IF($A947="","",IFERROR(INDEX(Market_Data!$O$21:$O$613,MATCH($A947,Market_Data!$N$21:INDEX(Market_Data!$N$21:$N$613,COUNT(Market_Data!$N$21:$N$613)),1)),""))</f>
        <v/>
      </c>
      <c r="G947" s="145" t="str">
        <f ca="1">IF($A947="","",IFERROR(INDEX(Market_Data!$R$21:$R$613,MATCH($A947,Market_Data!$Q$21:INDEX(Market_Data!$Q$21:$Q$613,COUNT(Market_Data!$Q$21:$Q$613)),1)),""))</f>
        <v/>
      </c>
      <c r="H947" s="145" t="str">
        <f ca="1">IF($A947="","",IFERROR(INDEX(Market_Data!$U$21:$U$613,MATCH($A947,Market_Data!$T$21:INDEX(Market_Data!$T$21:$T$613,COUNT(Market_Data!$T$21:$T$613)),1)),""))</f>
        <v/>
      </c>
      <c r="I947" s="146" t="str">
        <f ca="1">IF($A947="","",IFERROR(INDEX(Query1[Close],MATCH($A947,Query1[Date],1)),""))</f>
        <v/>
      </c>
    </row>
    <row r="948" spans="1:9" x14ac:dyDescent="0.3">
      <c r="A948" s="144" t="str">
        <f t="shared" ca="1" si="16"/>
        <v/>
      </c>
      <c r="B948" s="145" t="str">
        <f ca="1">IF($A948="","",IFERROR(INDEX(Market_Data!$C$21:$C$613,MATCH($A948,Market_Data!$B$21:INDEX(Market_Data!$B$21:$B$613,COUNT(Market_Data!$B$21:$B$613)),1)),""))</f>
        <v/>
      </c>
      <c r="C948" s="145" t="str">
        <f ca="1">IF($A948="","",IFERROR(INDEX(Market_Data!$F$21:$F$613,MATCH($A948,Market_Data!$E$21:INDEX(Market_Data!$E$21:$E$613,COUNT(Market_Data!$E$21:$E$613)),1)),""))</f>
        <v/>
      </c>
      <c r="D948" s="145" t="str">
        <f ca="1">IF($A948="","",IFERROR(INDEX(Market_Data!$I$21:$I$613,MATCH($A948,Market_Data!$H$21:INDEX(Market_Data!$H$21:$H$613,COUNT(Market_Data!$H$21:$H$613)),1)),""))</f>
        <v/>
      </c>
      <c r="E948" s="145" t="str">
        <f ca="1">IF($A948="","",IFERROR(INDEX(Market_Data!$L$21:$L$613,MATCH($A948,Market_Data!$K$21:INDEX(Market_Data!$K$21:$K$613,COUNT(Market_Data!$K$21:$K$613)),1)),""))</f>
        <v/>
      </c>
      <c r="F948" s="145" t="str">
        <f ca="1">IF($A948="","",IFERROR(INDEX(Market_Data!$O$21:$O$613,MATCH($A948,Market_Data!$N$21:INDEX(Market_Data!$N$21:$N$613,COUNT(Market_Data!$N$21:$N$613)),1)),""))</f>
        <v/>
      </c>
      <c r="G948" s="145" t="str">
        <f ca="1">IF($A948="","",IFERROR(INDEX(Market_Data!$R$21:$R$613,MATCH($A948,Market_Data!$Q$21:INDEX(Market_Data!$Q$21:$Q$613,COUNT(Market_Data!$Q$21:$Q$613)),1)),""))</f>
        <v/>
      </c>
      <c r="H948" s="145" t="str">
        <f ca="1">IF($A948="","",IFERROR(INDEX(Market_Data!$U$21:$U$613,MATCH($A948,Market_Data!$T$21:INDEX(Market_Data!$T$21:$T$613,COUNT(Market_Data!$T$21:$T$613)),1)),""))</f>
        <v/>
      </c>
      <c r="I948" s="146" t="str">
        <f ca="1">IF($A948="","",IFERROR(INDEX(Query1[Close],MATCH($A948,Query1[Date],1)),""))</f>
        <v/>
      </c>
    </row>
    <row r="949" spans="1:9" x14ac:dyDescent="0.3">
      <c r="A949" s="144" t="str">
        <f t="shared" ca="1" si="16"/>
        <v/>
      </c>
      <c r="B949" s="145" t="str">
        <f ca="1">IF($A949="","",IFERROR(INDEX(Market_Data!$C$21:$C$613,MATCH($A949,Market_Data!$B$21:INDEX(Market_Data!$B$21:$B$613,COUNT(Market_Data!$B$21:$B$613)),1)),""))</f>
        <v/>
      </c>
      <c r="C949" s="145" t="str">
        <f ca="1">IF($A949="","",IFERROR(INDEX(Market_Data!$F$21:$F$613,MATCH($A949,Market_Data!$E$21:INDEX(Market_Data!$E$21:$E$613,COUNT(Market_Data!$E$21:$E$613)),1)),""))</f>
        <v/>
      </c>
      <c r="D949" s="145" t="str">
        <f ca="1">IF($A949="","",IFERROR(INDEX(Market_Data!$I$21:$I$613,MATCH($A949,Market_Data!$H$21:INDEX(Market_Data!$H$21:$H$613,COUNT(Market_Data!$H$21:$H$613)),1)),""))</f>
        <v/>
      </c>
      <c r="E949" s="145" t="str">
        <f ca="1">IF($A949="","",IFERROR(INDEX(Market_Data!$L$21:$L$613,MATCH($A949,Market_Data!$K$21:INDEX(Market_Data!$K$21:$K$613,COUNT(Market_Data!$K$21:$K$613)),1)),""))</f>
        <v/>
      </c>
      <c r="F949" s="145" t="str">
        <f ca="1">IF($A949="","",IFERROR(INDEX(Market_Data!$O$21:$O$613,MATCH($A949,Market_Data!$N$21:INDEX(Market_Data!$N$21:$N$613,COUNT(Market_Data!$N$21:$N$613)),1)),""))</f>
        <v/>
      </c>
      <c r="G949" s="145" t="str">
        <f ca="1">IF($A949="","",IFERROR(INDEX(Market_Data!$R$21:$R$613,MATCH($A949,Market_Data!$Q$21:INDEX(Market_Data!$Q$21:$Q$613,COUNT(Market_Data!$Q$21:$Q$613)),1)),""))</f>
        <v/>
      </c>
      <c r="H949" s="145" t="str">
        <f ca="1">IF($A949="","",IFERROR(INDEX(Market_Data!$U$21:$U$613,MATCH($A949,Market_Data!$T$21:INDEX(Market_Data!$T$21:$T$613,COUNT(Market_Data!$T$21:$T$613)),1)),""))</f>
        <v/>
      </c>
      <c r="I949" s="146" t="str">
        <f ca="1">IF($A949="","",IFERROR(INDEX(Query1[Close],MATCH($A949,Query1[Date],1)),""))</f>
        <v/>
      </c>
    </row>
    <row r="950" spans="1:9" x14ac:dyDescent="0.3">
      <c r="A950" s="144" t="str">
        <f t="shared" ca="1" si="16"/>
        <v/>
      </c>
      <c r="B950" s="145" t="str">
        <f ca="1">IF($A950="","",IFERROR(INDEX(Market_Data!$C$21:$C$613,MATCH($A950,Market_Data!$B$21:INDEX(Market_Data!$B$21:$B$613,COUNT(Market_Data!$B$21:$B$613)),1)),""))</f>
        <v/>
      </c>
      <c r="C950" s="145" t="str">
        <f ca="1">IF($A950="","",IFERROR(INDEX(Market_Data!$F$21:$F$613,MATCH($A950,Market_Data!$E$21:INDEX(Market_Data!$E$21:$E$613,COUNT(Market_Data!$E$21:$E$613)),1)),""))</f>
        <v/>
      </c>
      <c r="D950" s="145" t="str">
        <f ca="1">IF($A950="","",IFERROR(INDEX(Market_Data!$I$21:$I$613,MATCH($A950,Market_Data!$H$21:INDEX(Market_Data!$H$21:$H$613,COUNT(Market_Data!$H$21:$H$613)),1)),""))</f>
        <v/>
      </c>
      <c r="E950" s="145" t="str">
        <f ca="1">IF($A950="","",IFERROR(INDEX(Market_Data!$L$21:$L$613,MATCH($A950,Market_Data!$K$21:INDEX(Market_Data!$K$21:$K$613,COUNT(Market_Data!$K$21:$K$613)),1)),""))</f>
        <v/>
      </c>
      <c r="F950" s="145" t="str">
        <f ca="1">IF($A950="","",IFERROR(INDEX(Market_Data!$O$21:$O$613,MATCH($A950,Market_Data!$N$21:INDEX(Market_Data!$N$21:$N$613,COUNT(Market_Data!$N$21:$N$613)),1)),""))</f>
        <v/>
      </c>
      <c r="G950" s="145" t="str">
        <f ca="1">IF($A950="","",IFERROR(INDEX(Market_Data!$R$21:$R$613,MATCH($A950,Market_Data!$Q$21:INDEX(Market_Data!$Q$21:$Q$613,COUNT(Market_Data!$Q$21:$Q$613)),1)),""))</f>
        <v/>
      </c>
      <c r="H950" s="145" t="str">
        <f ca="1">IF($A950="","",IFERROR(INDEX(Market_Data!$U$21:$U$613,MATCH($A950,Market_Data!$T$21:INDEX(Market_Data!$T$21:$T$613,COUNT(Market_Data!$T$21:$T$613)),1)),""))</f>
        <v/>
      </c>
      <c r="I950" s="146" t="str">
        <f ca="1">IF($A950="","",IFERROR(INDEX(Query1[Close],MATCH($A950,Query1[Date],1)),""))</f>
        <v/>
      </c>
    </row>
    <row r="951" spans="1:9" x14ac:dyDescent="0.3">
      <c r="A951" s="144" t="str">
        <f t="shared" ca="1" si="16"/>
        <v/>
      </c>
      <c r="B951" s="145" t="str">
        <f ca="1">IF($A951="","",IFERROR(INDEX(Market_Data!$C$21:$C$613,MATCH($A951,Market_Data!$B$21:INDEX(Market_Data!$B$21:$B$613,COUNT(Market_Data!$B$21:$B$613)),1)),""))</f>
        <v/>
      </c>
      <c r="C951" s="145" t="str">
        <f ca="1">IF($A951="","",IFERROR(INDEX(Market_Data!$F$21:$F$613,MATCH($A951,Market_Data!$E$21:INDEX(Market_Data!$E$21:$E$613,COUNT(Market_Data!$E$21:$E$613)),1)),""))</f>
        <v/>
      </c>
      <c r="D951" s="145" t="str">
        <f ca="1">IF($A951="","",IFERROR(INDEX(Market_Data!$I$21:$I$613,MATCH($A951,Market_Data!$H$21:INDEX(Market_Data!$H$21:$H$613,COUNT(Market_Data!$H$21:$H$613)),1)),""))</f>
        <v/>
      </c>
      <c r="E951" s="145" t="str">
        <f ca="1">IF($A951="","",IFERROR(INDEX(Market_Data!$L$21:$L$613,MATCH($A951,Market_Data!$K$21:INDEX(Market_Data!$K$21:$K$613,COUNT(Market_Data!$K$21:$K$613)),1)),""))</f>
        <v/>
      </c>
      <c r="F951" s="145" t="str">
        <f ca="1">IF($A951="","",IFERROR(INDEX(Market_Data!$O$21:$O$613,MATCH($A951,Market_Data!$N$21:INDEX(Market_Data!$N$21:$N$613,COUNT(Market_Data!$N$21:$N$613)),1)),""))</f>
        <v/>
      </c>
      <c r="G951" s="145" t="str">
        <f ca="1">IF($A951="","",IFERROR(INDEX(Market_Data!$R$21:$R$613,MATCH($A951,Market_Data!$Q$21:INDEX(Market_Data!$Q$21:$Q$613,COUNT(Market_Data!$Q$21:$Q$613)),1)),""))</f>
        <v/>
      </c>
      <c r="H951" s="145" t="str">
        <f ca="1">IF($A951="","",IFERROR(INDEX(Market_Data!$U$21:$U$613,MATCH($A951,Market_Data!$T$21:INDEX(Market_Data!$T$21:$T$613,COUNT(Market_Data!$T$21:$T$613)),1)),""))</f>
        <v/>
      </c>
      <c r="I951" s="146" t="str">
        <f ca="1">IF($A951="","",IFERROR(INDEX(Query1[Close],MATCH($A951,Query1[Date],1)),""))</f>
        <v/>
      </c>
    </row>
    <row r="952" spans="1:9" x14ac:dyDescent="0.3">
      <c r="A952" s="144" t="str">
        <f t="shared" ca="1" si="16"/>
        <v/>
      </c>
      <c r="B952" s="145" t="str">
        <f ca="1">IF($A952="","",IFERROR(INDEX(Market_Data!$C$21:$C$613,MATCH($A952,Market_Data!$B$21:INDEX(Market_Data!$B$21:$B$613,COUNT(Market_Data!$B$21:$B$613)),1)),""))</f>
        <v/>
      </c>
      <c r="C952" s="145" t="str">
        <f ca="1">IF($A952="","",IFERROR(INDEX(Market_Data!$F$21:$F$613,MATCH($A952,Market_Data!$E$21:INDEX(Market_Data!$E$21:$E$613,COUNT(Market_Data!$E$21:$E$613)),1)),""))</f>
        <v/>
      </c>
      <c r="D952" s="145" t="str">
        <f ca="1">IF($A952="","",IFERROR(INDEX(Market_Data!$I$21:$I$613,MATCH($A952,Market_Data!$H$21:INDEX(Market_Data!$H$21:$H$613,COUNT(Market_Data!$H$21:$H$613)),1)),""))</f>
        <v/>
      </c>
      <c r="E952" s="145" t="str">
        <f ca="1">IF($A952="","",IFERROR(INDEX(Market_Data!$L$21:$L$613,MATCH($A952,Market_Data!$K$21:INDEX(Market_Data!$K$21:$K$613,COUNT(Market_Data!$K$21:$K$613)),1)),""))</f>
        <v/>
      </c>
      <c r="F952" s="145" t="str">
        <f ca="1">IF($A952="","",IFERROR(INDEX(Market_Data!$O$21:$O$613,MATCH($A952,Market_Data!$N$21:INDEX(Market_Data!$N$21:$N$613,COUNT(Market_Data!$N$21:$N$613)),1)),""))</f>
        <v/>
      </c>
      <c r="G952" s="145" t="str">
        <f ca="1">IF($A952="","",IFERROR(INDEX(Market_Data!$R$21:$R$613,MATCH($A952,Market_Data!$Q$21:INDEX(Market_Data!$Q$21:$Q$613,COUNT(Market_Data!$Q$21:$Q$613)),1)),""))</f>
        <v/>
      </c>
      <c r="H952" s="145" t="str">
        <f ca="1">IF($A952="","",IFERROR(INDEX(Market_Data!$U$21:$U$613,MATCH($A952,Market_Data!$T$21:INDEX(Market_Data!$T$21:$T$613,COUNT(Market_Data!$T$21:$T$613)),1)),""))</f>
        <v/>
      </c>
      <c r="I952" s="146" t="str">
        <f ca="1">IF($A952="","",IFERROR(INDEX(Query1[Close],MATCH($A952,Query1[Date],1)),""))</f>
        <v/>
      </c>
    </row>
    <row r="953" spans="1:9" x14ac:dyDescent="0.3">
      <c r="A953" s="144" t="str">
        <f t="shared" ca="1" si="16"/>
        <v/>
      </c>
      <c r="B953" s="145" t="str">
        <f ca="1">IF($A953="","",IFERROR(INDEX(Market_Data!$C$21:$C$613,MATCH($A953,Market_Data!$B$21:INDEX(Market_Data!$B$21:$B$613,COUNT(Market_Data!$B$21:$B$613)),1)),""))</f>
        <v/>
      </c>
      <c r="C953" s="145" t="str">
        <f ca="1">IF($A953="","",IFERROR(INDEX(Market_Data!$F$21:$F$613,MATCH($A953,Market_Data!$E$21:INDEX(Market_Data!$E$21:$E$613,COUNT(Market_Data!$E$21:$E$613)),1)),""))</f>
        <v/>
      </c>
      <c r="D953" s="145" t="str">
        <f ca="1">IF($A953="","",IFERROR(INDEX(Market_Data!$I$21:$I$613,MATCH($A953,Market_Data!$H$21:INDEX(Market_Data!$H$21:$H$613,COUNT(Market_Data!$H$21:$H$613)),1)),""))</f>
        <v/>
      </c>
      <c r="E953" s="145" t="str">
        <f ca="1">IF($A953="","",IFERROR(INDEX(Market_Data!$L$21:$L$613,MATCH($A953,Market_Data!$K$21:INDEX(Market_Data!$K$21:$K$613,COUNT(Market_Data!$K$21:$K$613)),1)),""))</f>
        <v/>
      </c>
      <c r="F953" s="145" t="str">
        <f ca="1">IF($A953="","",IFERROR(INDEX(Market_Data!$O$21:$O$613,MATCH($A953,Market_Data!$N$21:INDEX(Market_Data!$N$21:$N$613,COUNT(Market_Data!$N$21:$N$613)),1)),""))</f>
        <v/>
      </c>
      <c r="G953" s="145" t="str">
        <f ca="1">IF($A953="","",IFERROR(INDEX(Market_Data!$R$21:$R$613,MATCH($A953,Market_Data!$Q$21:INDEX(Market_Data!$Q$21:$Q$613,COUNT(Market_Data!$Q$21:$Q$613)),1)),""))</f>
        <v/>
      </c>
      <c r="H953" s="145" t="str">
        <f ca="1">IF($A953="","",IFERROR(INDEX(Market_Data!$U$21:$U$613,MATCH($A953,Market_Data!$T$21:INDEX(Market_Data!$T$21:$T$613,COUNT(Market_Data!$T$21:$T$613)),1)),""))</f>
        <v/>
      </c>
      <c r="I953" s="146" t="str">
        <f ca="1">IF($A953="","",IFERROR(INDEX(Query1[Close],MATCH($A953,Query1[Date],1)),""))</f>
        <v/>
      </c>
    </row>
    <row r="954" spans="1:9" x14ac:dyDescent="0.3">
      <c r="A954" s="144" t="str">
        <f t="shared" ca="1" si="16"/>
        <v/>
      </c>
      <c r="B954" s="145" t="str">
        <f ca="1">IF($A954="","",IFERROR(INDEX(Market_Data!$C$21:$C$613,MATCH($A954,Market_Data!$B$21:INDEX(Market_Data!$B$21:$B$613,COUNT(Market_Data!$B$21:$B$613)),1)),""))</f>
        <v/>
      </c>
      <c r="C954" s="145" t="str">
        <f ca="1">IF($A954="","",IFERROR(INDEX(Market_Data!$F$21:$F$613,MATCH($A954,Market_Data!$E$21:INDEX(Market_Data!$E$21:$E$613,COUNT(Market_Data!$E$21:$E$613)),1)),""))</f>
        <v/>
      </c>
      <c r="D954" s="145" t="str">
        <f ca="1">IF($A954="","",IFERROR(INDEX(Market_Data!$I$21:$I$613,MATCH($A954,Market_Data!$H$21:INDEX(Market_Data!$H$21:$H$613,COUNT(Market_Data!$H$21:$H$613)),1)),""))</f>
        <v/>
      </c>
      <c r="E954" s="145" t="str">
        <f ca="1">IF($A954="","",IFERROR(INDEX(Market_Data!$L$21:$L$613,MATCH($A954,Market_Data!$K$21:INDEX(Market_Data!$K$21:$K$613,COUNT(Market_Data!$K$21:$K$613)),1)),""))</f>
        <v/>
      </c>
      <c r="F954" s="145" t="str">
        <f ca="1">IF($A954="","",IFERROR(INDEX(Market_Data!$O$21:$O$613,MATCH($A954,Market_Data!$N$21:INDEX(Market_Data!$N$21:$N$613,COUNT(Market_Data!$N$21:$N$613)),1)),""))</f>
        <v/>
      </c>
      <c r="G954" s="145" t="str">
        <f ca="1">IF($A954="","",IFERROR(INDEX(Market_Data!$R$21:$R$613,MATCH($A954,Market_Data!$Q$21:INDEX(Market_Data!$Q$21:$Q$613,COUNT(Market_Data!$Q$21:$Q$613)),1)),""))</f>
        <v/>
      </c>
      <c r="H954" s="145" t="str">
        <f ca="1">IF($A954="","",IFERROR(INDEX(Market_Data!$U$21:$U$613,MATCH($A954,Market_Data!$T$21:INDEX(Market_Data!$T$21:$T$613,COUNT(Market_Data!$T$21:$T$613)),1)),""))</f>
        <v/>
      </c>
      <c r="I954" s="146" t="str">
        <f ca="1">IF($A954="","",IFERROR(INDEX(Query1[Close],MATCH($A954,Query1[Date],1)),""))</f>
        <v/>
      </c>
    </row>
    <row r="955" spans="1:9" x14ac:dyDescent="0.3">
      <c r="A955" s="144" t="str">
        <f t="shared" ca="1" si="16"/>
        <v/>
      </c>
      <c r="B955" s="145" t="str">
        <f ca="1">IF($A955="","",IFERROR(INDEX(Market_Data!$C$21:$C$613,MATCH($A955,Market_Data!$B$21:INDEX(Market_Data!$B$21:$B$613,COUNT(Market_Data!$B$21:$B$613)),1)),""))</f>
        <v/>
      </c>
      <c r="C955" s="145" t="str">
        <f ca="1">IF($A955="","",IFERROR(INDEX(Market_Data!$F$21:$F$613,MATCH($A955,Market_Data!$E$21:INDEX(Market_Data!$E$21:$E$613,COUNT(Market_Data!$E$21:$E$613)),1)),""))</f>
        <v/>
      </c>
      <c r="D955" s="145" t="str">
        <f ca="1">IF($A955="","",IFERROR(INDEX(Market_Data!$I$21:$I$613,MATCH($A955,Market_Data!$H$21:INDEX(Market_Data!$H$21:$H$613,COUNT(Market_Data!$H$21:$H$613)),1)),""))</f>
        <v/>
      </c>
      <c r="E955" s="145" t="str">
        <f ca="1">IF($A955="","",IFERROR(INDEX(Market_Data!$L$21:$L$613,MATCH($A955,Market_Data!$K$21:INDEX(Market_Data!$K$21:$K$613,COUNT(Market_Data!$K$21:$K$613)),1)),""))</f>
        <v/>
      </c>
      <c r="F955" s="145" t="str">
        <f ca="1">IF($A955="","",IFERROR(INDEX(Market_Data!$O$21:$O$613,MATCH($A955,Market_Data!$N$21:INDEX(Market_Data!$N$21:$N$613,COUNT(Market_Data!$N$21:$N$613)),1)),""))</f>
        <v/>
      </c>
      <c r="G955" s="145" t="str">
        <f ca="1">IF($A955="","",IFERROR(INDEX(Market_Data!$R$21:$R$613,MATCH($A955,Market_Data!$Q$21:INDEX(Market_Data!$Q$21:$Q$613,COUNT(Market_Data!$Q$21:$Q$613)),1)),""))</f>
        <v/>
      </c>
      <c r="H955" s="145" t="str">
        <f ca="1">IF($A955="","",IFERROR(INDEX(Market_Data!$U$21:$U$613,MATCH($A955,Market_Data!$T$21:INDEX(Market_Data!$T$21:$T$613,COUNT(Market_Data!$T$21:$T$613)),1)),""))</f>
        <v/>
      </c>
      <c r="I955" s="146" t="str">
        <f ca="1">IF($A955="","",IFERROR(INDEX(Query1[Close],MATCH($A955,Query1[Date],1)),""))</f>
        <v/>
      </c>
    </row>
    <row r="956" spans="1:9" x14ac:dyDescent="0.3">
      <c r="A956" s="144" t="str">
        <f t="shared" ca="1" si="16"/>
        <v/>
      </c>
      <c r="B956" s="145" t="str">
        <f ca="1">IF($A956="","",IFERROR(INDEX(Market_Data!$C$21:$C$613,MATCH($A956,Market_Data!$B$21:INDEX(Market_Data!$B$21:$B$613,COUNT(Market_Data!$B$21:$B$613)),1)),""))</f>
        <v/>
      </c>
      <c r="C956" s="145" t="str">
        <f ca="1">IF($A956="","",IFERROR(INDEX(Market_Data!$F$21:$F$613,MATCH($A956,Market_Data!$E$21:INDEX(Market_Data!$E$21:$E$613,COUNT(Market_Data!$E$21:$E$613)),1)),""))</f>
        <v/>
      </c>
      <c r="D956" s="145" t="str">
        <f ca="1">IF($A956="","",IFERROR(INDEX(Market_Data!$I$21:$I$613,MATCH($A956,Market_Data!$H$21:INDEX(Market_Data!$H$21:$H$613,COUNT(Market_Data!$H$21:$H$613)),1)),""))</f>
        <v/>
      </c>
      <c r="E956" s="145" t="str">
        <f ca="1">IF($A956="","",IFERROR(INDEX(Market_Data!$L$21:$L$613,MATCH($A956,Market_Data!$K$21:INDEX(Market_Data!$K$21:$K$613,COUNT(Market_Data!$K$21:$K$613)),1)),""))</f>
        <v/>
      </c>
      <c r="F956" s="145" t="str">
        <f ca="1">IF($A956="","",IFERROR(INDEX(Market_Data!$O$21:$O$613,MATCH($A956,Market_Data!$N$21:INDEX(Market_Data!$N$21:$N$613,COUNT(Market_Data!$N$21:$N$613)),1)),""))</f>
        <v/>
      </c>
      <c r="G956" s="145" t="str">
        <f ca="1">IF($A956="","",IFERROR(INDEX(Market_Data!$R$21:$R$613,MATCH($A956,Market_Data!$Q$21:INDEX(Market_Data!$Q$21:$Q$613,COUNT(Market_Data!$Q$21:$Q$613)),1)),""))</f>
        <v/>
      </c>
      <c r="H956" s="145" t="str">
        <f ca="1">IF($A956="","",IFERROR(INDEX(Market_Data!$U$21:$U$613,MATCH($A956,Market_Data!$T$21:INDEX(Market_Data!$T$21:$T$613,COUNT(Market_Data!$T$21:$T$613)),1)),""))</f>
        <v/>
      </c>
      <c r="I956" s="146" t="str">
        <f ca="1">IF($A956="","",IFERROR(INDEX(Query1[Close],MATCH($A956,Query1[Date],1)),""))</f>
        <v/>
      </c>
    </row>
    <row r="957" spans="1:9" x14ac:dyDescent="0.3">
      <c r="A957" s="144" t="str">
        <f t="shared" ca="1" si="16"/>
        <v/>
      </c>
      <c r="B957" s="145" t="str">
        <f ca="1">IF($A957="","",IFERROR(INDEX(Market_Data!$C$21:$C$613,MATCH($A957,Market_Data!$B$21:INDEX(Market_Data!$B$21:$B$613,COUNT(Market_Data!$B$21:$B$613)),1)),""))</f>
        <v/>
      </c>
      <c r="C957" s="145" t="str">
        <f ca="1">IF($A957="","",IFERROR(INDEX(Market_Data!$F$21:$F$613,MATCH($A957,Market_Data!$E$21:INDEX(Market_Data!$E$21:$E$613,COUNT(Market_Data!$E$21:$E$613)),1)),""))</f>
        <v/>
      </c>
      <c r="D957" s="145" t="str">
        <f ca="1">IF($A957="","",IFERROR(INDEX(Market_Data!$I$21:$I$613,MATCH($A957,Market_Data!$H$21:INDEX(Market_Data!$H$21:$H$613,COUNT(Market_Data!$H$21:$H$613)),1)),""))</f>
        <v/>
      </c>
      <c r="E957" s="145" t="str">
        <f ca="1">IF($A957="","",IFERROR(INDEX(Market_Data!$L$21:$L$613,MATCH($A957,Market_Data!$K$21:INDEX(Market_Data!$K$21:$K$613,COUNT(Market_Data!$K$21:$K$613)),1)),""))</f>
        <v/>
      </c>
      <c r="F957" s="145" t="str">
        <f ca="1">IF($A957="","",IFERROR(INDEX(Market_Data!$O$21:$O$613,MATCH($A957,Market_Data!$N$21:INDEX(Market_Data!$N$21:$N$613,COUNT(Market_Data!$N$21:$N$613)),1)),""))</f>
        <v/>
      </c>
      <c r="G957" s="145" t="str">
        <f ca="1">IF($A957="","",IFERROR(INDEX(Market_Data!$R$21:$R$613,MATCH($A957,Market_Data!$Q$21:INDEX(Market_Data!$Q$21:$Q$613,COUNT(Market_Data!$Q$21:$Q$613)),1)),""))</f>
        <v/>
      </c>
      <c r="H957" s="145" t="str">
        <f ca="1">IF($A957="","",IFERROR(INDEX(Market_Data!$U$21:$U$613,MATCH($A957,Market_Data!$T$21:INDEX(Market_Data!$T$21:$T$613,COUNT(Market_Data!$T$21:$T$613)),1)),""))</f>
        <v/>
      </c>
      <c r="I957" s="146" t="str">
        <f ca="1">IF($A957="","",IFERROR(INDEX(Query1[Close],MATCH($A957,Query1[Date],1)),""))</f>
        <v/>
      </c>
    </row>
    <row r="958" spans="1:9" x14ac:dyDescent="0.3">
      <c r="A958" s="144" t="str">
        <f t="shared" ca="1" si="16"/>
        <v/>
      </c>
      <c r="B958" s="145" t="str">
        <f ca="1">IF($A958="","",IFERROR(INDEX(Market_Data!$C$21:$C$613,MATCH($A958,Market_Data!$B$21:INDEX(Market_Data!$B$21:$B$613,COUNT(Market_Data!$B$21:$B$613)),1)),""))</f>
        <v/>
      </c>
      <c r="C958" s="145" t="str">
        <f ca="1">IF($A958="","",IFERROR(INDEX(Market_Data!$F$21:$F$613,MATCH($A958,Market_Data!$E$21:INDEX(Market_Data!$E$21:$E$613,COUNT(Market_Data!$E$21:$E$613)),1)),""))</f>
        <v/>
      </c>
      <c r="D958" s="145" t="str">
        <f ca="1">IF($A958="","",IFERROR(INDEX(Market_Data!$I$21:$I$613,MATCH($A958,Market_Data!$H$21:INDEX(Market_Data!$H$21:$H$613,COUNT(Market_Data!$H$21:$H$613)),1)),""))</f>
        <v/>
      </c>
      <c r="E958" s="145" t="str">
        <f ca="1">IF($A958="","",IFERROR(INDEX(Market_Data!$L$21:$L$613,MATCH($A958,Market_Data!$K$21:INDEX(Market_Data!$K$21:$K$613,COUNT(Market_Data!$K$21:$K$613)),1)),""))</f>
        <v/>
      </c>
      <c r="F958" s="145" t="str">
        <f ca="1">IF($A958="","",IFERROR(INDEX(Market_Data!$O$21:$O$613,MATCH($A958,Market_Data!$N$21:INDEX(Market_Data!$N$21:$N$613,COUNT(Market_Data!$N$21:$N$613)),1)),""))</f>
        <v/>
      </c>
      <c r="G958" s="145" t="str">
        <f ca="1">IF($A958="","",IFERROR(INDEX(Market_Data!$R$21:$R$613,MATCH($A958,Market_Data!$Q$21:INDEX(Market_Data!$Q$21:$Q$613,COUNT(Market_Data!$Q$21:$Q$613)),1)),""))</f>
        <v/>
      </c>
      <c r="H958" s="145" t="str">
        <f ca="1">IF($A958="","",IFERROR(INDEX(Market_Data!$U$21:$U$613,MATCH($A958,Market_Data!$T$21:INDEX(Market_Data!$T$21:$T$613,COUNT(Market_Data!$T$21:$T$613)),1)),""))</f>
        <v/>
      </c>
      <c r="I958" s="146" t="str">
        <f ca="1">IF($A958="","",IFERROR(INDEX(Query1[Close],MATCH($A958,Query1[Date],1)),""))</f>
        <v/>
      </c>
    </row>
    <row r="959" spans="1:9" x14ac:dyDescent="0.3">
      <c r="A959" s="144" t="str">
        <f t="shared" ca="1" si="16"/>
        <v/>
      </c>
      <c r="B959" s="145" t="str">
        <f ca="1">IF($A959="","",IFERROR(INDEX(Market_Data!$C$21:$C$613,MATCH($A959,Market_Data!$B$21:INDEX(Market_Data!$B$21:$B$613,COUNT(Market_Data!$B$21:$B$613)),1)),""))</f>
        <v/>
      </c>
      <c r="C959" s="145" t="str">
        <f ca="1">IF($A959="","",IFERROR(INDEX(Market_Data!$F$21:$F$613,MATCH($A959,Market_Data!$E$21:INDEX(Market_Data!$E$21:$E$613,COUNT(Market_Data!$E$21:$E$613)),1)),""))</f>
        <v/>
      </c>
      <c r="D959" s="145" t="str">
        <f ca="1">IF($A959="","",IFERROR(INDEX(Market_Data!$I$21:$I$613,MATCH($A959,Market_Data!$H$21:INDEX(Market_Data!$H$21:$H$613,COUNT(Market_Data!$H$21:$H$613)),1)),""))</f>
        <v/>
      </c>
      <c r="E959" s="145" t="str">
        <f ca="1">IF($A959="","",IFERROR(INDEX(Market_Data!$L$21:$L$613,MATCH($A959,Market_Data!$K$21:INDEX(Market_Data!$K$21:$K$613,COUNT(Market_Data!$K$21:$K$613)),1)),""))</f>
        <v/>
      </c>
      <c r="F959" s="145" t="str">
        <f ca="1">IF($A959="","",IFERROR(INDEX(Market_Data!$O$21:$O$613,MATCH($A959,Market_Data!$N$21:INDEX(Market_Data!$N$21:$N$613,COUNT(Market_Data!$N$21:$N$613)),1)),""))</f>
        <v/>
      </c>
      <c r="G959" s="145" t="str">
        <f ca="1">IF($A959="","",IFERROR(INDEX(Market_Data!$R$21:$R$613,MATCH($A959,Market_Data!$Q$21:INDEX(Market_Data!$Q$21:$Q$613,COUNT(Market_Data!$Q$21:$Q$613)),1)),""))</f>
        <v/>
      </c>
      <c r="H959" s="145" t="str">
        <f ca="1">IF($A959="","",IFERROR(INDEX(Market_Data!$U$21:$U$613,MATCH($A959,Market_Data!$T$21:INDEX(Market_Data!$T$21:$T$613,COUNT(Market_Data!$T$21:$T$613)),1)),""))</f>
        <v/>
      </c>
      <c r="I959" s="146" t="str">
        <f ca="1">IF($A959="","",IFERROR(INDEX(Query1[Close],MATCH($A959,Query1[Date],1)),""))</f>
        <v/>
      </c>
    </row>
    <row r="960" spans="1:9" x14ac:dyDescent="0.3">
      <c r="A960" s="144" t="str">
        <f t="shared" ca="1" si="16"/>
        <v/>
      </c>
      <c r="B960" s="145" t="str">
        <f ca="1">IF($A960="","",IFERROR(INDEX(Market_Data!$C$21:$C$613,MATCH($A960,Market_Data!$B$21:INDEX(Market_Data!$B$21:$B$613,COUNT(Market_Data!$B$21:$B$613)),1)),""))</f>
        <v/>
      </c>
      <c r="C960" s="145" t="str">
        <f ca="1">IF($A960="","",IFERROR(INDEX(Market_Data!$F$21:$F$613,MATCH($A960,Market_Data!$E$21:INDEX(Market_Data!$E$21:$E$613,COUNT(Market_Data!$E$21:$E$613)),1)),""))</f>
        <v/>
      </c>
      <c r="D960" s="145" t="str">
        <f ca="1">IF($A960="","",IFERROR(INDEX(Market_Data!$I$21:$I$613,MATCH($A960,Market_Data!$H$21:INDEX(Market_Data!$H$21:$H$613,COUNT(Market_Data!$H$21:$H$613)),1)),""))</f>
        <v/>
      </c>
      <c r="E960" s="145" t="str">
        <f ca="1">IF($A960="","",IFERROR(INDEX(Market_Data!$L$21:$L$613,MATCH($A960,Market_Data!$K$21:INDEX(Market_Data!$K$21:$K$613,COUNT(Market_Data!$K$21:$K$613)),1)),""))</f>
        <v/>
      </c>
      <c r="F960" s="145" t="str">
        <f ca="1">IF($A960="","",IFERROR(INDEX(Market_Data!$O$21:$O$613,MATCH($A960,Market_Data!$N$21:INDEX(Market_Data!$N$21:$N$613,COUNT(Market_Data!$N$21:$N$613)),1)),""))</f>
        <v/>
      </c>
      <c r="G960" s="145" t="str">
        <f ca="1">IF($A960="","",IFERROR(INDEX(Market_Data!$R$21:$R$613,MATCH($A960,Market_Data!$Q$21:INDEX(Market_Data!$Q$21:$Q$613,COUNT(Market_Data!$Q$21:$Q$613)),1)),""))</f>
        <v/>
      </c>
      <c r="H960" s="145" t="str">
        <f ca="1">IF($A960="","",IFERROR(INDEX(Market_Data!$U$21:$U$613,MATCH($A960,Market_Data!$T$21:INDEX(Market_Data!$T$21:$T$613,COUNT(Market_Data!$T$21:$T$613)),1)),""))</f>
        <v/>
      </c>
      <c r="I960" s="146" t="str">
        <f ca="1">IF($A960="","",IFERROR(INDEX(Query1[Close],MATCH($A960,Query1[Date],1)),""))</f>
        <v/>
      </c>
    </row>
    <row r="961" spans="1:9" x14ac:dyDescent="0.3">
      <c r="A961" s="144" t="str">
        <f t="shared" ca="1" si="16"/>
        <v/>
      </c>
      <c r="B961" s="145" t="str">
        <f ca="1">IF($A961="","",IFERROR(INDEX(Market_Data!$C$21:$C$613,MATCH($A961,Market_Data!$B$21:INDEX(Market_Data!$B$21:$B$613,COUNT(Market_Data!$B$21:$B$613)),1)),""))</f>
        <v/>
      </c>
      <c r="C961" s="145" t="str">
        <f ca="1">IF($A961="","",IFERROR(INDEX(Market_Data!$F$21:$F$613,MATCH($A961,Market_Data!$E$21:INDEX(Market_Data!$E$21:$E$613,COUNT(Market_Data!$E$21:$E$613)),1)),""))</f>
        <v/>
      </c>
      <c r="D961" s="145" t="str">
        <f ca="1">IF($A961="","",IFERROR(INDEX(Market_Data!$I$21:$I$613,MATCH($A961,Market_Data!$H$21:INDEX(Market_Data!$H$21:$H$613,COUNT(Market_Data!$H$21:$H$613)),1)),""))</f>
        <v/>
      </c>
      <c r="E961" s="145" t="str">
        <f ca="1">IF($A961="","",IFERROR(INDEX(Market_Data!$L$21:$L$613,MATCH($A961,Market_Data!$K$21:INDEX(Market_Data!$K$21:$K$613,COUNT(Market_Data!$K$21:$K$613)),1)),""))</f>
        <v/>
      </c>
      <c r="F961" s="145" t="str">
        <f ca="1">IF($A961="","",IFERROR(INDEX(Market_Data!$O$21:$O$613,MATCH($A961,Market_Data!$N$21:INDEX(Market_Data!$N$21:$N$613,COUNT(Market_Data!$N$21:$N$613)),1)),""))</f>
        <v/>
      </c>
      <c r="G961" s="145" t="str">
        <f ca="1">IF($A961="","",IFERROR(INDEX(Market_Data!$R$21:$R$613,MATCH($A961,Market_Data!$Q$21:INDEX(Market_Data!$Q$21:$Q$613,COUNT(Market_Data!$Q$21:$Q$613)),1)),""))</f>
        <v/>
      </c>
      <c r="H961" s="145" t="str">
        <f ca="1">IF($A961="","",IFERROR(INDEX(Market_Data!$U$21:$U$613,MATCH($A961,Market_Data!$T$21:INDEX(Market_Data!$T$21:$T$613,COUNT(Market_Data!$T$21:$T$613)),1)),""))</f>
        <v/>
      </c>
      <c r="I961" s="146" t="str">
        <f ca="1">IF($A961="","",IFERROR(INDEX(Query1[Close],MATCH($A961,Query1[Date],1)),""))</f>
        <v/>
      </c>
    </row>
    <row r="962" spans="1:9" x14ac:dyDescent="0.3">
      <c r="A962" s="144" t="str">
        <f t="shared" ca="1" si="16"/>
        <v/>
      </c>
      <c r="B962" s="145" t="str">
        <f ca="1">IF($A962="","",IFERROR(INDEX(Market_Data!$C$21:$C$613,MATCH($A962,Market_Data!$B$21:INDEX(Market_Data!$B$21:$B$613,COUNT(Market_Data!$B$21:$B$613)),1)),""))</f>
        <v/>
      </c>
      <c r="C962" s="145" t="str">
        <f ca="1">IF($A962="","",IFERROR(INDEX(Market_Data!$F$21:$F$613,MATCH($A962,Market_Data!$E$21:INDEX(Market_Data!$E$21:$E$613,COUNT(Market_Data!$E$21:$E$613)),1)),""))</f>
        <v/>
      </c>
      <c r="D962" s="145" t="str">
        <f ca="1">IF($A962="","",IFERROR(INDEX(Market_Data!$I$21:$I$613,MATCH($A962,Market_Data!$H$21:INDEX(Market_Data!$H$21:$H$613,COUNT(Market_Data!$H$21:$H$613)),1)),""))</f>
        <v/>
      </c>
      <c r="E962" s="145" t="str">
        <f ca="1">IF($A962="","",IFERROR(INDEX(Market_Data!$L$21:$L$613,MATCH($A962,Market_Data!$K$21:INDEX(Market_Data!$K$21:$K$613,COUNT(Market_Data!$K$21:$K$613)),1)),""))</f>
        <v/>
      </c>
      <c r="F962" s="145" t="str">
        <f ca="1">IF($A962="","",IFERROR(INDEX(Market_Data!$O$21:$O$613,MATCH($A962,Market_Data!$N$21:INDEX(Market_Data!$N$21:$N$613,COUNT(Market_Data!$N$21:$N$613)),1)),""))</f>
        <v/>
      </c>
      <c r="G962" s="145" t="str">
        <f ca="1">IF($A962="","",IFERROR(INDEX(Market_Data!$R$21:$R$613,MATCH($A962,Market_Data!$Q$21:INDEX(Market_Data!$Q$21:$Q$613,COUNT(Market_Data!$Q$21:$Q$613)),1)),""))</f>
        <v/>
      </c>
      <c r="H962" s="145" t="str">
        <f ca="1">IF($A962="","",IFERROR(INDEX(Market_Data!$U$21:$U$613,MATCH($A962,Market_Data!$T$21:INDEX(Market_Data!$T$21:$T$613,COUNT(Market_Data!$T$21:$T$613)),1)),""))</f>
        <v/>
      </c>
      <c r="I962" s="146" t="str">
        <f ca="1">IF($A962="","",IFERROR(INDEX(Query1[Close],MATCH($A962,Query1[Date],1)),""))</f>
        <v/>
      </c>
    </row>
    <row r="963" spans="1:9" x14ac:dyDescent="0.3">
      <c r="A963" s="144" t="str">
        <f t="shared" ca="1" si="16"/>
        <v/>
      </c>
      <c r="B963" s="145" t="str">
        <f ca="1">IF($A963="","",IFERROR(INDEX(Market_Data!$C$21:$C$613,MATCH($A963,Market_Data!$B$21:INDEX(Market_Data!$B$21:$B$613,COUNT(Market_Data!$B$21:$B$613)),1)),""))</f>
        <v/>
      </c>
      <c r="C963" s="145" t="str">
        <f ca="1">IF($A963="","",IFERROR(INDEX(Market_Data!$F$21:$F$613,MATCH($A963,Market_Data!$E$21:INDEX(Market_Data!$E$21:$E$613,COUNT(Market_Data!$E$21:$E$613)),1)),""))</f>
        <v/>
      </c>
      <c r="D963" s="145" t="str">
        <f ca="1">IF($A963="","",IFERROR(INDEX(Market_Data!$I$21:$I$613,MATCH($A963,Market_Data!$H$21:INDEX(Market_Data!$H$21:$H$613,COUNT(Market_Data!$H$21:$H$613)),1)),""))</f>
        <v/>
      </c>
      <c r="E963" s="145" t="str">
        <f ca="1">IF($A963="","",IFERROR(INDEX(Market_Data!$L$21:$L$613,MATCH($A963,Market_Data!$K$21:INDEX(Market_Data!$K$21:$K$613,COUNT(Market_Data!$K$21:$K$613)),1)),""))</f>
        <v/>
      </c>
      <c r="F963" s="145" t="str">
        <f ca="1">IF($A963="","",IFERROR(INDEX(Market_Data!$O$21:$O$613,MATCH($A963,Market_Data!$N$21:INDEX(Market_Data!$N$21:$N$613,COUNT(Market_Data!$N$21:$N$613)),1)),""))</f>
        <v/>
      </c>
      <c r="G963" s="145" t="str">
        <f ca="1">IF($A963="","",IFERROR(INDEX(Market_Data!$R$21:$R$613,MATCH($A963,Market_Data!$Q$21:INDEX(Market_Data!$Q$21:$Q$613,COUNT(Market_Data!$Q$21:$Q$613)),1)),""))</f>
        <v/>
      </c>
      <c r="H963" s="145" t="str">
        <f ca="1">IF($A963="","",IFERROR(INDEX(Market_Data!$U$21:$U$613,MATCH($A963,Market_Data!$T$21:INDEX(Market_Data!$T$21:$T$613,COUNT(Market_Data!$T$21:$T$613)),1)),""))</f>
        <v/>
      </c>
      <c r="I963" s="146" t="str">
        <f ca="1">IF($A963="","",IFERROR(INDEX(Query1[Close],MATCH($A963,Query1[Date],1)),""))</f>
        <v/>
      </c>
    </row>
    <row r="964" spans="1:9" x14ac:dyDescent="0.3">
      <c r="A964" s="144" t="str">
        <f t="shared" ca="1" si="16"/>
        <v/>
      </c>
      <c r="B964" s="145" t="str">
        <f ca="1">IF($A964="","",IFERROR(INDEX(Market_Data!$C$21:$C$613,MATCH($A964,Market_Data!$B$21:INDEX(Market_Data!$B$21:$B$613,COUNT(Market_Data!$B$21:$B$613)),1)),""))</f>
        <v/>
      </c>
      <c r="C964" s="145" t="str">
        <f ca="1">IF($A964="","",IFERROR(INDEX(Market_Data!$F$21:$F$613,MATCH($A964,Market_Data!$E$21:INDEX(Market_Data!$E$21:$E$613,COUNT(Market_Data!$E$21:$E$613)),1)),""))</f>
        <v/>
      </c>
      <c r="D964" s="145" t="str">
        <f ca="1">IF($A964="","",IFERROR(INDEX(Market_Data!$I$21:$I$613,MATCH($A964,Market_Data!$H$21:INDEX(Market_Data!$H$21:$H$613,COUNT(Market_Data!$H$21:$H$613)),1)),""))</f>
        <v/>
      </c>
      <c r="E964" s="145" t="str">
        <f ca="1">IF($A964="","",IFERROR(INDEX(Market_Data!$L$21:$L$613,MATCH($A964,Market_Data!$K$21:INDEX(Market_Data!$K$21:$K$613,COUNT(Market_Data!$K$21:$K$613)),1)),""))</f>
        <v/>
      </c>
      <c r="F964" s="145" t="str">
        <f ca="1">IF($A964="","",IFERROR(INDEX(Market_Data!$O$21:$O$613,MATCH($A964,Market_Data!$N$21:INDEX(Market_Data!$N$21:$N$613,COUNT(Market_Data!$N$21:$N$613)),1)),""))</f>
        <v/>
      </c>
      <c r="G964" s="145" t="str">
        <f ca="1">IF($A964="","",IFERROR(INDEX(Market_Data!$R$21:$R$613,MATCH($A964,Market_Data!$Q$21:INDEX(Market_Data!$Q$21:$Q$613,COUNT(Market_Data!$Q$21:$Q$613)),1)),""))</f>
        <v/>
      </c>
      <c r="H964" s="145" t="str">
        <f ca="1">IF($A964="","",IFERROR(INDEX(Market_Data!$U$21:$U$613,MATCH($A964,Market_Data!$T$21:INDEX(Market_Data!$T$21:$T$613,COUNT(Market_Data!$T$21:$T$613)),1)),""))</f>
        <v/>
      </c>
      <c r="I964" s="146" t="str">
        <f ca="1">IF($A964="","",IFERROR(INDEX(Query1[Close],MATCH($A964,Query1[Date],1)),""))</f>
        <v/>
      </c>
    </row>
    <row r="965" spans="1:9" x14ac:dyDescent="0.3">
      <c r="A965" s="144" t="str">
        <f t="shared" ca="1" si="16"/>
        <v/>
      </c>
      <c r="B965" s="145" t="str">
        <f ca="1">IF($A965="","",IFERROR(INDEX(Market_Data!$C$21:$C$613,MATCH($A965,Market_Data!$B$21:INDEX(Market_Data!$B$21:$B$613,COUNT(Market_Data!$B$21:$B$613)),1)),""))</f>
        <v/>
      </c>
      <c r="C965" s="145" t="str">
        <f ca="1">IF($A965="","",IFERROR(INDEX(Market_Data!$F$21:$F$613,MATCH($A965,Market_Data!$E$21:INDEX(Market_Data!$E$21:$E$613,COUNT(Market_Data!$E$21:$E$613)),1)),""))</f>
        <v/>
      </c>
      <c r="D965" s="145" t="str">
        <f ca="1">IF($A965="","",IFERROR(INDEX(Market_Data!$I$21:$I$613,MATCH($A965,Market_Data!$H$21:INDEX(Market_Data!$H$21:$H$613,COUNT(Market_Data!$H$21:$H$613)),1)),""))</f>
        <v/>
      </c>
      <c r="E965" s="145" t="str">
        <f ca="1">IF($A965="","",IFERROR(INDEX(Market_Data!$L$21:$L$613,MATCH($A965,Market_Data!$K$21:INDEX(Market_Data!$K$21:$K$613,COUNT(Market_Data!$K$21:$K$613)),1)),""))</f>
        <v/>
      </c>
      <c r="F965" s="145" t="str">
        <f ca="1">IF($A965="","",IFERROR(INDEX(Market_Data!$O$21:$O$613,MATCH($A965,Market_Data!$N$21:INDEX(Market_Data!$N$21:$N$613,COUNT(Market_Data!$N$21:$N$613)),1)),""))</f>
        <v/>
      </c>
      <c r="G965" s="145" t="str">
        <f ca="1">IF($A965="","",IFERROR(INDEX(Market_Data!$R$21:$R$613,MATCH($A965,Market_Data!$Q$21:INDEX(Market_Data!$Q$21:$Q$613,COUNT(Market_Data!$Q$21:$Q$613)),1)),""))</f>
        <v/>
      </c>
      <c r="H965" s="145" t="str">
        <f ca="1">IF($A965="","",IFERROR(INDEX(Market_Data!$U$21:$U$613,MATCH($A965,Market_Data!$T$21:INDEX(Market_Data!$T$21:$T$613,COUNT(Market_Data!$T$21:$T$613)),1)),""))</f>
        <v/>
      </c>
      <c r="I965" s="146" t="str">
        <f ca="1">IF($A965="","",IFERROR(INDEX(Query1[Close],MATCH($A965,Query1[Date],1)),""))</f>
        <v/>
      </c>
    </row>
    <row r="966" spans="1:9" x14ac:dyDescent="0.3">
      <c r="A966" s="144" t="str">
        <f t="shared" ref="A966:A1000" ca="1" si="17">IF($A965="","",IF($A965+7&lt;=TODAY(),$A965+7,""))</f>
        <v/>
      </c>
      <c r="B966" s="145" t="str">
        <f ca="1">IF($A966="","",IFERROR(INDEX(Market_Data!$C$21:$C$613,MATCH($A966,Market_Data!$B$21:INDEX(Market_Data!$B$21:$B$613,COUNT(Market_Data!$B$21:$B$613)),1)),""))</f>
        <v/>
      </c>
      <c r="C966" s="145" t="str">
        <f ca="1">IF($A966="","",IFERROR(INDEX(Market_Data!$F$21:$F$613,MATCH($A966,Market_Data!$E$21:INDEX(Market_Data!$E$21:$E$613,COUNT(Market_Data!$E$21:$E$613)),1)),""))</f>
        <v/>
      </c>
      <c r="D966" s="145" t="str">
        <f ca="1">IF($A966="","",IFERROR(INDEX(Market_Data!$I$21:$I$613,MATCH($A966,Market_Data!$H$21:INDEX(Market_Data!$H$21:$H$613,COUNT(Market_Data!$H$21:$H$613)),1)),""))</f>
        <v/>
      </c>
      <c r="E966" s="145" t="str">
        <f ca="1">IF($A966="","",IFERROR(INDEX(Market_Data!$L$21:$L$613,MATCH($A966,Market_Data!$K$21:INDEX(Market_Data!$K$21:$K$613,COUNT(Market_Data!$K$21:$K$613)),1)),""))</f>
        <v/>
      </c>
      <c r="F966" s="145" t="str">
        <f ca="1">IF($A966="","",IFERROR(INDEX(Market_Data!$O$21:$O$613,MATCH($A966,Market_Data!$N$21:INDEX(Market_Data!$N$21:$N$613,COUNT(Market_Data!$N$21:$N$613)),1)),""))</f>
        <v/>
      </c>
      <c r="G966" s="145" t="str">
        <f ca="1">IF($A966="","",IFERROR(INDEX(Market_Data!$R$21:$R$613,MATCH($A966,Market_Data!$Q$21:INDEX(Market_Data!$Q$21:$Q$613,COUNT(Market_Data!$Q$21:$Q$613)),1)),""))</f>
        <v/>
      </c>
      <c r="H966" s="145" t="str">
        <f ca="1">IF($A966="","",IFERROR(INDEX(Market_Data!$U$21:$U$613,MATCH($A966,Market_Data!$T$21:INDEX(Market_Data!$T$21:$T$613,COUNT(Market_Data!$T$21:$T$613)),1)),""))</f>
        <v/>
      </c>
      <c r="I966" s="146" t="str">
        <f ca="1">IF($A966="","",IFERROR(INDEX(Query1[Close],MATCH($A966,Query1[Date],1)),""))</f>
        <v/>
      </c>
    </row>
    <row r="967" spans="1:9" x14ac:dyDescent="0.3">
      <c r="A967" s="144" t="str">
        <f t="shared" ca="1" si="17"/>
        <v/>
      </c>
      <c r="B967" s="145" t="str">
        <f ca="1">IF($A967="","",IFERROR(INDEX(Market_Data!$C$21:$C$613,MATCH($A967,Market_Data!$B$21:INDEX(Market_Data!$B$21:$B$613,COUNT(Market_Data!$B$21:$B$613)),1)),""))</f>
        <v/>
      </c>
      <c r="C967" s="145" t="str">
        <f ca="1">IF($A967="","",IFERROR(INDEX(Market_Data!$F$21:$F$613,MATCH($A967,Market_Data!$E$21:INDEX(Market_Data!$E$21:$E$613,COUNT(Market_Data!$E$21:$E$613)),1)),""))</f>
        <v/>
      </c>
      <c r="D967" s="145" t="str">
        <f ca="1">IF($A967="","",IFERROR(INDEX(Market_Data!$I$21:$I$613,MATCH($A967,Market_Data!$H$21:INDEX(Market_Data!$H$21:$H$613,COUNT(Market_Data!$H$21:$H$613)),1)),""))</f>
        <v/>
      </c>
      <c r="E967" s="145" t="str">
        <f ca="1">IF($A967="","",IFERROR(INDEX(Market_Data!$L$21:$L$613,MATCH($A967,Market_Data!$K$21:INDEX(Market_Data!$K$21:$K$613,COUNT(Market_Data!$K$21:$K$613)),1)),""))</f>
        <v/>
      </c>
      <c r="F967" s="145" t="str">
        <f ca="1">IF($A967="","",IFERROR(INDEX(Market_Data!$O$21:$O$613,MATCH($A967,Market_Data!$N$21:INDEX(Market_Data!$N$21:$N$613,COUNT(Market_Data!$N$21:$N$613)),1)),""))</f>
        <v/>
      </c>
      <c r="G967" s="145" t="str">
        <f ca="1">IF($A967="","",IFERROR(INDEX(Market_Data!$R$21:$R$613,MATCH($A967,Market_Data!$Q$21:INDEX(Market_Data!$Q$21:$Q$613,COUNT(Market_Data!$Q$21:$Q$613)),1)),""))</f>
        <v/>
      </c>
      <c r="H967" s="145" t="str">
        <f ca="1">IF($A967="","",IFERROR(INDEX(Market_Data!$U$21:$U$613,MATCH($A967,Market_Data!$T$21:INDEX(Market_Data!$T$21:$T$613,COUNT(Market_Data!$T$21:$T$613)),1)),""))</f>
        <v/>
      </c>
      <c r="I967" s="146" t="str">
        <f ca="1">IF($A967="","",IFERROR(INDEX(Query1[Close],MATCH($A967,Query1[Date],1)),""))</f>
        <v/>
      </c>
    </row>
    <row r="968" spans="1:9" x14ac:dyDescent="0.3">
      <c r="A968" s="144" t="str">
        <f t="shared" ca="1" si="17"/>
        <v/>
      </c>
      <c r="B968" s="145" t="str">
        <f ca="1">IF($A968="","",IFERROR(INDEX(Market_Data!$C$21:$C$613,MATCH($A968,Market_Data!$B$21:INDEX(Market_Data!$B$21:$B$613,COUNT(Market_Data!$B$21:$B$613)),1)),""))</f>
        <v/>
      </c>
      <c r="C968" s="145" t="str">
        <f ca="1">IF($A968="","",IFERROR(INDEX(Market_Data!$F$21:$F$613,MATCH($A968,Market_Data!$E$21:INDEX(Market_Data!$E$21:$E$613,COUNT(Market_Data!$E$21:$E$613)),1)),""))</f>
        <v/>
      </c>
      <c r="D968" s="145" t="str">
        <f ca="1">IF($A968="","",IFERROR(INDEX(Market_Data!$I$21:$I$613,MATCH($A968,Market_Data!$H$21:INDEX(Market_Data!$H$21:$H$613,COUNT(Market_Data!$H$21:$H$613)),1)),""))</f>
        <v/>
      </c>
      <c r="E968" s="145" t="str">
        <f ca="1">IF($A968="","",IFERROR(INDEX(Market_Data!$L$21:$L$613,MATCH($A968,Market_Data!$K$21:INDEX(Market_Data!$K$21:$K$613,COUNT(Market_Data!$K$21:$K$613)),1)),""))</f>
        <v/>
      </c>
      <c r="F968" s="145" t="str">
        <f ca="1">IF($A968="","",IFERROR(INDEX(Market_Data!$O$21:$O$613,MATCH($A968,Market_Data!$N$21:INDEX(Market_Data!$N$21:$N$613,COUNT(Market_Data!$N$21:$N$613)),1)),""))</f>
        <v/>
      </c>
      <c r="G968" s="145" t="str">
        <f ca="1">IF($A968="","",IFERROR(INDEX(Market_Data!$R$21:$R$613,MATCH($A968,Market_Data!$Q$21:INDEX(Market_Data!$Q$21:$Q$613,COUNT(Market_Data!$Q$21:$Q$613)),1)),""))</f>
        <v/>
      </c>
      <c r="H968" s="145" t="str">
        <f ca="1">IF($A968="","",IFERROR(INDEX(Market_Data!$U$21:$U$613,MATCH($A968,Market_Data!$T$21:INDEX(Market_Data!$T$21:$T$613,COUNT(Market_Data!$T$21:$T$613)),1)),""))</f>
        <v/>
      </c>
      <c r="I968" s="146" t="str">
        <f ca="1">IF($A968="","",IFERROR(INDEX(Query1[Close],MATCH($A968,Query1[Date],1)),""))</f>
        <v/>
      </c>
    </row>
    <row r="969" spans="1:9" x14ac:dyDescent="0.3">
      <c r="A969" s="144" t="str">
        <f t="shared" ca="1" si="17"/>
        <v/>
      </c>
      <c r="B969" s="145" t="str">
        <f ca="1">IF($A969="","",IFERROR(INDEX(Market_Data!$C$21:$C$613,MATCH($A969,Market_Data!$B$21:INDEX(Market_Data!$B$21:$B$613,COUNT(Market_Data!$B$21:$B$613)),1)),""))</f>
        <v/>
      </c>
      <c r="C969" s="145" t="str">
        <f ca="1">IF($A969="","",IFERROR(INDEX(Market_Data!$F$21:$F$613,MATCH($A969,Market_Data!$E$21:INDEX(Market_Data!$E$21:$E$613,COUNT(Market_Data!$E$21:$E$613)),1)),""))</f>
        <v/>
      </c>
      <c r="D969" s="145" t="str">
        <f ca="1">IF($A969="","",IFERROR(INDEX(Market_Data!$I$21:$I$613,MATCH($A969,Market_Data!$H$21:INDEX(Market_Data!$H$21:$H$613,COUNT(Market_Data!$H$21:$H$613)),1)),""))</f>
        <v/>
      </c>
      <c r="E969" s="145" t="str">
        <f ca="1">IF($A969="","",IFERROR(INDEX(Market_Data!$L$21:$L$613,MATCH($A969,Market_Data!$K$21:INDEX(Market_Data!$K$21:$K$613,COUNT(Market_Data!$K$21:$K$613)),1)),""))</f>
        <v/>
      </c>
      <c r="F969" s="145" t="str">
        <f ca="1">IF($A969="","",IFERROR(INDEX(Market_Data!$O$21:$O$613,MATCH($A969,Market_Data!$N$21:INDEX(Market_Data!$N$21:$N$613,COUNT(Market_Data!$N$21:$N$613)),1)),""))</f>
        <v/>
      </c>
      <c r="G969" s="145" t="str">
        <f ca="1">IF($A969="","",IFERROR(INDEX(Market_Data!$R$21:$R$613,MATCH($A969,Market_Data!$Q$21:INDEX(Market_Data!$Q$21:$Q$613,COUNT(Market_Data!$Q$21:$Q$613)),1)),""))</f>
        <v/>
      </c>
      <c r="H969" s="145" t="str">
        <f ca="1">IF($A969="","",IFERROR(INDEX(Market_Data!$U$21:$U$613,MATCH($A969,Market_Data!$T$21:INDEX(Market_Data!$T$21:$T$613,COUNT(Market_Data!$T$21:$T$613)),1)),""))</f>
        <v/>
      </c>
      <c r="I969" s="146" t="str">
        <f ca="1">IF($A969="","",IFERROR(INDEX(Query1[Close],MATCH($A969,Query1[Date],1)),""))</f>
        <v/>
      </c>
    </row>
    <row r="970" spans="1:9" x14ac:dyDescent="0.3">
      <c r="A970" s="144" t="str">
        <f t="shared" ca="1" si="17"/>
        <v/>
      </c>
      <c r="B970" s="145" t="str">
        <f ca="1">IF($A970="","",IFERROR(INDEX(Market_Data!$C$21:$C$613,MATCH($A970,Market_Data!$B$21:INDEX(Market_Data!$B$21:$B$613,COUNT(Market_Data!$B$21:$B$613)),1)),""))</f>
        <v/>
      </c>
      <c r="C970" s="145" t="str">
        <f ca="1">IF($A970="","",IFERROR(INDEX(Market_Data!$F$21:$F$613,MATCH($A970,Market_Data!$E$21:INDEX(Market_Data!$E$21:$E$613,COUNT(Market_Data!$E$21:$E$613)),1)),""))</f>
        <v/>
      </c>
      <c r="D970" s="145" t="str">
        <f ca="1">IF($A970="","",IFERROR(INDEX(Market_Data!$I$21:$I$613,MATCH($A970,Market_Data!$H$21:INDEX(Market_Data!$H$21:$H$613,COUNT(Market_Data!$H$21:$H$613)),1)),""))</f>
        <v/>
      </c>
      <c r="E970" s="145" t="str">
        <f ca="1">IF($A970="","",IFERROR(INDEX(Market_Data!$L$21:$L$613,MATCH($A970,Market_Data!$K$21:INDEX(Market_Data!$K$21:$K$613,COUNT(Market_Data!$K$21:$K$613)),1)),""))</f>
        <v/>
      </c>
      <c r="F970" s="145" t="str">
        <f ca="1">IF($A970="","",IFERROR(INDEX(Market_Data!$O$21:$O$613,MATCH($A970,Market_Data!$N$21:INDEX(Market_Data!$N$21:$N$613,COUNT(Market_Data!$N$21:$N$613)),1)),""))</f>
        <v/>
      </c>
      <c r="G970" s="145" t="str">
        <f ca="1">IF($A970="","",IFERROR(INDEX(Market_Data!$R$21:$R$613,MATCH($A970,Market_Data!$Q$21:INDEX(Market_Data!$Q$21:$Q$613,COUNT(Market_Data!$Q$21:$Q$613)),1)),""))</f>
        <v/>
      </c>
      <c r="H970" s="145" t="str">
        <f ca="1">IF($A970="","",IFERROR(INDEX(Market_Data!$U$21:$U$613,MATCH($A970,Market_Data!$T$21:INDEX(Market_Data!$T$21:$T$613,COUNT(Market_Data!$T$21:$T$613)),1)),""))</f>
        <v/>
      </c>
      <c r="I970" s="146" t="str">
        <f ca="1">IF($A970="","",IFERROR(INDEX(Query1[Close],MATCH($A970,Query1[Date],1)),""))</f>
        <v/>
      </c>
    </row>
    <row r="971" spans="1:9" x14ac:dyDescent="0.3">
      <c r="A971" s="144" t="str">
        <f t="shared" ca="1" si="17"/>
        <v/>
      </c>
      <c r="B971" s="145" t="str">
        <f ca="1">IF($A971="","",IFERROR(INDEX(Market_Data!$C$21:$C$613,MATCH($A971,Market_Data!$B$21:INDEX(Market_Data!$B$21:$B$613,COUNT(Market_Data!$B$21:$B$613)),1)),""))</f>
        <v/>
      </c>
      <c r="C971" s="145" t="str">
        <f ca="1">IF($A971="","",IFERROR(INDEX(Market_Data!$F$21:$F$613,MATCH($A971,Market_Data!$E$21:INDEX(Market_Data!$E$21:$E$613,COUNT(Market_Data!$E$21:$E$613)),1)),""))</f>
        <v/>
      </c>
      <c r="D971" s="145" t="str">
        <f ca="1">IF($A971="","",IFERROR(INDEX(Market_Data!$I$21:$I$613,MATCH($A971,Market_Data!$H$21:INDEX(Market_Data!$H$21:$H$613,COUNT(Market_Data!$H$21:$H$613)),1)),""))</f>
        <v/>
      </c>
      <c r="E971" s="145" t="str">
        <f ca="1">IF($A971="","",IFERROR(INDEX(Market_Data!$L$21:$L$613,MATCH($A971,Market_Data!$K$21:INDEX(Market_Data!$K$21:$K$613,COUNT(Market_Data!$K$21:$K$613)),1)),""))</f>
        <v/>
      </c>
      <c r="F971" s="145" t="str">
        <f ca="1">IF($A971="","",IFERROR(INDEX(Market_Data!$O$21:$O$613,MATCH($A971,Market_Data!$N$21:INDEX(Market_Data!$N$21:$N$613,COUNT(Market_Data!$N$21:$N$613)),1)),""))</f>
        <v/>
      </c>
      <c r="G971" s="145" t="str">
        <f ca="1">IF($A971="","",IFERROR(INDEX(Market_Data!$R$21:$R$613,MATCH($A971,Market_Data!$Q$21:INDEX(Market_Data!$Q$21:$Q$613,COUNT(Market_Data!$Q$21:$Q$613)),1)),""))</f>
        <v/>
      </c>
      <c r="H971" s="145" t="str">
        <f ca="1">IF($A971="","",IFERROR(INDEX(Market_Data!$U$21:$U$613,MATCH($A971,Market_Data!$T$21:INDEX(Market_Data!$T$21:$T$613,COUNT(Market_Data!$T$21:$T$613)),1)),""))</f>
        <v/>
      </c>
      <c r="I971" s="146" t="str">
        <f ca="1">IF($A971="","",IFERROR(INDEX(Query1[Close],MATCH($A971,Query1[Date],1)),""))</f>
        <v/>
      </c>
    </row>
    <row r="972" spans="1:9" x14ac:dyDescent="0.3">
      <c r="A972" s="144" t="str">
        <f t="shared" ca="1" si="17"/>
        <v/>
      </c>
      <c r="B972" s="145" t="str">
        <f ca="1">IF($A972="","",IFERROR(INDEX(Market_Data!$C$21:$C$613,MATCH($A972,Market_Data!$B$21:INDEX(Market_Data!$B$21:$B$613,COUNT(Market_Data!$B$21:$B$613)),1)),""))</f>
        <v/>
      </c>
      <c r="C972" s="145" t="str">
        <f ca="1">IF($A972="","",IFERROR(INDEX(Market_Data!$F$21:$F$613,MATCH($A972,Market_Data!$E$21:INDEX(Market_Data!$E$21:$E$613,COUNT(Market_Data!$E$21:$E$613)),1)),""))</f>
        <v/>
      </c>
      <c r="D972" s="145" t="str">
        <f ca="1">IF($A972="","",IFERROR(INDEX(Market_Data!$I$21:$I$613,MATCH($A972,Market_Data!$H$21:INDEX(Market_Data!$H$21:$H$613,COUNT(Market_Data!$H$21:$H$613)),1)),""))</f>
        <v/>
      </c>
      <c r="E972" s="145" t="str">
        <f ca="1">IF($A972="","",IFERROR(INDEX(Market_Data!$L$21:$L$613,MATCH($A972,Market_Data!$K$21:INDEX(Market_Data!$K$21:$K$613,COUNT(Market_Data!$K$21:$K$613)),1)),""))</f>
        <v/>
      </c>
      <c r="F972" s="145" t="str">
        <f ca="1">IF($A972="","",IFERROR(INDEX(Market_Data!$O$21:$O$613,MATCH($A972,Market_Data!$N$21:INDEX(Market_Data!$N$21:$N$613,COUNT(Market_Data!$N$21:$N$613)),1)),""))</f>
        <v/>
      </c>
      <c r="G972" s="145" t="str">
        <f ca="1">IF($A972="","",IFERROR(INDEX(Market_Data!$R$21:$R$613,MATCH($A972,Market_Data!$Q$21:INDEX(Market_Data!$Q$21:$Q$613,COUNT(Market_Data!$Q$21:$Q$613)),1)),""))</f>
        <v/>
      </c>
      <c r="H972" s="145" t="str">
        <f ca="1">IF($A972="","",IFERROR(INDEX(Market_Data!$U$21:$U$613,MATCH($A972,Market_Data!$T$21:INDEX(Market_Data!$T$21:$T$613,COUNT(Market_Data!$T$21:$T$613)),1)),""))</f>
        <v/>
      </c>
      <c r="I972" s="146" t="str">
        <f ca="1">IF($A972="","",IFERROR(INDEX(Query1[Close],MATCH($A972,Query1[Date],1)),""))</f>
        <v/>
      </c>
    </row>
    <row r="973" spans="1:9" x14ac:dyDescent="0.3">
      <c r="A973" s="144" t="str">
        <f t="shared" ca="1" si="17"/>
        <v/>
      </c>
      <c r="B973" s="145" t="str">
        <f ca="1">IF($A973="","",IFERROR(INDEX(Market_Data!$C$21:$C$613,MATCH($A973,Market_Data!$B$21:INDEX(Market_Data!$B$21:$B$613,COUNT(Market_Data!$B$21:$B$613)),1)),""))</f>
        <v/>
      </c>
      <c r="C973" s="145" t="str">
        <f ca="1">IF($A973="","",IFERROR(INDEX(Market_Data!$F$21:$F$613,MATCH($A973,Market_Data!$E$21:INDEX(Market_Data!$E$21:$E$613,COUNT(Market_Data!$E$21:$E$613)),1)),""))</f>
        <v/>
      </c>
      <c r="D973" s="145" t="str">
        <f ca="1">IF($A973="","",IFERROR(INDEX(Market_Data!$I$21:$I$613,MATCH($A973,Market_Data!$H$21:INDEX(Market_Data!$H$21:$H$613,COUNT(Market_Data!$H$21:$H$613)),1)),""))</f>
        <v/>
      </c>
      <c r="E973" s="145" t="str">
        <f ca="1">IF($A973="","",IFERROR(INDEX(Market_Data!$L$21:$L$613,MATCH($A973,Market_Data!$K$21:INDEX(Market_Data!$K$21:$K$613,COUNT(Market_Data!$K$21:$K$613)),1)),""))</f>
        <v/>
      </c>
      <c r="F973" s="145" t="str">
        <f ca="1">IF($A973="","",IFERROR(INDEX(Market_Data!$O$21:$O$613,MATCH($A973,Market_Data!$N$21:INDEX(Market_Data!$N$21:$N$613,COUNT(Market_Data!$N$21:$N$613)),1)),""))</f>
        <v/>
      </c>
      <c r="G973" s="145" t="str">
        <f ca="1">IF($A973="","",IFERROR(INDEX(Market_Data!$R$21:$R$613,MATCH($A973,Market_Data!$Q$21:INDEX(Market_Data!$Q$21:$Q$613,COUNT(Market_Data!$Q$21:$Q$613)),1)),""))</f>
        <v/>
      </c>
      <c r="H973" s="145" t="str">
        <f ca="1">IF($A973="","",IFERROR(INDEX(Market_Data!$U$21:$U$613,MATCH($A973,Market_Data!$T$21:INDEX(Market_Data!$T$21:$T$613,COUNT(Market_Data!$T$21:$T$613)),1)),""))</f>
        <v/>
      </c>
      <c r="I973" s="146" t="str">
        <f ca="1">IF($A973="","",IFERROR(INDEX(Query1[Close],MATCH($A973,Query1[Date],1)),""))</f>
        <v/>
      </c>
    </row>
    <row r="974" spans="1:9" x14ac:dyDescent="0.3">
      <c r="A974" s="144" t="str">
        <f t="shared" ca="1" si="17"/>
        <v/>
      </c>
      <c r="B974" s="145" t="str">
        <f ca="1">IF($A974="","",IFERROR(INDEX(Market_Data!$C$21:$C$613,MATCH($A974,Market_Data!$B$21:INDEX(Market_Data!$B$21:$B$613,COUNT(Market_Data!$B$21:$B$613)),1)),""))</f>
        <v/>
      </c>
      <c r="C974" s="145" t="str">
        <f ca="1">IF($A974="","",IFERROR(INDEX(Market_Data!$F$21:$F$613,MATCH($A974,Market_Data!$E$21:INDEX(Market_Data!$E$21:$E$613,COUNT(Market_Data!$E$21:$E$613)),1)),""))</f>
        <v/>
      </c>
      <c r="D974" s="145" t="str">
        <f ca="1">IF($A974="","",IFERROR(INDEX(Market_Data!$I$21:$I$613,MATCH($A974,Market_Data!$H$21:INDEX(Market_Data!$H$21:$H$613,COUNT(Market_Data!$H$21:$H$613)),1)),""))</f>
        <v/>
      </c>
      <c r="E974" s="145" t="str">
        <f ca="1">IF($A974="","",IFERROR(INDEX(Market_Data!$L$21:$L$613,MATCH($A974,Market_Data!$K$21:INDEX(Market_Data!$K$21:$K$613,COUNT(Market_Data!$K$21:$K$613)),1)),""))</f>
        <v/>
      </c>
      <c r="F974" s="145" t="str">
        <f ca="1">IF($A974="","",IFERROR(INDEX(Market_Data!$O$21:$O$613,MATCH($A974,Market_Data!$N$21:INDEX(Market_Data!$N$21:$N$613,COUNT(Market_Data!$N$21:$N$613)),1)),""))</f>
        <v/>
      </c>
      <c r="G974" s="145" t="str">
        <f ca="1">IF($A974="","",IFERROR(INDEX(Market_Data!$R$21:$R$613,MATCH($A974,Market_Data!$Q$21:INDEX(Market_Data!$Q$21:$Q$613,COUNT(Market_Data!$Q$21:$Q$613)),1)),""))</f>
        <v/>
      </c>
      <c r="H974" s="145" t="str">
        <f ca="1">IF($A974="","",IFERROR(INDEX(Market_Data!$U$21:$U$613,MATCH($A974,Market_Data!$T$21:INDEX(Market_Data!$T$21:$T$613,COUNT(Market_Data!$T$21:$T$613)),1)),""))</f>
        <v/>
      </c>
      <c r="I974" s="146" t="str">
        <f ca="1">IF($A974="","",IFERROR(INDEX(Query1[Close],MATCH($A974,Query1[Date],1)),""))</f>
        <v/>
      </c>
    </row>
    <row r="975" spans="1:9" x14ac:dyDescent="0.3">
      <c r="A975" s="144" t="str">
        <f t="shared" ca="1" si="17"/>
        <v/>
      </c>
      <c r="B975" s="145" t="str">
        <f ca="1">IF($A975="","",IFERROR(INDEX(Market_Data!$C$21:$C$613,MATCH($A975,Market_Data!$B$21:INDEX(Market_Data!$B$21:$B$613,COUNT(Market_Data!$B$21:$B$613)),1)),""))</f>
        <v/>
      </c>
      <c r="C975" s="145" t="str">
        <f ca="1">IF($A975="","",IFERROR(INDEX(Market_Data!$F$21:$F$613,MATCH($A975,Market_Data!$E$21:INDEX(Market_Data!$E$21:$E$613,COUNT(Market_Data!$E$21:$E$613)),1)),""))</f>
        <v/>
      </c>
      <c r="D975" s="145" t="str">
        <f ca="1">IF($A975="","",IFERROR(INDEX(Market_Data!$I$21:$I$613,MATCH($A975,Market_Data!$H$21:INDEX(Market_Data!$H$21:$H$613,COUNT(Market_Data!$H$21:$H$613)),1)),""))</f>
        <v/>
      </c>
      <c r="E975" s="145" t="str">
        <f ca="1">IF($A975="","",IFERROR(INDEX(Market_Data!$L$21:$L$613,MATCH($A975,Market_Data!$K$21:INDEX(Market_Data!$K$21:$K$613,COUNT(Market_Data!$K$21:$K$613)),1)),""))</f>
        <v/>
      </c>
      <c r="F975" s="145" t="str">
        <f ca="1">IF($A975="","",IFERROR(INDEX(Market_Data!$O$21:$O$613,MATCH($A975,Market_Data!$N$21:INDEX(Market_Data!$N$21:$N$613,COUNT(Market_Data!$N$21:$N$613)),1)),""))</f>
        <v/>
      </c>
      <c r="G975" s="145" t="str">
        <f ca="1">IF($A975="","",IFERROR(INDEX(Market_Data!$R$21:$R$613,MATCH($A975,Market_Data!$Q$21:INDEX(Market_Data!$Q$21:$Q$613,COUNT(Market_Data!$Q$21:$Q$613)),1)),""))</f>
        <v/>
      </c>
      <c r="H975" s="145" t="str">
        <f ca="1">IF($A975="","",IFERROR(INDEX(Market_Data!$U$21:$U$613,MATCH($A975,Market_Data!$T$21:INDEX(Market_Data!$T$21:$T$613,COUNT(Market_Data!$T$21:$T$613)),1)),""))</f>
        <v/>
      </c>
      <c r="I975" s="146" t="str">
        <f ca="1">IF($A975="","",IFERROR(INDEX(Query1[Close],MATCH($A975,Query1[Date],1)),""))</f>
        <v/>
      </c>
    </row>
    <row r="976" spans="1:9" x14ac:dyDescent="0.3">
      <c r="A976" s="144" t="str">
        <f t="shared" ca="1" si="17"/>
        <v/>
      </c>
      <c r="B976" s="145" t="str">
        <f ca="1">IF($A976="","",IFERROR(INDEX(Market_Data!$C$21:$C$613,MATCH($A976,Market_Data!$B$21:INDEX(Market_Data!$B$21:$B$613,COUNT(Market_Data!$B$21:$B$613)),1)),""))</f>
        <v/>
      </c>
      <c r="C976" s="145" t="str">
        <f ca="1">IF($A976="","",IFERROR(INDEX(Market_Data!$F$21:$F$613,MATCH($A976,Market_Data!$E$21:INDEX(Market_Data!$E$21:$E$613,COUNT(Market_Data!$E$21:$E$613)),1)),""))</f>
        <v/>
      </c>
      <c r="D976" s="145" t="str">
        <f ca="1">IF($A976="","",IFERROR(INDEX(Market_Data!$I$21:$I$613,MATCH($A976,Market_Data!$H$21:INDEX(Market_Data!$H$21:$H$613,COUNT(Market_Data!$H$21:$H$613)),1)),""))</f>
        <v/>
      </c>
      <c r="E976" s="145" t="str">
        <f ca="1">IF($A976="","",IFERROR(INDEX(Market_Data!$L$21:$L$613,MATCH($A976,Market_Data!$K$21:INDEX(Market_Data!$K$21:$K$613,COUNT(Market_Data!$K$21:$K$613)),1)),""))</f>
        <v/>
      </c>
      <c r="F976" s="145" t="str">
        <f ca="1">IF($A976="","",IFERROR(INDEX(Market_Data!$O$21:$O$613,MATCH($A976,Market_Data!$N$21:INDEX(Market_Data!$N$21:$N$613,COUNT(Market_Data!$N$21:$N$613)),1)),""))</f>
        <v/>
      </c>
      <c r="G976" s="145" t="str">
        <f ca="1">IF($A976="","",IFERROR(INDEX(Market_Data!$R$21:$R$613,MATCH($A976,Market_Data!$Q$21:INDEX(Market_Data!$Q$21:$Q$613,COUNT(Market_Data!$Q$21:$Q$613)),1)),""))</f>
        <v/>
      </c>
      <c r="H976" s="145" t="str">
        <f ca="1">IF($A976="","",IFERROR(INDEX(Market_Data!$U$21:$U$613,MATCH($A976,Market_Data!$T$21:INDEX(Market_Data!$T$21:$T$613,COUNT(Market_Data!$T$21:$T$613)),1)),""))</f>
        <v/>
      </c>
      <c r="I976" s="146" t="str">
        <f ca="1">IF($A976="","",IFERROR(INDEX(Query1[Close],MATCH($A976,Query1[Date],1)),""))</f>
        <v/>
      </c>
    </row>
    <row r="977" spans="1:9" x14ac:dyDescent="0.3">
      <c r="A977" s="144" t="str">
        <f t="shared" ca="1" si="17"/>
        <v/>
      </c>
      <c r="B977" s="145" t="str">
        <f ca="1">IF($A977="","",IFERROR(INDEX(Market_Data!$C$21:$C$613,MATCH($A977,Market_Data!$B$21:INDEX(Market_Data!$B$21:$B$613,COUNT(Market_Data!$B$21:$B$613)),1)),""))</f>
        <v/>
      </c>
      <c r="C977" s="145" t="str">
        <f ca="1">IF($A977="","",IFERROR(INDEX(Market_Data!$F$21:$F$613,MATCH($A977,Market_Data!$E$21:INDEX(Market_Data!$E$21:$E$613,COUNT(Market_Data!$E$21:$E$613)),1)),""))</f>
        <v/>
      </c>
      <c r="D977" s="145" t="str">
        <f ca="1">IF($A977="","",IFERROR(INDEX(Market_Data!$I$21:$I$613,MATCH($A977,Market_Data!$H$21:INDEX(Market_Data!$H$21:$H$613,COUNT(Market_Data!$H$21:$H$613)),1)),""))</f>
        <v/>
      </c>
      <c r="E977" s="145" t="str">
        <f ca="1">IF($A977="","",IFERROR(INDEX(Market_Data!$L$21:$L$613,MATCH($A977,Market_Data!$K$21:INDEX(Market_Data!$K$21:$K$613,COUNT(Market_Data!$K$21:$K$613)),1)),""))</f>
        <v/>
      </c>
      <c r="F977" s="145" t="str">
        <f ca="1">IF($A977="","",IFERROR(INDEX(Market_Data!$O$21:$O$613,MATCH($A977,Market_Data!$N$21:INDEX(Market_Data!$N$21:$N$613,COUNT(Market_Data!$N$21:$N$613)),1)),""))</f>
        <v/>
      </c>
      <c r="G977" s="145" t="str">
        <f ca="1">IF($A977="","",IFERROR(INDEX(Market_Data!$R$21:$R$613,MATCH($A977,Market_Data!$Q$21:INDEX(Market_Data!$Q$21:$Q$613,COUNT(Market_Data!$Q$21:$Q$613)),1)),""))</f>
        <v/>
      </c>
      <c r="H977" s="145" t="str">
        <f ca="1">IF($A977="","",IFERROR(INDEX(Market_Data!$U$21:$U$613,MATCH($A977,Market_Data!$T$21:INDEX(Market_Data!$T$21:$T$613,COUNT(Market_Data!$T$21:$T$613)),1)),""))</f>
        <v/>
      </c>
      <c r="I977" s="146" t="str">
        <f ca="1">IF($A977="","",IFERROR(INDEX(Query1[Close],MATCH($A977,Query1[Date],1)),""))</f>
        <v/>
      </c>
    </row>
    <row r="978" spans="1:9" x14ac:dyDescent="0.3">
      <c r="A978" s="144" t="str">
        <f t="shared" ca="1" si="17"/>
        <v/>
      </c>
      <c r="B978" s="145" t="str">
        <f ca="1">IF($A978="","",IFERROR(INDEX(Market_Data!$C$21:$C$613,MATCH($A978,Market_Data!$B$21:INDEX(Market_Data!$B$21:$B$613,COUNT(Market_Data!$B$21:$B$613)),1)),""))</f>
        <v/>
      </c>
      <c r="C978" s="145" t="str">
        <f ca="1">IF($A978="","",IFERROR(INDEX(Market_Data!$F$21:$F$613,MATCH($A978,Market_Data!$E$21:INDEX(Market_Data!$E$21:$E$613,COUNT(Market_Data!$E$21:$E$613)),1)),""))</f>
        <v/>
      </c>
      <c r="D978" s="145" t="str">
        <f ca="1">IF($A978="","",IFERROR(INDEX(Market_Data!$I$21:$I$613,MATCH($A978,Market_Data!$H$21:INDEX(Market_Data!$H$21:$H$613,COUNT(Market_Data!$H$21:$H$613)),1)),""))</f>
        <v/>
      </c>
      <c r="E978" s="145" t="str">
        <f ca="1">IF($A978="","",IFERROR(INDEX(Market_Data!$L$21:$L$613,MATCH($A978,Market_Data!$K$21:INDEX(Market_Data!$K$21:$K$613,COUNT(Market_Data!$K$21:$K$613)),1)),""))</f>
        <v/>
      </c>
      <c r="F978" s="145" t="str">
        <f ca="1">IF($A978="","",IFERROR(INDEX(Market_Data!$O$21:$O$613,MATCH($A978,Market_Data!$N$21:INDEX(Market_Data!$N$21:$N$613,COUNT(Market_Data!$N$21:$N$613)),1)),""))</f>
        <v/>
      </c>
      <c r="G978" s="145" t="str">
        <f ca="1">IF($A978="","",IFERROR(INDEX(Market_Data!$R$21:$R$613,MATCH($A978,Market_Data!$Q$21:INDEX(Market_Data!$Q$21:$Q$613,COUNT(Market_Data!$Q$21:$Q$613)),1)),""))</f>
        <v/>
      </c>
      <c r="H978" s="145" t="str">
        <f ca="1">IF($A978="","",IFERROR(INDEX(Market_Data!$U$21:$U$613,MATCH($A978,Market_Data!$T$21:INDEX(Market_Data!$T$21:$T$613,COUNT(Market_Data!$T$21:$T$613)),1)),""))</f>
        <v/>
      </c>
      <c r="I978" s="146" t="str">
        <f ca="1">IF($A978="","",IFERROR(INDEX(Query1[Close],MATCH($A978,Query1[Date],1)),""))</f>
        <v/>
      </c>
    </row>
    <row r="979" spans="1:9" x14ac:dyDescent="0.3">
      <c r="A979" s="144" t="str">
        <f t="shared" ca="1" si="17"/>
        <v/>
      </c>
      <c r="B979" s="145" t="str">
        <f ca="1">IF($A979="","",IFERROR(INDEX(Market_Data!$C$21:$C$613,MATCH($A979,Market_Data!$B$21:INDEX(Market_Data!$B$21:$B$613,COUNT(Market_Data!$B$21:$B$613)),1)),""))</f>
        <v/>
      </c>
      <c r="C979" s="145" t="str">
        <f ca="1">IF($A979="","",IFERROR(INDEX(Market_Data!$F$21:$F$613,MATCH($A979,Market_Data!$E$21:INDEX(Market_Data!$E$21:$E$613,COUNT(Market_Data!$E$21:$E$613)),1)),""))</f>
        <v/>
      </c>
      <c r="D979" s="145" t="str">
        <f ca="1">IF($A979="","",IFERROR(INDEX(Market_Data!$I$21:$I$613,MATCH($A979,Market_Data!$H$21:INDEX(Market_Data!$H$21:$H$613,COUNT(Market_Data!$H$21:$H$613)),1)),""))</f>
        <v/>
      </c>
      <c r="E979" s="145" t="str">
        <f ca="1">IF($A979="","",IFERROR(INDEX(Market_Data!$L$21:$L$613,MATCH($A979,Market_Data!$K$21:INDEX(Market_Data!$K$21:$K$613,COUNT(Market_Data!$K$21:$K$613)),1)),""))</f>
        <v/>
      </c>
      <c r="F979" s="145" t="str">
        <f ca="1">IF($A979="","",IFERROR(INDEX(Market_Data!$O$21:$O$613,MATCH($A979,Market_Data!$N$21:INDEX(Market_Data!$N$21:$N$613,COUNT(Market_Data!$N$21:$N$613)),1)),""))</f>
        <v/>
      </c>
      <c r="G979" s="145" t="str">
        <f ca="1">IF($A979="","",IFERROR(INDEX(Market_Data!$R$21:$R$613,MATCH($A979,Market_Data!$Q$21:INDEX(Market_Data!$Q$21:$Q$613,COUNT(Market_Data!$Q$21:$Q$613)),1)),""))</f>
        <v/>
      </c>
      <c r="H979" s="145" t="str">
        <f ca="1">IF($A979="","",IFERROR(INDEX(Market_Data!$U$21:$U$613,MATCH($A979,Market_Data!$T$21:INDEX(Market_Data!$T$21:$T$613,COUNT(Market_Data!$T$21:$T$613)),1)),""))</f>
        <v/>
      </c>
      <c r="I979" s="146" t="str">
        <f ca="1">IF($A979="","",IFERROR(INDEX(Query1[Close],MATCH($A979,Query1[Date],1)),""))</f>
        <v/>
      </c>
    </row>
    <row r="980" spans="1:9" x14ac:dyDescent="0.3">
      <c r="A980" s="144" t="str">
        <f t="shared" ca="1" si="17"/>
        <v/>
      </c>
      <c r="B980" s="145" t="str">
        <f ca="1">IF($A980="","",IFERROR(INDEX(Market_Data!$C$21:$C$613,MATCH($A980,Market_Data!$B$21:INDEX(Market_Data!$B$21:$B$613,COUNT(Market_Data!$B$21:$B$613)),1)),""))</f>
        <v/>
      </c>
      <c r="C980" s="145" t="str">
        <f ca="1">IF($A980="","",IFERROR(INDEX(Market_Data!$F$21:$F$613,MATCH($A980,Market_Data!$E$21:INDEX(Market_Data!$E$21:$E$613,COUNT(Market_Data!$E$21:$E$613)),1)),""))</f>
        <v/>
      </c>
      <c r="D980" s="145" t="str">
        <f ca="1">IF($A980="","",IFERROR(INDEX(Market_Data!$I$21:$I$613,MATCH($A980,Market_Data!$H$21:INDEX(Market_Data!$H$21:$H$613,COUNT(Market_Data!$H$21:$H$613)),1)),""))</f>
        <v/>
      </c>
      <c r="E980" s="145" t="str">
        <f ca="1">IF($A980="","",IFERROR(INDEX(Market_Data!$L$21:$L$613,MATCH($A980,Market_Data!$K$21:INDEX(Market_Data!$K$21:$K$613,COUNT(Market_Data!$K$21:$K$613)),1)),""))</f>
        <v/>
      </c>
      <c r="F980" s="145" t="str">
        <f ca="1">IF($A980="","",IFERROR(INDEX(Market_Data!$O$21:$O$613,MATCH($A980,Market_Data!$N$21:INDEX(Market_Data!$N$21:$N$613,COUNT(Market_Data!$N$21:$N$613)),1)),""))</f>
        <v/>
      </c>
      <c r="G980" s="145" t="str">
        <f ca="1">IF($A980="","",IFERROR(INDEX(Market_Data!$R$21:$R$613,MATCH($A980,Market_Data!$Q$21:INDEX(Market_Data!$Q$21:$Q$613,COUNT(Market_Data!$Q$21:$Q$613)),1)),""))</f>
        <v/>
      </c>
      <c r="H980" s="145" t="str">
        <f ca="1">IF($A980="","",IFERROR(INDEX(Market_Data!$U$21:$U$613,MATCH($A980,Market_Data!$T$21:INDEX(Market_Data!$T$21:$T$613,COUNT(Market_Data!$T$21:$T$613)),1)),""))</f>
        <v/>
      </c>
      <c r="I980" s="146" t="str">
        <f ca="1">IF($A980="","",IFERROR(INDEX(Query1[Close],MATCH($A980,Query1[Date],1)),""))</f>
        <v/>
      </c>
    </row>
    <row r="981" spans="1:9" x14ac:dyDescent="0.3">
      <c r="A981" s="144" t="str">
        <f t="shared" ca="1" si="17"/>
        <v/>
      </c>
      <c r="B981" s="145" t="str">
        <f ca="1">IF($A981="","",IFERROR(INDEX(Market_Data!$C$21:$C$613,MATCH($A981,Market_Data!$B$21:INDEX(Market_Data!$B$21:$B$613,COUNT(Market_Data!$B$21:$B$613)),1)),""))</f>
        <v/>
      </c>
      <c r="C981" s="145" t="str">
        <f ca="1">IF($A981="","",IFERROR(INDEX(Market_Data!$F$21:$F$613,MATCH($A981,Market_Data!$E$21:INDEX(Market_Data!$E$21:$E$613,COUNT(Market_Data!$E$21:$E$613)),1)),""))</f>
        <v/>
      </c>
      <c r="D981" s="145" t="str">
        <f ca="1">IF($A981="","",IFERROR(INDEX(Market_Data!$I$21:$I$613,MATCH($A981,Market_Data!$H$21:INDEX(Market_Data!$H$21:$H$613,COUNT(Market_Data!$H$21:$H$613)),1)),""))</f>
        <v/>
      </c>
      <c r="E981" s="145" t="str">
        <f ca="1">IF($A981="","",IFERROR(INDEX(Market_Data!$L$21:$L$613,MATCH($A981,Market_Data!$K$21:INDEX(Market_Data!$K$21:$K$613,COUNT(Market_Data!$K$21:$K$613)),1)),""))</f>
        <v/>
      </c>
      <c r="F981" s="145" t="str">
        <f ca="1">IF($A981="","",IFERROR(INDEX(Market_Data!$O$21:$O$613,MATCH($A981,Market_Data!$N$21:INDEX(Market_Data!$N$21:$N$613,COUNT(Market_Data!$N$21:$N$613)),1)),""))</f>
        <v/>
      </c>
      <c r="G981" s="145" t="str">
        <f ca="1">IF($A981="","",IFERROR(INDEX(Market_Data!$R$21:$R$613,MATCH($A981,Market_Data!$Q$21:INDEX(Market_Data!$Q$21:$Q$613,COUNT(Market_Data!$Q$21:$Q$613)),1)),""))</f>
        <v/>
      </c>
      <c r="H981" s="145" t="str">
        <f ca="1">IF($A981="","",IFERROR(INDEX(Market_Data!$U$21:$U$613,MATCH($A981,Market_Data!$T$21:INDEX(Market_Data!$T$21:$T$613,COUNT(Market_Data!$T$21:$T$613)),1)),""))</f>
        <v/>
      </c>
      <c r="I981" s="146" t="str">
        <f ca="1">IF($A981="","",IFERROR(INDEX(Query1[Close],MATCH($A981,Query1[Date],1)),""))</f>
        <v/>
      </c>
    </row>
    <row r="982" spans="1:9" x14ac:dyDescent="0.3">
      <c r="A982" s="144" t="str">
        <f t="shared" ca="1" si="17"/>
        <v/>
      </c>
      <c r="B982" s="145" t="str">
        <f ca="1">IF($A982="","",IFERROR(INDEX(Market_Data!$C$21:$C$613,MATCH($A982,Market_Data!$B$21:INDEX(Market_Data!$B$21:$B$613,COUNT(Market_Data!$B$21:$B$613)),1)),""))</f>
        <v/>
      </c>
      <c r="C982" s="145" t="str">
        <f ca="1">IF($A982="","",IFERROR(INDEX(Market_Data!$F$21:$F$613,MATCH($A982,Market_Data!$E$21:INDEX(Market_Data!$E$21:$E$613,COUNT(Market_Data!$E$21:$E$613)),1)),""))</f>
        <v/>
      </c>
      <c r="D982" s="145" t="str">
        <f ca="1">IF($A982="","",IFERROR(INDEX(Market_Data!$I$21:$I$613,MATCH($A982,Market_Data!$H$21:INDEX(Market_Data!$H$21:$H$613,COUNT(Market_Data!$H$21:$H$613)),1)),""))</f>
        <v/>
      </c>
      <c r="E982" s="145" t="str">
        <f ca="1">IF($A982="","",IFERROR(INDEX(Market_Data!$L$21:$L$613,MATCH($A982,Market_Data!$K$21:INDEX(Market_Data!$K$21:$K$613,COUNT(Market_Data!$K$21:$K$613)),1)),""))</f>
        <v/>
      </c>
      <c r="F982" s="145" t="str">
        <f ca="1">IF($A982="","",IFERROR(INDEX(Market_Data!$O$21:$O$613,MATCH($A982,Market_Data!$N$21:INDEX(Market_Data!$N$21:$N$613,COUNT(Market_Data!$N$21:$N$613)),1)),""))</f>
        <v/>
      </c>
      <c r="G982" s="145" t="str">
        <f ca="1">IF($A982="","",IFERROR(INDEX(Market_Data!$R$21:$R$613,MATCH($A982,Market_Data!$Q$21:INDEX(Market_Data!$Q$21:$Q$613,COUNT(Market_Data!$Q$21:$Q$613)),1)),""))</f>
        <v/>
      </c>
      <c r="H982" s="145" t="str">
        <f ca="1">IF($A982="","",IFERROR(INDEX(Market_Data!$U$21:$U$613,MATCH($A982,Market_Data!$T$21:INDEX(Market_Data!$T$21:$T$613,COUNT(Market_Data!$T$21:$T$613)),1)),""))</f>
        <v/>
      </c>
      <c r="I982" s="146" t="str">
        <f ca="1">IF($A982="","",IFERROR(INDEX(Query1[Close],MATCH($A982,Query1[Date],1)),""))</f>
        <v/>
      </c>
    </row>
    <row r="983" spans="1:9" x14ac:dyDescent="0.3">
      <c r="A983" s="144" t="str">
        <f t="shared" ca="1" si="17"/>
        <v/>
      </c>
      <c r="B983" s="145" t="str">
        <f ca="1">IF($A983="","",IFERROR(INDEX(Market_Data!$C$21:$C$613,MATCH($A983,Market_Data!$B$21:INDEX(Market_Data!$B$21:$B$613,COUNT(Market_Data!$B$21:$B$613)),1)),""))</f>
        <v/>
      </c>
      <c r="C983" s="145" t="str">
        <f ca="1">IF($A983="","",IFERROR(INDEX(Market_Data!$F$21:$F$613,MATCH($A983,Market_Data!$E$21:INDEX(Market_Data!$E$21:$E$613,COUNT(Market_Data!$E$21:$E$613)),1)),""))</f>
        <v/>
      </c>
      <c r="D983" s="145" t="str">
        <f ca="1">IF($A983="","",IFERROR(INDEX(Market_Data!$I$21:$I$613,MATCH($A983,Market_Data!$H$21:INDEX(Market_Data!$H$21:$H$613,COUNT(Market_Data!$H$21:$H$613)),1)),""))</f>
        <v/>
      </c>
      <c r="E983" s="145" t="str">
        <f ca="1">IF($A983="","",IFERROR(INDEX(Market_Data!$L$21:$L$613,MATCH($A983,Market_Data!$K$21:INDEX(Market_Data!$K$21:$K$613,COUNT(Market_Data!$K$21:$K$613)),1)),""))</f>
        <v/>
      </c>
      <c r="F983" s="145" t="str">
        <f ca="1">IF($A983="","",IFERROR(INDEX(Market_Data!$O$21:$O$613,MATCH($A983,Market_Data!$N$21:INDEX(Market_Data!$N$21:$N$613,COUNT(Market_Data!$N$21:$N$613)),1)),""))</f>
        <v/>
      </c>
      <c r="G983" s="145" t="str">
        <f ca="1">IF($A983="","",IFERROR(INDEX(Market_Data!$R$21:$R$613,MATCH($A983,Market_Data!$Q$21:INDEX(Market_Data!$Q$21:$Q$613,COUNT(Market_Data!$Q$21:$Q$613)),1)),""))</f>
        <v/>
      </c>
      <c r="H983" s="145" t="str">
        <f ca="1">IF($A983="","",IFERROR(INDEX(Market_Data!$U$21:$U$613,MATCH($A983,Market_Data!$T$21:INDEX(Market_Data!$T$21:$T$613,COUNT(Market_Data!$T$21:$T$613)),1)),""))</f>
        <v/>
      </c>
      <c r="I983" s="146" t="str">
        <f ca="1">IF($A983="","",IFERROR(INDEX(Query1[Close],MATCH($A983,Query1[Date],1)),""))</f>
        <v/>
      </c>
    </row>
    <row r="984" spans="1:9" x14ac:dyDescent="0.3">
      <c r="A984" s="144" t="str">
        <f t="shared" ca="1" si="17"/>
        <v/>
      </c>
      <c r="B984" s="145" t="str">
        <f ca="1">IF($A984="","",IFERROR(INDEX(Market_Data!$C$21:$C$613,MATCH($A984,Market_Data!$B$21:INDEX(Market_Data!$B$21:$B$613,COUNT(Market_Data!$B$21:$B$613)),1)),""))</f>
        <v/>
      </c>
      <c r="C984" s="145" t="str">
        <f ca="1">IF($A984="","",IFERROR(INDEX(Market_Data!$F$21:$F$613,MATCH($A984,Market_Data!$E$21:INDEX(Market_Data!$E$21:$E$613,COUNT(Market_Data!$E$21:$E$613)),1)),""))</f>
        <v/>
      </c>
      <c r="D984" s="145" t="str">
        <f ca="1">IF($A984="","",IFERROR(INDEX(Market_Data!$I$21:$I$613,MATCH($A984,Market_Data!$H$21:INDEX(Market_Data!$H$21:$H$613,COUNT(Market_Data!$H$21:$H$613)),1)),""))</f>
        <v/>
      </c>
      <c r="E984" s="145" t="str">
        <f ca="1">IF($A984="","",IFERROR(INDEX(Market_Data!$L$21:$L$613,MATCH($A984,Market_Data!$K$21:INDEX(Market_Data!$K$21:$K$613,COUNT(Market_Data!$K$21:$K$613)),1)),""))</f>
        <v/>
      </c>
      <c r="F984" s="145" t="str">
        <f ca="1">IF($A984="","",IFERROR(INDEX(Market_Data!$O$21:$O$613,MATCH($A984,Market_Data!$N$21:INDEX(Market_Data!$N$21:$N$613,COUNT(Market_Data!$N$21:$N$613)),1)),""))</f>
        <v/>
      </c>
      <c r="G984" s="145" t="str">
        <f ca="1">IF($A984="","",IFERROR(INDEX(Market_Data!$R$21:$R$613,MATCH($A984,Market_Data!$Q$21:INDEX(Market_Data!$Q$21:$Q$613,COUNT(Market_Data!$Q$21:$Q$613)),1)),""))</f>
        <v/>
      </c>
      <c r="H984" s="145" t="str">
        <f ca="1">IF($A984="","",IFERROR(INDEX(Market_Data!$U$21:$U$613,MATCH($A984,Market_Data!$T$21:INDEX(Market_Data!$T$21:$T$613,COUNT(Market_Data!$T$21:$T$613)),1)),""))</f>
        <v/>
      </c>
      <c r="I984" s="146" t="str">
        <f ca="1">IF($A984="","",IFERROR(INDEX(Query1[Close],MATCH($A984,Query1[Date],1)),""))</f>
        <v/>
      </c>
    </row>
    <row r="985" spans="1:9" x14ac:dyDescent="0.3">
      <c r="A985" s="144" t="str">
        <f t="shared" ca="1" si="17"/>
        <v/>
      </c>
      <c r="B985" s="145" t="str">
        <f ca="1">IF($A985="","",IFERROR(INDEX(Market_Data!$C$21:$C$613,MATCH($A985,Market_Data!$B$21:INDEX(Market_Data!$B$21:$B$613,COUNT(Market_Data!$B$21:$B$613)),1)),""))</f>
        <v/>
      </c>
      <c r="C985" s="145" t="str">
        <f ca="1">IF($A985="","",IFERROR(INDEX(Market_Data!$F$21:$F$613,MATCH($A985,Market_Data!$E$21:INDEX(Market_Data!$E$21:$E$613,COUNT(Market_Data!$E$21:$E$613)),1)),""))</f>
        <v/>
      </c>
      <c r="D985" s="145" t="str">
        <f ca="1">IF($A985="","",IFERROR(INDEX(Market_Data!$I$21:$I$613,MATCH($A985,Market_Data!$H$21:INDEX(Market_Data!$H$21:$H$613,COUNT(Market_Data!$H$21:$H$613)),1)),""))</f>
        <v/>
      </c>
      <c r="E985" s="145" t="str">
        <f ca="1">IF($A985="","",IFERROR(INDEX(Market_Data!$L$21:$L$613,MATCH($A985,Market_Data!$K$21:INDEX(Market_Data!$K$21:$K$613,COUNT(Market_Data!$K$21:$K$613)),1)),""))</f>
        <v/>
      </c>
      <c r="F985" s="145" t="str">
        <f ca="1">IF($A985="","",IFERROR(INDEX(Market_Data!$O$21:$O$613,MATCH($A985,Market_Data!$N$21:INDEX(Market_Data!$N$21:$N$613,COUNT(Market_Data!$N$21:$N$613)),1)),""))</f>
        <v/>
      </c>
      <c r="G985" s="145" t="str">
        <f ca="1">IF($A985="","",IFERROR(INDEX(Market_Data!$R$21:$R$613,MATCH($A985,Market_Data!$Q$21:INDEX(Market_Data!$Q$21:$Q$613,COUNT(Market_Data!$Q$21:$Q$613)),1)),""))</f>
        <v/>
      </c>
      <c r="H985" s="145" t="str">
        <f ca="1">IF($A985="","",IFERROR(INDEX(Market_Data!$U$21:$U$613,MATCH($A985,Market_Data!$T$21:INDEX(Market_Data!$T$21:$T$613,COUNT(Market_Data!$T$21:$T$613)),1)),""))</f>
        <v/>
      </c>
      <c r="I985" s="146" t="str">
        <f ca="1">IF($A985="","",IFERROR(INDEX(Query1[Close],MATCH($A985,Query1[Date],1)),""))</f>
        <v/>
      </c>
    </row>
    <row r="986" spans="1:9" x14ac:dyDescent="0.3">
      <c r="A986" s="144" t="str">
        <f t="shared" ca="1" si="17"/>
        <v/>
      </c>
      <c r="B986" s="145" t="str">
        <f ca="1">IF($A986="","",IFERROR(INDEX(Market_Data!$C$21:$C$613,MATCH($A986,Market_Data!$B$21:INDEX(Market_Data!$B$21:$B$613,COUNT(Market_Data!$B$21:$B$613)),1)),""))</f>
        <v/>
      </c>
      <c r="C986" s="145" t="str">
        <f ca="1">IF($A986="","",IFERROR(INDEX(Market_Data!$F$21:$F$613,MATCH($A986,Market_Data!$E$21:INDEX(Market_Data!$E$21:$E$613,COUNT(Market_Data!$E$21:$E$613)),1)),""))</f>
        <v/>
      </c>
      <c r="D986" s="145" t="str">
        <f ca="1">IF($A986="","",IFERROR(INDEX(Market_Data!$I$21:$I$613,MATCH($A986,Market_Data!$H$21:INDEX(Market_Data!$H$21:$H$613,COUNT(Market_Data!$H$21:$H$613)),1)),""))</f>
        <v/>
      </c>
      <c r="E986" s="145" t="str">
        <f ca="1">IF($A986="","",IFERROR(INDEX(Market_Data!$L$21:$L$613,MATCH($A986,Market_Data!$K$21:INDEX(Market_Data!$K$21:$K$613,COUNT(Market_Data!$K$21:$K$613)),1)),""))</f>
        <v/>
      </c>
      <c r="F986" s="145" t="str">
        <f ca="1">IF($A986="","",IFERROR(INDEX(Market_Data!$O$21:$O$613,MATCH($A986,Market_Data!$N$21:INDEX(Market_Data!$N$21:$N$613,COUNT(Market_Data!$N$21:$N$613)),1)),""))</f>
        <v/>
      </c>
      <c r="G986" s="145" t="str">
        <f ca="1">IF($A986="","",IFERROR(INDEX(Market_Data!$R$21:$R$613,MATCH($A986,Market_Data!$Q$21:INDEX(Market_Data!$Q$21:$Q$613,COUNT(Market_Data!$Q$21:$Q$613)),1)),""))</f>
        <v/>
      </c>
      <c r="H986" s="145" t="str">
        <f ca="1">IF($A986="","",IFERROR(INDEX(Market_Data!$U$21:$U$613,MATCH($A986,Market_Data!$T$21:INDEX(Market_Data!$T$21:$T$613,COUNT(Market_Data!$T$21:$T$613)),1)),""))</f>
        <v/>
      </c>
      <c r="I986" s="146" t="str">
        <f ca="1">IF($A986="","",IFERROR(INDEX(Query1[Close],MATCH($A986,Query1[Date],1)),""))</f>
        <v/>
      </c>
    </row>
    <row r="987" spans="1:9" x14ac:dyDescent="0.3">
      <c r="A987" s="144" t="str">
        <f t="shared" ca="1" si="17"/>
        <v/>
      </c>
      <c r="B987" s="145" t="str">
        <f ca="1">IF($A987="","",IFERROR(INDEX(Market_Data!$C$21:$C$613,MATCH($A987,Market_Data!$B$21:INDEX(Market_Data!$B$21:$B$613,COUNT(Market_Data!$B$21:$B$613)),1)),""))</f>
        <v/>
      </c>
      <c r="C987" s="145" t="str">
        <f ca="1">IF($A987="","",IFERROR(INDEX(Market_Data!$F$21:$F$613,MATCH($A987,Market_Data!$E$21:INDEX(Market_Data!$E$21:$E$613,COUNT(Market_Data!$E$21:$E$613)),1)),""))</f>
        <v/>
      </c>
      <c r="D987" s="145" t="str">
        <f ca="1">IF($A987="","",IFERROR(INDEX(Market_Data!$I$21:$I$613,MATCH($A987,Market_Data!$H$21:INDEX(Market_Data!$H$21:$H$613,COUNT(Market_Data!$H$21:$H$613)),1)),""))</f>
        <v/>
      </c>
      <c r="E987" s="145" t="str">
        <f ca="1">IF($A987="","",IFERROR(INDEX(Market_Data!$L$21:$L$613,MATCH($A987,Market_Data!$K$21:INDEX(Market_Data!$K$21:$K$613,COUNT(Market_Data!$K$21:$K$613)),1)),""))</f>
        <v/>
      </c>
      <c r="F987" s="145" t="str">
        <f ca="1">IF($A987="","",IFERROR(INDEX(Market_Data!$O$21:$O$613,MATCH($A987,Market_Data!$N$21:INDEX(Market_Data!$N$21:$N$613,COUNT(Market_Data!$N$21:$N$613)),1)),""))</f>
        <v/>
      </c>
      <c r="G987" s="145" t="str">
        <f ca="1">IF($A987="","",IFERROR(INDEX(Market_Data!$R$21:$R$613,MATCH($A987,Market_Data!$Q$21:INDEX(Market_Data!$Q$21:$Q$613,COUNT(Market_Data!$Q$21:$Q$613)),1)),""))</f>
        <v/>
      </c>
      <c r="H987" s="145" t="str">
        <f ca="1">IF($A987="","",IFERROR(INDEX(Market_Data!$U$21:$U$613,MATCH($A987,Market_Data!$T$21:INDEX(Market_Data!$T$21:$T$613,COUNT(Market_Data!$T$21:$T$613)),1)),""))</f>
        <v/>
      </c>
      <c r="I987" s="146" t="str">
        <f ca="1">IF($A987="","",IFERROR(INDEX(Query1[Close],MATCH($A987,Query1[Date],1)),""))</f>
        <v/>
      </c>
    </row>
    <row r="988" spans="1:9" x14ac:dyDescent="0.3">
      <c r="A988" s="144" t="str">
        <f t="shared" ca="1" si="17"/>
        <v/>
      </c>
      <c r="B988" s="145" t="str">
        <f ca="1">IF($A988="","",IFERROR(INDEX(Market_Data!$C$21:$C$613,MATCH($A988,Market_Data!$B$21:INDEX(Market_Data!$B$21:$B$613,COUNT(Market_Data!$B$21:$B$613)),1)),""))</f>
        <v/>
      </c>
      <c r="C988" s="145" t="str">
        <f ca="1">IF($A988="","",IFERROR(INDEX(Market_Data!$F$21:$F$613,MATCH($A988,Market_Data!$E$21:INDEX(Market_Data!$E$21:$E$613,COUNT(Market_Data!$E$21:$E$613)),1)),""))</f>
        <v/>
      </c>
      <c r="D988" s="145" t="str">
        <f ca="1">IF($A988="","",IFERROR(INDEX(Market_Data!$I$21:$I$613,MATCH($A988,Market_Data!$H$21:INDEX(Market_Data!$H$21:$H$613,COUNT(Market_Data!$H$21:$H$613)),1)),""))</f>
        <v/>
      </c>
      <c r="E988" s="145" t="str">
        <f ca="1">IF($A988="","",IFERROR(INDEX(Market_Data!$L$21:$L$613,MATCH($A988,Market_Data!$K$21:INDEX(Market_Data!$K$21:$K$613,COUNT(Market_Data!$K$21:$K$613)),1)),""))</f>
        <v/>
      </c>
      <c r="F988" s="145" t="str">
        <f ca="1">IF($A988="","",IFERROR(INDEX(Market_Data!$O$21:$O$613,MATCH($A988,Market_Data!$N$21:INDEX(Market_Data!$N$21:$N$613,COUNT(Market_Data!$N$21:$N$613)),1)),""))</f>
        <v/>
      </c>
      <c r="G988" s="145" t="str">
        <f ca="1">IF($A988="","",IFERROR(INDEX(Market_Data!$R$21:$R$613,MATCH($A988,Market_Data!$Q$21:INDEX(Market_Data!$Q$21:$Q$613,COUNT(Market_Data!$Q$21:$Q$613)),1)),""))</f>
        <v/>
      </c>
      <c r="H988" s="145" t="str">
        <f ca="1">IF($A988="","",IFERROR(INDEX(Market_Data!$U$21:$U$613,MATCH($A988,Market_Data!$T$21:INDEX(Market_Data!$T$21:$T$613,COUNT(Market_Data!$T$21:$T$613)),1)),""))</f>
        <v/>
      </c>
      <c r="I988" s="146" t="str">
        <f ca="1">IF($A988="","",IFERROR(INDEX(Query1[Close],MATCH($A988,Query1[Date],1)),""))</f>
        <v/>
      </c>
    </row>
    <row r="989" spans="1:9" x14ac:dyDescent="0.3">
      <c r="A989" s="144" t="str">
        <f t="shared" ca="1" si="17"/>
        <v/>
      </c>
      <c r="B989" s="145" t="str">
        <f ca="1">IF($A989="","",IFERROR(INDEX(Market_Data!$C$21:$C$613,MATCH($A989,Market_Data!$B$21:INDEX(Market_Data!$B$21:$B$613,COUNT(Market_Data!$B$21:$B$613)),1)),""))</f>
        <v/>
      </c>
      <c r="C989" s="145" t="str">
        <f ca="1">IF($A989="","",IFERROR(INDEX(Market_Data!$F$21:$F$613,MATCH($A989,Market_Data!$E$21:INDEX(Market_Data!$E$21:$E$613,COUNT(Market_Data!$E$21:$E$613)),1)),""))</f>
        <v/>
      </c>
      <c r="D989" s="145" t="str">
        <f ca="1">IF($A989="","",IFERROR(INDEX(Market_Data!$I$21:$I$613,MATCH($A989,Market_Data!$H$21:INDEX(Market_Data!$H$21:$H$613,COUNT(Market_Data!$H$21:$H$613)),1)),""))</f>
        <v/>
      </c>
      <c r="E989" s="145" t="str">
        <f ca="1">IF($A989="","",IFERROR(INDEX(Market_Data!$L$21:$L$613,MATCH($A989,Market_Data!$K$21:INDEX(Market_Data!$K$21:$K$613,COUNT(Market_Data!$K$21:$K$613)),1)),""))</f>
        <v/>
      </c>
      <c r="F989" s="145" t="str">
        <f ca="1">IF($A989="","",IFERROR(INDEX(Market_Data!$O$21:$O$613,MATCH($A989,Market_Data!$N$21:INDEX(Market_Data!$N$21:$N$613,COUNT(Market_Data!$N$21:$N$613)),1)),""))</f>
        <v/>
      </c>
      <c r="G989" s="145" t="str">
        <f ca="1">IF($A989="","",IFERROR(INDEX(Market_Data!$R$21:$R$613,MATCH($A989,Market_Data!$Q$21:INDEX(Market_Data!$Q$21:$Q$613,COUNT(Market_Data!$Q$21:$Q$613)),1)),""))</f>
        <v/>
      </c>
      <c r="H989" s="145" t="str">
        <f ca="1">IF($A989="","",IFERROR(INDEX(Market_Data!$U$21:$U$613,MATCH($A989,Market_Data!$T$21:INDEX(Market_Data!$T$21:$T$613,COUNT(Market_Data!$T$21:$T$613)),1)),""))</f>
        <v/>
      </c>
      <c r="I989" s="146" t="str">
        <f ca="1">IF($A989="","",IFERROR(INDEX(Query1[Close],MATCH($A989,Query1[Date],1)),""))</f>
        <v/>
      </c>
    </row>
    <row r="990" spans="1:9" x14ac:dyDescent="0.3">
      <c r="A990" s="144" t="str">
        <f t="shared" ca="1" si="17"/>
        <v/>
      </c>
      <c r="B990" s="145" t="str">
        <f ca="1">IF($A990="","",IFERROR(INDEX(Market_Data!$C$21:$C$613,MATCH($A990,Market_Data!$B$21:INDEX(Market_Data!$B$21:$B$613,COUNT(Market_Data!$B$21:$B$613)),1)),""))</f>
        <v/>
      </c>
      <c r="C990" s="145" t="str">
        <f ca="1">IF($A990="","",IFERROR(INDEX(Market_Data!$F$21:$F$613,MATCH($A990,Market_Data!$E$21:INDEX(Market_Data!$E$21:$E$613,COUNT(Market_Data!$E$21:$E$613)),1)),""))</f>
        <v/>
      </c>
      <c r="D990" s="145" t="str">
        <f ca="1">IF($A990="","",IFERROR(INDEX(Market_Data!$I$21:$I$613,MATCH($A990,Market_Data!$H$21:INDEX(Market_Data!$H$21:$H$613,COUNT(Market_Data!$H$21:$H$613)),1)),""))</f>
        <v/>
      </c>
      <c r="E990" s="145" t="str">
        <f ca="1">IF($A990="","",IFERROR(INDEX(Market_Data!$L$21:$L$613,MATCH($A990,Market_Data!$K$21:INDEX(Market_Data!$K$21:$K$613,COUNT(Market_Data!$K$21:$K$613)),1)),""))</f>
        <v/>
      </c>
      <c r="F990" s="145" t="str">
        <f ca="1">IF($A990="","",IFERROR(INDEX(Market_Data!$O$21:$O$613,MATCH($A990,Market_Data!$N$21:INDEX(Market_Data!$N$21:$N$613,COUNT(Market_Data!$N$21:$N$613)),1)),""))</f>
        <v/>
      </c>
      <c r="G990" s="145" t="str">
        <f ca="1">IF($A990="","",IFERROR(INDEX(Market_Data!$R$21:$R$613,MATCH($A990,Market_Data!$Q$21:INDEX(Market_Data!$Q$21:$Q$613,COUNT(Market_Data!$Q$21:$Q$613)),1)),""))</f>
        <v/>
      </c>
      <c r="H990" s="145" t="str">
        <f ca="1">IF($A990="","",IFERROR(INDEX(Market_Data!$U$21:$U$613,MATCH($A990,Market_Data!$T$21:INDEX(Market_Data!$T$21:$T$613,COUNT(Market_Data!$T$21:$T$613)),1)),""))</f>
        <v/>
      </c>
      <c r="I990" s="146" t="str">
        <f ca="1">IF($A990="","",IFERROR(INDEX(Query1[Close],MATCH($A990,Query1[Date],1)),""))</f>
        <v/>
      </c>
    </row>
    <row r="991" spans="1:9" x14ac:dyDescent="0.3">
      <c r="A991" s="144" t="str">
        <f t="shared" ca="1" si="17"/>
        <v/>
      </c>
      <c r="B991" s="145" t="str">
        <f ca="1">IF($A991="","",IFERROR(INDEX(Market_Data!$C$21:$C$613,MATCH($A991,Market_Data!$B$21:INDEX(Market_Data!$B$21:$B$613,COUNT(Market_Data!$B$21:$B$613)),1)),""))</f>
        <v/>
      </c>
      <c r="C991" s="145" t="str">
        <f ca="1">IF($A991="","",IFERROR(INDEX(Market_Data!$F$21:$F$613,MATCH($A991,Market_Data!$E$21:INDEX(Market_Data!$E$21:$E$613,COUNT(Market_Data!$E$21:$E$613)),1)),""))</f>
        <v/>
      </c>
      <c r="D991" s="145" t="str">
        <f ca="1">IF($A991="","",IFERROR(INDEX(Market_Data!$I$21:$I$613,MATCH($A991,Market_Data!$H$21:INDEX(Market_Data!$H$21:$H$613,COUNT(Market_Data!$H$21:$H$613)),1)),""))</f>
        <v/>
      </c>
      <c r="E991" s="145" t="str">
        <f ca="1">IF($A991="","",IFERROR(INDEX(Market_Data!$L$21:$L$613,MATCH($A991,Market_Data!$K$21:INDEX(Market_Data!$K$21:$K$613,COUNT(Market_Data!$K$21:$K$613)),1)),""))</f>
        <v/>
      </c>
      <c r="F991" s="145" t="str">
        <f ca="1">IF($A991="","",IFERROR(INDEX(Market_Data!$O$21:$O$613,MATCH($A991,Market_Data!$N$21:INDEX(Market_Data!$N$21:$N$613,COUNT(Market_Data!$N$21:$N$613)),1)),""))</f>
        <v/>
      </c>
      <c r="G991" s="145" t="str">
        <f ca="1">IF($A991="","",IFERROR(INDEX(Market_Data!$R$21:$R$613,MATCH($A991,Market_Data!$Q$21:INDEX(Market_Data!$Q$21:$Q$613,COUNT(Market_Data!$Q$21:$Q$613)),1)),""))</f>
        <v/>
      </c>
      <c r="H991" s="145" t="str">
        <f ca="1">IF($A991="","",IFERROR(INDEX(Market_Data!$U$21:$U$613,MATCH($A991,Market_Data!$T$21:INDEX(Market_Data!$T$21:$T$613,COUNT(Market_Data!$T$21:$T$613)),1)),""))</f>
        <v/>
      </c>
      <c r="I991" s="146" t="str">
        <f ca="1">IF($A991="","",IFERROR(INDEX(Query1[Close],MATCH($A991,Query1[Date],1)),""))</f>
        <v/>
      </c>
    </row>
    <row r="992" spans="1:9" x14ac:dyDescent="0.3">
      <c r="A992" s="144" t="str">
        <f t="shared" ca="1" si="17"/>
        <v/>
      </c>
      <c r="B992" s="145" t="str">
        <f ca="1">IF($A992="","",IFERROR(INDEX(Market_Data!$C$21:$C$613,MATCH($A992,Market_Data!$B$21:INDEX(Market_Data!$B$21:$B$613,COUNT(Market_Data!$B$21:$B$613)),1)),""))</f>
        <v/>
      </c>
      <c r="C992" s="145" t="str">
        <f ca="1">IF($A992="","",IFERROR(INDEX(Market_Data!$F$21:$F$613,MATCH($A992,Market_Data!$E$21:INDEX(Market_Data!$E$21:$E$613,COUNT(Market_Data!$E$21:$E$613)),1)),""))</f>
        <v/>
      </c>
      <c r="D992" s="145" t="str">
        <f ca="1">IF($A992="","",IFERROR(INDEX(Market_Data!$I$21:$I$613,MATCH($A992,Market_Data!$H$21:INDEX(Market_Data!$H$21:$H$613,COUNT(Market_Data!$H$21:$H$613)),1)),""))</f>
        <v/>
      </c>
      <c r="E992" s="145" t="str">
        <f ca="1">IF($A992="","",IFERROR(INDEX(Market_Data!$L$21:$L$613,MATCH($A992,Market_Data!$K$21:INDEX(Market_Data!$K$21:$K$613,COUNT(Market_Data!$K$21:$K$613)),1)),""))</f>
        <v/>
      </c>
      <c r="F992" s="145" t="str">
        <f ca="1">IF($A992="","",IFERROR(INDEX(Market_Data!$O$21:$O$613,MATCH($A992,Market_Data!$N$21:INDEX(Market_Data!$N$21:$N$613,COUNT(Market_Data!$N$21:$N$613)),1)),""))</f>
        <v/>
      </c>
      <c r="G992" s="145" t="str">
        <f ca="1">IF($A992="","",IFERROR(INDEX(Market_Data!$R$21:$R$613,MATCH($A992,Market_Data!$Q$21:INDEX(Market_Data!$Q$21:$Q$613,COUNT(Market_Data!$Q$21:$Q$613)),1)),""))</f>
        <v/>
      </c>
      <c r="H992" s="145" t="str">
        <f ca="1">IF($A992="","",IFERROR(INDEX(Market_Data!$U$21:$U$613,MATCH($A992,Market_Data!$T$21:INDEX(Market_Data!$T$21:$T$613,COUNT(Market_Data!$T$21:$T$613)),1)),""))</f>
        <v/>
      </c>
      <c r="I992" s="146" t="str">
        <f ca="1">IF($A992="","",IFERROR(INDEX(Query1[Close],MATCH($A992,Query1[Date],1)),""))</f>
        <v/>
      </c>
    </row>
    <row r="993" spans="1:9" x14ac:dyDescent="0.3">
      <c r="A993" s="144" t="str">
        <f t="shared" ca="1" si="17"/>
        <v/>
      </c>
      <c r="B993" s="145" t="str">
        <f ca="1">IF($A993="","",IFERROR(INDEX(Market_Data!$C$21:$C$613,MATCH($A993,Market_Data!$B$21:INDEX(Market_Data!$B$21:$B$613,COUNT(Market_Data!$B$21:$B$613)),1)),""))</f>
        <v/>
      </c>
      <c r="C993" s="145" t="str">
        <f ca="1">IF($A993="","",IFERROR(INDEX(Market_Data!$F$21:$F$613,MATCH($A993,Market_Data!$E$21:INDEX(Market_Data!$E$21:$E$613,COUNT(Market_Data!$E$21:$E$613)),1)),""))</f>
        <v/>
      </c>
      <c r="D993" s="145" t="str">
        <f ca="1">IF($A993="","",IFERROR(INDEX(Market_Data!$I$21:$I$613,MATCH($A993,Market_Data!$H$21:INDEX(Market_Data!$H$21:$H$613,COUNT(Market_Data!$H$21:$H$613)),1)),""))</f>
        <v/>
      </c>
      <c r="E993" s="145" t="str">
        <f ca="1">IF($A993="","",IFERROR(INDEX(Market_Data!$L$21:$L$613,MATCH($A993,Market_Data!$K$21:INDEX(Market_Data!$K$21:$K$613,COUNT(Market_Data!$K$21:$K$613)),1)),""))</f>
        <v/>
      </c>
      <c r="F993" s="145" t="str">
        <f ca="1">IF($A993="","",IFERROR(INDEX(Market_Data!$O$21:$O$613,MATCH($A993,Market_Data!$N$21:INDEX(Market_Data!$N$21:$N$613,COUNT(Market_Data!$N$21:$N$613)),1)),""))</f>
        <v/>
      </c>
      <c r="G993" s="145" t="str">
        <f ca="1">IF($A993="","",IFERROR(INDEX(Market_Data!$R$21:$R$613,MATCH($A993,Market_Data!$Q$21:INDEX(Market_Data!$Q$21:$Q$613,COUNT(Market_Data!$Q$21:$Q$613)),1)),""))</f>
        <v/>
      </c>
      <c r="H993" s="145" t="str">
        <f ca="1">IF($A993="","",IFERROR(INDEX(Market_Data!$U$21:$U$613,MATCH($A993,Market_Data!$T$21:INDEX(Market_Data!$T$21:$T$613,COUNT(Market_Data!$T$21:$T$613)),1)),""))</f>
        <v/>
      </c>
      <c r="I993" s="146" t="str">
        <f ca="1">IF($A993="","",IFERROR(INDEX(Query1[Close],MATCH($A993,Query1[Date],1)),""))</f>
        <v/>
      </c>
    </row>
    <row r="994" spans="1:9" x14ac:dyDescent="0.3">
      <c r="A994" s="144" t="str">
        <f t="shared" ca="1" si="17"/>
        <v/>
      </c>
      <c r="B994" s="145" t="str">
        <f ca="1">IF($A994="","",IFERROR(INDEX(Market_Data!$C$21:$C$613,MATCH($A994,Market_Data!$B$21:INDEX(Market_Data!$B$21:$B$613,COUNT(Market_Data!$B$21:$B$613)),1)),""))</f>
        <v/>
      </c>
      <c r="C994" s="145" t="str">
        <f ca="1">IF($A994="","",IFERROR(INDEX(Market_Data!$F$21:$F$613,MATCH($A994,Market_Data!$E$21:INDEX(Market_Data!$E$21:$E$613,COUNT(Market_Data!$E$21:$E$613)),1)),""))</f>
        <v/>
      </c>
      <c r="D994" s="145" t="str">
        <f ca="1">IF($A994="","",IFERROR(INDEX(Market_Data!$I$21:$I$613,MATCH($A994,Market_Data!$H$21:INDEX(Market_Data!$H$21:$H$613,COUNT(Market_Data!$H$21:$H$613)),1)),""))</f>
        <v/>
      </c>
      <c r="E994" s="145" t="str">
        <f ca="1">IF($A994="","",IFERROR(INDEX(Market_Data!$L$21:$L$613,MATCH($A994,Market_Data!$K$21:INDEX(Market_Data!$K$21:$K$613,COUNT(Market_Data!$K$21:$K$613)),1)),""))</f>
        <v/>
      </c>
      <c r="F994" s="145" t="str">
        <f ca="1">IF($A994="","",IFERROR(INDEX(Market_Data!$O$21:$O$613,MATCH($A994,Market_Data!$N$21:INDEX(Market_Data!$N$21:$N$613,COUNT(Market_Data!$N$21:$N$613)),1)),""))</f>
        <v/>
      </c>
      <c r="G994" s="145" t="str">
        <f ca="1">IF($A994="","",IFERROR(INDEX(Market_Data!$R$21:$R$613,MATCH($A994,Market_Data!$Q$21:INDEX(Market_Data!$Q$21:$Q$613,COUNT(Market_Data!$Q$21:$Q$613)),1)),""))</f>
        <v/>
      </c>
      <c r="H994" s="145" t="str">
        <f ca="1">IF($A994="","",IFERROR(INDEX(Market_Data!$U$21:$U$613,MATCH($A994,Market_Data!$T$21:INDEX(Market_Data!$T$21:$T$613,COUNT(Market_Data!$T$21:$T$613)),1)),""))</f>
        <v/>
      </c>
      <c r="I994" s="146" t="str">
        <f ca="1">IF($A994="","",IFERROR(INDEX(Query1[Close],MATCH($A994,Query1[Date],1)),""))</f>
        <v/>
      </c>
    </row>
    <row r="995" spans="1:9" x14ac:dyDescent="0.3">
      <c r="A995" s="144" t="str">
        <f t="shared" ca="1" si="17"/>
        <v/>
      </c>
      <c r="B995" s="145" t="str">
        <f ca="1">IF($A995="","",IFERROR(INDEX(Market_Data!$C$21:$C$613,MATCH($A995,Market_Data!$B$21:INDEX(Market_Data!$B$21:$B$613,COUNT(Market_Data!$B$21:$B$613)),1)),""))</f>
        <v/>
      </c>
      <c r="C995" s="145" t="str">
        <f ca="1">IF($A995="","",IFERROR(INDEX(Market_Data!$F$21:$F$613,MATCH($A995,Market_Data!$E$21:INDEX(Market_Data!$E$21:$E$613,COUNT(Market_Data!$E$21:$E$613)),1)),""))</f>
        <v/>
      </c>
      <c r="D995" s="145" t="str">
        <f ca="1">IF($A995="","",IFERROR(INDEX(Market_Data!$I$21:$I$613,MATCH($A995,Market_Data!$H$21:INDEX(Market_Data!$H$21:$H$613,COUNT(Market_Data!$H$21:$H$613)),1)),""))</f>
        <v/>
      </c>
      <c r="E995" s="145" t="str">
        <f ca="1">IF($A995="","",IFERROR(INDEX(Market_Data!$L$21:$L$613,MATCH($A995,Market_Data!$K$21:INDEX(Market_Data!$K$21:$K$613,COUNT(Market_Data!$K$21:$K$613)),1)),""))</f>
        <v/>
      </c>
      <c r="F995" s="145" t="str">
        <f ca="1">IF($A995="","",IFERROR(INDEX(Market_Data!$O$21:$O$613,MATCH($A995,Market_Data!$N$21:INDEX(Market_Data!$N$21:$N$613,COUNT(Market_Data!$N$21:$N$613)),1)),""))</f>
        <v/>
      </c>
      <c r="G995" s="145" t="str">
        <f ca="1">IF($A995="","",IFERROR(INDEX(Market_Data!$R$21:$R$613,MATCH($A995,Market_Data!$Q$21:INDEX(Market_Data!$Q$21:$Q$613,COUNT(Market_Data!$Q$21:$Q$613)),1)),""))</f>
        <v/>
      </c>
      <c r="H995" s="145" t="str">
        <f ca="1">IF($A995="","",IFERROR(INDEX(Market_Data!$U$21:$U$613,MATCH($A995,Market_Data!$T$21:INDEX(Market_Data!$T$21:$T$613,COUNT(Market_Data!$T$21:$T$613)),1)),""))</f>
        <v/>
      </c>
      <c r="I995" s="146" t="str">
        <f ca="1">IF($A995="","",IFERROR(INDEX(Query1[Close],MATCH($A995,Query1[Date],1)),""))</f>
        <v/>
      </c>
    </row>
    <row r="996" spans="1:9" x14ac:dyDescent="0.3">
      <c r="A996" s="144" t="str">
        <f t="shared" ca="1" si="17"/>
        <v/>
      </c>
      <c r="B996" s="145" t="str">
        <f ca="1">IF($A996="","",IFERROR(INDEX(Market_Data!$C$21:$C$613,MATCH($A996,Market_Data!$B$21:INDEX(Market_Data!$B$21:$B$613,COUNT(Market_Data!$B$21:$B$613)),1)),""))</f>
        <v/>
      </c>
      <c r="C996" s="145" t="str">
        <f ca="1">IF($A996="","",IFERROR(INDEX(Market_Data!$F$21:$F$613,MATCH($A996,Market_Data!$E$21:INDEX(Market_Data!$E$21:$E$613,COUNT(Market_Data!$E$21:$E$613)),1)),""))</f>
        <v/>
      </c>
      <c r="D996" s="145" t="str">
        <f ca="1">IF($A996="","",IFERROR(INDEX(Market_Data!$I$21:$I$613,MATCH($A996,Market_Data!$H$21:INDEX(Market_Data!$H$21:$H$613,COUNT(Market_Data!$H$21:$H$613)),1)),""))</f>
        <v/>
      </c>
      <c r="E996" s="145" t="str">
        <f ca="1">IF($A996="","",IFERROR(INDEX(Market_Data!$L$21:$L$613,MATCH($A996,Market_Data!$K$21:INDEX(Market_Data!$K$21:$K$613,COUNT(Market_Data!$K$21:$K$613)),1)),""))</f>
        <v/>
      </c>
      <c r="F996" s="145" t="str">
        <f ca="1">IF($A996="","",IFERROR(INDEX(Market_Data!$O$21:$O$613,MATCH($A996,Market_Data!$N$21:INDEX(Market_Data!$N$21:$N$613,COUNT(Market_Data!$N$21:$N$613)),1)),""))</f>
        <v/>
      </c>
      <c r="G996" s="145" t="str">
        <f ca="1">IF($A996="","",IFERROR(INDEX(Market_Data!$R$21:$R$613,MATCH($A996,Market_Data!$Q$21:INDEX(Market_Data!$Q$21:$Q$613,COUNT(Market_Data!$Q$21:$Q$613)),1)),""))</f>
        <v/>
      </c>
      <c r="H996" s="145" t="str">
        <f ca="1">IF($A996="","",IFERROR(INDEX(Market_Data!$U$21:$U$613,MATCH($A996,Market_Data!$T$21:INDEX(Market_Data!$T$21:$T$613,COUNT(Market_Data!$T$21:$T$613)),1)),""))</f>
        <v/>
      </c>
      <c r="I996" s="146" t="str">
        <f ca="1">IF($A996="","",IFERROR(INDEX(Query1[Close],MATCH($A996,Query1[Date],1)),""))</f>
        <v/>
      </c>
    </row>
    <row r="997" spans="1:9" x14ac:dyDescent="0.3">
      <c r="A997" s="144" t="str">
        <f t="shared" ca="1" si="17"/>
        <v/>
      </c>
      <c r="B997" s="145" t="str">
        <f ca="1">IF($A997="","",IFERROR(INDEX(Market_Data!$C$21:$C$613,MATCH($A997,Market_Data!$B$21:INDEX(Market_Data!$B$21:$B$613,COUNT(Market_Data!$B$21:$B$613)),1)),""))</f>
        <v/>
      </c>
      <c r="C997" s="145" t="str">
        <f ca="1">IF($A997="","",IFERROR(INDEX(Market_Data!$F$21:$F$613,MATCH($A997,Market_Data!$E$21:INDEX(Market_Data!$E$21:$E$613,COUNT(Market_Data!$E$21:$E$613)),1)),""))</f>
        <v/>
      </c>
      <c r="D997" s="145" t="str">
        <f ca="1">IF($A997="","",IFERROR(INDEX(Market_Data!$I$21:$I$613,MATCH($A997,Market_Data!$H$21:INDEX(Market_Data!$H$21:$H$613,COUNT(Market_Data!$H$21:$H$613)),1)),""))</f>
        <v/>
      </c>
      <c r="E997" s="145" t="str">
        <f ca="1">IF($A997="","",IFERROR(INDEX(Market_Data!$L$21:$L$613,MATCH($A997,Market_Data!$K$21:INDEX(Market_Data!$K$21:$K$613,COUNT(Market_Data!$K$21:$K$613)),1)),""))</f>
        <v/>
      </c>
      <c r="F997" s="145" t="str">
        <f ca="1">IF($A997="","",IFERROR(INDEX(Market_Data!$O$21:$O$613,MATCH($A997,Market_Data!$N$21:INDEX(Market_Data!$N$21:$N$613,COUNT(Market_Data!$N$21:$N$613)),1)),""))</f>
        <v/>
      </c>
      <c r="G997" s="145" t="str">
        <f ca="1">IF($A997="","",IFERROR(INDEX(Market_Data!$R$21:$R$613,MATCH($A997,Market_Data!$Q$21:INDEX(Market_Data!$Q$21:$Q$613,COUNT(Market_Data!$Q$21:$Q$613)),1)),""))</f>
        <v/>
      </c>
      <c r="H997" s="145" t="str">
        <f ca="1">IF($A997="","",IFERROR(INDEX(Market_Data!$U$21:$U$613,MATCH($A997,Market_Data!$T$21:INDEX(Market_Data!$T$21:$T$613,COUNT(Market_Data!$T$21:$T$613)),1)),""))</f>
        <v/>
      </c>
      <c r="I997" s="146" t="str">
        <f ca="1">IF($A997="","",IFERROR(INDEX(Query1[Close],MATCH($A997,Query1[Date],1)),""))</f>
        <v/>
      </c>
    </row>
    <row r="998" spans="1:9" x14ac:dyDescent="0.3">
      <c r="A998" s="144" t="str">
        <f t="shared" ca="1" si="17"/>
        <v/>
      </c>
      <c r="B998" s="145" t="str">
        <f ca="1">IF($A998="","",IFERROR(INDEX(Market_Data!$C$21:$C$613,MATCH($A998,Market_Data!$B$21:INDEX(Market_Data!$B$21:$B$613,COUNT(Market_Data!$B$21:$B$613)),1)),""))</f>
        <v/>
      </c>
      <c r="C998" s="145" t="str">
        <f ca="1">IF($A998="","",IFERROR(INDEX(Market_Data!$F$21:$F$613,MATCH($A998,Market_Data!$E$21:INDEX(Market_Data!$E$21:$E$613,COUNT(Market_Data!$E$21:$E$613)),1)),""))</f>
        <v/>
      </c>
      <c r="D998" s="145" t="str">
        <f ca="1">IF($A998="","",IFERROR(INDEX(Market_Data!$I$21:$I$613,MATCH($A998,Market_Data!$H$21:INDEX(Market_Data!$H$21:$H$613,COUNT(Market_Data!$H$21:$H$613)),1)),""))</f>
        <v/>
      </c>
      <c r="E998" s="145" t="str">
        <f ca="1">IF($A998="","",IFERROR(INDEX(Market_Data!$L$21:$L$613,MATCH($A998,Market_Data!$K$21:INDEX(Market_Data!$K$21:$K$613,COUNT(Market_Data!$K$21:$K$613)),1)),""))</f>
        <v/>
      </c>
      <c r="F998" s="145" t="str">
        <f ca="1">IF($A998="","",IFERROR(INDEX(Market_Data!$O$21:$O$613,MATCH($A998,Market_Data!$N$21:INDEX(Market_Data!$N$21:$N$613,COUNT(Market_Data!$N$21:$N$613)),1)),""))</f>
        <v/>
      </c>
      <c r="G998" s="145" t="str">
        <f ca="1">IF($A998="","",IFERROR(INDEX(Market_Data!$R$21:$R$613,MATCH($A998,Market_Data!$Q$21:INDEX(Market_Data!$Q$21:$Q$613,COUNT(Market_Data!$Q$21:$Q$613)),1)),""))</f>
        <v/>
      </c>
      <c r="H998" s="145" t="str">
        <f ca="1">IF($A998="","",IFERROR(INDEX(Market_Data!$U$21:$U$613,MATCH($A998,Market_Data!$T$21:INDEX(Market_Data!$T$21:$T$613,COUNT(Market_Data!$T$21:$T$613)),1)),""))</f>
        <v/>
      </c>
      <c r="I998" s="146" t="str">
        <f ca="1">IF($A998="","",IFERROR(INDEX(Query1[Close],MATCH($A998,Query1[Date],1)),""))</f>
        <v/>
      </c>
    </row>
    <row r="999" spans="1:9" x14ac:dyDescent="0.3">
      <c r="A999" s="144" t="str">
        <f t="shared" ca="1" si="17"/>
        <v/>
      </c>
      <c r="B999" s="145" t="str">
        <f ca="1">IF($A999="","",IFERROR(INDEX(Market_Data!$C$21:$C$613,MATCH($A999,Market_Data!$B$21:INDEX(Market_Data!$B$21:$B$613,COUNT(Market_Data!$B$21:$B$613)),1)),""))</f>
        <v/>
      </c>
      <c r="C999" s="145" t="str">
        <f ca="1">IF($A999="","",IFERROR(INDEX(Market_Data!$F$21:$F$613,MATCH($A999,Market_Data!$E$21:INDEX(Market_Data!$E$21:$E$613,COUNT(Market_Data!$E$21:$E$613)),1)),""))</f>
        <v/>
      </c>
      <c r="D999" s="145" t="str">
        <f ca="1">IF($A999="","",IFERROR(INDEX(Market_Data!$I$21:$I$613,MATCH($A999,Market_Data!$H$21:INDEX(Market_Data!$H$21:$H$613,COUNT(Market_Data!$H$21:$H$613)),1)),""))</f>
        <v/>
      </c>
      <c r="E999" s="145" t="str">
        <f ca="1">IF($A999="","",IFERROR(INDEX(Market_Data!$L$21:$L$613,MATCH($A999,Market_Data!$K$21:INDEX(Market_Data!$K$21:$K$613,COUNT(Market_Data!$K$21:$K$613)),1)),""))</f>
        <v/>
      </c>
      <c r="F999" s="145" t="str">
        <f ca="1">IF($A999="","",IFERROR(INDEX(Market_Data!$O$21:$O$613,MATCH($A999,Market_Data!$N$21:INDEX(Market_Data!$N$21:$N$613,COUNT(Market_Data!$N$21:$N$613)),1)),""))</f>
        <v/>
      </c>
      <c r="G999" s="145" t="str">
        <f ca="1">IF($A999="","",IFERROR(INDEX(Market_Data!$R$21:$R$613,MATCH($A999,Market_Data!$Q$21:INDEX(Market_Data!$Q$21:$Q$613,COUNT(Market_Data!$Q$21:$Q$613)),1)),""))</f>
        <v/>
      </c>
      <c r="H999" s="145" t="str">
        <f ca="1">IF($A999="","",IFERROR(INDEX(Market_Data!$U$21:$U$613,MATCH($A999,Market_Data!$T$21:INDEX(Market_Data!$T$21:$T$613,COUNT(Market_Data!$T$21:$T$613)),1)),""))</f>
        <v/>
      </c>
      <c r="I999" s="146" t="str">
        <f ca="1">IF($A999="","",IFERROR(INDEX(Query1[Close],MATCH($A999,Query1[Date],1)),""))</f>
        <v/>
      </c>
    </row>
    <row r="1000" spans="1:9" x14ac:dyDescent="0.3">
      <c r="A1000" s="144" t="str">
        <f t="shared" ca="1" si="17"/>
        <v/>
      </c>
      <c r="B1000" s="145" t="str">
        <f ca="1">IF($A1000="","",IFERROR(INDEX(Market_Data!$C$21:$C$613,MATCH($A1000,Market_Data!$B$21:INDEX(Market_Data!$B$21:$B$613,COUNT(Market_Data!$B$21:$B$613)),1)),""))</f>
        <v/>
      </c>
      <c r="C1000" s="145" t="str">
        <f ca="1">IF($A1000="","",IFERROR(INDEX(Market_Data!$F$21:$F$613,MATCH($A1000,Market_Data!$E$21:INDEX(Market_Data!$E$21:$E$613,COUNT(Market_Data!$E$21:$E$613)),1)),""))</f>
        <v/>
      </c>
      <c r="D1000" s="145" t="str">
        <f ca="1">IF($A1000="","",IFERROR(INDEX(Market_Data!$I$21:$I$613,MATCH($A1000,Market_Data!$H$21:INDEX(Market_Data!$H$21:$H$613,COUNT(Market_Data!$H$21:$H$613)),1)),""))</f>
        <v/>
      </c>
      <c r="E1000" s="145" t="str">
        <f ca="1">IF($A1000="","",IFERROR(INDEX(Market_Data!$L$21:$L$613,MATCH($A1000,Market_Data!$K$21:INDEX(Market_Data!$K$21:$K$613,COUNT(Market_Data!$K$21:$K$613)),1)),""))</f>
        <v/>
      </c>
      <c r="F1000" s="145" t="str">
        <f ca="1">IF($A1000="","",IFERROR(INDEX(Market_Data!$O$21:$O$613,MATCH($A1000,Market_Data!$N$21:INDEX(Market_Data!$N$21:$N$613,COUNT(Market_Data!$N$21:$N$613)),1)),""))</f>
        <v/>
      </c>
      <c r="G1000" s="145" t="str">
        <f ca="1">IF($A1000="","",IFERROR(INDEX(Market_Data!$R$21:$R$613,MATCH($A1000,Market_Data!$Q$21:INDEX(Market_Data!$Q$21:$Q$613,COUNT(Market_Data!$Q$21:$Q$613)),1)),""))</f>
        <v/>
      </c>
      <c r="H1000" s="145" t="str">
        <f ca="1">IF($A1000="","",IFERROR(INDEX(Market_Data!$U$21:$U$613,MATCH($A1000,Market_Data!$T$21:INDEX(Market_Data!$T$21:$T$613,COUNT(Market_Data!$T$21:$T$613)),1)),""))</f>
        <v/>
      </c>
      <c r="I1000" s="146" t="str">
        <f ca="1">IF($A1000="","",IFERROR(INDEX(Query1[Close],MATCH($A1000,Query1[Date],1)),""))</f>
        <v/>
      </c>
    </row>
    <row r="1002" spans="1:9" x14ac:dyDescent="0.3">
      <c r="A1002" s="234" t="str">
        <f ca="1">"Data-quality check: "&amp;COUNT($A$4:$A$1000)&amp;" weekly observations populated (formulas live through row 1000) · Blank price cells within populated window: "&amp;(COUNTBLANK($B$4:$I$1000)-COUNTBLANK($A$4:$A$1000)*8)&amp;" · "&amp;IF((COUNTBLANK($B$4:$I$1000)-COUNTBLANK($A$4:$A$1000)*8)=0,"OK — no gaps within the populated window","REVIEW — some securities missing data within the populated window")</f>
        <v>Data-quality check: 105 weekly observations populated (formulas live through row 1000) · Blank price cells within populated window: 0 · OK — no gaps within the populated window</v>
      </c>
      <c r="B1002" s="235"/>
      <c r="C1002" s="235"/>
      <c r="D1002" s="235"/>
      <c r="E1002" s="235"/>
      <c r="F1002" s="235"/>
      <c r="G1002" s="235"/>
      <c r="H1002" s="235"/>
      <c r="I1002" s="235"/>
    </row>
  </sheetData>
  <mergeCells count="2">
    <mergeCell ref="A1:I1"/>
    <mergeCell ref="A1002:I10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D3EE"/>
  </sheetPr>
  <dimension ref="A1:AF125"/>
  <sheetViews>
    <sheetView showGridLines="0" topLeftCell="A134" zoomScaleNormal="100" workbookViewId="0">
      <selection activeCell="AB22" sqref="AB22"/>
    </sheetView>
  </sheetViews>
  <sheetFormatPr defaultRowHeight="14.4" x14ac:dyDescent="0.3"/>
  <cols>
    <col min="1" max="1" width="3" customWidth="1"/>
    <col min="2" max="22" width="13" customWidth="1"/>
    <col min="23" max="23" width="10.5546875" bestFit="1" customWidth="1"/>
    <col min="24" max="24" width="12.5546875" bestFit="1" customWidth="1"/>
    <col min="26" max="27" width="13" customWidth="1"/>
    <col min="30" max="30" width="10.5546875" bestFit="1" customWidth="1"/>
    <col min="31" max="31" width="12" bestFit="1" customWidth="1"/>
    <col min="33" max="34" width="13" customWidth="1"/>
  </cols>
  <sheetData>
    <row r="1" spans="1:28" ht="25.95" customHeight="1" x14ac:dyDescent="0.3">
      <c r="A1" s="244" t="s">
        <v>223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</row>
    <row r="2" spans="1:28" ht="16.05" customHeight="1" x14ac:dyDescent="0.3">
      <c r="A2" s="245" t="s">
        <v>224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</row>
    <row r="3" spans="1:28" ht="16.05" customHeight="1" x14ac:dyDescent="0.3">
      <c r="A3" s="243" t="s">
        <v>225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</row>
    <row r="5" spans="1:28" x14ac:dyDescent="0.3">
      <c r="A5" s="116" t="s">
        <v>226</v>
      </c>
    </row>
    <row r="6" spans="1:28" x14ac:dyDescent="0.3">
      <c r="A6" s="117" t="s">
        <v>227</v>
      </c>
    </row>
    <row r="8" spans="1:28" ht="25.95" customHeight="1" x14ac:dyDescent="0.3">
      <c r="A8" s="237" t="s">
        <v>35</v>
      </c>
      <c r="B8" s="156"/>
      <c r="C8" s="100" t="s">
        <v>228</v>
      </c>
      <c r="D8" s="237" t="s">
        <v>229</v>
      </c>
      <c r="E8" s="156"/>
      <c r="F8" s="237" t="s">
        <v>230</v>
      </c>
      <c r="G8" s="156"/>
      <c r="H8" s="156"/>
      <c r="I8" s="156"/>
      <c r="J8" s="156"/>
      <c r="K8" s="156"/>
      <c r="L8" s="156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</row>
    <row r="9" spans="1:28" ht="25.95" customHeight="1" x14ac:dyDescent="0.3">
      <c r="A9" s="240" t="s">
        <v>10</v>
      </c>
      <c r="B9" s="156"/>
      <c r="C9" s="107" t="s">
        <v>1</v>
      </c>
      <c r="D9" s="238" t="s">
        <v>231</v>
      </c>
      <c r="E9" s="239"/>
      <c r="F9" s="241" t="s">
        <v>232</v>
      </c>
      <c r="G9" s="242"/>
      <c r="H9" s="242"/>
      <c r="I9" s="242"/>
      <c r="J9" s="242"/>
      <c r="K9" s="242"/>
      <c r="L9" s="242"/>
    </row>
    <row r="10" spans="1:28" ht="25.95" customHeight="1" x14ac:dyDescent="0.3">
      <c r="A10" s="240" t="s">
        <v>11</v>
      </c>
      <c r="B10" s="156"/>
      <c r="C10" s="107" t="s">
        <v>2</v>
      </c>
      <c r="D10" s="238" t="s">
        <v>233</v>
      </c>
      <c r="E10" s="239"/>
      <c r="F10" s="241" t="s">
        <v>234</v>
      </c>
      <c r="G10" s="242"/>
      <c r="H10" s="242"/>
      <c r="I10" s="242"/>
      <c r="J10" s="242"/>
      <c r="K10" s="242"/>
      <c r="L10" s="242"/>
    </row>
    <row r="11" spans="1:28" ht="25.95" customHeight="1" x14ac:dyDescent="0.3">
      <c r="A11" s="240" t="s">
        <v>12</v>
      </c>
      <c r="B11" s="156"/>
      <c r="C11" s="107" t="s">
        <v>3</v>
      </c>
      <c r="D11" s="238" t="s">
        <v>235</v>
      </c>
      <c r="E11" s="239"/>
      <c r="F11" s="241" t="s">
        <v>234</v>
      </c>
      <c r="G11" s="242"/>
      <c r="H11" s="242"/>
      <c r="I11" s="242"/>
      <c r="J11" s="242"/>
      <c r="K11" s="242"/>
      <c r="L11" s="242"/>
    </row>
    <row r="12" spans="1:28" ht="25.95" customHeight="1" x14ac:dyDescent="0.3">
      <c r="A12" s="240" t="s">
        <v>13</v>
      </c>
      <c r="B12" s="156"/>
      <c r="C12" s="107" t="s">
        <v>4</v>
      </c>
      <c r="D12" s="238" t="s">
        <v>236</v>
      </c>
      <c r="E12" s="239"/>
      <c r="F12" s="241" t="s">
        <v>234</v>
      </c>
      <c r="G12" s="242"/>
      <c r="H12" s="242"/>
      <c r="I12" s="242"/>
      <c r="J12" s="242"/>
      <c r="K12" s="242"/>
      <c r="L12" s="242"/>
    </row>
    <row r="13" spans="1:28" ht="25.95" customHeight="1" x14ac:dyDescent="0.3">
      <c r="A13" s="240" t="s">
        <v>14</v>
      </c>
      <c r="B13" s="156"/>
      <c r="C13" s="107" t="s">
        <v>5</v>
      </c>
      <c r="D13" s="238" t="s">
        <v>237</v>
      </c>
      <c r="E13" s="239"/>
      <c r="F13" s="241" t="s">
        <v>234</v>
      </c>
      <c r="G13" s="242"/>
      <c r="H13" s="242"/>
      <c r="I13" s="242"/>
      <c r="J13" s="242"/>
      <c r="K13" s="242"/>
      <c r="L13" s="242"/>
    </row>
    <row r="14" spans="1:28" ht="25.95" customHeight="1" x14ac:dyDescent="0.3">
      <c r="A14" s="240" t="s">
        <v>15</v>
      </c>
      <c r="B14" s="156"/>
      <c r="C14" s="107" t="s">
        <v>6</v>
      </c>
      <c r="D14" s="238" t="s">
        <v>238</v>
      </c>
      <c r="E14" s="239"/>
      <c r="F14" s="241" t="s">
        <v>234</v>
      </c>
      <c r="G14" s="242"/>
      <c r="H14" s="242"/>
      <c r="I14" s="242"/>
      <c r="J14" s="242"/>
      <c r="K14" s="242"/>
      <c r="L14" s="242"/>
    </row>
    <row r="15" spans="1:28" ht="19.95" customHeight="1" x14ac:dyDescent="0.3">
      <c r="A15" s="240" t="s">
        <v>16</v>
      </c>
      <c r="B15" s="156"/>
      <c r="C15" s="107" t="s">
        <v>7</v>
      </c>
      <c r="D15" s="238" t="s">
        <v>239</v>
      </c>
      <c r="E15" s="239"/>
      <c r="F15" s="241" t="s">
        <v>234</v>
      </c>
      <c r="G15" s="242"/>
      <c r="H15" s="242"/>
      <c r="I15" s="242"/>
      <c r="J15" s="242"/>
      <c r="K15" s="242"/>
      <c r="L15" s="242"/>
      <c r="M15" s="105"/>
      <c r="N15" s="105"/>
    </row>
    <row r="16" spans="1:28" ht="40.049999999999997" customHeight="1" x14ac:dyDescent="0.3">
      <c r="A16" s="240" t="s">
        <v>489</v>
      </c>
      <c r="B16" s="156"/>
      <c r="C16" s="107" t="s">
        <v>17</v>
      </c>
      <c r="D16" s="238" t="s">
        <v>490</v>
      </c>
      <c r="E16" s="239"/>
      <c r="F16" s="241"/>
      <c r="G16" s="242"/>
      <c r="H16" s="242"/>
      <c r="I16" s="242"/>
      <c r="J16" s="242"/>
      <c r="K16" s="242"/>
      <c r="L16" s="242"/>
      <c r="M16" s="105"/>
      <c r="N16" s="104"/>
    </row>
    <row r="17" spans="1:32" x14ac:dyDescent="0.3">
      <c r="A17" s="116" t="s">
        <v>240</v>
      </c>
    </row>
    <row r="18" spans="1:32" x14ac:dyDescent="0.3">
      <c r="A18" s="108" t="s">
        <v>241</v>
      </c>
    </row>
    <row r="19" spans="1:32" x14ac:dyDescent="0.3">
      <c r="A19" s="101"/>
      <c r="B19" s="237" t="s">
        <v>10</v>
      </c>
      <c r="C19" s="156"/>
      <c r="D19" s="101"/>
      <c r="E19" s="237" t="s">
        <v>11</v>
      </c>
      <c r="F19" s="156"/>
      <c r="G19" s="101"/>
      <c r="H19" s="237" t="s">
        <v>12</v>
      </c>
      <c r="I19" s="156"/>
      <c r="J19" s="101"/>
      <c r="K19" s="237" t="s">
        <v>13</v>
      </c>
      <c r="L19" s="156"/>
      <c r="M19" s="101"/>
      <c r="N19" s="237" t="s">
        <v>14</v>
      </c>
      <c r="O19" s="156"/>
      <c r="P19" s="101"/>
      <c r="Q19" s="237" t="s">
        <v>15</v>
      </c>
      <c r="R19" s="156"/>
      <c r="S19" s="101"/>
      <c r="T19" s="237" t="s">
        <v>16</v>
      </c>
      <c r="U19" s="156"/>
      <c r="V19" s="101"/>
      <c r="W19" s="236" t="s">
        <v>17</v>
      </c>
      <c r="X19" s="236"/>
      <c r="Y19" s="101"/>
      <c r="Z19" s="101"/>
      <c r="AA19" s="101"/>
      <c r="AB19" s="101"/>
      <c r="AC19" s="106"/>
      <c r="AD19" s="106"/>
      <c r="AE19" s="106"/>
      <c r="AF19" s="106"/>
    </row>
    <row r="20" spans="1:32" x14ac:dyDescent="0.3">
      <c r="B20" s="102" t="str">
        <f t="array" aca="1" ref="B20:C125" ca="1">_xlfn.STOCKHISTORY("XNSE:RELIANCE",TODAY()-730,TODAY(),1,1,0,1)</f>
        <v>Date</v>
      </c>
      <c r="C20" t="str">
        <f ca="1"/>
        <v>Close</v>
      </c>
      <c r="E20" s="102" t="str">
        <f t="array" aca="1" ref="E20:F125" ca="1">_xlfn.STOCKHISTORY("XNSE:BHARTIARTL",TODAY()-730,TODAY(),1,1,0,1)</f>
        <v>Date</v>
      </c>
      <c r="F20" t="str">
        <f ca="1"/>
        <v>Close</v>
      </c>
      <c r="H20" s="102" t="str">
        <f t="array" aca="1" ref="H20:I125" ca="1">_xlfn.STOCKHISTORY("XNSE:HDFCBANK",TODAY()-730,TODAY(),1,1,0,1)</f>
        <v>Date</v>
      </c>
      <c r="I20" t="str">
        <f ca="1"/>
        <v>Close</v>
      </c>
      <c r="K20" s="102" t="str">
        <f t="array" aca="1" ref="K20:L125" ca="1">_xlfn.STOCKHISTORY("XNSE:LT",TODAY()-730,TODAY(),1,1,0,1)</f>
        <v>Date</v>
      </c>
      <c r="L20" t="str">
        <f ca="1"/>
        <v>Close</v>
      </c>
      <c r="N20" s="102" t="str">
        <f t="array" aca="1" ref="N20:O125" ca="1">_xlfn.STOCKHISTORY("XNSE:CIPLA",TODAY()-730,TODAY(),1,1,0,1)</f>
        <v>Date</v>
      </c>
      <c r="O20" t="str">
        <f ca="1"/>
        <v>Close</v>
      </c>
      <c r="Q20" s="102" t="str">
        <f t="array" aca="1" ref="Q20:R125" ca="1">_xlfn.STOCKHISTORY("XNSE:MARUTI",TODAY()-730,TODAY(),1,1,0,1)</f>
        <v>Date</v>
      </c>
      <c r="R20" t="str">
        <f ca="1"/>
        <v>Close</v>
      </c>
      <c r="T20" s="102" t="str">
        <f t="array" aca="1" ref="T20:U125" ca="1">_xlfn.STOCKHISTORY("XNSE:HCLTECH",TODAY()-730,TODAY(),1,1,0,1)</f>
        <v>Date</v>
      </c>
      <c r="U20" t="str">
        <f ca="1"/>
        <v>Close</v>
      </c>
      <c r="W20" s="120" t="s">
        <v>9</v>
      </c>
      <c r="X20" s="119" t="s">
        <v>242</v>
      </c>
    </row>
    <row r="21" spans="1:32" x14ac:dyDescent="0.3">
      <c r="B21" vm="707">
        <f ca="1"/>
        <v>45544</v>
      </c>
      <c r="C21" vm="8">
        <f ca="1"/>
        <v>1472.625</v>
      </c>
      <c r="E21" vm="707">
        <f ca="1"/>
        <v>45544</v>
      </c>
      <c r="F21" vm="9">
        <f ca="1"/>
        <v>1634.45</v>
      </c>
      <c r="H21" vm="707">
        <f ca="1"/>
        <v>45544</v>
      </c>
      <c r="I21" vm="10">
        <f ca="1"/>
        <v>830.90920000000006</v>
      </c>
      <c r="K21" vm="707">
        <f ca="1"/>
        <v>45544</v>
      </c>
      <c r="L21" vm="11">
        <f ca="1"/>
        <v>3613</v>
      </c>
      <c r="N21" vm="707">
        <f ca="1"/>
        <v>45544</v>
      </c>
      <c r="O21" vm="12">
        <f ca="1"/>
        <v>1659.7</v>
      </c>
      <c r="Q21" vm="707">
        <f ca="1"/>
        <v>45544</v>
      </c>
      <c r="R21" vm="13">
        <f ca="1"/>
        <v>12316.05</v>
      </c>
      <c r="T21" vm="707">
        <f ca="1"/>
        <v>45544</v>
      </c>
      <c r="U21" vm="14">
        <f ca="1"/>
        <v>1806.7271000000001</v>
      </c>
      <c r="W21" s="109">
        <v>45544</v>
      </c>
      <c r="X21" s="110">
        <v>24936.400390625</v>
      </c>
    </row>
    <row r="22" spans="1:32" x14ac:dyDescent="0.3">
      <c r="B22" vm="708">
        <f ca="1"/>
        <v>45551</v>
      </c>
      <c r="C22" vm="15">
        <f ca="1"/>
        <v>1485.925</v>
      </c>
      <c r="E22" vm="708">
        <f ca="1"/>
        <v>45551</v>
      </c>
      <c r="F22" vm="16">
        <f ca="1"/>
        <v>1711.75</v>
      </c>
      <c r="H22" vm="708">
        <f ca="1"/>
        <v>45551</v>
      </c>
      <c r="I22" vm="17">
        <f ca="1"/>
        <v>868.44090000000006</v>
      </c>
      <c r="K22" vm="708">
        <f ca="1"/>
        <v>45551</v>
      </c>
      <c r="L22" vm="18">
        <f ca="1"/>
        <v>3793.9</v>
      </c>
      <c r="N22" vm="708">
        <f ca="1"/>
        <v>45551</v>
      </c>
      <c r="O22" vm="19">
        <f ca="1"/>
        <v>1638.65</v>
      </c>
      <c r="Q22" vm="708">
        <f ca="1"/>
        <v>45551</v>
      </c>
      <c r="R22" vm="20">
        <f ca="1"/>
        <v>12614.5</v>
      </c>
      <c r="T22" vm="708">
        <f ca="1"/>
        <v>45551</v>
      </c>
      <c r="U22" vm="21">
        <f ca="1"/>
        <v>1754.1538</v>
      </c>
      <c r="W22" s="109">
        <v>45551</v>
      </c>
      <c r="X22" s="110">
        <v>25383.75</v>
      </c>
    </row>
    <row r="23" spans="1:32" x14ac:dyDescent="0.3">
      <c r="B23" vm="709">
        <f ca="1"/>
        <v>45558</v>
      </c>
      <c r="C23" vm="22">
        <f ca="1"/>
        <v>1526.175</v>
      </c>
      <c r="E23" vm="709">
        <f ca="1"/>
        <v>45558</v>
      </c>
      <c r="F23" vm="23">
        <f ca="1"/>
        <v>1734.6</v>
      </c>
      <c r="H23" vm="709">
        <f ca="1"/>
        <v>45558</v>
      </c>
      <c r="I23" vm="24">
        <f ca="1"/>
        <v>874.15170000000001</v>
      </c>
      <c r="K23" vm="709">
        <f ca="1"/>
        <v>45558</v>
      </c>
      <c r="L23" vm="25">
        <f ca="1"/>
        <v>3705.65</v>
      </c>
      <c r="N23" vm="709">
        <f ca="1"/>
        <v>45558</v>
      </c>
      <c r="O23" vm="26">
        <f ca="1"/>
        <v>1672.5</v>
      </c>
      <c r="Q23" vm="709">
        <f ca="1"/>
        <v>45558</v>
      </c>
      <c r="R23" vm="27">
        <f ca="1"/>
        <v>13495.6</v>
      </c>
      <c r="T23" vm="709">
        <f ca="1"/>
        <v>45558</v>
      </c>
      <c r="U23" vm="28">
        <f ca="1"/>
        <v>1802.3418999999999</v>
      </c>
      <c r="W23" s="109">
        <v>45558</v>
      </c>
      <c r="X23" s="110">
        <v>25939.05078125</v>
      </c>
    </row>
    <row r="24" spans="1:32" x14ac:dyDescent="0.3">
      <c r="B24" vm="710">
        <f ca="1"/>
        <v>45565</v>
      </c>
      <c r="C24" vm="29">
        <f ca="1"/>
        <v>1386.5250000000001</v>
      </c>
      <c r="E24" vm="710">
        <f ca="1"/>
        <v>45565</v>
      </c>
      <c r="F24" vm="30">
        <f ca="1"/>
        <v>1640.9</v>
      </c>
      <c r="H24" vm="710">
        <f ca="1"/>
        <v>45565</v>
      </c>
      <c r="I24" vm="31">
        <f ca="1"/>
        <v>826.76949999999999</v>
      </c>
      <c r="K24" vm="710">
        <f ca="1"/>
        <v>45565</v>
      </c>
      <c r="L24" vm="32">
        <f ca="1"/>
        <v>3493.95</v>
      </c>
      <c r="N24" vm="710">
        <f ca="1"/>
        <v>45565</v>
      </c>
      <c r="O24" vm="33">
        <f ca="1"/>
        <v>1623.3</v>
      </c>
      <c r="Q24" vm="710">
        <f ca="1"/>
        <v>45565</v>
      </c>
      <c r="R24" vm="34">
        <f ca="1"/>
        <v>12605.75</v>
      </c>
      <c r="T24" vm="710">
        <f ca="1"/>
        <v>45565</v>
      </c>
      <c r="U24" vm="35">
        <f ca="1"/>
        <v>1770.6484</v>
      </c>
      <c r="W24" s="109">
        <v>45565</v>
      </c>
      <c r="X24" s="110">
        <v>25810.849609375</v>
      </c>
    </row>
    <row r="25" spans="1:32" x14ac:dyDescent="0.3">
      <c r="B25" vm="711">
        <f ca="1"/>
        <v>45572</v>
      </c>
      <c r="C25" vm="36">
        <f ca="1"/>
        <v>1372.1</v>
      </c>
      <c r="E25" vm="711">
        <f ca="1"/>
        <v>45572</v>
      </c>
      <c r="F25" vm="37">
        <f ca="1"/>
        <v>1687.4</v>
      </c>
      <c r="H25" vm="711">
        <f ca="1"/>
        <v>45572</v>
      </c>
      <c r="I25" vm="38">
        <f ca="1"/>
        <v>823.45280000000002</v>
      </c>
      <c r="K25" vm="711">
        <f ca="1"/>
        <v>45572</v>
      </c>
      <c r="L25" vm="39">
        <f ca="1"/>
        <v>3482.55</v>
      </c>
      <c r="N25" vm="711">
        <f ca="1"/>
        <v>45572</v>
      </c>
      <c r="O25" vm="40">
        <f ca="1"/>
        <v>1595.75</v>
      </c>
      <c r="Q25" vm="711">
        <f ca="1"/>
        <v>45572</v>
      </c>
      <c r="R25" vm="41">
        <f ca="1"/>
        <v>12776.65</v>
      </c>
      <c r="T25" vm="711">
        <f ca="1"/>
        <v>45572</v>
      </c>
      <c r="U25" vm="42">
        <f ca="1"/>
        <v>1833.4872</v>
      </c>
      <c r="W25" s="109">
        <v>45572</v>
      </c>
      <c r="X25" s="110">
        <v>24795.75</v>
      </c>
    </row>
    <row r="26" spans="1:32" x14ac:dyDescent="0.3">
      <c r="B26" vm="712">
        <f ca="1"/>
        <v>45579</v>
      </c>
      <c r="C26" vm="43">
        <f ca="1"/>
        <v>1359.3</v>
      </c>
      <c r="E26" vm="712">
        <f ca="1"/>
        <v>45579</v>
      </c>
      <c r="F26" vm="44">
        <f ca="1"/>
        <v>1707.85</v>
      </c>
      <c r="H26" vm="712">
        <f ca="1"/>
        <v>45579</v>
      </c>
      <c r="I26" vm="45">
        <f ca="1"/>
        <v>838.83950000000004</v>
      </c>
      <c r="K26" vm="712">
        <f ca="1"/>
        <v>45579</v>
      </c>
      <c r="L26" vm="46">
        <f ca="1"/>
        <v>3577.8</v>
      </c>
      <c r="N26" vm="712">
        <f ca="1"/>
        <v>45579</v>
      </c>
      <c r="O26" vm="47">
        <f ca="1"/>
        <v>1551.7</v>
      </c>
      <c r="Q26" vm="712">
        <f ca="1"/>
        <v>45579</v>
      </c>
      <c r="R26" vm="48">
        <f ca="1"/>
        <v>12105.1</v>
      </c>
      <c r="T26" vm="712">
        <f ca="1"/>
        <v>45579</v>
      </c>
      <c r="U26" vm="49">
        <f ca="1"/>
        <v>1851.4766999999999</v>
      </c>
      <c r="W26" s="109">
        <v>45579</v>
      </c>
      <c r="X26" s="110">
        <v>25127.94921875</v>
      </c>
    </row>
    <row r="27" spans="1:32" x14ac:dyDescent="0.3">
      <c r="B27" vm="713">
        <f ca="1"/>
        <v>45586</v>
      </c>
      <c r="C27" vm="50">
        <f ca="1"/>
        <v>1327.85</v>
      </c>
      <c r="E27" vm="713">
        <f ca="1"/>
        <v>45586</v>
      </c>
      <c r="F27" vm="51">
        <f ca="1"/>
        <v>1666</v>
      </c>
      <c r="H27" vm="713">
        <f ca="1"/>
        <v>45586</v>
      </c>
      <c r="I27" vm="52">
        <f ca="1"/>
        <v>869.53819999999996</v>
      </c>
      <c r="K27" vm="713">
        <f ca="1"/>
        <v>45586</v>
      </c>
      <c r="L27" vm="53">
        <f ca="1"/>
        <v>3326.4</v>
      </c>
      <c r="N27" vm="713">
        <f ca="1"/>
        <v>45586</v>
      </c>
      <c r="O27" vm="54">
        <f ca="1"/>
        <v>1488.9</v>
      </c>
      <c r="Q27" vm="713">
        <f ca="1"/>
        <v>45586</v>
      </c>
      <c r="R27" vm="55">
        <f ca="1"/>
        <v>11502.85</v>
      </c>
      <c r="T27" vm="713">
        <f ca="1"/>
        <v>45586</v>
      </c>
      <c r="U27" vm="56">
        <f ca="1"/>
        <v>1846.1446000000001</v>
      </c>
      <c r="W27" s="109">
        <v>45586</v>
      </c>
      <c r="X27" s="110">
        <v>24781.099609375</v>
      </c>
    </row>
    <row r="28" spans="1:32" x14ac:dyDescent="0.3">
      <c r="B28" vm="714">
        <f ca="1"/>
        <v>45593</v>
      </c>
      <c r="C28" vm="57">
        <f ca="1"/>
        <v>1338.65</v>
      </c>
      <c r="E28" vm="714">
        <f ca="1"/>
        <v>45593</v>
      </c>
      <c r="F28" vm="58">
        <f ca="1"/>
        <v>1616.45</v>
      </c>
      <c r="H28" vm="714">
        <f ca="1"/>
        <v>45593</v>
      </c>
      <c r="I28" vm="59">
        <f ca="1"/>
        <v>866.49570000000006</v>
      </c>
      <c r="K28" vm="714">
        <f ca="1"/>
        <v>45593</v>
      </c>
      <c r="L28" vm="60">
        <f ca="1"/>
        <v>3626.35</v>
      </c>
      <c r="N28" vm="714">
        <f ca="1"/>
        <v>45593</v>
      </c>
      <c r="O28" vm="61">
        <f ca="1"/>
        <v>1559.55</v>
      </c>
      <c r="Q28" vm="714">
        <f ca="1"/>
        <v>45593</v>
      </c>
      <c r="R28" vm="62">
        <f ca="1"/>
        <v>11110</v>
      </c>
      <c r="T28" vm="714">
        <f ca="1"/>
        <v>45593</v>
      </c>
      <c r="U28" vm="63">
        <f ca="1"/>
        <v>1751.5127</v>
      </c>
      <c r="W28" s="109">
        <v>45593</v>
      </c>
      <c r="X28" s="110">
        <v>24339.150390625</v>
      </c>
    </row>
    <row r="29" spans="1:32" x14ac:dyDescent="0.3">
      <c r="B29" vm="715">
        <f ca="1"/>
        <v>45600</v>
      </c>
      <c r="C29" vm="64">
        <f ca="1"/>
        <v>1283.75</v>
      </c>
      <c r="E29" vm="715">
        <f ca="1"/>
        <v>45600</v>
      </c>
      <c r="F29" vm="65">
        <f ca="1"/>
        <v>1569.9</v>
      </c>
      <c r="H29" vm="715">
        <f ca="1"/>
        <v>45600</v>
      </c>
      <c r="I29" vm="66">
        <f ca="1"/>
        <v>875.04949999999997</v>
      </c>
      <c r="K29" vm="715">
        <f ca="1"/>
        <v>45600</v>
      </c>
      <c r="L29" vm="67">
        <f ca="1"/>
        <v>3660.3</v>
      </c>
      <c r="N29" vm="715">
        <f ca="1"/>
        <v>45600</v>
      </c>
      <c r="O29" vm="68">
        <f ca="1"/>
        <v>1592.6</v>
      </c>
      <c r="Q29" vm="715">
        <f ca="1"/>
        <v>45600</v>
      </c>
      <c r="R29" vm="69">
        <f ca="1"/>
        <v>11303</v>
      </c>
      <c r="T29" vm="715">
        <f ca="1"/>
        <v>45600</v>
      </c>
      <c r="U29" vm="70">
        <f ca="1"/>
        <v>1831.3444</v>
      </c>
      <c r="W29" s="109">
        <v>45600</v>
      </c>
      <c r="X29" s="110">
        <v>23995.349609375</v>
      </c>
    </row>
    <row r="30" spans="1:32" x14ac:dyDescent="0.3">
      <c r="B30" vm="716">
        <f ca="1"/>
        <v>45607</v>
      </c>
      <c r="C30" vm="71">
        <f ca="1"/>
        <v>1267.5999999999999</v>
      </c>
      <c r="E30" vm="716">
        <f ca="1"/>
        <v>45607</v>
      </c>
      <c r="F30" vm="72">
        <f ca="1"/>
        <v>1550.5</v>
      </c>
      <c r="H30" vm="716">
        <f ca="1"/>
        <v>45607</v>
      </c>
      <c r="I30" vm="73">
        <f ca="1"/>
        <v>844.27599999999995</v>
      </c>
      <c r="K30" vm="716">
        <f ca="1"/>
        <v>45607</v>
      </c>
      <c r="L30" vm="74">
        <f ca="1"/>
        <v>3526.25</v>
      </c>
      <c r="N30" vm="716">
        <f ca="1"/>
        <v>45607</v>
      </c>
      <c r="O30" vm="75">
        <f ca="1"/>
        <v>1499.75</v>
      </c>
      <c r="Q30" vm="716">
        <f ca="1"/>
        <v>45607</v>
      </c>
      <c r="R30" vm="76">
        <f ca="1"/>
        <v>11006.05</v>
      </c>
      <c r="T30" vm="716">
        <f ca="1"/>
        <v>45607</v>
      </c>
      <c r="U30" vm="77">
        <f ca="1"/>
        <v>1852.7225000000001</v>
      </c>
      <c r="W30" s="109">
        <v>45607</v>
      </c>
      <c r="X30" s="110">
        <v>24141.30078125</v>
      </c>
    </row>
    <row r="31" spans="1:32" x14ac:dyDescent="0.3">
      <c r="B31" vm="717">
        <f ca="1"/>
        <v>45614</v>
      </c>
      <c r="C31" vm="78">
        <f ca="1"/>
        <v>1265.4000000000001</v>
      </c>
      <c r="E31" vm="717">
        <f ca="1"/>
        <v>45614</v>
      </c>
      <c r="F31" vm="79">
        <f ca="1"/>
        <v>1569.3</v>
      </c>
      <c r="H31" vm="717">
        <f ca="1"/>
        <v>45614</v>
      </c>
      <c r="I31" vm="80">
        <f ca="1"/>
        <v>870.63549999999998</v>
      </c>
      <c r="K31" vm="717">
        <f ca="1"/>
        <v>45614</v>
      </c>
      <c r="L31" vm="81">
        <f ca="1"/>
        <v>3603.5</v>
      </c>
      <c r="N31" vm="717">
        <f ca="1"/>
        <v>45614</v>
      </c>
      <c r="O31" vm="82">
        <f ca="1"/>
        <v>1486.5</v>
      </c>
      <c r="Q31" vm="717">
        <f ca="1"/>
        <v>45614</v>
      </c>
      <c r="R31" vm="83">
        <f ca="1"/>
        <v>11063.6</v>
      </c>
      <c r="T31" vm="717">
        <f ca="1"/>
        <v>45614</v>
      </c>
      <c r="U31" vm="84">
        <f ca="1"/>
        <v>1892.0404000000001</v>
      </c>
      <c r="W31" s="109">
        <v>45614</v>
      </c>
      <c r="X31" s="110">
        <v>23453.80078125</v>
      </c>
    </row>
    <row r="32" spans="1:32" x14ac:dyDescent="0.3">
      <c r="B32" vm="718">
        <f ca="1"/>
        <v>45621</v>
      </c>
      <c r="C32" vm="85">
        <f ca="1"/>
        <v>1292.2</v>
      </c>
      <c r="E32" vm="718">
        <f ca="1"/>
        <v>45621</v>
      </c>
      <c r="F32" vm="86">
        <f ca="1"/>
        <v>1627.15</v>
      </c>
      <c r="H32" vm="718">
        <f ca="1"/>
        <v>45621</v>
      </c>
      <c r="I32" vm="87">
        <f ca="1"/>
        <v>895.79790000000003</v>
      </c>
      <c r="K32" vm="718">
        <f ca="1"/>
        <v>45621</v>
      </c>
      <c r="L32" vm="88">
        <f ca="1"/>
        <v>3724.8</v>
      </c>
      <c r="N32" vm="718">
        <f ca="1"/>
        <v>45621</v>
      </c>
      <c r="O32" vm="89">
        <f ca="1"/>
        <v>1533.9</v>
      </c>
      <c r="Q32" vm="718">
        <f ca="1"/>
        <v>45621</v>
      </c>
      <c r="R32" vm="90">
        <f ca="1"/>
        <v>11074.2</v>
      </c>
      <c r="T32" vm="718">
        <f ca="1"/>
        <v>45621</v>
      </c>
      <c r="U32" vm="91">
        <f ca="1"/>
        <v>1841.8589999999999</v>
      </c>
      <c r="W32" s="109">
        <v>45621</v>
      </c>
      <c r="X32" s="110">
        <v>24221.900390625</v>
      </c>
    </row>
    <row r="33" spans="2:24" x14ac:dyDescent="0.3">
      <c r="B33" vm="719">
        <f ca="1"/>
        <v>45628</v>
      </c>
      <c r="C33" vm="92">
        <f ca="1"/>
        <v>1311.55</v>
      </c>
      <c r="E33" vm="719">
        <f ca="1"/>
        <v>45628</v>
      </c>
      <c r="F33" vm="93">
        <f ca="1"/>
        <v>1597.85</v>
      </c>
      <c r="H33" vm="719">
        <f ca="1"/>
        <v>45628</v>
      </c>
      <c r="I33" vm="94">
        <f ca="1"/>
        <v>925.62369999999999</v>
      </c>
      <c r="K33" vm="719">
        <f ca="1"/>
        <v>45628</v>
      </c>
      <c r="L33" vm="95">
        <f ca="1"/>
        <v>3866.7</v>
      </c>
      <c r="N33" vm="719">
        <f ca="1"/>
        <v>45628</v>
      </c>
      <c r="O33" vm="96">
        <f ca="1"/>
        <v>1477.4</v>
      </c>
      <c r="Q33" vm="719">
        <f ca="1"/>
        <v>45628</v>
      </c>
      <c r="R33" vm="97">
        <f ca="1"/>
        <v>11317.95</v>
      </c>
      <c r="T33" vm="719">
        <f ca="1"/>
        <v>45628</v>
      </c>
      <c r="U33" vm="98">
        <f ca="1"/>
        <v>1916.259</v>
      </c>
      <c r="W33" s="109">
        <v>45628</v>
      </c>
      <c r="X33" s="110">
        <v>24276.05078125</v>
      </c>
    </row>
    <row r="34" spans="2:24" x14ac:dyDescent="0.3">
      <c r="B34" vm="720">
        <f ca="1"/>
        <v>45635</v>
      </c>
      <c r="C34" vm="99">
        <f ca="1"/>
        <v>1272.8499999999999</v>
      </c>
      <c r="E34" vm="720">
        <f ca="1"/>
        <v>45635</v>
      </c>
      <c r="F34" vm="100">
        <f ca="1"/>
        <v>1681.75</v>
      </c>
      <c r="H34" vm="720">
        <f ca="1"/>
        <v>45635</v>
      </c>
      <c r="I34" vm="101">
        <f ca="1"/>
        <v>933.55399999999997</v>
      </c>
      <c r="K34" vm="720">
        <f ca="1"/>
        <v>45635</v>
      </c>
      <c r="L34" vm="102">
        <f ca="1"/>
        <v>3887</v>
      </c>
      <c r="N34" vm="720">
        <f ca="1"/>
        <v>45635</v>
      </c>
      <c r="O34" vm="103">
        <f ca="1"/>
        <v>1447.3</v>
      </c>
      <c r="Q34" vm="720">
        <f ca="1"/>
        <v>45635</v>
      </c>
      <c r="R34" vm="104">
        <f ca="1"/>
        <v>11272.55</v>
      </c>
      <c r="T34" vm="720">
        <f ca="1"/>
        <v>45635</v>
      </c>
      <c r="U34" vm="105">
        <f ca="1"/>
        <v>1962.2045000000001</v>
      </c>
      <c r="W34" s="109">
        <v>45635</v>
      </c>
      <c r="X34" s="110">
        <v>24619</v>
      </c>
    </row>
    <row r="35" spans="2:24" x14ac:dyDescent="0.3">
      <c r="B35" vm="721">
        <f ca="1"/>
        <v>45642</v>
      </c>
      <c r="C35" vm="106">
        <f ca="1"/>
        <v>1205.3</v>
      </c>
      <c r="E35" vm="721">
        <f ca="1"/>
        <v>45642</v>
      </c>
      <c r="F35" vm="107">
        <f ca="1"/>
        <v>1578.1</v>
      </c>
      <c r="H35" vm="721">
        <f ca="1"/>
        <v>45642</v>
      </c>
      <c r="I35" vm="108">
        <f ca="1"/>
        <v>883.55330000000004</v>
      </c>
      <c r="K35" vm="721">
        <f ca="1"/>
        <v>45642</v>
      </c>
      <c r="L35" vm="109">
        <f ca="1"/>
        <v>3629.85</v>
      </c>
      <c r="N35" vm="721">
        <f ca="1"/>
        <v>45642</v>
      </c>
      <c r="O35" vm="110">
        <f ca="1"/>
        <v>1472.05</v>
      </c>
      <c r="Q35" vm="721">
        <f ca="1"/>
        <v>45642</v>
      </c>
      <c r="R35" vm="111">
        <f ca="1"/>
        <v>10901.05</v>
      </c>
      <c r="T35" vm="721">
        <f ca="1"/>
        <v>45642</v>
      </c>
      <c r="U35" vm="112">
        <f ca="1"/>
        <v>1904.9469999999999</v>
      </c>
      <c r="W35" s="109">
        <v>45642</v>
      </c>
      <c r="X35" s="110">
        <v>24668.25</v>
      </c>
    </row>
    <row r="36" spans="2:24" x14ac:dyDescent="0.3">
      <c r="B36" vm="722">
        <f ca="1"/>
        <v>45649</v>
      </c>
      <c r="C36" vm="113">
        <f ca="1"/>
        <v>1221.05</v>
      </c>
      <c r="E36" vm="722">
        <f ca="1"/>
        <v>45649</v>
      </c>
      <c r="F36" vm="114">
        <f ca="1"/>
        <v>1599.85</v>
      </c>
      <c r="H36" vm="722">
        <f ca="1"/>
        <v>45649</v>
      </c>
      <c r="I36" vm="115">
        <f ca="1"/>
        <v>896.89520000000005</v>
      </c>
      <c r="K36" vm="722">
        <f ca="1"/>
        <v>45649</v>
      </c>
      <c r="L36" vm="116">
        <f ca="1"/>
        <v>3608.1</v>
      </c>
      <c r="N36" vm="722">
        <f ca="1"/>
        <v>45649</v>
      </c>
      <c r="O36" vm="117">
        <f ca="1"/>
        <v>1506.6</v>
      </c>
      <c r="Q36" vm="722">
        <f ca="1"/>
        <v>45649</v>
      </c>
      <c r="R36" vm="118">
        <f ca="1"/>
        <v>10941.05</v>
      </c>
      <c r="T36" vm="722">
        <f ca="1"/>
        <v>45649</v>
      </c>
      <c r="U36" vm="119">
        <f ca="1"/>
        <v>1885.6618000000001</v>
      </c>
      <c r="W36" s="109">
        <v>45649</v>
      </c>
      <c r="X36" s="110">
        <v>23753.44921875</v>
      </c>
    </row>
    <row r="37" spans="2:24" x14ac:dyDescent="0.3">
      <c r="B37" vm="723">
        <f ca="1"/>
        <v>45656</v>
      </c>
      <c r="C37" vm="120">
        <f ca="1"/>
        <v>1251.1500000000001</v>
      </c>
      <c r="E37" vm="723">
        <f ca="1"/>
        <v>45656</v>
      </c>
      <c r="F37" vm="121">
        <f ca="1"/>
        <v>1598.85</v>
      </c>
      <c r="H37" vm="723">
        <f ca="1"/>
        <v>45656</v>
      </c>
      <c r="I37" vm="122">
        <f ca="1"/>
        <v>872.43100000000004</v>
      </c>
      <c r="K37" vm="723">
        <f ca="1"/>
        <v>45656</v>
      </c>
      <c r="L37" vm="123">
        <f ca="1"/>
        <v>3659.9</v>
      </c>
      <c r="N37" vm="723">
        <f ca="1"/>
        <v>45656</v>
      </c>
      <c r="O37" vm="124">
        <f ca="1"/>
        <v>1511.25</v>
      </c>
      <c r="Q37" vm="723">
        <f ca="1"/>
        <v>45656</v>
      </c>
      <c r="R37" vm="125">
        <f ca="1"/>
        <v>11934.25</v>
      </c>
      <c r="T37" vm="723">
        <f ca="1"/>
        <v>45656</v>
      </c>
      <c r="U37" vm="126">
        <f ca="1"/>
        <v>1940.1287</v>
      </c>
      <c r="W37" s="109">
        <v>45656</v>
      </c>
      <c r="X37" s="110">
        <v>23644.900390625</v>
      </c>
    </row>
    <row r="38" spans="2:24" x14ac:dyDescent="0.3">
      <c r="B38" vm="724">
        <f ca="1"/>
        <v>45663</v>
      </c>
      <c r="C38" vm="127">
        <f ca="1"/>
        <v>1241.9000000000001</v>
      </c>
      <c r="E38" vm="724">
        <f ca="1"/>
        <v>45663</v>
      </c>
      <c r="F38" vm="128">
        <f ca="1"/>
        <v>1615.9</v>
      </c>
      <c r="H38" vm="724">
        <f ca="1"/>
        <v>45663</v>
      </c>
      <c r="I38" vm="129">
        <f ca="1"/>
        <v>826.32060000000001</v>
      </c>
      <c r="K38" vm="724">
        <f ca="1"/>
        <v>45663</v>
      </c>
      <c r="L38" vm="130">
        <f ca="1"/>
        <v>3536.15</v>
      </c>
      <c r="N38" vm="724">
        <f ca="1"/>
        <v>45663</v>
      </c>
      <c r="O38" vm="131">
        <f ca="1"/>
        <v>1468.8</v>
      </c>
      <c r="Q38" vm="724">
        <f ca="1"/>
        <v>45663</v>
      </c>
      <c r="R38" vm="132">
        <f ca="1"/>
        <v>11631.1</v>
      </c>
      <c r="T38" vm="724">
        <f ca="1"/>
        <v>45663</v>
      </c>
      <c r="U38" vm="133">
        <f ca="1"/>
        <v>1988.4164000000001</v>
      </c>
      <c r="W38" s="109">
        <v>45663</v>
      </c>
      <c r="X38" s="110">
        <v>23616.05078125</v>
      </c>
    </row>
    <row r="39" spans="2:24" x14ac:dyDescent="0.3">
      <c r="B39" vm="725">
        <f ca="1"/>
        <v>45670</v>
      </c>
      <c r="C39" vm="134">
        <f ca="1"/>
        <v>1302.3499999999999</v>
      </c>
      <c r="E39" vm="725">
        <f ca="1"/>
        <v>45670</v>
      </c>
      <c r="F39" vm="135">
        <f ca="1"/>
        <v>1627.5</v>
      </c>
      <c r="H39" vm="725">
        <f ca="1"/>
        <v>45670</v>
      </c>
      <c r="I39" vm="136">
        <f ca="1"/>
        <v>816.34540000000004</v>
      </c>
      <c r="K39" vm="725">
        <f ca="1"/>
        <v>45670</v>
      </c>
      <c r="L39" vm="137">
        <f ca="1"/>
        <v>3568.65</v>
      </c>
      <c r="N39" vm="725">
        <f ca="1"/>
        <v>45670</v>
      </c>
      <c r="O39" vm="138">
        <f ca="1"/>
        <v>1442.3</v>
      </c>
      <c r="Q39" vm="725">
        <f ca="1"/>
        <v>45670</v>
      </c>
      <c r="R39" vm="139">
        <f ca="1"/>
        <v>12136.35</v>
      </c>
      <c r="T39" vm="725">
        <f ca="1"/>
        <v>45670</v>
      </c>
      <c r="U39" vm="140">
        <f ca="1"/>
        <v>1788.9</v>
      </c>
      <c r="W39" s="109">
        <v>45670</v>
      </c>
      <c r="X39" s="110">
        <v>23085.94921875</v>
      </c>
    </row>
    <row r="40" spans="2:24" x14ac:dyDescent="0.3">
      <c r="B40" vm="726">
        <f ca="1"/>
        <v>45677</v>
      </c>
      <c r="C40" vm="141">
        <f ca="1"/>
        <v>1246.3</v>
      </c>
      <c r="E40" vm="726">
        <f ca="1"/>
        <v>45677</v>
      </c>
      <c r="F40" vm="142">
        <f ca="1"/>
        <v>1644.8</v>
      </c>
      <c r="H40" vm="726">
        <f ca="1"/>
        <v>45677</v>
      </c>
      <c r="I40" vm="143">
        <f ca="1"/>
        <v>822.85419999999999</v>
      </c>
      <c r="K40" vm="726">
        <f ca="1"/>
        <v>45677</v>
      </c>
      <c r="L40" vm="144">
        <f ca="1"/>
        <v>3458.2</v>
      </c>
      <c r="N40" vm="726">
        <f ca="1"/>
        <v>45677</v>
      </c>
      <c r="O40" vm="145">
        <f ca="1"/>
        <v>1411.4</v>
      </c>
      <c r="Q40" vm="726">
        <f ca="1"/>
        <v>45677</v>
      </c>
      <c r="R40" vm="146">
        <f ca="1"/>
        <v>11967.9</v>
      </c>
      <c r="T40" vm="726">
        <f ca="1"/>
        <v>45677</v>
      </c>
      <c r="U40" vm="147">
        <f ca="1"/>
        <v>1792.85</v>
      </c>
      <c r="W40" s="109">
        <v>45677</v>
      </c>
      <c r="X40" s="110">
        <v>23344.75</v>
      </c>
    </row>
    <row r="41" spans="2:24" x14ac:dyDescent="0.3">
      <c r="B41" vm="727">
        <f ca="1"/>
        <v>45684</v>
      </c>
      <c r="C41" vm="148">
        <f ca="1"/>
        <v>1264.5999999999999</v>
      </c>
      <c r="E41" vm="727">
        <f ca="1"/>
        <v>45684</v>
      </c>
      <c r="F41" vm="149">
        <f ca="1"/>
        <v>1623.25</v>
      </c>
      <c r="H41" vm="727">
        <f ca="1"/>
        <v>45684</v>
      </c>
      <c r="I41" vm="150">
        <f ca="1"/>
        <v>843.37819999999999</v>
      </c>
      <c r="K41" vm="727">
        <f ca="1"/>
        <v>45684</v>
      </c>
      <c r="L41" vm="151">
        <f ca="1"/>
        <v>3447.5</v>
      </c>
      <c r="N41" vm="727">
        <f ca="1"/>
        <v>45684</v>
      </c>
      <c r="O41" vm="152">
        <f ca="1"/>
        <v>1439.5</v>
      </c>
      <c r="Q41" vm="727">
        <f ca="1"/>
        <v>45684</v>
      </c>
      <c r="R41" vm="153">
        <f ca="1"/>
        <v>12916.5</v>
      </c>
      <c r="T41" vm="727">
        <f ca="1"/>
        <v>45684</v>
      </c>
      <c r="U41" vm="154">
        <f ca="1"/>
        <v>1694</v>
      </c>
      <c r="W41" s="109">
        <v>45684</v>
      </c>
      <c r="X41" s="110">
        <v>22829.150390625</v>
      </c>
    </row>
    <row r="42" spans="2:24" x14ac:dyDescent="0.3">
      <c r="B42" vm="728">
        <f ca="1"/>
        <v>45691</v>
      </c>
      <c r="C42" vm="155">
        <f ca="1"/>
        <v>1266.7</v>
      </c>
      <c r="E42" vm="728">
        <f ca="1"/>
        <v>45691</v>
      </c>
      <c r="F42" vm="156">
        <f ca="1"/>
        <v>1676.75</v>
      </c>
      <c r="H42" vm="728">
        <f ca="1"/>
        <v>45691</v>
      </c>
      <c r="I42" vm="157">
        <f ca="1"/>
        <v>864.22640000000001</v>
      </c>
      <c r="K42" vm="728">
        <f ca="1"/>
        <v>45691</v>
      </c>
      <c r="L42" vm="158">
        <f ca="1"/>
        <v>3336.9</v>
      </c>
      <c r="N42" vm="728">
        <f ca="1"/>
        <v>45691</v>
      </c>
      <c r="O42" vm="159">
        <f ca="1"/>
        <v>1472.25</v>
      </c>
      <c r="Q42" vm="728">
        <f ca="1"/>
        <v>45691</v>
      </c>
      <c r="R42" vm="160">
        <f ca="1"/>
        <v>13049.5</v>
      </c>
      <c r="T42" vm="728">
        <f ca="1"/>
        <v>45691</v>
      </c>
      <c r="U42" vm="161">
        <f ca="1"/>
        <v>1725.65</v>
      </c>
      <c r="W42" s="109">
        <v>45691</v>
      </c>
      <c r="X42" s="110">
        <v>23361.05078125</v>
      </c>
    </row>
    <row r="43" spans="2:24" x14ac:dyDescent="0.3">
      <c r="B43" vm="729">
        <f ca="1"/>
        <v>45698</v>
      </c>
      <c r="C43" vm="162">
        <f ca="1"/>
        <v>1217.25</v>
      </c>
      <c r="E43" vm="729">
        <f ca="1"/>
        <v>45698</v>
      </c>
      <c r="F43" vm="163">
        <f ca="1"/>
        <v>1717.05</v>
      </c>
      <c r="H43" vm="729">
        <f ca="1"/>
        <v>45698</v>
      </c>
      <c r="I43" vm="164">
        <f ca="1"/>
        <v>845.32339999999999</v>
      </c>
      <c r="K43" vm="729">
        <f ca="1"/>
        <v>45698</v>
      </c>
      <c r="L43" vm="165">
        <f ca="1"/>
        <v>3237.65</v>
      </c>
      <c r="N43" vm="729">
        <f ca="1"/>
        <v>45698</v>
      </c>
      <c r="O43" vm="166">
        <f ca="1"/>
        <v>1459.45</v>
      </c>
      <c r="Q43" vm="729">
        <f ca="1"/>
        <v>45698</v>
      </c>
      <c r="R43" vm="167">
        <f ca="1"/>
        <v>12680.25</v>
      </c>
      <c r="T43" vm="729">
        <f ca="1"/>
        <v>45698</v>
      </c>
      <c r="U43" vm="168">
        <f ca="1"/>
        <v>1711.25</v>
      </c>
      <c r="W43" s="109">
        <v>45698</v>
      </c>
      <c r="X43" s="110">
        <v>23381.599609375</v>
      </c>
    </row>
    <row r="44" spans="2:24" x14ac:dyDescent="0.3">
      <c r="B44" vm="730">
        <f ca="1"/>
        <v>45705</v>
      </c>
      <c r="C44" vm="169">
        <f ca="1"/>
        <v>1228.1500000000001</v>
      </c>
      <c r="E44" vm="730">
        <f ca="1"/>
        <v>45705</v>
      </c>
      <c r="F44" vm="170">
        <f ca="1"/>
        <v>1639.25</v>
      </c>
      <c r="H44" vm="730">
        <f ca="1"/>
        <v>45705</v>
      </c>
      <c r="I44" vm="171">
        <f ca="1"/>
        <v>844.15129999999999</v>
      </c>
      <c r="K44" vm="730">
        <f ca="1"/>
        <v>45705</v>
      </c>
      <c r="L44" vm="172">
        <f ca="1"/>
        <v>3315.1</v>
      </c>
      <c r="N44" vm="730">
        <f ca="1"/>
        <v>45705</v>
      </c>
      <c r="O44" vm="173">
        <f ca="1"/>
        <v>1475.75</v>
      </c>
      <c r="Q44" vm="730">
        <f ca="1"/>
        <v>45705</v>
      </c>
      <c r="R44" vm="174">
        <f ca="1"/>
        <v>12323.45</v>
      </c>
      <c r="T44" vm="730">
        <f ca="1"/>
        <v>45705</v>
      </c>
      <c r="U44" vm="175">
        <f ca="1"/>
        <v>1700.7</v>
      </c>
      <c r="W44" s="109">
        <v>45705</v>
      </c>
      <c r="X44" s="110">
        <v>22959.5</v>
      </c>
    </row>
    <row r="45" spans="2:24" x14ac:dyDescent="0.3">
      <c r="B45" vm="731">
        <f ca="1"/>
        <v>45712</v>
      </c>
      <c r="C45" vm="176">
        <f ca="1"/>
        <v>1200.0999999999999</v>
      </c>
      <c r="E45" vm="731">
        <f ca="1"/>
        <v>45712</v>
      </c>
      <c r="F45" vm="177">
        <f ca="1"/>
        <v>1570.2</v>
      </c>
      <c r="H45" vm="731">
        <f ca="1"/>
        <v>45712</v>
      </c>
      <c r="I45" vm="178">
        <f ca="1"/>
        <v>864.05179999999996</v>
      </c>
      <c r="K45" vm="731">
        <f ca="1"/>
        <v>45712</v>
      </c>
      <c r="L45" vm="179">
        <f ca="1"/>
        <v>3163.85</v>
      </c>
      <c r="N45" vm="731">
        <f ca="1"/>
        <v>45712</v>
      </c>
      <c r="O45" vm="180">
        <f ca="1"/>
        <v>1407.5</v>
      </c>
      <c r="Q45" vm="731">
        <f ca="1"/>
        <v>45712</v>
      </c>
      <c r="R45" vm="181">
        <f ca="1"/>
        <v>11945.85</v>
      </c>
      <c r="T45" vm="731">
        <f ca="1"/>
        <v>45712</v>
      </c>
      <c r="U45" vm="182">
        <f ca="1"/>
        <v>1575.05</v>
      </c>
      <c r="W45" s="109">
        <v>45712</v>
      </c>
      <c r="X45" s="110">
        <v>22553.349609375</v>
      </c>
    </row>
    <row r="46" spans="2:24" x14ac:dyDescent="0.3">
      <c r="B46" vm="732">
        <f ca="1"/>
        <v>45719</v>
      </c>
      <c r="C46" vm="183">
        <f ca="1"/>
        <v>1249.8</v>
      </c>
      <c r="E46" vm="732">
        <f ca="1"/>
        <v>45719</v>
      </c>
      <c r="F46" vm="184">
        <f ca="1"/>
        <v>1630.7</v>
      </c>
      <c r="H46" vm="732">
        <f ca="1"/>
        <v>45719</v>
      </c>
      <c r="I46" vm="185">
        <f ca="1"/>
        <v>842.53030000000001</v>
      </c>
      <c r="K46" vm="732">
        <f ca="1"/>
        <v>45719</v>
      </c>
      <c r="L46" vm="186">
        <f ca="1"/>
        <v>3244.7</v>
      </c>
      <c r="N46" vm="732">
        <f ca="1"/>
        <v>45719</v>
      </c>
      <c r="O46" vm="187">
        <f ca="1"/>
        <v>1458.45</v>
      </c>
      <c r="Q46" vm="732">
        <f ca="1"/>
        <v>45719</v>
      </c>
      <c r="R46" vm="188">
        <f ca="1"/>
        <v>11664.15</v>
      </c>
      <c r="T46" vm="732">
        <f ca="1"/>
        <v>45719</v>
      </c>
      <c r="U46" vm="189">
        <f ca="1"/>
        <v>1557.95</v>
      </c>
      <c r="W46" s="109">
        <v>45719</v>
      </c>
      <c r="X46" s="110">
        <v>22119.30078125</v>
      </c>
    </row>
    <row r="47" spans="2:24" x14ac:dyDescent="0.3">
      <c r="B47" vm="733">
        <f ca="1"/>
        <v>45726</v>
      </c>
      <c r="C47" vm="190">
        <f ca="1"/>
        <v>1247.9000000000001</v>
      </c>
      <c r="E47" vm="733">
        <f ca="1"/>
        <v>45726</v>
      </c>
      <c r="F47" vm="191">
        <f ca="1"/>
        <v>1632.5</v>
      </c>
      <c r="H47" vm="733">
        <f ca="1"/>
        <v>45726</v>
      </c>
      <c r="I47" vm="192">
        <f ca="1"/>
        <v>851.18380000000002</v>
      </c>
      <c r="K47" vm="733">
        <f ca="1"/>
        <v>45726</v>
      </c>
      <c r="L47" vm="193">
        <f ca="1"/>
        <v>3187.3</v>
      </c>
      <c r="N47" vm="733">
        <f ca="1"/>
        <v>45726</v>
      </c>
      <c r="O47" vm="194">
        <f ca="1"/>
        <v>1461.9</v>
      </c>
      <c r="Q47" vm="733">
        <f ca="1"/>
        <v>45726</v>
      </c>
      <c r="R47" vm="195">
        <f ca="1"/>
        <v>11513.8</v>
      </c>
      <c r="T47" vm="733">
        <f ca="1"/>
        <v>45726</v>
      </c>
      <c r="U47" vm="196">
        <f ca="1"/>
        <v>1534.75</v>
      </c>
      <c r="W47" s="109">
        <v>45726</v>
      </c>
      <c r="X47" s="110">
        <v>22460.30078125</v>
      </c>
    </row>
    <row r="48" spans="2:24" x14ac:dyDescent="0.3">
      <c r="B48" vm="734">
        <f ca="1"/>
        <v>45733</v>
      </c>
      <c r="C48" vm="197">
        <f ca="1"/>
        <v>1276.3499999999999</v>
      </c>
      <c r="E48" vm="734">
        <f ca="1"/>
        <v>45733</v>
      </c>
      <c r="F48" vm="198">
        <f ca="1"/>
        <v>1725.8</v>
      </c>
      <c r="H48" vm="734">
        <f ca="1"/>
        <v>45733</v>
      </c>
      <c r="I48" vm="199">
        <f ca="1"/>
        <v>882.97979999999995</v>
      </c>
      <c r="K48" vm="734">
        <f ca="1"/>
        <v>45733</v>
      </c>
      <c r="L48" vm="200">
        <f ca="1"/>
        <v>3415.95</v>
      </c>
      <c r="N48" vm="734">
        <f ca="1"/>
        <v>45733</v>
      </c>
      <c r="O48" vm="201">
        <f ca="1"/>
        <v>1523.85</v>
      </c>
      <c r="Q48" vm="734">
        <f ca="1"/>
        <v>45733</v>
      </c>
      <c r="R48" vm="202">
        <f ca="1"/>
        <v>11732.8</v>
      </c>
      <c r="T48" vm="734">
        <f ca="1"/>
        <v>45733</v>
      </c>
      <c r="U48" vm="203">
        <f ca="1"/>
        <v>1566.7</v>
      </c>
      <c r="W48" s="109">
        <v>45733</v>
      </c>
      <c r="X48" s="110">
        <v>22508.75</v>
      </c>
    </row>
    <row r="49" spans="2:24" x14ac:dyDescent="0.3">
      <c r="B49" vm="735">
        <f ca="1"/>
        <v>45740</v>
      </c>
      <c r="C49" vm="204">
        <f ca="1"/>
        <v>1275.0999999999999</v>
      </c>
      <c r="E49" vm="735">
        <f ca="1"/>
        <v>45740</v>
      </c>
      <c r="F49" vm="205">
        <f ca="1"/>
        <v>1733.4</v>
      </c>
      <c r="H49" vm="735">
        <f ca="1"/>
        <v>45740</v>
      </c>
      <c r="I49" vm="206">
        <f ca="1"/>
        <v>911.83299999999997</v>
      </c>
      <c r="K49" vm="735">
        <f ca="1"/>
        <v>45740</v>
      </c>
      <c r="L49" vm="207">
        <f ca="1"/>
        <v>3492.3</v>
      </c>
      <c r="N49" vm="735">
        <f ca="1"/>
        <v>45740</v>
      </c>
      <c r="O49" vm="208">
        <f ca="1"/>
        <v>1442.2</v>
      </c>
      <c r="Q49" vm="735">
        <f ca="1"/>
        <v>45740</v>
      </c>
      <c r="R49" vm="209">
        <f ca="1"/>
        <v>11522.15</v>
      </c>
      <c r="T49" vm="735">
        <f ca="1"/>
        <v>45740</v>
      </c>
      <c r="U49" vm="210">
        <f ca="1"/>
        <v>1592.5</v>
      </c>
      <c r="W49" s="109">
        <v>45740</v>
      </c>
      <c r="X49" s="110">
        <v>23658.349609375</v>
      </c>
    </row>
    <row r="50" spans="2:24" x14ac:dyDescent="0.3">
      <c r="B50" vm="736">
        <f ca="1"/>
        <v>45748</v>
      </c>
      <c r="C50" vm="737">
        <f ca="1"/>
        <v>1204.7</v>
      </c>
      <c r="E50" vm="736">
        <f ca="1"/>
        <v>45748</v>
      </c>
      <c r="F50" vm="738">
        <f ca="1"/>
        <v>1743.45</v>
      </c>
      <c r="H50" vm="736">
        <f ca="1"/>
        <v>45748</v>
      </c>
      <c r="I50" vm="739">
        <f ca="1"/>
        <v>906.39649999999995</v>
      </c>
      <c r="K50" vm="736">
        <f ca="1"/>
        <v>45748</v>
      </c>
      <c r="L50" vm="740">
        <f ca="1"/>
        <v>3260.15</v>
      </c>
      <c r="N50" vm="736">
        <f ca="1"/>
        <v>45748</v>
      </c>
      <c r="O50" vm="741">
        <f ca="1"/>
        <v>1415.25</v>
      </c>
      <c r="Q50" vm="736">
        <f ca="1"/>
        <v>45748</v>
      </c>
      <c r="R50" vm="742">
        <f ca="1"/>
        <v>11482</v>
      </c>
      <c r="T50" vm="736">
        <f ca="1"/>
        <v>45748</v>
      </c>
      <c r="U50" vm="743">
        <f ca="1"/>
        <v>1422.1</v>
      </c>
      <c r="W50" s="109">
        <v>45747</v>
      </c>
      <c r="X50" s="110">
        <v>23165.69921875</v>
      </c>
    </row>
    <row r="51" spans="2:24" x14ac:dyDescent="0.3">
      <c r="B51" vm="744">
        <f ca="1"/>
        <v>45754</v>
      </c>
      <c r="C51" vm="211">
        <f ca="1"/>
        <v>1218.95</v>
      </c>
      <c r="E51" vm="744">
        <f ca="1"/>
        <v>45754</v>
      </c>
      <c r="F51" vm="212">
        <f ca="1"/>
        <v>1756.6</v>
      </c>
      <c r="H51" vm="744">
        <f ca="1"/>
        <v>45754</v>
      </c>
      <c r="I51" vm="213">
        <f ca="1"/>
        <v>901.13459999999998</v>
      </c>
      <c r="K51" vm="744">
        <f ca="1"/>
        <v>45754</v>
      </c>
      <c r="L51" vm="214">
        <f ca="1"/>
        <v>3115.95</v>
      </c>
      <c r="N51" vm="744">
        <f ca="1"/>
        <v>45754</v>
      </c>
      <c r="O51" vm="215">
        <f ca="1"/>
        <v>1463.05</v>
      </c>
      <c r="Q51" vm="744">
        <f ca="1"/>
        <v>45754</v>
      </c>
      <c r="R51" vm="216">
        <f ca="1"/>
        <v>11599.05</v>
      </c>
      <c r="T51" vm="744">
        <f ca="1"/>
        <v>45754</v>
      </c>
      <c r="U51" vm="217">
        <f ca="1"/>
        <v>1390.55</v>
      </c>
      <c r="W51" s="109">
        <v>45754</v>
      </c>
      <c r="X51" s="110">
        <v>22161.599609375</v>
      </c>
    </row>
    <row r="52" spans="2:24" x14ac:dyDescent="0.3">
      <c r="B52" vm="745">
        <f ca="1"/>
        <v>45762</v>
      </c>
      <c r="C52" vm="746">
        <f ca="1"/>
        <v>1274.5</v>
      </c>
      <c r="E52" vm="745">
        <f ca="1"/>
        <v>45762</v>
      </c>
      <c r="F52" vm="747">
        <f ca="1"/>
        <v>1889.1</v>
      </c>
      <c r="H52" vm="745">
        <f ca="1"/>
        <v>45762</v>
      </c>
      <c r="I52" vm="748">
        <f ca="1"/>
        <v>950.98569999999995</v>
      </c>
      <c r="K52" vm="745">
        <f ca="1"/>
        <v>45762</v>
      </c>
      <c r="L52" vm="749">
        <f ca="1"/>
        <v>3247.3</v>
      </c>
      <c r="N52" vm="745">
        <f ca="1"/>
        <v>45762</v>
      </c>
      <c r="O52" vm="750">
        <f ca="1"/>
        <v>1515.2</v>
      </c>
      <c r="Q52" vm="745">
        <f ca="1"/>
        <v>45762</v>
      </c>
      <c r="R52" vm="751">
        <f ca="1"/>
        <v>11695</v>
      </c>
      <c r="T52" vm="745">
        <f ca="1"/>
        <v>45762</v>
      </c>
      <c r="U52" vm="752">
        <f ca="1"/>
        <v>1438</v>
      </c>
      <c r="W52" s="109">
        <v>45761</v>
      </c>
      <c r="X52" s="110">
        <v>23328.55078125</v>
      </c>
    </row>
    <row r="53" spans="2:24" x14ac:dyDescent="0.3">
      <c r="B53" vm="753">
        <f ca="1"/>
        <v>45768</v>
      </c>
      <c r="C53" vm="218">
        <f ca="1"/>
        <v>1300.4000000000001</v>
      </c>
      <c r="E53" vm="753">
        <f ca="1"/>
        <v>45768</v>
      </c>
      <c r="F53" vm="219">
        <f ca="1"/>
        <v>1817.2</v>
      </c>
      <c r="H53" vm="753">
        <f ca="1"/>
        <v>45768</v>
      </c>
      <c r="I53" vm="220">
        <f ca="1"/>
        <v>953.23009999999999</v>
      </c>
      <c r="K53" vm="753">
        <f ca="1"/>
        <v>45768</v>
      </c>
      <c r="L53" vm="221">
        <f ca="1"/>
        <v>3272.1</v>
      </c>
      <c r="N53" vm="753">
        <f ca="1"/>
        <v>45768</v>
      </c>
      <c r="O53" vm="222">
        <f ca="1"/>
        <v>1525.9</v>
      </c>
      <c r="Q53" vm="753">
        <f ca="1"/>
        <v>45768</v>
      </c>
      <c r="R53" vm="223">
        <f ca="1"/>
        <v>11698</v>
      </c>
      <c r="T53" vm="753">
        <f ca="1"/>
        <v>45768</v>
      </c>
      <c r="U53" vm="224">
        <f ca="1"/>
        <v>1578.2</v>
      </c>
      <c r="W53" s="109">
        <v>45768</v>
      </c>
      <c r="X53" s="110">
        <v>24125.55078125</v>
      </c>
    </row>
    <row r="54" spans="2:24" x14ac:dyDescent="0.3">
      <c r="B54" vm="754">
        <f ca="1"/>
        <v>45775</v>
      </c>
      <c r="C54" vm="225">
        <f ca="1"/>
        <v>1422.4</v>
      </c>
      <c r="E54" vm="754">
        <f ca="1"/>
        <v>45775</v>
      </c>
      <c r="F54" vm="226">
        <f ca="1"/>
        <v>1851.9</v>
      </c>
      <c r="H54" vm="754">
        <f ca="1"/>
        <v>45775</v>
      </c>
      <c r="I54" vm="227">
        <f ca="1"/>
        <v>960.11300000000006</v>
      </c>
      <c r="K54" vm="754">
        <f ca="1"/>
        <v>45775</v>
      </c>
      <c r="L54" vm="228">
        <f ca="1"/>
        <v>3329.8</v>
      </c>
      <c r="N54" vm="754">
        <f ca="1"/>
        <v>45775</v>
      </c>
      <c r="O54" vm="229">
        <f ca="1"/>
        <v>1525.6</v>
      </c>
      <c r="Q54" vm="754">
        <f ca="1"/>
        <v>45775</v>
      </c>
      <c r="R54" vm="230">
        <f ca="1"/>
        <v>12406</v>
      </c>
      <c r="T54" vm="754">
        <f ca="1"/>
        <v>45775</v>
      </c>
      <c r="U54" vm="231">
        <f ca="1"/>
        <v>1576.5</v>
      </c>
      <c r="W54" s="109">
        <v>45775</v>
      </c>
      <c r="X54" s="110">
        <v>24328.5</v>
      </c>
    </row>
    <row r="55" spans="2:24" x14ac:dyDescent="0.3">
      <c r="B55" vm="755">
        <f ca="1"/>
        <v>45782</v>
      </c>
      <c r="C55" vm="232">
        <f ca="1"/>
        <v>1377.2</v>
      </c>
      <c r="E55" vm="755">
        <f ca="1"/>
        <v>45782</v>
      </c>
      <c r="F55" vm="233">
        <f ca="1"/>
        <v>1848.4</v>
      </c>
      <c r="H55" vm="755">
        <f ca="1"/>
        <v>45782</v>
      </c>
      <c r="I55" vm="234">
        <f ca="1"/>
        <v>942.5068</v>
      </c>
      <c r="K55" vm="755">
        <f ca="1"/>
        <v>45782</v>
      </c>
      <c r="L55" vm="235">
        <f ca="1"/>
        <v>3443.9</v>
      </c>
      <c r="N55" vm="755">
        <f ca="1"/>
        <v>45782</v>
      </c>
      <c r="O55" vm="236">
        <f ca="1"/>
        <v>1480</v>
      </c>
      <c r="Q55" vm="755">
        <f ca="1"/>
        <v>45782</v>
      </c>
      <c r="R55" vm="237">
        <f ca="1"/>
        <v>12250</v>
      </c>
      <c r="T55" vm="755">
        <f ca="1"/>
        <v>45782</v>
      </c>
      <c r="U55" vm="238">
        <f ca="1"/>
        <v>1569.4</v>
      </c>
      <c r="W55" s="109">
        <v>45782</v>
      </c>
      <c r="X55" s="110">
        <v>24461.150390625</v>
      </c>
    </row>
    <row r="56" spans="2:24" x14ac:dyDescent="0.3">
      <c r="B56" vm="756">
        <f ca="1"/>
        <v>45789</v>
      </c>
      <c r="C56" vm="239">
        <f ca="1"/>
        <v>1456.4</v>
      </c>
      <c r="E56" vm="756">
        <f ca="1"/>
        <v>45789</v>
      </c>
      <c r="F56" vm="240">
        <f ca="1"/>
        <v>1814</v>
      </c>
      <c r="H56" vm="756">
        <f ca="1"/>
        <v>45789</v>
      </c>
      <c r="I56" vm="241">
        <f ca="1"/>
        <v>964.95100000000002</v>
      </c>
      <c r="K56" vm="756">
        <f ca="1"/>
        <v>45789</v>
      </c>
      <c r="L56" vm="242">
        <f ca="1"/>
        <v>3604.7</v>
      </c>
      <c r="N56" vm="756">
        <f ca="1"/>
        <v>45789</v>
      </c>
      <c r="O56" vm="243">
        <f ca="1"/>
        <v>1499.9</v>
      </c>
      <c r="Q56" vm="756">
        <f ca="1"/>
        <v>45789</v>
      </c>
      <c r="R56" vm="244">
        <f ca="1"/>
        <v>12995</v>
      </c>
      <c r="T56" vm="756">
        <f ca="1"/>
        <v>45789</v>
      </c>
      <c r="U56" vm="245">
        <f ca="1"/>
        <v>1659.9</v>
      </c>
      <c r="W56" s="109">
        <v>45789</v>
      </c>
      <c r="X56" s="110">
        <v>24924.69921875</v>
      </c>
    </row>
    <row r="57" spans="2:24" x14ac:dyDescent="0.3">
      <c r="B57" vm="757">
        <f ca="1"/>
        <v>45796</v>
      </c>
      <c r="C57" vm="246">
        <f ca="1"/>
        <v>1426.8</v>
      </c>
      <c r="E57" vm="757">
        <f ca="1"/>
        <v>45796</v>
      </c>
      <c r="F57" vm="247">
        <f ca="1"/>
        <v>1831.7</v>
      </c>
      <c r="H57" vm="757">
        <f ca="1"/>
        <v>45796</v>
      </c>
      <c r="I57" vm="248">
        <f ca="1"/>
        <v>964.40229999999997</v>
      </c>
      <c r="K57" vm="757">
        <f ca="1"/>
        <v>45796</v>
      </c>
      <c r="L57" vm="249">
        <f ca="1"/>
        <v>3599.9</v>
      </c>
      <c r="N57" vm="757">
        <f ca="1"/>
        <v>45796</v>
      </c>
      <c r="O57" vm="250">
        <f ca="1"/>
        <v>1484.2</v>
      </c>
      <c r="Q57" vm="757">
        <f ca="1"/>
        <v>45796</v>
      </c>
      <c r="R57" vm="251">
        <f ca="1"/>
        <v>12453</v>
      </c>
      <c r="T57" vm="757">
        <f ca="1"/>
        <v>45796</v>
      </c>
      <c r="U57" vm="252">
        <f ca="1"/>
        <v>1648.2</v>
      </c>
      <c r="W57" s="109">
        <v>45796</v>
      </c>
      <c r="X57" s="110">
        <v>24945.44921875</v>
      </c>
    </row>
    <row r="58" spans="2:24" x14ac:dyDescent="0.3">
      <c r="B58" vm="758">
        <f ca="1"/>
        <v>45803</v>
      </c>
      <c r="C58" vm="253">
        <f ca="1"/>
        <v>1420.9</v>
      </c>
      <c r="E58" vm="758">
        <f ca="1"/>
        <v>45803</v>
      </c>
      <c r="F58" vm="254">
        <f ca="1"/>
        <v>1856.2</v>
      </c>
      <c r="H58" vm="758">
        <f ca="1"/>
        <v>45803</v>
      </c>
      <c r="I58" vm="255">
        <f ca="1"/>
        <v>970.03830000000005</v>
      </c>
      <c r="K58" vm="758">
        <f ca="1"/>
        <v>45803</v>
      </c>
      <c r="L58" vm="256">
        <f ca="1"/>
        <v>3675.1</v>
      </c>
      <c r="N58" vm="758">
        <f ca="1"/>
        <v>45803</v>
      </c>
      <c r="O58" vm="257">
        <f ca="1"/>
        <v>1465.7</v>
      </c>
      <c r="Q58" vm="758">
        <f ca="1"/>
        <v>45803</v>
      </c>
      <c r="R58" vm="258">
        <f ca="1"/>
        <v>12319</v>
      </c>
      <c r="T58" vm="758">
        <f ca="1"/>
        <v>45803</v>
      </c>
      <c r="U58" vm="259">
        <f ca="1"/>
        <v>1636.6</v>
      </c>
      <c r="W58" s="109">
        <v>45803</v>
      </c>
      <c r="X58" s="110">
        <v>25001.150390625</v>
      </c>
    </row>
    <row r="59" spans="2:24" x14ac:dyDescent="0.3">
      <c r="B59" vm="759">
        <f ca="1"/>
        <v>45810</v>
      </c>
      <c r="C59" vm="260">
        <f ca="1"/>
        <v>1443.5</v>
      </c>
      <c r="E59" vm="759">
        <f ca="1"/>
        <v>45810</v>
      </c>
      <c r="F59" vm="261">
        <f ca="1"/>
        <v>1870.2</v>
      </c>
      <c r="H59" vm="759">
        <f ca="1"/>
        <v>45810</v>
      </c>
      <c r="I59" vm="262">
        <f ca="1"/>
        <v>986.89639999999997</v>
      </c>
      <c r="K59" vm="759">
        <f ca="1"/>
        <v>45810</v>
      </c>
      <c r="L59" vm="263">
        <f ca="1"/>
        <v>3656.3</v>
      </c>
      <c r="N59" vm="759">
        <f ca="1"/>
        <v>45810</v>
      </c>
      <c r="O59" vm="264">
        <f ca="1"/>
        <v>1504.2</v>
      </c>
      <c r="Q59" vm="759">
        <f ca="1"/>
        <v>45810</v>
      </c>
      <c r="R59" vm="265">
        <f ca="1"/>
        <v>12462</v>
      </c>
      <c r="T59" vm="759">
        <f ca="1"/>
        <v>45810</v>
      </c>
      <c r="U59" vm="266">
        <f ca="1"/>
        <v>1637.7</v>
      </c>
      <c r="W59" s="109">
        <v>45810</v>
      </c>
      <c r="X59" s="110">
        <v>24716.599609375</v>
      </c>
    </row>
    <row r="60" spans="2:24" x14ac:dyDescent="0.3">
      <c r="B60" vm="760">
        <f ca="1"/>
        <v>45817</v>
      </c>
      <c r="C60" vm="267">
        <f ca="1"/>
        <v>1427.9</v>
      </c>
      <c r="E60" vm="760">
        <f ca="1"/>
        <v>45817</v>
      </c>
      <c r="F60" vm="268">
        <f ca="1"/>
        <v>1840.4</v>
      </c>
      <c r="H60" vm="760">
        <f ca="1"/>
        <v>45817</v>
      </c>
      <c r="I60" vm="269">
        <f ca="1"/>
        <v>956.42219999999998</v>
      </c>
      <c r="K60" vm="760">
        <f ca="1"/>
        <v>45817</v>
      </c>
      <c r="L60" vm="270">
        <f ca="1"/>
        <v>3587.4</v>
      </c>
      <c r="N60" vm="760">
        <f ca="1"/>
        <v>45817</v>
      </c>
      <c r="O60" vm="271">
        <f ca="1"/>
        <v>1505.2</v>
      </c>
      <c r="Q60" vm="760">
        <f ca="1"/>
        <v>45817</v>
      </c>
      <c r="R60" vm="272">
        <f ca="1"/>
        <v>12408</v>
      </c>
      <c r="T60" vm="760">
        <f ca="1"/>
        <v>45817</v>
      </c>
      <c r="U60" vm="273">
        <f ca="1"/>
        <v>1695.3</v>
      </c>
      <c r="W60" s="109">
        <v>45817</v>
      </c>
      <c r="X60" s="110">
        <v>25103.19921875</v>
      </c>
    </row>
    <row r="61" spans="2:24" x14ac:dyDescent="0.3">
      <c r="B61" vm="761">
        <f ca="1"/>
        <v>45824</v>
      </c>
      <c r="C61" vm="274">
        <f ca="1"/>
        <v>1466.2</v>
      </c>
      <c r="E61" vm="761">
        <f ca="1"/>
        <v>45824</v>
      </c>
      <c r="F61" vm="275">
        <f ca="1"/>
        <v>1936.7</v>
      </c>
      <c r="H61" vm="761">
        <f ca="1"/>
        <v>45824</v>
      </c>
      <c r="I61" vm="276">
        <f ca="1"/>
        <v>979.91380000000004</v>
      </c>
      <c r="K61" vm="761">
        <f ca="1"/>
        <v>45824</v>
      </c>
      <c r="L61" vm="277">
        <f ca="1"/>
        <v>3662</v>
      </c>
      <c r="N61" vm="761">
        <f ca="1"/>
        <v>45824</v>
      </c>
      <c r="O61" vm="278">
        <f ca="1"/>
        <v>1499.7</v>
      </c>
      <c r="Q61" vm="761">
        <f ca="1"/>
        <v>45824</v>
      </c>
      <c r="R61" vm="279">
        <f ca="1"/>
        <v>12791</v>
      </c>
      <c r="T61" vm="761">
        <f ca="1"/>
        <v>45824</v>
      </c>
      <c r="U61" vm="280">
        <f ca="1"/>
        <v>1739.9</v>
      </c>
      <c r="W61" s="109">
        <v>45824</v>
      </c>
      <c r="X61" s="110">
        <v>24946.5</v>
      </c>
    </row>
    <row r="62" spans="2:24" x14ac:dyDescent="0.3">
      <c r="B62" vm="762">
        <f ca="1"/>
        <v>45831</v>
      </c>
      <c r="C62" vm="281">
        <f ca="1"/>
        <v>1515.4</v>
      </c>
      <c r="E62" vm="762">
        <f ca="1"/>
        <v>45831</v>
      </c>
      <c r="F62" vm="282">
        <f ca="1"/>
        <v>2027.1</v>
      </c>
      <c r="H62" vm="762">
        <f ca="1"/>
        <v>45831</v>
      </c>
      <c r="I62" vm="283">
        <f ca="1"/>
        <v>1004.9515</v>
      </c>
      <c r="K62" vm="762">
        <f ca="1"/>
        <v>45831</v>
      </c>
      <c r="L62" vm="284">
        <f ca="1"/>
        <v>3679.2</v>
      </c>
      <c r="N62" vm="762">
        <f ca="1"/>
        <v>45831</v>
      </c>
      <c r="O62" vm="285">
        <f ca="1"/>
        <v>1502.4</v>
      </c>
      <c r="Q62" vm="762">
        <f ca="1"/>
        <v>45831</v>
      </c>
      <c r="R62" vm="286">
        <f ca="1"/>
        <v>12642</v>
      </c>
      <c r="T62" vm="762">
        <f ca="1"/>
        <v>45831</v>
      </c>
      <c r="U62" vm="287">
        <f ca="1"/>
        <v>1723.3</v>
      </c>
      <c r="W62" s="109">
        <v>45831</v>
      </c>
      <c r="X62" s="110">
        <v>24971.900390625</v>
      </c>
    </row>
    <row r="63" spans="2:24" x14ac:dyDescent="0.3">
      <c r="B63" vm="763">
        <f ca="1"/>
        <v>45838</v>
      </c>
      <c r="C63" vm="288">
        <f ca="1"/>
        <v>1527.3</v>
      </c>
      <c r="E63" vm="763">
        <f ca="1"/>
        <v>45838</v>
      </c>
      <c r="F63" vm="289">
        <f ca="1"/>
        <v>2017.2</v>
      </c>
      <c r="H63" vm="763">
        <f ca="1"/>
        <v>45838</v>
      </c>
      <c r="I63" vm="290">
        <f ca="1"/>
        <v>992.18330000000003</v>
      </c>
      <c r="K63" vm="763">
        <f ca="1"/>
        <v>45838</v>
      </c>
      <c r="L63" vm="291">
        <f ca="1"/>
        <v>3594.6</v>
      </c>
      <c r="N63" vm="763">
        <f ca="1"/>
        <v>45838</v>
      </c>
      <c r="O63" vm="292">
        <f ca="1"/>
        <v>1513.3</v>
      </c>
      <c r="Q63" vm="763">
        <f ca="1"/>
        <v>45838</v>
      </c>
      <c r="R63" vm="293">
        <f ca="1"/>
        <v>12646</v>
      </c>
      <c r="T63" vm="763">
        <f ca="1"/>
        <v>45838</v>
      </c>
      <c r="U63" vm="294">
        <f ca="1"/>
        <v>1725.9</v>
      </c>
      <c r="W63" s="109">
        <v>45838</v>
      </c>
      <c r="X63" s="110">
        <v>25517.05078125</v>
      </c>
    </row>
    <row r="64" spans="2:24" x14ac:dyDescent="0.3">
      <c r="B64" vm="764">
        <f ca="1"/>
        <v>45845</v>
      </c>
      <c r="C64" vm="295">
        <f ca="1"/>
        <v>1495.2</v>
      </c>
      <c r="E64" vm="764">
        <f ca="1"/>
        <v>45845</v>
      </c>
      <c r="F64" vm="296">
        <f ca="1"/>
        <v>1921.9</v>
      </c>
      <c r="H64" vm="764">
        <f ca="1"/>
        <v>45845</v>
      </c>
      <c r="I64" vm="297">
        <f ca="1"/>
        <v>989.39020000000005</v>
      </c>
      <c r="K64" vm="764">
        <f ca="1"/>
        <v>45845</v>
      </c>
      <c r="L64" vm="298">
        <f ca="1"/>
        <v>3540.6</v>
      </c>
      <c r="N64" vm="764">
        <f ca="1"/>
        <v>45845</v>
      </c>
      <c r="O64" vm="299">
        <f ca="1"/>
        <v>1485</v>
      </c>
      <c r="Q64" vm="764">
        <f ca="1"/>
        <v>45845</v>
      </c>
      <c r="R64" vm="300">
        <f ca="1"/>
        <v>12574</v>
      </c>
      <c r="T64" vm="764">
        <f ca="1"/>
        <v>45845</v>
      </c>
      <c r="U64" vm="301">
        <f ca="1"/>
        <v>1638.3</v>
      </c>
      <c r="W64" s="109">
        <v>45845</v>
      </c>
      <c r="X64" s="110">
        <v>25461.30078125</v>
      </c>
    </row>
    <row r="65" spans="2:24" x14ac:dyDescent="0.3">
      <c r="B65" vm="765">
        <f ca="1"/>
        <v>45852</v>
      </c>
      <c r="C65" vm="302">
        <f ca="1"/>
        <v>1476</v>
      </c>
      <c r="E65" vm="765">
        <f ca="1"/>
        <v>45852</v>
      </c>
      <c r="F65" vm="303">
        <f ca="1"/>
        <v>1901</v>
      </c>
      <c r="H65" vm="765">
        <f ca="1"/>
        <v>45852</v>
      </c>
      <c r="I65" vm="304">
        <f ca="1"/>
        <v>976.27279999999996</v>
      </c>
      <c r="K65" vm="765">
        <f ca="1"/>
        <v>45852</v>
      </c>
      <c r="L65" vm="305">
        <f ca="1"/>
        <v>3464.8</v>
      </c>
      <c r="N65" vm="765">
        <f ca="1"/>
        <v>45852</v>
      </c>
      <c r="O65" vm="306">
        <f ca="1"/>
        <v>1482.3</v>
      </c>
      <c r="Q65" vm="765">
        <f ca="1"/>
        <v>45852</v>
      </c>
      <c r="R65" vm="307">
        <f ca="1"/>
        <v>12419</v>
      </c>
      <c r="T65" vm="765">
        <f ca="1"/>
        <v>45852</v>
      </c>
      <c r="U65" vm="308">
        <f ca="1"/>
        <v>1548.8</v>
      </c>
      <c r="W65" s="109">
        <v>45852</v>
      </c>
      <c r="X65" s="110">
        <v>25082.30078125</v>
      </c>
    </row>
    <row r="66" spans="2:24" x14ac:dyDescent="0.3">
      <c r="B66" vm="766">
        <f ca="1"/>
        <v>45859</v>
      </c>
      <c r="C66" vm="309">
        <f ca="1"/>
        <v>1391.7</v>
      </c>
      <c r="E66" vm="766">
        <f ca="1"/>
        <v>45859</v>
      </c>
      <c r="F66" vm="310">
        <f ca="1"/>
        <v>1937.9</v>
      </c>
      <c r="H66" vm="766">
        <f ca="1"/>
        <v>45859</v>
      </c>
      <c r="I66" vm="311">
        <f ca="1"/>
        <v>1002.3</v>
      </c>
      <c r="K66" vm="766">
        <f ca="1"/>
        <v>45859</v>
      </c>
      <c r="L66" vm="312">
        <f ca="1"/>
        <v>3442.9</v>
      </c>
      <c r="N66" vm="766">
        <f ca="1"/>
        <v>45859</v>
      </c>
      <c r="O66" vm="313">
        <f ca="1"/>
        <v>1532.5</v>
      </c>
      <c r="Q66" vm="766">
        <f ca="1"/>
        <v>45859</v>
      </c>
      <c r="R66" vm="314">
        <f ca="1"/>
        <v>12404</v>
      </c>
      <c r="T66" vm="766">
        <f ca="1"/>
        <v>45859</v>
      </c>
      <c r="U66" vm="315">
        <f ca="1"/>
        <v>1490.1</v>
      </c>
      <c r="W66" s="109">
        <v>45859</v>
      </c>
      <c r="X66" s="110">
        <v>25090.69921875</v>
      </c>
    </row>
    <row r="67" spans="2:24" x14ac:dyDescent="0.3">
      <c r="B67" vm="767">
        <f ca="1"/>
        <v>45866</v>
      </c>
      <c r="C67" vm="316">
        <f ca="1"/>
        <v>1393.7</v>
      </c>
      <c r="E67" vm="767">
        <f ca="1"/>
        <v>45866</v>
      </c>
      <c r="F67" vm="317">
        <f ca="1"/>
        <v>1884.4</v>
      </c>
      <c r="H67" vm="767">
        <f ca="1"/>
        <v>45866</v>
      </c>
      <c r="I67" vm="318">
        <f ca="1"/>
        <v>1006.1</v>
      </c>
      <c r="K67" vm="767">
        <f ca="1"/>
        <v>45866</v>
      </c>
      <c r="L67" vm="319">
        <f ca="1"/>
        <v>3587.3</v>
      </c>
      <c r="N67" vm="767">
        <f ca="1"/>
        <v>45866</v>
      </c>
      <c r="O67" vm="320">
        <f ca="1"/>
        <v>1502.8</v>
      </c>
      <c r="Q67" vm="767">
        <f ca="1"/>
        <v>45866</v>
      </c>
      <c r="R67" vm="321">
        <f ca="1"/>
        <v>12302</v>
      </c>
      <c r="T67" vm="767">
        <f ca="1"/>
        <v>45866</v>
      </c>
      <c r="U67" vm="322">
        <f ca="1"/>
        <v>1452.1</v>
      </c>
      <c r="W67" s="109">
        <v>45866</v>
      </c>
      <c r="X67" s="110">
        <v>24680.900390625</v>
      </c>
    </row>
    <row r="68" spans="2:24" x14ac:dyDescent="0.3">
      <c r="B68" vm="768">
        <f ca="1"/>
        <v>45873</v>
      </c>
      <c r="C68" vm="323">
        <f ca="1"/>
        <v>1367.8</v>
      </c>
      <c r="E68" vm="768">
        <f ca="1"/>
        <v>45873</v>
      </c>
      <c r="F68" vm="324">
        <f ca="1"/>
        <v>1858.6</v>
      </c>
      <c r="H68" vm="768">
        <f ca="1"/>
        <v>45873</v>
      </c>
      <c r="I68" vm="325">
        <f ca="1"/>
        <v>986.95</v>
      </c>
      <c r="K68" vm="768">
        <f ca="1"/>
        <v>45873</v>
      </c>
      <c r="L68" vm="326">
        <f ca="1"/>
        <v>3607.6</v>
      </c>
      <c r="N68" vm="768">
        <f ca="1"/>
        <v>45873</v>
      </c>
      <c r="O68" vm="327">
        <f ca="1"/>
        <v>1485.8</v>
      </c>
      <c r="Q68" vm="768">
        <f ca="1"/>
        <v>45873</v>
      </c>
      <c r="R68" vm="328">
        <f ca="1"/>
        <v>12590</v>
      </c>
      <c r="T68" vm="768">
        <f ca="1"/>
        <v>45873</v>
      </c>
      <c r="U68" vm="329">
        <f ca="1"/>
        <v>1475.7</v>
      </c>
      <c r="W68" s="109">
        <v>45873</v>
      </c>
      <c r="X68" s="110">
        <v>24722.75</v>
      </c>
    </row>
    <row r="69" spans="2:24" x14ac:dyDescent="0.3">
      <c r="B69" vm="769">
        <f ca="1"/>
        <v>45880</v>
      </c>
      <c r="C69" vm="330">
        <f ca="1"/>
        <v>1373.8</v>
      </c>
      <c r="E69" vm="769">
        <f ca="1"/>
        <v>45880</v>
      </c>
      <c r="F69" vm="331">
        <f ca="1"/>
        <v>1873.8</v>
      </c>
      <c r="H69" vm="769">
        <f ca="1"/>
        <v>45880</v>
      </c>
      <c r="I69" vm="332">
        <f ca="1"/>
        <v>995.55</v>
      </c>
      <c r="K69" vm="769">
        <f ca="1"/>
        <v>45880</v>
      </c>
      <c r="L69" vm="333">
        <f ca="1"/>
        <v>3677</v>
      </c>
      <c r="N69" vm="769">
        <f ca="1"/>
        <v>45880</v>
      </c>
      <c r="O69" vm="334">
        <f ca="1"/>
        <v>1564</v>
      </c>
      <c r="Q69" vm="769">
        <f ca="1"/>
        <v>45880</v>
      </c>
      <c r="R69" vm="335">
        <f ca="1"/>
        <v>12936</v>
      </c>
      <c r="T69" vm="769">
        <f ca="1"/>
        <v>45880</v>
      </c>
      <c r="U69" vm="336">
        <f ca="1"/>
        <v>1489.8</v>
      </c>
      <c r="W69" s="109">
        <v>45880</v>
      </c>
      <c r="X69" s="110">
        <v>24585.05078125</v>
      </c>
    </row>
    <row r="70" spans="2:24" x14ac:dyDescent="0.3">
      <c r="B70" vm="770">
        <f ca="1"/>
        <v>45887</v>
      </c>
      <c r="C70" vm="337">
        <f ca="1"/>
        <v>1409.2</v>
      </c>
      <c r="E70" vm="770">
        <f ca="1"/>
        <v>45887</v>
      </c>
      <c r="F70" vm="338">
        <f ca="1"/>
        <v>1933.3</v>
      </c>
      <c r="H70" vm="770">
        <f ca="1"/>
        <v>45887</v>
      </c>
      <c r="I70" vm="339">
        <f ca="1"/>
        <v>982.3</v>
      </c>
      <c r="K70" vm="770">
        <f ca="1"/>
        <v>45887</v>
      </c>
      <c r="L70" vm="340">
        <f ca="1"/>
        <v>3595.8</v>
      </c>
      <c r="N70" vm="770">
        <f ca="1"/>
        <v>45887</v>
      </c>
      <c r="O70" vm="341">
        <f ca="1"/>
        <v>1592.8</v>
      </c>
      <c r="Q70" vm="770">
        <f ca="1"/>
        <v>45887</v>
      </c>
      <c r="R70" vm="342">
        <f ca="1"/>
        <v>14349</v>
      </c>
      <c r="T70" vm="770">
        <f ca="1"/>
        <v>45887</v>
      </c>
      <c r="U70" vm="343">
        <f ca="1"/>
        <v>1466.3</v>
      </c>
      <c r="W70" s="109">
        <v>45887</v>
      </c>
      <c r="X70" s="110">
        <v>24876.94921875</v>
      </c>
    </row>
    <row r="71" spans="2:24" x14ac:dyDescent="0.3">
      <c r="B71" vm="771">
        <f ca="1"/>
        <v>45894</v>
      </c>
      <c r="C71" vm="344">
        <f ca="1"/>
        <v>1357.2</v>
      </c>
      <c r="E71" vm="771">
        <f ca="1"/>
        <v>45894</v>
      </c>
      <c r="F71" vm="345">
        <f ca="1"/>
        <v>1888.8</v>
      </c>
      <c r="H71" vm="771">
        <f ca="1"/>
        <v>45894</v>
      </c>
      <c r="I71" vm="346">
        <f ca="1"/>
        <v>951.6</v>
      </c>
      <c r="K71" vm="771">
        <f ca="1"/>
        <v>45894</v>
      </c>
      <c r="L71" vm="347">
        <f ca="1"/>
        <v>3601</v>
      </c>
      <c r="N71" vm="771">
        <f ca="1"/>
        <v>45894</v>
      </c>
      <c r="O71" vm="348">
        <f ca="1"/>
        <v>1589.4</v>
      </c>
      <c r="Q71" vm="771">
        <f ca="1"/>
        <v>45894</v>
      </c>
      <c r="R71" vm="349">
        <f ca="1"/>
        <v>14791</v>
      </c>
      <c r="T71" vm="771">
        <f ca="1"/>
        <v>45894</v>
      </c>
      <c r="U71" vm="350">
        <f ca="1"/>
        <v>1454.8</v>
      </c>
      <c r="W71" s="109">
        <v>45894</v>
      </c>
      <c r="X71" s="110">
        <v>24967.75</v>
      </c>
    </row>
    <row r="72" spans="2:24" x14ac:dyDescent="0.3">
      <c r="B72" vm="772">
        <f ca="1"/>
        <v>45901</v>
      </c>
      <c r="C72" vm="351">
        <f ca="1"/>
        <v>1375</v>
      </c>
      <c r="E72" vm="772">
        <f ca="1"/>
        <v>45901</v>
      </c>
      <c r="F72" vm="352">
        <f ca="1"/>
        <v>1895.3</v>
      </c>
      <c r="H72" vm="772">
        <f ca="1"/>
        <v>45901</v>
      </c>
      <c r="I72" vm="353">
        <f ca="1"/>
        <v>963.4</v>
      </c>
      <c r="K72" vm="772">
        <f ca="1"/>
        <v>45901</v>
      </c>
      <c r="L72" vm="354">
        <f ca="1"/>
        <v>3553.6</v>
      </c>
      <c r="N72" vm="772">
        <f ca="1"/>
        <v>45901</v>
      </c>
      <c r="O72" vm="355">
        <f ca="1"/>
        <v>1553.4</v>
      </c>
      <c r="Q72" vm="772">
        <f ca="1"/>
        <v>45901</v>
      </c>
      <c r="R72" vm="356">
        <f ca="1"/>
        <v>14895</v>
      </c>
      <c r="T72" vm="772">
        <f ca="1"/>
        <v>45901</v>
      </c>
      <c r="U72" vm="357">
        <f ca="1"/>
        <v>1419</v>
      </c>
      <c r="W72" s="109">
        <v>45901</v>
      </c>
      <c r="X72" s="110">
        <v>24625.05078125</v>
      </c>
    </row>
    <row r="73" spans="2:24" x14ac:dyDescent="0.3">
      <c r="B73" vm="773">
        <f ca="1"/>
        <v>45908</v>
      </c>
      <c r="C73" vm="5">
        <f ca="1"/>
        <v>1395</v>
      </c>
      <c r="E73" vm="773">
        <f ca="1"/>
        <v>45908</v>
      </c>
      <c r="F73" vm="358">
        <f ca="1"/>
        <v>1902.6</v>
      </c>
      <c r="H73" vm="773">
        <f ca="1"/>
        <v>45908</v>
      </c>
      <c r="I73" vm="359">
        <f ca="1"/>
        <v>967.3</v>
      </c>
      <c r="K73" vm="773">
        <f ca="1"/>
        <v>45908</v>
      </c>
      <c r="L73" vm="360">
        <f ca="1"/>
        <v>3579.8</v>
      </c>
      <c r="N73" vm="773">
        <f ca="1"/>
        <v>45908</v>
      </c>
      <c r="O73" vm="361">
        <f ca="1"/>
        <v>1574.6</v>
      </c>
      <c r="Q73" vm="773">
        <f ca="1"/>
        <v>45908</v>
      </c>
      <c r="R73" vm="362">
        <f ca="1"/>
        <v>15325</v>
      </c>
      <c r="T73" vm="773">
        <f ca="1"/>
        <v>45908</v>
      </c>
      <c r="U73" vm="363">
        <f ca="1"/>
        <v>1467.2</v>
      </c>
      <c r="W73" s="109">
        <v>45908</v>
      </c>
      <c r="X73" s="110">
        <v>24773.150390625</v>
      </c>
    </row>
    <row r="74" spans="2:24" x14ac:dyDescent="0.3">
      <c r="B74" vm="774">
        <f ca="1"/>
        <v>45915</v>
      </c>
      <c r="C74" vm="364">
        <f ca="1"/>
        <v>1407.4</v>
      </c>
      <c r="E74" vm="774">
        <f ca="1"/>
        <v>45915</v>
      </c>
      <c r="F74" vm="365">
        <f ca="1"/>
        <v>1962.4</v>
      </c>
      <c r="H74" vm="774">
        <f ca="1"/>
        <v>45915</v>
      </c>
      <c r="I74" vm="366">
        <f ca="1"/>
        <v>966.9</v>
      </c>
      <c r="K74" vm="774">
        <f ca="1"/>
        <v>45915</v>
      </c>
      <c r="L74" vm="367">
        <f ca="1"/>
        <v>3675.4</v>
      </c>
      <c r="N74" vm="774">
        <f ca="1"/>
        <v>45915</v>
      </c>
      <c r="O74" vm="368">
        <f ca="1"/>
        <v>1575.8</v>
      </c>
      <c r="Q74" vm="774">
        <f ca="1"/>
        <v>45915</v>
      </c>
      <c r="R74" vm="369">
        <f ca="1"/>
        <v>15864</v>
      </c>
      <c r="T74" vm="774">
        <f ca="1"/>
        <v>45915</v>
      </c>
      <c r="U74" vm="370">
        <f ca="1"/>
        <v>1467.4</v>
      </c>
      <c r="W74" s="109">
        <v>45915</v>
      </c>
      <c r="X74" s="110">
        <v>25069.19921875</v>
      </c>
    </row>
    <row r="75" spans="2:24" x14ac:dyDescent="0.3">
      <c r="B75" vm="775">
        <f ca="1"/>
        <v>45922</v>
      </c>
      <c r="C75" vm="371">
        <f ca="1"/>
        <v>1377.6</v>
      </c>
      <c r="E75" vm="775">
        <f ca="1"/>
        <v>45922</v>
      </c>
      <c r="F75" vm="372">
        <f ca="1"/>
        <v>1916.6</v>
      </c>
      <c r="H75" vm="775">
        <f ca="1"/>
        <v>45922</v>
      </c>
      <c r="I75" vm="373">
        <f ca="1"/>
        <v>945.05</v>
      </c>
      <c r="K75" vm="775">
        <f ca="1"/>
        <v>45922</v>
      </c>
      <c r="L75" vm="374">
        <f ca="1"/>
        <v>3729.5</v>
      </c>
      <c r="N75" vm="775">
        <f ca="1"/>
        <v>45922</v>
      </c>
      <c r="O75" vm="375">
        <f ca="1"/>
        <v>1499.4</v>
      </c>
      <c r="Q75" vm="775">
        <f ca="1"/>
        <v>45922</v>
      </c>
      <c r="R75" vm="376">
        <f ca="1"/>
        <v>16286</v>
      </c>
      <c r="T75" vm="775">
        <f ca="1"/>
        <v>45922</v>
      </c>
      <c r="U75" vm="377">
        <f ca="1"/>
        <v>1395.3</v>
      </c>
      <c r="W75" s="109">
        <v>45922</v>
      </c>
      <c r="X75" s="110">
        <v>25202.349609375</v>
      </c>
    </row>
    <row r="76" spans="2:24" x14ac:dyDescent="0.3">
      <c r="B76" vm="776">
        <f ca="1"/>
        <v>45929</v>
      </c>
      <c r="C76" vm="378">
        <f ca="1"/>
        <v>1363.4</v>
      </c>
      <c r="E76" vm="776">
        <f ca="1"/>
        <v>45929</v>
      </c>
      <c r="F76" vm="379">
        <f ca="1"/>
        <v>1896.7</v>
      </c>
      <c r="H76" vm="776">
        <f ca="1"/>
        <v>45929</v>
      </c>
      <c r="I76" vm="380">
        <f ca="1"/>
        <v>965.15</v>
      </c>
      <c r="K76" vm="776">
        <f ca="1"/>
        <v>45929</v>
      </c>
      <c r="L76" vm="381">
        <f ca="1"/>
        <v>3733.1</v>
      </c>
      <c r="N76" vm="776">
        <f ca="1"/>
        <v>45929</v>
      </c>
      <c r="O76" vm="382">
        <f ca="1"/>
        <v>1517.7</v>
      </c>
      <c r="Q76" vm="776">
        <f ca="1"/>
        <v>45929</v>
      </c>
      <c r="R76" vm="383">
        <f ca="1"/>
        <v>15806</v>
      </c>
      <c r="T76" vm="776">
        <f ca="1"/>
        <v>45929</v>
      </c>
      <c r="U76" vm="384">
        <f ca="1"/>
        <v>1393.5</v>
      </c>
      <c r="W76" s="109">
        <v>45929</v>
      </c>
      <c r="X76" s="110">
        <v>24634.900390625</v>
      </c>
    </row>
    <row r="77" spans="2:24" x14ac:dyDescent="0.3">
      <c r="B77" vm="777">
        <f ca="1"/>
        <v>45936</v>
      </c>
      <c r="C77" vm="385">
        <f ca="1"/>
        <v>1381.7</v>
      </c>
      <c r="E77" vm="777">
        <f ca="1"/>
        <v>45936</v>
      </c>
      <c r="F77" vm="386">
        <f ca="1"/>
        <v>1939.9</v>
      </c>
      <c r="H77" vm="777">
        <f ca="1"/>
        <v>45936</v>
      </c>
      <c r="I77" vm="387">
        <f ca="1"/>
        <v>980.9</v>
      </c>
      <c r="K77" vm="777">
        <f ca="1"/>
        <v>45936</v>
      </c>
      <c r="L77" vm="388">
        <f ca="1"/>
        <v>3784</v>
      </c>
      <c r="N77" vm="777">
        <f ca="1"/>
        <v>45936</v>
      </c>
      <c r="O77" vm="389">
        <f ca="1"/>
        <v>1561.8</v>
      </c>
      <c r="Q77" vm="777">
        <f ca="1"/>
        <v>45936</v>
      </c>
      <c r="R77" vm="390">
        <f ca="1"/>
        <v>16265</v>
      </c>
      <c r="T77" vm="777">
        <f ca="1"/>
        <v>45936</v>
      </c>
      <c r="U77" vm="391">
        <f ca="1"/>
        <v>1495.5</v>
      </c>
      <c r="W77" s="109">
        <v>45936</v>
      </c>
      <c r="X77" s="110">
        <v>25077.650390625</v>
      </c>
    </row>
    <row r="78" spans="2:24" x14ac:dyDescent="0.3">
      <c r="B78" vm="778">
        <f ca="1"/>
        <v>45943</v>
      </c>
      <c r="C78" vm="392">
        <f ca="1"/>
        <v>1416.8</v>
      </c>
      <c r="E78" vm="778">
        <f ca="1"/>
        <v>45943</v>
      </c>
      <c r="F78" vm="393">
        <f ca="1"/>
        <v>2012</v>
      </c>
      <c r="H78" vm="778">
        <f ca="1"/>
        <v>45943</v>
      </c>
      <c r="I78" vm="394">
        <f ca="1"/>
        <v>1002.55</v>
      </c>
      <c r="K78" vm="778">
        <f ca="1"/>
        <v>45943</v>
      </c>
      <c r="L78" vm="395">
        <f ca="1"/>
        <v>3839.4</v>
      </c>
      <c r="N78" vm="778">
        <f ca="1"/>
        <v>45943</v>
      </c>
      <c r="O78" vm="396">
        <f ca="1"/>
        <v>1577.6</v>
      </c>
      <c r="Q78" vm="778">
        <f ca="1"/>
        <v>45943</v>
      </c>
      <c r="R78" vm="397">
        <f ca="1"/>
        <v>16401</v>
      </c>
      <c r="T78" vm="778">
        <f ca="1"/>
        <v>45943</v>
      </c>
      <c r="U78" vm="398">
        <f ca="1"/>
        <v>1486.2</v>
      </c>
      <c r="W78" s="109">
        <v>45943</v>
      </c>
      <c r="X78" s="110">
        <v>25227.349609375</v>
      </c>
    </row>
    <row r="79" spans="2:24" x14ac:dyDescent="0.3">
      <c r="B79" vm="779">
        <f ca="1"/>
        <v>45950</v>
      </c>
      <c r="C79" vm="399">
        <f ca="1"/>
        <v>1451.6</v>
      </c>
      <c r="E79" vm="779">
        <f ca="1"/>
        <v>45950</v>
      </c>
      <c r="F79" vm="400">
        <f ca="1"/>
        <v>2029.3</v>
      </c>
      <c r="H79" vm="779">
        <f ca="1"/>
        <v>45950</v>
      </c>
      <c r="I79" vm="401">
        <f ca="1"/>
        <v>994.75</v>
      </c>
      <c r="K79" vm="779">
        <f ca="1"/>
        <v>45950</v>
      </c>
      <c r="L79" vm="402">
        <f ca="1"/>
        <v>3904.9</v>
      </c>
      <c r="N79" vm="779">
        <f ca="1"/>
        <v>45950</v>
      </c>
      <c r="O79" vm="403">
        <f ca="1"/>
        <v>1584.4</v>
      </c>
      <c r="Q79" vm="779">
        <f ca="1"/>
        <v>45950</v>
      </c>
      <c r="R79" vm="404">
        <f ca="1"/>
        <v>16274</v>
      </c>
      <c r="T79" vm="779">
        <f ca="1"/>
        <v>45950</v>
      </c>
      <c r="U79" vm="405">
        <f ca="1"/>
        <v>1523.8</v>
      </c>
      <c r="W79" s="109">
        <v>45950</v>
      </c>
      <c r="X79" s="110">
        <v>25843.150390625</v>
      </c>
    </row>
    <row r="80" spans="2:24" x14ac:dyDescent="0.3">
      <c r="B80" vm="780">
        <f ca="1"/>
        <v>45957</v>
      </c>
      <c r="C80" vm="406">
        <f ca="1"/>
        <v>1486.4</v>
      </c>
      <c r="E80" vm="780">
        <f ca="1"/>
        <v>45957</v>
      </c>
      <c r="F80" vm="407">
        <f ca="1"/>
        <v>2054.5</v>
      </c>
      <c r="H80" vm="780">
        <f ca="1"/>
        <v>45957</v>
      </c>
      <c r="I80" vm="408">
        <f ca="1"/>
        <v>987.3</v>
      </c>
      <c r="K80" vm="780">
        <f ca="1"/>
        <v>45957</v>
      </c>
      <c r="L80" vm="409">
        <f ca="1"/>
        <v>4030.9</v>
      </c>
      <c r="N80" vm="780">
        <f ca="1"/>
        <v>45957</v>
      </c>
      <c r="O80" vm="410">
        <f ca="1"/>
        <v>1501.3</v>
      </c>
      <c r="Q80" vm="780">
        <f ca="1"/>
        <v>45957</v>
      </c>
      <c r="R80" vm="411">
        <f ca="1"/>
        <v>16186</v>
      </c>
      <c r="T80" vm="780">
        <f ca="1"/>
        <v>45957</v>
      </c>
      <c r="U80" vm="412">
        <f ca="1"/>
        <v>1541.5</v>
      </c>
      <c r="W80" s="109">
        <v>45957</v>
      </c>
      <c r="X80" s="110">
        <v>25966.05078125</v>
      </c>
    </row>
    <row r="81" spans="2:24" x14ac:dyDescent="0.3">
      <c r="B81" vm="781">
        <f ca="1"/>
        <v>45964</v>
      </c>
      <c r="C81" vm="413">
        <f ca="1"/>
        <v>1478</v>
      </c>
      <c r="E81" vm="781">
        <f ca="1"/>
        <v>45964</v>
      </c>
      <c r="F81" vm="414">
        <f ca="1"/>
        <v>2001.2</v>
      </c>
      <c r="H81" vm="781">
        <f ca="1"/>
        <v>45964</v>
      </c>
      <c r="I81" vm="339">
        <f ca="1"/>
        <v>982.3</v>
      </c>
      <c r="K81" vm="781">
        <f ca="1"/>
        <v>45964</v>
      </c>
      <c r="L81" vm="415">
        <f ca="1"/>
        <v>3882.5</v>
      </c>
      <c r="N81" vm="781">
        <f ca="1"/>
        <v>45964</v>
      </c>
      <c r="O81" vm="416">
        <f ca="1"/>
        <v>1505.7</v>
      </c>
      <c r="Q81" vm="781">
        <f ca="1"/>
        <v>45964</v>
      </c>
      <c r="R81" vm="417">
        <f ca="1"/>
        <v>15479</v>
      </c>
      <c r="T81" vm="781">
        <f ca="1"/>
        <v>45964</v>
      </c>
      <c r="U81" vm="418">
        <f ca="1"/>
        <v>1512.4</v>
      </c>
      <c r="W81" s="109">
        <v>45964</v>
      </c>
      <c r="X81" s="110">
        <v>25763.349609375</v>
      </c>
    </row>
    <row r="82" spans="2:24" x14ac:dyDescent="0.3">
      <c r="B82" vm="782">
        <f ca="1"/>
        <v>45971</v>
      </c>
      <c r="C82" vm="419">
        <f ca="1"/>
        <v>1518.9</v>
      </c>
      <c r="E82" vm="782">
        <f ca="1"/>
        <v>45971</v>
      </c>
      <c r="F82" vm="420">
        <f ca="1"/>
        <v>2100.6999999999998</v>
      </c>
      <c r="H82" vm="782">
        <f ca="1"/>
        <v>45971</v>
      </c>
      <c r="I82" vm="421">
        <f ca="1"/>
        <v>989.6</v>
      </c>
      <c r="K82" vm="782">
        <f ca="1"/>
        <v>45971</v>
      </c>
      <c r="L82" vm="422">
        <f ca="1"/>
        <v>4004.4</v>
      </c>
      <c r="N82" vm="782">
        <f ca="1"/>
        <v>45971</v>
      </c>
      <c r="O82" vm="423">
        <f ca="1"/>
        <v>1532.1</v>
      </c>
      <c r="Q82" vm="782">
        <f ca="1"/>
        <v>45971</v>
      </c>
      <c r="R82" vm="424">
        <f ca="1"/>
        <v>15684</v>
      </c>
      <c r="T82" vm="782">
        <f ca="1"/>
        <v>45971</v>
      </c>
      <c r="U82" vm="425">
        <f ca="1"/>
        <v>1594.6</v>
      </c>
      <c r="W82" s="109">
        <v>45971</v>
      </c>
      <c r="X82" s="110">
        <v>25574.349609375</v>
      </c>
    </row>
    <row r="83" spans="2:24" x14ac:dyDescent="0.3">
      <c r="B83" vm="783">
        <f ca="1"/>
        <v>45978</v>
      </c>
      <c r="C83" vm="426">
        <f ca="1"/>
        <v>1546.6</v>
      </c>
      <c r="E83" vm="783">
        <f ca="1"/>
        <v>45978</v>
      </c>
      <c r="F83" vm="427">
        <f ca="1"/>
        <v>2162.6999999999998</v>
      </c>
      <c r="H83" vm="783">
        <f ca="1"/>
        <v>45978</v>
      </c>
      <c r="I83" vm="428">
        <f ca="1"/>
        <v>998.05</v>
      </c>
      <c r="K83" vm="783">
        <f ca="1"/>
        <v>45978</v>
      </c>
      <c r="L83" vm="429">
        <f ca="1"/>
        <v>4024.9</v>
      </c>
      <c r="N83" vm="783">
        <f ca="1"/>
        <v>45978</v>
      </c>
      <c r="O83" vm="430">
        <f ca="1"/>
        <v>1511.8</v>
      </c>
      <c r="Q83" vm="783">
        <f ca="1"/>
        <v>45978</v>
      </c>
      <c r="R83" vm="431">
        <f ca="1"/>
        <v>15977</v>
      </c>
      <c r="T83" vm="783">
        <f ca="1"/>
        <v>45978</v>
      </c>
      <c r="U83" vm="432">
        <f ca="1"/>
        <v>1608</v>
      </c>
      <c r="W83" s="109">
        <v>45978</v>
      </c>
      <c r="X83" s="110">
        <v>26013.44921875</v>
      </c>
    </row>
    <row r="84" spans="2:24" x14ac:dyDescent="0.3">
      <c r="B84" vm="784">
        <f ca="1"/>
        <v>45985</v>
      </c>
      <c r="C84" vm="433">
        <f ca="1"/>
        <v>1567.5</v>
      </c>
      <c r="E84" vm="784">
        <f ca="1"/>
        <v>45985</v>
      </c>
      <c r="F84" vm="434">
        <f ca="1"/>
        <v>2101.6</v>
      </c>
      <c r="H84" vm="784">
        <f ca="1"/>
        <v>45985</v>
      </c>
      <c r="I84" vm="435">
        <f ca="1"/>
        <v>1007.6</v>
      </c>
      <c r="K84" vm="784">
        <f ca="1"/>
        <v>45985</v>
      </c>
      <c r="L84" vm="436">
        <f ca="1"/>
        <v>4069.6</v>
      </c>
      <c r="N84" vm="784">
        <f ca="1"/>
        <v>45985</v>
      </c>
      <c r="O84" vm="437">
        <f ca="1"/>
        <v>1531.3</v>
      </c>
      <c r="Q84" vm="784">
        <f ca="1"/>
        <v>45985</v>
      </c>
      <c r="R84" vm="438">
        <f ca="1"/>
        <v>15900</v>
      </c>
      <c r="T84" vm="784">
        <f ca="1"/>
        <v>45985</v>
      </c>
      <c r="U84" vm="439">
        <f ca="1"/>
        <v>1624.2</v>
      </c>
      <c r="W84" s="109">
        <v>45985</v>
      </c>
      <c r="X84" s="110">
        <v>25959.5</v>
      </c>
    </row>
    <row r="85" spans="2:24" x14ac:dyDescent="0.3">
      <c r="B85" vm="785">
        <f ca="1"/>
        <v>45992</v>
      </c>
      <c r="C85" vm="440">
        <f ca="1"/>
        <v>1540.6</v>
      </c>
      <c r="E85" vm="785">
        <f ca="1"/>
        <v>45992</v>
      </c>
      <c r="F85" vm="441">
        <f ca="1"/>
        <v>2108.8000000000002</v>
      </c>
      <c r="H85" vm="785">
        <f ca="1"/>
        <v>45992</v>
      </c>
      <c r="I85" vm="442">
        <f ca="1"/>
        <v>1003.3</v>
      </c>
      <c r="K85" vm="785">
        <f ca="1"/>
        <v>45992</v>
      </c>
      <c r="L85" vm="443">
        <f ca="1"/>
        <v>4038.2</v>
      </c>
      <c r="N85" vm="785">
        <f ca="1"/>
        <v>45992</v>
      </c>
      <c r="O85" vm="444">
        <f ca="1"/>
        <v>1520.8</v>
      </c>
      <c r="Q85" vm="785">
        <f ca="1"/>
        <v>45992</v>
      </c>
      <c r="R85" vm="445">
        <f ca="1"/>
        <v>16282</v>
      </c>
      <c r="T85" vm="785">
        <f ca="1"/>
        <v>45992</v>
      </c>
      <c r="U85" vm="446">
        <f ca="1"/>
        <v>1683</v>
      </c>
      <c r="W85" s="109">
        <v>45992</v>
      </c>
      <c r="X85" s="110">
        <v>26175.75</v>
      </c>
    </row>
    <row r="86" spans="2:24" x14ac:dyDescent="0.3">
      <c r="B86" vm="786">
        <f ca="1"/>
        <v>45999</v>
      </c>
      <c r="C86" vm="447">
        <f ca="1"/>
        <v>1556.5</v>
      </c>
      <c r="E86" vm="786">
        <f ca="1"/>
        <v>45999</v>
      </c>
      <c r="F86" vm="448">
        <f ca="1"/>
        <v>2083.4</v>
      </c>
      <c r="H86" vm="786">
        <f ca="1"/>
        <v>45999</v>
      </c>
      <c r="I86" vm="449">
        <f ca="1"/>
        <v>1001.5</v>
      </c>
      <c r="K86" vm="786">
        <f ca="1"/>
        <v>45999</v>
      </c>
      <c r="L86" vm="450">
        <f ca="1"/>
        <v>4074.1</v>
      </c>
      <c r="N86" vm="786">
        <f ca="1"/>
        <v>45999</v>
      </c>
      <c r="O86" vm="451">
        <f ca="1"/>
        <v>1517.4</v>
      </c>
      <c r="Q86" vm="786">
        <f ca="1"/>
        <v>45999</v>
      </c>
      <c r="R86" vm="452">
        <f ca="1"/>
        <v>16522</v>
      </c>
      <c r="T86" vm="786">
        <f ca="1"/>
        <v>45999</v>
      </c>
      <c r="U86" vm="453">
        <f ca="1"/>
        <v>1673.2</v>
      </c>
      <c r="W86" s="109">
        <v>45999</v>
      </c>
      <c r="X86" s="110">
        <v>25960.55078125</v>
      </c>
    </row>
    <row r="87" spans="2:24" x14ac:dyDescent="0.3">
      <c r="B87" vm="787">
        <f ca="1"/>
        <v>46006</v>
      </c>
      <c r="C87" vm="454">
        <f ca="1"/>
        <v>1565.1</v>
      </c>
      <c r="E87" vm="787">
        <f ca="1"/>
        <v>46006</v>
      </c>
      <c r="F87" vm="455">
        <f ca="1"/>
        <v>2097.6999999999998</v>
      </c>
      <c r="H87" vm="787">
        <f ca="1"/>
        <v>46006</v>
      </c>
      <c r="I87" vm="456">
        <f ca="1"/>
        <v>985.5</v>
      </c>
      <c r="K87" vm="787">
        <f ca="1"/>
        <v>46006</v>
      </c>
      <c r="L87" vm="457">
        <f ca="1"/>
        <v>4073.5</v>
      </c>
      <c r="N87" vm="787">
        <f ca="1"/>
        <v>46006</v>
      </c>
      <c r="O87" vm="458">
        <f ca="1"/>
        <v>1517.1</v>
      </c>
      <c r="Q87" vm="787">
        <f ca="1"/>
        <v>46006</v>
      </c>
      <c r="R87" vm="459">
        <f ca="1"/>
        <v>16414</v>
      </c>
      <c r="T87" vm="787">
        <f ca="1"/>
        <v>46006</v>
      </c>
      <c r="U87" vm="460">
        <f ca="1"/>
        <v>1642.4</v>
      </c>
      <c r="W87" s="109">
        <v>46006</v>
      </c>
      <c r="X87" s="110">
        <v>26027.30078125</v>
      </c>
    </row>
    <row r="88" spans="2:24" x14ac:dyDescent="0.3">
      <c r="B88" vm="788">
        <f ca="1"/>
        <v>46013</v>
      </c>
      <c r="C88" vm="461">
        <f ca="1"/>
        <v>1559.2</v>
      </c>
      <c r="E88" vm="788">
        <f ca="1"/>
        <v>46013</v>
      </c>
      <c r="F88" vm="462">
        <f ca="1"/>
        <v>2105.4</v>
      </c>
      <c r="H88" vm="788">
        <f ca="1"/>
        <v>46013</v>
      </c>
      <c r="I88" vm="463">
        <f ca="1"/>
        <v>992.1</v>
      </c>
      <c r="K88" vm="788">
        <f ca="1"/>
        <v>46013</v>
      </c>
      <c r="L88" vm="464">
        <f ca="1"/>
        <v>4047.3</v>
      </c>
      <c r="N88" vm="788">
        <f ca="1"/>
        <v>46013</v>
      </c>
      <c r="O88" vm="465">
        <f ca="1"/>
        <v>1506</v>
      </c>
      <c r="Q88" vm="788">
        <f ca="1"/>
        <v>46013</v>
      </c>
      <c r="R88" vm="466">
        <f ca="1"/>
        <v>16596</v>
      </c>
      <c r="T88" vm="788">
        <f ca="1"/>
        <v>46013</v>
      </c>
      <c r="U88" vm="467">
        <f ca="1"/>
        <v>1660.9</v>
      </c>
      <c r="W88" s="109">
        <v>46013</v>
      </c>
      <c r="X88" s="110">
        <v>26172.400390625</v>
      </c>
    </row>
    <row r="89" spans="2:24" x14ac:dyDescent="0.3">
      <c r="B89" vm="789">
        <f ca="1"/>
        <v>46020</v>
      </c>
      <c r="C89" vm="468">
        <f ca="1"/>
        <v>1592.3</v>
      </c>
      <c r="E89" vm="789">
        <f ca="1"/>
        <v>46020</v>
      </c>
      <c r="F89" vm="469">
        <f ca="1"/>
        <v>2106.3000000000002</v>
      </c>
      <c r="H89" vm="789">
        <f ca="1"/>
        <v>46020</v>
      </c>
      <c r="I89" vm="470">
        <f ca="1"/>
        <v>1001.6</v>
      </c>
      <c r="K89" vm="789">
        <f ca="1"/>
        <v>46020</v>
      </c>
      <c r="L89" vm="471">
        <f ca="1"/>
        <v>4163.3999999999996</v>
      </c>
      <c r="N89" vm="789">
        <f ca="1"/>
        <v>46020</v>
      </c>
      <c r="O89" vm="472">
        <f ca="1"/>
        <v>1511.6</v>
      </c>
      <c r="Q89" vm="789">
        <f ca="1"/>
        <v>46020</v>
      </c>
      <c r="R89" vm="473">
        <f ca="1"/>
        <v>16960</v>
      </c>
      <c r="T89" vm="789">
        <f ca="1"/>
        <v>46020</v>
      </c>
      <c r="U89" vm="474">
        <f ca="1"/>
        <v>1640.2</v>
      </c>
      <c r="W89" s="109">
        <v>46020</v>
      </c>
      <c r="X89" s="110">
        <v>25942.099609375</v>
      </c>
    </row>
    <row r="90" spans="2:24" x14ac:dyDescent="0.3">
      <c r="B90" vm="790">
        <f ca="1"/>
        <v>46027</v>
      </c>
      <c r="C90" vm="475">
        <f ca="1"/>
        <v>1475.3</v>
      </c>
      <c r="E90" vm="790">
        <f ca="1"/>
        <v>46027</v>
      </c>
      <c r="F90" vm="282">
        <f ca="1"/>
        <v>2027.1</v>
      </c>
      <c r="H90" vm="790">
        <f ca="1"/>
        <v>46027</v>
      </c>
      <c r="I90" vm="476">
        <f ca="1"/>
        <v>939</v>
      </c>
      <c r="K90" vm="790">
        <f ca="1"/>
        <v>46027</v>
      </c>
      <c r="L90" vm="477">
        <f ca="1"/>
        <v>4025.2</v>
      </c>
      <c r="N90" vm="790">
        <f ca="1"/>
        <v>46027</v>
      </c>
      <c r="O90" vm="257">
        <f ca="1"/>
        <v>1465.7</v>
      </c>
      <c r="Q90" vm="790">
        <f ca="1"/>
        <v>46027</v>
      </c>
      <c r="R90" vm="478">
        <f ca="1"/>
        <v>16501</v>
      </c>
      <c r="T90" vm="790">
        <f ca="1"/>
        <v>46027</v>
      </c>
      <c r="U90" vm="479">
        <f ca="1"/>
        <v>1661.4</v>
      </c>
      <c r="W90" s="109">
        <v>46027</v>
      </c>
      <c r="X90" s="110">
        <v>26250.30078125</v>
      </c>
    </row>
    <row r="91" spans="2:24" x14ac:dyDescent="0.3">
      <c r="B91" vm="791">
        <f ca="1"/>
        <v>46034</v>
      </c>
      <c r="C91" vm="480">
        <f ca="1"/>
        <v>1457.9</v>
      </c>
      <c r="E91" vm="791">
        <f ca="1"/>
        <v>46034</v>
      </c>
      <c r="F91" vm="481">
        <f ca="1"/>
        <v>2016.4</v>
      </c>
      <c r="H91" vm="791">
        <f ca="1"/>
        <v>46034</v>
      </c>
      <c r="I91" vm="482">
        <f ca="1"/>
        <v>931.1</v>
      </c>
      <c r="K91" vm="791">
        <f ca="1"/>
        <v>46034</v>
      </c>
      <c r="L91" vm="483">
        <f ca="1"/>
        <v>3856.4</v>
      </c>
      <c r="N91" vm="791">
        <f ca="1"/>
        <v>46034</v>
      </c>
      <c r="O91" vm="484">
        <f ca="1"/>
        <v>1397.5</v>
      </c>
      <c r="Q91" vm="791">
        <f ca="1"/>
        <v>46034</v>
      </c>
      <c r="R91" vm="485">
        <f ca="1"/>
        <v>15859</v>
      </c>
      <c r="T91" vm="791">
        <f ca="1"/>
        <v>46034</v>
      </c>
      <c r="U91" vm="486">
        <f ca="1"/>
        <v>1698</v>
      </c>
      <c r="W91" s="109">
        <v>46034</v>
      </c>
      <c r="X91" s="110">
        <v>25790.25</v>
      </c>
    </row>
    <row r="92" spans="2:24" x14ac:dyDescent="0.3">
      <c r="B92" vm="792">
        <f ca="1"/>
        <v>46041</v>
      </c>
      <c r="C92" vm="487">
        <f ca="1"/>
        <v>1386.1</v>
      </c>
      <c r="E92" vm="792">
        <f ca="1"/>
        <v>46041</v>
      </c>
      <c r="F92" vm="488">
        <f ca="1"/>
        <v>1984.7</v>
      </c>
      <c r="H92" vm="792">
        <f ca="1"/>
        <v>46041</v>
      </c>
      <c r="I92" vm="489">
        <f ca="1"/>
        <v>916.1</v>
      </c>
      <c r="K92" vm="792">
        <f ca="1"/>
        <v>46041</v>
      </c>
      <c r="L92" vm="490">
        <f ca="1"/>
        <v>3743.8</v>
      </c>
      <c r="N92" vm="792">
        <f ca="1"/>
        <v>46041</v>
      </c>
      <c r="O92" vm="491">
        <f ca="1"/>
        <v>1315</v>
      </c>
      <c r="Q92" vm="792">
        <f ca="1"/>
        <v>46041</v>
      </c>
      <c r="R92" vm="492">
        <f ca="1"/>
        <v>15469</v>
      </c>
      <c r="T92" vm="792">
        <f ca="1"/>
        <v>46041</v>
      </c>
      <c r="U92" vm="493">
        <f ca="1"/>
        <v>1707</v>
      </c>
      <c r="W92" s="109">
        <v>46041</v>
      </c>
      <c r="X92" s="110">
        <v>25585.5</v>
      </c>
    </row>
    <row r="93" spans="2:24" x14ac:dyDescent="0.3">
      <c r="B93" vm="793">
        <f ca="1"/>
        <v>46049</v>
      </c>
      <c r="C93" vm="794">
        <f ca="1"/>
        <v>1395.4</v>
      </c>
      <c r="E93" vm="793">
        <f ca="1"/>
        <v>46049</v>
      </c>
      <c r="F93" vm="795">
        <f ca="1"/>
        <v>1968.7</v>
      </c>
      <c r="H93" vm="793">
        <f ca="1"/>
        <v>46049</v>
      </c>
      <c r="I93" vm="796">
        <f ca="1"/>
        <v>929.25</v>
      </c>
      <c r="K93" vm="793">
        <f ca="1"/>
        <v>46049</v>
      </c>
      <c r="L93" vm="797">
        <f ca="1"/>
        <v>3932.3</v>
      </c>
      <c r="N93" vm="793">
        <f ca="1"/>
        <v>46049</v>
      </c>
      <c r="O93" vm="798">
        <f ca="1"/>
        <v>1324</v>
      </c>
      <c r="Q93" vm="793">
        <f ca="1"/>
        <v>46049</v>
      </c>
      <c r="R93" vm="799">
        <f ca="1"/>
        <v>14599</v>
      </c>
      <c r="T93" vm="793">
        <f ca="1"/>
        <v>46049</v>
      </c>
      <c r="U93" vm="800">
        <f ca="1"/>
        <v>1695.6</v>
      </c>
      <c r="W93" s="109">
        <v>46048</v>
      </c>
      <c r="X93" s="110">
        <v>25175.400390625</v>
      </c>
    </row>
    <row r="94" spans="2:24" x14ac:dyDescent="0.3">
      <c r="B94" vm="801">
        <f ca="1"/>
        <v>46054</v>
      </c>
      <c r="C94" vm="494">
        <f ca="1"/>
        <v>1450.8</v>
      </c>
      <c r="E94" vm="801">
        <f ca="1"/>
        <v>46054</v>
      </c>
      <c r="F94" vm="495">
        <f ca="1"/>
        <v>2038.4</v>
      </c>
      <c r="H94" vm="801">
        <f ca="1"/>
        <v>46054</v>
      </c>
      <c r="I94" vm="496">
        <f ca="1"/>
        <v>941.1</v>
      </c>
      <c r="K94" vm="801">
        <f ca="1"/>
        <v>46054</v>
      </c>
      <c r="L94" vm="497">
        <f ca="1"/>
        <v>4068.1</v>
      </c>
      <c r="N94" vm="801">
        <f ca="1"/>
        <v>46054</v>
      </c>
      <c r="O94" vm="498">
        <f ca="1"/>
        <v>1330</v>
      </c>
      <c r="Q94" vm="801">
        <f ca="1"/>
        <v>46054</v>
      </c>
      <c r="R94" vm="499">
        <f ca="1"/>
        <v>14997</v>
      </c>
      <c r="T94" vm="801">
        <f ca="1"/>
        <v>46054</v>
      </c>
      <c r="U94" vm="500">
        <f ca="1"/>
        <v>1593.7</v>
      </c>
      <c r="W94" s="109">
        <v>46055</v>
      </c>
      <c r="X94" s="110">
        <v>25088.400390625</v>
      </c>
    </row>
    <row r="95" spans="2:24" x14ac:dyDescent="0.3">
      <c r="B95" vm="802">
        <f ca="1"/>
        <v>46062</v>
      </c>
      <c r="C95" vm="501">
        <f ca="1"/>
        <v>1419.6</v>
      </c>
      <c r="E95" vm="802">
        <f ca="1"/>
        <v>46062</v>
      </c>
      <c r="F95" vm="502">
        <f ca="1"/>
        <v>2004.7</v>
      </c>
      <c r="H95" vm="802">
        <f ca="1"/>
        <v>46062</v>
      </c>
      <c r="I95" vm="503">
        <f ca="1"/>
        <v>903.9</v>
      </c>
      <c r="K95" vm="802">
        <f ca="1"/>
        <v>46062</v>
      </c>
      <c r="L95" vm="504">
        <f ca="1"/>
        <v>4173.8999999999996</v>
      </c>
      <c r="N95" vm="802">
        <f ca="1"/>
        <v>46062</v>
      </c>
      <c r="O95" vm="505">
        <f ca="1"/>
        <v>1331.5</v>
      </c>
      <c r="Q95" vm="802">
        <f ca="1"/>
        <v>46062</v>
      </c>
      <c r="R95" vm="506">
        <f ca="1"/>
        <v>15237</v>
      </c>
      <c r="T95" vm="802">
        <f ca="1"/>
        <v>46062</v>
      </c>
      <c r="U95" vm="507">
        <f ca="1"/>
        <v>1455.2</v>
      </c>
      <c r="W95" s="109">
        <v>46062</v>
      </c>
      <c r="X95" s="110">
        <v>25867.30078125</v>
      </c>
    </row>
    <row r="96" spans="2:24" x14ac:dyDescent="0.3">
      <c r="B96" vm="803">
        <f ca="1"/>
        <v>46069</v>
      </c>
      <c r="C96" vm="508">
        <f ca="1"/>
        <v>1419.4</v>
      </c>
      <c r="E96" vm="803">
        <f ca="1"/>
        <v>46069</v>
      </c>
      <c r="F96" vm="509">
        <f ca="1"/>
        <v>1977.4</v>
      </c>
      <c r="H96" vm="803">
        <f ca="1"/>
        <v>46069</v>
      </c>
      <c r="I96" vm="510">
        <f ca="1"/>
        <v>911.85</v>
      </c>
      <c r="K96" vm="803">
        <f ca="1"/>
        <v>46069</v>
      </c>
      <c r="L96" vm="511">
        <f ca="1"/>
        <v>4380.6000000000004</v>
      </c>
      <c r="N96" vm="803">
        <f ca="1"/>
        <v>46069</v>
      </c>
      <c r="O96" vm="512">
        <f ca="1"/>
        <v>1341.1</v>
      </c>
      <c r="Q96" vm="803">
        <f ca="1"/>
        <v>46069</v>
      </c>
      <c r="R96" vm="513">
        <f ca="1"/>
        <v>14977</v>
      </c>
      <c r="T96" vm="803">
        <f ca="1"/>
        <v>46069</v>
      </c>
      <c r="U96" vm="514">
        <f ca="1"/>
        <v>1436.5</v>
      </c>
      <c r="W96" s="109">
        <v>46069</v>
      </c>
      <c r="X96" s="110">
        <v>25682.75</v>
      </c>
    </row>
    <row r="97" spans="2:24" x14ac:dyDescent="0.3">
      <c r="B97" vm="804">
        <f ca="1"/>
        <v>46076</v>
      </c>
      <c r="C97" vm="515">
        <f ca="1"/>
        <v>1393.9</v>
      </c>
      <c r="E97" vm="804">
        <f ca="1"/>
        <v>46076</v>
      </c>
      <c r="F97" vm="516">
        <f ca="1"/>
        <v>1879.3</v>
      </c>
      <c r="H97" vm="804">
        <f ca="1"/>
        <v>46076</v>
      </c>
      <c r="I97" vm="517">
        <f ca="1"/>
        <v>887.75</v>
      </c>
      <c r="K97" vm="804">
        <f ca="1"/>
        <v>46076</v>
      </c>
      <c r="L97" vm="518">
        <f ca="1"/>
        <v>4278.3</v>
      </c>
      <c r="N97" vm="804">
        <f ca="1"/>
        <v>46076</v>
      </c>
      <c r="O97" vm="519">
        <f ca="1"/>
        <v>1348.2</v>
      </c>
      <c r="Q97" vm="804">
        <f ca="1"/>
        <v>46076</v>
      </c>
      <c r="R97" vm="520">
        <f ca="1"/>
        <v>14857</v>
      </c>
      <c r="T97" vm="804">
        <f ca="1"/>
        <v>46076</v>
      </c>
      <c r="U97" vm="521">
        <f ca="1"/>
        <v>1389.1</v>
      </c>
      <c r="W97" s="109">
        <v>46076</v>
      </c>
      <c r="X97" s="110">
        <v>25713</v>
      </c>
    </row>
    <row r="98" spans="2:24" x14ac:dyDescent="0.3">
      <c r="B98" vm="805">
        <f ca="1"/>
        <v>46083</v>
      </c>
      <c r="C98" vm="522">
        <f ca="1"/>
        <v>1404.8</v>
      </c>
      <c r="E98" vm="805">
        <f ca="1"/>
        <v>46083</v>
      </c>
      <c r="F98" vm="523">
        <f ca="1"/>
        <v>1870.8</v>
      </c>
      <c r="H98" vm="805">
        <f ca="1"/>
        <v>46083</v>
      </c>
      <c r="I98" vm="524">
        <f ca="1"/>
        <v>857.05</v>
      </c>
      <c r="K98" vm="805">
        <f ca="1"/>
        <v>46083</v>
      </c>
      <c r="L98" vm="525">
        <f ca="1"/>
        <v>3949.8</v>
      </c>
      <c r="N98" vm="805">
        <f ca="1"/>
        <v>46083</v>
      </c>
      <c r="O98" vm="526">
        <f ca="1"/>
        <v>1321.2</v>
      </c>
      <c r="Q98" vm="805">
        <f ca="1"/>
        <v>46083</v>
      </c>
      <c r="R98" vm="527">
        <f ca="1"/>
        <v>14159</v>
      </c>
      <c r="T98" vm="805">
        <f ca="1"/>
        <v>46083</v>
      </c>
      <c r="U98" vm="528">
        <f ca="1"/>
        <v>1356.7</v>
      </c>
      <c r="W98" s="109">
        <v>46083</v>
      </c>
      <c r="X98" s="110">
        <v>24865.69921875</v>
      </c>
    </row>
    <row r="99" spans="2:24" x14ac:dyDescent="0.3">
      <c r="B99" vm="806">
        <f ca="1"/>
        <v>46090</v>
      </c>
      <c r="C99" vm="529">
        <f ca="1"/>
        <v>1380.7</v>
      </c>
      <c r="E99" vm="806">
        <f ca="1"/>
        <v>46090</v>
      </c>
      <c r="F99" vm="530">
        <f ca="1"/>
        <v>1803.4</v>
      </c>
      <c r="H99" vm="806">
        <f ca="1"/>
        <v>46090</v>
      </c>
      <c r="I99" vm="531">
        <f ca="1"/>
        <v>817</v>
      </c>
      <c r="K99" vm="806">
        <f ca="1"/>
        <v>46090</v>
      </c>
      <c r="L99" vm="532">
        <f ca="1"/>
        <v>3439</v>
      </c>
      <c r="N99" vm="806">
        <f ca="1"/>
        <v>46090</v>
      </c>
      <c r="O99" vm="533">
        <f ca="1"/>
        <v>1314.7</v>
      </c>
      <c r="Q99" vm="806">
        <f ca="1"/>
        <v>46090</v>
      </c>
      <c r="R99" vm="534">
        <f ca="1"/>
        <v>12591</v>
      </c>
      <c r="T99" vm="806">
        <f ca="1"/>
        <v>46090</v>
      </c>
      <c r="U99" vm="535">
        <f ca="1"/>
        <v>1325.4</v>
      </c>
      <c r="W99" s="109">
        <v>46090</v>
      </c>
      <c r="X99" s="110">
        <v>24028.05078125</v>
      </c>
    </row>
    <row r="100" spans="2:24" x14ac:dyDescent="0.3">
      <c r="B100" vm="807">
        <f ca="1"/>
        <v>46097</v>
      </c>
      <c r="C100" vm="536">
        <f ca="1"/>
        <v>1414.4</v>
      </c>
      <c r="E100" vm="807">
        <f ca="1"/>
        <v>46097</v>
      </c>
      <c r="F100" vm="537">
        <f ca="1"/>
        <v>1846.1</v>
      </c>
      <c r="H100" vm="807">
        <f ca="1"/>
        <v>46097</v>
      </c>
      <c r="I100" vm="538">
        <f ca="1"/>
        <v>780.45</v>
      </c>
      <c r="K100" vm="807">
        <f ca="1"/>
        <v>46097</v>
      </c>
      <c r="L100" vm="539">
        <f ca="1"/>
        <v>3434.8</v>
      </c>
      <c r="N100" vm="807">
        <f ca="1"/>
        <v>46097</v>
      </c>
      <c r="O100" vm="540">
        <f ca="1"/>
        <v>1256.4000000000001</v>
      </c>
      <c r="Q100" vm="807">
        <f ca="1"/>
        <v>46097</v>
      </c>
      <c r="R100" vm="541">
        <f ca="1"/>
        <v>12601</v>
      </c>
      <c r="T100" vm="807">
        <f ca="1"/>
        <v>46097</v>
      </c>
      <c r="U100" vm="542">
        <f ca="1"/>
        <v>1333.7</v>
      </c>
      <c r="W100" s="109">
        <v>46097</v>
      </c>
      <c r="X100" s="110">
        <v>23408.80078125</v>
      </c>
    </row>
    <row r="101" spans="2:24" x14ac:dyDescent="0.3">
      <c r="B101" vm="808">
        <f ca="1"/>
        <v>46104</v>
      </c>
      <c r="C101" vm="543">
        <f ca="1"/>
        <v>1348.1</v>
      </c>
      <c r="E101" vm="808">
        <f ca="1"/>
        <v>46104</v>
      </c>
      <c r="F101" vm="544">
        <f ca="1"/>
        <v>1843.9</v>
      </c>
      <c r="H101" vm="808">
        <f ca="1"/>
        <v>46104</v>
      </c>
      <c r="I101" vm="545">
        <f ca="1"/>
        <v>756.2</v>
      </c>
      <c r="K101" vm="808">
        <f ca="1"/>
        <v>46104</v>
      </c>
      <c r="L101" vm="546">
        <f ca="1"/>
        <v>3564.1</v>
      </c>
      <c r="N101" vm="808">
        <f ca="1"/>
        <v>46104</v>
      </c>
      <c r="O101" vm="547">
        <f ca="1"/>
        <v>1242.3</v>
      </c>
      <c r="Q101" vm="808">
        <f ca="1"/>
        <v>46104</v>
      </c>
      <c r="R101" vm="548">
        <f ca="1"/>
        <v>12389</v>
      </c>
      <c r="T101" vm="808">
        <f ca="1"/>
        <v>46104</v>
      </c>
      <c r="U101" vm="549">
        <f ca="1"/>
        <v>1364.4</v>
      </c>
      <c r="W101" s="109">
        <v>46104</v>
      </c>
      <c r="X101" s="110">
        <v>22512.650390625</v>
      </c>
    </row>
    <row r="102" spans="2:24" x14ac:dyDescent="0.3">
      <c r="B102" vm="809">
        <f ca="1"/>
        <v>46111</v>
      </c>
      <c r="C102" vm="550">
        <f ca="1"/>
        <v>1350.5</v>
      </c>
      <c r="E102" vm="809">
        <f ca="1"/>
        <v>46111</v>
      </c>
      <c r="F102" vm="551">
        <f ca="1"/>
        <v>1789.7</v>
      </c>
      <c r="H102" vm="809">
        <f ca="1"/>
        <v>46111</v>
      </c>
      <c r="I102" vm="552">
        <f ca="1"/>
        <v>750.9</v>
      </c>
      <c r="K102" vm="809">
        <f ca="1"/>
        <v>46111</v>
      </c>
      <c r="L102" vm="553">
        <f ca="1"/>
        <v>3613.1</v>
      </c>
      <c r="N102" vm="809">
        <f ca="1"/>
        <v>46111</v>
      </c>
      <c r="O102" vm="554">
        <f ca="1"/>
        <v>1192.4000000000001</v>
      </c>
      <c r="Q102" vm="809">
        <f ca="1"/>
        <v>46111</v>
      </c>
      <c r="R102" vm="555">
        <f ca="1"/>
        <v>12631</v>
      </c>
      <c r="T102" vm="809">
        <f ca="1"/>
        <v>46111</v>
      </c>
      <c r="U102" vm="556">
        <f ca="1"/>
        <v>1402.2</v>
      </c>
      <c r="W102" s="109">
        <v>46111</v>
      </c>
      <c r="X102" s="110">
        <v>22331.400390625</v>
      </c>
    </row>
    <row r="103" spans="2:24" x14ac:dyDescent="0.3">
      <c r="B103" vm="810">
        <f ca="1"/>
        <v>46118</v>
      </c>
      <c r="C103" vm="557">
        <f ca="1"/>
        <v>1350.2</v>
      </c>
      <c r="E103" vm="810">
        <f ca="1"/>
        <v>46118</v>
      </c>
      <c r="F103" vm="558">
        <f ca="1"/>
        <v>1870</v>
      </c>
      <c r="H103" vm="810">
        <f ca="1"/>
        <v>46118</v>
      </c>
      <c r="I103" vm="559">
        <f ca="1"/>
        <v>810.3</v>
      </c>
      <c r="K103" vm="810">
        <f ca="1"/>
        <v>46118</v>
      </c>
      <c r="L103" vm="560">
        <f ca="1"/>
        <v>3959.9</v>
      </c>
      <c r="N103" vm="810">
        <f ca="1"/>
        <v>46118</v>
      </c>
      <c r="O103" vm="561">
        <f ca="1"/>
        <v>1229.5</v>
      </c>
      <c r="Q103" vm="810">
        <f ca="1"/>
        <v>46118</v>
      </c>
      <c r="R103" vm="562">
        <f ca="1"/>
        <v>13709</v>
      </c>
      <c r="T103" vm="810">
        <f ca="1"/>
        <v>46118</v>
      </c>
      <c r="U103" vm="563">
        <f ca="1"/>
        <v>1451.2</v>
      </c>
      <c r="W103" s="109">
        <v>46118</v>
      </c>
      <c r="X103" s="110">
        <v>22968.25</v>
      </c>
    </row>
    <row r="104" spans="2:24" x14ac:dyDescent="0.3">
      <c r="B104" vm="811">
        <f ca="1"/>
        <v>46125</v>
      </c>
      <c r="C104" vm="564">
        <f ca="1"/>
        <v>1365</v>
      </c>
      <c r="E104" vm="811">
        <f ca="1"/>
        <v>46125</v>
      </c>
      <c r="F104" vm="565">
        <f ca="1"/>
        <v>1846.9</v>
      </c>
      <c r="H104" vm="811">
        <f ca="1"/>
        <v>46125</v>
      </c>
      <c r="I104" vm="566">
        <f ca="1"/>
        <v>799.9</v>
      </c>
      <c r="K104" vm="811">
        <f ca="1"/>
        <v>46125</v>
      </c>
      <c r="L104" vm="567">
        <f ca="1"/>
        <v>4096.1000000000004</v>
      </c>
      <c r="N104" vm="811">
        <f ca="1"/>
        <v>46125</v>
      </c>
      <c r="O104" vm="568">
        <f ca="1"/>
        <v>1240.8</v>
      </c>
      <c r="Q104" vm="811">
        <f ca="1"/>
        <v>46125</v>
      </c>
      <c r="R104" vm="569">
        <f ca="1"/>
        <v>13453</v>
      </c>
      <c r="T104" vm="811">
        <f ca="1"/>
        <v>46125</v>
      </c>
      <c r="U104" vm="138">
        <f ca="1"/>
        <v>1442.3</v>
      </c>
      <c r="W104" s="109">
        <v>46125</v>
      </c>
      <c r="X104" s="110">
        <v>23842.650390625</v>
      </c>
    </row>
    <row r="105" spans="2:24" x14ac:dyDescent="0.3">
      <c r="B105" vm="812">
        <f ca="1"/>
        <v>46132</v>
      </c>
      <c r="C105" vm="570">
        <f ca="1"/>
        <v>1327.8</v>
      </c>
      <c r="E105" vm="812">
        <f ca="1"/>
        <v>46132</v>
      </c>
      <c r="F105" vm="571">
        <f ca="1"/>
        <v>1814.5</v>
      </c>
      <c r="H105" vm="812">
        <f ca="1"/>
        <v>46132</v>
      </c>
      <c r="I105" vm="572">
        <f ca="1"/>
        <v>784.85</v>
      </c>
      <c r="K105" vm="812">
        <f ca="1"/>
        <v>46132</v>
      </c>
      <c r="L105" vm="573">
        <f ca="1"/>
        <v>4014.3</v>
      </c>
      <c r="N105" vm="812">
        <f ca="1"/>
        <v>46132</v>
      </c>
      <c r="O105" vm="574">
        <f ca="1"/>
        <v>1295</v>
      </c>
      <c r="Q105" vm="812">
        <f ca="1"/>
        <v>46132</v>
      </c>
      <c r="R105" vm="575">
        <f ca="1"/>
        <v>13048</v>
      </c>
      <c r="T105" vm="812">
        <f ca="1"/>
        <v>46132</v>
      </c>
      <c r="U105" vm="576">
        <f ca="1"/>
        <v>1203.2</v>
      </c>
      <c r="W105" s="109">
        <v>46132</v>
      </c>
      <c r="X105" s="110">
        <v>24364.849609375</v>
      </c>
    </row>
    <row r="106" spans="2:24" x14ac:dyDescent="0.3">
      <c r="B106" vm="813">
        <f ca="1"/>
        <v>46139</v>
      </c>
      <c r="C106" vm="577">
        <f ca="1"/>
        <v>1430.8</v>
      </c>
      <c r="E106" vm="813">
        <f ca="1"/>
        <v>46139</v>
      </c>
      <c r="F106" vm="578">
        <f ca="1"/>
        <v>1886.8</v>
      </c>
      <c r="H106" vm="813">
        <f ca="1"/>
        <v>46139</v>
      </c>
      <c r="I106" vm="579">
        <f ca="1"/>
        <v>771.7</v>
      </c>
      <c r="K106" vm="813">
        <f ca="1"/>
        <v>46139</v>
      </c>
      <c r="L106" vm="580">
        <f ca="1"/>
        <v>4014</v>
      </c>
      <c r="N106" vm="813">
        <f ca="1"/>
        <v>46139</v>
      </c>
      <c r="O106" vm="581">
        <f ca="1"/>
        <v>1309.5999999999999</v>
      </c>
      <c r="Q106" vm="813">
        <f ca="1"/>
        <v>46139</v>
      </c>
      <c r="R106" vm="582">
        <f ca="1"/>
        <v>13314</v>
      </c>
      <c r="T106" vm="813">
        <f ca="1"/>
        <v>46139</v>
      </c>
      <c r="U106" vm="583">
        <f ca="1"/>
        <v>1199.0999999999999</v>
      </c>
      <c r="W106" s="109">
        <v>46139</v>
      </c>
      <c r="X106" s="110">
        <v>24092.69921875</v>
      </c>
    </row>
    <row r="107" spans="2:24" x14ac:dyDescent="0.3">
      <c r="B107" vm="814">
        <f ca="1"/>
        <v>46146</v>
      </c>
      <c r="C107" vm="584">
        <f ca="1"/>
        <v>1435.2</v>
      </c>
      <c r="E107" vm="814">
        <f ca="1"/>
        <v>46146</v>
      </c>
      <c r="F107" vm="585">
        <f ca="1"/>
        <v>1834.5</v>
      </c>
      <c r="H107" vm="814">
        <f ca="1"/>
        <v>46146</v>
      </c>
      <c r="I107" vm="586">
        <f ca="1"/>
        <v>780.85</v>
      </c>
      <c r="K107" vm="814">
        <f ca="1"/>
        <v>46146</v>
      </c>
      <c r="L107" vm="587">
        <f ca="1"/>
        <v>3974.5</v>
      </c>
      <c r="N107" vm="814">
        <f ca="1"/>
        <v>46146</v>
      </c>
      <c r="O107" vm="588">
        <f ca="1"/>
        <v>1347</v>
      </c>
      <c r="Q107" vm="814">
        <f ca="1"/>
        <v>46146</v>
      </c>
      <c r="R107" vm="589">
        <f ca="1"/>
        <v>13726</v>
      </c>
      <c r="T107" vm="814">
        <f ca="1"/>
        <v>46146</v>
      </c>
      <c r="U107" vm="590">
        <f ca="1"/>
        <v>1198.4000000000001</v>
      </c>
      <c r="W107" s="109">
        <v>46146</v>
      </c>
      <c r="X107" s="110">
        <v>24119.30078125</v>
      </c>
    </row>
    <row r="108" spans="2:24" x14ac:dyDescent="0.3">
      <c r="B108" vm="815">
        <f ca="1"/>
        <v>46153</v>
      </c>
      <c r="C108" vm="591">
        <f ca="1"/>
        <v>1336.4</v>
      </c>
      <c r="E108" vm="815">
        <f ca="1"/>
        <v>46153</v>
      </c>
      <c r="F108" vm="592">
        <f ca="1"/>
        <v>1905.4</v>
      </c>
      <c r="H108" vm="815">
        <f ca="1"/>
        <v>46153</v>
      </c>
      <c r="I108" vm="593">
        <f ca="1"/>
        <v>767.5</v>
      </c>
      <c r="K108" vm="815">
        <f ca="1"/>
        <v>46153</v>
      </c>
      <c r="L108" vm="594">
        <f ca="1"/>
        <v>3909</v>
      </c>
      <c r="N108" vm="815">
        <f ca="1"/>
        <v>46153</v>
      </c>
      <c r="O108" vm="595">
        <f ca="1"/>
        <v>1432.1</v>
      </c>
      <c r="Q108" vm="815">
        <f ca="1"/>
        <v>46153</v>
      </c>
      <c r="R108" vm="596">
        <f ca="1"/>
        <v>13221</v>
      </c>
      <c r="T108" vm="815">
        <f ca="1"/>
        <v>46153</v>
      </c>
      <c r="U108" vm="597">
        <f ca="1"/>
        <v>1132.5999999999999</v>
      </c>
      <c r="W108" s="109">
        <v>46153</v>
      </c>
      <c r="X108" s="110">
        <v>23815.849609375</v>
      </c>
    </row>
    <row r="109" spans="2:24" x14ac:dyDescent="0.3">
      <c r="B109" vm="816">
        <f ca="1"/>
        <v>46160</v>
      </c>
      <c r="C109" vm="598">
        <f ca="1"/>
        <v>1354.5</v>
      </c>
      <c r="E109" vm="816">
        <f ca="1"/>
        <v>46160</v>
      </c>
      <c r="F109" vm="599">
        <f ca="1"/>
        <v>1871.4</v>
      </c>
      <c r="H109" vm="816">
        <f ca="1"/>
        <v>46160</v>
      </c>
      <c r="I109" vm="600">
        <f ca="1"/>
        <v>766.8</v>
      </c>
      <c r="K109" vm="816">
        <f ca="1"/>
        <v>46160</v>
      </c>
      <c r="L109" vm="601">
        <f ca="1"/>
        <v>3926.6</v>
      </c>
      <c r="N109" vm="816">
        <f ca="1"/>
        <v>46160</v>
      </c>
      <c r="O109" vm="602">
        <f ca="1"/>
        <v>1399.2</v>
      </c>
      <c r="Q109" vm="816">
        <f ca="1"/>
        <v>46160</v>
      </c>
      <c r="R109" vm="603">
        <f ca="1"/>
        <v>12987</v>
      </c>
      <c r="T109" vm="816">
        <f ca="1"/>
        <v>46160</v>
      </c>
      <c r="U109" vm="604">
        <f ca="1"/>
        <v>1164</v>
      </c>
      <c r="W109" s="109">
        <v>46160</v>
      </c>
      <c r="X109" s="110">
        <v>23649.94921875</v>
      </c>
    </row>
    <row r="110" spans="2:24" x14ac:dyDescent="0.3">
      <c r="B110" vm="817">
        <f ca="1"/>
        <v>46167</v>
      </c>
      <c r="C110" vm="526">
        <f ca="1"/>
        <v>1321.2</v>
      </c>
      <c r="E110" vm="817">
        <f ca="1"/>
        <v>46167</v>
      </c>
      <c r="F110" vm="605">
        <f ca="1"/>
        <v>1829</v>
      </c>
      <c r="H110" vm="817">
        <f ca="1"/>
        <v>46167</v>
      </c>
      <c r="I110" vm="606">
        <f ca="1"/>
        <v>744.55</v>
      </c>
      <c r="K110" vm="817">
        <f ca="1"/>
        <v>46167</v>
      </c>
      <c r="L110" vm="607">
        <f ca="1"/>
        <v>4076.5</v>
      </c>
      <c r="N110" vm="817">
        <f ca="1"/>
        <v>46167</v>
      </c>
      <c r="O110" vm="608">
        <f ca="1"/>
        <v>1401</v>
      </c>
      <c r="Q110" vm="817">
        <f ca="1"/>
        <v>46167</v>
      </c>
      <c r="R110" vm="609">
        <f ca="1"/>
        <v>13127</v>
      </c>
      <c r="T110" vm="817">
        <f ca="1"/>
        <v>46167</v>
      </c>
      <c r="U110" vm="610">
        <f ca="1"/>
        <v>1183.8</v>
      </c>
      <c r="W110" s="109">
        <v>46167</v>
      </c>
      <c r="X110" s="110">
        <v>24031.69921875</v>
      </c>
    </row>
    <row r="111" spans="2:24" x14ac:dyDescent="0.3">
      <c r="B111" vm="818">
        <f ca="1"/>
        <v>46174</v>
      </c>
      <c r="C111" vm="611">
        <f ca="1"/>
        <v>1291</v>
      </c>
      <c r="E111" vm="818">
        <f ca="1"/>
        <v>46174</v>
      </c>
      <c r="F111" vm="612">
        <f ca="1"/>
        <v>1798.2</v>
      </c>
      <c r="H111" vm="818">
        <f ca="1"/>
        <v>46174</v>
      </c>
      <c r="I111" vm="613">
        <f ca="1"/>
        <v>747.05</v>
      </c>
      <c r="K111" vm="818">
        <f ca="1"/>
        <v>46174</v>
      </c>
      <c r="L111" vm="614">
        <f ca="1"/>
        <v>3953.2</v>
      </c>
      <c r="N111" vm="818">
        <f ca="1"/>
        <v>46174</v>
      </c>
      <c r="O111" vm="615">
        <f ca="1"/>
        <v>1401.3</v>
      </c>
      <c r="Q111" vm="818">
        <f ca="1"/>
        <v>46174</v>
      </c>
      <c r="R111" vm="616">
        <f ca="1"/>
        <v>13050</v>
      </c>
      <c r="T111" vm="818">
        <f ca="1"/>
        <v>46174</v>
      </c>
      <c r="U111" vm="617">
        <f ca="1"/>
        <v>1154.7</v>
      </c>
      <c r="W111" s="109">
        <v>46174</v>
      </c>
      <c r="X111" s="110">
        <v>23382.599609375</v>
      </c>
    </row>
    <row r="112" spans="2:24" x14ac:dyDescent="0.3">
      <c r="B112" vm="819">
        <f ca="1"/>
        <v>46181</v>
      </c>
      <c r="C112" vm="618">
        <f ca="1"/>
        <v>1293</v>
      </c>
      <c r="E112" vm="819">
        <f ca="1"/>
        <v>46181</v>
      </c>
      <c r="F112" vm="619">
        <f ca="1"/>
        <v>1822.5</v>
      </c>
      <c r="H112" vm="819">
        <f ca="1"/>
        <v>46181</v>
      </c>
      <c r="I112" vm="620">
        <f ca="1"/>
        <v>772.45</v>
      </c>
      <c r="K112" vm="819">
        <f ca="1"/>
        <v>46181</v>
      </c>
      <c r="L112" vm="621">
        <f ca="1"/>
        <v>4049.3</v>
      </c>
      <c r="N112" vm="819">
        <f ca="1"/>
        <v>46181</v>
      </c>
      <c r="O112" vm="622">
        <f ca="1"/>
        <v>1389.4</v>
      </c>
      <c r="Q112" vm="819">
        <f ca="1"/>
        <v>46181</v>
      </c>
      <c r="R112" vm="623">
        <f ca="1"/>
        <v>13366</v>
      </c>
      <c r="T112" vm="819">
        <f ca="1"/>
        <v>46181</v>
      </c>
      <c r="U112" vm="624">
        <f ca="1"/>
        <v>1109.5999999999999</v>
      </c>
      <c r="W112" s="109">
        <v>46181</v>
      </c>
      <c r="X112" s="110">
        <v>23123</v>
      </c>
    </row>
    <row r="113" spans="2:24" x14ac:dyDescent="0.3">
      <c r="B113" vm="820">
        <f ca="1"/>
        <v>46188</v>
      </c>
      <c r="C113" vm="1">
        <f ca="1"/>
        <v>1309.5</v>
      </c>
      <c r="E113" vm="820">
        <f ca="1"/>
        <v>46188</v>
      </c>
      <c r="F113" vm="625">
        <f ca="1"/>
        <v>1910.8</v>
      </c>
      <c r="H113" vm="820">
        <f ca="1"/>
        <v>46188</v>
      </c>
      <c r="I113" vm="626">
        <f ca="1"/>
        <v>779.8</v>
      </c>
      <c r="K113" vm="820">
        <f ca="1"/>
        <v>46188</v>
      </c>
      <c r="L113" vm="627">
        <f ca="1"/>
        <v>4209.3999999999996</v>
      </c>
      <c r="N113" vm="820">
        <f ca="1"/>
        <v>46188</v>
      </c>
      <c r="O113" vm="628">
        <f ca="1"/>
        <v>1351.8</v>
      </c>
      <c r="Q113" vm="820">
        <f ca="1"/>
        <v>46188</v>
      </c>
      <c r="R113" vm="629">
        <f ca="1"/>
        <v>13395</v>
      </c>
      <c r="T113" vm="820">
        <f ca="1"/>
        <v>46188</v>
      </c>
      <c r="U113" vm="630">
        <f ca="1"/>
        <v>1131.7</v>
      </c>
      <c r="W113" s="109">
        <v>46188</v>
      </c>
      <c r="X113" s="110">
        <v>23853.900390625</v>
      </c>
    </row>
    <row r="114" spans="2:24" x14ac:dyDescent="0.3">
      <c r="B114" vm="821">
        <f ca="1"/>
        <v>46195</v>
      </c>
      <c r="C114" vm="631">
        <f ca="1"/>
        <v>1318.1</v>
      </c>
      <c r="E114" vm="821">
        <f ca="1"/>
        <v>46195</v>
      </c>
      <c r="F114" vm="632">
        <f ca="1"/>
        <v>1850.7</v>
      </c>
      <c r="H114" vm="821">
        <f ca="1"/>
        <v>46195</v>
      </c>
      <c r="I114" vm="633">
        <f ca="1"/>
        <v>796.3</v>
      </c>
      <c r="K114" vm="821">
        <f ca="1"/>
        <v>46195</v>
      </c>
      <c r="L114" vm="634">
        <f ca="1"/>
        <v>4216.3999999999996</v>
      </c>
      <c r="N114" vm="821">
        <f ca="1"/>
        <v>46195</v>
      </c>
      <c r="O114" vm="635">
        <f ca="1"/>
        <v>1440.1</v>
      </c>
      <c r="Q114" vm="821">
        <f ca="1"/>
        <v>46195</v>
      </c>
      <c r="R114" vm="636">
        <f ca="1"/>
        <v>13745</v>
      </c>
      <c r="T114" vm="821">
        <f ca="1"/>
        <v>46195</v>
      </c>
      <c r="U114" vm="637">
        <f ca="1"/>
        <v>1100.7</v>
      </c>
      <c r="W114" s="109">
        <v>46195</v>
      </c>
      <c r="X114" s="110">
        <v>24102.900390625</v>
      </c>
    </row>
    <row r="115" spans="2:24" x14ac:dyDescent="0.3">
      <c r="B115" vm="822">
        <f ca="1"/>
        <v>46202</v>
      </c>
      <c r="C115" vm="638">
        <f ca="1"/>
        <v>1304</v>
      </c>
      <c r="E115" vm="822">
        <f ca="1"/>
        <v>46202</v>
      </c>
      <c r="F115" vm="639">
        <f ca="1"/>
        <v>1910.4</v>
      </c>
      <c r="H115" vm="822">
        <f ca="1"/>
        <v>46202</v>
      </c>
      <c r="I115" vm="640">
        <f ca="1"/>
        <v>801.05</v>
      </c>
      <c r="K115" vm="822">
        <f ca="1"/>
        <v>46202</v>
      </c>
      <c r="L115" vm="641">
        <f ca="1"/>
        <v>4026.6</v>
      </c>
      <c r="N115" vm="822">
        <f ca="1"/>
        <v>46202</v>
      </c>
      <c r="O115" vm="642">
        <f ca="1"/>
        <v>1458.2</v>
      </c>
      <c r="Q115" vm="822">
        <f ca="1"/>
        <v>46202</v>
      </c>
      <c r="R115" vm="643">
        <f ca="1"/>
        <v>14366</v>
      </c>
      <c r="T115" vm="822">
        <f ca="1"/>
        <v>46202</v>
      </c>
      <c r="U115" vm="644">
        <f ca="1"/>
        <v>1139</v>
      </c>
      <c r="W115" s="109">
        <v>46202</v>
      </c>
      <c r="X115" s="110">
        <v>23946.25</v>
      </c>
    </row>
    <row r="116" spans="2:24" x14ac:dyDescent="0.3">
      <c r="B116" vm="823">
        <f ca="1"/>
        <v>46209</v>
      </c>
      <c r="C116" vm="645">
        <f ca="1"/>
        <v>1307.8</v>
      </c>
      <c r="E116" vm="823">
        <f ca="1"/>
        <v>46209</v>
      </c>
      <c r="F116" vm="646">
        <f ca="1"/>
        <v>1920.4</v>
      </c>
      <c r="H116" vm="823">
        <f ca="1"/>
        <v>46209</v>
      </c>
      <c r="I116" vm="647">
        <f ca="1"/>
        <v>824.95</v>
      </c>
      <c r="K116" vm="823">
        <f ca="1"/>
        <v>46209</v>
      </c>
      <c r="L116" vm="648">
        <f ca="1"/>
        <v>3945.8</v>
      </c>
      <c r="N116" vm="823">
        <f ca="1"/>
        <v>46209</v>
      </c>
      <c r="O116" vm="649">
        <f ca="1"/>
        <v>1439.4</v>
      </c>
      <c r="Q116" vm="823">
        <f ca="1"/>
        <v>46209</v>
      </c>
      <c r="R116" vm="650">
        <f ca="1"/>
        <v>13854</v>
      </c>
      <c r="T116" vm="823">
        <f ca="1"/>
        <v>46209</v>
      </c>
      <c r="U116" vm="651">
        <f ca="1"/>
        <v>1164.0999999999999</v>
      </c>
      <c r="W116" s="109">
        <v>46209</v>
      </c>
      <c r="X116" s="110">
        <v>24430.349609375</v>
      </c>
    </row>
    <row r="117" spans="2:24" x14ac:dyDescent="0.3">
      <c r="B117" vm="824">
        <f ca="1"/>
        <v>46216</v>
      </c>
      <c r="C117" vm="652">
        <f ca="1"/>
        <v>1327.2</v>
      </c>
      <c r="E117" vm="824">
        <f ca="1"/>
        <v>46216</v>
      </c>
      <c r="F117" vm="653">
        <f ca="1"/>
        <v>1908.8</v>
      </c>
      <c r="H117" vm="824">
        <f ca="1"/>
        <v>46216</v>
      </c>
      <c r="I117" vm="654">
        <f ca="1"/>
        <v>819.6</v>
      </c>
      <c r="K117" vm="824">
        <f ca="1"/>
        <v>46216</v>
      </c>
      <c r="L117" vm="655">
        <f ca="1"/>
        <v>3814.5</v>
      </c>
      <c r="N117" vm="824">
        <f ca="1"/>
        <v>46216</v>
      </c>
      <c r="O117" vm="656">
        <f ca="1"/>
        <v>1418.7</v>
      </c>
      <c r="Q117" vm="824">
        <f ca="1"/>
        <v>46216</v>
      </c>
      <c r="R117" vm="657">
        <f ca="1"/>
        <v>13803</v>
      </c>
      <c r="T117" vm="824">
        <f ca="1"/>
        <v>46216</v>
      </c>
      <c r="U117" vm="658">
        <f ca="1"/>
        <v>1203.9000000000001</v>
      </c>
      <c r="W117" s="109">
        <v>46216</v>
      </c>
      <c r="X117" s="110">
        <v>24211</v>
      </c>
    </row>
    <row r="118" spans="2:24" x14ac:dyDescent="0.3">
      <c r="B118" vm="825">
        <f ca="1"/>
        <v>46223</v>
      </c>
      <c r="C118" vm="659">
        <f ca="1"/>
        <v>1278</v>
      </c>
      <c r="E118" vm="825">
        <f ca="1"/>
        <v>46223</v>
      </c>
      <c r="F118" vm="660">
        <f ca="1"/>
        <v>1898.2</v>
      </c>
      <c r="H118" vm="825">
        <f ca="1"/>
        <v>46223</v>
      </c>
      <c r="I118" vm="661">
        <f ca="1"/>
        <v>742.8</v>
      </c>
      <c r="K118" vm="825">
        <f ca="1"/>
        <v>46223</v>
      </c>
      <c r="L118" vm="662">
        <f ca="1"/>
        <v>3785.6</v>
      </c>
      <c r="N118" vm="825">
        <f ca="1"/>
        <v>46223</v>
      </c>
      <c r="O118" vm="663">
        <f ca="1"/>
        <v>1410.6</v>
      </c>
      <c r="Q118" vm="825">
        <f ca="1"/>
        <v>46223</v>
      </c>
      <c r="R118" vm="664">
        <f ca="1"/>
        <v>13442</v>
      </c>
      <c r="T118" vm="825">
        <f ca="1"/>
        <v>46223</v>
      </c>
      <c r="U118" vm="665">
        <f ca="1"/>
        <v>1271</v>
      </c>
      <c r="W118" s="109">
        <v>46223</v>
      </c>
      <c r="X118" s="110">
        <v>24238.5</v>
      </c>
    </row>
    <row r="119" spans="2:24" x14ac:dyDescent="0.3">
      <c r="B119" vm="826">
        <f ca="1"/>
        <v>46230</v>
      </c>
      <c r="C119" vm="645">
        <f ca="1"/>
        <v>1307.8</v>
      </c>
      <c r="E119" vm="826">
        <f ca="1"/>
        <v>46230</v>
      </c>
      <c r="F119" vm="666">
        <f ca="1"/>
        <v>1972</v>
      </c>
      <c r="H119" vm="826">
        <f ca="1"/>
        <v>46230</v>
      </c>
      <c r="I119" vm="667">
        <f ca="1"/>
        <v>748.15</v>
      </c>
      <c r="K119" vm="826">
        <f ca="1"/>
        <v>46230</v>
      </c>
      <c r="L119" vm="668">
        <f ca="1"/>
        <v>3938.9</v>
      </c>
      <c r="N119" vm="826">
        <f ca="1"/>
        <v>46230</v>
      </c>
      <c r="O119" vm="669">
        <f ca="1"/>
        <v>1473.2</v>
      </c>
      <c r="Q119" vm="826">
        <f ca="1"/>
        <v>46230</v>
      </c>
      <c r="R119" vm="670">
        <f ca="1"/>
        <v>14234</v>
      </c>
      <c r="T119" vm="826">
        <f ca="1"/>
        <v>46230</v>
      </c>
      <c r="U119" vm="671">
        <f ca="1"/>
        <v>1346.9</v>
      </c>
      <c r="W119" s="109">
        <v>46230</v>
      </c>
      <c r="X119" s="110">
        <v>23995.94921875</v>
      </c>
    </row>
    <row r="120" spans="2:24" x14ac:dyDescent="0.3">
      <c r="B120" vm="827">
        <f ca="1"/>
        <v>46237</v>
      </c>
      <c r="C120" vm="672">
        <f ca="1"/>
        <v>1334.8</v>
      </c>
      <c r="E120" vm="827">
        <f ca="1"/>
        <v>46237</v>
      </c>
      <c r="F120" vm="673">
        <f ca="1"/>
        <v>1959.9</v>
      </c>
      <c r="H120" vm="827">
        <f ca="1"/>
        <v>46237</v>
      </c>
      <c r="I120" vm="674">
        <f ca="1"/>
        <v>731</v>
      </c>
      <c r="K120" vm="827">
        <f ca="1"/>
        <v>46237</v>
      </c>
      <c r="L120" vm="675">
        <f ca="1"/>
        <v>4056</v>
      </c>
      <c r="N120" vm="827">
        <f ca="1"/>
        <v>46237</v>
      </c>
      <c r="O120" vm="676">
        <f ca="1"/>
        <v>1463.8</v>
      </c>
      <c r="Q120" vm="827">
        <f ca="1"/>
        <v>46237</v>
      </c>
      <c r="R120" vm="677">
        <f ca="1"/>
        <v>14037</v>
      </c>
      <c r="T120" vm="827">
        <f ca="1"/>
        <v>46237</v>
      </c>
      <c r="U120" vm="678">
        <f ca="1"/>
        <v>1356.6</v>
      </c>
      <c r="W120" s="109">
        <v>46237</v>
      </c>
      <c r="X120" s="110">
        <v>24774.30078125</v>
      </c>
    </row>
    <row r="121" spans="2:24" x14ac:dyDescent="0.3">
      <c r="B121" vm="828">
        <f ca="1"/>
        <v>46244</v>
      </c>
      <c r="C121" vm="679">
        <f ca="1"/>
        <v>1310</v>
      </c>
      <c r="E121" vm="828">
        <f ca="1"/>
        <v>46244</v>
      </c>
      <c r="F121" vm="680">
        <f ca="1"/>
        <v>1992.1</v>
      </c>
      <c r="H121" vm="828">
        <f ca="1"/>
        <v>46244</v>
      </c>
      <c r="I121" vm="681">
        <f ca="1"/>
        <v>727</v>
      </c>
      <c r="K121" vm="828">
        <f ca="1"/>
        <v>46244</v>
      </c>
      <c r="L121" vm="682">
        <f ca="1"/>
        <v>4057</v>
      </c>
      <c r="N121" vm="828">
        <f ca="1"/>
        <v>46244</v>
      </c>
      <c r="O121" vm="683">
        <f ca="1"/>
        <v>1450</v>
      </c>
      <c r="Q121" vm="828">
        <f ca="1"/>
        <v>46244</v>
      </c>
      <c r="R121" vm="684">
        <f ca="1"/>
        <v>13834</v>
      </c>
      <c r="T121" vm="828">
        <f ca="1"/>
        <v>46244</v>
      </c>
      <c r="U121" vm="685">
        <f ca="1"/>
        <v>1360</v>
      </c>
      <c r="W121" s="109">
        <v>46244</v>
      </c>
      <c r="X121" s="110">
        <v>24583.80078125</v>
      </c>
    </row>
    <row r="122" spans="2:24" x14ac:dyDescent="0.3">
      <c r="B122" vm="829">
        <f ca="1"/>
        <v>46251</v>
      </c>
      <c r="C122" vm="686">
        <f ca="1"/>
        <v>1316</v>
      </c>
      <c r="E122" vm="829">
        <f ca="1"/>
        <v>46251</v>
      </c>
      <c r="F122" vm="687">
        <f ca="1"/>
        <v>1946</v>
      </c>
      <c r="H122" vm="829">
        <f ca="1"/>
        <v>46251</v>
      </c>
      <c r="I122" vm="688">
        <f ca="1"/>
        <v>726.95</v>
      </c>
      <c r="K122" vm="829">
        <f ca="1"/>
        <v>46251</v>
      </c>
      <c r="L122" vm="689">
        <f ca="1"/>
        <v>4093</v>
      </c>
      <c r="N122" vm="829">
        <f ca="1"/>
        <v>46251</v>
      </c>
      <c r="O122" vm="690">
        <f ca="1"/>
        <v>1432.2</v>
      </c>
      <c r="Q122" vm="829">
        <f ca="1"/>
        <v>46251</v>
      </c>
      <c r="R122" vm="691">
        <f ca="1"/>
        <v>13565</v>
      </c>
      <c r="T122" vm="829">
        <f ca="1"/>
        <v>46251</v>
      </c>
      <c r="U122" vm="692">
        <f ca="1"/>
        <v>1302.5</v>
      </c>
      <c r="W122" s="109">
        <v>46251</v>
      </c>
      <c r="X122" s="110">
        <v>24287.650390625</v>
      </c>
    </row>
    <row r="123" spans="2:24" x14ac:dyDescent="0.3">
      <c r="B123" vm="830">
        <f ca="1"/>
        <v>46258</v>
      </c>
      <c r="C123" vm="693">
        <f ca="1"/>
        <v>1287</v>
      </c>
      <c r="E123" vm="830">
        <f ca="1"/>
        <v>46258</v>
      </c>
      <c r="F123" vm="694">
        <f ca="1"/>
        <v>1882.4</v>
      </c>
      <c r="H123" vm="830">
        <f ca="1"/>
        <v>46258</v>
      </c>
      <c r="I123" vm="695">
        <f ca="1"/>
        <v>720.3</v>
      </c>
      <c r="K123" vm="830">
        <f ca="1"/>
        <v>46258</v>
      </c>
      <c r="L123" vm="696">
        <f ca="1"/>
        <v>4045.8</v>
      </c>
      <c r="N123" vm="830">
        <f ca="1"/>
        <v>46258</v>
      </c>
      <c r="O123" vm="697">
        <f ca="1"/>
        <v>1423.5</v>
      </c>
      <c r="Q123" vm="830">
        <f ca="1"/>
        <v>46258</v>
      </c>
      <c r="R123" vm="698">
        <f ca="1"/>
        <v>13376</v>
      </c>
      <c r="T123" vm="830">
        <f ca="1"/>
        <v>46258</v>
      </c>
      <c r="U123" vm="699">
        <f ca="1"/>
        <v>1316.1</v>
      </c>
      <c r="W123" s="109">
        <v>46258</v>
      </c>
      <c r="X123" s="110">
        <v>24219.05078125</v>
      </c>
    </row>
    <row r="124" spans="2:24" x14ac:dyDescent="0.3">
      <c r="B124" vm="831">
        <f ca="1"/>
        <v>46265</v>
      </c>
      <c r="C124" vm="700">
        <f ca="1"/>
        <v>1322</v>
      </c>
      <c r="E124" vm="831">
        <f ca="1"/>
        <v>46265</v>
      </c>
      <c r="F124" vm="701">
        <f ca="1"/>
        <v>1840</v>
      </c>
      <c r="H124" vm="831">
        <f ca="1"/>
        <v>46265</v>
      </c>
      <c r="I124" vm="702">
        <f ca="1"/>
        <v>712.1</v>
      </c>
      <c r="K124" vm="831">
        <f ca="1"/>
        <v>46265</v>
      </c>
      <c r="L124" vm="703">
        <f ca="1"/>
        <v>3964.1</v>
      </c>
      <c r="N124" vm="831">
        <f ca="1"/>
        <v>46265</v>
      </c>
      <c r="O124" vm="704">
        <f ca="1"/>
        <v>1385</v>
      </c>
      <c r="Q124" vm="831">
        <f ca="1"/>
        <v>46265</v>
      </c>
      <c r="R124" vm="705">
        <f ca="1"/>
        <v>12694</v>
      </c>
      <c r="T124" vm="831">
        <f ca="1"/>
        <v>46265</v>
      </c>
      <c r="U124" vm="706">
        <f ca="1"/>
        <v>1293.4000000000001</v>
      </c>
      <c r="W124" s="109">
        <v>46265</v>
      </c>
      <c r="X124" s="110">
        <v>24080.400390625</v>
      </c>
    </row>
    <row r="125" spans="2:24" x14ac:dyDescent="0.3">
      <c r="B125" vm="832">
        <f ca="1"/>
        <v>46272</v>
      </c>
      <c r="C125" vm="1">
        <f ca="1"/>
        <v>1309.5</v>
      </c>
      <c r="E125" vm="832">
        <f ca="1"/>
        <v>46272</v>
      </c>
      <c r="F125" vm="2">
        <f ca="1"/>
        <v>1854</v>
      </c>
      <c r="H125" vm="832">
        <f ca="1"/>
        <v>46272</v>
      </c>
      <c r="I125" vm="3">
        <f ca="1"/>
        <v>710.5</v>
      </c>
      <c r="K125" vm="832">
        <f ca="1"/>
        <v>46272</v>
      </c>
      <c r="L125" vm="4">
        <f ca="1"/>
        <v>3999</v>
      </c>
      <c r="N125" vm="832">
        <f ca="1"/>
        <v>46272</v>
      </c>
      <c r="O125" vm="5">
        <f ca="1"/>
        <v>1395</v>
      </c>
      <c r="Q125" vm="832">
        <f ca="1"/>
        <v>46272</v>
      </c>
      <c r="R125" vm="6">
        <f ca="1"/>
        <v>12760</v>
      </c>
      <c r="T125" vm="832">
        <f ca="1"/>
        <v>46272</v>
      </c>
      <c r="U125" vm="7">
        <f ca="1"/>
        <v>1282.8</v>
      </c>
      <c r="W125" s="109">
        <v>46272</v>
      </c>
      <c r="X125" s="110">
        <v>23779.150390625</v>
      </c>
    </row>
  </sheetData>
  <mergeCells count="38">
    <mergeCell ref="Q19:R19"/>
    <mergeCell ref="F9:L9"/>
    <mergeCell ref="A11:B11"/>
    <mergeCell ref="K19:L19"/>
    <mergeCell ref="B19:C19"/>
    <mergeCell ref="F14:L14"/>
    <mergeCell ref="A3:AB3"/>
    <mergeCell ref="A1:AB1"/>
    <mergeCell ref="F12:L12"/>
    <mergeCell ref="A14:B14"/>
    <mergeCell ref="F15:L15"/>
    <mergeCell ref="D9:E9"/>
    <mergeCell ref="A8:B8"/>
    <mergeCell ref="D12:E12"/>
    <mergeCell ref="D8:E8"/>
    <mergeCell ref="F10:L10"/>
    <mergeCell ref="A12:B12"/>
    <mergeCell ref="D11:E11"/>
    <mergeCell ref="D13:E13"/>
    <mergeCell ref="F11:L11"/>
    <mergeCell ref="A2:AB2"/>
    <mergeCell ref="F13:L13"/>
    <mergeCell ref="W19:X19"/>
    <mergeCell ref="F8:L8"/>
    <mergeCell ref="D15:E15"/>
    <mergeCell ref="A10:B10"/>
    <mergeCell ref="A13:B13"/>
    <mergeCell ref="D14:E14"/>
    <mergeCell ref="A9:B9"/>
    <mergeCell ref="E19:F19"/>
    <mergeCell ref="A16:B16"/>
    <mergeCell ref="F16:L16"/>
    <mergeCell ref="T19:U19"/>
    <mergeCell ref="D16:E16"/>
    <mergeCell ref="H19:I19"/>
    <mergeCell ref="N19:O19"/>
    <mergeCell ref="D10:E10"/>
    <mergeCell ref="A15:B15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8"/>
  <sheetViews>
    <sheetView showGridLines="0" topLeftCell="A130" zoomScale="81" workbookViewId="0">
      <selection activeCell="D148" sqref="D148"/>
    </sheetView>
  </sheetViews>
  <sheetFormatPr defaultColWidth="8.6640625" defaultRowHeight="14.4" x14ac:dyDescent="0.3"/>
  <cols>
    <col min="1" max="1" width="17" customWidth="1"/>
    <col min="2" max="10" width="16" customWidth="1"/>
    <col min="12" max="13" width="18" customWidth="1"/>
  </cols>
  <sheetData>
    <row r="1" spans="1:13" ht="25.95" customHeight="1" x14ac:dyDescent="0.3">
      <c r="A1" s="233" t="s">
        <v>243</v>
      </c>
      <c r="B1" s="156"/>
      <c r="C1" s="156"/>
      <c r="D1" s="156"/>
      <c r="E1" s="156"/>
      <c r="F1" s="156"/>
      <c r="G1" s="156"/>
      <c r="H1" s="156"/>
      <c r="I1" s="156"/>
      <c r="J1" s="156"/>
      <c r="K1" s="78"/>
      <c r="L1" s="78"/>
      <c r="M1" s="78"/>
    </row>
    <row r="2" spans="1:13" ht="13.5" customHeight="1" x14ac:dyDescent="0.3">
      <c r="A2" s="247" t="s">
        <v>244</v>
      </c>
      <c r="B2" s="156"/>
      <c r="C2" s="156"/>
      <c r="D2" s="156"/>
      <c r="E2" s="156"/>
      <c r="F2" s="156"/>
      <c r="G2" s="156"/>
      <c r="H2" s="156"/>
      <c r="I2" s="156"/>
      <c r="J2" s="156"/>
      <c r="K2" s="78"/>
      <c r="L2" s="95" t="s">
        <v>245</v>
      </c>
      <c r="M2" s="95" t="s">
        <v>246</v>
      </c>
    </row>
    <row r="3" spans="1:13" ht="108" customHeight="1" x14ac:dyDescent="0.3">
      <c r="A3" s="80" t="s">
        <v>247</v>
      </c>
      <c r="B3" s="81"/>
      <c r="C3" s="81"/>
      <c r="D3" s="81"/>
      <c r="E3" s="81"/>
      <c r="F3" s="81"/>
      <c r="G3" s="81"/>
      <c r="H3" s="81"/>
      <c r="I3" s="81"/>
      <c r="J3" s="81"/>
      <c r="K3" s="78"/>
      <c r="L3" s="96" t="s">
        <v>248</v>
      </c>
      <c r="M3" s="97">
        <f>SUM(Weights)</f>
        <v>1</v>
      </c>
    </row>
    <row r="4" spans="1:13" x14ac:dyDescent="0.3">
      <c r="A4" s="82" t="s">
        <v>249</v>
      </c>
      <c r="B4" s="89">
        <f>Holdings!$E$7</f>
        <v>0.23</v>
      </c>
      <c r="C4" s="89">
        <f>Holdings!$E$8</f>
        <v>0.15</v>
      </c>
      <c r="D4" s="89">
        <f>Holdings!$E$9</f>
        <v>0.15</v>
      </c>
      <c r="E4" s="89">
        <f>Holdings!$E$10</f>
        <v>0.14000000000000001</v>
      </c>
      <c r="F4" s="89">
        <f>Holdings!$E$11</f>
        <v>0.12</v>
      </c>
      <c r="G4" s="89">
        <f>Holdings!$E$12</f>
        <v>0.12</v>
      </c>
      <c r="H4" s="89">
        <f>Holdings!$E$13</f>
        <v>0.09</v>
      </c>
      <c r="I4" s="82"/>
      <c r="J4" s="89">
        <f>SUM($B$4:$H$4)</f>
        <v>1</v>
      </c>
      <c r="K4" s="78"/>
      <c r="L4" s="96" t="s">
        <v>250</v>
      </c>
      <c r="M4" s="98">
        <f ca="1">COUNT(PortRet)</f>
        <v>104</v>
      </c>
    </row>
    <row r="5" spans="1:13" ht="27.75" customHeight="1" x14ac:dyDescent="0.3">
      <c r="A5" s="83" t="s">
        <v>9</v>
      </c>
      <c r="B5" s="83" t="s">
        <v>10</v>
      </c>
      <c r="C5" s="83" t="s">
        <v>11</v>
      </c>
      <c r="D5" s="83" t="s">
        <v>12</v>
      </c>
      <c r="E5" s="83" t="s">
        <v>13</v>
      </c>
      <c r="F5" s="83" t="s">
        <v>14</v>
      </c>
      <c r="G5" s="83" t="s">
        <v>15</v>
      </c>
      <c r="H5" s="83" t="s">
        <v>16</v>
      </c>
      <c r="I5" s="90" t="s">
        <v>17</v>
      </c>
      <c r="J5" s="91" t="s">
        <v>251</v>
      </c>
      <c r="K5" s="78"/>
      <c r="L5" s="96" t="s">
        <v>252</v>
      </c>
      <c r="M5" s="98">
        <f ca="1">COUNTBLANK($B$6:INDEX($J$6:$J$1000,COUNT($A$6:$A$1000)))</f>
        <v>0</v>
      </c>
    </row>
    <row r="6" spans="1:13" x14ac:dyDescent="0.3">
      <c r="A6" s="79">
        <f ca="1">Prices!$A$5</f>
        <v>45551</v>
      </c>
      <c r="B6" s="94">
        <f ca="1">IFERROR(Prices!B5/Prices!B4-1,"")</f>
        <v>9.0314913844324884E-3</v>
      </c>
      <c r="C6" s="94">
        <f ca="1">IFERROR(Prices!C5/Prices!C4-1,"")</f>
        <v>4.7294196824619883E-2</v>
      </c>
      <c r="D6" s="94">
        <f ca="1">IFERROR(Prices!D5/Prices!D4-1,"")</f>
        <v>4.5169436082787451E-2</v>
      </c>
      <c r="E6" s="94">
        <f ca="1">IFERROR(Prices!E5/Prices!E4-1,"")</f>
        <v>5.0069194575145248E-2</v>
      </c>
      <c r="F6" s="94">
        <f ca="1">IFERROR(Prices!F5/Prices!F4-1,"")</f>
        <v>-1.2683015002711295E-2</v>
      </c>
      <c r="G6" s="94">
        <f ca="1">IFERROR(Prices!G5/Prices!G4-1,"")</f>
        <v>2.4232607045278298E-2</v>
      </c>
      <c r="H6" s="94">
        <f ca="1">IFERROR(Prices!H5/Prices!H4-1,"")</f>
        <v>-2.9098639191275755E-2</v>
      </c>
      <c r="I6" s="92">
        <f ca="1">IFERROR(Prices!I5/Prices!I4-1,"")</f>
        <v>1.7939622494318908E-2</v>
      </c>
      <c r="J6" s="93">
        <f t="shared" ref="J6:J37" ca="1" si="0">IFERROR(SUMPRODUCT(Weights,$B6:$H6),"")</f>
        <v>2.172354871294413E-2</v>
      </c>
      <c r="K6" s="78"/>
      <c r="L6" s="96" t="s">
        <v>253</v>
      </c>
      <c r="M6" s="99" t="str">
        <f ca="1">IF(COUNT(BenchRet)=COUNT(PortRet),"YES","CHECK")</f>
        <v>YES</v>
      </c>
    </row>
    <row r="7" spans="1:13" x14ac:dyDescent="0.3">
      <c r="A7" s="79">
        <f ca="1">Prices!$A$6</f>
        <v>45558</v>
      </c>
      <c r="B7" s="94">
        <f ca="1">IFERROR(Prices!B6/Prices!B5-1,"")</f>
        <v>2.7087504416440922E-2</v>
      </c>
      <c r="C7" s="94">
        <f ca="1">IFERROR(Prices!C6/Prices!C5-1,"")</f>
        <v>1.3348911932232976E-2</v>
      </c>
      <c r="D7" s="94">
        <f ca="1">IFERROR(Prices!D6/Prices!D5-1,"")</f>
        <v>6.5759224375543379E-3</v>
      </c>
      <c r="E7" s="94">
        <f ca="1">IFERROR(Prices!E6/Prices!E5-1,"")</f>
        <v>-2.3261024275811115E-2</v>
      </c>
      <c r="F7" s="94">
        <f ca="1">IFERROR(Prices!F6/Prices!F5-1,"")</f>
        <v>2.0657248344673862E-2</v>
      </c>
      <c r="G7" s="94">
        <f ca="1">IFERROR(Prices!G6/Prices!G5-1,"")</f>
        <v>6.9848190574339108E-2</v>
      </c>
      <c r="H7" s="94">
        <f ca="1">IFERROR(Prices!H6/Prices!H5-1,"")</f>
        <v>2.74708523277718E-2</v>
      </c>
      <c r="I7" s="92">
        <f ca="1">IFERROR(Prices!I6/Prices!I5-1,"")</f>
        <v>2.1876231102575527E-2</v>
      </c>
      <c r="J7" s="93">
        <f t="shared" ca="1" si="0"/>
        <v>1.9295337152416971E-2</v>
      </c>
      <c r="K7" s="112"/>
      <c r="L7" s="112"/>
      <c r="M7" s="112"/>
    </row>
    <row r="8" spans="1:13" x14ac:dyDescent="0.3">
      <c r="A8" s="79">
        <f ca="1">Prices!$A$7</f>
        <v>45565</v>
      </c>
      <c r="B8" s="94">
        <f ca="1">IFERROR(Prices!B7/Prices!B6-1,"")</f>
        <v>-9.1503267973856106E-2</v>
      </c>
      <c r="C8" s="94">
        <f ca="1">IFERROR(Prices!C7/Prices!C6-1,"")</f>
        <v>-5.401821745647406E-2</v>
      </c>
      <c r="D8" s="94">
        <f ca="1">IFERROR(Prices!D7/Prices!D6-1,"")</f>
        <v>-5.4203635364433844E-2</v>
      </c>
      <c r="E8" s="94">
        <f ca="1">IFERROR(Prices!E7/Prices!E6-1,"")</f>
        <v>-5.7128978721681878E-2</v>
      </c>
      <c r="F8" s="94">
        <f ca="1">IFERROR(Prices!F7/Prices!F6-1,"")</f>
        <v>-2.9417040358744373E-2</v>
      </c>
      <c r="G8" s="94">
        <f ca="1">IFERROR(Prices!G7/Prices!G6-1,"")</f>
        <v>-6.5936305166128251E-2</v>
      </c>
      <c r="H8" s="94">
        <f ca="1">IFERROR(Prices!H7/Prices!H6-1,"")</f>
        <v>-1.758462143059536E-2</v>
      </c>
      <c r="I8" s="92">
        <f ca="1">IFERROR(Prices!I7/Prices!I6-1,"")</f>
        <v>-4.9424002811879753E-3</v>
      </c>
      <c r="J8" s="93">
        <f t="shared" ca="1" si="0"/>
        <v>-5.8302103969896858E-2</v>
      </c>
      <c r="K8" s="112"/>
      <c r="L8" s="112"/>
      <c r="M8" s="112"/>
    </row>
    <row r="9" spans="1:13" x14ac:dyDescent="0.3">
      <c r="A9" s="79">
        <f ca="1">Prices!$A$8</f>
        <v>45572</v>
      </c>
      <c r="B9" s="94">
        <f ca="1">IFERROR(Prices!B8/Prices!B7-1,"")</f>
        <v>-1.0403707109500449E-2</v>
      </c>
      <c r="C9" s="94">
        <f ca="1">IFERROR(Prices!C8/Prices!C7-1,"")</f>
        <v>2.8338107136327562E-2</v>
      </c>
      <c r="D9" s="94">
        <f ca="1">IFERROR(Prices!D8/Prices!D7-1,"")</f>
        <v>-4.0116380684096509E-3</v>
      </c>
      <c r="E9" s="94">
        <f ca="1">IFERROR(Prices!E8/Prices!E7-1,"")</f>
        <v>-3.2627828102862466E-3</v>
      </c>
      <c r="F9" s="94">
        <f ca="1">IFERROR(Prices!F8/Prices!F7-1,"")</f>
        <v>-1.6971601059569963E-2</v>
      </c>
      <c r="G9" s="94">
        <f ca="1">IFERROR(Prices!G8/Prices!G7-1,"")</f>
        <v>1.3557305198024672E-2</v>
      </c>
      <c r="H9" s="94">
        <f ca="1">IFERROR(Prices!H8/Prices!H7-1,"")</f>
        <v>3.5489146235921254E-2</v>
      </c>
      <c r="I9" s="92">
        <f ca="1">IFERROR(Prices!I8/Prices!I7-1,"")</f>
        <v>-3.9328407423144141E-2</v>
      </c>
      <c r="J9" s="93">
        <f t="shared" ca="1" si="0"/>
        <v>3.5836357894099865E-3</v>
      </c>
      <c r="K9" s="112"/>
      <c r="L9" s="112"/>
      <c r="M9" s="112"/>
    </row>
    <row r="10" spans="1:13" x14ac:dyDescent="0.3">
      <c r="A10" s="79">
        <f ca="1">Prices!$A$9</f>
        <v>45579</v>
      </c>
      <c r="B10" s="94">
        <f ca="1">IFERROR(Prices!B9/Prices!B8-1,"")</f>
        <v>-9.3287661249179532E-3</v>
      </c>
      <c r="C10" s="94">
        <f ca="1">IFERROR(Prices!C9/Prices!C8-1,"")</f>
        <v>1.2119236695507851E-2</v>
      </c>
      <c r="D10" s="94">
        <f ca="1">IFERROR(Prices!D9/Prices!D8-1,"")</f>
        <v>1.8685588293585242E-2</v>
      </c>
      <c r="E10" s="94">
        <f ca="1">IFERROR(Prices!E9/Prices!E8-1,"")</f>
        <v>2.7350648231899033E-2</v>
      </c>
      <c r="F10" s="94">
        <f ca="1">IFERROR(Prices!F9/Prices!F8-1,"")</f>
        <v>-2.7604574651417746E-2</v>
      </c>
      <c r="G10" s="94">
        <f ca="1">IFERROR(Prices!G9/Prices!G8-1,"")</f>
        <v>-5.2560726011904424E-2</v>
      </c>
      <c r="H10" s="94">
        <f ca="1">IFERROR(Prices!H9/Prices!H8-1,"")</f>
        <v>9.8116310820168806E-3</v>
      </c>
      <c r="I10" s="92">
        <f ca="1">IFERROR(Prices!I9/Prices!I8-1,"")</f>
        <v>1.3397425718117084E-2</v>
      </c>
      <c r="J10" s="93">
        <f t="shared" ca="1" si="0"/>
        <v>-2.4325909901184409E-3</v>
      </c>
      <c r="K10" s="112"/>
      <c r="L10" s="112"/>
      <c r="M10" s="112"/>
    </row>
    <row r="11" spans="1:13" x14ac:dyDescent="0.3">
      <c r="A11" s="79">
        <f ca="1">Prices!$A$10</f>
        <v>45586</v>
      </c>
      <c r="B11" s="94">
        <f ca="1">IFERROR(Prices!B10/Prices!B9-1,"")</f>
        <v>-2.3136908703008885E-2</v>
      </c>
      <c r="C11" s="94">
        <f ca="1">IFERROR(Prices!C10/Prices!C9-1,"")</f>
        <v>-2.450449395438703E-2</v>
      </c>
      <c r="D11" s="94">
        <f ca="1">IFERROR(Prices!D10/Prices!D9-1,"")</f>
        <v>3.6596631417571412E-2</v>
      </c>
      <c r="E11" s="94">
        <f ca="1">IFERROR(Prices!E10/Prices!E9-1,"")</f>
        <v>-7.0266644306557158E-2</v>
      </c>
      <c r="F11" s="94">
        <f ca="1">IFERROR(Prices!F10/Prices!F9-1,"")</f>
        <v>-4.0471740671521483E-2</v>
      </c>
      <c r="G11" s="94">
        <f ca="1">IFERROR(Prices!G10/Prices!G9-1,"")</f>
        <v>-4.9751757523688322E-2</v>
      </c>
      <c r="H11" s="94">
        <f ca="1">IFERROR(Prices!H10/Prices!H9-1,"")</f>
        <v>-2.879917419430611E-3</v>
      </c>
      <c r="I11" s="92">
        <f ca="1">IFERROR(Prices!I10/Prices!I9-1,"")</f>
        <v>-1.3803339315736407E-2</v>
      </c>
      <c r="J11" s="93">
        <f t="shared" ca="1" si="0"/>
        <v>-2.4431010936306324E-2</v>
      </c>
      <c r="K11" s="112"/>
      <c r="L11" s="112"/>
      <c r="M11" s="112"/>
    </row>
    <row r="12" spans="1:13" x14ac:dyDescent="0.3">
      <c r="A12" s="79">
        <f ca="1">Prices!$A$11</f>
        <v>45593</v>
      </c>
      <c r="B12" s="94">
        <f ca="1">IFERROR(Prices!B11/Prices!B10-1,"")</f>
        <v>8.1334488082238643E-3</v>
      </c>
      <c r="C12" s="94">
        <f ca="1">IFERROR(Prices!C11/Prices!C10-1,"")</f>
        <v>-2.9741896758703423E-2</v>
      </c>
      <c r="D12" s="94">
        <f ca="1">IFERROR(Prices!D11/Prices!D10-1,"")</f>
        <v>-3.4989837134238311E-3</v>
      </c>
      <c r="E12" s="94">
        <f ca="1">IFERROR(Prices!E11/Prices!E10-1,"")</f>
        <v>9.0172558922558821E-2</v>
      </c>
      <c r="F12" s="94">
        <f ca="1">IFERROR(Prices!F11/Prices!F10-1,"")</f>
        <v>4.7451138424340122E-2</v>
      </c>
      <c r="G12" s="94">
        <f ca="1">IFERROR(Prices!G11/Prices!G10-1,"")</f>
        <v>-3.4152405708150591E-2</v>
      </c>
      <c r="H12" s="94">
        <f ca="1">IFERROR(Prices!H11/Prices!H10-1,"")</f>
        <v>-5.1259202556506178E-2</v>
      </c>
      <c r="I12" s="92">
        <f ca="1">IFERROR(Prices!I11/Prices!I10-1,"")</f>
        <v>-1.78341246238648E-2</v>
      </c>
      <c r="J12" s="93">
        <f t="shared" ca="1" si="0"/>
        <v>6.4912391000878254E-3</v>
      </c>
      <c r="K12" s="112"/>
      <c r="L12" s="112"/>
      <c r="M12" s="112"/>
    </row>
    <row r="13" spans="1:13" x14ac:dyDescent="0.3">
      <c r="A13" s="79">
        <f ca="1">Prices!$A$12</f>
        <v>45600</v>
      </c>
      <c r="B13" s="94">
        <f ca="1">IFERROR(Prices!B12/Prices!B11-1,"")</f>
        <v>-4.1011466776229799E-2</v>
      </c>
      <c r="C13" s="94">
        <f ca="1">IFERROR(Prices!C12/Prices!C11-1,"")</f>
        <v>-2.8797673915060717E-2</v>
      </c>
      <c r="D13" s="94">
        <f ca="1">IFERROR(Prices!D12/Prices!D11-1,"")</f>
        <v>9.8717166167123782E-3</v>
      </c>
      <c r="E13" s="94">
        <f ca="1">IFERROR(Prices!E12/Prices!E11-1,"")</f>
        <v>9.3620306920181307E-3</v>
      </c>
      <c r="F13" s="94">
        <f ca="1">IFERROR(Prices!F12/Prices!F11-1,"")</f>
        <v>2.1192010515853843E-2</v>
      </c>
      <c r="G13" s="94">
        <f ca="1">IFERROR(Prices!G12/Prices!G11-1,"")</f>
        <v>1.7371737173717428E-2</v>
      </c>
      <c r="H13" s="94">
        <f ca="1">IFERROR(Prices!H12/Prices!H11-1,"")</f>
        <v>4.5578716043566114E-2</v>
      </c>
      <c r="I13" s="92">
        <f ca="1">IFERROR(Prices!I12/Prices!I11-1,"")</f>
        <v>-1.4125422446234048E-2</v>
      </c>
      <c r="J13" s="93">
        <f t="shared" ca="1" si="0"/>
        <v>-2.2311124897330618E-3</v>
      </c>
      <c r="K13" s="112"/>
      <c r="L13" s="112"/>
      <c r="M13" s="112"/>
    </row>
    <row r="14" spans="1:13" x14ac:dyDescent="0.3">
      <c r="A14" s="79">
        <f ca="1">Prices!$A$13</f>
        <v>45607</v>
      </c>
      <c r="B14" s="94">
        <f ca="1">IFERROR(Prices!B13/Prices!B12-1,"")</f>
        <v>-1.2580331061343819E-2</v>
      </c>
      <c r="C14" s="94">
        <f ca="1">IFERROR(Prices!C13/Prices!C12-1,"")</f>
        <v>-1.2357474998407558E-2</v>
      </c>
      <c r="D14" s="94">
        <f ca="1">IFERROR(Prices!D13/Prices!D12-1,"")</f>
        <v>-3.5167724797282918E-2</v>
      </c>
      <c r="E14" s="94">
        <f ca="1">IFERROR(Prices!E13/Prices!E12-1,"")</f>
        <v>-3.6622681200994545E-2</v>
      </c>
      <c r="F14" s="94">
        <f ca="1">IFERROR(Prices!F13/Prices!F12-1,"")</f>
        <v>-5.8300891623759843E-2</v>
      </c>
      <c r="G14" s="94">
        <f ca="1">IFERROR(Prices!G13/Prices!G12-1,"")</f>
        <v>-2.6271786251437779E-2</v>
      </c>
      <c r="H14" s="94">
        <f ca="1">IFERROR(Prices!H13/Prices!H12-1,"")</f>
        <v>1.1673446021403855E-2</v>
      </c>
      <c r="I14" s="92">
        <f ca="1">IFERROR(Prices!I13/Prices!I12-1,"")</f>
        <v>6.0824774071213117E-3</v>
      </c>
      <c r="J14" s="93">
        <f t="shared" ca="1" si="0"/>
        <v>-2.4247542684699253E-2</v>
      </c>
      <c r="K14" s="112"/>
      <c r="L14" s="112"/>
      <c r="M14" s="112"/>
    </row>
    <row r="15" spans="1:13" x14ac:dyDescent="0.3">
      <c r="A15" s="79">
        <f ca="1">Prices!$A$14</f>
        <v>45614</v>
      </c>
      <c r="B15" s="94">
        <f ca="1">IFERROR(Prices!B14/Prices!B13-1,"")</f>
        <v>-1.7355632691699041E-3</v>
      </c>
      <c r="C15" s="94">
        <f ca="1">IFERROR(Prices!C14/Prices!C13-1,"")</f>
        <v>1.2125120928732747E-2</v>
      </c>
      <c r="D15" s="94">
        <f ca="1">IFERROR(Prices!D14/Prices!D13-1,"")</f>
        <v>3.1221425221136245E-2</v>
      </c>
      <c r="E15" s="94">
        <f ca="1">IFERROR(Prices!E14/Prices!E13-1,"")</f>
        <v>2.1907125132931693E-2</v>
      </c>
      <c r="F15" s="94">
        <f ca="1">IFERROR(Prices!F14/Prices!F13-1,"")</f>
        <v>-8.8348058009668495E-3</v>
      </c>
      <c r="G15" s="94">
        <f ca="1">IFERROR(Prices!G14/Prices!G13-1,"")</f>
        <v>5.2289422635733995E-3</v>
      </c>
      <c r="H15" s="94">
        <f ca="1">IFERROR(Prices!H14/Prices!H13-1,"")</f>
        <v>2.1221688623093815E-2</v>
      </c>
      <c r="I15" s="92">
        <f ca="1">IFERROR(Prices!I14/Prices!I13-1,"")</f>
        <v>-2.8478167196937743E-2</v>
      </c>
      <c r="J15" s="93">
        <f t="shared" ca="1" si="0"/>
        <v>1.0647048240772939E-2</v>
      </c>
      <c r="K15" s="112"/>
      <c r="L15" s="112"/>
      <c r="M15" s="112"/>
    </row>
    <row r="16" spans="1:13" x14ac:dyDescent="0.3">
      <c r="A16" s="79">
        <f ca="1">Prices!$A$15</f>
        <v>45621</v>
      </c>
      <c r="B16" s="94">
        <f ca="1">IFERROR(Prices!B15/Prices!B14-1,"")</f>
        <v>2.117907381065276E-2</v>
      </c>
      <c r="C16" s="94">
        <f ca="1">IFERROR(Prices!C15/Prices!C14-1,"")</f>
        <v>3.6863569744472136E-2</v>
      </c>
      <c r="D16" s="94">
        <f ca="1">IFERROR(Prices!D15/Prices!D14-1,"")</f>
        <v>2.890118769565464E-2</v>
      </c>
      <c r="E16" s="94">
        <f ca="1">IFERROR(Prices!E15/Prices!E14-1,"")</f>
        <v>3.3661717774386091E-2</v>
      </c>
      <c r="F16" s="94">
        <f ca="1">IFERROR(Prices!F15/Prices!F14-1,"")</f>
        <v>3.1886982845610534E-2</v>
      </c>
      <c r="G16" s="94">
        <f ca="1">IFERROR(Prices!G15/Prices!G14-1,"")</f>
        <v>9.5809682201086765E-4</v>
      </c>
      <c r="H16" s="94">
        <f ca="1">IFERROR(Prices!H15/Prices!H14-1,"")</f>
        <v>-2.6522372355262669E-2</v>
      </c>
      <c r="I16" s="92">
        <f ca="1">IFERROR(Prices!I15/Prices!I14-1,"")</f>
        <v>3.2749472741708141E-2</v>
      </c>
      <c r="J16" s="93">
        <f t="shared" ca="1" si="0"/>
        <v>2.1002937129024127E-2</v>
      </c>
      <c r="K16" s="112"/>
      <c r="L16" s="112"/>
      <c r="M16" s="112"/>
    </row>
    <row r="17" spans="1:13" x14ac:dyDescent="0.3">
      <c r="A17" s="79">
        <f ca="1">Prices!$A$16</f>
        <v>45628</v>
      </c>
      <c r="B17" s="94">
        <f ca="1">IFERROR(Prices!B16/Prices!B15-1,"")</f>
        <v>1.4974462157560708E-2</v>
      </c>
      <c r="C17" s="94">
        <f ca="1">IFERROR(Prices!C16/Prices!C15-1,"")</f>
        <v>-1.8006944657837476E-2</v>
      </c>
      <c r="D17" s="94">
        <f ca="1">IFERROR(Prices!D16/Prices!D15-1,"")</f>
        <v>3.3295233221689813E-2</v>
      </c>
      <c r="E17" s="94">
        <f ca="1">IFERROR(Prices!E16/Prices!E15-1,"")</f>
        <v>3.8096005154639068E-2</v>
      </c>
      <c r="F17" s="94">
        <f ca="1">IFERROR(Prices!F16/Prices!F15-1,"")</f>
        <v>-3.6834213442858088E-2</v>
      </c>
      <c r="G17" s="94">
        <f ca="1">IFERROR(Prices!G16/Prices!G15-1,"")</f>
        <v>2.2010619277238908E-2</v>
      </c>
      <c r="H17" s="94">
        <f ca="1">IFERROR(Prices!H16/Prices!H15-1,"")</f>
        <v>4.0393971525507721E-2</v>
      </c>
      <c r="I17" s="92">
        <f ca="1">IFERROR(Prices!I16/Prices!I15-1,"")</f>
        <v>2.2355962889666348E-3</v>
      </c>
      <c r="J17" s="93">
        <f t="shared" ca="1" si="0"/>
        <v>1.2927436439887679E-2</v>
      </c>
      <c r="K17" s="112"/>
      <c r="L17" s="112"/>
      <c r="M17" s="112"/>
    </row>
    <row r="18" spans="1:13" x14ac:dyDescent="0.3">
      <c r="A18" s="79">
        <f ca="1">Prices!$A$17</f>
        <v>45635</v>
      </c>
      <c r="B18" s="94">
        <f ca="1">IFERROR(Prices!B17/Prices!B16-1,"")</f>
        <v>-2.9507071785292216E-2</v>
      </c>
      <c r="C18" s="94">
        <f ca="1">IFERROR(Prices!C17/Prices!C16-1,"")</f>
        <v>5.2508057702537858E-2</v>
      </c>
      <c r="D18" s="94">
        <f ca="1">IFERROR(Prices!D17/Prices!D16-1,"")</f>
        <v>8.5675204729525056E-3</v>
      </c>
      <c r="E18" s="94">
        <f ca="1">IFERROR(Prices!E17/Prices!E16-1,"")</f>
        <v>5.2499547417694803E-3</v>
      </c>
      <c r="F18" s="94">
        <f ca="1">IFERROR(Prices!F17/Prices!F16-1,"")</f>
        <v>-2.0373629348856226E-2</v>
      </c>
      <c r="G18" s="94">
        <f ca="1">IFERROR(Prices!G17/Prices!G16-1,"")</f>
        <v>-4.0113271396322592E-3</v>
      </c>
      <c r="H18" s="94">
        <f ca="1">IFERROR(Prices!H17/Prices!H16-1,"")</f>
        <v>2.397666494977968E-2</v>
      </c>
      <c r="I18" s="92">
        <f ca="1">IFERROR(Prices!I17/Prices!I16-1,"")</f>
        <v>1.4127059703421097E-2</v>
      </c>
      <c r="J18" s="93">
        <f t="shared" ca="1" si="0"/>
        <v>2.3414089464156244E-3</v>
      </c>
      <c r="K18" s="112"/>
      <c r="L18" s="112"/>
      <c r="M18" s="112"/>
    </row>
    <row r="19" spans="1:13" x14ac:dyDescent="0.3">
      <c r="A19" s="79">
        <f ca="1">Prices!$A$18</f>
        <v>45642</v>
      </c>
      <c r="B19" s="94">
        <f ca="1">IFERROR(Prices!B18/Prices!B17-1,"")</f>
        <v>-5.3069882547040037E-2</v>
      </c>
      <c r="C19" s="94">
        <f ca="1">IFERROR(Prices!C18/Prices!C17-1,"")</f>
        <v>-6.1632228333581174E-2</v>
      </c>
      <c r="D19" s="94">
        <f ca="1">IFERROR(Prices!D18/Prices!D17-1,"")</f>
        <v>-5.3559515571675487E-2</v>
      </c>
      <c r="E19" s="94">
        <f ca="1">IFERROR(Prices!E18/Prices!E17-1,"")</f>
        <v>-6.6156418832004182E-2</v>
      </c>
      <c r="F19" s="94">
        <f ca="1">IFERROR(Prices!F18/Prices!F17-1,"")</f>
        <v>1.7100808401851797E-2</v>
      </c>
      <c r="G19" s="94">
        <f ca="1">IFERROR(Prices!G18/Prices!G17-1,"")</f>
        <v>-3.2956163423537688E-2</v>
      </c>
      <c r="H19" s="94">
        <f ca="1">IFERROR(Prices!H18/Prices!H17-1,"")</f>
        <v>-2.918018993433158E-2</v>
      </c>
      <c r="I19" s="92">
        <f ca="1">IFERROR(Prices!I18/Prices!I17-1,"")</f>
        <v>2.0004874284089702E-3</v>
      </c>
      <c r="J19" s="93">
        <f t="shared" ca="1" si="0"/>
        <v>-4.327559290478044E-2</v>
      </c>
      <c r="K19" s="112"/>
      <c r="L19" s="112"/>
      <c r="M19" s="112"/>
    </row>
    <row r="20" spans="1:13" x14ac:dyDescent="0.3">
      <c r="A20" s="79">
        <f ca="1">Prices!$A$19</f>
        <v>45649</v>
      </c>
      <c r="B20" s="94">
        <f ca="1">IFERROR(Prices!B19/Prices!B18-1,"")</f>
        <v>1.3067286152824931E-2</v>
      </c>
      <c r="C20" s="94">
        <f ca="1">IFERROR(Prices!C19/Prices!C18-1,"")</f>
        <v>1.3782396552816767E-2</v>
      </c>
      <c r="D20" s="94">
        <f ca="1">IFERROR(Prices!D19/Prices!D18-1,"")</f>
        <v>1.510027748184517E-2</v>
      </c>
      <c r="E20" s="94">
        <f ca="1">IFERROR(Prices!E19/Prices!E18-1,"")</f>
        <v>-5.9919831397992063E-3</v>
      </c>
      <c r="F20" s="94">
        <f ca="1">IFERROR(Prices!F19/Prices!F18-1,"")</f>
        <v>2.3470670153866946E-2</v>
      </c>
      <c r="G20" s="94">
        <f ca="1">IFERROR(Prices!G19/Prices!G18-1,"")</f>
        <v>3.6693712990949479E-3</v>
      </c>
      <c r="H20" s="94">
        <f ca="1">IFERROR(Prices!H19/Prices!H18-1,"")</f>
        <v>-1.0123746224960484E-2</v>
      </c>
      <c r="I20" s="92">
        <f ca="1">IFERROR(Prices!I19/Prices!I18-1,"")</f>
        <v>-3.7084137758049307E-2</v>
      </c>
      <c r="J20" s="93">
        <f t="shared" ca="1" si="0"/>
        <v>8.8446670948861203E-3</v>
      </c>
      <c r="K20" s="112"/>
      <c r="L20" s="112"/>
      <c r="M20" s="112"/>
    </row>
    <row r="21" spans="1:13" x14ac:dyDescent="0.3">
      <c r="A21" s="79">
        <f ca="1">Prices!$A$20</f>
        <v>45656</v>
      </c>
      <c r="B21" s="94">
        <f ca="1">IFERROR(Prices!B20/Prices!B19-1,"")</f>
        <v>2.4650915195937984E-2</v>
      </c>
      <c r="C21" s="94">
        <f ca="1">IFERROR(Prices!C20/Prices!C19-1,"")</f>
        <v>-6.2505859924366636E-4</v>
      </c>
      <c r="D21" s="94">
        <f ca="1">IFERROR(Prices!D20/Prices!D19-1,"")</f>
        <v>-2.727654245445843E-2</v>
      </c>
      <c r="E21" s="94">
        <f ca="1">IFERROR(Prices!E20/Prices!E19-1,"")</f>
        <v>1.4356586569108432E-2</v>
      </c>
      <c r="F21" s="94">
        <f ca="1">IFERROR(Prices!F20/Prices!F19-1,"")</f>
        <v>3.0864197530864335E-3</v>
      </c>
      <c r="G21" s="94">
        <f ca="1">IFERROR(Prices!G20/Prices!G19-1,"")</f>
        <v>9.0777393394601225E-2</v>
      </c>
      <c r="H21" s="94">
        <f ca="1">IFERROR(Prices!H20/Prices!H19-1,"")</f>
        <v>2.8884766080534696E-2</v>
      </c>
      <c r="I21" s="92">
        <f ca="1">IFERROR(Prices!I20/Prices!I19-1,"")</f>
        <v>-4.5698132984962614E-3</v>
      </c>
      <c r="J21" s="93">
        <f t="shared" ca="1" si="0"/>
        <v>1.7357678981656244E-2</v>
      </c>
      <c r="K21" s="112"/>
      <c r="L21" s="112"/>
      <c r="M21" s="112"/>
    </row>
    <row r="22" spans="1:13" x14ac:dyDescent="0.3">
      <c r="A22" s="79">
        <f ca="1">Prices!$A$21</f>
        <v>45663</v>
      </c>
      <c r="B22" s="94">
        <f ca="1">IFERROR(Prices!B21/Prices!B20-1,"")</f>
        <v>-7.3931982576029842E-3</v>
      </c>
      <c r="C22" s="94">
        <f ca="1">IFERROR(Prices!C21/Prices!C20-1,"")</f>
        <v>1.0663914688682663E-2</v>
      </c>
      <c r="D22" s="94">
        <f ca="1">IFERROR(Prices!D21/Prices!D20-1,"")</f>
        <v>-5.28527757496009E-2</v>
      </c>
      <c r="E22" s="94">
        <f ca="1">IFERROR(Prices!E21/Prices!E20-1,"")</f>
        <v>-3.3812399245881086E-2</v>
      </c>
      <c r="F22" s="94">
        <f ca="1">IFERROR(Prices!F21/Prices!F20-1,"")</f>
        <v>-2.8089330024813952E-2</v>
      </c>
      <c r="G22" s="94">
        <f ca="1">IFERROR(Prices!G21/Prices!G20-1,"")</f>
        <v>-2.5401680038544483E-2</v>
      </c>
      <c r="H22" s="94">
        <f ca="1">IFERROR(Prices!H21/Prices!H20-1,"")</f>
        <v>2.4888915874498485E-2</v>
      </c>
      <c r="I22" s="92">
        <f ca="1">IFERROR(Prices!I21/Prices!I20-1,"")</f>
        <v>-1.2201197255387042E-3</v>
      </c>
      <c r="J22" s="93">
        <f t="shared" ca="1" si="0"/>
        <v>-1.6941419431707922E-2</v>
      </c>
      <c r="K22" s="112"/>
      <c r="L22" s="112"/>
      <c r="M22" s="112"/>
    </row>
    <row r="23" spans="1:13" x14ac:dyDescent="0.3">
      <c r="A23" s="79">
        <f ca="1">Prices!$A$22</f>
        <v>45670</v>
      </c>
      <c r="B23" s="94">
        <f ca="1">IFERROR(Prices!B22/Prices!B21-1,"")</f>
        <v>4.8675416700217244E-2</v>
      </c>
      <c r="C23" s="94">
        <f ca="1">IFERROR(Prices!C22/Prices!C21-1,"")</f>
        <v>7.1786620459186601E-3</v>
      </c>
      <c r="D23" s="94">
        <f ca="1">IFERROR(Prices!D22/Prices!D21-1,"")</f>
        <v>-1.2071827811142466E-2</v>
      </c>
      <c r="E23" s="94">
        <f ca="1">IFERROR(Prices!E22/Prices!E21-1,"")</f>
        <v>9.1907865899354402E-3</v>
      </c>
      <c r="F23" s="94">
        <f ca="1">IFERROR(Prices!F22/Prices!F21-1,"")</f>
        <v>-1.8041938997821361E-2</v>
      </c>
      <c r="G23" s="94">
        <f ca="1">IFERROR(Prices!G22/Prices!G21-1,"")</f>
        <v>4.3439571493667728E-2</v>
      </c>
      <c r="H23" s="94">
        <f ca="1">IFERROR(Prices!H22/Prices!H21-1,"")</f>
        <v>-0.10033934542080825</v>
      </c>
      <c r="I23" s="92">
        <f ca="1">IFERROR(Prices!I22/Prices!I21-1,"")</f>
        <v>-2.2446664237395497E-2</v>
      </c>
      <c r="J23" s="93">
        <f t="shared" ca="1" si="0"/>
        <v>5.7652559104861816E-3</v>
      </c>
      <c r="K23" s="112"/>
      <c r="L23" s="112"/>
      <c r="M23" s="112"/>
    </row>
    <row r="24" spans="1:13" x14ac:dyDescent="0.3">
      <c r="A24" s="79">
        <f ca="1">Prices!$A$23</f>
        <v>45677</v>
      </c>
      <c r="B24" s="94">
        <f ca="1">IFERROR(Prices!B23/Prices!B22-1,"")</f>
        <v>-4.3037585902407138E-2</v>
      </c>
      <c r="C24" s="94">
        <f ca="1">IFERROR(Prices!C23/Prices!C22-1,"")</f>
        <v>1.0629800307219606E-2</v>
      </c>
      <c r="D24" s="94">
        <f ca="1">IFERROR(Prices!D23/Prices!D22-1,"")</f>
        <v>7.9730957018928628E-3</v>
      </c>
      <c r="E24" s="94">
        <f ca="1">IFERROR(Prices!E23/Prices!E22-1,"")</f>
        <v>-3.0950079161587762E-2</v>
      </c>
      <c r="F24" s="94">
        <f ca="1">IFERROR(Prices!F23/Prices!F22-1,"")</f>
        <v>-2.1424114261942684E-2</v>
      </c>
      <c r="G24" s="94">
        <f ca="1">IFERROR(Prices!G23/Prices!G22-1,"")</f>
        <v>-1.3879790876169529E-2</v>
      </c>
      <c r="H24" s="94">
        <f ca="1">IFERROR(Prices!H23/Prices!H22-1,"")</f>
        <v>2.2080608194978701E-3</v>
      </c>
      <c r="I24" s="92">
        <f ca="1">IFERROR(Prices!I23/Prices!I22-1,"")</f>
        <v>1.121031579848597E-2</v>
      </c>
      <c r="J24" s="93">
        <f t="shared" ca="1" si="0"/>
        <v>-1.5478964581627718E-2</v>
      </c>
      <c r="K24" s="112"/>
      <c r="L24" s="112"/>
      <c r="M24" s="112"/>
    </row>
    <row r="25" spans="1:13" x14ac:dyDescent="0.3">
      <c r="A25" s="79">
        <f ca="1">Prices!$A$24</f>
        <v>45684</v>
      </c>
      <c r="B25" s="94">
        <f ca="1">IFERROR(Prices!B24/Prices!B23-1,"")</f>
        <v>1.4683463050629841E-2</v>
      </c>
      <c r="C25" s="94">
        <f ca="1">IFERROR(Prices!C24/Prices!C23-1,"")</f>
        <v>-1.3101896887159459E-2</v>
      </c>
      <c r="D25" s="94">
        <f ca="1">IFERROR(Prices!D24/Prices!D23-1,"")</f>
        <v>2.4942450315013298E-2</v>
      </c>
      <c r="E25" s="94">
        <f ca="1">IFERROR(Prices!E24/Prices!E23-1,"")</f>
        <v>-3.0940951940314765E-3</v>
      </c>
      <c r="F25" s="94">
        <f ca="1">IFERROR(Prices!F24/Prices!F23-1,"")</f>
        <v>1.9909309905058681E-2</v>
      </c>
      <c r="G25" s="94">
        <f ca="1">IFERROR(Prices!G24/Prices!G23-1,"")</f>
        <v>7.9262025919334178E-2</v>
      </c>
      <c r="H25" s="94">
        <f ca="1">IFERROR(Prices!H24/Prices!H23-1,"")</f>
        <v>-5.5135677831385732E-2</v>
      </c>
      <c r="I25" s="92">
        <f ca="1">IFERROR(Prices!I24/Prices!I23-1,"")</f>
        <v>-2.2086319595412296E-2</v>
      </c>
      <c r="J25" s="93">
        <f t="shared" ca="1" si="0"/>
        <v>1.1658455482760961E-2</v>
      </c>
      <c r="K25" s="112"/>
      <c r="L25" s="112"/>
      <c r="M25" s="112"/>
    </row>
    <row r="26" spans="1:13" x14ac:dyDescent="0.3">
      <c r="A26" s="79">
        <f ca="1">Prices!$A$25</f>
        <v>45691</v>
      </c>
      <c r="B26" s="94">
        <f ca="1">IFERROR(Prices!B25/Prices!B24-1,"")</f>
        <v>1.6606041436029173E-3</v>
      </c>
      <c r="C26" s="94">
        <f ca="1">IFERROR(Prices!C25/Prices!C24-1,"")</f>
        <v>3.2958570768520046E-2</v>
      </c>
      <c r="D26" s="94">
        <f ca="1">IFERROR(Prices!D25/Prices!D24-1,"")</f>
        <v>2.4719870634550389E-2</v>
      </c>
      <c r="E26" s="94">
        <f ca="1">IFERROR(Prices!E25/Prices!E24-1,"")</f>
        <v>-3.20812182741117E-2</v>
      </c>
      <c r="F26" s="94">
        <f ca="1">IFERROR(Prices!F25/Prices!F24-1,"")</f>
        <v>2.2750955192775368E-2</v>
      </c>
      <c r="G26" s="94">
        <f ca="1">IFERROR(Prices!G25/Prices!G24-1,"")</f>
        <v>1.0296907056865257E-2</v>
      </c>
      <c r="H26" s="94">
        <f ca="1">IFERROR(Prices!H25/Prices!H24-1,"")</f>
        <v>1.8683589138134726E-2</v>
      </c>
      <c r="I26" s="92">
        <f ca="1">IFERROR(Prices!I25/Prices!I24-1,"")</f>
        <v>2.3299175901150937E-2</v>
      </c>
      <c r="J26" s="93">
        <f t="shared" ca="1" si="0"/>
        <v>1.0189601097502596E-2</v>
      </c>
      <c r="K26" s="112"/>
      <c r="L26" s="112"/>
      <c r="M26" s="112"/>
    </row>
    <row r="27" spans="1:13" x14ac:dyDescent="0.3">
      <c r="A27" s="79">
        <f ca="1">Prices!$A$26</f>
        <v>45698</v>
      </c>
      <c r="B27" s="94">
        <f ca="1">IFERROR(Prices!B26/Prices!B25-1,"")</f>
        <v>-3.9038446356674861E-2</v>
      </c>
      <c r="C27" s="94">
        <f ca="1">IFERROR(Prices!C26/Prices!C25-1,"")</f>
        <v>2.403459072610703E-2</v>
      </c>
      <c r="D27" s="94">
        <f ca="1">IFERROR(Prices!D26/Prices!D25-1,"")</f>
        <v>-2.1872740754043218E-2</v>
      </c>
      <c r="E27" s="94">
        <f ca="1">IFERROR(Prices!E26/Prices!E25-1,"")</f>
        <v>-2.9743174802960848E-2</v>
      </c>
      <c r="F27" s="94">
        <f ca="1">IFERROR(Prices!F26/Prices!F25-1,"")</f>
        <v>-8.6941755815928001E-3</v>
      </c>
      <c r="G27" s="94">
        <f ca="1">IFERROR(Prices!G26/Prices!G25-1,"")</f>
        <v>-2.8296103298977027E-2</v>
      </c>
      <c r="H27" s="94">
        <f ca="1">IFERROR(Prices!H26/Prices!H25-1,"")</f>
        <v>-8.3446817141367147E-3</v>
      </c>
      <c r="I27" s="92">
        <f ca="1">IFERROR(Prices!I26/Prices!I25-1,"")</f>
        <v>8.7961917113310584E-4</v>
      </c>
      <c r="J27" s="93">
        <f t="shared" ca="1" si="0"/>
        <v>-1.8008464458580849E-2</v>
      </c>
      <c r="K27" s="112"/>
      <c r="L27" s="112"/>
      <c r="M27" s="112"/>
    </row>
    <row r="28" spans="1:13" x14ac:dyDescent="0.3">
      <c r="A28" s="79">
        <f ca="1">Prices!$A$27</f>
        <v>45705</v>
      </c>
      <c r="B28" s="94">
        <f ca="1">IFERROR(Prices!B27/Prices!B26-1,"")</f>
        <v>8.9546108030396088E-3</v>
      </c>
      <c r="C28" s="94">
        <f ca="1">IFERROR(Prices!C27/Prices!C26-1,"")</f>
        <v>-4.5310270522116447E-2</v>
      </c>
      <c r="D28" s="94">
        <f ca="1">IFERROR(Prices!D27/Prices!D26-1,"")</f>
        <v>-1.3865699210503513E-3</v>
      </c>
      <c r="E28" s="94">
        <f ca="1">IFERROR(Prices!E27/Prices!E26-1,"")</f>
        <v>2.3921671582783688E-2</v>
      </c>
      <c r="F28" s="94">
        <f ca="1">IFERROR(Prices!F27/Prices!F26-1,"")</f>
        <v>1.1168590907533638E-2</v>
      </c>
      <c r="G28" s="94">
        <f ca="1">IFERROR(Prices!G27/Prices!G26-1,"")</f>
        <v>-2.8138246485676532E-2</v>
      </c>
      <c r="H28" s="94">
        <f ca="1">IFERROR(Prices!H27/Prices!H26-1,"")</f>
        <v>-6.1650840029218168E-3</v>
      </c>
      <c r="I28" s="92">
        <f ca="1">IFERROR(Prices!I27/Prices!I26-1,"")</f>
        <v>-1.8052640385038399E-2</v>
      </c>
      <c r="J28" s="93">
        <f t="shared" ca="1" si="0"/>
        <v>-4.1871477898263038E-3</v>
      </c>
      <c r="K28" s="112"/>
      <c r="L28" s="112"/>
      <c r="M28" s="112"/>
    </row>
    <row r="29" spans="1:13" x14ac:dyDescent="0.3">
      <c r="A29" s="79">
        <f ca="1">Prices!$A$28</f>
        <v>45712</v>
      </c>
      <c r="B29" s="94">
        <f ca="1">IFERROR(Prices!B28/Prices!B27-1,"")</f>
        <v>-2.2839229735781563E-2</v>
      </c>
      <c r="C29" s="94">
        <f ca="1">IFERROR(Prices!C28/Prices!C27-1,"")</f>
        <v>-4.2122922068018931E-2</v>
      </c>
      <c r="D29" s="94">
        <f ca="1">IFERROR(Prices!D28/Prices!D27-1,"")</f>
        <v>2.3574565365237277E-2</v>
      </c>
      <c r="E29" s="94">
        <f ca="1">IFERROR(Prices!E28/Prices!E27-1,"")</f>
        <v>-4.5624566378088094E-2</v>
      </c>
      <c r="F29" s="94">
        <f ca="1">IFERROR(Prices!F28/Prices!F27-1,"")</f>
        <v>-4.6247670675927499E-2</v>
      </c>
      <c r="G29" s="94">
        <f ca="1">IFERROR(Prices!G28/Prices!G27-1,"")</f>
        <v>-3.0640770238853587E-2</v>
      </c>
      <c r="H29" s="94">
        <f ca="1">IFERROR(Prices!H28/Prices!H27-1,"")</f>
        <v>-7.3881342976421571E-2</v>
      </c>
      <c r="I29" s="92">
        <f ca="1">IFERROR(Prices!I28/Prices!I27-1,"")</f>
        <v>-1.7689862175787829E-2</v>
      </c>
      <c r="J29" s="93">
        <f t="shared" ca="1" si="0"/>
        <v>-3.0298649415231013E-2</v>
      </c>
      <c r="K29" s="112"/>
      <c r="L29" s="112"/>
      <c r="M29" s="112"/>
    </row>
    <row r="30" spans="1:13" x14ac:dyDescent="0.3">
      <c r="A30" s="79">
        <f ca="1">Prices!$A$29</f>
        <v>45719</v>
      </c>
      <c r="B30" s="94">
        <f ca="1">IFERROR(Prices!B29/Prices!B28-1,"")</f>
        <v>4.1413215565369699E-2</v>
      </c>
      <c r="C30" s="94">
        <f ca="1">IFERROR(Prices!C29/Prices!C28-1,"")</f>
        <v>3.8530123551139939E-2</v>
      </c>
      <c r="D30" s="94">
        <f ca="1">IFERROR(Prices!D29/Prices!D28-1,"")</f>
        <v>-2.4907650212637633E-2</v>
      </c>
      <c r="E30" s="94">
        <f ca="1">IFERROR(Prices!E29/Prices!E28-1,"")</f>
        <v>2.5554308832593131E-2</v>
      </c>
      <c r="F30" s="94">
        <f ca="1">IFERROR(Prices!F29/Prices!F28-1,"")</f>
        <v>3.6198934280639472E-2</v>
      </c>
      <c r="G30" s="94">
        <f ca="1">IFERROR(Prices!G29/Prices!G28-1,"")</f>
        <v>-2.3581411117668538E-2</v>
      </c>
      <c r="H30" s="94">
        <f ca="1">IFERROR(Prices!H29/Prices!H28-1,"")</f>
        <v>-1.0856798196882567E-2</v>
      </c>
      <c r="I30" s="92">
        <f ca="1">IFERROR(Prices!I29/Prices!I28-1,"")</f>
        <v>-1.9245426317719749E-2</v>
      </c>
      <c r="J30" s="93">
        <f t="shared" ca="1" si="0"/>
        <v>1.5683004759210497E-2</v>
      </c>
      <c r="K30" s="112"/>
      <c r="L30" s="112"/>
      <c r="M30" s="112"/>
    </row>
    <row r="31" spans="1:13" x14ac:dyDescent="0.3">
      <c r="A31" s="79">
        <f ca="1">Prices!$A$30</f>
        <v>45726</v>
      </c>
      <c r="B31" s="94">
        <f ca="1">IFERROR(Prices!B30/Prices!B29-1,"")</f>
        <v>-1.5202432389180842E-3</v>
      </c>
      <c r="C31" s="94">
        <f ca="1">IFERROR(Prices!C30/Prices!C29-1,"")</f>
        <v>1.1038204452076261E-3</v>
      </c>
      <c r="D31" s="94">
        <f ca="1">IFERROR(Prices!D30/Prices!D29-1,"")</f>
        <v>1.0270847232437763E-2</v>
      </c>
      <c r="E31" s="94">
        <f ca="1">IFERROR(Prices!E30/Prices!E29-1,"")</f>
        <v>-1.7690387400992269E-2</v>
      </c>
      <c r="F31" s="94">
        <f ca="1">IFERROR(Prices!F30/Prices!F29-1,"")</f>
        <v>2.3655250437109032E-3</v>
      </c>
      <c r="G31" s="94">
        <f ca="1">IFERROR(Prices!G30/Prices!G29-1,"")</f>
        <v>-1.2889923397761516E-2</v>
      </c>
      <c r="H31" s="94">
        <f ca="1">IFERROR(Prices!H30/Prices!H29-1,"")</f>
        <v>-1.4891363650951561E-2</v>
      </c>
      <c r="I31" s="92">
        <f ca="1">IFERROR(Prices!I30/Prices!I29-1,"")</f>
        <v>1.5416400517011652E-2</v>
      </c>
      <c r="J31" s="93">
        <f t="shared" ca="1" si="0"/>
        <v>-3.7232605605149829E-3</v>
      </c>
      <c r="K31" s="112"/>
      <c r="L31" s="112"/>
      <c r="M31" s="112"/>
    </row>
    <row r="32" spans="1:13" x14ac:dyDescent="0.3">
      <c r="A32" s="79">
        <f ca="1">Prices!$A$31</f>
        <v>45733</v>
      </c>
      <c r="B32" s="94">
        <f ca="1">IFERROR(Prices!B31/Prices!B30-1,"")</f>
        <v>2.279830114592496E-2</v>
      </c>
      <c r="C32" s="94">
        <f ca="1">IFERROR(Prices!C31/Prices!C30-1,"")</f>
        <v>5.7151607963246587E-2</v>
      </c>
      <c r="D32" s="94">
        <f ca="1">IFERROR(Prices!D31/Prices!D30-1,"")</f>
        <v>3.735503424759723E-2</v>
      </c>
      <c r="E32" s="94">
        <f ca="1">IFERROR(Prices!E31/Prices!E30-1,"")</f>
        <v>7.1737834530793965E-2</v>
      </c>
      <c r="F32" s="94">
        <f ca="1">IFERROR(Prices!F31/Prices!F30-1,"")</f>
        <v>4.2376359532115604E-2</v>
      </c>
      <c r="G32" s="94">
        <f ca="1">IFERROR(Prices!G31/Prices!G30-1,"")</f>
        <v>1.9020653476697458E-2</v>
      </c>
      <c r="H32" s="94">
        <f ca="1">IFERROR(Prices!H31/Prices!H30-1,"")</f>
        <v>2.0817722756149237E-2</v>
      </c>
      <c r="I32" s="92">
        <f ca="1">IFERROR(Prices!I31/Prices!I30-1,"")</f>
        <v>2.1571046274877492E-3</v>
      </c>
      <c r="J32" s="93">
        <f t="shared" ca="1" si="0"/>
        <v>3.870413903861146E-2</v>
      </c>
      <c r="K32" s="112"/>
      <c r="L32" s="112"/>
      <c r="M32" s="112"/>
    </row>
    <row r="33" spans="1:13" x14ac:dyDescent="0.3">
      <c r="A33" s="79">
        <f ca="1">Prices!$A$32</f>
        <v>45740</v>
      </c>
      <c r="B33" s="94">
        <f ca="1">IFERROR(Prices!B32/Prices!B31-1,"")</f>
        <v>-9.7935519254122028E-4</v>
      </c>
      <c r="C33" s="94">
        <f ca="1">IFERROR(Prices!C32/Prices!C31-1,"")</f>
        <v>4.4037547803916777E-3</v>
      </c>
      <c r="D33" s="94">
        <f ca="1">IFERROR(Prices!D32/Prices!D31-1,"")</f>
        <v>3.2677078229875756E-2</v>
      </c>
      <c r="E33" s="94">
        <f ca="1">IFERROR(Prices!E32/Prices!E31-1,"")</f>
        <v>2.2351029728187033E-2</v>
      </c>
      <c r="F33" s="94">
        <f ca="1">IFERROR(Prices!F32/Prices!F31-1,"")</f>
        <v>-5.3581389244348077E-2</v>
      </c>
      <c r="G33" s="94">
        <f ca="1">IFERROR(Prices!G32/Prices!G31-1,"")</f>
        <v>-1.7953941088231229E-2</v>
      </c>
      <c r="H33" s="94">
        <f ca="1">IFERROR(Prices!H32/Prices!H31-1,"")</f>
        <v>1.6467734729048278E-2</v>
      </c>
      <c r="I33" s="92">
        <f ca="1">IFERROR(Prices!I32/Prices!I31-1,"")</f>
        <v>5.1073454073415903E-2</v>
      </c>
      <c r="J33" s="93">
        <f t="shared" ca="1" si="0"/>
        <v>1.3638739049066473E-3</v>
      </c>
      <c r="K33" s="112"/>
      <c r="L33" s="112"/>
      <c r="M33" s="112"/>
    </row>
    <row r="34" spans="1:13" x14ac:dyDescent="0.3">
      <c r="A34" s="79">
        <f ca="1">Prices!$A$33</f>
        <v>45747</v>
      </c>
      <c r="B34" s="94">
        <f ca="1">IFERROR(Prices!B33/Prices!B32-1,"")</f>
        <v>0</v>
      </c>
      <c r="C34" s="94">
        <f ca="1">IFERROR(Prices!C33/Prices!C32-1,"")</f>
        <v>0</v>
      </c>
      <c r="D34" s="94">
        <f ca="1">IFERROR(Prices!D33/Prices!D32-1,"")</f>
        <v>0</v>
      </c>
      <c r="E34" s="94">
        <f ca="1">IFERROR(Prices!E33/Prices!E32-1,"")</f>
        <v>0</v>
      </c>
      <c r="F34" s="94">
        <f ca="1">IFERROR(Prices!F33/Prices!F32-1,"")</f>
        <v>0</v>
      </c>
      <c r="G34" s="94">
        <f ca="1">IFERROR(Prices!G33/Prices!G32-1,"")</f>
        <v>0</v>
      </c>
      <c r="H34" s="94">
        <f ca="1">IFERROR(Prices!H33/Prices!H32-1,"")</f>
        <v>0</v>
      </c>
      <c r="I34" s="92">
        <f ca="1">IFERROR(Prices!I33/Prices!I32-1,"")</f>
        <v>-2.08235315970553E-2</v>
      </c>
      <c r="J34" s="93">
        <f t="shared" ca="1" si="0"/>
        <v>0</v>
      </c>
      <c r="K34" s="112"/>
      <c r="L34" s="112"/>
      <c r="M34" s="112"/>
    </row>
    <row r="35" spans="1:13" x14ac:dyDescent="0.3">
      <c r="A35" s="79">
        <f ca="1">Prices!$A$34</f>
        <v>45754</v>
      </c>
      <c r="B35" s="94">
        <f ca="1">IFERROR(Prices!B34/Prices!B33-1,"")</f>
        <v>-4.4035761901027315E-2</v>
      </c>
      <c r="C35" s="94">
        <f ca="1">IFERROR(Prices!C34/Prices!C33-1,"")</f>
        <v>1.3384100611514738E-2</v>
      </c>
      <c r="D35" s="94">
        <f ca="1">IFERROR(Prices!D34/Prices!D33-1,"")</f>
        <v>-1.173285020392989E-2</v>
      </c>
      <c r="E35" s="94">
        <f ca="1">IFERROR(Prices!E34/Prices!E33-1,"")</f>
        <v>-0.10776565587148879</v>
      </c>
      <c r="F35" s="94">
        <f ca="1">IFERROR(Prices!F34/Prices!F33-1,"")</f>
        <v>1.4457079461933198E-2</v>
      </c>
      <c r="G35" s="94">
        <f ca="1">IFERROR(Prices!G34/Prices!G33-1,"")</f>
        <v>6.6741016216591564E-3</v>
      </c>
      <c r="H35" s="94">
        <f ca="1">IFERROR(Prices!H34/Prices!H33-1,"")</f>
        <v>-0.12681318681318687</v>
      </c>
      <c r="I35" s="92">
        <f ca="1">IFERROR(Prices!I34/Prices!I33-1,"")</f>
        <v>-4.3344239251897676E-2</v>
      </c>
      <c r="J35" s="93">
        <f t="shared" ca="1" si="0"/>
        <v>-3.3845174581262724E-2</v>
      </c>
      <c r="K35" s="112"/>
      <c r="L35" s="112"/>
      <c r="M35" s="112"/>
    </row>
    <row r="36" spans="1:13" x14ac:dyDescent="0.3">
      <c r="A36" s="79">
        <f ca="1">Prices!$A$35</f>
        <v>45761</v>
      </c>
      <c r="B36" s="94">
        <f ca="1">IFERROR(Prices!B35/Prices!B34-1,"")</f>
        <v>0</v>
      </c>
      <c r="C36" s="94">
        <f ca="1">IFERROR(Prices!C35/Prices!C34-1,"")</f>
        <v>0</v>
      </c>
      <c r="D36" s="94">
        <f ca="1">IFERROR(Prices!D35/Prices!D34-1,"")</f>
        <v>0</v>
      </c>
      <c r="E36" s="94">
        <f ca="1">IFERROR(Prices!E35/Prices!E34-1,"")</f>
        <v>0</v>
      </c>
      <c r="F36" s="94">
        <f ca="1">IFERROR(Prices!F35/Prices!F34-1,"")</f>
        <v>0</v>
      </c>
      <c r="G36" s="94">
        <f ca="1">IFERROR(Prices!G35/Prices!G34-1,"")</f>
        <v>0</v>
      </c>
      <c r="H36" s="94">
        <f ca="1">IFERROR(Prices!H35/Prices!H34-1,"")</f>
        <v>0</v>
      </c>
      <c r="I36" s="92">
        <f ca="1">IFERROR(Prices!I35/Prices!I34-1,"")</f>
        <v>5.265645045682299E-2</v>
      </c>
      <c r="J36" s="93">
        <f t="shared" ca="1" si="0"/>
        <v>0</v>
      </c>
      <c r="K36" s="112"/>
      <c r="L36" s="112"/>
      <c r="M36" s="112"/>
    </row>
    <row r="37" spans="1:13" x14ac:dyDescent="0.3">
      <c r="A37" s="79">
        <f ca="1">Prices!$A$36</f>
        <v>45768</v>
      </c>
      <c r="B37" s="94">
        <f ca="1">IFERROR(Prices!B36/Prices!B35-1,"")</f>
        <v>6.681980392961151E-2</v>
      </c>
      <c r="C37" s="94">
        <f ca="1">IFERROR(Prices!C36/Prices!C35-1,"")</f>
        <v>3.4498462939769992E-2</v>
      </c>
      <c r="D37" s="94">
        <f ca="1">IFERROR(Prices!D36/Prices!D35-1,"")</f>
        <v>5.7811008477534953E-2</v>
      </c>
      <c r="E37" s="94">
        <f ca="1">IFERROR(Prices!E36/Prices!E35-1,"")</f>
        <v>5.0113127617580577E-2</v>
      </c>
      <c r="F37" s="94">
        <f ca="1">IFERROR(Prices!F36/Prices!F35-1,"")</f>
        <v>4.2958203752434976E-2</v>
      </c>
      <c r="G37" s="94">
        <f ca="1">IFERROR(Prices!G36/Prices!G35-1,"")</f>
        <v>8.5308710627163276E-3</v>
      </c>
      <c r="H37" s="94">
        <f ca="1">IFERROR(Prices!H36/Prices!H35-1,"")</f>
        <v>0.13494660386178148</v>
      </c>
      <c r="I37" s="92">
        <f ca="1">IFERROR(Prices!I36/Prices!I35-1,"")</f>
        <v>3.4164145363053455E-2</v>
      </c>
      <c r="J37" s="93">
        <f t="shared" ca="1" si="0"/>
        <v>5.4554696808246164E-2</v>
      </c>
      <c r="K37" s="112"/>
      <c r="L37" s="112"/>
      <c r="M37" s="112"/>
    </row>
    <row r="38" spans="1:13" x14ac:dyDescent="0.3">
      <c r="A38" s="79">
        <f ca="1">Prices!$A$37</f>
        <v>45775</v>
      </c>
      <c r="B38" s="94">
        <f ca="1">IFERROR(Prices!B37/Prices!B36-1,"")</f>
        <v>9.3817286988618909E-2</v>
      </c>
      <c r="C38" s="94">
        <f ca="1">IFERROR(Prices!C37/Prices!C36-1,"")</f>
        <v>1.9095311468192877E-2</v>
      </c>
      <c r="D38" s="94">
        <f ca="1">IFERROR(Prices!D37/Prices!D36-1,"")</f>
        <v>7.2206070706328784E-3</v>
      </c>
      <c r="E38" s="94">
        <f ca="1">IFERROR(Prices!E37/Prices!E36-1,"")</f>
        <v>1.7633935393172706E-2</v>
      </c>
      <c r="F38" s="94">
        <f ca="1">IFERROR(Prices!F37/Prices!F36-1,"")</f>
        <v>-1.9660528212872563E-4</v>
      </c>
      <c r="G38" s="94">
        <f ca="1">IFERROR(Prices!G37/Prices!G36-1,"")</f>
        <v>6.0523166353222857E-2</v>
      </c>
      <c r="H38" s="94">
        <f ca="1">IFERROR(Prices!H37/Prices!H36-1,"")</f>
        <v>-1.0771765302243219E-3</v>
      </c>
      <c r="I38" s="92">
        <f ca="1">IFERROR(Prices!I37/Prices!I36-1,"")</f>
        <v>8.4122107963533477E-3</v>
      </c>
      <c r="J38" s="93">
        <f t="shared" ref="J38:J69" ca="1" si="1">IFERROR(SUMPRODUCT(Weights,$B38:$H38),"")</f>
        <v>3.5136356184061496E-2</v>
      </c>
      <c r="K38" s="112"/>
      <c r="L38" s="112"/>
      <c r="M38" s="112"/>
    </row>
    <row r="39" spans="1:13" x14ac:dyDescent="0.3">
      <c r="A39" s="79">
        <f ca="1">Prices!$A$38</f>
        <v>45782</v>
      </c>
      <c r="B39" s="94">
        <f ca="1">IFERROR(Prices!B38/Prices!B37-1,"")</f>
        <v>-3.1777277840269957E-2</v>
      </c>
      <c r="C39" s="94">
        <f ca="1">IFERROR(Prices!C38/Prices!C37-1,"")</f>
        <v>-1.8899508612776339E-3</v>
      </c>
      <c r="D39" s="94">
        <f ca="1">IFERROR(Prices!D38/Prices!D37-1,"")</f>
        <v>-1.8337633174428492E-2</v>
      </c>
      <c r="E39" s="94">
        <f ca="1">IFERROR(Prices!E38/Prices!E37-1,"")</f>
        <v>3.4266322301639729E-2</v>
      </c>
      <c r="F39" s="94">
        <f ca="1">IFERROR(Prices!F38/Prices!F37-1,"")</f>
        <v>-2.9889879391714724E-2</v>
      </c>
      <c r="G39" s="94">
        <f ca="1">IFERROR(Prices!G38/Prices!G37-1,"")</f>
        <v>-1.2574560696437254E-2</v>
      </c>
      <c r="H39" s="94">
        <f ca="1">IFERROR(Prices!H38/Prices!H37-1,"")</f>
        <v>-4.503647320012627E-3</v>
      </c>
      <c r="I39" s="92">
        <f ca="1">IFERROR(Prices!I38/Prices!I37-1,"")</f>
        <v>5.4524689407484672E-3</v>
      </c>
      <c r="J39" s="93">
        <f t="shared" ca="1" si="1"/>
        <v>-1.1046687455767821E-2</v>
      </c>
      <c r="K39" s="112"/>
      <c r="L39" s="112"/>
      <c r="M39" s="112"/>
    </row>
    <row r="40" spans="1:13" x14ac:dyDescent="0.3">
      <c r="A40" s="79">
        <f ca="1">Prices!$A$39</f>
        <v>45789</v>
      </c>
      <c r="B40" s="94">
        <f ca="1">IFERROR(Prices!B39/Prices!B38-1,"")</f>
        <v>5.7507987220447365E-2</v>
      </c>
      <c r="C40" s="94">
        <f ca="1">IFERROR(Prices!C39/Prices!C38-1,"")</f>
        <v>-1.8610690326769097E-2</v>
      </c>
      <c r="D40" s="94">
        <f ca="1">IFERROR(Prices!D39/Prices!D38-1,"")</f>
        <v>2.3813302991553931E-2</v>
      </c>
      <c r="E40" s="94">
        <f ca="1">IFERROR(Prices!E39/Prices!E38-1,"")</f>
        <v>4.6691251197769956E-2</v>
      </c>
      <c r="F40" s="94">
        <f ca="1">IFERROR(Prices!F39/Prices!F38-1,"")</f>
        <v>1.3445945945945947E-2</v>
      </c>
      <c r="G40" s="94">
        <f ca="1">IFERROR(Prices!G39/Prices!G38-1,"")</f>
        <v>6.0816326530612308E-2</v>
      </c>
      <c r="H40" s="94">
        <f ca="1">IFERROR(Prices!H39/Prices!H38-1,"")</f>
        <v>5.7665349815215983E-2</v>
      </c>
      <c r="I40" s="92">
        <f ca="1">IFERROR(Prices!I39/Prices!I38-1,"")</f>
        <v>1.8950409965291737E-2</v>
      </c>
      <c r="J40" s="93">
        <f t="shared" ca="1" si="1"/>
        <v>3.4645358308664838E-2</v>
      </c>
      <c r="K40" s="112"/>
      <c r="L40" s="112"/>
      <c r="M40" s="112"/>
    </row>
    <row r="41" spans="1:13" x14ac:dyDescent="0.3">
      <c r="A41" s="79">
        <f ca="1">Prices!$A$40</f>
        <v>45796</v>
      </c>
      <c r="B41" s="94">
        <f ca="1">IFERROR(Prices!B40/Prices!B39-1,"")</f>
        <v>-2.032408678934372E-2</v>
      </c>
      <c r="C41" s="94">
        <f ca="1">IFERROR(Prices!C40/Prices!C39-1,"")</f>
        <v>9.7574421168689085E-3</v>
      </c>
      <c r="D41" s="94">
        <f ca="1">IFERROR(Prices!D40/Prices!D39-1,"")</f>
        <v>-5.6862990970529825E-4</v>
      </c>
      <c r="E41" s="94">
        <f ca="1">IFERROR(Prices!E40/Prices!E39-1,"")</f>
        <v>-1.3315948622630858E-3</v>
      </c>
      <c r="F41" s="94">
        <f ca="1">IFERROR(Prices!F40/Prices!F39-1,"")</f>
        <v>-1.046736449096608E-2</v>
      </c>
      <c r="G41" s="94">
        <f ca="1">IFERROR(Prices!G40/Prices!G39-1,"")</f>
        <v>-4.1708349365140451E-2</v>
      </c>
      <c r="H41" s="94">
        <f ca="1">IFERROR(Prices!H40/Prices!H39-1,"")</f>
        <v>-7.0486173865895729E-3</v>
      </c>
      <c r="I41" s="92">
        <f ca="1">IFERROR(Prices!I40/Prices!I39-1,"")</f>
        <v>8.325075387225489E-4</v>
      </c>
      <c r="J41" s="93">
        <f t="shared" ca="1" si="1"/>
        <v>-1.037810263871719E-2</v>
      </c>
      <c r="K41" s="112"/>
      <c r="L41" s="112"/>
      <c r="M41" s="112"/>
    </row>
    <row r="42" spans="1:13" x14ac:dyDescent="0.3">
      <c r="A42" s="79">
        <f ca="1">Prices!$A$41</f>
        <v>45803</v>
      </c>
      <c r="B42" s="94">
        <f ca="1">IFERROR(Prices!B41/Prices!B40-1,"")</f>
        <v>-4.1351275581720248E-3</v>
      </c>
      <c r="C42" s="94">
        <f ca="1">IFERROR(Prices!C41/Prices!C40-1,"")</f>
        <v>1.3375552765190868E-2</v>
      </c>
      <c r="D42" s="94">
        <f ca="1">IFERROR(Prices!D41/Prices!D40-1,"")</f>
        <v>5.8440341753644987E-3</v>
      </c>
      <c r="E42" s="94">
        <f ca="1">IFERROR(Prices!E41/Prices!E40-1,"")</f>
        <v>2.0889469151920803E-2</v>
      </c>
      <c r="F42" s="94">
        <f ca="1">IFERROR(Prices!F41/Prices!F40-1,"")</f>
        <v>-1.246462740870502E-2</v>
      </c>
      <c r="G42" s="94">
        <f ca="1">IFERROR(Prices!G41/Prices!G40-1,"")</f>
        <v>-1.0760459327069816E-2</v>
      </c>
      <c r="H42" s="94">
        <f ca="1">IFERROR(Prices!H41/Prices!H40-1,"")</f>
        <v>-7.0379808275695677E-3</v>
      </c>
      <c r="I42" s="92">
        <f ca="1">IFERROR(Prices!I41/Prices!I40-1,"")</f>
        <v>2.2329191744172583E-3</v>
      </c>
      <c r="J42" s="93">
        <f t="shared" ca="1" si="1"/>
        <v>1.4359557011984104E-3</v>
      </c>
      <c r="K42" s="112"/>
      <c r="L42" s="112"/>
      <c r="M42" s="112"/>
    </row>
    <row r="43" spans="1:13" x14ac:dyDescent="0.3">
      <c r="A43" s="79">
        <f ca="1">Prices!$A$42</f>
        <v>45810</v>
      </c>
      <c r="B43" s="94">
        <f ca="1">IFERROR(Prices!B42/Prices!B41-1,"")</f>
        <v>1.5905412062777069E-2</v>
      </c>
      <c r="C43" s="94">
        <f ca="1">IFERROR(Prices!C42/Prices!C41-1,"")</f>
        <v>7.5422907014330853E-3</v>
      </c>
      <c r="D43" s="94">
        <f ca="1">IFERROR(Prices!D42/Prices!D41-1,"")</f>
        <v>1.7378798342292168E-2</v>
      </c>
      <c r="E43" s="94">
        <f ca="1">IFERROR(Prices!E42/Prices!E41-1,"")</f>
        <v>-5.1155070610322539E-3</v>
      </c>
      <c r="F43" s="94">
        <f ca="1">IFERROR(Prices!F42/Prices!F41-1,"")</f>
        <v>2.6267312546905952E-2</v>
      </c>
      <c r="G43" s="94">
        <f ca="1">IFERROR(Prices!G42/Prices!G41-1,"")</f>
        <v>1.1608085071840302E-2</v>
      </c>
      <c r="H43" s="94">
        <f ca="1">IFERROR(Prices!H42/Prices!H41-1,"")</f>
        <v>6.7212513748016178E-4</v>
      </c>
      <c r="I43" s="92">
        <f ca="1">IFERROR(Prices!I42/Prices!I41-1,"")</f>
        <v>-1.1381507522817857E-2</v>
      </c>
      <c r="J43" s="93">
        <f t="shared" ca="1" si="1"/>
        <v>1.1285776119075762E-2</v>
      </c>
      <c r="K43" s="112"/>
      <c r="L43" s="112"/>
      <c r="M43" s="112"/>
    </row>
    <row r="44" spans="1:13" x14ac:dyDescent="0.3">
      <c r="A44" s="79">
        <f ca="1">Prices!$A$43</f>
        <v>45817</v>
      </c>
      <c r="B44" s="94">
        <f ca="1">IFERROR(Prices!B43/Prices!B42-1,"")</f>
        <v>-1.0807066158642131E-2</v>
      </c>
      <c r="C44" s="94">
        <f ca="1">IFERROR(Prices!C43/Prices!C42-1,"")</f>
        <v>-1.5934124692546181E-2</v>
      </c>
      <c r="D44" s="94">
        <f ca="1">IFERROR(Prices!D43/Prices!D42-1,"")</f>
        <v>-3.0878823754955431E-2</v>
      </c>
      <c r="E44" s="94">
        <f ca="1">IFERROR(Prices!E43/Prices!E42-1,"")</f>
        <v>-1.8844186746164171E-2</v>
      </c>
      <c r="F44" s="94">
        <f ca="1">IFERROR(Prices!F43/Prices!F42-1,"")</f>
        <v>6.648052120727943E-4</v>
      </c>
      <c r="G44" s="94">
        <f ca="1">IFERROR(Prices!G43/Prices!G42-1,"")</f>
        <v>-4.3331728454502061E-3</v>
      </c>
      <c r="H44" s="94">
        <f ca="1">IFERROR(Prices!H43/Prices!H42-1,"")</f>
        <v>3.5171276790620931E-2</v>
      </c>
      <c r="I44" s="92">
        <f ca="1">IFERROR(Prices!I43/Prices!I42-1,"")</f>
        <v>1.5641294331942168E-2</v>
      </c>
      <c r="J44" s="93">
        <f t="shared" ca="1" si="1"/>
        <v>-9.420542832925323E-3</v>
      </c>
      <c r="K44" s="112"/>
      <c r="L44" s="112"/>
      <c r="M44" s="112"/>
    </row>
    <row r="45" spans="1:13" x14ac:dyDescent="0.3">
      <c r="A45" s="79">
        <f ca="1">Prices!$A$44</f>
        <v>45824</v>
      </c>
      <c r="B45" s="94">
        <f ca="1">IFERROR(Prices!B44/Prices!B43-1,"")</f>
        <v>2.6822606625113821E-2</v>
      </c>
      <c r="C45" s="94">
        <f ca="1">IFERROR(Prices!C44/Prices!C43-1,"")</f>
        <v>5.2325581395348708E-2</v>
      </c>
      <c r="D45" s="94">
        <f ca="1">IFERROR(Prices!D44/Prices!D43-1,"")</f>
        <v>2.4561956006458274E-2</v>
      </c>
      <c r="E45" s="94">
        <f ca="1">IFERROR(Prices!E44/Prices!E43-1,"")</f>
        <v>2.0795004738808132E-2</v>
      </c>
      <c r="F45" s="94">
        <f ca="1">IFERROR(Prices!F44/Prices!F43-1,"")</f>
        <v>-3.6539994685091948E-3</v>
      </c>
      <c r="G45" s="94">
        <f ca="1">IFERROR(Prices!G44/Prices!G43-1,"")</f>
        <v>3.086718246292719E-2</v>
      </c>
      <c r="H45" s="94">
        <f ca="1">IFERROR(Prices!H44/Prices!H43-1,"")</f>
        <v>2.6308028077626444E-2</v>
      </c>
      <c r="I45" s="92">
        <f ca="1">IFERROR(Prices!I44/Prices!I43-1,"")</f>
        <v>-6.2422011387679444E-3</v>
      </c>
      <c r="J45" s="93">
        <f t="shared" ca="1" si="1"/>
        <v>2.6246935283796909E-2</v>
      </c>
      <c r="K45" s="112"/>
      <c r="L45" s="112"/>
      <c r="M45" s="112"/>
    </row>
    <row r="46" spans="1:13" x14ac:dyDescent="0.3">
      <c r="A46" s="79">
        <f ca="1">Prices!$A$45</f>
        <v>45831</v>
      </c>
      <c r="B46" s="94">
        <f ca="1">IFERROR(Prices!B45/Prices!B44-1,"")</f>
        <v>3.3556131496385255E-2</v>
      </c>
      <c r="C46" s="94">
        <f ca="1">IFERROR(Prices!C45/Prices!C44-1,"")</f>
        <v>4.6677337739453595E-2</v>
      </c>
      <c r="D46" s="94">
        <f ca="1">IFERROR(Prices!D45/Prices!D44-1,"")</f>
        <v>2.5550920907532859E-2</v>
      </c>
      <c r="E46" s="94">
        <f ca="1">IFERROR(Prices!E45/Prices!E44-1,"")</f>
        <v>4.6968869470234154E-3</v>
      </c>
      <c r="F46" s="94">
        <f ca="1">IFERROR(Prices!F45/Prices!F44-1,"")</f>
        <v>1.8003600720144508E-3</v>
      </c>
      <c r="G46" s="94">
        <f ca="1">IFERROR(Prices!G45/Prices!G44-1,"")</f>
        <v>-1.16488155734501E-2</v>
      </c>
      <c r="H46" s="94">
        <f ca="1">IFERROR(Prices!H45/Prices!H44-1,"")</f>
        <v>-9.5407782056440293E-3</v>
      </c>
      <c r="I46" s="92">
        <f ca="1">IFERROR(Prices!I45/Prices!I44-1,"")</f>
        <v>1.0181945613612076E-3</v>
      </c>
      <c r="J46" s="93">
        <f t="shared" ca="1" si="1"/>
        <v>1.7169228515119612E-2</v>
      </c>
      <c r="K46" s="112"/>
      <c r="L46" s="112"/>
      <c r="M46" s="112"/>
    </row>
    <row r="47" spans="1:13" x14ac:dyDescent="0.3">
      <c r="A47" s="79">
        <f ca="1">Prices!$A$46</f>
        <v>45838</v>
      </c>
      <c r="B47" s="94">
        <f ca="1">IFERROR(Prices!B46/Prices!B45-1,"")</f>
        <v>7.8527121552065537E-3</v>
      </c>
      <c r="C47" s="94">
        <f ca="1">IFERROR(Prices!C46/Prices!C45-1,"")</f>
        <v>-4.8838241823293549E-3</v>
      </c>
      <c r="D47" s="94">
        <f ca="1">IFERROR(Prices!D46/Prices!D45-1,"")</f>
        <v>-1.2705289757764415E-2</v>
      </c>
      <c r="E47" s="94">
        <f ca="1">IFERROR(Prices!E46/Prices!E45-1,"")</f>
        <v>-2.2994129158512733E-2</v>
      </c>
      <c r="F47" s="94">
        <f ca="1">IFERROR(Prices!F46/Prices!F45-1,"")</f>
        <v>7.2550585729498351E-3</v>
      </c>
      <c r="G47" s="94">
        <f ca="1">IFERROR(Prices!G46/Prices!G45-1,"")</f>
        <v>3.1640563202017802E-4</v>
      </c>
      <c r="H47" s="94">
        <f ca="1">IFERROR(Prices!H46/Prices!H45-1,"")</f>
        <v>1.5087332443568524E-3</v>
      </c>
      <c r="I47" s="92">
        <f ca="1">IFERROR(Prices!I46/Prices!I45-1,"")</f>
        <v>2.1830552825273131E-2</v>
      </c>
      <c r="J47" s="93">
        <f t="shared" ca="1" si="1"/>
        <v>-3.0070596809198226E-3</v>
      </c>
      <c r="K47" s="112"/>
      <c r="L47" s="112"/>
      <c r="M47" s="112"/>
    </row>
    <row r="48" spans="1:13" x14ac:dyDescent="0.3">
      <c r="A48" s="79">
        <f ca="1">Prices!$A$47</f>
        <v>45845</v>
      </c>
      <c r="B48" s="94">
        <f ca="1">IFERROR(Prices!B47/Prices!B46-1,"")</f>
        <v>-2.1017481830681528E-2</v>
      </c>
      <c r="C48" s="94">
        <f ca="1">IFERROR(Prices!C47/Prices!C46-1,"")</f>
        <v>-4.7243704144358523E-2</v>
      </c>
      <c r="D48" s="94">
        <f ca="1">IFERROR(Prices!D47/Prices!D46-1,"")</f>
        <v>-2.8151048299240866E-3</v>
      </c>
      <c r="E48" s="94">
        <f ca="1">IFERROR(Prices!E47/Prices!E46-1,"")</f>
        <v>-1.5022533800701066E-2</v>
      </c>
      <c r="F48" s="94">
        <f ca="1">IFERROR(Prices!F47/Prices!F46-1,"")</f>
        <v>-1.8700852441683735E-2</v>
      </c>
      <c r="G48" s="94">
        <f ca="1">IFERROR(Prices!G47/Prices!G46-1,"")</f>
        <v>-5.6934999209236059E-3</v>
      </c>
      <c r="H48" s="94">
        <f ca="1">IFERROR(Prices!H47/Prices!H46-1,"")</f>
        <v>-5.0756127237962856E-2</v>
      </c>
      <c r="I48" s="92">
        <f ca="1">IFERROR(Prices!I47/Prices!I46-1,"")</f>
        <v>-2.184813616507908E-3</v>
      </c>
      <c r="J48" s="93">
        <f t="shared" ca="1" si="1"/>
        <v>-2.1941370634226829E-2</v>
      </c>
      <c r="K48" s="112"/>
      <c r="L48" s="112"/>
      <c r="M48" s="112"/>
    </row>
    <row r="49" spans="1:13" x14ac:dyDescent="0.3">
      <c r="A49" s="79">
        <f ca="1">Prices!$A$48</f>
        <v>45852</v>
      </c>
      <c r="B49" s="94">
        <f ca="1">IFERROR(Prices!B48/Prices!B47-1,"")</f>
        <v>-1.2841091492776902E-2</v>
      </c>
      <c r="C49" s="94">
        <f ca="1">IFERROR(Prices!C48/Prices!C47-1,"")</f>
        <v>-1.0874655289036972E-2</v>
      </c>
      <c r="D49" s="94">
        <f ca="1">IFERROR(Prices!D48/Prices!D47-1,"")</f>
        <v>-1.3258065422519949E-2</v>
      </c>
      <c r="E49" s="94">
        <f ca="1">IFERROR(Prices!E48/Prices!E47-1,"")</f>
        <v>-2.1408800768231262E-2</v>
      </c>
      <c r="F49" s="94">
        <f ca="1">IFERROR(Prices!F48/Prices!F47-1,"")</f>
        <v>-1.8181818181818299E-3</v>
      </c>
      <c r="G49" s="94">
        <f ca="1">IFERROR(Prices!G48/Prices!G47-1,"")</f>
        <v>-1.2327024017814492E-2</v>
      </c>
      <c r="H49" s="94">
        <f ca="1">IFERROR(Prices!H48/Prices!H47-1,"")</f>
        <v>-5.4629799182078997E-2</v>
      </c>
      <c r="I49" s="92">
        <f ca="1">IFERROR(Prices!I48/Prices!I47-1,"")</f>
        <v>-1.4885335327372573E-2</v>
      </c>
      <c r="J49" s="93">
        <f t="shared" ca="1" si="1"/>
        <v>-1.6184697884331269E-2</v>
      </c>
      <c r="K49" s="112"/>
      <c r="L49" s="112"/>
      <c r="M49" s="112"/>
    </row>
    <row r="50" spans="1:13" x14ac:dyDescent="0.3">
      <c r="A50" s="79">
        <f ca="1">Prices!$A$49</f>
        <v>45859</v>
      </c>
      <c r="B50" s="94">
        <f ca="1">IFERROR(Prices!B49/Prices!B48-1,"")</f>
        <v>-5.7113821138211396E-2</v>
      </c>
      <c r="C50" s="94">
        <f ca="1">IFERROR(Prices!C49/Prices!C48-1,"")</f>
        <v>1.9410836401893894E-2</v>
      </c>
      <c r="D50" s="94">
        <f ca="1">IFERROR(Prices!D49/Prices!D48-1,"")</f>
        <v>2.6659761492894285E-2</v>
      </c>
      <c r="E50" s="94">
        <f ca="1">IFERROR(Prices!E49/Prices!E48-1,"")</f>
        <v>-6.320711152158931E-3</v>
      </c>
      <c r="F50" s="94">
        <f ca="1">IFERROR(Prices!F49/Prices!F48-1,"")</f>
        <v>3.3866288875396444E-2</v>
      </c>
      <c r="G50" s="94">
        <f ca="1">IFERROR(Prices!G49/Prices!G48-1,"")</f>
        <v>-1.2078267171269363E-3</v>
      </c>
      <c r="H50" s="94">
        <f ca="1">IFERROR(Prices!H49/Prices!H48-1,"")</f>
        <v>-3.7900309917355379E-2</v>
      </c>
      <c r="I50" s="92">
        <f ca="1">IFERROR(Prices!I49/Prices!I48-1,"")</f>
        <v>3.3483521201849165E-4</v>
      </c>
      <c r="J50" s="93">
        <f t="shared" ca="1" si="1"/>
        <v>-6.6025011724422881E-3</v>
      </c>
      <c r="K50" s="112"/>
      <c r="L50" s="112"/>
      <c r="M50" s="112"/>
    </row>
    <row r="51" spans="1:13" x14ac:dyDescent="0.3">
      <c r="A51" s="79">
        <f ca="1">Prices!$A$50</f>
        <v>45866</v>
      </c>
      <c r="B51" s="94">
        <f ca="1">IFERROR(Prices!B50/Prices!B49-1,"")</f>
        <v>1.43709132715375E-3</v>
      </c>
      <c r="C51" s="94">
        <f ca="1">IFERROR(Prices!C50/Prices!C49-1,"")</f>
        <v>-2.7607203674080205E-2</v>
      </c>
      <c r="D51" s="94">
        <f ca="1">IFERROR(Prices!D50/Prices!D49-1,"")</f>
        <v>3.7912800558714821E-3</v>
      </c>
      <c r="E51" s="94">
        <f ca="1">IFERROR(Prices!E50/Prices!E49-1,"")</f>
        <v>4.1941386621743293E-2</v>
      </c>
      <c r="F51" s="94">
        <f ca="1">IFERROR(Prices!F50/Prices!F49-1,"")</f>
        <v>-1.9380097879282299E-2</v>
      </c>
      <c r="G51" s="94">
        <f ca="1">IFERROR(Prices!G50/Prices!G49-1,"")</f>
        <v>-8.2231538213479727E-3</v>
      </c>
      <c r="H51" s="94">
        <f ca="1">IFERROR(Prices!H50/Prices!H49-1,"")</f>
        <v>-2.5501644184954042E-2</v>
      </c>
      <c r="I51" s="92">
        <f ca="1">IFERROR(Prices!I50/Prices!I49-1,"")</f>
        <v>-1.633269860485842E-2</v>
      </c>
      <c r="J51" s="93">
        <f t="shared" ca="1" si="1"/>
        <v>-2.9776015911633803E-3</v>
      </c>
      <c r="K51" s="112"/>
      <c r="L51" s="112"/>
      <c r="M51" s="112"/>
    </row>
    <row r="52" spans="1:13" x14ac:dyDescent="0.3">
      <c r="A52" s="79">
        <f ca="1">Prices!$A$51</f>
        <v>45873</v>
      </c>
      <c r="B52" s="94">
        <f ca="1">IFERROR(Prices!B51/Prices!B50-1,"")</f>
        <v>-1.8583626318433022E-2</v>
      </c>
      <c r="C52" s="94">
        <f ca="1">IFERROR(Prices!C51/Prices!C50-1,"")</f>
        <v>-1.3691360645298301E-2</v>
      </c>
      <c r="D52" s="94">
        <f ca="1">IFERROR(Prices!D51/Prices!D50-1,"")</f>
        <v>-1.9033893251167888E-2</v>
      </c>
      <c r="E52" s="94">
        <f ca="1">IFERROR(Prices!E51/Prices!E50-1,"")</f>
        <v>5.6588520614389015E-3</v>
      </c>
      <c r="F52" s="94">
        <f ca="1">IFERROR(Prices!F51/Prices!F50-1,"")</f>
        <v>-1.1312217194570096E-2</v>
      </c>
      <c r="G52" s="94">
        <f ca="1">IFERROR(Prices!G51/Prices!G50-1,"")</f>
        <v>2.3410827507722276E-2</v>
      </c>
      <c r="H52" s="94">
        <f ca="1">IFERROR(Prices!H51/Prices!H50-1,"")</f>
        <v>1.6252324220095149E-2</v>
      </c>
      <c r="I52" s="92">
        <f ca="1">IFERROR(Prices!I51/Prices!I50-1,"")</f>
        <v>1.6956273358201823E-3</v>
      </c>
      <c r="J52" s="93">
        <f t="shared" ca="1" si="1"/>
        <v>-5.4762404317212519E-3</v>
      </c>
      <c r="K52" s="112"/>
      <c r="L52" s="112"/>
      <c r="M52" s="112"/>
    </row>
    <row r="53" spans="1:13" x14ac:dyDescent="0.3">
      <c r="A53" s="79">
        <f ca="1">Prices!$A$52</f>
        <v>45880</v>
      </c>
      <c r="B53" s="94">
        <f ca="1">IFERROR(Prices!B52/Prices!B51-1,"")</f>
        <v>4.3866062289807939E-3</v>
      </c>
      <c r="C53" s="94">
        <f ca="1">IFERROR(Prices!C52/Prices!C51-1,"")</f>
        <v>8.1781986441407106E-3</v>
      </c>
      <c r="D53" s="94">
        <f ca="1">IFERROR(Prices!D52/Prices!D51-1,"")</f>
        <v>8.7137139672728292E-3</v>
      </c>
      <c r="E53" s="94">
        <f ca="1">IFERROR(Prices!E52/Prices!E51-1,"")</f>
        <v>1.9237165982924909E-2</v>
      </c>
      <c r="F53" s="94">
        <f ca="1">IFERROR(Prices!F52/Prices!F51-1,"")</f>
        <v>5.2631578947368363E-2</v>
      </c>
      <c r="G53" s="94">
        <f ca="1">IFERROR(Prices!G52/Prices!G51-1,"")</f>
        <v>2.7482128673550488E-2</v>
      </c>
      <c r="H53" s="94">
        <f ca="1">IFERROR(Prices!H52/Prices!H51-1,"")</f>
        <v>9.5547875584467423E-3</v>
      </c>
      <c r="I53" s="92">
        <f ca="1">IFERROR(Prices!I52/Prices!I51-1,"")</f>
        <v>-5.5697371348252256E-3</v>
      </c>
      <c r="J53" s="93">
        <f t="shared" ca="1" si="1"/>
        <v>1.6709485356757571E-2</v>
      </c>
      <c r="K53" s="112"/>
      <c r="L53" s="112"/>
      <c r="M53" s="112"/>
    </row>
    <row r="54" spans="1:13" x14ac:dyDescent="0.3">
      <c r="A54" s="79">
        <f ca="1">Prices!$A$53</f>
        <v>45887</v>
      </c>
      <c r="B54" s="94">
        <f ca="1">IFERROR(Prices!B53/Prices!B52-1,"")</f>
        <v>2.5767942932013455E-2</v>
      </c>
      <c r="C54" s="94">
        <f ca="1">IFERROR(Prices!C53/Prices!C52-1,"")</f>
        <v>3.1753655672964065E-2</v>
      </c>
      <c r="D54" s="94">
        <f ca="1">IFERROR(Prices!D53/Prices!D52-1,"")</f>
        <v>-1.3309226055948975E-2</v>
      </c>
      <c r="E54" s="94">
        <f ca="1">IFERROR(Prices!E53/Prices!E52-1,"")</f>
        <v>-2.2083220016317573E-2</v>
      </c>
      <c r="F54" s="94">
        <f ca="1">IFERROR(Prices!F53/Prices!F52-1,"")</f>
        <v>1.8414322250639437E-2</v>
      </c>
      <c r="G54" s="94">
        <f ca="1">IFERROR(Prices!G53/Prices!G52-1,"")</f>
        <v>0.10923005565862698</v>
      </c>
      <c r="H54" s="94">
        <f ca="1">IFERROR(Prices!H53/Prices!H52-1,"")</f>
        <v>-1.57739293864948E-2</v>
      </c>
      <c r="I54" s="92">
        <f ca="1">IFERROR(Prices!I53/Prices!I52-1,"")</f>
        <v>1.1873005270447434E-2</v>
      </c>
      <c r="J54" s="93">
        <f t="shared" ca="1" si="1"/>
        <v>1.9499312218958335E-2</v>
      </c>
      <c r="K54" s="112"/>
      <c r="L54" s="112"/>
      <c r="M54" s="112"/>
    </row>
    <row r="55" spans="1:13" x14ac:dyDescent="0.3">
      <c r="A55" s="79">
        <f ca="1">Prices!$A$54</f>
        <v>45894</v>
      </c>
      <c r="B55" s="94">
        <f ca="1">IFERROR(Prices!B54/Prices!B53-1,"")</f>
        <v>-3.6900369003689981E-2</v>
      </c>
      <c r="C55" s="94">
        <f ca="1">IFERROR(Prices!C54/Prices!C53-1,"")</f>
        <v>-2.3017638235142024E-2</v>
      </c>
      <c r="D55" s="94">
        <f ca="1">IFERROR(Prices!D54/Prices!D53-1,"")</f>
        <v>-3.1253181309172318E-2</v>
      </c>
      <c r="E55" s="94">
        <f ca="1">IFERROR(Prices!E54/Prices!E53-1,"")</f>
        <v>1.4461315979754641E-3</v>
      </c>
      <c r="F55" s="94">
        <f ca="1">IFERROR(Prices!F54/Prices!F53-1,"")</f>
        <v>-2.134605725765848E-3</v>
      </c>
      <c r="G55" s="94">
        <f ca="1">IFERROR(Prices!G54/Prices!G53-1,"")</f>
        <v>3.0803540316398426E-2</v>
      </c>
      <c r="H55" s="94">
        <f ca="1">IFERROR(Prices!H54/Prices!H53-1,"")</f>
        <v>-7.8428698083611303E-3</v>
      </c>
      <c r="I55" s="92">
        <f ca="1">IFERROR(Prices!I54/Prices!I53-1,"")</f>
        <v>3.6499966475616041E-3</v>
      </c>
      <c r="J55" s="93">
        <f t="shared" ca="1" si="1"/>
        <v>-1.3690835510655877E-2</v>
      </c>
      <c r="K55" s="112"/>
      <c r="L55" s="112"/>
      <c r="M55" s="112"/>
    </row>
    <row r="56" spans="1:13" x14ac:dyDescent="0.3">
      <c r="A56" s="79">
        <f ca="1">Prices!$A$55</f>
        <v>45901</v>
      </c>
      <c r="B56" s="94">
        <f ca="1">IFERROR(Prices!B55/Prices!B54-1,"")</f>
        <v>1.311523725316821E-2</v>
      </c>
      <c r="C56" s="94">
        <f ca="1">IFERROR(Prices!C55/Prices!C54-1,"")</f>
        <v>3.4413384159255322E-3</v>
      </c>
      <c r="D56" s="94">
        <f ca="1">IFERROR(Prices!D55/Prices!D54-1,"")</f>
        <v>1.2400168137872924E-2</v>
      </c>
      <c r="E56" s="94">
        <f ca="1">IFERROR(Prices!E55/Prices!E54-1,"")</f>
        <v>-1.3163010274923614E-2</v>
      </c>
      <c r="F56" s="94">
        <f ca="1">IFERROR(Prices!F55/Prices!F54-1,"")</f>
        <v>-2.2650056625141524E-2</v>
      </c>
      <c r="G56" s="94">
        <f ca="1">IFERROR(Prices!G55/Prices!G54-1,"")</f>
        <v>7.0313028192821037E-3</v>
      </c>
      <c r="H56" s="94">
        <f ca="1">IFERROR(Prices!H55/Prices!H54-1,"")</f>
        <v>-2.4608193566125869E-2</v>
      </c>
      <c r="I56" s="92">
        <f ca="1">IFERROR(Prices!I55/Prices!I54-1,"")</f>
        <v>-1.3725674870583071E-2</v>
      </c>
      <c r="J56" s="93">
        <f t="shared" ca="1" si="1"/>
        <v>-5.3907876484530787E-4</v>
      </c>
      <c r="K56" s="112"/>
      <c r="L56" s="112"/>
      <c r="M56" s="112"/>
    </row>
    <row r="57" spans="1:13" x14ac:dyDescent="0.3">
      <c r="A57" s="79">
        <f ca="1">Prices!$A$56</f>
        <v>45908</v>
      </c>
      <c r="B57" s="94">
        <f ca="1">IFERROR(Prices!B56/Prices!B55-1,"")</f>
        <v>1.4545454545454639E-2</v>
      </c>
      <c r="C57" s="94">
        <f ca="1">IFERROR(Prices!C56/Prices!C55-1,"")</f>
        <v>3.8516329868623078E-3</v>
      </c>
      <c r="D57" s="94">
        <f ca="1">IFERROR(Prices!D56/Prices!D55-1,"")</f>
        <v>4.0481627569026735E-3</v>
      </c>
      <c r="E57" s="94">
        <f ca="1">IFERROR(Prices!E56/Prices!E55-1,"")</f>
        <v>7.3728050427737113E-3</v>
      </c>
      <c r="F57" s="94">
        <f ca="1">IFERROR(Prices!F56/Prices!F55-1,"")</f>
        <v>1.3647482940646105E-2</v>
      </c>
      <c r="G57" s="94">
        <f ca="1">IFERROR(Prices!G56/Prices!G55-1,"")</f>
        <v>2.8868747901980463E-2</v>
      </c>
      <c r="H57" s="94">
        <f ca="1">IFERROR(Prices!H56/Prices!H55-1,"")</f>
        <v>3.3967582804792062E-2</v>
      </c>
      <c r="I57" s="92">
        <f ca="1">IFERROR(Prices!I56/Prices!I55-1,"")</f>
        <v>6.0141849326769137E-3</v>
      </c>
      <c r="J57" s="93">
        <f t="shared" ca="1" si="1"/>
        <v>1.3721646766554107E-2</v>
      </c>
      <c r="K57" s="112"/>
      <c r="L57" s="112"/>
      <c r="M57" s="112"/>
    </row>
    <row r="58" spans="1:13" x14ac:dyDescent="0.3">
      <c r="A58" s="79">
        <f ca="1">Prices!$A$57</f>
        <v>45915</v>
      </c>
      <c r="B58" s="94">
        <f ca="1">IFERROR(Prices!B57/Prices!B56-1,"")</f>
        <v>8.8888888888889461E-3</v>
      </c>
      <c r="C58" s="94">
        <f ca="1">IFERROR(Prices!C57/Prices!C56-1,"")</f>
        <v>3.1430673814779819E-2</v>
      </c>
      <c r="D58" s="94">
        <f ca="1">IFERROR(Prices!D57/Prices!D56-1,"")</f>
        <v>-4.1352217512657941E-4</v>
      </c>
      <c r="E58" s="94">
        <f ca="1">IFERROR(Prices!E57/Prices!E56-1,"")</f>
        <v>2.6705402536454592E-2</v>
      </c>
      <c r="F58" s="94">
        <f ca="1">IFERROR(Prices!F57/Prices!F56-1,"")</f>
        <v>7.6209831068219103E-4</v>
      </c>
      <c r="G58" s="94">
        <f ca="1">IFERROR(Prices!G57/Prices!G56-1,"")</f>
        <v>3.5171288743882645E-2</v>
      </c>
      <c r="H58" s="94">
        <f ca="1">IFERROR(Prices!H57/Prices!H56-1,"")</f>
        <v>1.3631406761183129E-4</v>
      </c>
      <c r="I58" s="92">
        <f ca="1">IFERROR(Prices!I57/Prices!I56-1,"")</f>
        <v>1.195039078425153E-2</v>
      </c>
      <c r="J58" s="93">
        <f t="shared" ca="1" si="1"/>
        <v>1.4760048258128931E-2</v>
      </c>
      <c r="K58" s="112"/>
      <c r="L58" s="112"/>
      <c r="M58" s="112"/>
    </row>
    <row r="59" spans="1:13" x14ac:dyDescent="0.3">
      <c r="A59" s="79">
        <f ca="1">Prices!$A$58</f>
        <v>45922</v>
      </c>
      <c r="B59" s="94">
        <f ca="1">IFERROR(Prices!B58/Prices!B57-1,"")</f>
        <v>-2.1173795651556193E-2</v>
      </c>
      <c r="C59" s="94">
        <f ca="1">IFERROR(Prices!C58/Prices!C57-1,"")</f>
        <v>-2.3338768854464065E-2</v>
      </c>
      <c r="D59" s="94">
        <f ca="1">IFERROR(Prices!D58/Prices!D57-1,"")</f>
        <v>-2.2597993587754717E-2</v>
      </c>
      <c r="E59" s="94">
        <f ca="1">IFERROR(Prices!E58/Prices!E57-1,"")</f>
        <v>1.4719486314414665E-2</v>
      </c>
      <c r="F59" s="94">
        <f ca="1">IFERROR(Prices!F58/Prices!F57-1,"")</f>
        <v>-4.8483310064728946E-2</v>
      </c>
      <c r="G59" s="94">
        <f ca="1">IFERROR(Prices!G58/Prices!G57-1,"")</f>
        <v>2.6601109430156367E-2</v>
      </c>
      <c r="H59" s="94">
        <f ca="1">IFERROR(Prices!H58/Prices!H57-1,"")</f>
        <v>-4.9134523647267336E-2</v>
      </c>
      <c r="I59" s="92">
        <f ca="1">IFERROR(Prices!I58/Prices!I57-1,"")</f>
        <v>5.3113140736227304E-3</v>
      </c>
      <c r="J59" s="93">
        <f t="shared" ca="1" si="1"/>
        <v>-1.6747730486575456E-2</v>
      </c>
      <c r="K59" s="112"/>
      <c r="L59" s="112"/>
      <c r="M59" s="112"/>
    </row>
    <row r="60" spans="1:13" x14ac:dyDescent="0.3">
      <c r="A60" s="79">
        <f ca="1">Prices!$A$59</f>
        <v>45929</v>
      </c>
      <c r="B60" s="94">
        <f ca="1">IFERROR(Prices!B59/Prices!B58-1,"")</f>
        <v>-1.0307781649244951E-2</v>
      </c>
      <c r="C60" s="94">
        <f ca="1">IFERROR(Prices!C59/Prices!C58-1,"")</f>
        <v>-1.0382969842429257E-2</v>
      </c>
      <c r="D60" s="94">
        <f ca="1">IFERROR(Prices!D59/Prices!D58-1,"")</f>
        <v>2.1268715940955474E-2</v>
      </c>
      <c r="E60" s="94">
        <f ca="1">IFERROR(Prices!E59/Prices!E58-1,"")</f>
        <v>9.6527684676228631E-4</v>
      </c>
      <c r="F60" s="94">
        <f ca="1">IFERROR(Prices!F59/Prices!F58-1,"")</f>
        <v>1.2204881952781133E-2</v>
      </c>
      <c r="G60" s="94">
        <f ca="1">IFERROR(Prices!G59/Prices!G58-1,"")</f>
        <v>-2.9473167137418654E-2</v>
      </c>
      <c r="H60" s="94">
        <f ca="1">IFERROR(Prices!H59/Prices!H58-1,"")</f>
        <v>-1.2900451515802658E-3</v>
      </c>
      <c r="I60" s="92">
        <f ca="1">IFERROR(Prices!I59/Prices!I58-1,"")</f>
        <v>-2.2515726809016035E-2</v>
      </c>
      <c r="J60" s="93">
        <f t="shared" ca="1" si="1"/>
        <v>-2.791087391799413E-3</v>
      </c>
      <c r="K60" s="112"/>
      <c r="L60" s="112"/>
      <c r="M60" s="112"/>
    </row>
    <row r="61" spans="1:13" x14ac:dyDescent="0.3">
      <c r="A61" s="79">
        <f ca="1">Prices!$A$60</f>
        <v>45936</v>
      </c>
      <c r="B61" s="94">
        <f ca="1">IFERROR(Prices!B60/Prices!B59-1,"")</f>
        <v>1.3422326536599583E-2</v>
      </c>
      <c r="C61" s="94">
        <f ca="1">IFERROR(Prices!C60/Prices!C59-1,"")</f>
        <v>2.2776401117730716E-2</v>
      </c>
      <c r="D61" s="94">
        <f ca="1">IFERROR(Prices!D60/Prices!D59-1,"")</f>
        <v>1.6318706936745642E-2</v>
      </c>
      <c r="E61" s="94">
        <f ca="1">IFERROR(Prices!E60/Prices!E59-1,"")</f>
        <v>1.3634780745225283E-2</v>
      </c>
      <c r="F61" s="94">
        <f ca="1">IFERROR(Prices!F60/Prices!F59-1,"")</f>
        <v>2.9057125914212278E-2</v>
      </c>
      <c r="G61" s="94">
        <f ca="1">IFERROR(Prices!G60/Prices!G59-1,"")</f>
        <v>2.9039605213210251E-2</v>
      </c>
      <c r="H61" s="94">
        <f ca="1">IFERROR(Prices!H60/Prices!H59-1,"")</f>
        <v>7.319698600645852E-2</v>
      </c>
      <c r="I61" s="92">
        <f ca="1">IFERROR(Prices!I60/Prices!I59-1,"")</f>
        <v>1.7972469666185154E-2</v>
      </c>
      <c r="J61" s="93">
        <f t="shared" ca="1" si="1"/>
        <v>2.4419607091792868E-2</v>
      </c>
      <c r="K61" s="112"/>
      <c r="L61" s="112"/>
      <c r="M61" s="112"/>
    </row>
    <row r="62" spans="1:13" x14ac:dyDescent="0.3">
      <c r="A62" s="79">
        <f ca="1">Prices!$A$61</f>
        <v>45943</v>
      </c>
      <c r="B62" s="94">
        <f ca="1">IFERROR(Prices!B61/Prices!B60-1,"")</f>
        <v>2.5403488456249512E-2</v>
      </c>
      <c r="C62" s="94">
        <f ca="1">IFERROR(Prices!C61/Prices!C60-1,"")</f>
        <v>3.7166864271354072E-2</v>
      </c>
      <c r="D62" s="94">
        <f ca="1">IFERROR(Prices!D61/Prices!D60-1,"")</f>
        <v>2.2071566928331121E-2</v>
      </c>
      <c r="E62" s="94">
        <f ca="1">IFERROR(Prices!E61/Prices!E60-1,"")</f>
        <v>1.46405919661734E-2</v>
      </c>
      <c r="F62" s="94">
        <f ca="1">IFERROR(Prices!F61/Prices!F60-1,"")</f>
        <v>1.0116532206428497E-2</v>
      </c>
      <c r="G62" s="94">
        <f ca="1">IFERROR(Prices!G61/Prices!G60-1,"")</f>
        <v>8.3615124500460158E-3</v>
      </c>
      <c r="H62" s="94">
        <f ca="1">IFERROR(Prices!H61/Prices!H60-1,"")</f>
        <v>-6.218655967903719E-3</v>
      </c>
      <c r="I62" s="92">
        <f ca="1">IFERROR(Prices!I61/Prices!I60-1,"")</f>
        <v>5.969427614556988E-3</v>
      </c>
      <c r="J62" s="93">
        <f t="shared" ca="1" si="1"/>
        <v>1.8435936221820048E-2</v>
      </c>
      <c r="K62" s="112"/>
      <c r="L62" s="112"/>
      <c r="M62" s="112"/>
    </row>
    <row r="63" spans="1:13" x14ac:dyDescent="0.3">
      <c r="A63" s="79">
        <f ca="1">Prices!$A$62</f>
        <v>45950</v>
      </c>
      <c r="B63" s="94">
        <f ca="1">IFERROR(Prices!B62/Prices!B61-1,"")</f>
        <v>2.4562394127611409E-2</v>
      </c>
      <c r="C63" s="94">
        <f ca="1">IFERROR(Prices!C62/Prices!C61-1,"")</f>
        <v>8.5984095427436014E-3</v>
      </c>
      <c r="D63" s="94">
        <f ca="1">IFERROR(Prices!D62/Prices!D61-1,"")</f>
        <v>-7.780160590494245E-3</v>
      </c>
      <c r="E63" s="94">
        <f ca="1">IFERROR(Prices!E62/Prices!E61-1,"")</f>
        <v>1.7059957284992544E-2</v>
      </c>
      <c r="F63" s="94">
        <f ca="1">IFERROR(Prices!F62/Prices!F61-1,"")</f>
        <v>4.3103448275862988E-3</v>
      </c>
      <c r="G63" s="94">
        <f ca="1">IFERROR(Prices!G62/Prices!G61-1,"")</f>
        <v>-7.7434302786415499E-3</v>
      </c>
      <c r="H63" s="94">
        <f ca="1">IFERROR(Prices!H62/Prices!H61-1,"")</f>
        <v>2.5299421343022432E-2</v>
      </c>
      <c r="I63" s="92">
        <f ca="1">IFERROR(Prices!I62/Prices!I61-1,"")</f>
        <v>2.4410046667017182E-2</v>
      </c>
      <c r="J63" s="93">
        <f t="shared" ca="1" si="1"/>
        <v>1.0025459678832373E-2</v>
      </c>
      <c r="K63" s="112"/>
      <c r="L63" s="112"/>
      <c r="M63" s="112"/>
    </row>
    <row r="64" spans="1:13" x14ac:dyDescent="0.3">
      <c r="A64" s="79">
        <f ca="1">Prices!$A$63</f>
        <v>45957</v>
      </c>
      <c r="B64" s="94">
        <f ca="1">IFERROR(Prices!B63/Prices!B62-1,"")</f>
        <v>2.3973546431524051E-2</v>
      </c>
      <c r="C64" s="94">
        <f ca="1">IFERROR(Prices!C63/Prices!C62-1,"")</f>
        <v>1.2418075198344258E-2</v>
      </c>
      <c r="D64" s="94">
        <f ca="1">IFERROR(Prices!D63/Prices!D62-1,"")</f>
        <v>-7.4893189243528946E-3</v>
      </c>
      <c r="E64" s="94">
        <f ca="1">IFERROR(Prices!E63/Prices!E62-1,"")</f>
        <v>3.2267151527567872E-2</v>
      </c>
      <c r="F64" s="94">
        <f ca="1">IFERROR(Prices!F63/Prices!F62-1,"")</f>
        <v>-5.2448876546326795E-2</v>
      </c>
      <c r="G64" s="94">
        <f ca="1">IFERROR(Prices!G63/Prices!G62-1,"")</f>
        <v>-5.4073983040432427E-3</v>
      </c>
      <c r="H64" s="94">
        <f ca="1">IFERROR(Prices!H63/Prices!H62-1,"")</f>
        <v>1.1615697598110097E-2</v>
      </c>
      <c r="I64" s="92">
        <f ca="1">IFERROR(Prices!I63/Prices!I62-1,"")</f>
        <v>4.7556272655358001E-3</v>
      </c>
      <c r="J64" s="93">
        <f t="shared" ca="1" si="1"/>
        <v>4.8732901359942451E-3</v>
      </c>
      <c r="K64" s="112"/>
      <c r="L64" s="112"/>
      <c r="M64" s="112"/>
    </row>
    <row r="65" spans="1:13" x14ac:dyDescent="0.3">
      <c r="A65" s="79">
        <f ca="1">Prices!$A$64</f>
        <v>45964</v>
      </c>
      <c r="B65" s="94">
        <f ca="1">IFERROR(Prices!B64/Prices!B63-1,"")</f>
        <v>-5.6512378902046079E-3</v>
      </c>
      <c r="C65" s="94">
        <f ca="1">IFERROR(Prices!C64/Prices!C63-1,"")</f>
        <v>-2.5943051837430064E-2</v>
      </c>
      <c r="D65" s="94">
        <f ca="1">IFERROR(Prices!D64/Prices!D63-1,"")</f>
        <v>-5.0643168236604863E-3</v>
      </c>
      <c r="E65" s="94">
        <f ca="1">IFERROR(Prices!E64/Prices!E63-1,"")</f>
        <v>-3.6815599493909557E-2</v>
      </c>
      <c r="F65" s="94">
        <f ca="1">IFERROR(Prices!F64/Prices!F63-1,"")</f>
        <v>2.9307933124624874E-3</v>
      </c>
      <c r="G65" s="94">
        <f ca="1">IFERROR(Prices!G64/Prices!G63-1,"")</f>
        <v>-4.3679723217595501E-2</v>
      </c>
      <c r="H65" s="94">
        <f ca="1">IFERROR(Prices!H64/Prices!H63-1,"")</f>
        <v>-1.8877716509892895E-2</v>
      </c>
      <c r="I65" s="92">
        <f ca="1">IFERROR(Prices!I64/Prices!I63-1,"")</f>
        <v>-7.8063920302184897E-3</v>
      </c>
      <c r="J65" s="93">
        <f t="shared" ca="1" si="1"/>
        <v>-1.7693940017564306E-2</v>
      </c>
      <c r="K65" s="112"/>
      <c r="L65" s="112"/>
      <c r="M65" s="112"/>
    </row>
    <row r="66" spans="1:13" x14ac:dyDescent="0.3">
      <c r="A66" s="79">
        <f ca="1">Prices!$A$65</f>
        <v>45971</v>
      </c>
      <c r="B66" s="94">
        <f ca="1">IFERROR(Prices!B65/Prices!B64-1,"")</f>
        <v>2.7672530446549493E-2</v>
      </c>
      <c r="C66" s="94">
        <f ca="1">IFERROR(Prices!C65/Prices!C64-1,"")</f>
        <v>4.9720167899260259E-2</v>
      </c>
      <c r="D66" s="94">
        <f ca="1">IFERROR(Prices!D65/Prices!D64-1,"")</f>
        <v>7.431538226611023E-3</v>
      </c>
      <c r="E66" s="94">
        <f ca="1">IFERROR(Prices!E65/Prices!E64-1,"")</f>
        <v>3.139729555698656E-2</v>
      </c>
      <c r="F66" s="94">
        <f ca="1">IFERROR(Prices!F65/Prices!F64-1,"")</f>
        <v>1.7533373181908729E-2</v>
      </c>
      <c r="G66" s="94">
        <f ca="1">IFERROR(Prices!G65/Prices!G64-1,"")</f>
        <v>1.3243749596227206E-2</v>
      </c>
      <c r="H66" s="94">
        <f ca="1">IFERROR(Prices!H65/Prices!H64-1,"")</f>
        <v>5.4350700872784818E-2</v>
      </c>
      <c r="I66" s="92">
        <f ca="1">IFERROR(Prices!I65/Prices!I64-1,"")</f>
        <v>-7.3360026109037246E-3</v>
      </c>
      <c r="J66" s="93">
        <f t="shared" ca="1" si="1"/>
        <v>2.7917877111492143E-2</v>
      </c>
      <c r="K66" s="112"/>
      <c r="L66" s="112"/>
      <c r="M66" s="112"/>
    </row>
    <row r="67" spans="1:13" x14ac:dyDescent="0.3">
      <c r="A67" s="79">
        <f ca="1">Prices!$A$66</f>
        <v>45978</v>
      </c>
      <c r="B67" s="94">
        <f ca="1">IFERROR(Prices!B66/Prices!B65-1,"")</f>
        <v>1.8236881954045492E-2</v>
      </c>
      <c r="C67" s="94">
        <f ca="1">IFERROR(Prices!C66/Prices!C65-1,"")</f>
        <v>2.9513971533298378E-2</v>
      </c>
      <c r="D67" s="94">
        <f ca="1">IFERROR(Prices!D66/Prices!D65-1,"")</f>
        <v>8.5388035569926579E-3</v>
      </c>
      <c r="E67" s="94">
        <f ca="1">IFERROR(Prices!E66/Prices!E65-1,"")</f>
        <v>5.1193686944361882E-3</v>
      </c>
      <c r="F67" s="94">
        <f ca="1">IFERROR(Prices!F66/Prices!F65-1,"")</f>
        <v>-1.3249787872854246E-2</v>
      </c>
      <c r="G67" s="94">
        <f ca="1">IFERROR(Prices!G66/Prices!G65-1,"")</f>
        <v>1.8681458811527607E-2</v>
      </c>
      <c r="H67" s="94">
        <f ca="1">IFERROR(Prices!H66/Prices!H65-1,"")</f>
        <v>8.4033613445377853E-3</v>
      </c>
      <c r="I67" s="92">
        <f ca="1">IFERROR(Prices!I66/Prices!I65-1,"")</f>
        <v>1.7169531819258399E-2</v>
      </c>
      <c r="J67" s="93">
        <f t="shared" ca="1" si="1"/>
        <v>1.2027213763844389E-2</v>
      </c>
      <c r="K67" s="112"/>
      <c r="L67" s="112"/>
      <c r="M67" s="112"/>
    </row>
    <row r="68" spans="1:13" x14ac:dyDescent="0.3">
      <c r="A68" s="79">
        <f ca="1">Prices!$A$67</f>
        <v>45985</v>
      </c>
      <c r="B68" s="94">
        <f ca="1">IFERROR(Prices!B67/Prices!B66-1,"")</f>
        <v>1.3513513513513598E-2</v>
      </c>
      <c r="C68" s="94">
        <f ca="1">IFERROR(Prices!C67/Prices!C66-1,"")</f>
        <v>-2.8251722384056932E-2</v>
      </c>
      <c r="D68" s="94">
        <f ca="1">IFERROR(Prices!D67/Prices!D66-1,"")</f>
        <v>9.5686588848253873E-3</v>
      </c>
      <c r="E68" s="94">
        <f ca="1">IFERROR(Prices!E67/Prices!E66-1,"")</f>
        <v>1.1105865984248009E-2</v>
      </c>
      <c r="F68" s="94">
        <f ca="1">IFERROR(Prices!F67/Prices!F66-1,"")</f>
        <v>1.2898531551792658E-2</v>
      </c>
      <c r="G68" s="94">
        <f ca="1">IFERROR(Prices!G67/Prices!G66-1,"")</f>
        <v>-4.8194279276460028E-3</v>
      </c>
      <c r="H68" s="94">
        <f ca="1">IFERROR(Prices!H67/Prices!H66-1,"")</f>
        <v>1.0074626865671732E-2</v>
      </c>
      <c r="I68" s="92">
        <f ca="1">IFERROR(Prices!I67/Prices!I66-1,"")</f>
        <v>-2.0738971712799259E-3</v>
      </c>
      <c r="J68" s="93">
        <f t="shared" ca="1" si="1"/>
        <v>3.7366786738261722E-3</v>
      </c>
      <c r="K68" s="112"/>
      <c r="L68" s="112"/>
      <c r="M68" s="112"/>
    </row>
    <row r="69" spans="1:13" x14ac:dyDescent="0.3">
      <c r="A69" s="79">
        <f ca="1">Prices!$A$68</f>
        <v>45992</v>
      </c>
      <c r="B69" s="94">
        <f ca="1">IFERROR(Prices!B68/Prices!B67-1,"")</f>
        <v>-1.7161084529505599E-2</v>
      </c>
      <c r="C69" s="94">
        <f ca="1">IFERROR(Prices!C68/Prices!C67-1,"")</f>
        <v>3.4259611724400951E-3</v>
      </c>
      <c r="D69" s="94">
        <f ca="1">IFERROR(Prices!D68/Prices!D67-1,"")</f>
        <v>-4.2675664946407732E-3</v>
      </c>
      <c r="E69" s="94">
        <f ca="1">IFERROR(Prices!E68/Prices!E67-1,"")</f>
        <v>-7.7157460192648353E-3</v>
      </c>
      <c r="F69" s="94">
        <f ca="1">IFERROR(Prices!F68/Prices!F67-1,"")</f>
        <v>-6.8569189577483147E-3</v>
      </c>
      <c r="G69" s="94">
        <f ca="1">IFERROR(Prices!G68/Prices!G67-1,"")</f>
        <v>2.4025157232704375E-2</v>
      </c>
      <c r="H69" s="94">
        <f ca="1">IFERROR(Prices!H68/Prices!H67-1,"")</f>
        <v>3.6202438123383862E-2</v>
      </c>
      <c r="I69" s="92">
        <f ca="1">IFERROR(Prices!I68/Prices!I67-1,"")</f>
        <v>8.3302837111653982E-3</v>
      </c>
      <c r="J69" s="93">
        <f t="shared" ca="1" si="1"/>
        <v>1.6491334128580781E-4</v>
      </c>
      <c r="K69" s="112"/>
      <c r="L69" s="112"/>
      <c r="M69" s="112"/>
    </row>
    <row r="70" spans="1:13" x14ac:dyDescent="0.3">
      <c r="A70" s="79">
        <f ca="1">Prices!$A$69</f>
        <v>45999</v>
      </c>
      <c r="B70" s="94">
        <f ca="1">IFERROR(Prices!B69/Prices!B68-1,"")</f>
        <v>1.0320654290536302E-2</v>
      </c>
      <c r="C70" s="94">
        <f ca="1">IFERROR(Prices!C69/Prices!C68-1,"")</f>
        <v>-1.2044764795144158E-2</v>
      </c>
      <c r="D70" s="94">
        <f ca="1">IFERROR(Prices!D69/Prices!D68-1,"")</f>
        <v>-1.7940795375260832E-3</v>
      </c>
      <c r="E70" s="94">
        <f ca="1">IFERROR(Prices!E69/Prices!E68-1,"")</f>
        <v>8.8900995493041979E-3</v>
      </c>
      <c r="F70" s="94">
        <f ca="1">IFERROR(Prices!F69/Prices!F68-1,"")</f>
        <v>-2.2356654392423625E-3</v>
      </c>
      <c r="G70" s="94">
        <f ca="1">IFERROR(Prices!G69/Prices!G68-1,"")</f>
        <v>1.4740203906153937E-2</v>
      </c>
      <c r="H70" s="94">
        <f ca="1">IFERROR(Prices!H69/Prices!H68-1,"")</f>
        <v>-5.8229352346998997E-3</v>
      </c>
      <c r="I70" s="92">
        <f ca="1">IFERROR(Prices!I69/Prices!I68-1,"")</f>
        <v>-8.2213200672378584E-3</v>
      </c>
      <c r="J70" s="93">
        <f t="shared" ref="J70:J101" ca="1" si="2">IFERROR(SUMPRODUCT(Weights,$B70:$H70),"")</f>
        <v>2.5190182187317988E-3</v>
      </c>
      <c r="K70" s="112"/>
      <c r="L70" s="112"/>
      <c r="M70" s="112"/>
    </row>
    <row r="71" spans="1:13" x14ac:dyDescent="0.3">
      <c r="A71" s="79">
        <f ca="1">Prices!$A$70</f>
        <v>46006</v>
      </c>
      <c r="B71" s="94">
        <f ca="1">IFERROR(Prices!B70/Prices!B69-1,"")</f>
        <v>5.5252168326371809E-3</v>
      </c>
      <c r="C71" s="94">
        <f ca="1">IFERROR(Prices!C70/Prices!C69-1,"")</f>
        <v>6.8637803590283486E-3</v>
      </c>
      <c r="D71" s="94">
        <f ca="1">IFERROR(Prices!D70/Prices!D69-1,"")</f>
        <v>-1.597603594608088E-2</v>
      </c>
      <c r="E71" s="94">
        <f ca="1">IFERROR(Prices!E70/Prices!E69-1,"")</f>
        <v>-1.4727179008855451E-4</v>
      </c>
      <c r="F71" s="94">
        <f ca="1">IFERROR(Prices!F70/Prices!F69-1,"")</f>
        <v>-1.9770660340068247E-4</v>
      </c>
      <c r="G71" s="94">
        <f ca="1">IFERROR(Prices!G70/Prices!G69-1,"")</f>
        <v>-6.5367388935964055E-3</v>
      </c>
      <c r="H71" s="94">
        <f ca="1">IFERROR(Prices!H70/Prices!H69-1,"")</f>
        <v>-1.8407841262251923E-2</v>
      </c>
      <c r="I71" s="92">
        <f ca="1">IFERROR(Prices!I70/Prices!I69-1,"")</f>
        <v>2.5712089301359597E-3</v>
      </c>
      <c r="J71" s="93">
        <f t="shared" ca="1" si="2"/>
        <v>-2.5814956904060492E-3</v>
      </c>
      <c r="K71" s="112"/>
      <c r="L71" s="112"/>
      <c r="M71" s="112"/>
    </row>
    <row r="72" spans="1:13" x14ac:dyDescent="0.3">
      <c r="A72" s="79">
        <f ca="1">Prices!$A$71</f>
        <v>46013</v>
      </c>
      <c r="B72" s="94">
        <f ca="1">IFERROR(Prices!B71/Prices!B70-1,"")</f>
        <v>-3.7697271739823845E-3</v>
      </c>
      <c r="C72" s="94">
        <f ca="1">IFERROR(Prices!C71/Prices!C70-1,"")</f>
        <v>3.6706869428422273E-3</v>
      </c>
      <c r="D72" s="94">
        <f ca="1">IFERROR(Prices!D71/Prices!D70-1,"")</f>
        <v>6.6971080669711025E-3</v>
      </c>
      <c r="E72" s="94">
        <f ca="1">IFERROR(Prices!E71/Prices!E70-1,"")</f>
        <v>-6.4318153921688603E-3</v>
      </c>
      <c r="F72" s="94">
        <f ca="1">IFERROR(Prices!F71/Prices!F70-1,"")</f>
        <v>-7.3165908641485977E-3</v>
      </c>
      <c r="G72" s="94">
        <f ca="1">IFERROR(Prices!G71/Prices!G70-1,"")</f>
        <v>1.1088095528207553E-2</v>
      </c>
      <c r="H72" s="94">
        <f ca="1">IFERROR(Prices!H71/Prices!H70-1,"")</f>
        <v>1.126400389673643E-2</v>
      </c>
      <c r="I72" s="92">
        <f ca="1">IFERROR(Prices!I71/Prices!I70-1,"")</f>
        <v>5.5749003938021513E-3</v>
      </c>
      <c r="J72" s="93">
        <f t="shared" ca="1" si="2"/>
        <v>1.2540187569457636E-3</v>
      </c>
      <c r="K72" s="112"/>
      <c r="L72" s="112"/>
      <c r="M72" s="112"/>
    </row>
    <row r="73" spans="1:13" x14ac:dyDescent="0.3">
      <c r="A73" s="79">
        <f ca="1">Prices!$A$72</f>
        <v>46020</v>
      </c>
      <c r="B73" s="94">
        <f ca="1">IFERROR(Prices!B72/Prices!B71-1,"")</f>
        <v>2.1228835300153959E-2</v>
      </c>
      <c r="C73" s="94">
        <f ca="1">IFERROR(Prices!C72/Prices!C71-1,"")</f>
        <v>4.274722143060572E-4</v>
      </c>
      <c r="D73" s="94">
        <f ca="1">IFERROR(Prices!D72/Prices!D71-1,"")</f>
        <v>9.5756476161676929E-3</v>
      </c>
      <c r="E73" s="94">
        <f ca="1">IFERROR(Prices!E72/Prices!E71-1,"")</f>
        <v>2.8685790527017918E-2</v>
      </c>
      <c r="F73" s="94">
        <f ca="1">IFERROR(Prices!F72/Prices!F71-1,"")</f>
        <v>3.7184594953518779E-3</v>
      </c>
      <c r="G73" s="94">
        <f ca="1">IFERROR(Prices!G72/Prices!G71-1,"")</f>
        <v>2.1932995902627095E-2</v>
      </c>
      <c r="H73" s="94">
        <f ca="1">IFERROR(Prices!H72/Prices!H71-1,"")</f>
        <v>-1.2463122403516214E-2</v>
      </c>
      <c r="I73" s="92">
        <f ca="1">IFERROR(Prices!I72/Prices!I71-1,"")</f>
        <v>-8.7993755946242924E-3</v>
      </c>
      <c r="J73" s="93">
        <f t="shared" ca="1" si="2"/>
        <v>1.2355604398829998E-2</v>
      </c>
      <c r="K73" s="112"/>
      <c r="L73" s="112"/>
      <c r="M73" s="112"/>
    </row>
    <row r="74" spans="1:13" x14ac:dyDescent="0.3">
      <c r="A74" s="79">
        <f ca="1">Prices!$A$73</f>
        <v>46027</v>
      </c>
      <c r="B74" s="94">
        <f ca="1">IFERROR(Prices!B73/Prices!B72-1,"")</f>
        <v>-7.3478615838723838E-2</v>
      </c>
      <c r="C74" s="94">
        <f ca="1">IFERROR(Prices!C73/Prices!C72-1,"")</f>
        <v>-3.7601481270474468E-2</v>
      </c>
      <c r="D74" s="94">
        <f ca="1">IFERROR(Prices!D73/Prices!D72-1,"")</f>
        <v>-6.25E-2</v>
      </c>
      <c r="E74" s="94">
        <f ca="1">IFERROR(Prices!E73/Prices!E72-1,"")</f>
        <v>-3.3194024114906018E-2</v>
      </c>
      <c r="F74" s="94">
        <f ca="1">IFERROR(Prices!F73/Prices!F72-1,"")</f>
        <v>-3.0365175972479452E-2</v>
      </c>
      <c r="G74" s="94">
        <f ca="1">IFERROR(Prices!G73/Prices!G72-1,"")</f>
        <v>-2.7063679245282968E-2</v>
      </c>
      <c r="H74" s="94">
        <f ca="1">IFERROR(Prices!H73/Prices!H72-1,"")</f>
        <v>1.2925253017924687E-2</v>
      </c>
      <c r="I74" s="92">
        <f ca="1">IFERROR(Prices!I73/Prices!I72-1,"")</f>
        <v>1.1880348025632426E-2</v>
      </c>
      <c r="J74" s="93">
        <f t="shared" ca="1" si="2"/>
        <v>-4.2290657064082762E-2</v>
      </c>
      <c r="K74" s="112"/>
      <c r="L74" s="112"/>
      <c r="M74" s="112"/>
    </row>
    <row r="75" spans="1:13" x14ac:dyDescent="0.3">
      <c r="A75" s="79">
        <f ca="1">Prices!$A$74</f>
        <v>46034</v>
      </c>
      <c r="B75" s="94">
        <f ca="1">IFERROR(Prices!B74/Prices!B73-1,"")</f>
        <v>-1.1794211346844663E-2</v>
      </c>
      <c r="C75" s="94">
        <f ca="1">IFERROR(Prices!C74/Prices!C73-1,"")</f>
        <v>-5.2784766415074902E-3</v>
      </c>
      <c r="D75" s="94">
        <f ca="1">IFERROR(Prices!D74/Prices!D73-1,"")</f>
        <v>-8.4132055378061121E-3</v>
      </c>
      <c r="E75" s="94">
        <f ca="1">IFERROR(Prices!E74/Prices!E73-1,"")</f>
        <v>-4.1935804432077894E-2</v>
      </c>
      <c r="F75" s="94">
        <f ca="1">IFERROR(Prices!F74/Prices!F73-1,"")</f>
        <v>-4.6530667940233417E-2</v>
      </c>
      <c r="G75" s="94">
        <f ca="1">IFERROR(Prices!G74/Prices!G73-1,"")</f>
        <v>-3.8906732925277243E-2</v>
      </c>
      <c r="H75" s="94">
        <f ca="1">IFERROR(Prices!H74/Prices!H73-1,"")</f>
        <v>2.2029613578909313E-2</v>
      </c>
      <c r="I75" s="92">
        <f ca="1">IFERROR(Prices!I74/Prices!I73-1,"")</f>
        <v>-1.7525543234102825E-2</v>
      </c>
      <c r="J75" s="93">
        <f t="shared" ca="1" si="2"/>
        <v>-1.890725643892166E-2</v>
      </c>
      <c r="K75" s="112"/>
      <c r="L75" s="112"/>
      <c r="M75" s="112"/>
    </row>
    <row r="76" spans="1:13" x14ac:dyDescent="0.3">
      <c r="A76" s="79">
        <f ca="1">Prices!$A$75</f>
        <v>46041</v>
      </c>
      <c r="B76" s="94">
        <f ca="1">IFERROR(Prices!B75/Prices!B74-1,"")</f>
        <v>-4.9248919678990477E-2</v>
      </c>
      <c r="C76" s="94">
        <f ca="1">IFERROR(Prices!C75/Prices!C74-1,"")</f>
        <v>-1.5721087085895702E-2</v>
      </c>
      <c r="D76" s="94">
        <f ca="1">IFERROR(Prices!D75/Prices!D74-1,"")</f>
        <v>-1.6109977446031598E-2</v>
      </c>
      <c r="E76" s="94">
        <f ca="1">IFERROR(Prices!E75/Prices!E74-1,"")</f>
        <v>-2.9198215952702E-2</v>
      </c>
      <c r="F76" s="94">
        <f ca="1">IFERROR(Prices!F75/Prices!F74-1,"")</f>
        <v>-5.903398926654746E-2</v>
      </c>
      <c r="G76" s="94">
        <f ca="1">IFERROR(Prices!G75/Prices!G74-1,"")</f>
        <v>-2.4591714483889304E-2</v>
      </c>
      <c r="H76" s="94">
        <f ca="1">IFERROR(Prices!H75/Prices!H74-1,"")</f>
        <v>5.300353356890497E-3</v>
      </c>
      <c r="I76" s="92">
        <f ca="1">IFERROR(Prices!I75/Prices!I74-1,"")</f>
        <v>-7.9390467327768999E-3</v>
      </c>
      <c r="J76" s="93">
        <f t="shared" ca="1" si="2"/>
        <v>-2.9747714087267455E-2</v>
      </c>
      <c r="K76" s="112"/>
      <c r="L76" s="112"/>
      <c r="M76" s="112"/>
    </row>
    <row r="77" spans="1:13" x14ac:dyDescent="0.3">
      <c r="A77" s="79">
        <f ca="1">Prices!$A$76</f>
        <v>46048</v>
      </c>
      <c r="B77" s="94">
        <f ca="1">IFERROR(Prices!B76/Prices!B75-1,"")</f>
        <v>0</v>
      </c>
      <c r="C77" s="94">
        <f ca="1">IFERROR(Prices!C76/Prices!C75-1,"")</f>
        <v>0</v>
      </c>
      <c r="D77" s="94">
        <f ca="1">IFERROR(Prices!D76/Prices!D75-1,"")</f>
        <v>0</v>
      </c>
      <c r="E77" s="94">
        <f ca="1">IFERROR(Prices!E76/Prices!E75-1,"")</f>
        <v>0</v>
      </c>
      <c r="F77" s="94">
        <f ca="1">IFERROR(Prices!F76/Prices!F75-1,"")</f>
        <v>0</v>
      </c>
      <c r="G77" s="94">
        <f ca="1">IFERROR(Prices!G76/Prices!G75-1,"")</f>
        <v>0</v>
      </c>
      <c r="H77" s="94">
        <f ca="1">IFERROR(Prices!H76/Prices!H75-1,"")</f>
        <v>0</v>
      </c>
      <c r="I77" s="92">
        <f ca="1">IFERROR(Prices!I76/Prices!I75-1,"")</f>
        <v>-1.6028594687420572E-2</v>
      </c>
      <c r="J77" s="93">
        <f t="shared" ca="1" si="2"/>
        <v>0</v>
      </c>
      <c r="K77" s="112"/>
      <c r="L77" s="112"/>
      <c r="M77" s="112"/>
    </row>
    <row r="78" spans="1:13" x14ac:dyDescent="0.3">
      <c r="A78" s="79">
        <f ca="1">Prices!$A$77</f>
        <v>46055</v>
      </c>
      <c r="B78" s="94">
        <f ca="1">IFERROR(Prices!B77/Prices!B76-1,"")</f>
        <v>4.6677728879590319E-2</v>
      </c>
      <c r="C78" s="94">
        <f ca="1">IFERROR(Prices!C77/Prices!C76-1,"")</f>
        <v>2.7056985942459866E-2</v>
      </c>
      <c r="D78" s="94">
        <f ca="1">IFERROR(Prices!D77/Prices!D76-1,"")</f>
        <v>2.7289597205545135E-2</v>
      </c>
      <c r="E78" s="94">
        <f ca="1">IFERROR(Prices!E77/Prices!E76-1,"")</f>
        <v>8.662321705219278E-2</v>
      </c>
      <c r="F78" s="94">
        <f ca="1">IFERROR(Prices!F77/Prices!F76-1,"")</f>
        <v>1.1406844106463865E-2</v>
      </c>
      <c r="G78" s="94">
        <f ca="1">IFERROR(Prices!G77/Prices!G76-1,"")</f>
        <v>-3.0512638179584939E-2</v>
      </c>
      <c r="H78" s="94">
        <f ca="1">IFERROR(Prices!H77/Prices!H76-1,"")</f>
        <v>-6.6373755125951894E-2</v>
      </c>
      <c r="I78" s="92">
        <f ca="1">IFERROR(Prices!I77/Prices!I76-1,"")</f>
        <v>-3.4557543733205742E-3</v>
      </c>
      <c r="J78" s="93">
        <f t="shared" ca="1" si="2"/>
        <v>2.274878225170331E-2</v>
      </c>
      <c r="K78" s="112"/>
      <c r="L78" s="112"/>
      <c r="M78" s="112"/>
    </row>
    <row r="79" spans="1:13" x14ac:dyDescent="0.3">
      <c r="A79" s="79">
        <f ca="1">Prices!$A$78</f>
        <v>46062</v>
      </c>
      <c r="B79" s="94">
        <f ca="1">IFERROR(Prices!B78/Prices!B77-1,"")</f>
        <v>-2.1505376344086002E-2</v>
      </c>
      <c r="C79" s="94">
        <f ca="1">IFERROR(Prices!C78/Prices!C77-1,"")</f>
        <v>-1.6532574568288827E-2</v>
      </c>
      <c r="D79" s="94">
        <f ca="1">IFERROR(Prices!D78/Prices!D77-1,"")</f>
        <v>-3.9528211667197999E-2</v>
      </c>
      <c r="E79" s="94">
        <f ca="1">IFERROR(Prices!E78/Prices!E77-1,"")</f>
        <v>2.6007226960989005E-2</v>
      </c>
      <c r="F79" s="94">
        <f ca="1">IFERROR(Prices!F78/Prices!F77-1,"")</f>
        <v>1.1278195488721998E-3</v>
      </c>
      <c r="G79" s="94">
        <f ca="1">IFERROR(Prices!G78/Prices!G77-1,"")</f>
        <v>1.6003200640128057E-2</v>
      </c>
      <c r="H79" s="94">
        <f ca="1">IFERROR(Prices!H78/Prices!H77-1,"")</f>
        <v>-8.6904687205873077E-2</v>
      </c>
      <c r="I79" s="92">
        <f ca="1">IFERROR(Prices!I78/Prices!I77-1,"")</f>
        <v>3.1046235650641796E-2</v>
      </c>
      <c r="J79" s="93">
        <f t="shared" ca="1" si="2"/>
        <v>-1.5480042145772888E-2</v>
      </c>
      <c r="K79" s="112"/>
      <c r="L79" s="112"/>
      <c r="M79" s="112"/>
    </row>
    <row r="80" spans="1:13" x14ac:dyDescent="0.3">
      <c r="A80" s="79">
        <f ca="1">Prices!$A$79</f>
        <v>46069</v>
      </c>
      <c r="B80" s="94">
        <f ca="1">IFERROR(Prices!B79/Prices!B78-1,"")</f>
        <v>-1.4088475626927721E-4</v>
      </c>
      <c r="C80" s="94">
        <f ca="1">IFERROR(Prices!C79/Prices!C78-1,"")</f>
        <v>-1.3617997705392293E-2</v>
      </c>
      <c r="D80" s="94">
        <f ca="1">IFERROR(Prices!D79/Prices!D78-1,"")</f>
        <v>8.7952207102555136E-3</v>
      </c>
      <c r="E80" s="94">
        <f ca="1">IFERROR(Prices!E79/Prices!E78-1,"")</f>
        <v>4.9522029756343233E-2</v>
      </c>
      <c r="F80" s="94">
        <f ca="1">IFERROR(Prices!F79/Prices!F78-1,"")</f>
        <v>7.2099136312429035E-3</v>
      </c>
      <c r="G80" s="94">
        <f ca="1">IFERROR(Prices!G79/Prices!G78-1,"")</f>
        <v>-1.7063726455338935E-2</v>
      </c>
      <c r="H80" s="94">
        <f ca="1">IFERROR(Prices!H79/Prices!H78-1,"")</f>
        <v>-1.2850467289719614E-2</v>
      </c>
      <c r="I80" s="92">
        <f ca="1">IFERROR(Prices!I79/Prices!I78-1,"")</f>
        <v>-7.1345202505153082E-3</v>
      </c>
      <c r="J80" s="93">
        <f t="shared" ca="1" si="2"/>
        <v>3.8382645277093138E-3</v>
      </c>
      <c r="K80" s="112"/>
      <c r="L80" s="112"/>
      <c r="M80" s="112"/>
    </row>
    <row r="81" spans="1:13" x14ac:dyDescent="0.3">
      <c r="A81" s="79">
        <f ca="1">Prices!$A$80</f>
        <v>46076</v>
      </c>
      <c r="B81" s="94">
        <f ca="1">IFERROR(Prices!B80/Prices!B79-1,"")</f>
        <v>-1.7965337466535169E-2</v>
      </c>
      <c r="C81" s="94">
        <f ca="1">IFERROR(Prices!C80/Prices!C79-1,"")</f>
        <v>-4.9610599777485609E-2</v>
      </c>
      <c r="D81" s="94">
        <f ca="1">IFERROR(Prices!D80/Prices!D79-1,"")</f>
        <v>-2.6429785600701861E-2</v>
      </c>
      <c r="E81" s="94">
        <f ca="1">IFERROR(Prices!E80/Prices!E79-1,"")</f>
        <v>-2.3352965347212762E-2</v>
      </c>
      <c r="F81" s="94">
        <f ca="1">IFERROR(Prices!F80/Prices!F79-1,"")</f>
        <v>5.2941615092090277E-3</v>
      </c>
      <c r="G81" s="94">
        <f ca="1">IFERROR(Prices!G80/Prices!G79-1,"")</f>
        <v>-8.0122855044401087E-3</v>
      </c>
      <c r="H81" s="94">
        <f ca="1">IFERROR(Prices!H80/Prices!H79-1,"")</f>
        <v>-3.2996867386007711E-2</v>
      </c>
      <c r="I81" s="92">
        <f ca="1">IFERROR(Prices!I80/Prices!I79-1,"")</f>
        <v>1.1778333706475852E-3</v>
      </c>
      <c r="J81" s="93">
        <f t="shared" ca="1" si="2"/>
        <v>-2.2103393516809421E-2</v>
      </c>
      <c r="K81" s="112"/>
      <c r="L81" s="112"/>
      <c r="M81" s="112"/>
    </row>
    <row r="82" spans="1:13" x14ac:dyDescent="0.3">
      <c r="A82" s="79">
        <f ca="1">Prices!$A$81</f>
        <v>46083</v>
      </c>
      <c r="B82" s="94">
        <f ca="1">IFERROR(Prices!B81/Prices!B80-1,"")</f>
        <v>7.8197862113493777E-3</v>
      </c>
      <c r="C82" s="94">
        <f ca="1">IFERROR(Prices!C81/Prices!C80-1,"")</f>
        <v>-4.5229606768477648E-3</v>
      </c>
      <c r="D82" s="94">
        <f ca="1">IFERROR(Prices!D81/Prices!D80-1,"")</f>
        <v>-3.4581807941424958E-2</v>
      </c>
      <c r="E82" s="94">
        <f ca="1">IFERROR(Prices!E81/Prices!E80-1,"")</f>
        <v>-7.678283430334476E-2</v>
      </c>
      <c r="F82" s="94">
        <f ca="1">IFERROR(Prices!F81/Prices!F80-1,"")</f>
        <v>-2.0026702269692942E-2</v>
      </c>
      <c r="G82" s="94">
        <f ca="1">IFERROR(Prices!G81/Prices!G80-1,"")</f>
        <v>-4.6981220973278615E-2</v>
      </c>
      <c r="H82" s="94">
        <f ca="1">IFERROR(Prices!H81/Prices!H80-1,"")</f>
        <v>-2.3324454682888129E-2</v>
      </c>
      <c r="I82" s="92">
        <f ca="1">IFERROR(Prices!I81/Prices!I80-1,"")</f>
        <v>-3.2952233549177423E-2</v>
      </c>
      <c r="J82" s="93">
        <f t="shared" ca="1" si="2"/>
        <v>-2.4956912977215338E-2</v>
      </c>
      <c r="K82" s="112"/>
      <c r="L82" s="112"/>
      <c r="M82" s="112"/>
    </row>
    <row r="83" spans="1:13" x14ac:dyDescent="0.3">
      <c r="A83" s="79">
        <f ca="1">Prices!$A$82</f>
        <v>46090</v>
      </c>
      <c r="B83" s="94">
        <f ca="1">IFERROR(Prices!B82/Prices!B81-1,"")</f>
        <v>-1.7155466970387168E-2</v>
      </c>
      <c r="C83" s="94">
        <f ca="1">IFERROR(Prices!C82/Prices!C81-1,"")</f>
        <v>-3.6027367970921431E-2</v>
      </c>
      <c r="D83" s="94">
        <f ca="1">IFERROR(Prices!D82/Prices!D81-1,"")</f>
        <v>-4.6730062423429142E-2</v>
      </c>
      <c r="E83" s="94">
        <f ca="1">IFERROR(Prices!E82/Prices!E81-1,"")</f>
        <v>-0.12932300369638972</v>
      </c>
      <c r="F83" s="94">
        <f ca="1">IFERROR(Prices!F82/Prices!F81-1,"")</f>
        <v>-4.9197699061459543E-3</v>
      </c>
      <c r="G83" s="94">
        <f ca="1">IFERROR(Prices!G82/Prices!G81-1,"")</f>
        <v>-0.11074228405960873</v>
      </c>
      <c r="H83" s="94">
        <f ca="1">IFERROR(Prices!H82/Prices!H81-1,"")</f>
        <v>-2.3070686223925718E-2</v>
      </c>
      <c r="I83" s="92">
        <f ca="1">IFERROR(Prices!I82/Prices!I81-1,"")</f>
        <v>-3.3686904604249834E-2</v>
      </c>
      <c r="J83" s="93">
        <f t="shared" ca="1" si="2"/>
        <v>-5.0420400715880075E-2</v>
      </c>
      <c r="K83" s="112"/>
      <c r="L83" s="112"/>
      <c r="M83" s="112"/>
    </row>
    <row r="84" spans="1:13" x14ac:dyDescent="0.3">
      <c r="A84" s="79">
        <f ca="1">Prices!$A$83</f>
        <v>46097</v>
      </c>
      <c r="B84" s="94">
        <f ca="1">IFERROR(Prices!B83/Prices!B82-1,"")</f>
        <v>2.4407909031650687E-2</v>
      </c>
      <c r="C84" s="94">
        <f ca="1">IFERROR(Prices!C83/Prices!C82-1,"")</f>
        <v>2.3677498059221369E-2</v>
      </c>
      <c r="D84" s="94">
        <f ca="1">IFERROR(Prices!D83/Prices!D82-1,"")</f>
        <v>-4.4736842105263075E-2</v>
      </c>
      <c r="E84" s="94">
        <f ca="1">IFERROR(Prices!E83/Prices!E82-1,"")</f>
        <v>-1.2212852573422195E-3</v>
      </c>
      <c r="F84" s="94">
        <f ca="1">IFERROR(Prices!F83/Prices!F82-1,"")</f>
        <v>-4.4344717426028746E-2</v>
      </c>
      <c r="G84" s="94">
        <f ca="1">IFERROR(Prices!G83/Prices!G82-1,"")</f>
        <v>7.9421809228819029E-4</v>
      </c>
      <c r="H84" s="94">
        <f ca="1">IFERROR(Prices!H83/Prices!H82-1,"")</f>
        <v>6.262260449675594E-3</v>
      </c>
      <c r="I84" s="92">
        <f ca="1">IFERROR(Prices!I83/Prices!I82-1,"")</f>
        <v>-2.5771961514382324E-2</v>
      </c>
      <c r="J84" s="93">
        <f t="shared" ca="1" si="2"/>
        <v>-2.3785189452325724E-3</v>
      </c>
      <c r="K84" s="112"/>
      <c r="L84" s="112"/>
      <c r="M84" s="112"/>
    </row>
    <row r="85" spans="1:13" x14ac:dyDescent="0.3">
      <c r="A85" s="79">
        <f ca="1">Prices!$A$84</f>
        <v>46104</v>
      </c>
      <c r="B85" s="94">
        <f ca="1">IFERROR(Prices!B84/Prices!B83-1,"")</f>
        <v>-4.6875000000000111E-2</v>
      </c>
      <c r="C85" s="94">
        <f ca="1">IFERROR(Prices!C84/Prices!C83-1,"")</f>
        <v>-1.1917014246247692E-3</v>
      </c>
      <c r="D85" s="94">
        <f ca="1">IFERROR(Prices!D84/Prices!D83-1,"")</f>
        <v>-3.1071817541162172E-2</v>
      </c>
      <c r="E85" s="94">
        <f ca="1">IFERROR(Prices!E84/Prices!E83-1,"")</f>
        <v>3.7644113194363449E-2</v>
      </c>
      <c r="F85" s="94">
        <f ca="1">IFERROR(Prices!F84/Prices!F83-1,"")</f>
        <v>-1.1222540592168206E-2</v>
      </c>
      <c r="G85" s="94">
        <f ca="1">IFERROR(Prices!G84/Prices!G83-1,"")</f>
        <v>-1.6824061582414118E-2</v>
      </c>
      <c r="H85" s="94">
        <f ca="1">IFERROR(Prices!H84/Prices!H83-1,"")</f>
        <v>2.3018669865787045E-2</v>
      </c>
      <c r="I85" s="92">
        <f ca="1">IFERROR(Prices!I84/Prices!I83-1,"")</f>
        <v>-3.8282627076855591E-2</v>
      </c>
      <c r="J85" s="93">
        <f t="shared" ca="1" si="2"/>
        <v>-1.1644513970686228E-2</v>
      </c>
      <c r="K85" s="112"/>
      <c r="L85" s="112"/>
      <c r="M85" s="112"/>
    </row>
    <row r="86" spans="1:13" x14ac:dyDescent="0.3">
      <c r="A86" s="79">
        <f ca="1">Prices!$A$85</f>
        <v>46111</v>
      </c>
      <c r="B86" s="94">
        <f ca="1">IFERROR(Prices!B85/Prices!B84-1,"")</f>
        <v>1.7802833617683866E-3</v>
      </c>
      <c r="C86" s="94">
        <f ca="1">IFERROR(Prices!C85/Prices!C84-1,"")</f>
        <v>-2.9394218775421699E-2</v>
      </c>
      <c r="D86" s="94">
        <f ca="1">IFERROR(Prices!D85/Prices!D84-1,"")</f>
        <v>-7.0087278497752425E-3</v>
      </c>
      <c r="E86" s="94">
        <f ca="1">IFERROR(Prices!E85/Prices!E84-1,"")</f>
        <v>1.3748211329648541E-2</v>
      </c>
      <c r="F86" s="94">
        <f ca="1">IFERROR(Prices!F85/Prices!F84-1,"")</f>
        <v>-4.0167431377283958E-2</v>
      </c>
      <c r="G86" s="94">
        <f ca="1">IFERROR(Prices!G85/Prices!G84-1,"")</f>
        <v>1.9533457099039531E-2</v>
      </c>
      <c r="H86" s="94">
        <f ca="1">IFERROR(Prices!H85/Prices!H84-1,"")</f>
        <v>2.770448548812654E-2</v>
      </c>
      <c r="I86" s="92">
        <f ca="1">IFERROR(Prices!I85/Prices!I84-1,"")</f>
        <v>-8.0510289483941566E-3</v>
      </c>
      <c r="J86" s="93">
        <f t="shared" ca="1" si="2"/>
        <v>-3.1089004538799587E-3</v>
      </c>
      <c r="K86" s="112"/>
      <c r="L86" s="112"/>
      <c r="M86" s="112"/>
    </row>
    <row r="87" spans="1:13" x14ac:dyDescent="0.3">
      <c r="A87" s="79">
        <f ca="1">Prices!$A$86</f>
        <v>46118</v>
      </c>
      <c r="B87" s="94">
        <f ca="1">IFERROR(Prices!B86/Prices!B85-1,"")</f>
        <v>-2.2213994816733251E-4</v>
      </c>
      <c r="C87" s="94">
        <f ca="1">IFERROR(Prices!C86/Prices!C85-1,"")</f>
        <v>4.486785494775658E-2</v>
      </c>
      <c r="D87" s="94">
        <f ca="1">IFERROR(Prices!D86/Prices!D85-1,"")</f>
        <v>7.9105073911306389E-2</v>
      </c>
      <c r="E87" s="94">
        <f ca="1">IFERROR(Prices!E86/Prices!E85-1,"")</f>
        <v>9.5984058011126194E-2</v>
      </c>
      <c r="F87" s="94">
        <f ca="1">IFERROR(Prices!F86/Prices!F85-1,"")</f>
        <v>3.1113720228111319E-2</v>
      </c>
      <c r="G87" s="94">
        <f ca="1">IFERROR(Prices!G86/Prices!G85-1,"")</f>
        <v>8.5345578339007133E-2</v>
      </c>
      <c r="H87" s="94">
        <f ca="1">IFERROR(Prices!H86/Prices!H85-1,"")</f>
        <v>3.4945086292968108E-2</v>
      </c>
      <c r="I87" s="92">
        <f ca="1">IFERROR(Prices!I86/Prices!I85-1,"")</f>
        <v>2.8518122385300826E-2</v>
      </c>
      <c r="J87" s="93">
        <f t="shared" ca="1" si="2"/>
        <v>4.9102788856759977E-2</v>
      </c>
      <c r="K87" s="112"/>
      <c r="L87" s="112"/>
      <c r="M87" s="112"/>
    </row>
    <row r="88" spans="1:13" x14ac:dyDescent="0.3">
      <c r="A88" s="79">
        <f ca="1">Prices!$A$87</f>
        <v>46125</v>
      </c>
      <c r="B88" s="94">
        <f ca="1">IFERROR(Prices!B87/Prices!B86-1,"")</f>
        <v>1.0961339060879816E-2</v>
      </c>
      <c r="C88" s="94">
        <f ca="1">IFERROR(Prices!C87/Prices!C86-1,"")</f>
        <v>-1.2352941176470567E-2</v>
      </c>
      <c r="D88" s="94">
        <f ca="1">IFERROR(Prices!D87/Prices!D86-1,"")</f>
        <v>-1.2834752560779927E-2</v>
      </c>
      <c r="E88" s="94">
        <f ca="1">IFERROR(Prices!E87/Prices!E86-1,"")</f>
        <v>3.4394807949695849E-2</v>
      </c>
      <c r="F88" s="94">
        <f ca="1">IFERROR(Prices!F87/Prices!F86-1,"")</f>
        <v>9.190727938186205E-3</v>
      </c>
      <c r="G88" s="94">
        <f ca="1">IFERROR(Prices!G87/Prices!G86-1,"")</f>
        <v>-1.8673863885038999E-2</v>
      </c>
      <c r="H88" s="94">
        <f ca="1">IFERROR(Prices!H87/Prices!H86-1,"")</f>
        <v>-6.1328555678059615E-3</v>
      </c>
      <c r="I88" s="92">
        <f ca="1">IFERROR(Prices!I87/Prices!I86-1,"")</f>
        <v>3.8069961386914652E-2</v>
      </c>
      <c r="J88" s="93">
        <f t="shared" ca="1" si="2"/>
        <v>1.8682937216473318E-3</v>
      </c>
      <c r="K88" s="112"/>
      <c r="L88" s="112"/>
      <c r="M88" s="112"/>
    </row>
    <row r="89" spans="1:13" x14ac:dyDescent="0.3">
      <c r="A89" s="79">
        <f ca="1">Prices!$A$88</f>
        <v>46132</v>
      </c>
      <c r="B89" s="94">
        <f ca="1">IFERROR(Prices!B88/Prices!B87-1,"")</f>
        <v>-2.7252747252747289E-2</v>
      </c>
      <c r="C89" s="94">
        <f ca="1">IFERROR(Prices!C88/Prices!C87-1,"")</f>
        <v>-1.754290974064654E-2</v>
      </c>
      <c r="D89" s="94">
        <f ca="1">IFERROR(Prices!D88/Prices!D87-1,"")</f>
        <v>-1.8814851856482018E-2</v>
      </c>
      <c r="E89" s="94">
        <f ca="1">IFERROR(Prices!E88/Prices!E87-1,"")</f>
        <v>-1.9970215570908945E-2</v>
      </c>
      <c r="F89" s="94">
        <f ca="1">IFERROR(Prices!F88/Prices!F87-1,"")</f>
        <v>4.3681495809155368E-2</v>
      </c>
      <c r="G89" s="94">
        <f ca="1">IFERROR(Prices!G88/Prices!G87-1,"")</f>
        <v>-3.0104809336207516E-2</v>
      </c>
      <c r="H89" s="94">
        <f ca="1">IFERROR(Prices!H88/Prices!H87-1,"")</f>
        <v>-0.16577688414338199</v>
      </c>
      <c r="I89" s="92">
        <f ca="1">IFERROR(Prices!I88/Prices!I87-1,"")</f>
        <v>2.190189472204529E-2</v>
      </c>
      <c r="J89" s="93">
        <f t="shared" ca="1" si="2"/>
        <v>-2.7808343483779051E-2</v>
      </c>
      <c r="K89" s="112"/>
      <c r="L89" s="112"/>
      <c r="M89" s="112"/>
    </row>
    <row r="90" spans="1:13" x14ac:dyDescent="0.3">
      <c r="A90" s="79">
        <f ca="1">Prices!$A$89</f>
        <v>46139</v>
      </c>
      <c r="B90" s="94">
        <f ca="1">IFERROR(Prices!B89/Prices!B88-1,"")</f>
        <v>7.7571923482452121E-2</v>
      </c>
      <c r="C90" s="94">
        <f ca="1">IFERROR(Prices!C89/Prices!C88-1,"")</f>
        <v>3.9845687517222395E-2</v>
      </c>
      <c r="D90" s="94">
        <f ca="1">IFERROR(Prices!D89/Prices!D88-1,"")</f>
        <v>-1.6754793909664278E-2</v>
      </c>
      <c r="E90" s="94">
        <f ca="1">IFERROR(Prices!E89/Prices!E88-1,"")</f>
        <v>-7.4732830132373529E-5</v>
      </c>
      <c r="F90" s="94">
        <f ca="1">IFERROR(Prices!F89/Prices!F88-1,"")</f>
        <v>1.1274131274131127E-2</v>
      </c>
      <c r="G90" s="94">
        <f ca="1">IFERROR(Prices!G89/Prices!G88-1,"")</f>
        <v>2.0386266094420513E-2</v>
      </c>
      <c r="H90" s="94">
        <f ca="1">IFERROR(Prices!H89/Prices!H88-1,"")</f>
        <v>-3.4075797872341607E-3</v>
      </c>
      <c r="I90" s="92">
        <f ca="1">IFERROR(Prices!I89/Prices!I88-1,"")</f>
        <v>-1.1169795627233525E-2</v>
      </c>
      <c r="J90" s="93">
        <f t="shared" ca="1" si="2"/>
        <v>2.4787279349254294E-2</v>
      </c>
      <c r="K90" s="112"/>
      <c r="L90" s="112"/>
      <c r="M90" s="112"/>
    </row>
    <row r="91" spans="1:13" x14ac:dyDescent="0.3">
      <c r="A91" s="79">
        <f ca="1">Prices!$A$90</f>
        <v>46146</v>
      </c>
      <c r="B91" s="94">
        <f ca="1">IFERROR(Prices!B90/Prices!B89-1,"")</f>
        <v>3.0752026838132274E-3</v>
      </c>
      <c r="C91" s="94">
        <f ca="1">IFERROR(Prices!C90/Prices!C89-1,"")</f>
        <v>-2.7718889124443424E-2</v>
      </c>
      <c r="D91" s="94">
        <f ca="1">IFERROR(Prices!D90/Prices!D89-1,"")</f>
        <v>1.1856939225087348E-2</v>
      </c>
      <c r="E91" s="94">
        <f ca="1">IFERROR(Prices!E90/Prices!E89-1,"")</f>
        <v>-9.8405580468360343E-3</v>
      </c>
      <c r="F91" s="94">
        <f ca="1">IFERROR(Prices!F90/Prices!F89-1,"")</f>
        <v>2.8558338423946283E-2</v>
      </c>
      <c r="G91" s="94">
        <f ca="1">IFERROR(Prices!G90/Prices!G89-1,"")</f>
        <v>3.0944870061589302E-2</v>
      </c>
      <c r="H91" s="94">
        <f ca="1">IFERROR(Prices!H90/Prices!H89-1,"")</f>
        <v>-5.8377116170449384E-4</v>
      </c>
      <c r="I91" s="92">
        <f ca="1">IFERROR(Prices!I90/Prices!I89-1,"")</f>
        <v>1.1041337568062914E-3</v>
      </c>
      <c r="J91" s="93">
        <f t="shared" ca="1" si="2"/>
        <v>4.0381716195274512E-3</v>
      </c>
      <c r="K91" s="112"/>
      <c r="L91" s="112"/>
      <c r="M91" s="112"/>
    </row>
    <row r="92" spans="1:13" x14ac:dyDescent="0.3">
      <c r="A92" s="79">
        <f ca="1">Prices!$A$91</f>
        <v>46153</v>
      </c>
      <c r="B92" s="94">
        <f ca="1">IFERROR(Prices!B91/Prices!B90-1,"")</f>
        <v>-6.88405797101449E-2</v>
      </c>
      <c r="C92" s="94">
        <f ca="1">IFERROR(Prices!C91/Prices!C90-1,"")</f>
        <v>3.8648133006268681E-2</v>
      </c>
      <c r="D92" s="94">
        <f ca="1">IFERROR(Prices!D91/Prices!D90-1,"")</f>
        <v>-1.7096753537811371E-2</v>
      </c>
      <c r="E92" s="94">
        <f ca="1">IFERROR(Prices!E91/Prices!E90-1,"")</f>
        <v>-1.6480060384954087E-2</v>
      </c>
      <c r="F92" s="94">
        <f ca="1">IFERROR(Prices!F91/Prices!F90-1,"")</f>
        <v>6.3177431328878875E-2</v>
      </c>
      <c r="G92" s="94">
        <f ca="1">IFERROR(Prices!G91/Prices!G90-1,"")</f>
        <v>-3.6791490601777666E-2</v>
      </c>
      <c r="H92" s="94">
        <f ca="1">IFERROR(Prices!H91/Prices!H90-1,"")</f>
        <v>-5.4906542056074925E-2</v>
      </c>
      <c r="I92" s="92">
        <f ca="1">IFERROR(Prices!I91/Prices!I90-1,"")</f>
        <v>-1.2581259076585583E-2</v>
      </c>
      <c r="J92" s="93">
        <f t="shared" ca="1" si="2"/>
        <v>-1.6683110764752901E-2</v>
      </c>
      <c r="K92" s="112"/>
      <c r="L92" s="112"/>
      <c r="M92" s="112"/>
    </row>
    <row r="93" spans="1:13" x14ac:dyDescent="0.3">
      <c r="A93" s="79">
        <f ca="1">Prices!$A$92</f>
        <v>46160</v>
      </c>
      <c r="B93" s="94">
        <f ca="1">IFERROR(Prices!B92/Prices!B91-1,"")</f>
        <v>1.3543849146961939E-2</v>
      </c>
      <c r="C93" s="94">
        <f ca="1">IFERROR(Prices!C92/Prices!C91-1,"")</f>
        <v>-1.7844022252545444E-2</v>
      </c>
      <c r="D93" s="94">
        <f ca="1">IFERROR(Prices!D92/Prices!D91-1,"")</f>
        <v>-9.1205211726386182E-4</v>
      </c>
      <c r="E93" s="94">
        <f ca="1">IFERROR(Prices!E92/Prices!E91-1,"")</f>
        <v>4.5024302890763757E-3</v>
      </c>
      <c r="F93" s="94">
        <f ca="1">IFERROR(Prices!F92/Prices!F91-1,"")</f>
        <v>-2.297325605753775E-2</v>
      </c>
      <c r="G93" s="94">
        <f ca="1">IFERROR(Prices!G92/Prices!G91-1,"")</f>
        <v>-1.7699115044247815E-2</v>
      </c>
      <c r="H93" s="94">
        <f ca="1">IFERROR(Prices!H92/Prices!H91-1,"")</f>
        <v>2.7723821296132822E-2</v>
      </c>
      <c r="I93" s="92">
        <f ca="1">IFERROR(Prices!I92/Prices!I91-1,"")</f>
        <v>-6.9659656634586398E-3</v>
      </c>
      <c r="J93" s="93">
        <f t="shared" ca="1" si="2"/>
        <v>-1.4535262267617701E-3</v>
      </c>
      <c r="K93" s="112"/>
      <c r="L93" s="112"/>
      <c r="M93" s="112"/>
    </row>
    <row r="94" spans="1:13" x14ac:dyDescent="0.3">
      <c r="A94" s="79">
        <f ca="1">Prices!$A$93</f>
        <v>46167</v>
      </c>
      <c r="B94" s="94">
        <f ca="1">IFERROR(Prices!B93/Prices!B92-1,"")</f>
        <v>-2.4584717607973428E-2</v>
      </c>
      <c r="C94" s="94">
        <f ca="1">IFERROR(Prices!C93/Prices!C92-1,"")</f>
        <v>-2.265683445548794E-2</v>
      </c>
      <c r="D94" s="94">
        <f ca="1">IFERROR(Prices!D93/Prices!D92-1,"")</f>
        <v>-2.9016692749087136E-2</v>
      </c>
      <c r="E94" s="94">
        <f ca="1">IFERROR(Prices!E93/Prices!E92-1,"")</f>
        <v>3.8175520806804863E-2</v>
      </c>
      <c r="F94" s="94">
        <f ca="1">IFERROR(Prices!F93/Prices!F92-1,"")</f>
        <v>1.2864493996569415E-3</v>
      </c>
      <c r="G94" s="94">
        <f ca="1">IFERROR(Prices!G93/Prices!G92-1,"")</f>
        <v>1.0780010780010674E-2</v>
      </c>
      <c r="H94" s="94">
        <f ca="1">IFERROR(Prices!H93/Prices!H92-1,"")</f>
        <v>1.7010309278350455E-2</v>
      </c>
      <c r="I94" s="92">
        <f ca="1">IFERROR(Prices!I93/Prices!I92-1,"")</f>
        <v>1.6141683708028598E-2</v>
      </c>
      <c r="J94" s="93">
        <f t="shared" ca="1" si="2"/>
        <v>-5.082038160955816E-3</v>
      </c>
      <c r="K94" s="112"/>
      <c r="L94" s="112"/>
      <c r="M94" s="112"/>
    </row>
    <row r="95" spans="1:13" x14ac:dyDescent="0.3">
      <c r="A95" s="79">
        <f ca="1">Prices!$A$94</f>
        <v>46174</v>
      </c>
      <c r="B95" s="94">
        <f ca="1">IFERROR(Prices!B94/Prices!B93-1,"")</f>
        <v>-2.2858007871631836E-2</v>
      </c>
      <c r="C95" s="94">
        <f ca="1">IFERROR(Prices!C94/Prices!C93-1,"")</f>
        <v>-1.6839803171131762E-2</v>
      </c>
      <c r="D95" s="94">
        <f ca="1">IFERROR(Prices!D94/Prices!D93-1,"")</f>
        <v>3.357732858773721E-3</v>
      </c>
      <c r="E95" s="94">
        <f ca="1">IFERROR(Prices!E94/Prices!E93-1,"")</f>
        <v>-3.0246535017784959E-2</v>
      </c>
      <c r="F95" s="94">
        <f ca="1">IFERROR(Prices!F94/Prices!F93-1,"")</f>
        <v>2.1413276231263545E-4</v>
      </c>
      <c r="G95" s="94">
        <f ca="1">IFERROR(Prices!G94/Prices!G93-1,"")</f>
        <v>-5.8657728346156457E-3</v>
      </c>
      <c r="H95" s="94">
        <f ca="1">IFERROR(Prices!H94/Prices!H93-1,"")</f>
        <v>-2.4581855043081524E-2</v>
      </c>
      <c r="I95" s="92">
        <f ca="1">IFERROR(Prices!I94/Prices!I93-1,"")</f>
        <v>-2.701014204058283E-2</v>
      </c>
      <c r="J95" s="93">
        <f t="shared" ca="1" si="2"/>
        <v>-1.4404731022372622E-2</v>
      </c>
      <c r="K95" s="112"/>
      <c r="L95" s="112"/>
      <c r="M95" s="112"/>
    </row>
    <row r="96" spans="1:13" x14ac:dyDescent="0.3">
      <c r="A96" s="79">
        <f ca="1">Prices!$A$95</f>
        <v>46181</v>
      </c>
      <c r="B96" s="94">
        <f ca="1">IFERROR(Prices!B95/Prices!B94-1,"")</f>
        <v>1.5491866769945517E-3</v>
      </c>
      <c r="C96" s="94">
        <f ca="1">IFERROR(Prices!C95/Prices!C94-1,"")</f>
        <v>1.3513513513513598E-2</v>
      </c>
      <c r="D96" s="94">
        <f ca="1">IFERROR(Prices!D95/Prices!D94-1,"")</f>
        <v>3.4000401579546313E-2</v>
      </c>
      <c r="E96" s="94">
        <f ca="1">IFERROR(Prices!E95/Prices!E94-1,"")</f>
        <v>2.4309420216533484E-2</v>
      </c>
      <c r="F96" s="94">
        <f ca="1">IFERROR(Prices!F95/Prices!F94-1,"")</f>
        <v>-8.492114465139422E-3</v>
      </c>
      <c r="G96" s="94">
        <f ca="1">IFERROR(Prices!G95/Prices!G94-1,"")</f>
        <v>2.4214559386973145E-2</v>
      </c>
      <c r="H96" s="94">
        <f ca="1">IFERROR(Prices!H95/Prices!H94-1,"")</f>
        <v>-3.9057763921364952E-2</v>
      </c>
      <c r="I96" s="92">
        <f ca="1">IFERROR(Prices!I95/Prices!I94-1,"")</f>
        <v>-1.1102256109749131E-2</v>
      </c>
      <c r="J96" s="93">
        <f t="shared" ca="1" si="2"/>
        <v>9.2582136676796212E-3</v>
      </c>
      <c r="K96" s="112"/>
      <c r="L96" s="112"/>
      <c r="M96" s="112"/>
    </row>
    <row r="97" spans="1:16" x14ac:dyDescent="0.3">
      <c r="A97" s="79">
        <f ca="1">Prices!$A$96</f>
        <v>46188</v>
      </c>
      <c r="B97" s="94">
        <f ca="1">IFERROR(Prices!B96/Prices!B95-1,"")</f>
        <v>1.2761020881670637E-2</v>
      </c>
      <c r="C97" s="94">
        <f ca="1">IFERROR(Prices!C96/Prices!C95-1,"")</f>
        <v>4.8449931412894331E-2</v>
      </c>
      <c r="D97" s="94">
        <f ca="1">IFERROR(Prices!D96/Prices!D95-1,"")</f>
        <v>9.5151789759853056E-3</v>
      </c>
      <c r="E97" s="94">
        <f ca="1">IFERROR(Prices!E96/Prices!E95-1,"")</f>
        <v>3.9537697873706534E-2</v>
      </c>
      <c r="F97" s="94">
        <f ca="1">IFERROR(Prices!F96/Prices!F95-1,"")</f>
        <v>-2.7062041168849915E-2</v>
      </c>
      <c r="G97" s="94">
        <f ca="1">IFERROR(Prices!G96/Prices!G95-1,"")</f>
        <v>2.169684273529926E-3</v>
      </c>
      <c r="H97" s="94">
        <f ca="1">IFERROR(Prices!H96/Prices!H95-1,"")</f>
        <v>1.9917087238644715E-2</v>
      </c>
      <c r="I97" s="92">
        <f ca="1">IFERROR(Prices!I96/Prices!I95-1,"")</f>
        <v>3.160923715024011E-2</v>
      </c>
      <c r="J97" s="93">
        <f t="shared" ca="1" si="2"/>
        <v>1.5970534087474734E-2</v>
      </c>
      <c r="K97" s="112"/>
      <c r="L97" s="112"/>
      <c r="M97" s="112"/>
    </row>
    <row r="98" spans="1:16" x14ac:dyDescent="0.3">
      <c r="A98" s="79">
        <f ca="1">Prices!$A$97</f>
        <v>46195</v>
      </c>
      <c r="B98" s="94">
        <f ca="1">IFERROR(Prices!B97/Prices!B96-1,"")</f>
        <v>6.5673921344022723E-3</v>
      </c>
      <c r="C98" s="94">
        <f ca="1">IFERROR(Prices!C97/Prices!C96-1,"")</f>
        <v>-3.1452794640988047E-2</v>
      </c>
      <c r="D98" s="94">
        <f ca="1">IFERROR(Prices!D97/Prices!D96-1,"")</f>
        <v>2.1159271608104602E-2</v>
      </c>
      <c r="E98" s="94">
        <f ca="1">IFERROR(Prices!E97/Prices!E96-1,"")</f>
        <v>1.6629448377440958E-3</v>
      </c>
      <c r="F98" s="94">
        <f ca="1">IFERROR(Prices!F97/Prices!F96-1,"")</f>
        <v>6.5320313655866213E-2</v>
      </c>
      <c r="G98" s="94">
        <f ca="1">IFERROR(Prices!G97/Prices!G96-1,"")</f>
        <v>2.6129152668906253E-2</v>
      </c>
      <c r="H98" s="94">
        <f ca="1">IFERROR(Prices!H97/Prices!H96-1,"")</f>
        <v>-2.7392418485464365E-2</v>
      </c>
      <c r="I98" s="92">
        <f ca="1">IFERROR(Prices!I97/Prices!I96-1,"")</f>
        <v>1.0438544469560274E-2</v>
      </c>
      <c r="J98" s="93">
        <f t="shared" ca="1" si="2"/>
        <v>8.7079023085450836E-3</v>
      </c>
      <c r="K98" s="112"/>
      <c r="L98" s="112"/>
      <c r="M98" s="112"/>
    </row>
    <row r="99" spans="1:16" x14ac:dyDescent="0.3">
      <c r="A99" s="79">
        <f ca="1">Prices!$A$98</f>
        <v>46202</v>
      </c>
      <c r="B99" s="94">
        <f ca="1">IFERROR(Prices!B98/Prices!B97-1,"")</f>
        <v>-1.069721568924964E-2</v>
      </c>
      <c r="C99" s="94">
        <f ca="1">IFERROR(Prices!C98/Prices!C97-1,"")</f>
        <v>3.2258064516129004E-2</v>
      </c>
      <c r="D99" s="94">
        <f ca="1">IFERROR(Prices!D98/Prices!D97-1,"")</f>
        <v>5.965088534471974E-3</v>
      </c>
      <c r="E99" s="94">
        <f ca="1">IFERROR(Prices!E98/Prices!E97-1,"")</f>
        <v>-4.5014704487240209E-2</v>
      </c>
      <c r="F99" s="94">
        <f ca="1">IFERROR(Prices!F98/Prices!F97-1,"")</f>
        <v>1.2568571626970337E-2</v>
      </c>
      <c r="G99" s="94">
        <f ca="1">IFERROR(Prices!G98/Prices!G97-1,"")</f>
        <v>4.5180065478355846E-2</v>
      </c>
      <c r="H99" s="94">
        <f ca="1">IFERROR(Prices!H98/Prices!H97-1,"")</f>
        <v>3.4796038884346236E-2</v>
      </c>
      <c r="I99" s="92">
        <f ca="1">IFERROR(Prices!I98/Prices!I97-1,"")</f>
        <v>-6.4992340376567315E-3</v>
      </c>
      <c r="J99" s="93">
        <f t="shared" ca="1" si="2"/>
        <v>7.032534673079403E-3</v>
      </c>
      <c r="K99" s="112"/>
      <c r="L99" s="112"/>
      <c r="M99" s="112"/>
    </row>
    <row r="100" spans="1:16" x14ac:dyDescent="0.3">
      <c r="A100" s="79">
        <f ca="1">Prices!$A$99</f>
        <v>46209</v>
      </c>
      <c r="B100" s="94">
        <f ca="1">IFERROR(Prices!B99/Prices!B98-1,"")</f>
        <v>2.9141104294478914E-3</v>
      </c>
      <c r="C100" s="94">
        <f ca="1">IFERROR(Prices!C99/Prices!C98-1,"")</f>
        <v>5.2345058626466212E-3</v>
      </c>
      <c r="D100" s="94">
        <f ca="1">IFERROR(Prices!D99/Prices!D98-1,"")</f>
        <v>2.9835840459397245E-2</v>
      </c>
      <c r="E100" s="94">
        <f ca="1">IFERROR(Prices!E99/Prices!E98-1,"")</f>
        <v>-2.0066557393334294E-2</v>
      </c>
      <c r="F100" s="94">
        <f ca="1">IFERROR(Prices!F99/Prices!F98-1,"")</f>
        <v>-1.2892607324098138E-2</v>
      </c>
      <c r="G100" s="94">
        <f ca="1">IFERROR(Prices!G99/Prices!G98-1,"")</f>
        <v>-3.5639704858694166E-2</v>
      </c>
      <c r="H100" s="94">
        <f ca="1">IFERROR(Prices!H99/Prices!H98-1,"")</f>
        <v>2.2036874451272892E-2</v>
      </c>
      <c r="I100" s="92">
        <f ca="1">IFERROR(Prices!I99/Prices!I98-1,"")</f>
        <v>2.0216092681526243E-2</v>
      </c>
      <c r="J100" s="93">
        <f t="shared" ca="1" si="2"/>
        <v>-7.1907944930772261E-4</v>
      </c>
      <c r="K100" s="112"/>
      <c r="L100" s="112"/>
      <c r="M100" s="112"/>
    </row>
    <row r="101" spans="1:16" x14ac:dyDescent="0.3">
      <c r="A101" s="79">
        <f ca="1">Prices!$A$100</f>
        <v>46216</v>
      </c>
      <c r="B101" s="94">
        <f ca="1">IFERROR(Prices!B100/Prices!B99-1,"")</f>
        <v>1.4834072488148164E-2</v>
      </c>
      <c r="C101" s="94">
        <f ca="1">IFERROR(Prices!C100/Prices!C99-1,"")</f>
        <v>-6.0404082482816701E-3</v>
      </c>
      <c r="D101" s="94">
        <f ca="1">IFERROR(Prices!D100/Prices!D99-1,"")</f>
        <v>-6.485241529789687E-3</v>
      </c>
      <c r="E101" s="94">
        <f ca="1">IFERROR(Prices!E100/Prices!E99-1,"")</f>
        <v>-3.3275888286279143E-2</v>
      </c>
      <c r="F101" s="94">
        <f ca="1">IFERROR(Prices!F100/Prices!F99-1,"")</f>
        <v>-1.4380992080033406E-2</v>
      </c>
      <c r="G101" s="94">
        <f ca="1">IFERROR(Prices!G100/Prices!G99-1,"")</f>
        <v>-3.681247293200518E-3</v>
      </c>
      <c r="H101" s="94">
        <f ca="1">IFERROR(Prices!H100/Prices!H99-1,"")</f>
        <v>3.418950262005005E-2</v>
      </c>
      <c r="I101" s="92">
        <f ca="1">IFERROR(Prices!I100/Prices!I99-1,"")</f>
        <v>-8.9785702162373804E-3</v>
      </c>
      <c r="J101" s="93">
        <f t="shared" ca="1" si="2"/>
        <v>-2.2160486434992725E-3</v>
      </c>
      <c r="K101" s="112"/>
      <c r="L101" s="112"/>
      <c r="M101" s="112"/>
    </row>
    <row r="102" spans="1:16" x14ac:dyDescent="0.3">
      <c r="A102" s="79">
        <f ca="1">Prices!$A$101</f>
        <v>46223</v>
      </c>
      <c r="B102" s="94">
        <f ca="1">IFERROR(Prices!B101/Prices!B100-1,"")</f>
        <v>-3.7070524412296635E-2</v>
      </c>
      <c r="C102" s="94">
        <f ca="1">IFERROR(Prices!C101/Prices!C100-1,"")</f>
        <v>-5.5532271584241011E-3</v>
      </c>
      <c r="D102" s="94">
        <f ca="1">IFERROR(Prices!D101/Prices!D100-1,"")</f>
        <v>-9.3704245973645794E-2</v>
      </c>
      <c r="E102" s="94">
        <f ca="1">IFERROR(Prices!E101/Prices!E100-1,"")</f>
        <v>-7.5763533883864698E-3</v>
      </c>
      <c r="F102" s="94">
        <f ca="1">IFERROR(Prices!F101/Prices!F100-1,"")</f>
        <v>-5.7094523155002408E-3</v>
      </c>
      <c r="G102" s="94">
        <f ca="1">IFERROR(Prices!G101/Prices!G100-1,"")</f>
        <v>-2.615373469535609E-2</v>
      </c>
      <c r="H102" s="94">
        <f ca="1">IFERROR(Prices!H101/Prices!H100-1,"")</f>
        <v>5.5735526206495578E-2</v>
      </c>
      <c r="I102" s="92">
        <f ca="1">IFERROR(Prices!I101/Prices!I100-1,"")</f>
        <v>1.1358473421172466E-3</v>
      </c>
      <c r="J102" s="93">
        <f t="shared" ref="J102:J134" ca="1" si="3">IFERROR(SUMPRODUCT(Weights,$B102:$H102),"")</f>
        <v>-2.3282916141730975E-2</v>
      </c>
      <c r="K102" s="112"/>
      <c r="L102" s="112"/>
      <c r="M102" s="112"/>
      <c r="P102" s="111"/>
    </row>
    <row r="103" spans="1:16" x14ac:dyDescent="0.3">
      <c r="A103" s="79">
        <f ca="1">Prices!$A$102</f>
        <v>46230</v>
      </c>
      <c r="B103" s="94">
        <f ca="1">IFERROR(Prices!B102/Prices!B101-1,"")</f>
        <v>2.3317683881064033E-2</v>
      </c>
      <c r="C103" s="94">
        <f ca="1">IFERROR(Prices!C102/Prices!C101-1,"")</f>
        <v>3.8878937941207337E-2</v>
      </c>
      <c r="D103" s="94">
        <f ca="1">IFERROR(Prices!D102/Prices!D101-1,"")</f>
        <v>7.202477113624095E-3</v>
      </c>
      <c r="E103" s="94">
        <f ca="1">IFERROR(Prices!E102/Prices!E101-1,"")</f>
        <v>4.0495562130177465E-2</v>
      </c>
      <c r="F103" s="94">
        <f ca="1">IFERROR(Prices!F102/Prices!F101-1,"")</f>
        <v>4.4378278746632693E-2</v>
      </c>
      <c r="G103" s="94">
        <f ca="1">IFERROR(Prices!G102/Prices!G101-1,"")</f>
        <v>5.891980360065463E-2</v>
      </c>
      <c r="H103" s="94">
        <f ca="1">IFERROR(Prices!H102/Prices!H101-1,"")</f>
        <v>5.9716758457907249E-2</v>
      </c>
      <c r="I103" s="92">
        <f ca="1">IFERROR(Prices!I102/Prices!I101-1,"")</f>
        <v>-1.0006839583720062E-2</v>
      </c>
      <c r="J103" s="93">
        <f t="shared" ca="1" si="3"/>
        <v>3.5714936391980416E-2</v>
      </c>
      <c r="K103" s="112"/>
      <c r="L103" s="112"/>
      <c r="M103" s="112"/>
    </row>
    <row r="104" spans="1:16" x14ac:dyDescent="0.3">
      <c r="A104" s="79">
        <f ca="1">Prices!$A$103</f>
        <v>46237</v>
      </c>
      <c r="B104" s="94">
        <f ca="1">IFERROR(Prices!B103/Prices!B102-1,"")</f>
        <v>2.06453586175257E-2</v>
      </c>
      <c r="C104" s="94">
        <f ca="1">IFERROR(Prices!C103/Prices!C102-1,"")</f>
        <v>-6.135902636916768E-3</v>
      </c>
      <c r="D104" s="94">
        <f ca="1">IFERROR(Prices!D103/Prices!D102-1,"")</f>
        <v>-2.2923210586112353E-2</v>
      </c>
      <c r="E104" s="94">
        <f ca="1">IFERROR(Prices!E103/Prices!E102-1,"")</f>
        <v>2.9729112188682016E-2</v>
      </c>
      <c r="F104" s="94">
        <f ca="1">IFERROR(Prices!F103/Prices!F102-1,"")</f>
        <v>-6.3806679337496952E-3</v>
      </c>
      <c r="G104" s="94">
        <f ca="1">IFERROR(Prices!G103/Prices!G102-1,"")</f>
        <v>-1.3840101166221697E-2</v>
      </c>
      <c r="H104" s="94">
        <f ca="1">IFERROR(Prices!H103/Prices!H102-1,"")</f>
        <v>7.2017224738285535E-3</v>
      </c>
      <c r="I104" s="92">
        <f ca="1">IFERROR(Prices!I103/Prices!I102-1,"")</f>
        <v>3.2436789868341975E-2</v>
      </c>
      <c r="J104" s="93">
        <f t="shared" ca="1" si="3"/>
        <v>2.7733039356400285E-3</v>
      </c>
      <c r="K104" s="112"/>
      <c r="L104" s="112"/>
      <c r="M104" s="112"/>
    </row>
    <row r="105" spans="1:16" x14ac:dyDescent="0.3">
      <c r="A105" s="79">
        <f ca="1">Prices!$A$104</f>
        <v>46244</v>
      </c>
      <c r="B105" s="94">
        <f ca="1">IFERROR(Prices!B104/Prices!B103-1,"")</f>
        <v>-1.8579562481270573E-2</v>
      </c>
      <c r="C105" s="94">
        <f ca="1">IFERROR(Prices!C104/Prices!C103-1,"")</f>
        <v>1.6429409663758276E-2</v>
      </c>
      <c r="D105" s="94">
        <f ca="1">IFERROR(Prices!D104/Prices!D103-1,"")</f>
        <v>-5.4719562243502606E-3</v>
      </c>
      <c r="E105" s="94">
        <f ca="1">IFERROR(Prices!E104/Prices!E103-1,"")</f>
        <v>2.4654832347148492E-4</v>
      </c>
      <c r="F105" s="94">
        <f ca="1">IFERROR(Prices!F104/Prices!F103-1,"")</f>
        <v>-9.42751742041259E-3</v>
      </c>
      <c r="G105" s="94">
        <f ca="1">IFERROR(Prices!G104/Prices!G103-1,"")</f>
        <v>-1.446177958253192E-2</v>
      </c>
      <c r="H105" s="94">
        <f ca="1">IFERROR(Prices!H104/Prices!H103-1,"")</f>
        <v>2.5062656641605674E-3</v>
      </c>
      <c r="I105" s="92">
        <f ca="1">IFERROR(Prices!I104/Prices!I103-1,"")</f>
        <v>-7.6894198420395243E-3</v>
      </c>
      <c r="J105" s="93">
        <f t="shared" ca="1" si="3"/>
        <v>-5.2363163200739122E-3</v>
      </c>
      <c r="K105" s="112"/>
      <c r="L105" s="112"/>
      <c r="M105" s="112"/>
    </row>
    <row r="106" spans="1:16" x14ac:dyDescent="0.3">
      <c r="A106" s="79">
        <f ca="1">Prices!$A$105</f>
        <v>46251</v>
      </c>
      <c r="B106" s="94">
        <f ca="1">IFERROR(Prices!B105/Prices!B104-1,"")</f>
        <v>4.5801526717557106E-3</v>
      </c>
      <c r="C106" s="94">
        <f ca="1">IFERROR(Prices!C105/Prices!C104-1,"")</f>
        <v>-2.3141408563827071E-2</v>
      </c>
      <c r="D106" s="94">
        <f ca="1">IFERROR(Prices!D105/Prices!D104-1,"")</f>
        <v>-6.8775790921571378E-5</v>
      </c>
      <c r="E106" s="94">
        <f ca="1">IFERROR(Prices!E105/Prices!E104-1,"")</f>
        <v>8.8735518856297713E-3</v>
      </c>
      <c r="F106" s="94">
        <f ca="1">IFERROR(Prices!F105/Prices!F104-1,"")</f>
        <v>-1.2275862068965471E-2</v>
      </c>
      <c r="G106" s="94">
        <f ca="1">IFERROR(Prices!G105/Prices!G104-1,"")</f>
        <v>-1.9444846031516527E-2</v>
      </c>
      <c r="H106" s="94">
        <f ca="1">IFERROR(Prices!H105/Prices!H104-1,"")</f>
        <v>-4.2279411764705843E-2</v>
      </c>
      <c r="I106" s="92">
        <f ca="1">IFERROR(Prices!I105/Prices!I104-1,"")</f>
        <v>-1.2046566487427524E-2</v>
      </c>
      <c r="J106" s="93">
        <f t="shared" ca="1" si="3"/>
        <v>-8.7974273056016794E-3</v>
      </c>
      <c r="K106" s="112"/>
      <c r="L106" s="112"/>
      <c r="M106" s="112"/>
    </row>
    <row r="107" spans="1:16" x14ac:dyDescent="0.3">
      <c r="A107" s="79">
        <f ca="1">Prices!$A$106</f>
        <v>46258</v>
      </c>
      <c r="B107" s="94">
        <f ca="1">IFERROR(Prices!B106/Prices!B105-1,"")</f>
        <v>-2.203647416413379E-2</v>
      </c>
      <c r="C107" s="94">
        <f ca="1">IFERROR(Prices!C106/Prices!C105-1,"")</f>
        <v>-3.2682425488180789E-2</v>
      </c>
      <c r="D107" s="94">
        <f ca="1">IFERROR(Prices!D106/Prices!D105-1,"")</f>
        <v>-9.1478093403949412E-3</v>
      </c>
      <c r="E107" s="94">
        <f ca="1">IFERROR(Prices!E106/Prices!E105-1,"")</f>
        <v>-1.1531883703884582E-2</v>
      </c>
      <c r="F107" s="94">
        <f ca="1">IFERROR(Prices!F106/Prices!F105-1,"")</f>
        <v>-6.0745705906996017E-3</v>
      </c>
      <c r="G107" s="94">
        <f ca="1">IFERROR(Prices!G106/Prices!G105-1,"")</f>
        <v>-1.393291559159604E-2</v>
      </c>
      <c r="H107" s="94">
        <f ca="1">IFERROR(Prices!H106/Prices!H105-1,"")</f>
        <v>1.0441458733205344E-2</v>
      </c>
      <c r="I107" s="92">
        <f ca="1">IFERROR(Prices!I106/Prices!I105-1,"")</f>
        <v>-2.8244646259186768E-3</v>
      </c>
      <c r="J107" s="93">
        <f t="shared" ca="1" si="3"/>
        <v>-1.4418555056467969E-2</v>
      </c>
      <c r="K107" s="112"/>
      <c r="L107" s="112"/>
      <c r="M107" s="112"/>
    </row>
    <row r="108" spans="1:16" x14ac:dyDescent="0.3">
      <c r="A108" s="79">
        <f ca="1">Prices!$A$107</f>
        <v>46265</v>
      </c>
      <c r="B108" s="94">
        <f ca="1">IFERROR(Prices!B107/Prices!B106-1,"")</f>
        <v>2.7195027195027199E-2</v>
      </c>
      <c r="C108" s="94">
        <f ca="1">IFERROR(Prices!C107/Prices!C106-1,"")</f>
        <v>-2.2524436889077792E-2</v>
      </c>
      <c r="D108" s="94">
        <f ca="1">IFERROR(Prices!D107/Prices!D106-1,"")</f>
        <v>-1.1384145494932607E-2</v>
      </c>
      <c r="E108" s="94">
        <f ca="1">IFERROR(Prices!E107/Prices!E106-1,"")</f>
        <v>-2.0193781205200545E-2</v>
      </c>
      <c r="F108" s="94">
        <f ca="1">IFERROR(Prices!F107/Prices!F106-1,"")</f>
        <v>-2.7046013347383213E-2</v>
      </c>
      <c r="G108" s="94">
        <f ca="1">IFERROR(Prices!G107/Prices!G106-1,"")</f>
        <v>-5.0986842105263164E-2</v>
      </c>
      <c r="H108" s="94">
        <f ca="1">IFERROR(Prices!H107/Prices!H106-1,"")</f>
        <v>-1.7247929488640512E-2</v>
      </c>
      <c r="I108" s="92">
        <f ca="1">IFERROR(Prices!I107/Prices!I106-1,"")</f>
        <v>-5.7248482559167924E-3</v>
      </c>
      <c r="J108" s="93">
        <f t="shared" ca="1" si="3"/>
        <v>-1.2574816779768593E-2</v>
      </c>
      <c r="K108" s="112"/>
      <c r="L108" s="112"/>
      <c r="M108" s="112"/>
    </row>
    <row r="109" spans="1:16" x14ac:dyDescent="0.3">
      <c r="A109" s="79">
        <f ca="1">Prices!$A$108</f>
        <v>46272</v>
      </c>
      <c r="B109" s="94">
        <f ca="1">IFERROR(Prices!B108/Prices!B107-1,"")</f>
        <v>-9.4553706505294821E-3</v>
      </c>
      <c r="C109" s="94">
        <f ca="1">IFERROR(Prices!C108/Prices!C107-1,"")</f>
        <v>7.6086956521739246E-3</v>
      </c>
      <c r="D109" s="94">
        <f ca="1">IFERROR(Prices!D108/Prices!D107-1,"")</f>
        <v>-2.2468754388429435E-3</v>
      </c>
      <c r="E109" s="94">
        <f ca="1">IFERROR(Prices!E108/Prices!E107-1,"")</f>
        <v>8.8040160439948334E-3</v>
      </c>
      <c r="F109" s="94">
        <f ca="1">IFERROR(Prices!F108/Prices!F107-1,"")</f>
        <v>7.2202166064982976E-3</v>
      </c>
      <c r="G109" s="94">
        <f ca="1">IFERROR(Prices!G108/Prices!G107-1,"")</f>
        <v>5.199306759098743E-3</v>
      </c>
      <c r="H109" s="94">
        <f ca="1">IFERROR(Prices!H108/Prices!H107-1,"")</f>
        <v>-8.1954538425855761E-3</v>
      </c>
      <c r="I109" s="92">
        <f ca="1">IFERROR(Prices!I108/Prices!I107-1,"")</f>
        <v>-1.2510174046660882E-2</v>
      </c>
      <c r="J109" s="93">
        <f t="shared" ca="1" si="3"/>
        <v>6.1485198657608604E-4</v>
      </c>
      <c r="K109" s="112"/>
      <c r="L109" s="112"/>
      <c r="M109" s="112"/>
    </row>
    <row r="110" spans="1:16" x14ac:dyDescent="0.3">
      <c r="A110" s="79" t="str">
        <f ca="1">Prices!$A$109</f>
        <v/>
      </c>
      <c r="B110" s="79" t="str">
        <f ca="1">IFERROR(Prices!B109/Prices!B108-1,"")</f>
        <v/>
      </c>
      <c r="C110" s="79" t="str">
        <f ca="1">IFERROR(Prices!C109/Prices!C108-1,"")</f>
        <v/>
      </c>
      <c r="D110" s="79" t="str">
        <f ca="1">IFERROR(Prices!D109/Prices!D108-1,"")</f>
        <v/>
      </c>
      <c r="E110" s="79" t="str">
        <f ca="1">IFERROR(Prices!E109/Prices!E108-1,"")</f>
        <v/>
      </c>
      <c r="F110" s="79" t="str">
        <f ca="1">IFERROR(Prices!F109/Prices!F108-1,"")</f>
        <v/>
      </c>
      <c r="G110" s="79" t="str">
        <f ca="1">IFERROR(Prices!G109/Prices!G108-1,"")</f>
        <v/>
      </c>
      <c r="H110" s="79" t="str">
        <f ca="1">IFERROR(Prices!H109/Prices!H108-1,"")</f>
        <v/>
      </c>
      <c r="I110" s="92" t="str">
        <f ca="1">IFERROR(Prices!I109/Prices!I108-1,"")</f>
        <v/>
      </c>
      <c r="J110" s="93">
        <f t="shared" ca="1" si="3"/>
        <v>0</v>
      </c>
      <c r="K110" s="112"/>
      <c r="L110" s="112"/>
      <c r="M110" s="112"/>
    </row>
    <row r="111" spans="1:16" x14ac:dyDescent="0.3">
      <c r="A111" s="79" t="str">
        <f ca="1">Prices!$A$110</f>
        <v/>
      </c>
      <c r="B111" s="94" t="str">
        <f ca="1">IFERROR(Prices!B110/Prices!B109-1,"")</f>
        <v/>
      </c>
      <c r="C111" s="94" t="str">
        <f ca="1">IFERROR(Prices!C110/Prices!C109-1,"")</f>
        <v/>
      </c>
      <c r="D111" s="94" t="str">
        <f ca="1">IFERROR(Prices!D110/Prices!D109-1,"")</f>
        <v/>
      </c>
      <c r="E111" s="94" t="str">
        <f ca="1">IFERROR(Prices!E110/Prices!E109-1,"")</f>
        <v/>
      </c>
      <c r="F111" s="94" t="str">
        <f ca="1">IFERROR(Prices!F110/Prices!F109-1,"")</f>
        <v/>
      </c>
      <c r="G111" s="94" t="str">
        <f ca="1">IFERROR(Prices!G110/Prices!G109-1,"")</f>
        <v/>
      </c>
      <c r="H111" s="94" t="str">
        <f ca="1">IFERROR(Prices!H110/Prices!H109-1,"")</f>
        <v/>
      </c>
      <c r="I111" s="92" t="str">
        <f ca="1">IFERROR(Prices!I110/Prices!I109-1,"")</f>
        <v/>
      </c>
      <c r="J111" s="93">
        <f t="shared" ca="1" si="3"/>
        <v>0</v>
      </c>
      <c r="K111" s="112"/>
      <c r="L111" s="112"/>
      <c r="M111" s="112"/>
    </row>
    <row r="112" spans="1:16" x14ac:dyDescent="0.3">
      <c r="A112" s="79" t="str">
        <f ca="1">Prices!$A$111</f>
        <v/>
      </c>
      <c r="B112" s="94" t="str">
        <f ca="1">IFERROR(Prices!B111/Prices!B110-1,"")</f>
        <v/>
      </c>
      <c r="C112" s="94" t="str">
        <f ca="1">IFERROR(Prices!C111/Prices!C110-1,"")</f>
        <v/>
      </c>
      <c r="D112" s="94" t="str">
        <f ca="1">IFERROR(Prices!D111/Prices!D110-1,"")</f>
        <v/>
      </c>
      <c r="E112" s="94" t="str">
        <f ca="1">IFERROR(Prices!E111/Prices!E110-1,"")</f>
        <v/>
      </c>
      <c r="F112" s="94" t="str">
        <f ca="1">IFERROR(Prices!F111/Prices!F110-1,"")</f>
        <v/>
      </c>
      <c r="G112" s="94" t="str">
        <f ca="1">IFERROR(Prices!G111/Prices!G110-1,"")</f>
        <v/>
      </c>
      <c r="H112" s="94" t="str">
        <f ca="1">IFERROR(Prices!H111/Prices!H110-1,"")</f>
        <v/>
      </c>
      <c r="I112" s="92" t="str">
        <f ca="1">IFERROR(Prices!I111/Prices!I110-1,"")</f>
        <v/>
      </c>
      <c r="J112" s="93">
        <f t="shared" ca="1" si="3"/>
        <v>0</v>
      </c>
      <c r="K112" s="112"/>
      <c r="L112" s="112"/>
      <c r="M112" s="112"/>
    </row>
    <row r="113" spans="1:13" x14ac:dyDescent="0.3">
      <c r="A113" s="79" t="str">
        <f ca="1">Prices!$A$112</f>
        <v/>
      </c>
      <c r="B113" s="94" t="str">
        <f ca="1">IFERROR(Prices!B112/Prices!B111-1,"")</f>
        <v/>
      </c>
      <c r="C113" s="94" t="str">
        <f ca="1">IFERROR(Prices!C112/Prices!C111-1,"")</f>
        <v/>
      </c>
      <c r="D113" s="94" t="str">
        <f ca="1">IFERROR(Prices!D112/Prices!D111-1,"")</f>
        <v/>
      </c>
      <c r="E113" s="94" t="str">
        <f ca="1">IFERROR(Prices!E112/Prices!E111-1,"")</f>
        <v/>
      </c>
      <c r="F113" s="94" t="str">
        <f ca="1">IFERROR(Prices!F112/Prices!F111-1,"")</f>
        <v/>
      </c>
      <c r="G113" s="94" t="str">
        <f ca="1">IFERROR(Prices!G112/Prices!G111-1,"")</f>
        <v/>
      </c>
      <c r="H113" s="94" t="str">
        <f ca="1">IFERROR(Prices!H112/Prices!H111-1,"")</f>
        <v/>
      </c>
      <c r="I113" s="92" t="str">
        <f ca="1">IFERROR(Prices!I112/Prices!I111-1,"")</f>
        <v/>
      </c>
      <c r="J113" s="93">
        <f t="shared" ca="1" si="3"/>
        <v>0</v>
      </c>
      <c r="K113" s="112"/>
      <c r="L113" s="112"/>
      <c r="M113" s="112"/>
    </row>
    <row r="114" spans="1:13" x14ac:dyDescent="0.3">
      <c r="A114" s="79" t="str">
        <f ca="1">Prices!$A$113</f>
        <v/>
      </c>
      <c r="B114" s="94" t="str">
        <f ca="1">IFERROR(Prices!B113/Prices!B112-1,"")</f>
        <v/>
      </c>
      <c r="C114" s="94" t="str">
        <f ca="1">IFERROR(Prices!C113/Prices!C112-1,"")</f>
        <v/>
      </c>
      <c r="D114" s="94" t="str">
        <f ca="1">IFERROR(Prices!D113/Prices!D112-1,"")</f>
        <v/>
      </c>
      <c r="E114" s="94" t="str">
        <f ca="1">IFERROR(Prices!E113/Prices!E112-1,"")</f>
        <v/>
      </c>
      <c r="F114" s="94" t="str">
        <f ca="1">IFERROR(Prices!F113/Prices!F112-1,"")</f>
        <v/>
      </c>
      <c r="G114" s="94" t="str">
        <f ca="1">IFERROR(Prices!G113/Prices!G112-1,"")</f>
        <v/>
      </c>
      <c r="H114" s="94" t="str">
        <f ca="1">IFERROR(Prices!H113/Prices!H112-1,"")</f>
        <v/>
      </c>
      <c r="I114" s="92" t="str">
        <f ca="1">IFERROR(Prices!I113/Prices!I112-1,"")</f>
        <v/>
      </c>
      <c r="J114" s="93">
        <f t="shared" ca="1" si="3"/>
        <v>0</v>
      </c>
      <c r="K114" s="112"/>
      <c r="L114" s="112"/>
      <c r="M114" s="112"/>
    </row>
    <row r="115" spans="1:13" x14ac:dyDescent="0.3">
      <c r="A115" s="79" t="str">
        <f ca="1">Prices!$A$114</f>
        <v/>
      </c>
      <c r="B115" s="94" t="str">
        <f ca="1">IFERROR(Prices!B114/Prices!B113-1,"")</f>
        <v/>
      </c>
      <c r="C115" s="94" t="str">
        <f ca="1">IFERROR(Prices!C114/Prices!C113-1,"")</f>
        <v/>
      </c>
      <c r="D115" s="94" t="str">
        <f ca="1">IFERROR(Prices!D114/Prices!D113-1,"")</f>
        <v/>
      </c>
      <c r="E115" s="94" t="str">
        <f ca="1">IFERROR(Prices!E114/Prices!E113-1,"")</f>
        <v/>
      </c>
      <c r="F115" s="94" t="str">
        <f ca="1">IFERROR(Prices!F114/Prices!F113-1,"")</f>
        <v/>
      </c>
      <c r="G115" s="94" t="str">
        <f ca="1">IFERROR(Prices!G114/Prices!G113-1,"")</f>
        <v/>
      </c>
      <c r="H115" s="94" t="str">
        <f ca="1">IFERROR(Prices!H114/Prices!H113-1,"")</f>
        <v/>
      </c>
      <c r="I115" s="92" t="str">
        <f ca="1">IFERROR(Prices!I114/Prices!I113-1,"")</f>
        <v/>
      </c>
      <c r="J115" s="93">
        <f t="shared" ca="1" si="3"/>
        <v>0</v>
      </c>
      <c r="K115" s="112"/>
      <c r="L115" s="112"/>
      <c r="M115" s="112"/>
    </row>
    <row r="116" spans="1:13" x14ac:dyDescent="0.3">
      <c r="A116" s="79" t="str">
        <f ca="1">Prices!$A$115</f>
        <v/>
      </c>
      <c r="B116" s="94" t="str">
        <f ca="1">IFERROR(Prices!B115/Prices!B114-1,"")</f>
        <v/>
      </c>
      <c r="C116" s="94" t="str">
        <f ca="1">IFERROR(Prices!C115/Prices!C114-1,"")</f>
        <v/>
      </c>
      <c r="D116" s="94" t="str">
        <f ca="1">IFERROR(Prices!D115/Prices!D114-1,"")</f>
        <v/>
      </c>
      <c r="E116" s="94" t="str">
        <f ca="1">IFERROR(Prices!E115/Prices!E114-1,"")</f>
        <v/>
      </c>
      <c r="F116" s="94" t="str">
        <f ca="1">IFERROR(Prices!F115/Prices!F114-1,"")</f>
        <v/>
      </c>
      <c r="G116" s="94" t="str">
        <f ca="1">IFERROR(Prices!G115/Prices!G114-1,"")</f>
        <v/>
      </c>
      <c r="H116" s="94" t="str">
        <f ca="1">IFERROR(Prices!H115/Prices!H114-1,"")</f>
        <v/>
      </c>
      <c r="I116" s="92" t="str">
        <f ca="1">IFERROR(Prices!I115/Prices!I114-1,"")</f>
        <v/>
      </c>
      <c r="J116" s="93">
        <f t="shared" ca="1" si="3"/>
        <v>0</v>
      </c>
      <c r="K116" s="112"/>
      <c r="L116" s="112"/>
      <c r="M116" s="112"/>
    </row>
    <row r="117" spans="1:13" x14ac:dyDescent="0.3">
      <c r="A117" s="79" t="str">
        <f ca="1">Prices!$A$116</f>
        <v/>
      </c>
      <c r="B117" s="94" t="str">
        <f ca="1">IFERROR(Prices!B116/Prices!B115-1,"")</f>
        <v/>
      </c>
      <c r="C117" s="94" t="str">
        <f ca="1">IFERROR(Prices!C116/Prices!C115-1,"")</f>
        <v/>
      </c>
      <c r="D117" s="94" t="str">
        <f ca="1">IFERROR(Prices!D116/Prices!D115-1,"")</f>
        <v/>
      </c>
      <c r="E117" s="94" t="str">
        <f ca="1">IFERROR(Prices!E116/Prices!E115-1,"")</f>
        <v/>
      </c>
      <c r="F117" s="94" t="str">
        <f ca="1">IFERROR(Prices!F116/Prices!F115-1,"")</f>
        <v/>
      </c>
      <c r="G117" s="94" t="str">
        <f ca="1">IFERROR(Prices!G116/Prices!G115-1,"")</f>
        <v/>
      </c>
      <c r="H117" s="94" t="str">
        <f ca="1">IFERROR(Prices!H116/Prices!H115-1,"")</f>
        <v/>
      </c>
      <c r="I117" s="92" t="str">
        <f ca="1">IFERROR(Prices!I116/Prices!I115-1,"")</f>
        <v/>
      </c>
      <c r="J117" s="93">
        <f t="shared" ca="1" si="3"/>
        <v>0</v>
      </c>
      <c r="K117" s="112"/>
      <c r="L117" s="112"/>
      <c r="M117" s="112"/>
    </row>
    <row r="118" spans="1:13" x14ac:dyDescent="0.3">
      <c r="A118" s="79" t="str">
        <f ca="1">Prices!$A$117</f>
        <v/>
      </c>
      <c r="B118" s="94" t="str">
        <f ca="1">IFERROR(Prices!B117/Prices!B116-1,"")</f>
        <v/>
      </c>
      <c r="C118" s="94" t="str">
        <f ca="1">IFERROR(Prices!C117/Prices!C116-1,"")</f>
        <v/>
      </c>
      <c r="D118" s="94" t="str">
        <f ca="1">IFERROR(Prices!D117/Prices!D116-1,"")</f>
        <v/>
      </c>
      <c r="E118" s="94" t="str">
        <f ca="1">IFERROR(Prices!E117/Prices!E116-1,"")</f>
        <v/>
      </c>
      <c r="F118" s="94" t="str">
        <f ca="1">IFERROR(Prices!F117/Prices!F116-1,"")</f>
        <v/>
      </c>
      <c r="G118" s="94" t="str">
        <f ca="1">IFERROR(Prices!G117/Prices!G116-1,"")</f>
        <v/>
      </c>
      <c r="H118" s="94" t="str">
        <f ca="1">IFERROR(Prices!H117/Prices!H116-1,"")</f>
        <v/>
      </c>
      <c r="I118" s="92" t="str">
        <f ca="1">IFERROR(Prices!I117/Prices!I116-1,"")</f>
        <v/>
      </c>
      <c r="J118" s="93">
        <f t="shared" ca="1" si="3"/>
        <v>0</v>
      </c>
      <c r="K118" s="112"/>
      <c r="L118" s="112"/>
      <c r="M118" s="112"/>
    </row>
    <row r="119" spans="1:13" x14ac:dyDescent="0.3">
      <c r="A119" s="79" t="str">
        <f ca="1">Prices!$A$118</f>
        <v/>
      </c>
      <c r="B119" s="94" t="str">
        <f ca="1">IFERROR(Prices!B118/Prices!B117-1,"")</f>
        <v/>
      </c>
      <c r="C119" s="94" t="str">
        <f ca="1">IFERROR(Prices!C118/Prices!C117-1,"")</f>
        <v/>
      </c>
      <c r="D119" s="94" t="str">
        <f ca="1">IFERROR(Prices!D118/Prices!D117-1,"")</f>
        <v/>
      </c>
      <c r="E119" s="94" t="str">
        <f ca="1">IFERROR(Prices!E118/Prices!E117-1,"")</f>
        <v/>
      </c>
      <c r="F119" s="94" t="str">
        <f ca="1">IFERROR(Prices!F118/Prices!F117-1,"")</f>
        <v/>
      </c>
      <c r="G119" s="94" t="str">
        <f ca="1">IFERROR(Prices!G118/Prices!G117-1,"")</f>
        <v/>
      </c>
      <c r="H119" s="94" t="str">
        <f ca="1">IFERROR(Prices!H118/Prices!H117-1,"")</f>
        <v/>
      </c>
      <c r="I119" s="92" t="str">
        <f ca="1">IFERROR(Prices!I118/Prices!I117-1,"")</f>
        <v/>
      </c>
      <c r="J119" s="93">
        <f t="shared" ca="1" si="3"/>
        <v>0</v>
      </c>
      <c r="K119" s="112"/>
      <c r="L119" s="112"/>
      <c r="M119" s="112"/>
    </row>
    <row r="120" spans="1:13" x14ac:dyDescent="0.3">
      <c r="A120" s="79" t="str">
        <f ca="1">Prices!$A$119</f>
        <v/>
      </c>
      <c r="B120" s="94" t="str">
        <f ca="1">IFERROR(Prices!B119/Prices!B118-1,"")</f>
        <v/>
      </c>
      <c r="C120" s="94" t="str">
        <f ca="1">IFERROR(Prices!C119/Prices!C118-1,"")</f>
        <v/>
      </c>
      <c r="D120" s="94" t="str">
        <f ca="1">IFERROR(Prices!D119/Prices!D118-1,"")</f>
        <v/>
      </c>
      <c r="E120" s="94" t="str">
        <f ca="1">IFERROR(Prices!E119/Prices!E118-1,"")</f>
        <v/>
      </c>
      <c r="F120" s="94" t="str">
        <f ca="1">IFERROR(Prices!F119/Prices!F118-1,"")</f>
        <v/>
      </c>
      <c r="G120" s="94" t="str">
        <f ca="1">IFERROR(Prices!G119/Prices!G118-1,"")</f>
        <v/>
      </c>
      <c r="H120" s="94" t="str">
        <f ca="1">IFERROR(Prices!H119/Prices!H118-1,"")</f>
        <v/>
      </c>
      <c r="I120" s="92" t="str">
        <f ca="1">IFERROR(Prices!I119/Prices!I118-1,"")</f>
        <v/>
      </c>
      <c r="J120" s="93">
        <f t="shared" ca="1" si="3"/>
        <v>0</v>
      </c>
      <c r="K120" s="112"/>
      <c r="L120" s="112"/>
      <c r="M120" s="112"/>
    </row>
    <row r="121" spans="1:13" x14ac:dyDescent="0.3">
      <c r="A121" s="79" t="str">
        <f ca="1">Prices!$A$120</f>
        <v/>
      </c>
      <c r="B121" s="94" t="str">
        <f ca="1">IFERROR(Prices!B120/Prices!B119-1,"")</f>
        <v/>
      </c>
      <c r="C121" s="94" t="str">
        <f ca="1">IFERROR(Prices!C120/Prices!C119-1,"")</f>
        <v/>
      </c>
      <c r="D121" s="94" t="str">
        <f ca="1">IFERROR(Prices!D120/Prices!D119-1,"")</f>
        <v/>
      </c>
      <c r="E121" s="94" t="str">
        <f ca="1">IFERROR(Prices!E120/Prices!E119-1,"")</f>
        <v/>
      </c>
      <c r="F121" s="94" t="str">
        <f ca="1">IFERROR(Prices!F120/Prices!F119-1,"")</f>
        <v/>
      </c>
      <c r="G121" s="94" t="str">
        <f ca="1">IFERROR(Prices!G120/Prices!G119-1,"")</f>
        <v/>
      </c>
      <c r="H121" s="94" t="str">
        <f ca="1">IFERROR(Prices!H120/Prices!H119-1,"")</f>
        <v/>
      </c>
      <c r="I121" s="92" t="str">
        <f ca="1">IFERROR(Prices!I120/Prices!I119-1,"")</f>
        <v/>
      </c>
      <c r="J121" s="93">
        <f t="shared" ca="1" si="3"/>
        <v>0</v>
      </c>
      <c r="K121" s="112"/>
      <c r="L121" s="112"/>
      <c r="M121" s="112"/>
    </row>
    <row r="122" spans="1:13" x14ac:dyDescent="0.3">
      <c r="A122" s="79" t="str">
        <f ca="1">Prices!$A$121</f>
        <v/>
      </c>
      <c r="B122" s="94" t="str">
        <f ca="1">IFERROR(Prices!B121/Prices!B120-1,"")</f>
        <v/>
      </c>
      <c r="C122" s="94" t="str">
        <f ca="1">IFERROR(Prices!C121/Prices!C120-1,"")</f>
        <v/>
      </c>
      <c r="D122" s="94" t="str">
        <f ca="1">IFERROR(Prices!D121/Prices!D120-1,"")</f>
        <v/>
      </c>
      <c r="E122" s="94" t="str">
        <f ca="1">IFERROR(Prices!E121/Prices!E120-1,"")</f>
        <v/>
      </c>
      <c r="F122" s="94" t="str">
        <f ca="1">IFERROR(Prices!F121/Prices!F120-1,"")</f>
        <v/>
      </c>
      <c r="G122" s="94" t="str">
        <f ca="1">IFERROR(Prices!G121/Prices!G120-1,"")</f>
        <v/>
      </c>
      <c r="H122" s="94" t="str">
        <f ca="1">IFERROR(Prices!H121/Prices!H120-1,"")</f>
        <v/>
      </c>
      <c r="I122" s="92" t="str">
        <f ca="1">IFERROR(Prices!I121/Prices!I120-1,"")</f>
        <v/>
      </c>
      <c r="J122" s="93">
        <f t="shared" ca="1" si="3"/>
        <v>0</v>
      </c>
      <c r="K122" s="112"/>
      <c r="L122" s="112"/>
      <c r="M122" s="112"/>
    </row>
    <row r="123" spans="1:13" x14ac:dyDescent="0.3">
      <c r="A123" s="79" t="str">
        <f ca="1">Prices!$A$122</f>
        <v/>
      </c>
      <c r="B123" s="94" t="str">
        <f ca="1">IFERROR(Prices!B122/Prices!B121-1,"")</f>
        <v/>
      </c>
      <c r="C123" s="94" t="str">
        <f ca="1">IFERROR(Prices!C122/Prices!C121-1,"")</f>
        <v/>
      </c>
      <c r="D123" s="94" t="str">
        <f ca="1">IFERROR(Prices!D122/Prices!D121-1,"")</f>
        <v/>
      </c>
      <c r="E123" s="94" t="str">
        <f ca="1">IFERROR(Prices!E122/Prices!E121-1,"")</f>
        <v/>
      </c>
      <c r="F123" s="94" t="str">
        <f ca="1">IFERROR(Prices!F122/Prices!F121-1,"")</f>
        <v/>
      </c>
      <c r="G123" s="94" t="str">
        <f ca="1">IFERROR(Prices!G122/Prices!G121-1,"")</f>
        <v/>
      </c>
      <c r="H123" s="94" t="str">
        <f ca="1">IFERROR(Prices!H122/Prices!H121-1,"")</f>
        <v/>
      </c>
      <c r="I123" s="92" t="str">
        <f ca="1">IFERROR(Prices!I122/Prices!I121-1,"")</f>
        <v/>
      </c>
      <c r="J123" s="93">
        <f t="shared" ca="1" si="3"/>
        <v>0</v>
      </c>
      <c r="K123" s="112"/>
      <c r="L123" s="112"/>
      <c r="M123" s="112"/>
    </row>
    <row r="124" spans="1:13" x14ac:dyDescent="0.3">
      <c r="A124" s="79" t="str">
        <f ca="1">Prices!$A$123</f>
        <v/>
      </c>
      <c r="B124" s="94" t="str">
        <f ca="1">IFERROR(Prices!B123/Prices!B122-1,"")</f>
        <v/>
      </c>
      <c r="C124" s="94" t="str">
        <f ca="1">IFERROR(Prices!C123/Prices!C122-1,"")</f>
        <v/>
      </c>
      <c r="D124" s="94" t="str">
        <f ca="1">IFERROR(Prices!D123/Prices!D122-1,"")</f>
        <v/>
      </c>
      <c r="E124" s="94" t="str">
        <f ca="1">IFERROR(Prices!E123/Prices!E122-1,"")</f>
        <v/>
      </c>
      <c r="F124" s="94" t="str">
        <f ca="1">IFERROR(Prices!F123/Prices!F122-1,"")</f>
        <v/>
      </c>
      <c r="G124" s="94" t="str">
        <f ca="1">IFERROR(Prices!G123/Prices!G122-1,"")</f>
        <v/>
      </c>
      <c r="H124" s="94" t="str">
        <f ca="1">IFERROR(Prices!H123/Prices!H122-1,"")</f>
        <v/>
      </c>
      <c r="I124" s="92" t="str">
        <f ca="1">IFERROR(Prices!I123/Prices!I122-1,"")</f>
        <v/>
      </c>
      <c r="J124" s="93">
        <f t="shared" ca="1" si="3"/>
        <v>0</v>
      </c>
      <c r="K124" s="112"/>
      <c r="L124" s="112"/>
      <c r="M124" s="112"/>
    </row>
    <row r="125" spans="1:13" x14ac:dyDescent="0.3">
      <c r="A125" s="79" t="str">
        <f ca="1">Prices!$A$124</f>
        <v/>
      </c>
      <c r="B125" s="94" t="str">
        <f ca="1">IFERROR(Prices!B124/Prices!B123-1,"")</f>
        <v/>
      </c>
      <c r="C125" s="94" t="str">
        <f ca="1">IFERROR(Prices!C124/Prices!C123-1,"")</f>
        <v/>
      </c>
      <c r="D125" s="94" t="str">
        <f ca="1">IFERROR(Prices!D124/Prices!D123-1,"")</f>
        <v/>
      </c>
      <c r="E125" s="94" t="str">
        <f ca="1">IFERROR(Prices!E124/Prices!E123-1,"")</f>
        <v/>
      </c>
      <c r="F125" s="94" t="str">
        <f ca="1">IFERROR(Prices!F124/Prices!F123-1,"")</f>
        <v/>
      </c>
      <c r="G125" s="94" t="str">
        <f ca="1">IFERROR(Prices!G124/Prices!G123-1,"")</f>
        <v/>
      </c>
      <c r="H125" s="94" t="str">
        <f ca="1">IFERROR(Prices!H124/Prices!H123-1,"")</f>
        <v/>
      </c>
      <c r="I125" s="92" t="str">
        <f ca="1">IFERROR(Prices!I124/Prices!I123-1,"")</f>
        <v/>
      </c>
      <c r="J125" s="93">
        <f t="shared" ca="1" si="3"/>
        <v>0</v>
      </c>
      <c r="K125" s="112"/>
      <c r="L125" s="112"/>
      <c r="M125" s="112"/>
    </row>
    <row r="126" spans="1:13" x14ac:dyDescent="0.3">
      <c r="A126" s="79" t="str">
        <f ca="1">Prices!$A$125</f>
        <v/>
      </c>
      <c r="B126" s="94" t="str">
        <f ca="1">IFERROR(Prices!B125/Prices!B124-1,"")</f>
        <v/>
      </c>
      <c r="C126" s="94" t="str">
        <f ca="1">IFERROR(Prices!C125/Prices!C124-1,"")</f>
        <v/>
      </c>
      <c r="D126" s="94" t="str">
        <f ca="1">IFERROR(Prices!D125/Prices!D124-1,"")</f>
        <v/>
      </c>
      <c r="E126" s="94" t="str">
        <f ca="1">IFERROR(Prices!E125/Prices!E124-1,"")</f>
        <v/>
      </c>
      <c r="F126" s="94" t="str">
        <f ca="1">IFERROR(Prices!F125/Prices!F124-1,"")</f>
        <v/>
      </c>
      <c r="G126" s="94" t="str">
        <f ca="1">IFERROR(Prices!G125/Prices!G124-1,"")</f>
        <v/>
      </c>
      <c r="H126" s="94" t="str">
        <f ca="1">IFERROR(Prices!H125/Prices!H124-1,"")</f>
        <v/>
      </c>
      <c r="I126" s="92" t="str">
        <f ca="1">IFERROR(Prices!I125/Prices!I124-1,"")</f>
        <v/>
      </c>
      <c r="J126" s="93">
        <f t="shared" ca="1" si="3"/>
        <v>0</v>
      </c>
      <c r="K126" s="112"/>
      <c r="L126" s="112"/>
      <c r="M126" s="112"/>
    </row>
    <row r="127" spans="1:13" x14ac:dyDescent="0.3">
      <c r="A127" s="79" t="str">
        <f ca="1">Prices!$A$126</f>
        <v/>
      </c>
      <c r="B127" s="94" t="str">
        <f ca="1">IFERROR(Prices!B126/Prices!B125-1,"")</f>
        <v/>
      </c>
      <c r="C127" s="94" t="str">
        <f ca="1">IFERROR(Prices!C126/Prices!C125-1,"")</f>
        <v/>
      </c>
      <c r="D127" s="94" t="str">
        <f ca="1">IFERROR(Prices!D126/Prices!D125-1,"")</f>
        <v/>
      </c>
      <c r="E127" s="94" t="str">
        <f ca="1">IFERROR(Prices!E126/Prices!E125-1,"")</f>
        <v/>
      </c>
      <c r="F127" s="94" t="str">
        <f ca="1">IFERROR(Prices!F126/Prices!F125-1,"")</f>
        <v/>
      </c>
      <c r="G127" s="94" t="str">
        <f ca="1">IFERROR(Prices!G126/Prices!G125-1,"")</f>
        <v/>
      </c>
      <c r="H127" s="94" t="str">
        <f ca="1">IFERROR(Prices!H126/Prices!H125-1,"")</f>
        <v/>
      </c>
      <c r="I127" s="92" t="str">
        <f ca="1">IFERROR(Prices!I126/Prices!I125-1,"")</f>
        <v/>
      </c>
      <c r="J127" s="93">
        <f t="shared" ca="1" si="3"/>
        <v>0</v>
      </c>
      <c r="K127" s="112"/>
      <c r="L127" s="112"/>
      <c r="M127" s="112"/>
    </row>
    <row r="128" spans="1:13" x14ac:dyDescent="0.3">
      <c r="A128" s="79" t="str">
        <f ca="1">Prices!$A$127</f>
        <v/>
      </c>
      <c r="B128" s="94" t="str">
        <f ca="1">IFERROR(Prices!B127/Prices!B126-1,"")</f>
        <v/>
      </c>
      <c r="C128" s="94" t="str">
        <f ca="1">IFERROR(Prices!C127/Prices!C126-1,"")</f>
        <v/>
      </c>
      <c r="D128" s="94" t="str">
        <f ca="1">IFERROR(Prices!D127/Prices!D126-1,"")</f>
        <v/>
      </c>
      <c r="E128" s="94" t="str">
        <f ca="1">IFERROR(Prices!E127/Prices!E126-1,"")</f>
        <v/>
      </c>
      <c r="F128" s="94" t="str">
        <f ca="1">IFERROR(Prices!F127/Prices!F126-1,"")</f>
        <v/>
      </c>
      <c r="G128" s="94" t="str">
        <f ca="1">IFERROR(Prices!G127/Prices!G126-1,"")</f>
        <v/>
      </c>
      <c r="H128" s="94" t="str">
        <f ca="1">IFERROR(Prices!H127/Prices!H126-1,"")</f>
        <v/>
      </c>
      <c r="I128" s="92" t="str">
        <f ca="1">IFERROR(Prices!I127/Prices!I126-1,"")</f>
        <v/>
      </c>
      <c r="J128" s="93">
        <f t="shared" ca="1" si="3"/>
        <v>0</v>
      </c>
      <c r="K128" s="112"/>
      <c r="L128" s="112"/>
      <c r="M128" s="112"/>
    </row>
    <row r="129" spans="1:13" x14ac:dyDescent="0.3">
      <c r="A129" s="79" t="str">
        <f ca="1">Prices!$A$128</f>
        <v/>
      </c>
      <c r="B129" s="94" t="str">
        <f ca="1">IFERROR(Prices!B128/Prices!B127-1,"")</f>
        <v/>
      </c>
      <c r="C129" s="94" t="str">
        <f ca="1">IFERROR(Prices!C128/Prices!C127-1,"")</f>
        <v/>
      </c>
      <c r="D129" s="94" t="str">
        <f ca="1">IFERROR(Prices!D128/Prices!D127-1,"")</f>
        <v/>
      </c>
      <c r="E129" s="94" t="str">
        <f ca="1">IFERROR(Prices!E128/Prices!E127-1,"")</f>
        <v/>
      </c>
      <c r="F129" s="94" t="str">
        <f ca="1">IFERROR(Prices!F128/Prices!F127-1,"")</f>
        <v/>
      </c>
      <c r="G129" s="94" t="str">
        <f ca="1">IFERROR(Prices!G128/Prices!G127-1,"")</f>
        <v/>
      </c>
      <c r="H129" s="94" t="str">
        <f ca="1">IFERROR(Prices!H128/Prices!H127-1,"")</f>
        <v/>
      </c>
      <c r="I129" s="92" t="str">
        <f ca="1">IFERROR(Prices!I128/Prices!I127-1,"")</f>
        <v/>
      </c>
      <c r="J129" s="93">
        <f t="shared" ca="1" si="3"/>
        <v>0</v>
      </c>
      <c r="K129" s="112"/>
      <c r="L129" s="112"/>
      <c r="M129" s="112"/>
    </row>
    <row r="130" spans="1:13" x14ac:dyDescent="0.3">
      <c r="A130" s="79" t="str">
        <f ca="1">Prices!$A$129</f>
        <v/>
      </c>
      <c r="B130" s="94" t="str">
        <f ca="1">IFERROR(Prices!B129/Prices!B128-1,"")</f>
        <v/>
      </c>
      <c r="C130" s="94" t="str">
        <f ca="1">IFERROR(Prices!C129/Prices!C128-1,"")</f>
        <v/>
      </c>
      <c r="D130" s="94" t="str">
        <f ca="1">IFERROR(Prices!D129/Prices!D128-1,"")</f>
        <v/>
      </c>
      <c r="E130" s="94" t="str">
        <f ca="1">IFERROR(Prices!E129/Prices!E128-1,"")</f>
        <v/>
      </c>
      <c r="F130" s="94" t="str">
        <f ca="1">IFERROR(Prices!F129/Prices!F128-1,"")</f>
        <v/>
      </c>
      <c r="G130" s="94" t="str">
        <f ca="1">IFERROR(Prices!G129/Prices!G128-1,"")</f>
        <v/>
      </c>
      <c r="H130" s="94" t="str">
        <f ca="1">IFERROR(Prices!H129/Prices!H128-1,"")</f>
        <v/>
      </c>
      <c r="I130" s="92" t="str">
        <f ca="1">IFERROR(Prices!I129/Prices!I128-1,"")</f>
        <v/>
      </c>
      <c r="J130" s="93">
        <f t="shared" ca="1" si="3"/>
        <v>0</v>
      </c>
      <c r="K130" s="112"/>
      <c r="L130" s="112"/>
      <c r="M130" s="112"/>
    </row>
    <row r="131" spans="1:13" x14ac:dyDescent="0.3">
      <c r="A131" s="79" t="str">
        <f ca="1">Prices!$A$130</f>
        <v/>
      </c>
      <c r="B131" s="94" t="str">
        <f ca="1">IFERROR(Prices!B130/Prices!B129-1,"")</f>
        <v/>
      </c>
      <c r="C131" s="94" t="str">
        <f ca="1">IFERROR(Prices!C130/Prices!C129-1,"")</f>
        <v/>
      </c>
      <c r="D131" s="94" t="str">
        <f ca="1">IFERROR(Prices!D130/Prices!D129-1,"")</f>
        <v/>
      </c>
      <c r="E131" s="94" t="str">
        <f ca="1">IFERROR(Prices!E130/Prices!E129-1,"")</f>
        <v/>
      </c>
      <c r="F131" s="94" t="str">
        <f ca="1">IFERROR(Prices!F130/Prices!F129-1,"")</f>
        <v/>
      </c>
      <c r="G131" s="94" t="str">
        <f ca="1">IFERROR(Prices!G130/Prices!G129-1,"")</f>
        <v/>
      </c>
      <c r="H131" s="94" t="str">
        <f ca="1">IFERROR(Prices!H130/Prices!H129-1,"")</f>
        <v/>
      </c>
      <c r="I131" s="92" t="str">
        <f ca="1">IFERROR(Prices!I130/Prices!I129-1,"")</f>
        <v/>
      </c>
      <c r="J131" s="93">
        <f t="shared" ca="1" si="3"/>
        <v>0</v>
      </c>
      <c r="K131" s="112"/>
      <c r="L131" s="112"/>
      <c r="M131" s="112"/>
    </row>
    <row r="132" spans="1:13" x14ac:dyDescent="0.3">
      <c r="A132" s="79" t="str">
        <f ca="1">Prices!$A$131</f>
        <v/>
      </c>
      <c r="B132" s="94" t="str">
        <f ca="1">IFERROR(Prices!B131/Prices!B130-1,"")</f>
        <v/>
      </c>
      <c r="C132" s="94" t="str">
        <f ca="1">IFERROR(Prices!C131/Prices!C130-1,"")</f>
        <v/>
      </c>
      <c r="D132" s="94" t="str">
        <f ca="1">IFERROR(Prices!D131/Prices!D130-1,"")</f>
        <v/>
      </c>
      <c r="E132" s="94" t="str">
        <f ca="1">IFERROR(Prices!E131/Prices!E130-1,"")</f>
        <v/>
      </c>
      <c r="F132" s="94" t="str">
        <f ca="1">IFERROR(Prices!F131/Prices!F130-1,"")</f>
        <v/>
      </c>
      <c r="G132" s="94" t="str">
        <f ca="1">IFERROR(Prices!G131/Prices!G130-1,"")</f>
        <v/>
      </c>
      <c r="H132" s="94" t="str">
        <f ca="1">IFERROR(Prices!H131/Prices!H130-1,"")</f>
        <v/>
      </c>
      <c r="I132" s="92" t="str">
        <f ca="1">IFERROR(Prices!I131/Prices!I130-1,"")</f>
        <v/>
      </c>
      <c r="J132" s="93">
        <f t="shared" ca="1" si="3"/>
        <v>0</v>
      </c>
      <c r="K132" s="112"/>
      <c r="L132" s="112"/>
      <c r="M132" s="112"/>
    </row>
    <row r="133" spans="1:13" x14ac:dyDescent="0.3">
      <c r="A133" s="79" t="str">
        <f ca="1">Prices!$A$132</f>
        <v/>
      </c>
      <c r="B133" s="94" t="str">
        <f ca="1">IFERROR(Prices!B132/Prices!B131-1,"")</f>
        <v/>
      </c>
      <c r="C133" s="94" t="str">
        <f ca="1">IFERROR(Prices!C132/Prices!C131-1,"")</f>
        <v/>
      </c>
      <c r="D133" s="94" t="str">
        <f ca="1">IFERROR(Prices!D132/Prices!D131-1,"")</f>
        <v/>
      </c>
      <c r="E133" s="94" t="str">
        <f ca="1">IFERROR(Prices!E132/Prices!E131-1,"")</f>
        <v/>
      </c>
      <c r="F133" s="94" t="str">
        <f ca="1">IFERROR(Prices!F132/Prices!F131-1,"")</f>
        <v/>
      </c>
      <c r="G133" s="94" t="str">
        <f ca="1">IFERROR(Prices!G132/Prices!G131-1,"")</f>
        <v/>
      </c>
      <c r="H133" s="94" t="str">
        <f ca="1">IFERROR(Prices!H132/Prices!H131-1,"")</f>
        <v/>
      </c>
      <c r="I133" s="92" t="str">
        <f ca="1">IFERROR(Prices!I132/Prices!I131-1,"")</f>
        <v/>
      </c>
      <c r="J133" s="93">
        <f t="shared" ca="1" si="3"/>
        <v>0</v>
      </c>
      <c r="K133" s="112"/>
      <c r="L133" s="112"/>
      <c r="M133" s="112"/>
    </row>
    <row r="134" spans="1:13" x14ac:dyDescent="0.3">
      <c r="A134" s="128" t="str">
        <f ca="1">Prices!$A$133</f>
        <v/>
      </c>
      <c r="B134" s="129" t="str">
        <f ca="1">IFERROR(Prices!B133/Prices!B132-1,"")</f>
        <v/>
      </c>
      <c r="C134" s="129" t="str">
        <f ca="1">IFERROR(Prices!C133/Prices!C132-1,"")</f>
        <v/>
      </c>
      <c r="D134" s="129" t="str">
        <f ca="1">IFERROR(Prices!D133/Prices!D132-1,"")</f>
        <v/>
      </c>
      <c r="E134" s="129" t="str">
        <f ca="1">IFERROR(Prices!E133/Prices!E132-1,"")</f>
        <v/>
      </c>
      <c r="F134" s="129" t="str">
        <f ca="1">IFERROR(Prices!F133/Prices!F132-1,"")</f>
        <v/>
      </c>
      <c r="G134" s="129" t="str">
        <f ca="1">IFERROR(Prices!G133/Prices!G132-1,"")</f>
        <v/>
      </c>
      <c r="H134" s="129" t="str">
        <f ca="1">IFERROR(Prices!H133/Prices!H132-1,"")</f>
        <v/>
      </c>
      <c r="I134" s="130" t="str">
        <f ca="1">IFERROR(Prices!I133/Prices!I132-1,"")</f>
        <v/>
      </c>
      <c r="J134" s="131">
        <f t="shared" ca="1" si="3"/>
        <v>0</v>
      </c>
      <c r="K134" s="112"/>
      <c r="L134" s="112"/>
      <c r="M134" s="112"/>
    </row>
    <row r="135" spans="1:13" x14ac:dyDescent="0.3">
      <c r="A135" s="147" t="str">
        <f ca="1">Prices!$A$134</f>
        <v/>
      </c>
      <c r="B135" s="148" t="str">
        <f ca="1">IFERROR(Prices!B134/Prices!B133-1,"")</f>
        <v/>
      </c>
      <c r="C135" s="148" t="str">
        <f ca="1">IFERROR(Prices!C134/Prices!C133-1,"")</f>
        <v/>
      </c>
      <c r="D135" s="148" t="str">
        <f ca="1">IFERROR(Prices!D134/Prices!D133-1,"")</f>
        <v/>
      </c>
      <c r="E135" s="148" t="str">
        <f ca="1">IFERROR(Prices!E134/Prices!E133-1,"")</f>
        <v/>
      </c>
      <c r="F135" s="148" t="str">
        <f ca="1">IFERROR(Prices!F134/Prices!F133-1,"")</f>
        <v/>
      </c>
      <c r="G135" s="148" t="str">
        <f ca="1">IFERROR(Prices!G134/Prices!G133-1,"")</f>
        <v/>
      </c>
      <c r="H135" s="148" t="str">
        <f ca="1">IFERROR(Prices!H134/Prices!H133-1,"")</f>
        <v/>
      </c>
      <c r="I135" s="149" t="str">
        <f ca="1">IFERROR(Prices!I134/Prices!I133-1,"")</f>
        <v/>
      </c>
      <c r="J135" s="150">
        <f t="shared" ref="J135:J198" ca="1" si="4">IFERROR(SUMPRODUCT(Weights,$B135:$H135),"")</f>
        <v>0</v>
      </c>
      <c r="K135" s="112"/>
      <c r="L135" s="112"/>
      <c r="M135" s="112"/>
    </row>
    <row r="136" spans="1:13" x14ac:dyDescent="0.3">
      <c r="A136" s="147" t="str">
        <f ca="1">Prices!$A$135</f>
        <v/>
      </c>
      <c r="B136" s="148" t="str">
        <f ca="1">IFERROR(Prices!B135/Prices!B134-1,"")</f>
        <v/>
      </c>
      <c r="C136" s="148" t="str">
        <f ca="1">IFERROR(Prices!C135/Prices!C134-1,"")</f>
        <v/>
      </c>
      <c r="D136" s="148" t="str">
        <f ca="1">IFERROR(Prices!D135/Prices!D134-1,"")</f>
        <v/>
      </c>
      <c r="E136" s="148" t="str">
        <f ca="1">IFERROR(Prices!E135/Prices!E134-1,"")</f>
        <v/>
      </c>
      <c r="F136" s="148" t="str">
        <f ca="1">IFERROR(Prices!F135/Prices!F134-1,"")</f>
        <v/>
      </c>
      <c r="G136" s="148" t="str">
        <f ca="1">IFERROR(Prices!G135/Prices!G134-1,"")</f>
        <v/>
      </c>
      <c r="H136" s="148" t="str">
        <f ca="1">IFERROR(Prices!H135/Prices!H134-1,"")</f>
        <v/>
      </c>
      <c r="I136" s="149" t="str">
        <f ca="1">IFERROR(Prices!I135/Prices!I134-1,"")</f>
        <v/>
      </c>
      <c r="J136" s="150">
        <f t="shared" ca="1" si="4"/>
        <v>0</v>
      </c>
      <c r="K136" s="112"/>
      <c r="L136" s="112"/>
      <c r="M136" s="112"/>
    </row>
    <row r="137" spans="1:13" x14ac:dyDescent="0.3">
      <c r="A137" s="147" t="str">
        <f ca="1">Prices!$A$136</f>
        <v/>
      </c>
      <c r="B137" s="148" t="str">
        <f ca="1">IFERROR(Prices!B136/Prices!B135-1,"")</f>
        <v/>
      </c>
      <c r="C137" s="148" t="str">
        <f ca="1">IFERROR(Prices!C136/Prices!C135-1,"")</f>
        <v/>
      </c>
      <c r="D137" s="148" t="str">
        <f ca="1">IFERROR(Prices!D136/Prices!D135-1,"")</f>
        <v/>
      </c>
      <c r="E137" s="148" t="str">
        <f ca="1">IFERROR(Prices!E136/Prices!E135-1,"")</f>
        <v/>
      </c>
      <c r="F137" s="148" t="str">
        <f ca="1">IFERROR(Prices!F136/Prices!F135-1,"")</f>
        <v/>
      </c>
      <c r="G137" s="148" t="str">
        <f ca="1">IFERROR(Prices!G136/Prices!G135-1,"")</f>
        <v/>
      </c>
      <c r="H137" s="148" t="str">
        <f ca="1">IFERROR(Prices!H136/Prices!H135-1,"")</f>
        <v/>
      </c>
      <c r="I137" s="149" t="str">
        <f ca="1">IFERROR(Prices!I136/Prices!I135-1,"")</f>
        <v/>
      </c>
      <c r="J137" s="150">
        <f t="shared" ca="1" si="4"/>
        <v>0</v>
      </c>
      <c r="K137" s="112"/>
      <c r="L137" s="112"/>
      <c r="M137" s="112"/>
    </row>
    <row r="138" spans="1:13" x14ac:dyDescent="0.3">
      <c r="A138" s="147" t="str">
        <f ca="1">Prices!$A$137</f>
        <v/>
      </c>
      <c r="B138" s="148" t="str">
        <f ca="1">IFERROR(Prices!B137/Prices!B136-1,"")</f>
        <v/>
      </c>
      <c r="C138" s="148" t="str">
        <f ca="1">IFERROR(Prices!C137/Prices!C136-1,"")</f>
        <v/>
      </c>
      <c r="D138" s="148" t="str">
        <f ca="1">IFERROR(Prices!D137/Prices!D136-1,"")</f>
        <v/>
      </c>
      <c r="E138" s="148" t="str">
        <f ca="1">IFERROR(Prices!E137/Prices!E136-1,"")</f>
        <v/>
      </c>
      <c r="F138" s="148" t="str">
        <f ca="1">IFERROR(Prices!F137/Prices!F136-1,"")</f>
        <v/>
      </c>
      <c r="G138" s="148" t="str">
        <f ca="1">IFERROR(Prices!G137/Prices!G136-1,"")</f>
        <v/>
      </c>
      <c r="H138" s="148" t="str">
        <f ca="1">IFERROR(Prices!H137/Prices!H136-1,"")</f>
        <v/>
      </c>
      <c r="I138" s="149" t="str">
        <f ca="1">IFERROR(Prices!I137/Prices!I136-1,"")</f>
        <v/>
      </c>
      <c r="J138" s="150">
        <f t="shared" ca="1" si="4"/>
        <v>0</v>
      </c>
      <c r="K138" s="112"/>
      <c r="L138" s="112"/>
      <c r="M138" s="112"/>
    </row>
    <row r="139" spans="1:13" x14ac:dyDescent="0.3">
      <c r="A139" s="147" t="str">
        <f ca="1">Prices!$A$138</f>
        <v/>
      </c>
      <c r="B139" s="148" t="str">
        <f ca="1">IFERROR(Prices!B138/Prices!B137-1,"")</f>
        <v/>
      </c>
      <c r="C139" s="148" t="str">
        <f ca="1">IFERROR(Prices!C138/Prices!C137-1,"")</f>
        <v/>
      </c>
      <c r="D139" s="148" t="str">
        <f ca="1">IFERROR(Prices!D138/Prices!D137-1,"")</f>
        <v/>
      </c>
      <c r="E139" s="148" t="str">
        <f ca="1">IFERROR(Prices!E138/Prices!E137-1,"")</f>
        <v/>
      </c>
      <c r="F139" s="148" t="str">
        <f ca="1">IFERROR(Prices!F138/Prices!F137-1,"")</f>
        <v/>
      </c>
      <c r="G139" s="148" t="str">
        <f ca="1">IFERROR(Prices!G138/Prices!G137-1,"")</f>
        <v/>
      </c>
      <c r="H139" s="148" t="str">
        <f ca="1">IFERROR(Prices!H138/Prices!H137-1,"")</f>
        <v/>
      </c>
      <c r="I139" s="149" t="str">
        <f ca="1">IFERROR(Prices!I138/Prices!I137-1,"")</f>
        <v/>
      </c>
      <c r="J139" s="150">
        <f t="shared" ca="1" si="4"/>
        <v>0</v>
      </c>
      <c r="K139" s="112"/>
      <c r="L139" s="112"/>
      <c r="M139" s="112"/>
    </row>
    <row r="140" spans="1:13" x14ac:dyDescent="0.3">
      <c r="A140" s="147" t="str">
        <f ca="1">Prices!$A$139</f>
        <v/>
      </c>
      <c r="B140" s="148" t="str">
        <f ca="1">IFERROR(Prices!B139/Prices!B138-1,"")</f>
        <v/>
      </c>
      <c r="C140" s="148" t="str">
        <f ca="1">IFERROR(Prices!C139/Prices!C138-1,"")</f>
        <v/>
      </c>
      <c r="D140" s="148" t="str">
        <f ca="1">IFERROR(Prices!D139/Prices!D138-1,"")</f>
        <v/>
      </c>
      <c r="E140" s="148" t="str">
        <f ca="1">IFERROR(Prices!E139/Prices!E138-1,"")</f>
        <v/>
      </c>
      <c r="F140" s="148" t="str">
        <f ca="1">IFERROR(Prices!F139/Prices!F138-1,"")</f>
        <v/>
      </c>
      <c r="G140" s="148" t="str">
        <f ca="1">IFERROR(Prices!G139/Prices!G138-1,"")</f>
        <v/>
      </c>
      <c r="H140" s="148" t="str">
        <f ca="1">IFERROR(Prices!H139/Prices!H138-1,"")</f>
        <v/>
      </c>
      <c r="I140" s="149" t="str">
        <f ca="1">IFERROR(Prices!I139/Prices!I138-1,"")</f>
        <v/>
      </c>
      <c r="J140" s="150">
        <f t="shared" ca="1" si="4"/>
        <v>0</v>
      </c>
      <c r="K140" s="112"/>
      <c r="L140" s="112"/>
      <c r="M140" s="112"/>
    </row>
    <row r="141" spans="1:13" x14ac:dyDescent="0.3">
      <c r="A141" s="147" t="str">
        <f ca="1">Prices!$A$140</f>
        <v/>
      </c>
      <c r="B141" s="148" t="str">
        <f ca="1">IFERROR(Prices!B140/Prices!B139-1,"")</f>
        <v/>
      </c>
      <c r="C141" s="148" t="str">
        <f ca="1">IFERROR(Prices!C140/Prices!C139-1,"")</f>
        <v/>
      </c>
      <c r="D141" s="148" t="str">
        <f ca="1">IFERROR(Prices!D140/Prices!D139-1,"")</f>
        <v/>
      </c>
      <c r="E141" s="148" t="str">
        <f ca="1">IFERROR(Prices!E140/Prices!E139-1,"")</f>
        <v/>
      </c>
      <c r="F141" s="148" t="str">
        <f ca="1">IFERROR(Prices!F140/Prices!F139-1,"")</f>
        <v/>
      </c>
      <c r="G141" s="148" t="str">
        <f ca="1">IFERROR(Prices!G140/Prices!G139-1,"")</f>
        <v/>
      </c>
      <c r="H141" s="148" t="str">
        <f ca="1">IFERROR(Prices!H140/Prices!H139-1,"")</f>
        <v/>
      </c>
      <c r="I141" s="149" t="str">
        <f ca="1">IFERROR(Prices!I140/Prices!I139-1,"")</f>
        <v/>
      </c>
      <c r="J141" s="150">
        <f t="shared" ca="1" si="4"/>
        <v>0</v>
      </c>
      <c r="K141" s="112"/>
      <c r="L141" s="112"/>
      <c r="M141" s="112"/>
    </row>
    <row r="142" spans="1:13" x14ac:dyDescent="0.3">
      <c r="A142" s="147" t="str">
        <f ca="1">Prices!$A$141</f>
        <v/>
      </c>
      <c r="B142" s="148" t="str">
        <f ca="1">IFERROR(Prices!B141/Prices!B140-1,"")</f>
        <v/>
      </c>
      <c r="C142" s="148" t="str">
        <f ca="1">IFERROR(Prices!C141/Prices!C140-1,"")</f>
        <v/>
      </c>
      <c r="D142" s="148" t="str">
        <f ca="1">IFERROR(Prices!D141/Prices!D140-1,"")</f>
        <v/>
      </c>
      <c r="E142" s="148" t="str">
        <f ca="1">IFERROR(Prices!E141/Prices!E140-1,"")</f>
        <v/>
      </c>
      <c r="F142" s="148" t="str">
        <f ca="1">IFERROR(Prices!F141/Prices!F140-1,"")</f>
        <v/>
      </c>
      <c r="G142" s="148" t="str">
        <f ca="1">IFERROR(Prices!G141/Prices!G140-1,"")</f>
        <v/>
      </c>
      <c r="H142" s="148" t="str">
        <f ca="1">IFERROR(Prices!H141/Prices!H140-1,"")</f>
        <v/>
      </c>
      <c r="I142" s="149" t="str">
        <f ca="1">IFERROR(Prices!I141/Prices!I140-1,"")</f>
        <v/>
      </c>
      <c r="J142" s="150">
        <f t="shared" ca="1" si="4"/>
        <v>0</v>
      </c>
      <c r="K142" s="112"/>
      <c r="L142" s="112"/>
      <c r="M142" s="112"/>
    </row>
    <row r="143" spans="1:13" x14ac:dyDescent="0.3">
      <c r="A143" s="147" t="str">
        <f ca="1">Prices!$A$142</f>
        <v/>
      </c>
      <c r="B143" s="148" t="str">
        <f ca="1">IFERROR(Prices!B142/Prices!B141-1,"")</f>
        <v/>
      </c>
      <c r="C143" s="148" t="str">
        <f ca="1">IFERROR(Prices!C142/Prices!C141-1,"")</f>
        <v/>
      </c>
      <c r="D143" s="148" t="str">
        <f ca="1">IFERROR(Prices!D142/Prices!D141-1,"")</f>
        <v/>
      </c>
      <c r="E143" s="148" t="str">
        <f ca="1">IFERROR(Prices!E142/Prices!E141-1,"")</f>
        <v/>
      </c>
      <c r="F143" s="148" t="str">
        <f ca="1">IFERROR(Prices!F142/Prices!F141-1,"")</f>
        <v/>
      </c>
      <c r="G143" s="148" t="str">
        <f ca="1">IFERROR(Prices!G142/Prices!G141-1,"")</f>
        <v/>
      </c>
      <c r="H143" s="148" t="str">
        <f ca="1">IFERROR(Prices!H142/Prices!H141-1,"")</f>
        <v/>
      </c>
      <c r="I143" s="149" t="str">
        <f ca="1">IFERROR(Prices!I142/Prices!I141-1,"")</f>
        <v/>
      </c>
      <c r="J143" s="150">
        <f t="shared" ca="1" si="4"/>
        <v>0</v>
      </c>
      <c r="K143" s="112"/>
      <c r="L143" s="112"/>
      <c r="M143" s="112"/>
    </row>
    <row r="144" spans="1:13" x14ac:dyDescent="0.3">
      <c r="A144" s="147" t="str">
        <f ca="1">Prices!$A$143</f>
        <v/>
      </c>
      <c r="B144" s="148" t="str">
        <f ca="1">IFERROR(Prices!B143/Prices!B142-1,"")</f>
        <v/>
      </c>
      <c r="C144" s="148" t="str">
        <f ca="1">IFERROR(Prices!C143/Prices!C142-1,"")</f>
        <v/>
      </c>
      <c r="D144" s="148" t="str">
        <f ca="1">IFERROR(Prices!D143/Prices!D142-1,"")</f>
        <v/>
      </c>
      <c r="E144" s="148" t="str">
        <f ca="1">IFERROR(Prices!E143/Prices!E142-1,"")</f>
        <v/>
      </c>
      <c r="F144" s="148" t="str">
        <f ca="1">IFERROR(Prices!F143/Prices!F142-1,"")</f>
        <v/>
      </c>
      <c r="G144" s="148" t="str">
        <f ca="1">IFERROR(Prices!G143/Prices!G142-1,"")</f>
        <v/>
      </c>
      <c r="H144" s="148" t="str">
        <f ca="1">IFERROR(Prices!H143/Prices!H142-1,"")</f>
        <v/>
      </c>
      <c r="I144" s="149" t="str">
        <f ca="1">IFERROR(Prices!I143/Prices!I142-1,"")</f>
        <v/>
      </c>
      <c r="J144" s="150">
        <f t="shared" ca="1" si="4"/>
        <v>0</v>
      </c>
      <c r="K144" s="112"/>
      <c r="L144" s="112"/>
      <c r="M144" s="112"/>
    </row>
    <row r="145" spans="1:13" x14ac:dyDescent="0.3">
      <c r="A145" s="147" t="str">
        <f ca="1">Prices!$A$144</f>
        <v/>
      </c>
      <c r="B145" s="148" t="str">
        <f ca="1">IFERROR(Prices!B144/Prices!B143-1,"")</f>
        <v/>
      </c>
      <c r="C145" s="148" t="str">
        <f ca="1">IFERROR(Prices!C144/Prices!C143-1,"")</f>
        <v/>
      </c>
      <c r="D145" s="148" t="str">
        <f ca="1">IFERROR(Prices!D144/Prices!D143-1,"")</f>
        <v/>
      </c>
      <c r="E145" s="148" t="str">
        <f ca="1">IFERROR(Prices!E144/Prices!E143-1,"")</f>
        <v/>
      </c>
      <c r="F145" s="148" t="str">
        <f ca="1">IFERROR(Prices!F144/Prices!F143-1,"")</f>
        <v/>
      </c>
      <c r="G145" s="148" t="str">
        <f ca="1">IFERROR(Prices!G144/Prices!G143-1,"")</f>
        <v/>
      </c>
      <c r="H145" s="148" t="str">
        <f ca="1">IFERROR(Prices!H144/Prices!H143-1,"")</f>
        <v/>
      </c>
      <c r="I145" s="149" t="str">
        <f ca="1">IFERROR(Prices!I144/Prices!I143-1,"")</f>
        <v/>
      </c>
      <c r="J145" s="150">
        <f t="shared" ca="1" si="4"/>
        <v>0</v>
      </c>
      <c r="K145" s="112"/>
      <c r="L145" s="112"/>
      <c r="M145" s="112"/>
    </row>
    <row r="146" spans="1:13" x14ac:dyDescent="0.3">
      <c r="A146" s="147" t="str">
        <f ca="1">Prices!$A$145</f>
        <v/>
      </c>
      <c r="B146" s="148" t="str">
        <f ca="1">IFERROR(Prices!B145/Prices!B144-1,"")</f>
        <v/>
      </c>
      <c r="C146" s="148" t="str">
        <f ca="1">IFERROR(Prices!C145/Prices!C144-1,"")</f>
        <v/>
      </c>
      <c r="D146" s="148" t="str">
        <f ca="1">IFERROR(Prices!D145/Prices!D144-1,"")</f>
        <v/>
      </c>
      <c r="E146" s="148" t="str">
        <f ca="1">IFERROR(Prices!E145/Prices!E144-1,"")</f>
        <v/>
      </c>
      <c r="F146" s="148" t="str">
        <f ca="1">IFERROR(Prices!F145/Prices!F144-1,"")</f>
        <v/>
      </c>
      <c r="G146" s="148" t="str">
        <f ca="1">IFERROR(Prices!G145/Prices!G144-1,"")</f>
        <v/>
      </c>
      <c r="H146" s="148" t="str">
        <f ca="1">IFERROR(Prices!H145/Prices!H144-1,"")</f>
        <v/>
      </c>
      <c r="I146" s="149" t="str">
        <f ca="1">IFERROR(Prices!I145/Prices!I144-1,"")</f>
        <v/>
      </c>
      <c r="J146" s="150">
        <f t="shared" ca="1" si="4"/>
        <v>0</v>
      </c>
      <c r="K146" s="112"/>
      <c r="L146" s="112"/>
      <c r="M146" s="112"/>
    </row>
    <row r="147" spans="1:13" x14ac:dyDescent="0.3">
      <c r="A147" s="147" t="str">
        <f ca="1">Prices!$A$146</f>
        <v/>
      </c>
      <c r="B147" s="148" t="str">
        <f ca="1">IFERROR(Prices!B146/Prices!B145-1,"")</f>
        <v/>
      </c>
      <c r="C147" s="148" t="str">
        <f ca="1">IFERROR(Prices!C146/Prices!C145-1,"")</f>
        <v/>
      </c>
      <c r="D147" s="148" t="str">
        <f ca="1">IFERROR(Prices!D146/Prices!D145-1,"")</f>
        <v/>
      </c>
      <c r="E147" s="148" t="str">
        <f ca="1">IFERROR(Prices!E146/Prices!E145-1,"")</f>
        <v/>
      </c>
      <c r="F147" s="148" t="str">
        <f ca="1">IFERROR(Prices!F146/Prices!F145-1,"")</f>
        <v/>
      </c>
      <c r="G147" s="148" t="str">
        <f ca="1">IFERROR(Prices!G146/Prices!G145-1,"")</f>
        <v/>
      </c>
      <c r="H147" s="148" t="str">
        <f ca="1">IFERROR(Prices!H146/Prices!H145-1,"")</f>
        <v/>
      </c>
      <c r="I147" s="149" t="str">
        <f ca="1">IFERROR(Prices!I146/Prices!I145-1,"")</f>
        <v/>
      </c>
      <c r="J147" s="150">
        <f t="shared" ca="1" si="4"/>
        <v>0</v>
      </c>
      <c r="K147" s="112"/>
      <c r="L147" s="112"/>
      <c r="M147" s="112"/>
    </row>
    <row r="148" spans="1:13" x14ac:dyDescent="0.3">
      <c r="A148" s="147" t="str">
        <f ca="1">Prices!$A$147</f>
        <v/>
      </c>
      <c r="B148" s="148" t="str">
        <f ca="1">IFERROR(Prices!B147/Prices!B146-1,"")</f>
        <v/>
      </c>
      <c r="C148" s="148" t="str">
        <f ca="1">IFERROR(Prices!C147/Prices!C146-1,"")</f>
        <v/>
      </c>
      <c r="D148" s="148" t="str">
        <f ca="1">IFERROR(Prices!D147/Prices!D146-1,"")</f>
        <v/>
      </c>
      <c r="E148" s="148" t="str">
        <f ca="1">IFERROR(Prices!E147/Prices!E146-1,"")</f>
        <v/>
      </c>
      <c r="F148" s="148" t="str">
        <f ca="1">IFERROR(Prices!F147/Prices!F146-1,"")</f>
        <v/>
      </c>
      <c r="G148" s="148" t="str">
        <f ca="1">IFERROR(Prices!G147/Prices!G146-1,"")</f>
        <v/>
      </c>
      <c r="H148" s="148" t="str">
        <f ca="1">IFERROR(Prices!H147/Prices!H146-1,"")</f>
        <v/>
      </c>
      <c r="I148" s="149" t="str">
        <f ca="1">IFERROR(Prices!I147/Prices!I146-1,"")</f>
        <v/>
      </c>
      <c r="J148" s="150">
        <f t="shared" ca="1" si="4"/>
        <v>0</v>
      </c>
      <c r="K148" s="112"/>
      <c r="L148" s="112"/>
      <c r="M148" s="112"/>
    </row>
    <row r="149" spans="1:13" x14ac:dyDescent="0.3">
      <c r="A149" s="147" t="str">
        <f ca="1">Prices!$A$148</f>
        <v/>
      </c>
      <c r="B149" s="148" t="str">
        <f ca="1">IFERROR(Prices!B148/Prices!B147-1,"")</f>
        <v/>
      </c>
      <c r="C149" s="148" t="str">
        <f ca="1">IFERROR(Prices!C148/Prices!C147-1,"")</f>
        <v/>
      </c>
      <c r="D149" s="148" t="str">
        <f ca="1">IFERROR(Prices!D148/Prices!D147-1,"")</f>
        <v/>
      </c>
      <c r="E149" s="148" t="str">
        <f ca="1">IFERROR(Prices!E148/Prices!E147-1,"")</f>
        <v/>
      </c>
      <c r="F149" s="148" t="str">
        <f ca="1">IFERROR(Prices!F148/Prices!F147-1,"")</f>
        <v/>
      </c>
      <c r="G149" s="148" t="str">
        <f ca="1">IFERROR(Prices!G148/Prices!G147-1,"")</f>
        <v/>
      </c>
      <c r="H149" s="148" t="str">
        <f ca="1">IFERROR(Prices!H148/Prices!H147-1,"")</f>
        <v/>
      </c>
      <c r="I149" s="149" t="str">
        <f ca="1">IFERROR(Prices!I148/Prices!I147-1,"")</f>
        <v/>
      </c>
      <c r="J149" s="150">
        <f t="shared" ca="1" si="4"/>
        <v>0</v>
      </c>
      <c r="K149" s="112"/>
      <c r="L149" s="112"/>
      <c r="M149" s="112"/>
    </row>
    <row r="150" spans="1:13" x14ac:dyDescent="0.3">
      <c r="A150" s="147" t="str">
        <f ca="1">Prices!$A$149</f>
        <v/>
      </c>
      <c r="B150" s="148" t="str">
        <f ca="1">IFERROR(Prices!B149/Prices!B148-1,"")</f>
        <v/>
      </c>
      <c r="C150" s="148" t="str">
        <f ca="1">IFERROR(Prices!C149/Prices!C148-1,"")</f>
        <v/>
      </c>
      <c r="D150" s="148" t="str">
        <f ca="1">IFERROR(Prices!D149/Prices!D148-1,"")</f>
        <v/>
      </c>
      <c r="E150" s="148" t="str">
        <f ca="1">IFERROR(Prices!E149/Prices!E148-1,"")</f>
        <v/>
      </c>
      <c r="F150" s="148" t="str">
        <f ca="1">IFERROR(Prices!F149/Prices!F148-1,"")</f>
        <v/>
      </c>
      <c r="G150" s="148" t="str">
        <f ca="1">IFERROR(Prices!G149/Prices!G148-1,"")</f>
        <v/>
      </c>
      <c r="H150" s="148" t="str">
        <f ca="1">IFERROR(Prices!H149/Prices!H148-1,"")</f>
        <v/>
      </c>
      <c r="I150" s="149" t="str">
        <f ca="1">IFERROR(Prices!I149/Prices!I148-1,"")</f>
        <v/>
      </c>
      <c r="J150" s="150">
        <f t="shared" ca="1" si="4"/>
        <v>0</v>
      </c>
      <c r="K150" s="112"/>
      <c r="L150" s="112"/>
      <c r="M150" s="112"/>
    </row>
    <row r="151" spans="1:13" x14ac:dyDescent="0.3">
      <c r="A151" s="147" t="str">
        <f ca="1">Prices!$A$150</f>
        <v/>
      </c>
      <c r="B151" s="148" t="str">
        <f ca="1">IFERROR(Prices!B150/Prices!B149-1,"")</f>
        <v/>
      </c>
      <c r="C151" s="148" t="str">
        <f ca="1">IFERROR(Prices!C150/Prices!C149-1,"")</f>
        <v/>
      </c>
      <c r="D151" s="148" t="str">
        <f ca="1">IFERROR(Prices!D150/Prices!D149-1,"")</f>
        <v/>
      </c>
      <c r="E151" s="148" t="str">
        <f ca="1">IFERROR(Prices!E150/Prices!E149-1,"")</f>
        <v/>
      </c>
      <c r="F151" s="148" t="str">
        <f ca="1">IFERROR(Prices!F150/Prices!F149-1,"")</f>
        <v/>
      </c>
      <c r="G151" s="148" t="str">
        <f ca="1">IFERROR(Prices!G150/Prices!G149-1,"")</f>
        <v/>
      </c>
      <c r="H151" s="148" t="str">
        <f ca="1">IFERROR(Prices!H150/Prices!H149-1,"")</f>
        <v/>
      </c>
      <c r="I151" s="149" t="str">
        <f ca="1">IFERROR(Prices!I150/Prices!I149-1,"")</f>
        <v/>
      </c>
      <c r="J151" s="150">
        <f t="shared" ca="1" si="4"/>
        <v>0</v>
      </c>
      <c r="K151" s="112"/>
      <c r="L151" s="112"/>
      <c r="M151" s="112"/>
    </row>
    <row r="152" spans="1:13" x14ac:dyDescent="0.3">
      <c r="A152" s="147" t="str">
        <f ca="1">Prices!$A$151</f>
        <v/>
      </c>
      <c r="B152" s="148" t="str">
        <f ca="1">IFERROR(Prices!B151/Prices!B150-1,"")</f>
        <v/>
      </c>
      <c r="C152" s="148" t="str">
        <f ca="1">IFERROR(Prices!C151/Prices!C150-1,"")</f>
        <v/>
      </c>
      <c r="D152" s="148" t="str">
        <f ca="1">IFERROR(Prices!D151/Prices!D150-1,"")</f>
        <v/>
      </c>
      <c r="E152" s="148" t="str">
        <f ca="1">IFERROR(Prices!E151/Prices!E150-1,"")</f>
        <v/>
      </c>
      <c r="F152" s="148" t="str">
        <f ca="1">IFERROR(Prices!F151/Prices!F150-1,"")</f>
        <v/>
      </c>
      <c r="G152" s="148" t="str">
        <f ca="1">IFERROR(Prices!G151/Prices!G150-1,"")</f>
        <v/>
      </c>
      <c r="H152" s="148" t="str">
        <f ca="1">IFERROR(Prices!H151/Prices!H150-1,"")</f>
        <v/>
      </c>
      <c r="I152" s="149" t="str">
        <f ca="1">IFERROR(Prices!I151/Prices!I150-1,"")</f>
        <v/>
      </c>
      <c r="J152" s="150">
        <f t="shared" ca="1" si="4"/>
        <v>0</v>
      </c>
      <c r="K152" s="112"/>
      <c r="L152" s="112"/>
      <c r="M152" s="112"/>
    </row>
    <row r="153" spans="1:13" x14ac:dyDescent="0.3">
      <c r="A153" s="147" t="str">
        <f ca="1">Prices!$A$152</f>
        <v/>
      </c>
      <c r="B153" s="148" t="str">
        <f ca="1">IFERROR(Prices!B152/Prices!B151-1,"")</f>
        <v/>
      </c>
      <c r="C153" s="148" t="str">
        <f ca="1">IFERROR(Prices!C152/Prices!C151-1,"")</f>
        <v/>
      </c>
      <c r="D153" s="148" t="str">
        <f ca="1">IFERROR(Prices!D152/Prices!D151-1,"")</f>
        <v/>
      </c>
      <c r="E153" s="148" t="str">
        <f ca="1">IFERROR(Prices!E152/Prices!E151-1,"")</f>
        <v/>
      </c>
      <c r="F153" s="148" t="str">
        <f ca="1">IFERROR(Prices!F152/Prices!F151-1,"")</f>
        <v/>
      </c>
      <c r="G153" s="148" t="str">
        <f ca="1">IFERROR(Prices!G152/Prices!G151-1,"")</f>
        <v/>
      </c>
      <c r="H153" s="148" t="str">
        <f ca="1">IFERROR(Prices!H152/Prices!H151-1,"")</f>
        <v/>
      </c>
      <c r="I153" s="149" t="str">
        <f ca="1">IFERROR(Prices!I152/Prices!I151-1,"")</f>
        <v/>
      </c>
      <c r="J153" s="150">
        <f t="shared" ca="1" si="4"/>
        <v>0</v>
      </c>
      <c r="K153" s="112"/>
      <c r="L153" s="112"/>
      <c r="M153" s="112"/>
    </row>
    <row r="154" spans="1:13" x14ac:dyDescent="0.3">
      <c r="A154" s="147" t="str">
        <f ca="1">Prices!$A$153</f>
        <v/>
      </c>
      <c r="B154" s="148" t="str">
        <f ca="1">IFERROR(Prices!B153/Prices!B152-1,"")</f>
        <v/>
      </c>
      <c r="C154" s="148" t="str">
        <f ca="1">IFERROR(Prices!C153/Prices!C152-1,"")</f>
        <v/>
      </c>
      <c r="D154" s="148" t="str">
        <f ca="1">IFERROR(Prices!D153/Prices!D152-1,"")</f>
        <v/>
      </c>
      <c r="E154" s="148" t="str">
        <f ca="1">IFERROR(Prices!E153/Prices!E152-1,"")</f>
        <v/>
      </c>
      <c r="F154" s="148" t="str">
        <f ca="1">IFERROR(Prices!F153/Prices!F152-1,"")</f>
        <v/>
      </c>
      <c r="G154" s="148" t="str">
        <f ca="1">IFERROR(Prices!G153/Prices!G152-1,"")</f>
        <v/>
      </c>
      <c r="H154" s="148" t="str">
        <f ca="1">IFERROR(Prices!H153/Prices!H152-1,"")</f>
        <v/>
      </c>
      <c r="I154" s="149" t="str">
        <f ca="1">IFERROR(Prices!I153/Prices!I152-1,"")</f>
        <v/>
      </c>
      <c r="J154" s="150">
        <f t="shared" ca="1" si="4"/>
        <v>0</v>
      </c>
      <c r="K154" s="112"/>
      <c r="L154" s="112"/>
      <c r="M154" s="112"/>
    </row>
    <row r="155" spans="1:13" x14ac:dyDescent="0.3">
      <c r="A155" s="147" t="str">
        <f ca="1">Prices!$A$154</f>
        <v/>
      </c>
      <c r="B155" s="148" t="str">
        <f ca="1">IFERROR(Prices!B154/Prices!B153-1,"")</f>
        <v/>
      </c>
      <c r="C155" s="148" t="str">
        <f ca="1">IFERROR(Prices!C154/Prices!C153-1,"")</f>
        <v/>
      </c>
      <c r="D155" s="148" t="str">
        <f ca="1">IFERROR(Prices!D154/Prices!D153-1,"")</f>
        <v/>
      </c>
      <c r="E155" s="148" t="str">
        <f ca="1">IFERROR(Prices!E154/Prices!E153-1,"")</f>
        <v/>
      </c>
      <c r="F155" s="148" t="str">
        <f ca="1">IFERROR(Prices!F154/Prices!F153-1,"")</f>
        <v/>
      </c>
      <c r="G155" s="148" t="str">
        <f ca="1">IFERROR(Prices!G154/Prices!G153-1,"")</f>
        <v/>
      </c>
      <c r="H155" s="148" t="str">
        <f ca="1">IFERROR(Prices!H154/Prices!H153-1,"")</f>
        <v/>
      </c>
      <c r="I155" s="149" t="str">
        <f ca="1">IFERROR(Prices!I154/Prices!I153-1,"")</f>
        <v/>
      </c>
      <c r="J155" s="150">
        <f t="shared" ca="1" si="4"/>
        <v>0</v>
      </c>
      <c r="K155" s="112"/>
      <c r="L155" s="112"/>
      <c r="M155" s="112"/>
    </row>
    <row r="156" spans="1:13" x14ac:dyDescent="0.3">
      <c r="A156" s="147" t="str">
        <f ca="1">Prices!$A$155</f>
        <v/>
      </c>
      <c r="B156" s="148" t="str">
        <f ca="1">IFERROR(Prices!B155/Prices!B154-1,"")</f>
        <v/>
      </c>
      <c r="C156" s="148" t="str">
        <f ca="1">IFERROR(Prices!C155/Prices!C154-1,"")</f>
        <v/>
      </c>
      <c r="D156" s="148" t="str">
        <f ca="1">IFERROR(Prices!D155/Prices!D154-1,"")</f>
        <v/>
      </c>
      <c r="E156" s="148" t="str">
        <f ca="1">IFERROR(Prices!E155/Prices!E154-1,"")</f>
        <v/>
      </c>
      <c r="F156" s="148" t="str">
        <f ca="1">IFERROR(Prices!F155/Prices!F154-1,"")</f>
        <v/>
      </c>
      <c r="G156" s="148" t="str">
        <f ca="1">IFERROR(Prices!G155/Prices!G154-1,"")</f>
        <v/>
      </c>
      <c r="H156" s="148" t="str">
        <f ca="1">IFERROR(Prices!H155/Prices!H154-1,"")</f>
        <v/>
      </c>
      <c r="I156" s="149" t="str">
        <f ca="1">IFERROR(Prices!I155/Prices!I154-1,"")</f>
        <v/>
      </c>
      <c r="J156" s="150">
        <f t="shared" ca="1" si="4"/>
        <v>0</v>
      </c>
      <c r="K156" s="112"/>
      <c r="L156" s="112"/>
      <c r="M156" s="112"/>
    </row>
    <row r="157" spans="1:13" x14ac:dyDescent="0.3">
      <c r="A157" s="147" t="str">
        <f ca="1">Prices!$A$156</f>
        <v/>
      </c>
      <c r="B157" s="148" t="str">
        <f ca="1">IFERROR(Prices!B156/Prices!B155-1,"")</f>
        <v/>
      </c>
      <c r="C157" s="148" t="str">
        <f ca="1">IFERROR(Prices!C156/Prices!C155-1,"")</f>
        <v/>
      </c>
      <c r="D157" s="148" t="str">
        <f ca="1">IFERROR(Prices!D156/Prices!D155-1,"")</f>
        <v/>
      </c>
      <c r="E157" s="148" t="str">
        <f ca="1">IFERROR(Prices!E156/Prices!E155-1,"")</f>
        <v/>
      </c>
      <c r="F157" s="148" t="str">
        <f ca="1">IFERROR(Prices!F156/Prices!F155-1,"")</f>
        <v/>
      </c>
      <c r="G157" s="148" t="str">
        <f ca="1">IFERROR(Prices!G156/Prices!G155-1,"")</f>
        <v/>
      </c>
      <c r="H157" s="148" t="str">
        <f ca="1">IFERROR(Prices!H156/Prices!H155-1,"")</f>
        <v/>
      </c>
      <c r="I157" s="149" t="str">
        <f ca="1">IFERROR(Prices!I156/Prices!I155-1,"")</f>
        <v/>
      </c>
      <c r="J157" s="150">
        <f t="shared" ca="1" si="4"/>
        <v>0</v>
      </c>
      <c r="K157" s="112"/>
      <c r="L157" s="112"/>
      <c r="M157" s="112"/>
    </row>
    <row r="158" spans="1:13" x14ac:dyDescent="0.3">
      <c r="A158" s="147" t="str">
        <f ca="1">Prices!$A$157</f>
        <v/>
      </c>
      <c r="B158" s="148" t="str">
        <f ca="1">IFERROR(Prices!B157/Prices!B156-1,"")</f>
        <v/>
      </c>
      <c r="C158" s="148" t="str">
        <f ca="1">IFERROR(Prices!C157/Prices!C156-1,"")</f>
        <v/>
      </c>
      <c r="D158" s="148" t="str">
        <f ca="1">IFERROR(Prices!D157/Prices!D156-1,"")</f>
        <v/>
      </c>
      <c r="E158" s="148" t="str">
        <f ca="1">IFERROR(Prices!E157/Prices!E156-1,"")</f>
        <v/>
      </c>
      <c r="F158" s="148" t="str">
        <f ca="1">IFERROR(Prices!F157/Prices!F156-1,"")</f>
        <v/>
      </c>
      <c r="G158" s="148" t="str">
        <f ca="1">IFERROR(Prices!G157/Prices!G156-1,"")</f>
        <v/>
      </c>
      <c r="H158" s="148" t="str">
        <f ca="1">IFERROR(Prices!H157/Prices!H156-1,"")</f>
        <v/>
      </c>
      <c r="I158" s="149" t="str">
        <f ca="1">IFERROR(Prices!I157/Prices!I156-1,"")</f>
        <v/>
      </c>
      <c r="J158" s="150">
        <f t="shared" ca="1" si="4"/>
        <v>0</v>
      </c>
      <c r="K158" s="112"/>
      <c r="L158" s="112"/>
      <c r="M158" s="112"/>
    </row>
    <row r="159" spans="1:13" x14ac:dyDescent="0.3">
      <c r="A159" s="147" t="str">
        <f ca="1">Prices!$A$158</f>
        <v/>
      </c>
      <c r="B159" s="148" t="str">
        <f ca="1">IFERROR(Prices!B158/Prices!B157-1,"")</f>
        <v/>
      </c>
      <c r="C159" s="148" t="str">
        <f ca="1">IFERROR(Prices!C158/Prices!C157-1,"")</f>
        <v/>
      </c>
      <c r="D159" s="148" t="str">
        <f ca="1">IFERROR(Prices!D158/Prices!D157-1,"")</f>
        <v/>
      </c>
      <c r="E159" s="148" t="str">
        <f ca="1">IFERROR(Prices!E158/Prices!E157-1,"")</f>
        <v/>
      </c>
      <c r="F159" s="148" t="str">
        <f ca="1">IFERROR(Prices!F158/Prices!F157-1,"")</f>
        <v/>
      </c>
      <c r="G159" s="148" t="str">
        <f ca="1">IFERROR(Prices!G158/Prices!G157-1,"")</f>
        <v/>
      </c>
      <c r="H159" s="148" t="str">
        <f ca="1">IFERROR(Prices!H158/Prices!H157-1,"")</f>
        <v/>
      </c>
      <c r="I159" s="149" t="str">
        <f ca="1">IFERROR(Prices!I158/Prices!I157-1,"")</f>
        <v/>
      </c>
      <c r="J159" s="150">
        <f t="shared" ca="1" si="4"/>
        <v>0</v>
      </c>
      <c r="K159" s="112"/>
      <c r="L159" s="112"/>
      <c r="M159" s="112"/>
    </row>
    <row r="160" spans="1:13" x14ac:dyDescent="0.3">
      <c r="A160" s="147" t="str">
        <f ca="1">Prices!$A$159</f>
        <v/>
      </c>
      <c r="B160" s="148" t="str">
        <f ca="1">IFERROR(Prices!B159/Prices!B158-1,"")</f>
        <v/>
      </c>
      <c r="C160" s="148" t="str">
        <f ca="1">IFERROR(Prices!C159/Prices!C158-1,"")</f>
        <v/>
      </c>
      <c r="D160" s="148" t="str">
        <f ca="1">IFERROR(Prices!D159/Prices!D158-1,"")</f>
        <v/>
      </c>
      <c r="E160" s="148" t="str">
        <f ca="1">IFERROR(Prices!E159/Prices!E158-1,"")</f>
        <v/>
      </c>
      <c r="F160" s="148" t="str">
        <f ca="1">IFERROR(Prices!F159/Prices!F158-1,"")</f>
        <v/>
      </c>
      <c r="G160" s="148" t="str">
        <f ca="1">IFERROR(Prices!G159/Prices!G158-1,"")</f>
        <v/>
      </c>
      <c r="H160" s="148" t="str">
        <f ca="1">IFERROR(Prices!H159/Prices!H158-1,"")</f>
        <v/>
      </c>
      <c r="I160" s="149" t="str">
        <f ca="1">IFERROR(Prices!I159/Prices!I158-1,"")</f>
        <v/>
      </c>
      <c r="J160" s="150">
        <f t="shared" ca="1" si="4"/>
        <v>0</v>
      </c>
      <c r="K160" s="112"/>
      <c r="L160" s="112"/>
      <c r="M160" s="112"/>
    </row>
    <row r="161" spans="1:13" x14ac:dyDescent="0.3">
      <c r="A161" s="147" t="str">
        <f ca="1">Prices!$A$160</f>
        <v/>
      </c>
      <c r="B161" s="148" t="str">
        <f ca="1">IFERROR(Prices!B160/Prices!B159-1,"")</f>
        <v/>
      </c>
      <c r="C161" s="148" t="str">
        <f ca="1">IFERROR(Prices!C160/Prices!C159-1,"")</f>
        <v/>
      </c>
      <c r="D161" s="148" t="str">
        <f ca="1">IFERROR(Prices!D160/Prices!D159-1,"")</f>
        <v/>
      </c>
      <c r="E161" s="148" t="str">
        <f ca="1">IFERROR(Prices!E160/Prices!E159-1,"")</f>
        <v/>
      </c>
      <c r="F161" s="148" t="str">
        <f ca="1">IFERROR(Prices!F160/Prices!F159-1,"")</f>
        <v/>
      </c>
      <c r="G161" s="148" t="str">
        <f ca="1">IFERROR(Prices!G160/Prices!G159-1,"")</f>
        <v/>
      </c>
      <c r="H161" s="148" t="str">
        <f ca="1">IFERROR(Prices!H160/Prices!H159-1,"")</f>
        <v/>
      </c>
      <c r="I161" s="149" t="str">
        <f ca="1">IFERROR(Prices!I160/Prices!I159-1,"")</f>
        <v/>
      </c>
      <c r="J161" s="150">
        <f t="shared" ca="1" si="4"/>
        <v>0</v>
      </c>
      <c r="K161" s="112"/>
      <c r="L161" s="112"/>
      <c r="M161" s="112"/>
    </row>
    <row r="162" spans="1:13" x14ac:dyDescent="0.3">
      <c r="A162" s="147" t="str">
        <f ca="1">Prices!$A$161</f>
        <v/>
      </c>
      <c r="B162" s="148" t="str">
        <f ca="1">IFERROR(Prices!B161/Prices!B160-1,"")</f>
        <v/>
      </c>
      <c r="C162" s="148" t="str">
        <f ca="1">IFERROR(Prices!C161/Prices!C160-1,"")</f>
        <v/>
      </c>
      <c r="D162" s="148" t="str">
        <f ca="1">IFERROR(Prices!D161/Prices!D160-1,"")</f>
        <v/>
      </c>
      <c r="E162" s="148" t="str">
        <f ca="1">IFERROR(Prices!E161/Prices!E160-1,"")</f>
        <v/>
      </c>
      <c r="F162" s="148" t="str">
        <f ca="1">IFERROR(Prices!F161/Prices!F160-1,"")</f>
        <v/>
      </c>
      <c r="G162" s="148" t="str">
        <f ca="1">IFERROR(Prices!G161/Prices!G160-1,"")</f>
        <v/>
      </c>
      <c r="H162" s="148" t="str">
        <f ca="1">IFERROR(Prices!H161/Prices!H160-1,"")</f>
        <v/>
      </c>
      <c r="I162" s="149" t="str">
        <f ca="1">IFERROR(Prices!I161/Prices!I160-1,"")</f>
        <v/>
      </c>
      <c r="J162" s="150">
        <f t="shared" ca="1" si="4"/>
        <v>0</v>
      </c>
      <c r="K162" s="112"/>
      <c r="L162" s="112"/>
      <c r="M162" s="112"/>
    </row>
    <row r="163" spans="1:13" x14ac:dyDescent="0.3">
      <c r="A163" s="147" t="str">
        <f ca="1">Prices!$A$162</f>
        <v/>
      </c>
      <c r="B163" s="148" t="str">
        <f ca="1">IFERROR(Prices!B162/Prices!B161-1,"")</f>
        <v/>
      </c>
      <c r="C163" s="148" t="str">
        <f ca="1">IFERROR(Prices!C162/Prices!C161-1,"")</f>
        <v/>
      </c>
      <c r="D163" s="148" t="str">
        <f ca="1">IFERROR(Prices!D162/Prices!D161-1,"")</f>
        <v/>
      </c>
      <c r="E163" s="148" t="str">
        <f ca="1">IFERROR(Prices!E162/Prices!E161-1,"")</f>
        <v/>
      </c>
      <c r="F163" s="148" t="str">
        <f ca="1">IFERROR(Prices!F162/Prices!F161-1,"")</f>
        <v/>
      </c>
      <c r="G163" s="148" t="str">
        <f ca="1">IFERROR(Prices!G162/Prices!G161-1,"")</f>
        <v/>
      </c>
      <c r="H163" s="148" t="str">
        <f ca="1">IFERROR(Prices!H162/Prices!H161-1,"")</f>
        <v/>
      </c>
      <c r="I163" s="149" t="str">
        <f ca="1">IFERROR(Prices!I162/Prices!I161-1,"")</f>
        <v/>
      </c>
      <c r="J163" s="150">
        <f t="shared" ca="1" si="4"/>
        <v>0</v>
      </c>
      <c r="K163" s="112"/>
      <c r="L163" s="112"/>
      <c r="M163" s="112"/>
    </row>
    <row r="164" spans="1:13" x14ac:dyDescent="0.3">
      <c r="A164" s="147" t="str">
        <f ca="1">Prices!$A$163</f>
        <v/>
      </c>
      <c r="B164" s="148" t="str">
        <f ca="1">IFERROR(Prices!B163/Prices!B162-1,"")</f>
        <v/>
      </c>
      <c r="C164" s="148" t="str">
        <f ca="1">IFERROR(Prices!C163/Prices!C162-1,"")</f>
        <v/>
      </c>
      <c r="D164" s="148" t="str">
        <f ca="1">IFERROR(Prices!D163/Prices!D162-1,"")</f>
        <v/>
      </c>
      <c r="E164" s="148" t="str">
        <f ca="1">IFERROR(Prices!E163/Prices!E162-1,"")</f>
        <v/>
      </c>
      <c r="F164" s="148" t="str">
        <f ca="1">IFERROR(Prices!F163/Prices!F162-1,"")</f>
        <v/>
      </c>
      <c r="G164" s="148" t="str">
        <f ca="1">IFERROR(Prices!G163/Prices!G162-1,"")</f>
        <v/>
      </c>
      <c r="H164" s="148" t="str">
        <f ca="1">IFERROR(Prices!H163/Prices!H162-1,"")</f>
        <v/>
      </c>
      <c r="I164" s="149" t="str">
        <f ca="1">IFERROR(Prices!I163/Prices!I162-1,"")</f>
        <v/>
      </c>
      <c r="J164" s="150">
        <f t="shared" ca="1" si="4"/>
        <v>0</v>
      </c>
      <c r="K164" s="112"/>
      <c r="L164" s="112"/>
      <c r="M164" s="112"/>
    </row>
    <row r="165" spans="1:13" x14ac:dyDescent="0.3">
      <c r="A165" s="147" t="str">
        <f ca="1">Prices!$A$164</f>
        <v/>
      </c>
      <c r="B165" s="148" t="str">
        <f ca="1">IFERROR(Prices!B164/Prices!B163-1,"")</f>
        <v/>
      </c>
      <c r="C165" s="148" t="str">
        <f ca="1">IFERROR(Prices!C164/Prices!C163-1,"")</f>
        <v/>
      </c>
      <c r="D165" s="148" t="str">
        <f ca="1">IFERROR(Prices!D164/Prices!D163-1,"")</f>
        <v/>
      </c>
      <c r="E165" s="148" t="str">
        <f ca="1">IFERROR(Prices!E164/Prices!E163-1,"")</f>
        <v/>
      </c>
      <c r="F165" s="148" t="str">
        <f ca="1">IFERROR(Prices!F164/Prices!F163-1,"")</f>
        <v/>
      </c>
      <c r="G165" s="148" t="str">
        <f ca="1">IFERROR(Prices!G164/Prices!G163-1,"")</f>
        <v/>
      </c>
      <c r="H165" s="148" t="str">
        <f ca="1">IFERROR(Prices!H164/Prices!H163-1,"")</f>
        <v/>
      </c>
      <c r="I165" s="149" t="str">
        <f ca="1">IFERROR(Prices!I164/Prices!I163-1,"")</f>
        <v/>
      </c>
      <c r="J165" s="150">
        <f t="shared" ca="1" si="4"/>
        <v>0</v>
      </c>
      <c r="K165" s="112"/>
      <c r="L165" s="112"/>
      <c r="M165" s="112"/>
    </row>
    <row r="166" spans="1:13" x14ac:dyDescent="0.3">
      <c r="A166" s="147" t="str">
        <f ca="1">Prices!$A$165</f>
        <v/>
      </c>
      <c r="B166" s="148" t="str">
        <f ca="1">IFERROR(Prices!B165/Prices!B164-1,"")</f>
        <v/>
      </c>
      <c r="C166" s="148" t="str">
        <f ca="1">IFERROR(Prices!C165/Prices!C164-1,"")</f>
        <v/>
      </c>
      <c r="D166" s="148" t="str">
        <f ca="1">IFERROR(Prices!D165/Prices!D164-1,"")</f>
        <v/>
      </c>
      <c r="E166" s="148" t="str">
        <f ca="1">IFERROR(Prices!E165/Prices!E164-1,"")</f>
        <v/>
      </c>
      <c r="F166" s="148" t="str">
        <f ca="1">IFERROR(Prices!F165/Prices!F164-1,"")</f>
        <v/>
      </c>
      <c r="G166" s="148" t="str">
        <f ca="1">IFERROR(Prices!G165/Prices!G164-1,"")</f>
        <v/>
      </c>
      <c r="H166" s="148" t="str">
        <f ca="1">IFERROR(Prices!H165/Prices!H164-1,"")</f>
        <v/>
      </c>
      <c r="I166" s="149" t="str">
        <f ca="1">IFERROR(Prices!I165/Prices!I164-1,"")</f>
        <v/>
      </c>
      <c r="J166" s="150">
        <f t="shared" ca="1" si="4"/>
        <v>0</v>
      </c>
      <c r="K166" s="112"/>
      <c r="L166" s="112"/>
      <c r="M166" s="112"/>
    </row>
    <row r="167" spans="1:13" x14ac:dyDescent="0.3">
      <c r="A167" s="147" t="str">
        <f ca="1">Prices!$A$166</f>
        <v/>
      </c>
      <c r="B167" s="148" t="str">
        <f ca="1">IFERROR(Prices!B166/Prices!B165-1,"")</f>
        <v/>
      </c>
      <c r="C167" s="148" t="str">
        <f ca="1">IFERROR(Prices!C166/Prices!C165-1,"")</f>
        <v/>
      </c>
      <c r="D167" s="148" t="str">
        <f ca="1">IFERROR(Prices!D166/Prices!D165-1,"")</f>
        <v/>
      </c>
      <c r="E167" s="148" t="str">
        <f ca="1">IFERROR(Prices!E166/Prices!E165-1,"")</f>
        <v/>
      </c>
      <c r="F167" s="148" t="str">
        <f ca="1">IFERROR(Prices!F166/Prices!F165-1,"")</f>
        <v/>
      </c>
      <c r="G167" s="148" t="str">
        <f ca="1">IFERROR(Prices!G166/Prices!G165-1,"")</f>
        <v/>
      </c>
      <c r="H167" s="148" t="str">
        <f ca="1">IFERROR(Prices!H166/Prices!H165-1,"")</f>
        <v/>
      </c>
      <c r="I167" s="149" t="str">
        <f ca="1">IFERROR(Prices!I166/Prices!I165-1,"")</f>
        <v/>
      </c>
      <c r="J167" s="150">
        <f t="shared" ca="1" si="4"/>
        <v>0</v>
      </c>
      <c r="K167" s="112"/>
      <c r="L167" s="112"/>
      <c r="M167" s="112"/>
    </row>
    <row r="168" spans="1:13" x14ac:dyDescent="0.3">
      <c r="A168" s="147" t="str">
        <f ca="1">Prices!$A$167</f>
        <v/>
      </c>
      <c r="B168" s="148" t="str">
        <f ca="1">IFERROR(Prices!B167/Prices!B166-1,"")</f>
        <v/>
      </c>
      <c r="C168" s="148" t="str">
        <f ca="1">IFERROR(Prices!C167/Prices!C166-1,"")</f>
        <v/>
      </c>
      <c r="D168" s="148" t="str">
        <f ca="1">IFERROR(Prices!D167/Prices!D166-1,"")</f>
        <v/>
      </c>
      <c r="E168" s="148" t="str">
        <f ca="1">IFERROR(Prices!E167/Prices!E166-1,"")</f>
        <v/>
      </c>
      <c r="F168" s="148" t="str">
        <f ca="1">IFERROR(Prices!F167/Prices!F166-1,"")</f>
        <v/>
      </c>
      <c r="G168" s="148" t="str">
        <f ca="1">IFERROR(Prices!G167/Prices!G166-1,"")</f>
        <v/>
      </c>
      <c r="H168" s="148" t="str">
        <f ca="1">IFERROR(Prices!H167/Prices!H166-1,"")</f>
        <v/>
      </c>
      <c r="I168" s="149" t="str">
        <f ca="1">IFERROR(Prices!I167/Prices!I166-1,"")</f>
        <v/>
      </c>
      <c r="J168" s="150">
        <f t="shared" ca="1" si="4"/>
        <v>0</v>
      </c>
      <c r="K168" s="112"/>
      <c r="L168" s="112"/>
      <c r="M168" s="112"/>
    </row>
    <row r="169" spans="1:13" x14ac:dyDescent="0.3">
      <c r="A169" s="147" t="str">
        <f ca="1">Prices!$A$168</f>
        <v/>
      </c>
      <c r="B169" s="148" t="str">
        <f ca="1">IFERROR(Prices!B168/Prices!B167-1,"")</f>
        <v/>
      </c>
      <c r="C169" s="148" t="str">
        <f ca="1">IFERROR(Prices!C168/Prices!C167-1,"")</f>
        <v/>
      </c>
      <c r="D169" s="148" t="str">
        <f ca="1">IFERROR(Prices!D168/Prices!D167-1,"")</f>
        <v/>
      </c>
      <c r="E169" s="148" t="str">
        <f ca="1">IFERROR(Prices!E168/Prices!E167-1,"")</f>
        <v/>
      </c>
      <c r="F169" s="148" t="str">
        <f ca="1">IFERROR(Prices!F168/Prices!F167-1,"")</f>
        <v/>
      </c>
      <c r="G169" s="148" t="str">
        <f ca="1">IFERROR(Prices!G168/Prices!G167-1,"")</f>
        <v/>
      </c>
      <c r="H169" s="148" t="str">
        <f ca="1">IFERROR(Prices!H168/Prices!H167-1,"")</f>
        <v/>
      </c>
      <c r="I169" s="149" t="str">
        <f ca="1">IFERROR(Prices!I168/Prices!I167-1,"")</f>
        <v/>
      </c>
      <c r="J169" s="150">
        <f t="shared" ca="1" si="4"/>
        <v>0</v>
      </c>
      <c r="K169" s="112"/>
      <c r="L169" s="112"/>
      <c r="M169" s="112"/>
    </row>
    <row r="170" spans="1:13" x14ac:dyDescent="0.3">
      <c r="A170" s="147" t="str">
        <f ca="1">Prices!$A$169</f>
        <v/>
      </c>
      <c r="B170" s="148" t="str">
        <f ca="1">IFERROR(Prices!B169/Prices!B168-1,"")</f>
        <v/>
      </c>
      <c r="C170" s="148" t="str">
        <f ca="1">IFERROR(Prices!C169/Prices!C168-1,"")</f>
        <v/>
      </c>
      <c r="D170" s="148" t="str">
        <f ca="1">IFERROR(Prices!D169/Prices!D168-1,"")</f>
        <v/>
      </c>
      <c r="E170" s="148" t="str">
        <f ca="1">IFERROR(Prices!E169/Prices!E168-1,"")</f>
        <v/>
      </c>
      <c r="F170" s="148" t="str">
        <f ca="1">IFERROR(Prices!F169/Prices!F168-1,"")</f>
        <v/>
      </c>
      <c r="G170" s="148" t="str">
        <f ca="1">IFERROR(Prices!G169/Prices!G168-1,"")</f>
        <v/>
      </c>
      <c r="H170" s="148" t="str">
        <f ca="1">IFERROR(Prices!H169/Prices!H168-1,"")</f>
        <v/>
      </c>
      <c r="I170" s="149" t="str">
        <f ca="1">IFERROR(Prices!I169/Prices!I168-1,"")</f>
        <v/>
      </c>
      <c r="J170" s="150">
        <f t="shared" ca="1" si="4"/>
        <v>0</v>
      </c>
      <c r="K170" s="112"/>
      <c r="L170" s="112"/>
      <c r="M170" s="112"/>
    </row>
    <row r="171" spans="1:13" x14ac:dyDescent="0.3">
      <c r="A171" s="147" t="str">
        <f ca="1">Prices!$A$170</f>
        <v/>
      </c>
      <c r="B171" s="148" t="str">
        <f ca="1">IFERROR(Prices!B170/Prices!B169-1,"")</f>
        <v/>
      </c>
      <c r="C171" s="148" t="str">
        <f ca="1">IFERROR(Prices!C170/Prices!C169-1,"")</f>
        <v/>
      </c>
      <c r="D171" s="148" t="str">
        <f ca="1">IFERROR(Prices!D170/Prices!D169-1,"")</f>
        <v/>
      </c>
      <c r="E171" s="148" t="str">
        <f ca="1">IFERROR(Prices!E170/Prices!E169-1,"")</f>
        <v/>
      </c>
      <c r="F171" s="148" t="str">
        <f ca="1">IFERROR(Prices!F170/Prices!F169-1,"")</f>
        <v/>
      </c>
      <c r="G171" s="148" t="str">
        <f ca="1">IFERROR(Prices!G170/Prices!G169-1,"")</f>
        <v/>
      </c>
      <c r="H171" s="148" t="str">
        <f ca="1">IFERROR(Prices!H170/Prices!H169-1,"")</f>
        <v/>
      </c>
      <c r="I171" s="149" t="str">
        <f ca="1">IFERROR(Prices!I170/Prices!I169-1,"")</f>
        <v/>
      </c>
      <c r="J171" s="150">
        <f t="shared" ca="1" si="4"/>
        <v>0</v>
      </c>
      <c r="K171" s="112"/>
      <c r="L171" s="112"/>
      <c r="M171" s="112"/>
    </row>
    <row r="172" spans="1:13" x14ac:dyDescent="0.3">
      <c r="A172" s="147" t="str">
        <f ca="1">Prices!$A$171</f>
        <v/>
      </c>
      <c r="B172" s="148" t="str">
        <f ca="1">IFERROR(Prices!B171/Prices!B170-1,"")</f>
        <v/>
      </c>
      <c r="C172" s="148" t="str">
        <f ca="1">IFERROR(Prices!C171/Prices!C170-1,"")</f>
        <v/>
      </c>
      <c r="D172" s="148" t="str">
        <f ca="1">IFERROR(Prices!D171/Prices!D170-1,"")</f>
        <v/>
      </c>
      <c r="E172" s="148" t="str">
        <f ca="1">IFERROR(Prices!E171/Prices!E170-1,"")</f>
        <v/>
      </c>
      <c r="F172" s="148" t="str">
        <f ca="1">IFERROR(Prices!F171/Prices!F170-1,"")</f>
        <v/>
      </c>
      <c r="G172" s="148" t="str">
        <f ca="1">IFERROR(Prices!G171/Prices!G170-1,"")</f>
        <v/>
      </c>
      <c r="H172" s="148" t="str">
        <f ca="1">IFERROR(Prices!H171/Prices!H170-1,"")</f>
        <v/>
      </c>
      <c r="I172" s="149" t="str">
        <f ca="1">IFERROR(Prices!I171/Prices!I170-1,"")</f>
        <v/>
      </c>
      <c r="J172" s="150">
        <f t="shared" ca="1" si="4"/>
        <v>0</v>
      </c>
      <c r="K172" s="112"/>
      <c r="L172" s="112"/>
      <c r="M172" s="112"/>
    </row>
    <row r="173" spans="1:13" x14ac:dyDescent="0.3">
      <c r="A173" s="147" t="str">
        <f ca="1">Prices!$A$172</f>
        <v/>
      </c>
      <c r="B173" s="148" t="str">
        <f ca="1">IFERROR(Prices!B172/Prices!B171-1,"")</f>
        <v/>
      </c>
      <c r="C173" s="148" t="str">
        <f ca="1">IFERROR(Prices!C172/Prices!C171-1,"")</f>
        <v/>
      </c>
      <c r="D173" s="148" t="str">
        <f ca="1">IFERROR(Prices!D172/Prices!D171-1,"")</f>
        <v/>
      </c>
      <c r="E173" s="148" t="str">
        <f ca="1">IFERROR(Prices!E172/Prices!E171-1,"")</f>
        <v/>
      </c>
      <c r="F173" s="148" t="str">
        <f ca="1">IFERROR(Prices!F172/Prices!F171-1,"")</f>
        <v/>
      </c>
      <c r="G173" s="148" t="str">
        <f ca="1">IFERROR(Prices!G172/Prices!G171-1,"")</f>
        <v/>
      </c>
      <c r="H173" s="148" t="str">
        <f ca="1">IFERROR(Prices!H172/Prices!H171-1,"")</f>
        <v/>
      </c>
      <c r="I173" s="149" t="str">
        <f ca="1">IFERROR(Prices!I172/Prices!I171-1,"")</f>
        <v/>
      </c>
      <c r="J173" s="150">
        <f t="shared" ca="1" si="4"/>
        <v>0</v>
      </c>
      <c r="K173" s="112"/>
      <c r="L173" s="112"/>
      <c r="M173" s="112"/>
    </row>
    <row r="174" spans="1:13" x14ac:dyDescent="0.3">
      <c r="A174" s="147" t="str">
        <f ca="1">Prices!$A$173</f>
        <v/>
      </c>
      <c r="B174" s="148" t="str">
        <f ca="1">IFERROR(Prices!B173/Prices!B172-1,"")</f>
        <v/>
      </c>
      <c r="C174" s="148" t="str">
        <f ca="1">IFERROR(Prices!C173/Prices!C172-1,"")</f>
        <v/>
      </c>
      <c r="D174" s="148" t="str">
        <f ca="1">IFERROR(Prices!D173/Prices!D172-1,"")</f>
        <v/>
      </c>
      <c r="E174" s="148" t="str">
        <f ca="1">IFERROR(Prices!E173/Prices!E172-1,"")</f>
        <v/>
      </c>
      <c r="F174" s="148" t="str">
        <f ca="1">IFERROR(Prices!F173/Prices!F172-1,"")</f>
        <v/>
      </c>
      <c r="G174" s="148" t="str">
        <f ca="1">IFERROR(Prices!G173/Prices!G172-1,"")</f>
        <v/>
      </c>
      <c r="H174" s="148" t="str">
        <f ca="1">IFERROR(Prices!H173/Prices!H172-1,"")</f>
        <v/>
      </c>
      <c r="I174" s="149" t="str">
        <f ca="1">IFERROR(Prices!I173/Prices!I172-1,"")</f>
        <v/>
      </c>
      <c r="J174" s="150">
        <f t="shared" ca="1" si="4"/>
        <v>0</v>
      </c>
      <c r="K174" s="112"/>
      <c r="L174" s="112"/>
      <c r="M174" s="112"/>
    </row>
    <row r="175" spans="1:13" x14ac:dyDescent="0.3">
      <c r="A175" s="147" t="str">
        <f ca="1">Prices!$A$174</f>
        <v/>
      </c>
      <c r="B175" s="148" t="str">
        <f ca="1">IFERROR(Prices!B174/Prices!B173-1,"")</f>
        <v/>
      </c>
      <c r="C175" s="148" t="str">
        <f ca="1">IFERROR(Prices!C174/Prices!C173-1,"")</f>
        <v/>
      </c>
      <c r="D175" s="148" t="str">
        <f ca="1">IFERROR(Prices!D174/Prices!D173-1,"")</f>
        <v/>
      </c>
      <c r="E175" s="148" t="str">
        <f ca="1">IFERROR(Prices!E174/Prices!E173-1,"")</f>
        <v/>
      </c>
      <c r="F175" s="148" t="str">
        <f ca="1">IFERROR(Prices!F174/Prices!F173-1,"")</f>
        <v/>
      </c>
      <c r="G175" s="148" t="str">
        <f ca="1">IFERROR(Prices!G174/Prices!G173-1,"")</f>
        <v/>
      </c>
      <c r="H175" s="148" t="str">
        <f ca="1">IFERROR(Prices!H174/Prices!H173-1,"")</f>
        <v/>
      </c>
      <c r="I175" s="149" t="str">
        <f ca="1">IFERROR(Prices!I174/Prices!I173-1,"")</f>
        <v/>
      </c>
      <c r="J175" s="150">
        <f t="shared" ca="1" si="4"/>
        <v>0</v>
      </c>
      <c r="K175" s="112"/>
      <c r="L175" s="112"/>
      <c r="M175" s="112"/>
    </row>
    <row r="176" spans="1:13" x14ac:dyDescent="0.3">
      <c r="A176" s="147" t="str">
        <f ca="1">Prices!$A$175</f>
        <v/>
      </c>
      <c r="B176" s="148" t="str">
        <f ca="1">IFERROR(Prices!B175/Prices!B174-1,"")</f>
        <v/>
      </c>
      <c r="C176" s="148" t="str">
        <f ca="1">IFERROR(Prices!C175/Prices!C174-1,"")</f>
        <v/>
      </c>
      <c r="D176" s="148" t="str">
        <f ca="1">IFERROR(Prices!D175/Prices!D174-1,"")</f>
        <v/>
      </c>
      <c r="E176" s="148" t="str">
        <f ca="1">IFERROR(Prices!E175/Prices!E174-1,"")</f>
        <v/>
      </c>
      <c r="F176" s="148" t="str">
        <f ca="1">IFERROR(Prices!F175/Prices!F174-1,"")</f>
        <v/>
      </c>
      <c r="G176" s="148" t="str">
        <f ca="1">IFERROR(Prices!G175/Prices!G174-1,"")</f>
        <v/>
      </c>
      <c r="H176" s="148" t="str">
        <f ca="1">IFERROR(Prices!H175/Prices!H174-1,"")</f>
        <v/>
      </c>
      <c r="I176" s="149" t="str">
        <f ca="1">IFERROR(Prices!I175/Prices!I174-1,"")</f>
        <v/>
      </c>
      <c r="J176" s="150">
        <f t="shared" ca="1" si="4"/>
        <v>0</v>
      </c>
      <c r="K176" s="112"/>
      <c r="L176" s="112"/>
      <c r="M176" s="112"/>
    </row>
    <row r="177" spans="1:13" x14ac:dyDescent="0.3">
      <c r="A177" s="147" t="str">
        <f ca="1">Prices!$A$176</f>
        <v/>
      </c>
      <c r="B177" s="148" t="str">
        <f ca="1">IFERROR(Prices!B176/Prices!B175-1,"")</f>
        <v/>
      </c>
      <c r="C177" s="148" t="str">
        <f ca="1">IFERROR(Prices!C176/Prices!C175-1,"")</f>
        <v/>
      </c>
      <c r="D177" s="148" t="str">
        <f ca="1">IFERROR(Prices!D176/Prices!D175-1,"")</f>
        <v/>
      </c>
      <c r="E177" s="148" t="str">
        <f ca="1">IFERROR(Prices!E176/Prices!E175-1,"")</f>
        <v/>
      </c>
      <c r="F177" s="148" t="str">
        <f ca="1">IFERROR(Prices!F176/Prices!F175-1,"")</f>
        <v/>
      </c>
      <c r="G177" s="148" t="str">
        <f ca="1">IFERROR(Prices!G176/Prices!G175-1,"")</f>
        <v/>
      </c>
      <c r="H177" s="148" t="str">
        <f ca="1">IFERROR(Prices!H176/Prices!H175-1,"")</f>
        <v/>
      </c>
      <c r="I177" s="149" t="str">
        <f ca="1">IFERROR(Prices!I176/Prices!I175-1,"")</f>
        <v/>
      </c>
      <c r="J177" s="150">
        <f t="shared" ca="1" si="4"/>
        <v>0</v>
      </c>
      <c r="K177" s="112"/>
      <c r="L177" s="112"/>
      <c r="M177" s="112"/>
    </row>
    <row r="178" spans="1:13" x14ac:dyDescent="0.3">
      <c r="A178" s="147" t="str">
        <f ca="1">Prices!$A$177</f>
        <v/>
      </c>
      <c r="B178" s="148" t="str">
        <f ca="1">IFERROR(Prices!B177/Prices!B176-1,"")</f>
        <v/>
      </c>
      <c r="C178" s="148" t="str">
        <f ca="1">IFERROR(Prices!C177/Prices!C176-1,"")</f>
        <v/>
      </c>
      <c r="D178" s="148" t="str">
        <f ca="1">IFERROR(Prices!D177/Prices!D176-1,"")</f>
        <v/>
      </c>
      <c r="E178" s="148" t="str">
        <f ca="1">IFERROR(Prices!E177/Prices!E176-1,"")</f>
        <v/>
      </c>
      <c r="F178" s="148" t="str">
        <f ca="1">IFERROR(Prices!F177/Prices!F176-1,"")</f>
        <v/>
      </c>
      <c r="G178" s="148" t="str">
        <f ca="1">IFERROR(Prices!G177/Prices!G176-1,"")</f>
        <v/>
      </c>
      <c r="H178" s="148" t="str">
        <f ca="1">IFERROR(Prices!H177/Prices!H176-1,"")</f>
        <v/>
      </c>
      <c r="I178" s="149" t="str">
        <f ca="1">IFERROR(Prices!I177/Prices!I176-1,"")</f>
        <v/>
      </c>
      <c r="J178" s="150">
        <f t="shared" ca="1" si="4"/>
        <v>0</v>
      </c>
      <c r="K178" s="112"/>
      <c r="L178" s="112"/>
      <c r="M178" s="112"/>
    </row>
    <row r="179" spans="1:13" x14ac:dyDescent="0.3">
      <c r="A179" s="147" t="str">
        <f ca="1">Prices!$A$178</f>
        <v/>
      </c>
      <c r="B179" s="148" t="str">
        <f ca="1">IFERROR(Prices!B178/Prices!B177-1,"")</f>
        <v/>
      </c>
      <c r="C179" s="148" t="str">
        <f ca="1">IFERROR(Prices!C178/Prices!C177-1,"")</f>
        <v/>
      </c>
      <c r="D179" s="148" t="str">
        <f ca="1">IFERROR(Prices!D178/Prices!D177-1,"")</f>
        <v/>
      </c>
      <c r="E179" s="148" t="str">
        <f ca="1">IFERROR(Prices!E178/Prices!E177-1,"")</f>
        <v/>
      </c>
      <c r="F179" s="148" t="str">
        <f ca="1">IFERROR(Prices!F178/Prices!F177-1,"")</f>
        <v/>
      </c>
      <c r="G179" s="148" t="str">
        <f ca="1">IFERROR(Prices!G178/Prices!G177-1,"")</f>
        <v/>
      </c>
      <c r="H179" s="148" t="str">
        <f ca="1">IFERROR(Prices!H178/Prices!H177-1,"")</f>
        <v/>
      </c>
      <c r="I179" s="149" t="str">
        <f ca="1">IFERROR(Prices!I178/Prices!I177-1,"")</f>
        <v/>
      </c>
      <c r="J179" s="150">
        <f t="shared" ca="1" si="4"/>
        <v>0</v>
      </c>
      <c r="K179" s="112"/>
      <c r="L179" s="112"/>
      <c r="M179" s="112"/>
    </row>
    <row r="180" spans="1:13" x14ac:dyDescent="0.3">
      <c r="A180" s="147" t="str">
        <f ca="1">Prices!$A$179</f>
        <v/>
      </c>
      <c r="B180" s="148" t="str">
        <f ca="1">IFERROR(Prices!B179/Prices!B178-1,"")</f>
        <v/>
      </c>
      <c r="C180" s="148" t="str">
        <f ca="1">IFERROR(Prices!C179/Prices!C178-1,"")</f>
        <v/>
      </c>
      <c r="D180" s="148" t="str">
        <f ca="1">IFERROR(Prices!D179/Prices!D178-1,"")</f>
        <v/>
      </c>
      <c r="E180" s="148" t="str">
        <f ca="1">IFERROR(Prices!E179/Prices!E178-1,"")</f>
        <v/>
      </c>
      <c r="F180" s="148" t="str">
        <f ca="1">IFERROR(Prices!F179/Prices!F178-1,"")</f>
        <v/>
      </c>
      <c r="G180" s="148" t="str">
        <f ca="1">IFERROR(Prices!G179/Prices!G178-1,"")</f>
        <v/>
      </c>
      <c r="H180" s="148" t="str">
        <f ca="1">IFERROR(Prices!H179/Prices!H178-1,"")</f>
        <v/>
      </c>
      <c r="I180" s="149" t="str">
        <f ca="1">IFERROR(Prices!I179/Prices!I178-1,"")</f>
        <v/>
      </c>
      <c r="J180" s="150">
        <f t="shared" ca="1" si="4"/>
        <v>0</v>
      </c>
      <c r="K180" s="112"/>
      <c r="L180" s="112"/>
      <c r="M180" s="112"/>
    </row>
    <row r="181" spans="1:13" x14ac:dyDescent="0.3">
      <c r="A181" s="147" t="str">
        <f ca="1">Prices!$A$180</f>
        <v/>
      </c>
      <c r="B181" s="148" t="str">
        <f ca="1">IFERROR(Prices!B180/Prices!B179-1,"")</f>
        <v/>
      </c>
      <c r="C181" s="148" t="str">
        <f ca="1">IFERROR(Prices!C180/Prices!C179-1,"")</f>
        <v/>
      </c>
      <c r="D181" s="148" t="str">
        <f ca="1">IFERROR(Prices!D180/Prices!D179-1,"")</f>
        <v/>
      </c>
      <c r="E181" s="148" t="str">
        <f ca="1">IFERROR(Prices!E180/Prices!E179-1,"")</f>
        <v/>
      </c>
      <c r="F181" s="148" t="str">
        <f ca="1">IFERROR(Prices!F180/Prices!F179-1,"")</f>
        <v/>
      </c>
      <c r="G181" s="148" t="str">
        <f ca="1">IFERROR(Prices!G180/Prices!G179-1,"")</f>
        <v/>
      </c>
      <c r="H181" s="148" t="str">
        <f ca="1">IFERROR(Prices!H180/Prices!H179-1,"")</f>
        <v/>
      </c>
      <c r="I181" s="149" t="str">
        <f ca="1">IFERROR(Prices!I180/Prices!I179-1,"")</f>
        <v/>
      </c>
      <c r="J181" s="150">
        <f t="shared" ca="1" si="4"/>
        <v>0</v>
      </c>
      <c r="K181" s="112"/>
      <c r="L181" s="112"/>
      <c r="M181" s="112"/>
    </row>
    <row r="182" spans="1:13" x14ac:dyDescent="0.3">
      <c r="A182" s="147" t="str">
        <f ca="1">Prices!$A$181</f>
        <v/>
      </c>
      <c r="B182" s="148" t="str">
        <f ca="1">IFERROR(Prices!B181/Prices!B180-1,"")</f>
        <v/>
      </c>
      <c r="C182" s="148" t="str">
        <f ca="1">IFERROR(Prices!C181/Prices!C180-1,"")</f>
        <v/>
      </c>
      <c r="D182" s="148" t="str">
        <f ca="1">IFERROR(Prices!D181/Prices!D180-1,"")</f>
        <v/>
      </c>
      <c r="E182" s="148" t="str">
        <f ca="1">IFERROR(Prices!E181/Prices!E180-1,"")</f>
        <v/>
      </c>
      <c r="F182" s="148" t="str">
        <f ca="1">IFERROR(Prices!F181/Prices!F180-1,"")</f>
        <v/>
      </c>
      <c r="G182" s="148" t="str">
        <f ca="1">IFERROR(Prices!G181/Prices!G180-1,"")</f>
        <v/>
      </c>
      <c r="H182" s="148" t="str">
        <f ca="1">IFERROR(Prices!H181/Prices!H180-1,"")</f>
        <v/>
      </c>
      <c r="I182" s="149" t="str">
        <f ca="1">IFERROR(Prices!I181/Prices!I180-1,"")</f>
        <v/>
      </c>
      <c r="J182" s="150">
        <f t="shared" ca="1" si="4"/>
        <v>0</v>
      </c>
      <c r="K182" s="112"/>
      <c r="L182" s="112"/>
      <c r="M182" s="112"/>
    </row>
    <row r="183" spans="1:13" x14ac:dyDescent="0.3">
      <c r="A183" s="147" t="str">
        <f ca="1">Prices!$A$182</f>
        <v/>
      </c>
      <c r="B183" s="148" t="str">
        <f ca="1">IFERROR(Prices!B182/Prices!B181-1,"")</f>
        <v/>
      </c>
      <c r="C183" s="148" t="str">
        <f ca="1">IFERROR(Prices!C182/Prices!C181-1,"")</f>
        <v/>
      </c>
      <c r="D183" s="148" t="str">
        <f ca="1">IFERROR(Prices!D182/Prices!D181-1,"")</f>
        <v/>
      </c>
      <c r="E183" s="148" t="str">
        <f ca="1">IFERROR(Prices!E182/Prices!E181-1,"")</f>
        <v/>
      </c>
      <c r="F183" s="148" t="str">
        <f ca="1">IFERROR(Prices!F182/Prices!F181-1,"")</f>
        <v/>
      </c>
      <c r="G183" s="148" t="str">
        <f ca="1">IFERROR(Prices!G182/Prices!G181-1,"")</f>
        <v/>
      </c>
      <c r="H183" s="148" t="str">
        <f ca="1">IFERROR(Prices!H182/Prices!H181-1,"")</f>
        <v/>
      </c>
      <c r="I183" s="149" t="str">
        <f ca="1">IFERROR(Prices!I182/Prices!I181-1,"")</f>
        <v/>
      </c>
      <c r="J183" s="150">
        <f t="shared" ca="1" si="4"/>
        <v>0</v>
      </c>
      <c r="K183" s="112"/>
      <c r="L183" s="112"/>
      <c r="M183" s="112"/>
    </row>
    <row r="184" spans="1:13" x14ac:dyDescent="0.3">
      <c r="A184" s="147" t="str">
        <f ca="1">Prices!$A$183</f>
        <v/>
      </c>
      <c r="B184" s="148" t="str">
        <f ca="1">IFERROR(Prices!B183/Prices!B182-1,"")</f>
        <v/>
      </c>
      <c r="C184" s="148" t="str">
        <f ca="1">IFERROR(Prices!C183/Prices!C182-1,"")</f>
        <v/>
      </c>
      <c r="D184" s="148" t="str">
        <f ca="1">IFERROR(Prices!D183/Prices!D182-1,"")</f>
        <v/>
      </c>
      <c r="E184" s="148" t="str">
        <f ca="1">IFERROR(Prices!E183/Prices!E182-1,"")</f>
        <v/>
      </c>
      <c r="F184" s="148" t="str">
        <f ca="1">IFERROR(Prices!F183/Prices!F182-1,"")</f>
        <v/>
      </c>
      <c r="G184" s="148" t="str">
        <f ca="1">IFERROR(Prices!G183/Prices!G182-1,"")</f>
        <v/>
      </c>
      <c r="H184" s="148" t="str">
        <f ca="1">IFERROR(Prices!H183/Prices!H182-1,"")</f>
        <v/>
      </c>
      <c r="I184" s="149" t="str">
        <f ca="1">IFERROR(Prices!I183/Prices!I182-1,"")</f>
        <v/>
      </c>
      <c r="J184" s="150">
        <f t="shared" ca="1" si="4"/>
        <v>0</v>
      </c>
      <c r="K184" s="112"/>
      <c r="L184" s="112"/>
      <c r="M184" s="112"/>
    </row>
    <row r="185" spans="1:13" x14ac:dyDescent="0.3">
      <c r="A185" s="147" t="str">
        <f ca="1">Prices!$A$184</f>
        <v/>
      </c>
      <c r="B185" s="148" t="str">
        <f ca="1">IFERROR(Prices!B184/Prices!B183-1,"")</f>
        <v/>
      </c>
      <c r="C185" s="148" t="str">
        <f ca="1">IFERROR(Prices!C184/Prices!C183-1,"")</f>
        <v/>
      </c>
      <c r="D185" s="148" t="str">
        <f ca="1">IFERROR(Prices!D184/Prices!D183-1,"")</f>
        <v/>
      </c>
      <c r="E185" s="148" t="str">
        <f ca="1">IFERROR(Prices!E184/Prices!E183-1,"")</f>
        <v/>
      </c>
      <c r="F185" s="148" t="str">
        <f ca="1">IFERROR(Prices!F184/Prices!F183-1,"")</f>
        <v/>
      </c>
      <c r="G185" s="148" t="str">
        <f ca="1">IFERROR(Prices!G184/Prices!G183-1,"")</f>
        <v/>
      </c>
      <c r="H185" s="148" t="str">
        <f ca="1">IFERROR(Prices!H184/Prices!H183-1,"")</f>
        <v/>
      </c>
      <c r="I185" s="149" t="str">
        <f ca="1">IFERROR(Prices!I184/Prices!I183-1,"")</f>
        <v/>
      </c>
      <c r="J185" s="150">
        <f t="shared" ca="1" si="4"/>
        <v>0</v>
      </c>
      <c r="K185" s="112"/>
      <c r="L185" s="112"/>
      <c r="M185" s="112"/>
    </row>
    <row r="186" spans="1:13" x14ac:dyDescent="0.3">
      <c r="A186" s="147" t="str">
        <f ca="1">Prices!$A$185</f>
        <v/>
      </c>
      <c r="B186" s="148" t="str">
        <f ca="1">IFERROR(Prices!B185/Prices!B184-1,"")</f>
        <v/>
      </c>
      <c r="C186" s="148" t="str">
        <f ca="1">IFERROR(Prices!C185/Prices!C184-1,"")</f>
        <v/>
      </c>
      <c r="D186" s="148" t="str">
        <f ca="1">IFERROR(Prices!D185/Prices!D184-1,"")</f>
        <v/>
      </c>
      <c r="E186" s="148" t="str">
        <f ca="1">IFERROR(Prices!E185/Prices!E184-1,"")</f>
        <v/>
      </c>
      <c r="F186" s="148" t="str">
        <f ca="1">IFERROR(Prices!F185/Prices!F184-1,"")</f>
        <v/>
      </c>
      <c r="G186" s="148" t="str">
        <f ca="1">IFERROR(Prices!G185/Prices!G184-1,"")</f>
        <v/>
      </c>
      <c r="H186" s="148" t="str">
        <f ca="1">IFERROR(Prices!H185/Prices!H184-1,"")</f>
        <v/>
      </c>
      <c r="I186" s="149" t="str">
        <f ca="1">IFERROR(Prices!I185/Prices!I184-1,"")</f>
        <v/>
      </c>
      <c r="J186" s="150">
        <f t="shared" ca="1" si="4"/>
        <v>0</v>
      </c>
      <c r="K186" s="112"/>
      <c r="L186" s="112"/>
      <c r="M186" s="112"/>
    </row>
    <row r="187" spans="1:13" x14ac:dyDescent="0.3">
      <c r="A187" s="147" t="str">
        <f ca="1">Prices!$A$186</f>
        <v/>
      </c>
      <c r="B187" s="148" t="str">
        <f ca="1">IFERROR(Prices!B186/Prices!B185-1,"")</f>
        <v/>
      </c>
      <c r="C187" s="148" t="str">
        <f ca="1">IFERROR(Prices!C186/Prices!C185-1,"")</f>
        <v/>
      </c>
      <c r="D187" s="148" t="str">
        <f ca="1">IFERROR(Prices!D186/Prices!D185-1,"")</f>
        <v/>
      </c>
      <c r="E187" s="148" t="str">
        <f ca="1">IFERROR(Prices!E186/Prices!E185-1,"")</f>
        <v/>
      </c>
      <c r="F187" s="148" t="str">
        <f ca="1">IFERROR(Prices!F186/Prices!F185-1,"")</f>
        <v/>
      </c>
      <c r="G187" s="148" t="str">
        <f ca="1">IFERROR(Prices!G186/Prices!G185-1,"")</f>
        <v/>
      </c>
      <c r="H187" s="148" t="str">
        <f ca="1">IFERROR(Prices!H186/Prices!H185-1,"")</f>
        <v/>
      </c>
      <c r="I187" s="149" t="str">
        <f ca="1">IFERROR(Prices!I186/Prices!I185-1,"")</f>
        <v/>
      </c>
      <c r="J187" s="150">
        <f t="shared" ca="1" si="4"/>
        <v>0</v>
      </c>
      <c r="K187" s="112"/>
      <c r="L187" s="112"/>
      <c r="M187" s="112"/>
    </row>
    <row r="188" spans="1:13" x14ac:dyDescent="0.3">
      <c r="A188" s="147" t="str">
        <f ca="1">Prices!$A$187</f>
        <v/>
      </c>
      <c r="B188" s="148" t="str">
        <f ca="1">IFERROR(Prices!B187/Prices!B186-1,"")</f>
        <v/>
      </c>
      <c r="C188" s="148" t="str">
        <f ca="1">IFERROR(Prices!C187/Prices!C186-1,"")</f>
        <v/>
      </c>
      <c r="D188" s="148" t="str">
        <f ca="1">IFERROR(Prices!D187/Prices!D186-1,"")</f>
        <v/>
      </c>
      <c r="E188" s="148" t="str">
        <f ca="1">IFERROR(Prices!E187/Prices!E186-1,"")</f>
        <v/>
      </c>
      <c r="F188" s="148" t="str">
        <f ca="1">IFERROR(Prices!F187/Prices!F186-1,"")</f>
        <v/>
      </c>
      <c r="G188" s="148" t="str">
        <f ca="1">IFERROR(Prices!G187/Prices!G186-1,"")</f>
        <v/>
      </c>
      <c r="H188" s="148" t="str">
        <f ca="1">IFERROR(Prices!H187/Prices!H186-1,"")</f>
        <v/>
      </c>
      <c r="I188" s="149" t="str">
        <f ca="1">IFERROR(Prices!I187/Prices!I186-1,"")</f>
        <v/>
      </c>
      <c r="J188" s="150">
        <f t="shared" ca="1" si="4"/>
        <v>0</v>
      </c>
      <c r="K188" s="112"/>
      <c r="L188" s="112"/>
      <c r="M188" s="112"/>
    </row>
    <row r="189" spans="1:13" x14ac:dyDescent="0.3">
      <c r="A189" s="147" t="str">
        <f ca="1">Prices!$A$188</f>
        <v/>
      </c>
      <c r="B189" s="148" t="str">
        <f ca="1">IFERROR(Prices!B188/Prices!B187-1,"")</f>
        <v/>
      </c>
      <c r="C189" s="148" t="str">
        <f ca="1">IFERROR(Prices!C188/Prices!C187-1,"")</f>
        <v/>
      </c>
      <c r="D189" s="148" t="str">
        <f ca="1">IFERROR(Prices!D188/Prices!D187-1,"")</f>
        <v/>
      </c>
      <c r="E189" s="148" t="str">
        <f ca="1">IFERROR(Prices!E188/Prices!E187-1,"")</f>
        <v/>
      </c>
      <c r="F189" s="148" t="str">
        <f ca="1">IFERROR(Prices!F188/Prices!F187-1,"")</f>
        <v/>
      </c>
      <c r="G189" s="148" t="str">
        <f ca="1">IFERROR(Prices!G188/Prices!G187-1,"")</f>
        <v/>
      </c>
      <c r="H189" s="148" t="str">
        <f ca="1">IFERROR(Prices!H188/Prices!H187-1,"")</f>
        <v/>
      </c>
      <c r="I189" s="149" t="str">
        <f ca="1">IFERROR(Prices!I188/Prices!I187-1,"")</f>
        <v/>
      </c>
      <c r="J189" s="150">
        <f t="shared" ca="1" si="4"/>
        <v>0</v>
      </c>
      <c r="K189" s="112"/>
      <c r="L189" s="112"/>
      <c r="M189" s="112"/>
    </row>
    <row r="190" spans="1:13" x14ac:dyDescent="0.3">
      <c r="A190" s="147" t="str">
        <f ca="1">Prices!$A$189</f>
        <v/>
      </c>
      <c r="B190" s="148" t="str">
        <f ca="1">IFERROR(Prices!B189/Prices!B188-1,"")</f>
        <v/>
      </c>
      <c r="C190" s="148" t="str">
        <f ca="1">IFERROR(Prices!C189/Prices!C188-1,"")</f>
        <v/>
      </c>
      <c r="D190" s="148" t="str">
        <f ca="1">IFERROR(Prices!D189/Prices!D188-1,"")</f>
        <v/>
      </c>
      <c r="E190" s="148" t="str">
        <f ca="1">IFERROR(Prices!E189/Prices!E188-1,"")</f>
        <v/>
      </c>
      <c r="F190" s="148" t="str">
        <f ca="1">IFERROR(Prices!F189/Prices!F188-1,"")</f>
        <v/>
      </c>
      <c r="G190" s="148" t="str">
        <f ca="1">IFERROR(Prices!G189/Prices!G188-1,"")</f>
        <v/>
      </c>
      <c r="H190" s="148" t="str">
        <f ca="1">IFERROR(Prices!H189/Prices!H188-1,"")</f>
        <v/>
      </c>
      <c r="I190" s="149" t="str">
        <f ca="1">IFERROR(Prices!I189/Prices!I188-1,"")</f>
        <v/>
      </c>
      <c r="J190" s="150">
        <f t="shared" ca="1" si="4"/>
        <v>0</v>
      </c>
      <c r="K190" s="112"/>
      <c r="L190" s="112"/>
      <c r="M190" s="112"/>
    </row>
    <row r="191" spans="1:13" x14ac:dyDescent="0.3">
      <c r="A191" s="147" t="str">
        <f ca="1">Prices!$A$190</f>
        <v/>
      </c>
      <c r="B191" s="148" t="str">
        <f ca="1">IFERROR(Prices!B190/Prices!B189-1,"")</f>
        <v/>
      </c>
      <c r="C191" s="148" t="str">
        <f ca="1">IFERROR(Prices!C190/Prices!C189-1,"")</f>
        <v/>
      </c>
      <c r="D191" s="148" t="str">
        <f ca="1">IFERROR(Prices!D190/Prices!D189-1,"")</f>
        <v/>
      </c>
      <c r="E191" s="148" t="str">
        <f ca="1">IFERROR(Prices!E190/Prices!E189-1,"")</f>
        <v/>
      </c>
      <c r="F191" s="148" t="str">
        <f ca="1">IFERROR(Prices!F190/Prices!F189-1,"")</f>
        <v/>
      </c>
      <c r="G191" s="148" t="str">
        <f ca="1">IFERROR(Prices!G190/Prices!G189-1,"")</f>
        <v/>
      </c>
      <c r="H191" s="148" t="str">
        <f ca="1">IFERROR(Prices!H190/Prices!H189-1,"")</f>
        <v/>
      </c>
      <c r="I191" s="149" t="str">
        <f ca="1">IFERROR(Prices!I190/Prices!I189-1,"")</f>
        <v/>
      </c>
      <c r="J191" s="150">
        <f t="shared" ca="1" si="4"/>
        <v>0</v>
      </c>
      <c r="K191" s="112"/>
      <c r="L191" s="112"/>
      <c r="M191" s="112"/>
    </row>
    <row r="192" spans="1:13" x14ac:dyDescent="0.3">
      <c r="A192" s="147" t="str">
        <f ca="1">Prices!$A$191</f>
        <v/>
      </c>
      <c r="B192" s="148" t="str">
        <f ca="1">IFERROR(Prices!B191/Prices!B190-1,"")</f>
        <v/>
      </c>
      <c r="C192" s="148" t="str">
        <f ca="1">IFERROR(Prices!C191/Prices!C190-1,"")</f>
        <v/>
      </c>
      <c r="D192" s="148" t="str">
        <f ca="1">IFERROR(Prices!D191/Prices!D190-1,"")</f>
        <v/>
      </c>
      <c r="E192" s="148" t="str">
        <f ca="1">IFERROR(Prices!E191/Prices!E190-1,"")</f>
        <v/>
      </c>
      <c r="F192" s="148" t="str">
        <f ca="1">IFERROR(Prices!F191/Prices!F190-1,"")</f>
        <v/>
      </c>
      <c r="G192" s="148" t="str">
        <f ca="1">IFERROR(Prices!G191/Prices!G190-1,"")</f>
        <v/>
      </c>
      <c r="H192" s="148" t="str">
        <f ca="1">IFERROR(Prices!H191/Prices!H190-1,"")</f>
        <v/>
      </c>
      <c r="I192" s="149" t="str">
        <f ca="1">IFERROR(Prices!I191/Prices!I190-1,"")</f>
        <v/>
      </c>
      <c r="J192" s="150">
        <f t="shared" ca="1" si="4"/>
        <v>0</v>
      </c>
      <c r="K192" s="112"/>
      <c r="L192" s="112"/>
      <c r="M192" s="112"/>
    </row>
    <row r="193" spans="1:13" x14ac:dyDescent="0.3">
      <c r="A193" s="147" t="str">
        <f ca="1">Prices!$A$192</f>
        <v/>
      </c>
      <c r="B193" s="148" t="str">
        <f ca="1">IFERROR(Prices!B192/Prices!B191-1,"")</f>
        <v/>
      </c>
      <c r="C193" s="148" t="str">
        <f ca="1">IFERROR(Prices!C192/Prices!C191-1,"")</f>
        <v/>
      </c>
      <c r="D193" s="148" t="str">
        <f ca="1">IFERROR(Prices!D192/Prices!D191-1,"")</f>
        <v/>
      </c>
      <c r="E193" s="148" t="str">
        <f ca="1">IFERROR(Prices!E192/Prices!E191-1,"")</f>
        <v/>
      </c>
      <c r="F193" s="148" t="str">
        <f ca="1">IFERROR(Prices!F192/Prices!F191-1,"")</f>
        <v/>
      </c>
      <c r="G193" s="148" t="str">
        <f ca="1">IFERROR(Prices!G192/Prices!G191-1,"")</f>
        <v/>
      </c>
      <c r="H193" s="148" t="str">
        <f ca="1">IFERROR(Prices!H192/Prices!H191-1,"")</f>
        <v/>
      </c>
      <c r="I193" s="149" t="str">
        <f ca="1">IFERROR(Prices!I192/Prices!I191-1,"")</f>
        <v/>
      </c>
      <c r="J193" s="150">
        <f t="shared" ca="1" si="4"/>
        <v>0</v>
      </c>
      <c r="K193" s="112"/>
      <c r="L193" s="112"/>
      <c r="M193" s="112"/>
    </row>
    <row r="194" spans="1:13" x14ac:dyDescent="0.3">
      <c r="A194" s="147" t="str">
        <f ca="1">Prices!$A$193</f>
        <v/>
      </c>
      <c r="B194" s="148" t="str">
        <f ca="1">IFERROR(Prices!B193/Prices!B192-1,"")</f>
        <v/>
      </c>
      <c r="C194" s="148" t="str">
        <f ca="1">IFERROR(Prices!C193/Prices!C192-1,"")</f>
        <v/>
      </c>
      <c r="D194" s="148" t="str">
        <f ca="1">IFERROR(Prices!D193/Prices!D192-1,"")</f>
        <v/>
      </c>
      <c r="E194" s="148" t="str">
        <f ca="1">IFERROR(Prices!E193/Prices!E192-1,"")</f>
        <v/>
      </c>
      <c r="F194" s="148" t="str">
        <f ca="1">IFERROR(Prices!F193/Prices!F192-1,"")</f>
        <v/>
      </c>
      <c r="G194" s="148" t="str">
        <f ca="1">IFERROR(Prices!G193/Prices!G192-1,"")</f>
        <v/>
      </c>
      <c r="H194" s="148" t="str">
        <f ca="1">IFERROR(Prices!H193/Prices!H192-1,"")</f>
        <v/>
      </c>
      <c r="I194" s="149" t="str">
        <f ca="1">IFERROR(Prices!I193/Prices!I192-1,"")</f>
        <v/>
      </c>
      <c r="J194" s="150">
        <f t="shared" ca="1" si="4"/>
        <v>0</v>
      </c>
      <c r="K194" s="112"/>
      <c r="L194" s="112"/>
      <c r="M194" s="112"/>
    </row>
    <row r="195" spans="1:13" x14ac:dyDescent="0.3">
      <c r="A195" s="147" t="str">
        <f ca="1">Prices!$A$194</f>
        <v/>
      </c>
      <c r="B195" s="148" t="str">
        <f ca="1">IFERROR(Prices!B194/Prices!B193-1,"")</f>
        <v/>
      </c>
      <c r="C195" s="148" t="str">
        <f ca="1">IFERROR(Prices!C194/Prices!C193-1,"")</f>
        <v/>
      </c>
      <c r="D195" s="148" t="str">
        <f ca="1">IFERROR(Prices!D194/Prices!D193-1,"")</f>
        <v/>
      </c>
      <c r="E195" s="148" t="str">
        <f ca="1">IFERROR(Prices!E194/Prices!E193-1,"")</f>
        <v/>
      </c>
      <c r="F195" s="148" t="str">
        <f ca="1">IFERROR(Prices!F194/Prices!F193-1,"")</f>
        <v/>
      </c>
      <c r="G195" s="148" t="str">
        <f ca="1">IFERROR(Prices!G194/Prices!G193-1,"")</f>
        <v/>
      </c>
      <c r="H195" s="148" t="str">
        <f ca="1">IFERROR(Prices!H194/Prices!H193-1,"")</f>
        <v/>
      </c>
      <c r="I195" s="149" t="str">
        <f ca="1">IFERROR(Prices!I194/Prices!I193-1,"")</f>
        <v/>
      </c>
      <c r="J195" s="150">
        <f t="shared" ca="1" si="4"/>
        <v>0</v>
      </c>
      <c r="K195" s="112"/>
      <c r="L195" s="112"/>
      <c r="M195" s="112"/>
    </row>
    <row r="196" spans="1:13" x14ac:dyDescent="0.3">
      <c r="A196" s="147" t="str">
        <f ca="1">Prices!$A$195</f>
        <v/>
      </c>
      <c r="B196" s="148" t="str">
        <f ca="1">IFERROR(Prices!B195/Prices!B194-1,"")</f>
        <v/>
      </c>
      <c r="C196" s="148" t="str">
        <f ca="1">IFERROR(Prices!C195/Prices!C194-1,"")</f>
        <v/>
      </c>
      <c r="D196" s="148" t="str">
        <f ca="1">IFERROR(Prices!D195/Prices!D194-1,"")</f>
        <v/>
      </c>
      <c r="E196" s="148" t="str">
        <f ca="1">IFERROR(Prices!E195/Prices!E194-1,"")</f>
        <v/>
      </c>
      <c r="F196" s="148" t="str">
        <f ca="1">IFERROR(Prices!F195/Prices!F194-1,"")</f>
        <v/>
      </c>
      <c r="G196" s="148" t="str">
        <f ca="1">IFERROR(Prices!G195/Prices!G194-1,"")</f>
        <v/>
      </c>
      <c r="H196" s="148" t="str">
        <f ca="1">IFERROR(Prices!H195/Prices!H194-1,"")</f>
        <v/>
      </c>
      <c r="I196" s="149" t="str">
        <f ca="1">IFERROR(Prices!I195/Prices!I194-1,"")</f>
        <v/>
      </c>
      <c r="J196" s="150">
        <f t="shared" ca="1" si="4"/>
        <v>0</v>
      </c>
      <c r="K196" s="112"/>
      <c r="L196" s="112"/>
      <c r="M196" s="112"/>
    </row>
    <row r="197" spans="1:13" x14ac:dyDescent="0.3">
      <c r="A197" s="147" t="str">
        <f ca="1">Prices!$A$196</f>
        <v/>
      </c>
      <c r="B197" s="148" t="str">
        <f ca="1">IFERROR(Prices!B196/Prices!B195-1,"")</f>
        <v/>
      </c>
      <c r="C197" s="148" t="str">
        <f ca="1">IFERROR(Prices!C196/Prices!C195-1,"")</f>
        <v/>
      </c>
      <c r="D197" s="148" t="str">
        <f ca="1">IFERROR(Prices!D196/Prices!D195-1,"")</f>
        <v/>
      </c>
      <c r="E197" s="148" t="str">
        <f ca="1">IFERROR(Prices!E196/Prices!E195-1,"")</f>
        <v/>
      </c>
      <c r="F197" s="148" t="str">
        <f ca="1">IFERROR(Prices!F196/Prices!F195-1,"")</f>
        <v/>
      </c>
      <c r="G197" s="148" t="str">
        <f ca="1">IFERROR(Prices!G196/Prices!G195-1,"")</f>
        <v/>
      </c>
      <c r="H197" s="148" t="str">
        <f ca="1">IFERROR(Prices!H196/Prices!H195-1,"")</f>
        <v/>
      </c>
      <c r="I197" s="149" t="str">
        <f ca="1">IFERROR(Prices!I196/Prices!I195-1,"")</f>
        <v/>
      </c>
      <c r="J197" s="150">
        <f t="shared" ca="1" si="4"/>
        <v>0</v>
      </c>
      <c r="K197" s="112"/>
      <c r="L197" s="112"/>
      <c r="M197" s="112"/>
    </row>
    <row r="198" spans="1:13" x14ac:dyDescent="0.3">
      <c r="A198" s="147" t="str">
        <f ca="1">Prices!$A$197</f>
        <v/>
      </c>
      <c r="B198" s="148" t="str">
        <f ca="1">IFERROR(Prices!B197/Prices!B196-1,"")</f>
        <v/>
      </c>
      <c r="C198" s="148" t="str">
        <f ca="1">IFERROR(Prices!C197/Prices!C196-1,"")</f>
        <v/>
      </c>
      <c r="D198" s="148" t="str">
        <f ca="1">IFERROR(Prices!D197/Prices!D196-1,"")</f>
        <v/>
      </c>
      <c r="E198" s="148" t="str">
        <f ca="1">IFERROR(Prices!E197/Prices!E196-1,"")</f>
        <v/>
      </c>
      <c r="F198" s="148" t="str">
        <f ca="1">IFERROR(Prices!F197/Prices!F196-1,"")</f>
        <v/>
      </c>
      <c r="G198" s="148" t="str">
        <f ca="1">IFERROR(Prices!G197/Prices!G196-1,"")</f>
        <v/>
      </c>
      <c r="H198" s="148" t="str">
        <f ca="1">IFERROR(Prices!H197/Prices!H196-1,"")</f>
        <v/>
      </c>
      <c r="I198" s="149" t="str">
        <f ca="1">IFERROR(Prices!I197/Prices!I196-1,"")</f>
        <v/>
      </c>
      <c r="J198" s="150">
        <f t="shared" ca="1" si="4"/>
        <v>0</v>
      </c>
      <c r="K198" s="112"/>
      <c r="L198" s="112"/>
      <c r="M198" s="112"/>
    </row>
    <row r="199" spans="1:13" x14ac:dyDescent="0.3">
      <c r="A199" s="147" t="str">
        <f ca="1">Prices!$A$198</f>
        <v/>
      </c>
      <c r="B199" s="148" t="str">
        <f ca="1">IFERROR(Prices!B198/Prices!B197-1,"")</f>
        <v/>
      </c>
      <c r="C199" s="148" t="str">
        <f ca="1">IFERROR(Prices!C198/Prices!C197-1,"")</f>
        <v/>
      </c>
      <c r="D199" s="148" t="str">
        <f ca="1">IFERROR(Prices!D198/Prices!D197-1,"")</f>
        <v/>
      </c>
      <c r="E199" s="148" t="str">
        <f ca="1">IFERROR(Prices!E198/Prices!E197-1,"")</f>
        <v/>
      </c>
      <c r="F199" s="148" t="str">
        <f ca="1">IFERROR(Prices!F198/Prices!F197-1,"")</f>
        <v/>
      </c>
      <c r="G199" s="148" t="str">
        <f ca="1">IFERROR(Prices!G198/Prices!G197-1,"")</f>
        <v/>
      </c>
      <c r="H199" s="148" t="str">
        <f ca="1">IFERROR(Prices!H198/Prices!H197-1,"")</f>
        <v/>
      </c>
      <c r="I199" s="149" t="str">
        <f ca="1">IFERROR(Prices!I198/Prices!I197-1,"")</f>
        <v/>
      </c>
      <c r="J199" s="150">
        <f t="shared" ref="J199:J262" ca="1" si="5">IFERROR(SUMPRODUCT(Weights,$B199:$H199),"")</f>
        <v>0</v>
      </c>
      <c r="K199" s="112"/>
      <c r="L199" s="112"/>
      <c r="M199" s="112"/>
    </row>
    <row r="200" spans="1:13" x14ac:dyDescent="0.3">
      <c r="A200" s="147" t="str">
        <f ca="1">Prices!$A$199</f>
        <v/>
      </c>
      <c r="B200" s="148" t="str">
        <f ca="1">IFERROR(Prices!B199/Prices!B198-1,"")</f>
        <v/>
      </c>
      <c r="C200" s="148" t="str">
        <f ca="1">IFERROR(Prices!C199/Prices!C198-1,"")</f>
        <v/>
      </c>
      <c r="D200" s="148" t="str">
        <f ca="1">IFERROR(Prices!D199/Prices!D198-1,"")</f>
        <v/>
      </c>
      <c r="E200" s="148" t="str">
        <f ca="1">IFERROR(Prices!E199/Prices!E198-1,"")</f>
        <v/>
      </c>
      <c r="F200" s="148" t="str">
        <f ca="1">IFERROR(Prices!F199/Prices!F198-1,"")</f>
        <v/>
      </c>
      <c r="G200" s="148" t="str">
        <f ca="1">IFERROR(Prices!G199/Prices!G198-1,"")</f>
        <v/>
      </c>
      <c r="H200" s="148" t="str">
        <f ca="1">IFERROR(Prices!H199/Prices!H198-1,"")</f>
        <v/>
      </c>
      <c r="I200" s="149" t="str">
        <f ca="1">IFERROR(Prices!I199/Prices!I198-1,"")</f>
        <v/>
      </c>
      <c r="J200" s="150">
        <f t="shared" ca="1" si="5"/>
        <v>0</v>
      </c>
      <c r="K200" s="112"/>
      <c r="L200" s="112"/>
      <c r="M200" s="112"/>
    </row>
    <row r="201" spans="1:13" x14ac:dyDescent="0.3">
      <c r="A201" s="147" t="str">
        <f ca="1">Prices!$A$200</f>
        <v/>
      </c>
      <c r="B201" s="148" t="str">
        <f ca="1">IFERROR(Prices!B200/Prices!B199-1,"")</f>
        <v/>
      </c>
      <c r="C201" s="148" t="str">
        <f ca="1">IFERROR(Prices!C200/Prices!C199-1,"")</f>
        <v/>
      </c>
      <c r="D201" s="148" t="str">
        <f ca="1">IFERROR(Prices!D200/Prices!D199-1,"")</f>
        <v/>
      </c>
      <c r="E201" s="148" t="str">
        <f ca="1">IFERROR(Prices!E200/Prices!E199-1,"")</f>
        <v/>
      </c>
      <c r="F201" s="148" t="str">
        <f ca="1">IFERROR(Prices!F200/Prices!F199-1,"")</f>
        <v/>
      </c>
      <c r="G201" s="148" t="str">
        <f ca="1">IFERROR(Prices!G200/Prices!G199-1,"")</f>
        <v/>
      </c>
      <c r="H201" s="148" t="str">
        <f ca="1">IFERROR(Prices!H200/Prices!H199-1,"")</f>
        <v/>
      </c>
      <c r="I201" s="149" t="str">
        <f ca="1">IFERROR(Prices!I200/Prices!I199-1,"")</f>
        <v/>
      </c>
      <c r="J201" s="150">
        <f t="shared" ca="1" si="5"/>
        <v>0</v>
      </c>
      <c r="K201" s="112"/>
      <c r="L201" s="112"/>
      <c r="M201" s="112"/>
    </row>
    <row r="202" spans="1:13" x14ac:dyDescent="0.3">
      <c r="A202" s="147" t="str">
        <f ca="1">Prices!$A$201</f>
        <v/>
      </c>
      <c r="B202" s="148" t="str">
        <f ca="1">IFERROR(Prices!B201/Prices!B200-1,"")</f>
        <v/>
      </c>
      <c r="C202" s="148" t="str">
        <f ca="1">IFERROR(Prices!C201/Prices!C200-1,"")</f>
        <v/>
      </c>
      <c r="D202" s="148" t="str">
        <f ca="1">IFERROR(Prices!D201/Prices!D200-1,"")</f>
        <v/>
      </c>
      <c r="E202" s="148" t="str">
        <f ca="1">IFERROR(Prices!E201/Prices!E200-1,"")</f>
        <v/>
      </c>
      <c r="F202" s="148" t="str">
        <f ca="1">IFERROR(Prices!F201/Prices!F200-1,"")</f>
        <v/>
      </c>
      <c r="G202" s="148" t="str">
        <f ca="1">IFERROR(Prices!G201/Prices!G200-1,"")</f>
        <v/>
      </c>
      <c r="H202" s="148" t="str">
        <f ca="1">IFERROR(Prices!H201/Prices!H200-1,"")</f>
        <v/>
      </c>
      <c r="I202" s="149" t="str">
        <f ca="1">IFERROR(Prices!I201/Prices!I200-1,"")</f>
        <v/>
      </c>
      <c r="J202" s="150">
        <f t="shared" ca="1" si="5"/>
        <v>0</v>
      </c>
      <c r="K202" s="112"/>
      <c r="L202" s="112"/>
      <c r="M202" s="112"/>
    </row>
    <row r="203" spans="1:13" x14ac:dyDescent="0.3">
      <c r="A203" s="147" t="str">
        <f ca="1">Prices!$A$202</f>
        <v/>
      </c>
      <c r="B203" s="148" t="str">
        <f ca="1">IFERROR(Prices!B202/Prices!B201-1,"")</f>
        <v/>
      </c>
      <c r="C203" s="148" t="str">
        <f ca="1">IFERROR(Prices!C202/Prices!C201-1,"")</f>
        <v/>
      </c>
      <c r="D203" s="148" t="str">
        <f ca="1">IFERROR(Prices!D202/Prices!D201-1,"")</f>
        <v/>
      </c>
      <c r="E203" s="148" t="str">
        <f ca="1">IFERROR(Prices!E202/Prices!E201-1,"")</f>
        <v/>
      </c>
      <c r="F203" s="148" t="str">
        <f ca="1">IFERROR(Prices!F202/Prices!F201-1,"")</f>
        <v/>
      </c>
      <c r="G203" s="148" t="str">
        <f ca="1">IFERROR(Prices!G202/Prices!G201-1,"")</f>
        <v/>
      </c>
      <c r="H203" s="148" t="str">
        <f ca="1">IFERROR(Prices!H202/Prices!H201-1,"")</f>
        <v/>
      </c>
      <c r="I203" s="149" t="str">
        <f ca="1">IFERROR(Prices!I202/Prices!I201-1,"")</f>
        <v/>
      </c>
      <c r="J203" s="150">
        <f t="shared" ca="1" si="5"/>
        <v>0</v>
      </c>
      <c r="K203" s="112"/>
      <c r="L203" s="112"/>
      <c r="M203" s="112"/>
    </row>
    <row r="204" spans="1:13" x14ac:dyDescent="0.3">
      <c r="A204" s="147" t="str">
        <f ca="1">Prices!$A$203</f>
        <v/>
      </c>
      <c r="B204" s="148" t="str">
        <f ca="1">IFERROR(Prices!B203/Prices!B202-1,"")</f>
        <v/>
      </c>
      <c r="C204" s="148" t="str">
        <f ca="1">IFERROR(Prices!C203/Prices!C202-1,"")</f>
        <v/>
      </c>
      <c r="D204" s="148" t="str">
        <f ca="1">IFERROR(Prices!D203/Prices!D202-1,"")</f>
        <v/>
      </c>
      <c r="E204" s="148" t="str">
        <f ca="1">IFERROR(Prices!E203/Prices!E202-1,"")</f>
        <v/>
      </c>
      <c r="F204" s="148" t="str">
        <f ca="1">IFERROR(Prices!F203/Prices!F202-1,"")</f>
        <v/>
      </c>
      <c r="G204" s="148" t="str">
        <f ca="1">IFERROR(Prices!G203/Prices!G202-1,"")</f>
        <v/>
      </c>
      <c r="H204" s="148" t="str">
        <f ca="1">IFERROR(Prices!H203/Prices!H202-1,"")</f>
        <v/>
      </c>
      <c r="I204" s="149" t="str">
        <f ca="1">IFERROR(Prices!I203/Prices!I202-1,"")</f>
        <v/>
      </c>
      <c r="J204" s="150">
        <f t="shared" ca="1" si="5"/>
        <v>0</v>
      </c>
      <c r="K204" s="112"/>
      <c r="L204" s="112"/>
      <c r="M204" s="112"/>
    </row>
    <row r="205" spans="1:13" x14ac:dyDescent="0.3">
      <c r="A205" s="147" t="str">
        <f ca="1">Prices!$A$204</f>
        <v/>
      </c>
      <c r="B205" s="148" t="str">
        <f ca="1">IFERROR(Prices!B204/Prices!B203-1,"")</f>
        <v/>
      </c>
      <c r="C205" s="148" t="str">
        <f ca="1">IFERROR(Prices!C204/Prices!C203-1,"")</f>
        <v/>
      </c>
      <c r="D205" s="148" t="str">
        <f ca="1">IFERROR(Prices!D204/Prices!D203-1,"")</f>
        <v/>
      </c>
      <c r="E205" s="148" t="str">
        <f ca="1">IFERROR(Prices!E204/Prices!E203-1,"")</f>
        <v/>
      </c>
      <c r="F205" s="148" t="str">
        <f ca="1">IFERROR(Prices!F204/Prices!F203-1,"")</f>
        <v/>
      </c>
      <c r="G205" s="148" t="str">
        <f ca="1">IFERROR(Prices!G204/Prices!G203-1,"")</f>
        <v/>
      </c>
      <c r="H205" s="148" t="str">
        <f ca="1">IFERROR(Prices!H204/Prices!H203-1,"")</f>
        <v/>
      </c>
      <c r="I205" s="149" t="str">
        <f ca="1">IFERROR(Prices!I204/Prices!I203-1,"")</f>
        <v/>
      </c>
      <c r="J205" s="150">
        <f t="shared" ca="1" si="5"/>
        <v>0</v>
      </c>
      <c r="K205" s="112"/>
      <c r="L205" s="112"/>
      <c r="M205" s="112"/>
    </row>
    <row r="206" spans="1:13" x14ac:dyDescent="0.3">
      <c r="A206" s="147" t="str">
        <f ca="1">Prices!$A$205</f>
        <v/>
      </c>
      <c r="B206" s="148" t="str">
        <f ca="1">IFERROR(Prices!B205/Prices!B204-1,"")</f>
        <v/>
      </c>
      <c r="C206" s="148" t="str">
        <f ca="1">IFERROR(Prices!C205/Prices!C204-1,"")</f>
        <v/>
      </c>
      <c r="D206" s="148" t="str">
        <f ca="1">IFERROR(Prices!D205/Prices!D204-1,"")</f>
        <v/>
      </c>
      <c r="E206" s="148" t="str">
        <f ca="1">IFERROR(Prices!E205/Prices!E204-1,"")</f>
        <v/>
      </c>
      <c r="F206" s="148" t="str">
        <f ca="1">IFERROR(Prices!F205/Prices!F204-1,"")</f>
        <v/>
      </c>
      <c r="G206" s="148" t="str">
        <f ca="1">IFERROR(Prices!G205/Prices!G204-1,"")</f>
        <v/>
      </c>
      <c r="H206" s="148" t="str">
        <f ca="1">IFERROR(Prices!H205/Prices!H204-1,"")</f>
        <v/>
      </c>
      <c r="I206" s="149" t="str">
        <f ca="1">IFERROR(Prices!I205/Prices!I204-1,"")</f>
        <v/>
      </c>
      <c r="J206" s="150">
        <f t="shared" ca="1" si="5"/>
        <v>0</v>
      </c>
      <c r="K206" s="112"/>
      <c r="L206" s="112"/>
      <c r="M206" s="112"/>
    </row>
    <row r="207" spans="1:13" x14ac:dyDescent="0.3">
      <c r="A207" s="147" t="str">
        <f ca="1">Prices!$A$206</f>
        <v/>
      </c>
      <c r="B207" s="148" t="str">
        <f ca="1">IFERROR(Prices!B206/Prices!B205-1,"")</f>
        <v/>
      </c>
      <c r="C207" s="148" t="str">
        <f ca="1">IFERROR(Prices!C206/Prices!C205-1,"")</f>
        <v/>
      </c>
      <c r="D207" s="148" t="str">
        <f ca="1">IFERROR(Prices!D206/Prices!D205-1,"")</f>
        <v/>
      </c>
      <c r="E207" s="148" t="str">
        <f ca="1">IFERROR(Prices!E206/Prices!E205-1,"")</f>
        <v/>
      </c>
      <c r="F207" s="148" t="str">
        <f ca="1">IFERROR(Prices!F206/Prices!F205-1,"")</f>
        <v/>
      </c>
      <c r="G207" s="148" t="str">
        <f ca="1">IFERROR(Prices!G206/Prices!G205-1,"")</f>
        <v/>
      </c>
      <c r="H207" s="148" t="str">
        <f ca="1">IFERROR(Prices!H206/Prices!H205-1,"")</f>
        <v/>
      </c>
      <c r="I207" s="149" t="str">
        <f ca="1">IFERROR(Prices!I206/Prices!I205-1,"")</f>
        <v/>
      </c>
      <c r="J207" s="150">
        <f t="shared" ca="1" si="5"/>
        <v>0</v>
      </c>
      <c r="K207" s="112"/>
      <c r="L207" s="112"/>
      <c r="M207" s="112"/>
    </row>
    <row r="208" spans="1:13" x14ac:dyDescent="0.3">
      <c r="A208" s="147" t="str">
        <f ca="1">Prices!$A$207</f>
        <v/>
      </c>
      <c r="B208" s="148" t="str">
        <f ca="1">IFERROR(Prices!B207/Prices!B206-1,"")</f>
        <v/>
      </c>
      <c r="C208" s="148" t="str">
        <f ca="1">IFERROR(Prices!C207/Prices!C206-1,"")</f>
        <v/>
      </c>
      <c r="D208" s="148" t="str">
        <f ca="1">IFERROR(Prices!D207/Prices!D206-1,"")</f>
        <v/>
      </c>
      <c r="E208" s="148" t="str">
        <f ca="1">IFERROR(Prices!E207/Prices!E206-1,"")</f>
        <v/>
      </c>
      <c r="F208" s="148" t="str">
        <f ca="1">IFERROR(Prices!F207/Prices!F206-1,"")</f>
        <v/>
      </c>
      <c r="G208" s="148" t="str">
        <f ca="1">IFERROR(Prices!G207/Prices!G206-1,"")</f>
        <v/>
      </c>
      <c r="H208" s="148" t="str">
        <f ca="1">IFERROR(Prices!H207/Prices!H206-1,"")</f>
        <v/>
      </c>
      <c r="I208" s="149" t="str">
        <f ca="1">IFERROR(Prices!I207/Prices!I206-1,"")</f>
        <v/>
      </c>
      <c r="J208" s="150">
        <f t="shared" ca="1" si="5"/>
        <v>0</v>
      </c>
      <c r="K208" s="112"/>
      <c r="L208" s="112"/>
      <c r="M208" s="112"/>
    </row>
    <row r="209" spans="1:13" x14ac:dyDescent="0.3">
      <c r="A209" s="147" t="str">
        <f ca="1">Prices!$A$208</f>
        <v/>
      </c>
      <c r="B209" s="148" t="str">
        <f ca="1">IFERROR(Prices!B208/Prices!B207-1,"")</f>
        <v/>
      </c>
      <c r="C209" s="148" t="str">
        <f ca="1">IFERROR(Prices!C208/Prices!C207-1,"")</f>
        <v/>
      </c>
      <c r="D209" s="148" t="str">
        <f ca="1">IFERROR(Prices!D208/Prices!D207-1,"")</f>
        <v/>
      </c>
      <c r="E209" s="148" t="str">
        <f ca="1">IFERROR(Prices!E208/Prices!E207-1,"")</f>
        <v/>
      </c>
      <c r="F209" s="148" t="str">
        <f ca="1">IFERROR(Prices!F208/Prices!F207-1,"")</f>
        <v/>
      </c>
      <c r="G209" s="148" t="str">
        <f ca="1">IFERROR(Prices!G208/Prices!G207-1,"")</f>
        <v/>
      </c>
      <c r="H209" s="148" t="str">
        <f ca="1">IFERROR(Prices!H208/Prices!H207-1,"")</f>
        <v/>
      </c>
      <c r="I209" s="149" t="str">
        <f ca="1">IFERROR(Prices!I208/Prices!I207-1,"")</f>
        <v/>
      </c>
      <c r="J209" s="150">
        <f t="shared" ca="1" si="5"/>
        <v>0</v>
      </c>
      <c r="K209" s="112"/>
      <c r="L209" s="112"/>
      <c r="M209" s="112"/>
    </row>
    <row r="210" spans="1:13" x14ac:dyDescent="0.3">
      <c r="A210" s="147" t="str">
        <f ca="1">Prices!$A$209</f>
        <v/>
      </c>
      <c r="B210" s="148" t="str">
        <f ca="1">IFERROR(Prices!B209/Prices!B208-1,"")</f>
        <v/>
      </c>
      <c r="C210" s="148" t="str">
        <f ca="1">IFERROR(Prices!C209/Prices!C208-1,"")</f>
        <v/>
      </c>
      <c r="D210" s="148" t="str">
        <f ca="1">IFERROR(Prices!D209/Prices!D208-1,"")</f>
        <v/>
      </c>
      <c r="E210" s="148" t="str">
        <f ca="1">IFERROR(Prices!E209/Prices!E208-1,"")</f>
        <v/>
      </c>
      <c r="F210" s="148" t="str">
        <f ca="1">IFERROR(Prices!F209/Prices!F208-1,"")</f>
        <v/>
      </c>
      <c r="G210" s="148" t="str">
        <f ca="1">IFERROR(Prices!G209/Prices!G208-1,"")</f>
        <v/>
      </c>
      <c r="H210" s="148" t="str">
        <f ca="1">IFERROR(Prices!H209/Prices!H208-1,"")</f>
        <v/>
      </c>
      <c r="I210" s="149" t="str">
        <f ca="1">IFERROR(Prices!I209/Prices!I208-1,"")</f>
        <v/>
      </c>
      <c r="J210" s="150">
        <f t="shared" ca="1" si="5"/>
        <v>0</v>
      </c>
      <c r="K210" s="112"/>
      <c r="L210" s="112"/>
      <c r="M210" s="112"/>
    </row>
    <row r="211" spans="1:13" x14ac:dyDescent="0.3">
      <c r="A211" s="147" t="str">
        <f ca="1">Prices!$A$210</f>
        <v/>
      </c>
      <c r="B211" s="148" t="str">
        <f ca="1">IFERROR(Prices!B210/Prices!B209-1,"")</f>
        <v/>
      </c>
      <c r="C211" s="148" t="str">
        <f ca="1">IFERROR(Prices!C210/Prices!C209-1,"")</f>
        <v/>
      </c>
      <c r="D211" s="148" t="str">
        <f ca="1">IFERROR(Prices!D210/Prices!D209-1,"")</f>
        <v/>
      </c>
      <c r="E211" s="148" t="str">
        <f ca="1">IFERROR(Prices!E210/Prices!E209-1,"")</f>
        <v/>
      </c>
      <c r="F211" s="148" t="str">
        <f ca="1">IFERROR(Prices!F210/Prices!F209-1,"")</f>
        <v/>
      </c>
      <c r="G211" s="148" t="str">
        <f ca="1">IFERROR(Prices!G210/Prices!G209-1,"")</f>
        <v/>
      </c>
      <c r="H211" s="148" t="str">
        <f ca="1">IFERROR(Prices!H210/Prices!H209-1,"")</f>
        <v/>
      </c>
      <c r="I211" s="149" t="str">
        <f ca="1">IFERROR(Prices!I210/Prices!I209-1,"")</f>
        <v/>
      </c>
      <c r="J211" s="150">
        <f t="shared" ca="1" si="5"/>
        <v>0</v>
      </c>
      <c r="K211" s="112"/>
      <c r="L211" s="112"/>
      <c r="M211" s="112"/>
    </row>
    <row r="212" spans="1:13" x14ac:dyDescent="0.3">
      <c r="A212" s="147" t="str">
        <f ca="1">Prices!$A$211</f>
        <v/>
      </c>
      <c r="B212" s="148" t="str">
        <f ca="1">IFERROR(Prices!B211/Prices!B210-1,"")</f>
        <v/>
      </c>
      <c r="C212" s="148" t="str">
        <f ca="1">IFERROR(Prices!C211/Prices!C210-1,"")</f>
        <v/>
      </c>
      <c r="D212" s="148" t="str">
        <f ca="1">IFERROR(Prices!D211/Prices!D210-1,"")</f>
        <v/>
      </c>
      <c r="E212" s="148" t="str">
        <f ca="1">IFERROR(Prices!E211/Prices!E210-1,"")</f>
        <v/>
      </c>
      <c r="F212" s="148" t="str">
        <f ca="1">IFERROR(Prices!F211/Prices!F210-1,"")</f>
        <v/>
      </c>
      <c r="G212" s="148" t="str">
        <f ca="1">IFERROR(Prices!G211/Prices!G210-1,"")</f>
        <v/>
      </c>
      <c r="H212" s="148" t="str">
        <f ca="1">IFERROR(Prices!H211/Prices!H210-1,"")</f>
        <v/>
      </c>
      <c r="I212" s="149" t="str">
        <f ca="1">IFERROR(Prices!I211/Prices!I210-1,"")</f>
        <v/>
      </c>
      <c r="J212" s="150">
        <f t="shared" ca="1" si="5"/>
        <v>0</v>
      </c>
      <c r="K212" s="112"/>
      <c r="L212" s="112"/>
      <c r="M212" s="112"/>
    </row>
    <row r="213" spans="1:13" x14ac:dyDescent="0.3">
      <c r="A213" s="147" t="str">
        <f ca="1">Prices!$A$212</f>
        <v/>
      </c>
      <c r="B213" s="148" t="str">
        <f ca="1">IFERROR(Prices!B212/Prices!B211-1,"")</f>
        <v/>
      </c>
      <c r="C213" s="148" t="str">
        <f ca="1">IFERROR(Prices!C212/Prices!C211-1,"")</f>
        <v/>
      </c>
      <c r="D213" s="148" t="str">
        <f ca="1">IFERROR(Prices!D212/Prices!D211-1,"")</f>
        <v/>
      </c>
      <c r="E213" s="148" t="str">
        <f ca="1">IFERROR(Prices!E212/Prices!E211-1,"")</f>
        <v/>
      </c>
      <c r="F213" s="148" t="str">
        <f ca="1">IFERROR(Prices!F212/Prices!F211-1,"")</f>
        <v/>
      </c>
      <c r="G213" s="148" t="str">
        <f ca="1">IFERROR(Prices!G212/Prices!G211-1,"")</f>
        <v/>
      </c>
      <c r="H213" s="148" t="str">
        <f ca="1">IFERROR(Prices!H212/Prices!H211-1,"")</f>
        <v/>
      </c>
      <c r="I213" s="149" t="str">
        <f ca="1">IFERROR(Prices!I212/Prices!I211-1,"")</f>
        <v/>
      </c>
      <c r="J213" s="150">
        <f t="shared" ca="1" si="5"/>
        <v>0</v>
      </c>
      <c r="K213" s="112"/>
      <c r="L213" s="112"/>
      <c r="M213" s="112"/>
    </row>
    <row r="214" spans="1:13" x14ac:dyDescent="0.3">
      <c r="A214" s="147" t="str">
        <f ca="1">Prices!$A$213</f>
        <v/>
      </c>
      <c r="B214" s="148" t="str">
        <f ca="1">IFERROR(Prices!B213/Prices!B212-1,"")</f>
        <v/>
      </c>
      <c r="C214" s="148" t="str">
        <f ca="1">IFERROR(Prices!C213/Prices!C212-1,"")</f>
        <v/>
      </c>
      <c r="D214" s="148" t="str">
        <f ca="1">IFERROR(Prices!D213/Prices!D212-1,"")</f>
        <v/>
      </c>
      <c r="E214" s="148" t="str">
        <f ca="1">IFERROR(Prices!E213/Prices!E212-1,"")</f>
        <v/>
      </c>
      <c r="F214" s="148" t="str">
        <f ca="1">IFERROR(Prices!F213/Prices!F212-1,"")</f>
        <v/>
      </c>
      <c r="G214" s="148" t="str">
        <f ca="1">IFERROR(Prices!G213/Prices!G212-1,"")</f>
        <v/>
      </c>
      <c r="H214" s="148" t="str">
        <f ca="1">IFERROR(Prices!H213/Prices!H212-1,"")</f>
        <v/>
      </c>
      <c r="I214" s="149" t="str">
        <f ca="1">IFERROR(Prices!I213/Prices!I212-1,"")</f>
        <v/>
      </c>
      <c r="J214" s="150">
        <f t="shared" ca="1" si="5"/>
        <v>0</v>
      </c>
      <c r="K214" s="112"/>
      <c r="L214" s="112"/>
      <c r="M214" s="112"/>
    </row>
    <row r="215" spans="1:13" x14ac:dyDescent="0.3">
      <c r="A215" s="147" t="str">
        <f ca="1">Prices!$A$214</f>
        <v/>
      </c>
      <c r="B215" s="148" t="str">
        <f ca="1">IFERROR(Prices!B214/Prices!B213-1,"")</f>
        <v/>
      </c>
      <c r="C215" s="148" t="str">
        <f ca="1">IFERROR(Prices!C214/Prices!C213-1,"")</f>
        <v/>
      </c>
      <c r="D215" s="148" t="str">
        <f ca="1">IFERROR(Prices!D214/Prices!D213-1,"")</f>
        <v/>
      </c>
      <c r="E215" s="148" t="str">
        <f ca="1">IFERROR(Prices!E214/Prices!E213-1,"")</f>
        <v/>
      </c>
      <c r="F215" s="148" t="str">
        <f ca="1">IFERROR(Prices!F214/Prices!F213-1,"")</f>
        <v/>
      </c>
      <c r="G215" s="148" t="str">
        <f ca="1">IFERROR(Prices!G214/Prices!G213-1,"")</f>
        <v/>
      </c>
      <c r="H215" s="148" t="str">
        <f ca="1">IFERROR(Prices!H214/Prices!H213-1,"")</f>
        <v/>
      </c>
      <c r="I215" s="149" t="str">
        <f ca="1">IFERROR(Prices!I214/Prices!I213-1,"")</f>
        <v/>
      </c>
      <c r="J215" s="150">
        <f t="shared" ca="1" si="5"/>
        <v>0</v>
      </c>
      <c r="K215" s="112"/>
      <c r="L215" s="112"/>
      <c r="M215" s="112"/>
    </row>
    <row r="216" spans="1:13" x14ac:dyDescent="0.3">
      <c r="A216" s="147" t="str">
        <f ca="1">Prices!$A$215</f>
        <v/>
      </c>
      <c r="B216" s="148" t="str">
        <f ca="1">IFERROR(Prices!B215/Prices!B214-1,"")</f>
        <v/>
      </c>
      <c r="C216" s="148" t="str">
        <f ca="1">IFERROR(Prices!C215/Prices!C214-1,"")</f>
        <v/>
      </c>
      <c r="D216" s="148" t="str">
        <f ca="1">IFERROR(Prices!D215/Prices!D214-1,"")</f>
        <v/>
      </c>
      <c r="E216" s="148" t="str">
        <f ca="1">IFERROR(Prices!E215/Prices!E214-1,"")</f>
        <v/>
      </c>
      <c r="F216" s="148" t="str">
        <f ca="1">IFERROR(Prices!F215/Prices!F214-1,"")</f>
        <v/>
      </c>
      <c r="G216" s="148" t="str">
        <f ca="1">IFERROR(Prices!G215/Prices!G214-1,"")</f>
        <v/>
      </c>
      <c r="H216" s="148" t="str">
        <f ca="1">IFERROR(Prices!H215/Prices!H214-1,"")</f>
        <v/>
      </c>
      <c r="I216" s="149" t="str">
        <f ca="1">IFERROR(Prices!I215/Prices!I214-1,"")</f>
        <v/>
      </c>
      <c r="J216" s="150">
        <f t="shared" ca="1" si="5"/>
        <v>0</v>
      </c>
      <c r="K216" s="112"/>
      <c r="L216" s="112"/>
      <c r="M216" s="112"/>
    </row>
    <row r="217" spans="1:13" x14ac:dyDescent="0.3">
      <c r="A217" s="147" t="str">
        <f ca="1">Prices!$A$216</f>
        <v/>
      </c>
      <c r="B217" s="148" t="str">
        <f ca="1">IFERROR(Prices!B216/Prices!B215-1,"")</f>
        <v/>
      </c>
      <c r="C217" s="148" t="str">
        <f ca="1">IFERROR(Prices!C216/Prices!C215-1,"")</f>
        <v/>
      </c>
      <c r="D217" s="148" t="str">
        <f ca="1">IFERROR(Prices!D216/Prices!D215-1,"")</f>
        <v/>
      </c>
      <c r="E217" s="148" t="str">
        <f ca="1">IFERROR(Prices!E216/Prices!E215-1,"")</f>
        <v/>
      </c>
      <c r="F217" s="148" t="str">
        <f ca="1">IFERROR(Prices!F216/Prices!F215-1,"")</f>
        <v/>
      </c>
      <c r="G217" s="148" t="str">
        <f ca="1">IFERROR(Prices!G216/Prices!G215-1,"")</f>
        <v/>
      </c>
      <c r="H217" s="148" t="str">
        <f ca="1">IFERROR(Prices!H216/Prices!H215-1,"")</f>
        <v/>
      </c>
      <c r="I217" s="149" t="str">
        <f ca="1">IFERROR(Prices!I216/Prices!I215-1,"")</f>
        <v/>
      </c>
      <c r="J217" s="150">
        <f t="shared" ca="1" si="5"/>
        <v>0</v>
      </c>
      <c r="K217" s="112"/>
      <c r="L217" s="112"/>
      <c r="M217" s="112"/>
    </row>
    <row r="218" spans="1:13" x14ac:dyDescent="0.3">
      <c r="A218" s="147" t="str">
        <f ca="1">Prices!$A$217</f>
        <v/>
      </c>
      <c r="B218" s="148" t="str">
        <f ca="1">IFERROR(Prices!B217/Prices!B216-1,"")</f>
        <v/>
      </c>
      <c r="C218" s="148" t="str">
        <f ca="1">IFERROR(Prices!C217/Prices!C216-1,"")</f>
        <v/>
      </c>
      <c r="D218" s="148" t="str">
        <f ca="1">IFERROR(Prices!D217/Prices!D216-1,"")</f>
        <v/>
      </c>
      <c r="E218" s="148" t="str">
        <f ca="1">IFERROR(Prices!E217/Prices!E216-1,"")</f>
        <v/>
      </c>
      <c r="F218" s="148" t="str">
        <f ca="1">IFERROR(Prices!F217/Prices!F216-1,"")</f>
        <v/>
      </c>
      <c r="G218" s="148" t="str">
        <f ca="1">IFERROR(Prices!G217/Prices!G216-1,"")</f>
        <v/>
      </c>
      <c r="H218" s="148" t="str">
        <f ca="1">IFERROR(Prices!H217/Prices!H216-1,"")</f>
        <v/>
      </c>
      <c r="I218" s="149" t="str">
        <f ca="1">IFERROR(Prices!I217/Prices!I216-1,"")</f>
        <v/>
      </c>
      <c r="J218" s="150">
        <f t="shared" ca="1" si="5"/>
        <v>0</v>
      </c>
      <c r="K218" s="112"/>
      <c r="L218" s="112"/>
      <c r="M218" s="112"/>
    </row>
    <row r="219" spans="1:13" x14ac:dyDescent="0.3">
      <c r="A219" s="147" t="str">
        <f ca="1">Prices!$A$218</f>
        <v/>
      </c>
      <c r="B219" s="148" t="str">
        <f ca="1">IFERROR(Prices!B218/Prices!B217-1,"")</f>
        <v/>
      </c>
      <c r="C219" s="148" t="str">
        <f ca="1">IFERROR(Prices!C218/Prices!C217-1,"")</f>
        <v/>
      </c>
      <c r="D219" s="148" t="str">
        <f ca="1">IFERROR(Prices!D218/Prices!D217-1,"")</f>
        <v/>
      </c>
      <c r="E219" s="148" t="str">
        <f ca="1">IFERROR(Prices!E218/Prices!E217-1,"")</f>
        <v/>
      </c>
      <c r="F219" s="148" t="str">
        <f ca="1">IFERROR(Prices!F218/Prices!F217-1,"")</f>
        <v/>
      </c>
      <c r="G219" s="148" t="str">
        <f ca="1">IFERROR(Prices!G218/Prices!G217-1,"")</f>
        <v/>
      </c>
      <c r="H219" s="148" t="str">
        <f ca="1">IFERROR(Prices!H218/Prices!H217-1,"")</f>
        <v/>
      </c>
      <c r="I219" s="149" t="str">
        <f ca="1">IFERROR(Prices!I218/Prices!I217-1,"")</f>
        <v/>
      </c>
      <c r="J219" s="150">
        <f t="shared" ca="1" si="5"/>
        <v>0</v>
      </c>
      <c r="K219" s="112"/>
      <c r="L219" s="112"/>
      <c r="M219" s="112"/>
    </row>
    <row r="220" spans="1:13" x14ac:dyDescent="0.3">
      <c r="A220" s="147" t="str">
        <f ca="1">Prices!$A$219</f>
        <v/>
      </c>
      <c r="B220" s="148" t="str">
        <f ca="1">IFERROR(Prices!B219/Prices!B218-1,"")</f>
        <v/>
      </c>
      <c r="C220" s="148" t="str">
        <f ca="1">IFERROR(Prices!C219/Prices!C218-1,"")</f>
        <v/>
      </c>
      <c r="D220" s="148" t="str">
        <f ca="1">IFERROR(Prices!D219/Prices!D218-1,"")</f>
        <v/>
      </c>
      <c r="E220" s="148" t="str">
        <f ca="1">IFERROR(Prices!E219/Prices!E218-1,"")</f>
        <v/>
      </c>
      <c r="F220" s="148" t="str">
        <f ca="1">IFERROR(Prices!F219/Prices!F218-1,"")</f>
        <v/>
      </c>
      <c r="G220" s="148" t="str">
        <f ca="1">IFERROR(Prices!G219/Prices!G218-1,"")</f>
        <v/>
      </c>
      <c r="H220" s="148" t="str">
        <f ca="1">IFERROR(Prices!H219/Prices!H218-1,"")</f>
        <v/>
      </c>
      <c r="I220" s="149" t="str">
        <f ca="1">IFERROR(Prices!I219/Prices!I218-1,"")</f>
        <v/>
      </c>
      <c r="J220" s="150">
        <f t="shared" ca="1" si="5"/>
        <v>0</v>
      </c>
      <c r="K220" s="112"/>
      <c r="L220" s="112"/>
      <c r="M220" s="112"/>
    </row>
    <row r="221" spans="1:13" x14ac:dyDescent="0.3">
      <c r="A221" s="147" t="str">
        <f ca="1">Prices!$A$220</f>
        <v/>
      </c>
      <c r="B221" s="148" t="str">
        <f ca="1">IFERROR(Prices!B220/Prices!B219-1,"")</f>
        <v/>
      </c>
      <c r="C221" s="148" t="str">
        <f ca="1">IFERROR(Prices!C220/Prices!C219-1,"")</f>
        <v/>
      </c>
      <c r="D221" s="148" t="str">
        <f ca="1">IFERROR(Prices!D220/Prices!D219-1,"")</f>
        <v/>
      </c>
      <c r="E221" s="148" t="str">
        <f ca="1">IFERROR(Prices!E220/Prices!E219-1,"")</f>
        <v/>
      </c>
      <c r="F221" s="148" t="str">
        <f ca="1">IFERROR(Prices!F220/Prices!F219-1,"")</f>
        <v/>
      </c>
      <c r="G221" s="148" t="str">
        <f ca="1">IFERROR(Prices!G220/Prices!G219-1,"")</f>
        <v/>
      </c>
      <c r="H221" s="148" t="str">
        <f ca="1">IFERROR(Prices!H220/Prices!H219-1,"")</f>
        <v/>
      </c>
      <c r="I221" s="149" t="str">
        <f ca="1">IFERROR(Prices!I220/Prices!I219-1,"")</f>
        <v/>
      </c>
      <c r="J221" s="150">
        <f t="shared" ca="1" si="5"/>
        <v>0</v>
      </c>
      <c r="K221" s="112"/>
      <c r="L221" s="112"/>
      <c r="M221" s="112"/>
    </row>
    <row r="222" spans="1:13" x14ac:dyDescent="0.3">
      <c r="A222" s="147" t="str">
        <f ca="1">Prices!$A$221</f>
        <v/>
      </c>
      <c r="B222" s="148" t="str">
        <f ca="1">IFERROR(Prices!B221/Prices!B220-1,"")</f>
        <v/>
      </c>
      <c r="C222" s="148" t="str">
        <f ca="1">IFERROR(Prices!C221/Prices!C220-1,"")</f>
        <v/>
      </c>
      <c r="D222" s="148" t="str">
        <f ca="1">IFERROR(Prices!D221/Prices!D220-1,"")</f>
        <v/>
      </c>
      <c r="E222" s="148" t="str">
        <f ca="1">IFERROR(Prices!E221/Prices!E220-1,"")</f>
        <v/>
      </c>
      <c r="F222" s="148" t="str">
        <f ca="1">IFERROR(Prices!F221/Prices!F220-1,"")</f>
        <v/>
      </c>
      <c r="G222" s="148" t="str">
        <f ca="1">IFERROR(Prices!G221/Prices!G220-1,"")</f>
        <v/>
      </c>
      <c r="H222" s="148" t="str">
        <f ca="1">IFERROR(Prices!H221/Prices!H220-1,"")</f>
        <v/>
      </c>
      <c r="I222" s="149" t="str">
        <f ca="1">IFERROR(Prices!I221/Prices!I220-1,"")</f>
        <v/>
      </c>
      <c r="J222" s="150">
        <f t="shared" ca="1" si="5"/>
        <v>0</v>
      </c>
      <c r="K222" s="112"/>
      <c r="L222" s="112"/>
      <c r="M222" s="112"/>
    </row>
    <row r="223" spans="1:13" x14ac:dyDescent="0.3">
      <c r="A223" s="147" t="str">
        <f ca="1">Prices!$A$222</f>
        <v/>
      </c>
      <c r="B223" s="148" t="str">
        <f ca="1">IFERROR(Prices!B222/Prices!B221-1,"")</f>
        <v/>
      </c>
      <c r="C223" s="148" t="str">
        <f ca="1">IFERROR(Prices!C222/Prices!C221-1,"")</f>
        <v/>
      </c>
      <c r="D223" s="148" t="str">
        <f ca="1">IFERROR(Prices!D222/Prices!D221-1,"")</f>
        <v/>
      </c>
      <c r="E223" s="148" t="str">
        <f ca="1">IFERROR(Prices!E222/Prices!E221-1,"")</f>
        <v/>
      </c>
      <c r="F223" s="148" t="str">
        <f ca="1">IFERROR(Prices!F222/Prices!F221-1,"")</f>
        <v/>
      </c>
      <c r="G223" s="148" t="str">
        <f ca="1">IFERROR(Prices!G222/Prices!G221-1,"")</f>
        <v/>
      </c>
      <c r="H223" s="148" t="str">
        <f ca="1">IFERROR(Prices!H222/Prices!H221-1,"")</f>
        <v/>
      </c>
      <c r="I223" s="149" t="str">
        <f ca="1">IFERROR(Prices!I222/Prices!I221-1,"")</f>
        <v/>
      </c>
      <c r="J223" s="150">
        <f t="shared" ca="1" si="5"/>
        <v>0</v>
      </c>
      <c r="K223" s="112"/>
      <c r="L223" s="112"/>
      <c r="M223" s="112"/>
    </row>
    <row r="224" spans="1:13" x14ac:dyDescent="0.3">
      <c r="A224" s="147" t="str">
        <f ca="1">Prices!$A$223</f>
        <v/>
      </c>
      <c r="B224" s="148" t="str">
        <f ca="1">IFERROR(Prices!B223/Prices!B222-1,"")</f>
        <v/>
      </c>
      <c r="C224" s="148" t="str">
        <f ca="1">IFERROR(Prices!C223/Prices!C222-1,"")</f>
        <v/>
      </c>
      <c r="D224" s="148" t="str">
        <f ca="1">IFERROR(Prices!D223/Prices!D222-1,"")</f>
        <v/>
      </c>
      <c r="E224" s="148" t="str">
        <f ca="1">IFERROR(Prices!E223/Prices!E222-1,"")</f>
        <v/>
      </c>
      <c r="F224" s="148" t="str">
        <f ca="1">IFERROR(Prices!F223/Prices!F222-1,"")</f>
        <v/>
      </c>
      <c r="G224" s="148" t="str">
        <f ca="1">IFERROR(Prices!G223/Prices!G222-1,"")</f>
        <v/>
      </c>
      <c r="H224" s="148" t="str">
        <f ca="1">IFERROR(Prices!H223/Prices!H222-1,"")</f>
        <v/>
      </c>
      <c r="I224" s="149" t="str">
        <f ca="1">IFERROR(Prices!I223/Prices!I222-1,"")</f>
        <v/>
      </c>
      <c r="J224" s="150">
        <f t="shared" ca="1" si="5"/>
        <v>0</v>
      </c>
      <c r="K224" s="112"/>
      <c r="L224" s="112"/>
      <c r="M224" s="112"/>
    </row>
    <row r="225" spans="1:13" x14ac:dyDescent="0.3">
      <c r="A225" s="147" t="str">
        <f ca="1">Prices!$A$224</f>
        <v/>
      </c>
      <c r="B225" s="148" t="str">
        <f ca="1">IFERROR(Prices!B224/Prices!B223-1,"")</f>
        <v/>
      </c>
      <c r="C225" s="148" t="str">
        <f ca="1">IFERROR(Prices!C224/Prices!C223-1,"")</f>
        <v/>
      </c>
      <c r="D225" s="148" t="str">
        <f ca="1">IFERROR(Prices!D224/Prices!D223-1,"")</f>
        <v/>
      </c>
      <c r="E225" s="148" t="str">
        <f ca="1">IFERROR(Prices!E224/Prices!E223-1,"")</f>
        <v/>
      </c>
      <c r="F225" s="148" t="str">
        <f ca="1">IFERROR(Prices!F224/Prices!F223-1,"")</f>
        <v/>
      </c>
      <c r="G225" s="148" t="str">
        <f ca="1">IFERROR(Prices!G224/Prices!G223-1,"")</f>
        <v/>
      </c>
      <c r="H225" s="148" t="str">
        <f ca="1">IFERROR(Prices!H224/Prices!H223-1,"")</f>
        <v/>
      </c>
      <c r="I225" s="149" t="str">
        <f ca="1">IFERROR(Prices!I224/Prices!I223-1,"")</f>
        <v/>
      </c>
      <c r="J225" s="150">
        <f t="shared" ca="1" si="5"/>
        <v>0</v>
      </c>
      <c r="K225" s="112"/>
      <c r="L225" s="112"/>
      <c r="M225" s="112"/>
    </row>
    <row r="226" spans="1:13" x14ac:dyDescent="0.3">
      <c r="A226" s="147" t="str">
        <f ca="1">Prices!$A$225</f>
        <v/>
      </c>
      <c r="B226" s="148" t="str">
        <f ca="1">IFERROR(Prices!B225/Prices!B224-1,"")</f>
        <v/>
      </c>
      <c r="C226" s="148" t="str">
        <f ca="1">IFERROR(Prices!C225/Prices!C224-1,"")</f>
        <v/>
      </c>
      <c r="D226" s="148" t="str">
        <f ca="1">IFERROR(Prices!D225/Prices!D224-1,"")</f>
        <v/>
      </c>
      <c r="E226" s="148" t="str">
        <f ca="1">IFERROR(Prices!E225/Prices!E224-1,"")</f>
        <v/>
      </c>
      <c r="F226" s="148" t="str">
        <f ca="1">IFERROR(Prices!F225/Prices!F224-1,"")</f>
        <v/>
      </c>
      <c r="G226" s="148" t="str">
        <f ca="1">IFERROR(Prices!G225/Prices!G224-1,"")</f>
        <v/>
      </c>
      <c r="H226" s="148" t="str">
        <f ca="1">IFERROR(Prices!H225/Prices!H224-1,"")</f>
        <v/>
      </c>
      <c r="I226" s="149" t="str">
        <f ca="1">IFERROR(Prices!I225/Prices!I224-1,"")</f>
        <v/>
      </c>
      <c r="J226" s="150">
        <f t="shared" ca="1" si="5"/>
        <v>0</v>
      </c>
      <c r="K226" s="112"/>
      <c r="L226" s="112"/>
      <c r="M226" s="112"/>
    </row>
    <row r="227" spans="1:13" x14ac:dyDescent="0.3">
      <c r="A227" s="147" t="str">
        <f ca="1">Prices!$A$226</f>
        <v/>
      </c>
      <c r="B227" s="148" t="str">
        <f ca="1">IFERROR(Prices!B226/Prices!B225-1,"")</f>
        <v/>
      </c>
      <c r="C227" s="148" t="str">
        <f ca="1">IFERROR(Prices!C226/Prices!C225-1,"")</f>
        <v/>
      </c>
      <c r="D227" s="148" t="str">
        <f ca="1">IFERROR(Prices!D226/Prices!D225-1,"")</f>
        <v/>
      </c>
      <c r="E227" s="148" t="str">
        <f ca="1">IFERROR(Prices!E226/Prices!E225-1,"")</f>
        <v/>
      </c>
      <c r="F227" s="148" t="str">
        <f ca="1">IFERROR(Prices!F226/Prices!F225-1,"")</f>
        <v/>
      </c>
      <c r="G227" s="148" t="str">
        <f ca="1">IFERROR(Prices!G226/Prices!G225-1,"")</f>
        <v/>
      </c>
      <c r="H227" s="148" t="str">
        <f ca="1">IFERROR(Prices!H226/Prices!H225-1,"")</f>
        <v/>
      </c>
      <c r="I227" s="149" t="str">
        <f ca="1">IFERROR(Prices!I226/Prices!I225-1,"")</f>
        <v/>
      </c>
      <c r="J227" s="150">
        <f t="shared" ca="1" si="5"/>
        <v>0</v>
      </c>
      <c r="K227" s="112"/>
      <c r="L227" s="112"/>
      <c r="M227" s="112"/>
    </row>
    <row r="228" spans="1:13" x14ac:dyDescent="0.3">
      <c r="A228" s="147" t="str">
        <f ca="1">Prices!$A$227</f>
        <v/>
      </c>
      <c r="B228" s="148" t="str">
        <f ca="1">IFERROR(Prices!B227/Prices!B226-1,"")</f>
        <v/>
      </c>
      <c r="C228" s="148" t="str">
        <f ca="1">IFERROR(Prices!C227/Prices!C226-1,"")</f>
        <v/>
      </c>
      <c r="D228" s="148" t="str">
        <f ca="1">IFERROR(Prices!D227/Prices!D226-1,"")</f>
        <v/>
      </c>
      <c r="E228" s="148" t="str">
        <f ca="1">IFERROR(Prices!E227/Prices!E226-1,"")</f>
        <v/>
      </c>
      <c r="F228" s="148" t="str">
        <f ca="1">IFERROR(Prices!F227/Prices!F226-1,"")</f>
        <v/>
      </c>
      <c r="G228" s="148" t="str">
        <f ca="1">IFERROR(Prices!G227/Prices!G226-1,"")</f>
        <v/>
      </c>
      <c r="H228" s="148" t="str">
        <f ca="1">IFERROR(Prices!H227/Prices!H226-1,"")</f>
        <v/>
      </c>
      <c r="I228" s="149" t="str">
        <f ca="1">IFERROR(Prices!I227/Prices!I226-1,"")</f>
        <v/>
      </c>
      <c r="J228" s="150">
        <f t="shared" ca="1" si="5"/>
        <v>0</v>
      </c>
      <c r="K228" s="112"/>
      <c r="L228" s="112"/>
      <c r="M228" s="112"/>
    </row>
    <row r="229" spans="1:13" x14ac:dyDescent="0.3">
      <c r="A229" s="147" t="str">
        <f ca="1">Prices!$A$228</f>
        <v/>
      </c>
      <c r="B229" s="148" t="str">
        <f ca="1">IFERROR(Prices!B228/Prices!B227-1,"")</f>
        <v/>
      </c>
      <c r="C229" s="148" t="str">
        <f ca="1">IFERROR(Prices!C228/Prices!C227-1,"")</f>
        <v/>
      </c>
      <c r="D229" s="148" t="str">
        <f ca="1">IFERROR(Prices!D228/Prices!D227-1,"")</f>
        <v/>
      </c>
      <c r="E229" s="148" t="str">
        <f ca="1">IFERROR(Prices!E228/Prices!E227-1,"")</f>
        <v/>
      </c>
      <c r="F229" s="148" t="str">
        <f ca="1">IFERROR(Prices!F228/Prices!F227-1,"")</f>
        <v/>
      </c>
      <c r="G229" s="148" t="str">
        <f ca="1">IFERROR(Prices!G228/Prices!G227-1,"")</f>
        <v/>
      </c>
      <c r="H229" s="148" t="str">
        <f ca="1">IFERROR(Prices!H228/Prices!H227-1,"")</f>
        <v/>
      </c>
      <c r="I229" s="149" t="str">
        <f ca="1">IFERROR(Prices!I228/Prices!I227-1,"")</f>
        <v/>
      </c>
      <c r="J229" s="150">
        <f t="shared" ca="1" si="5"/>
        <v>0</v>
      </c>
      <c r="K229" s="112"/>
      <c r="L229" s="112"/>
      <c r="M229" s="112"/>
    </row>
    <row r="230" spans="1:13" x14ac:dyDescent="0.3">
      <c r="A230" s="147" t="str">
        <f ca="1">Prices!$A$229</f>
        <v/>
      </c>
      <c r="B230" s="148" t="str">
        <f ca="1">IFERROR(Prices!B229/Prices!B228-1,"")</f>
        <v/>
      </c>
      <c r="C230" s="148" t="str">
        <f ca="1">IFERROR(Prices!C229/Prices!C228-1,"")</f>
        <v/>
      </c>
      <c r="D230" s="148" t="str">
        <f ca="1">IFERROR(Prices!D229/Prices!D228-1,"")</f>
        <v/>
      </c>
      <c r="E230" s="148" t="str">
        <f ca="1">IFERROR(Prices!E229/Prices!E228-1,"")</f>
        <v/>
      </c>
      <c r="F230" s="148" t="str">
        <f ca="1">IFERROR(Prices!F229/Prices!F228-1,"")</f>
        <v/>
      </c>
      <c r="G230" s="148" t="str">
        <f ca="1">IFERROR(Prices!G229/Prices!G228-1,"")</f>
        <v/>
      </c>
      <c r="H230" s="148" t="str">
        <f ca="1">IFERROR(Prices!H229/Prices!H228-1,"")</f>
        <v/>
      </c>
      <c r="I230" s="149" t="str">
        <f ca="1">IFERROR(Prices!I229/Prices!I228-1,"")</f>
        <v/>
      </c>
      <c r="J230" s="150">
        <f t="shared" ca="1" si="5"/>
        <v>0</v>
      </c>
      <c r="K230" s="112"/>
      <c r="L230" s="112"/>
      <c r="M230" s="112"/>
    </row>
    <row r="231" spans="1:13" x14ac:dyDescent="0.3">
      <c r="A231" s="147" t="str">
        <f ca="1">Prices!$A$230</f>
        <v/>
      </c>
      <c r="B231" s="148" t="str">
        <f ca="1">IFERROR(Prices!B230/Prices!B229-1,"")</f>
        <v/>
      </c>
      <c r="C231" s="148" t="str">
        <f ca="1">IFERROR(Prices!C230/Prices!C229-1,"")</f>
        <v/>
      </c>
      <c r="D231" s="148" t="str">
        <f ca="1">IFERROR(Prices!D230/Prices!D229-1,"")</f>
        <v/>
      </c>
      <c r="E231" s="148" t="str">
        <f ca="1">IFERROR(Prices!E230/Prices!E229-1,"")</f>
        <v/>
      </c>
      <c r="F231" s="148" t="str">
        <f ca="1">IFERROR(Prices!F230/Prices!F229-1,"")</f>
        <v/>
      </c>
      <c r="G231" s="148" t="str">
        <f ca="1">IFERROR(Prices!G230/Prices!G229-1,"")</f>
        <v/>
      </c>
      <c r="H231" s="148" t="str">
        <f ca="1">IFERROR(Prices!H230/Prices!H229-1,"")</f>
        <v/>
      </c>
      <c r="I231" s="149" t="str">
        <f ca="1">IFERROR(Prices!I230/Prices!I229-1,"")</f>
        <v/>
      </c>
      <c r="J231" s="150">
        <f t="shared" ca="1" si="5"/>
        <v>0</v>
      </c>
      <c r="K231" s="112"/>
      <c r="L231" s="112"/>
      <c r="M231" s="112"/>
    </row>
    <row r="232" spans="1:13" x14ac:dyDescent="0.3">
      <c r="A232" s="147" t="str">
        <f ca="1">Prices!$A$231</f>
        <v/>
      </c>
      <c r="B232" s="148" t="str">
        <f ca="1">IFERROR(Prices!B231/Prices!B230-1,"")</f>
        <v/>
      </c>
      <c r="C232" s="148" t="str">
        <f ca="1">IFERROR(Prices!C231/Prices!C230-1,"")</f>
        <v/>
      </c>
      <c r="D232" s="148" t="str">
        <f ca="1">IFERROR(Prices!D231/Prices!D230-1,"")</f>
        <v/>
      </c>
      <c r="E232" s="148" t="str">
        <f ca="1">IFERROR(Prices!E231/Prices!E230-1,"")</f>
        <v/>
      </c>
      <c r="F232" s="148" t="str">
        <f ca="1">IFERROR(Prices!F231/Prices!F230-1,"")</f>
        <v/>
      </c>
      <c r="G232" s="148" t="str">
        <f ca="1">IFERROR(Prices!G231/Prices!G230-1,"")</f>
        <v/>
      </c>
      <c r="H232" s="148" t="str">
        <f ca="1">IFERROR(Prices!H231/Prices!H230-1,"")</f>
        <v/>
      </c>
      <c r="I232" s="149" t="str">
        <f ca="1">IFERROR(Prices!I231/Prices!I230-1,"")</f>
        <v/>
      </c>
      <c r="J232" s="150">
        <f t="shared" ca="1" si="5"/>
        <v>0</v>
      </c>
      <c r="K232" s="112"/>
      <c r="L232" s="112"/>
      <c r="M232" s="112"/>
    </row>
    <row r="233" spans="1:13" x14ac:dyDescent="0.3">
      <c r="A233" s="147" t="str">
        <f ca="1">Prices!$A$232</f>
        <v/>
      </c>
      <c r="B233" s="148" t="str">
        <f ca="1">IFERROR(Prices!B232/Prices!B231-1,"")</f>
        <v/>
      </c>
      <c r="C233" s="148" t="str">
        <f ca="1">IFERROR(Prices!C232/Prices!C231-1,"")</f>
        <v/>
      </c>
      <c r="D233" s="148" t="str">
        <f ca="1">IFERROR(Prices!D232/Prices!D231-1,"")</f>
        <v/>
      </c>
      <c r="E233" s="148" t="str">
        <f ca="1">IFERROR(Prices!E232/Prices!E231-1,"")</f>
        <v/>
      </c>
      <c r="F233" s="148" t="str">
        <f ca="1">IFERROR(Prices!F232/Prices!F231-1,"")</f>
        <v/>
      </c>
      <c r="G233" s="148" t="str">
        <f ca="1">IFERROR(Prices!G232/Prices!G231-1,"")</f>
        <v/>
      </c>
      <c r="H233" s="148" t="str">
        <f ca="1">IFERROR(Prices!H232/Prices!H231-1,"")</f>
        <v/>
      </c>
      <c r="I233" s="149" t="str">
        <f ca="1">IFERROR(Prices!I232/Prices!I231-1,"")</f>
        <v/>
      </c>
      <c r="J233" s="150">
        <f t="shared" ca="1" si="5"/>
        <v>0</v>
      </c>
      <c r="K233" s="112"/>
      <c r="L233" s="112"/>
      <c r="M233" s="112"/>
    </row>
    <row r="234" spans="1:13" x14ac:dyDescent="0.3">
      <c r="A234" s="147" t="str">
        <f ca="1">Prices!$A$233</f>
        <v/>
      </c>
      <c r="B234" s="148" t="str">
        <f ca="1">IFERROR(Prices!B233/Prices!B232-1,"")</f>
        <v/>
      </c>
      <c r="C234" s="148" t="str">
        <f ca="1">IFERROR(Prices!C233/Prices!C232-1,"")</f>
        <v/>
      </c>
      <c r="D234" s="148" t="str">
        <f ca="1">IFERROR(Prices!D233/Prices!D232-1,"")</f>
        <v/>
      </c>
      <c r="E234" s="148" t="str">
        <f ca="1">IFERROR(Prices!E233/Prices!E232-1,"")</f>
        <v/>
      </c>
      <c r="F234" s="148" t="str">
        <f ca="1">IFERROR(Prices!F233/Prices!F232-1,"")</f>
        <v/>
      </c>
      <c r="G234" s="148" t="str">
        <f ca="1">IFERROR(Prices!G233/Prices!G232-1,"")</f>
        <v/>
      </c>
      <c r="H234" s="148" t="str">
        <f ca="1">IFERROR(Prices!H233/Prices!H232-1,"")</f>
        <v/>
      </c>
      <c r="I234" s="149" t="str">
        <f ca="1">IFERROR(Prices!I233/Prices!I232-1,"")</f>
        <v/>
      </c>
      <c r="J234" s="150">
        <f t="shared" ca="1" si="5"/>
        <v>0</v>
      </c>
      <c r="K234" s="112"/>
      <c r="L234" s="112"/>
      <c r="M234" s="112"/>
    </row>
    <row r="235" spans="1:13" x14ac:dyDescent="0.3">
      <c r="A235" s="147" t="str">
        <f ca="1">Prices!$A$234</f>
        <v/>
      </c>
      <c r="B235" s="148" t="str">
        <f ca="1">IFERROR(Prices!B234/Prices!B233-1,"")</f>
        <v/>
      </c>
      <c r="C235" s="148" t="str">
        <f ca="1">IFERROR(Prices!C234/Prices!C233-1,"")</f>
        <v/>
      </c>
      <c r="D235" s="148" t="str">
        <f ca="1">IFERROR(Prices!D234/Prices!D233-1,"")</f>
        <v/>
      </c>
      <c r="E235" s="148" t="str">
        <f ca="1">IFERROR(Prices!E234/Prices!E233-1,"")</f>
        <v/>
      </c>
      <c r="F235" s="148" t="str">
        <f ca="1">IFERROR(Prices!F234/Prices!F233-1,"")</f>
        <v/>
      </c>
      <c r="G235" s="148" t="str">
        <f ca="1">IFERROR(Prices!G234/Prices!G233-1,"")</f>
        <v/>
      </c>
      <c r="H235" s="148" t="str">
        <f ca="1">IFERROR(Prices!H234/Prices!H233-1,"")</f>
        <v/>
      </c>
      <c r="I235" s="149" t="str">
        <f ca="1">IFERROR(Prices!I234/Prices!I233-1,"")</f>
        <v/>
      </c>
      <c r="J235" s="150">
        <f t="shared" ca="1" si="5"/>
        <v>0</v>
      </c>
      <c r="K235" s="112"/>
      <c r="L235" s="112"/>
      <c r="M235" s="112"/>
    </row>
    <row r="236" spans="1:13" x14ac:dyDescent="0.3">
      <c r="A236" s="147" t="str">
        <f ca="1">Prices!$A$235</f>
        <v/>
      </c>
      <c r="B236" s="148" t="str">
        <f ca="1">IFERROR(Prices!B235/Prices!B234-1,"")</f>
        <v/>
      </c>
      <c r="C236" s="148" t="str">
        <f ca="1">IFERROR(Prices!C235/Prices!C234-1,"")</f>
        <v/>
      </c>
      <c r="D236" s="148" t="str">
        <f ca="1">IFERROR(Prices!D235/Prices!D234-1,"")</f>
        <v/>
      </c>
      <c r="E236" s="148" t="str">
        <f ca="1">IFERROR(Prices!E235/Prices!E234-1,"")</f>
        <v/>
      </c>
      <c r="F236" s="148" t="str">
        <f ca="1">IFERROR(Prices!F235/Prices!F234-1,"")</f>
        <v/>
      </c>
      <c r="G236" s="148" t="str">
        <f ca="1">IFERROR(Prices!G235/Prices!G234-1,"")</f>
        <v/>
      </c>
      <c r="H236" s="148" t="str">
        <f ca="1">IFERROR(Prices!H235/Prices!H234-1,"")</f>
        <v/>
      </c>
      <c r="I236" s="149" t="str">
        <f ca="1">IFERROR(Prices!I235/Prices!I234-1,"")</f>
        <v/>
      </c>
      <c r="J236" s="150">
        <f t="shared" ca="1" si="5"/>
        <v>0</v>
      </c>
      <c r="K236" s="112"/>
      <c r="L236" s="112"/>
      <c r="M236" s="112"/>
    </row>
    <row r="237" spans="1:13" x14ac:dyDescent="0.3">
      <c r="A237" s="147" t="str">
        <f ca="1">Prices!$A$236</f>
        <v/>
      </c>
      <c r="B237" s="148" t="str">
        <f ca="1">IFERROR(Prices!B236/Prices!B235-1,"")</f>
        <v/>
      </c>
      <c r="C237" s="148" t="str">
        <f ca="1">IFERROR(Prices!C236/Prices!C235-1,"")</f>
        <v/>
      </c>
      <c r="D237" s="148" t="str">
        <f ca="1">IFERROR(Prices!D236/Prices!D235-1,"")</f>
        <v/>
      </c>
      <c r="E237" s="148" t="str">
        <f ca="1">IFERROR(Prices!E236/Prices!E235-1,"")</f>
        <v/>
      </c>
      <c r="F237" s="148" t="str">
        <f ca="1">IFERROR(Prices!F236/Prices!F235-1,"")</f>
        <v/>
      </c>
      <c r="G237" s="148" t="str">
        <f ca="1">IFERROR(Prices!G236/Prices!G235-1,"")</f>
        <v/>
      </c>
      <c r="H237" s="148" t="str">
        <f ca="1">IFERROR(Prices!H236/Prices!H235-1,"")</f>
        <v/>
      </c>
      <c r="I237" s="149" t="str">
        <f ca="1">IFERROR(Prices!I236/Prices!I235-1,"")</f>
        <v/>
      </c>
      <c r="J237" s="150">
        <f t="shared" ca="1" si="5"/>
        <v>0</v>
      </c>
      <c r="K237" s="112"/>
      <c r="L237" s="112"/>
      <c r="M237" s="112"/>
    </row>
    <row r="238" spans="1:13" x14ac:dyDescent="0.3">
      <c r="A238" s="147" t="str">
        <f ca="1">Prices!$A$237</f>
        <v/>
      </c>
      <c r="B238" s="148" t="str">
        <f ca="1">IFERROR(Prices!B237/Prices!B236-1,"")</f>
        <v/>
      </c>
      <c r="C238" s="148" t="str">
        <f ca="1">IFERROR(Prices!C237/Prices!C236-1,"")</f>
        <v/>
      </c>
      <c r="D238" s="148" t="str">
        <f ca="1">IFERROR(Prices!D237/Prices!D236-1,"")</f>
        <v/>
      </c>
      <c r="E238" s="148" t="str">
        <f ca="1">IFERROR(Prices!E237/Prices!E236-1,"")</f>
        <v/>
      </c>
      <c r="F238" s="148" t="str">
        <f ca="1">IFERROR(Prices!F237/Prices!F236-1,"")</f>
        <v/>
      </c>
      <c r="G238" s="148" t="str">
        <f ca="1">IFERROR(Prices!G237/Prices!G236-1,"")</f>
        <v/>
      </c>
      <c r="H238" s="148" t="str">
        <f ca="1">IFERROR(Prices!H237/Prices!H236-1,"")</f>
        <v/>
      </c>
      <c r="I238" s="149" t="str">
        <f ca="1">IFERROR(Prices!I237/Prices!I236-1,"")</f>
        <v/>
      </c>
      <c r="J238" s="150">
        <f t="shared" ca="1" si="5"/>
        <v>0</v>
      </c>
      <c r="K238" s="112"/>
      <c r="L238" s="112"/>
      <c r="M238" s="112"/>
    </row>
    <row r="239" spans="1:13" x14ac:dyDescent="0.3">
      <c r="A239" s="147" t="str">
        <f ca="1">Prices!$A$238</f>
        <v/>
      </c>
      <c r="B239" s="148" t="str">
        <f ca="1">IFERROR(Prices!B238/Prices!B237-1,"")</f>
        <v/>
      </c>
      <c r="C239" s="148" t="str">
        <f ca="1">IFERROR(Prices!C238/Prices!C237-1,"")</f>
        <v/>
      </c>
      <c r="D239" s="148" t="str">
        <f ca="1">IFERROR(Prices!D238/Prices!D237-1,"")</f>
        <v/>
      </c>
      <c r="E239" s="148" t="str">
        <f ca="1">IFERROR(Prices!E238/Prices!E237-1,"")</f>
        <v/>
      </c>
      <c r="F239" s="148" t="str">
        <f ca="1">IFERROR(Prices!F238/Prices!F237-1,"")</f>
        <v/>
      </c>
      <c r="G239" s="148" t="str">
        <f ca="1">IFERROR(Prices!G238/Prices!G237-1,"")</f>
        <v/>
      </c>
      <c r="H239" s="148" t="str">
        <f ca="1">IFERROR(Prices!H238/Prices!H237-1,"")</f>
        <v/>
      </c>
      <c r="I239" s="149" t="str">
        <f ca="1">IFERROR(Prices!I238/Prices!I237-1,"")</f>
        <v/>
      </c>
      <c r="J239" s="150">
        <f t="shared" ca="1" si="5"/>
        <v>0</v>
      </c>
      <c r="K239" s="112"/>
      <c r="L239" s="112"/>
      <c r="M239" s="112"/>
    </row>
    <row r="240" spans="1:13" x14ac:dyDescent="0.3">
      <c r="A240" s="147" t="str">
        <f ca="1">Prices!$A$239</f>
        <v/>
      </c>
      <c r="B240" s="148" t="str">
        <f ca="1">IFERROR(Prices!B239/Prices!B238-1,"")</f>
        <v/>
      </c>
      <c r="C240" s="148" t="str">
        <f ca="1">IFERROR(Prices!C239/Prices!C238-1,"")</f>
        <v/>
      </c>
      <c r="D240" s="148" t="str">
        <f ca="1">IFERROR(Prices!D239/Prices!D238-1,"")</f>
        <v/>
      </c>
      <c r="E240" s="148" t="str">
        <f ca="1">IFERROR(Prices!E239/Prices!E238-1,"")</f>
        <v/>
      </c>
      <c r="F240" s="148" t="str">
        <f ca="1">IFERROR(Prices!F239/Prices!F238-1,"")</f>
        <v/>
      </c>
      <c r="G240" s="148" t="str">
        <f ca="1">IFERROR(Prices!G239/Prices!G238-1,"")</f>
        <v/>
      </c>
      <c r="H240" s="148" t="str">
        <f ca="1">IFERROR(Prices!H239/Prices!H238-1,"")</f>
        <v/>
      </c>
      <c r="I240" s="149" t="str">
        <f ca="1">IFERROR(Prices!I239/Prices!I238-1,"")</f>
        <v/>
      </c>
      <c r="J240" s="150">
        <f t="shared" ca="1" si="5"/>
        <v>0</v>
      </c>
      <c r="K240" s="112"/>
      <c r="L240" s="112"/>
      <c r="M240" s="112"/>
    </row>
    <row r="241" spans="1:13" x14ac:dyDescent="0.3">
      <c r="A241" s="147" t="str">
        <f ca="1">Prices!$A$240</f>
        <v/>
      </c>
      <c r="B241" s="148" t="str">
        <f ca="1">IFERROR(Prices!B240/Prices!B239-1,"")</f>
        <v/>
      </c>
      <c r="C241" s="148" t="str">
        <f ca="1">IFERROR(Prices!C240/Prices!C239-1,"")</f>
        <v/>
      </c>
      <c r="D241" s="148" t="str">
        <f ca="1">IFERROR(Prices!D240/Prices!D239-1,"")</f>
        <v/>
      </c>
      <c r="E241" s="148" t="str">
        <f ca="1">IFERROR(Prices!E240/Prices!E239-1,"")</f>
        <v/>
      </c>
      <c r="F241" s="148" t="str">
        <f ca="1">IFERROR(Prices!F240/Prices!F239-1,"")</f>
        <v/>
      </c>
      <c r="G241" s="148" t="str">
        <f ca="1">IFERROR(Prices!G240/Prices!G239-1,"")</f>
        <v/>
      </c>
      <c r="H241" s="148" t="str">
        <f ca="1">IFERROR(Prices!H240/Prices!H239-1,"")</f>
        <v/>
      </c>
      <c r="I241" s="149" t="str">
        <f ca="1">IFERROR(Prices!I240/Prices!I239-1,"")</f>
        <v/>
      </c>
      <c r="J241" s="150">
        <f t="shared" ca="1" si="5"/>
        <v>0</v>
      </c>
      <c r="K241" s="112"/>
      <c r="L241" s="112"/>
      <c r="M241" s="112"/>
    </row>
    <row r="242" spans="1:13" x14ac:dyDescent="0.3">
      <c r="A242" s="147" t="str">
        <f ca="1">Prices!$A$241</f>
        <v/>
      </c>
      <c r="B242" s="148" t="str">
        <f ca="1">IFERROR(Prices!B241/Prices!B240-1,"")</f>
        <v/>
      </c>
      <c r="C242" s="148" t="str">
        <f ca="1">IFERROR(Prices!C241/Prices!C240-1,"")</f>
        <v/>
      </c>
      <c r="D242" s="148" t="str">
        <f ca="1">IFERROR(Prices!D241/Prices!D240-1,"")</f>
        <v/>
      </c>
      <c r="E242" s="148" t="str">
        <f ca="1">IFERROR(Prices!E241/Prices!E240-1,"")</f>
        <v/>
      </c>
      <c r="F242" s="148" t="str">
        <f ca="1">IFERROR(Prices!F241/Prices!F240-1,"")</f>
        <v/>
      </c>
      <c r="G242" s="148" t="str">
        <f ca="1">IFERROR(Prices!G241/Prices!G240-1,"")</f>
        <v/>
      </c>
      <c r="H242" s="148" t="str">
        <f ca="1">IFERROR(Prices!H241/Prices!H240-1,"")</f>
        <v/>
      </c>
      <c r="I242" s="149" t="str">
        <f ca="1">IFERROR(Prices!I241/Prices!I240-1,"")</f>
        <v/>
      </c>
      <c r="J242" s="150">
        <f t="shared" ca="1" si="5"/>
        <v>0</v>
      </c>
      <c r="K242" s="112"/>
      <c r="L242" s="112"/>
      <c r="M242" s="112"/>
    </row>
    <row r="243" spans="1:13" x14ac:dyDescent="0.3">
      <c r="A243" s="147" t="str">
        <f ca="1">Prices!$A$242</f>
        <v/>
      </c>
      <c r="B243" s="148" t="str">
        <f ca="1">IFERROR(Prices!B242/Prices!B241-1,"")</f>
        <v/>
      </c>
      <c r="C243" s="148" t="str">
        <f ca="1">IFERROR(Prices!C242/Prices!C241-1,"")</f>
        <v/>
      </c>
      <c r="D243" s="148" t="str">
        <f ca="1">IFERROR(Prices!D242/Prices!D241-1,"")</f>
        <v/>
      </c>
      <c r="E243" s="148" t="str">
        <f ca="1">IFERROR(Prices!E242/Prices!E241-1,"")</f>
        <v/>
      </c>
      <c r="F243" s="148" t="str">
        <f ca="1">IFERROR(Prices!F242/Prices!F241-1,"")</f>
        <v/>
      </c>
      <c r="G243" s="148" t="str">
        <f ca="1">IFERROR(Prices!G242/Prices!G241-1,"")</f>
        <v/>
      </c>
      <c r="H243" s="148" t="str">
        <f ca="1">IFERROR(Prices!H242/Prices!H241-1,"")</f>
        <v/>
      </c>
      <c r="I243" s="149" t="str">
        <f ca="1">IFERROR(Prices!I242/Prices!I241-1,"")</f>
        <v/>
      </c>
      <c r="J243" s="150">
        <f t="shared" ca="1" si="5"/>
        <v>0</v>
      </c>
      <c r="K243" s="112"/>
      <c r="L243" s="112"/>
      <c r="M243" s="112"/>
    </row>
    <row r="244" spans="1:13" x14ac:dyDescent="0.3">
      <c r="A244" s="147" t="str">
        <f ca="1">Prices!$A$243</f>
        <v/>
      </c>
      <c r="B244" s="148" t="str">
        <f ca="1">IFERROR(Prices!B243/Prices!B242-1,"")</f>
        <v/>
      </c>
      <c r="C244" s="148" t="str">
        <f ca="1">IFERROR(Prices!C243/Prices!C242-1,"")</f>
        <v/>
      </c>
      <c r="D244" s="148" t="str">
        <f ca="1">IFERROR(Prices!D243/Prices!D242-1,"")</f>
        <v/>
      </c>
      <c r="E244" s="148" t="str">
        <f ca="1">IFERROR(Prices!E243/Prices!E242-1,"")</f>
        <v/>
      </c>
      <c r="F244" s="148" t="str">
        <f ca="1">IFERROR(Prices!F243/Prices!F242-1,"")</f>
        <v/>
      </c>
      <c r="G244" s="148" t="str">
        <f ca="1">IFERROR(Prices!G243/Prices!G242-1,"")</f>
        <v/>
      </c>
      <c r="H244" s="148" t="str">
        <f ca="1">IFERROR(Prices!H243/Prices!H242-1,"")</f>
        <v/>
      </c>
      <c r="I244" s="149" t="str">
        <f ca="1">IFERROR(Prices!I243/Prices!I242-1,"")</f>
        <v/>
      </c>
      <c r="J244" s="150">
        <f t="shared" ca="1" si="5"/>
        <v>0</v>
      </c>
      <c r="K244" s="112"/>
      <c r="L244" s="112"/>
      <c r="M244" s="112"/>
    </row>
    <row r="245" spans="1:13" x14ac:dyDescent="0.3">
      <c r="A245" s="147" t="str">
        <f ca="1">Prices!$A$244</f>
        <v/>
      </c>
      <c r="B245" s="148" t="str">
        <f ca="1">IFERROR(Prices!B244/Prices!B243-1,"")</f>
        <v/>
      </c>
      <c r="C245" s="148" t="str">
        <f ca="1">IFERROR(Prices!C244/Prices!C243-1,"")</f>
        <v/>
      </c>
      <c r="D245" s="148" t="str">
        <f ca="1">IFERROR(Prices!D244/Prices!D243-1,"")</f>
        <v/>
      </c>
      <c r="E245" s="148" t="str">
        <f ca="1">IFERROR(Prices!E244/Prices!E243-1,"")</f>
        <v/>
      </c>
      <c r="F245" s="148" t="str">
        <f ca="1">IFERROR(Prices!F244/Prices!F243-1,"")</f>
        <v/>
      </c>
      <c r="G245" s="148" t="str">
        <f ca="1">IFERROR(Prices!G244/Prices!G243-1,"")</f>
        <v/>
      </c>
      <c r="H245" s="148" t="str">
        <f ca="1">IFERROR(Prices!H244/Prices!H243-1,"")</f>
        <v/>
      </c>
      <c r="I245" s="149" t="str">
        <f ca="1">IFERROR(Prices!I244/Prices!I243-1,"")</f>
        <v/>
      </c>
      <c r="J245" s="150">
        <f t="shared" ca="1" si="5"/>
        <v>0</v>
      </c>
      <c r="K245" s="112"/>
      <c r="L245" s="112"/>
      <c r="M245" s="112"/>
    </row>
    <row r="246" spans="1:13" x14ac:dyDescent="0.3">
      <c r="A246" s="147" t="str">
        <f ca="1">Prices!$A$245</f>
        <v/>
      </c>
      <c r="B246" s="148" t="str">
        <f ca="1">IFERROR(Prices!B245/Prices!B244-1,"")</f>
        <v/>
      </c>
      <c r="C246" s="148" t="str">
        <f ca="1">IFERROR(Prices!C245/Prices!C244-1,"")</f>
        <v/>
      </c>
      <c r="D246" s="148" t="str">
        <f ca="1">IFERROR(Prices!D245/Prices!D244-1,"")</f>
        <v/>
      </c>
      <c r="E246" s="148" t="str">
        <f ca="1">IFERROR(Prices!E245/Prices!E244-1,"")</f>
        <v/>
      </c>
      <c r="F246" s="148" t="str">
        <f ca="1">IFERROR(Prices!F245/Prices!F244-1,"")</f>
        <v/>
      </c>
      <c r="G246" s="148" t="str">
        <f ca="1">IFERROR(Prices!G245/Prices!G244-1,"")</f>
        <v/>
      </c>
      <c r="H246" s="148" t="str">
        <f ca="1">IFERROR(Prices!H245/Prices!H244-1,"")</f>
        <v/>
      </c>
      <c r="I246" s="149" t="str">
        <f ca="1">IFERROR(Prices!I245/Prices!I244-1,"")</f>
        <v/>
      </c>
      <c r="J246" s="150">
        <f t="shared" ca="1" si="5"/>
        <v>0</v>
      </c>
      <c r="K246" s="112"/>
      <c r="L246" s="112"/>
      <c r="M246" s="112"/>
    </row>
    <row r="247" spans="1:13" x14ac:dyDescent="0.3">
      <c r="A247" s="147" t="str">
        <f ca="1">Prices!$A$246</f>
        <v/>
      </c>
      <c r="B247" s="148" t="str">
        <f ca="1">IFERROR(Prices!B246/Prices!B245-1,"")</f>
        <v/>
      </c>
      <c r="C247" s="148" t="str">
        <f ca="1">IFERROR(Prices!C246/Prices!C245-1,"")</f>
        <v/>
      </c>
      <c r="D247" s="148" t="str">
        <f ca="1">IFERROR(Prices!D246/Prices!D245-1,"")</f>
        <v/>
      </c>
      <c r="E247" s="148" t="str">
        <f ca="1">IFERROR(Prices!E246/Prices!E245-1,"")</f>
        <v/>
      </c>
      <c r="F247" s="148" t="str">
        <f ca="1">IFERROR(Prices!F246/Prices!F245-1,"")</f>
        <v/>
      </c>
      <c r="G247" s="148" t="str">
        <f ca="1">IFERROR(Prices!G246/Prices!G245-1,"")</f>
        <v/>
      </c>
      <c r="H247" s="148" t="str">
        <f ca="1">IFERROR(Prices!H246/Prices!H245-1,"")</f>
        <v/>
      </c>
      <c r="I247" s="149" t="str">
        <f ca="1">IFERROR(Prices!I246/Prices!I245-1,"")</f>
        <v/>
      </c>
      <c r="J247" s="150">
        <f t="shared" ca="1" si="5"/>
        <v>0</v>
      </c>
      <c r="K247" s="112"/>
      <c r="L247" s="112"/>
      <c r="M247" s="112"/>
    </row>
    <row r="248" spans="1:13" x14ac:dyDescent="0.3">
      <c r="A248" s="147" t="str">
        <f ca="1">Prices!$A$247</f>
        <v/>
      </c>
      <c r="B248" s="148" t="str">
        <f ca="1">IFERROR(Prices!B247/Prices!B246-1,"")</f>
        <v/>
      </c>
      <c r="C248" s="148" t="str">
        <f ca="1">IFERROR(Prices!C247/Prices!C246-1,"")</f>
        <v/>
      </c>
      <c r="D248" s="148" t="str">
        <f ca="1">IFERROR(Prices!D247/Prices!D246-1,"")</f>
        <v/>
      </c>
      <c r="E248" s="148" t="str">
        <f ca="1">IFERROR(Prices!E247/Prices!E246-1,"")</f>
        <v/>
      </c>
      <c r="F248" s="148" t="str">
        <f ca="1">IFERROR(Prices!F247/Prices!F246-1,"")</f>
        <v/>
      </c>
      <c r="G248" s="148" t="str">
        <f ca="1">IFERROR(Prices!G247/Prices!G246-1,"")</f>
        <v/>
      </c>
      <c r="H248" s="148" t="str">
        <f ca="1">IFERROR(Prices!H247/Prices!H246-1,"")</f>
        <v/>
      </c>
      <c r="I248" s="149" t="str">
        <f ca="1">IFERROR(Prices!I247/Prices!I246-1,"")</f>
        <v/>
      </c>
      <c r="J248" s="150">
        <f t="shared" ca="1" si="5"/>
        <v>0</v>
      </c>
      <c r="K248" s="112"/>
      <c r="L248" s="112"/>
      <c r="M248" s="112"/>
    </row>
    <row r="249" spans="1:13" x14ac:dyDescent="0.3">
      <c r="A249" s="147" t="str">
        <f ca="1">Prices!$A$248</f>
        <v/>
      </c>
      <c r="B249" s="148" t="str">
        <f ca="1">IFERROR(Prices!B248/Prices!B247-1,"")</f>
        <v/>
      </c>
      <c r="C249" s="148" t="str">
        <f ca="1">IFERROR(Prices!C248/Prices!C247-1,"")</f>
        <v/>
      </c>
      <c r="D249" s="148" t="str">
        <f ca="1">IFERROR(Prices!D248/Prices!D247-1,"")</f>
        <v/>
      </c>
      <c r="E249" s="148" t="str">
        <f ca="1">IFERROR(Prices!E248/Prices!E247-1,"")</f>
        <v/>
      </c>
      <c r="F249" s="148" t="str">
        <f ca="1">IFERROR(Prices!F248/Prices!F247-1,"")</f>
        <v/>
      </c>
      <c r="G249" s="148" t="str">
        <f ca="1">IFERROR(Prices!G248/Prices!G247-1,"")</f>
        <v/>
      </c>
      <c r="H249" s="148" t="str">
        <f ca="1">IFERROR(Prices!H248/Prices!H247-1,"")</f>
        <v/>
      </c>
      <c r="I249" s="149" t="str">
        <f ca="1">IFERROR(Prices!I248/Prices!I247-1,"")</f>
        <v/>
      </c>
      <c r="J249" s="150">
        <f t="shared" ca="1" si="5"/>
        <v>0</v>
      </c>
      <c r="K249" s="112"/>
      <c r="L249" s="112"/>
      <c r="M249" s="112"/>
    </row>
    <row r="250" spans="1:13" x14ac:dyDescent="0.3">
      <c r="A250" s="147" t="str">
        <f ca="1">Prices!$A$249</f>
        <v/>
      </c>
      <c r="B250" s="148" t="str">
        <f ca="1">IFERROR(Prices!B249/Prices!B248-1,"")</f>
        <v/>
      </c>
      <c r="C250" s="148" t="str">
        <f ca="1">IFERROR(Prices!C249/Prices!C248-1,"")</f>
        <v/>
      </c>
      <c r="D250" s="148" t="str">
        <f ca="1">IFERROR(Prices!D249/Prices!D248-1,"")</f>
        <v/>
      </c>
      <c r="E250" s="148" t="str">
        <f ca="1">IFERROR(Prices!E249/Prices!E248-1,"")</f>
        <v/>
      </c>
      <c r="F250" s="148" t="str">
        <f ca="1">IFERROR(Prices!F249/Prices!F248-1,"")</f>
        <v/>
      </c>
      <c r="G250" s="148" t="str">
        <f ca="1">IFERROR(Prices!G249/Prices!G248-1,"")</f>
        <v/>
      </c>
      <c r="H250" s="148" t="str">
        <f ca="1">IFERROR(Prices!H249/Prices!H248-1,"")</f>
        <v/>
      </c>
      <c r="I250" s="149" t="str">
        <f ca="1">IFERROR(Prices!I249/Prices!I248-1,"")</f>
        <v/>
      </c>
      <c r="J250" s="150">
        <f t="shared" ca="1" si="5"/>
        <v>0</v>
      </c>
      <c r="K250" s="112"/>
      <c r="L250" s="112"/>
      <c r="M250" s="112"/>
    </row>
    <row r="251" spans="1:13" x14ac:dyDescent="0.3">
      <c r="A251" s="147" t="str">
        <f ca="1">Prices!$A$250</f>
        <v/>
      </c>
      <c r="B251" s="148" t="str">
        <f ca="1">IFERROR(Prices!B250/Prices!B249-1,"")</f>
        <v/>
      </c>
      <c r="C251" s="148" t="str">
        <f ca="1">IFERROR(Prices!C250/Prices!C249-1,"")</f>
        <v/>
      </c>
      <c r="D251" s="148" t="str">
        <f ca="1">IFERROR(Prices!D250/Prices!D249-1,"")</f>
        <v/>
      </c>
      <c r="E251" s="148" t="str">
        <f ca="1">IFERROR(Prices!E250/Prices!E249-1,"")</f>
        <v/>
      </c>
      <c r="F251" s="148" t="str">
        <f ca="1">IFERROR(Prices!F250/Prices!F249-1,"")</f>
        <v/>
      </c>
      <c r="G251" s="148" t="str">
        <f ca="1">IFERROR(Prices!G250/Prices!G249-1,"")</f>
        <v/>
      </c>
      <c r="H251" s="148" t="str">
        <f ca="1">IFERROR(Prices!H250/Prices!H249-1,"")</f>
        <v/>
      </c>
      <c r="I251" s="149" t="str">
        <f ca="1">IFERROR(Prices!I250/Prices!I249-1,"")</f>
        <v/>
      </c>
      <c r="J251" s="150">
        <f t="shared" ca="1" si="5"/>
        <v>0</v>
      </c>
      <c r="K251" s="112"/>
      <c r="L251" s="112"/>
      <c r="M251" s="112"/>
    </row>
    <row r="252" spans="1:13" x14ac:dyDescent="0.3">
      <c r="A252" s="147" t="str">
        <f ca="1">Prices!$A$251</f>
        <v/>
      </c>
      <c r="B252" s="148" t="str">
        <f ca="1">IFERROR(Prices!B251/Prices!B250-1,"")</f>
        <v/>
      </c>
      <c r="C252" s="148" t="str">
        <f ca="1">IFERROR(Prices!C251/Prices!C250-1,"")</f>
        <v/>
      </c>
      <c r="D252" s="148" t="str">
        <f ca="1">IFERROR(Prices!D251/Prices!D250-1,"")</f>
        <v/>
      </c>
      <c r="E252" s="148" t="str">
        <f ca="1">IFERROR(Prices!E251/Prices!E250-1,"")</f>
        <v/>
      </c>
      <c r="F252" s="148" t="str">
        <f ca="1">IFERROR(Prices!F251/Prices!F250-1,"")</f>
        <v/>
      </c>
      <c r="G252" s="148" t="str">
        <f ca="1">IFERROR(Prices!G251/Prices!G250-1,"")</f>
        <v/>
      </c>
      <c r="H252" s="148" t="str">
        <f ca="1">IFERROR(Prices!H251/Prices!H250-1,"")</f>
        <v/>
      </c>
      <c r="I252" s="149" t="str">
        <f ca="1">IFERROR(Prices!I251/Prices!I250-1,"")</f>
        <v/>
      </c>
      <c r="J252" s="150">
        <f t="shared" ca="1" si="5"/>
        <v>0</v>
      </c>
      <c r="K252" s="112"/>
      <c r="L252" s="112"/>
      <c r="M252" s="112"/>
    </row>
    <row r="253" spans="1:13" x14ac:dyDescent="0.3">
      <c r="A253" s="147" t="str">
        <f ca="1">Prices!$A$252</f>
        <v/>
      </c>
      <c r="B253" s="148" t="str">
        <f ca="1">IFERROR(Prices!B252/Prices!B251-1,"")</f>
        <v/>
      </c>
      <c r="C253" s="148" t="str">
        <f ca="1">IFERROR(Prices!C252/Prices!C251-1,"")</f>
        <v/>
      </c>
      <c r="D253" s="148" t="str">
        <f ca="1">IFERROR(Prices!D252/Prices!D251-1,"")</f>
        <v/>
      </c>
      <c r="E253" s="148" t="str">
        <f ca="1">IFERROR(Prices!E252/Prices!E251-1,"")</f>
        <v/>
      </c>
      <c r="F253" s="148" t="str">
        <f ca="1">IFERROR(Prices!F252/Prices!F251-1,"")</f>
        <v/>
      </c>
      <c r="G253" s="148" t="str">
        <f ca="1">IFERROR(Prices!G252/Prices!G251-1,"")</f>
        <v/>
      </c>
      <c r="H253" s="148" t="str">
        <f ca="1">IFERROR(Prices!H252/Prices!H251-1,"")</f>
        <v/>
      </c>
      <c r="I253" s="149" t="str">
        <f ca="1">IFERROR(Prices!I252/Prices!I251-1,"")</f>
        <v/>
      </c>
      <c r="J253" s="150">
        <f t="shared" ca="1" si="5"/>
        <v>0</v>
      </c>
      <c r="K253" s="112"/>
      <c r="L253" s="112"/>
      <c r="M253" s="112"/>
    </row>
    <row r="254" spans="1:13" x14ac:dyDescent="0.3">
      <c r="A254" s="147" t="str">
        <f ca="1">Prices!$A$253</f>
        <v/>
      </c>
      <c r="B254" s="148" t="str">
        <f ca="1">IFERROR(Prices!B253/Prices!B252-1,"")</f>
        <v/>
      </c>
      <c r="C254" s="148" t="str">
        <f ca="1">IFERROR(Prices!C253/Prices!C252-1,"")</f>
        <v/>
      </c>
      <c r="D254" s="148" t="str">
        <f ca="1">IFERROR(Prices!D253/Prices!D252-1,"")</f>
        <v/>
      </c>
      <c r="E254" s="148" t="str">
        <f ca="1">IFERROR(Prices!E253/Prices!E252-1,"")</f>
        <v/>
      </c>
      <c r="F254" s="148" t="str">
        <f ca="1">IFERROR(Prices!F253/Prices!F252-1,"")</f>
        <v/>
      </c>
      <c r="G254" s="148" t="str">
        <f ca="1">IFERROR(Prices!G253/Prices!G252-1,"")</f>
        <v/>
      </c>
      <c r="H254" s="148" t="str">
        <f ca="1">IFERROR(Prices!H253/Prices!H252-1,"")</f>
        <v/>
      </c>
      <c r="I254" s="149" t="str">
        <f ca="1">IFERROR(Prices!I253/Prices!I252-1,"")</f>
        <v/>
      </c>
      <c r="J254" s="150">
        <f t="shared" ca="1" si="5"/>
        <v>0</v>
      </c>
      <c r="K254" s="112"/>
      <c r="L254" s="112"/>
      <c r="M254" s="112"/>
    </row>
    <row r="255" spans="1:13" x14ac:dyDescent="0.3">
      <c r="A255" s="147" t="str">
        <f ca="1">Prices!$A$254</f>
        <v/>
      </c>
      <c r="B255" s="148" t="str">
        <f ca="1">IFERROR(Prices!B254/Prices!B253-1,"")</f>
        <v/>
      </c>
      <c r="C255" s="148" t="str">
        <f ca="1">IFERROR(Prices!C254/Prices!C253-1,"")</f>
        <v/>
      </c>
      <c r="D255" s="148" t="str">
        <f ca="1">IFERROR(Prices!D254/Prices!D253-1,"")</f>
        <v/>
      </c>
      <c r="E255" s="148" t="str">
        <f ca="1">IFERROR(Prices!E254/Prices!E253-1,"")</f>
        <v/>
      </c>
      <c r="F255" s="148" t="str">
        <f ca="1">IFERROR(Prices!F254/Prices!F253-1,"")</f>
        <v/>
      </c>
      <c r="G255" s="148" t="str">
        <f ca="1">IFERROR(Prices!G254/Prices!G253-1,"")</f>
        <v/>
      </c>
      <c r="H255" s="148" t="str">
        <f ca="1">IFERROR(Prices!H254/Prices!H253-1,"")</f>
        <v/>
      </c>
      <c r="I255" s="149" t="str">
        <f ca="1">IFERROR(Prices!I254/Prices!I253-1,"")</f>
        <v/>
      </c>
      <c r="J255" s="150">
        <f t="shared" ca="1" si="5"/>
        <v>0</v>
      </c>
      <c r="K255" s="112"/>
      <c r="L255" s="112"/>
      <c r="M255" s="112"/>
    </row>
    <row r="256" spans="1:13" x14ac:dyDescent="0.3">
      <c r="A256" s="147" t="str">
        <f ca="1">Prices!$A$255</f>
        <v/>
      </c>
      <c r="B256" s="148" t="str">
        <f ca="1">IFERROR(Prices!B255/Prices!B254-1,"")</f>
        <v/>
      </c>
      <c r="C256" s="148" t="str">
        <f ca="1">IFERROR(Prices!C255/Prices!C254-1,"")</f>
        <v/>
      </c>
      <c r="D256" s="148" t="str">
        <f ca="1">IFERROR(Prices!D255/Prices!D254-1,"")</f>
        <v/>
      </c>
      <c r="E256" s="148" t="str">
        <f ca="1">IFERROR(Prices!E255/Prices!E254-1,"")</f>
        <v/>
      </c>
      <c r="F256" s="148" t="str">
        <f ca="1">IFERROR(Prices!F255/Prices!F254-1,"")</f>
        <v/>
      </c>
      <c r="G256" s="148" t="str">
        <f ca="1">IFERROR(Prices!G255/Prices!G254-1,"")</f>
        <v/>
      </c>
      <c r="H256" s="148" t="str">
        <f ca="1">IFERROR(Prices!H255/Prices!H254-1,"")</f>
        <v/>
      </c>
      <c r="I256" s="149" t="str">
        <f ca="1">IFERROR(Prices!I255/Prices!I254-1,"")</f>
        <v/>
      </c>
      <c r="J256" s="150">
        <f t="shared" ca="1" si="5"/>
        <v>0</v>
      </c>
      <c r="K256" s="112"/>
      <c r="L256" s="112"/>
      <c r="M256" s="112"/>
    </row>
    <row r="257" spans="1:13" x14ac:dyDescent="0.3">
      <c r="A257" s="147" t="str">
        <f ca="1">Prices!$A$256</f>
        <v/>
      </c>
      <c r="B257" s="148" t="str">
        <f ca="1">IFERROR(Prices!B256/Prices!B255-1,"")</f>
        <v/>
      </c>
      <c r="C257" s="148" t="str">
        <f ca="1">IFERROR(Prices!C256/Prices!C255-1,"")</f>
        <v/>
      </c>
      <c r="D257" s="148" t="str">
        <f ca="1">IFERROR(Prices!D256/Prices!D255-1,"")</f>
        <v/>
      </c>
      <c r="E257" s="148" t="str">
        <f ca="1">IFERROR(Prices!E256/Prices!E255-1,"")</f>
        <v/>
      </c>
      <c r="F257" s="148" t="str">
        <f ca="1">IFERROR(Prices!F256/Prices!F255-1,"")</f>
        <v/>
      </c>
      <c r="G257" s="148" t="str">
        <f ca="1">IFERROR(Prices!G256/Prices!G255-1,"")</f>
        <v/>
      </c>
      <c r="H257" s="148" t="str">
        <f ca="1">IFERROR(Prices!H256/Prices!H255-1,"")</f>
        <v/>
      </c>
      <c r="I257" s="149" t="str">
        <f ca="1">IFERROR(Prices!I256/Prices!I255-1,"")</f>
        <v/>
      </c>
      <c r="J257" s="150">
        <f t="shared" ca="1" si="5"/>
        <v>0</v>
      </c>
      <c r="K257" s="112"/>
      <c r="L257" s="112"/>
      <c r="M257" s="112"/>
    </row>
    <row r="258" spans="1:13" x14ac:dyDescent="0.3">
      <c r="A258" s="147" t="str">
        <f ca="1">Prices!$A$257</f>
        <v/>
      </c>
      <c r="B258" s="148" t="str">
        <f ca="1">IFERROR(Prices!B257/Prices!B256-1,"")</f>
        <v/>
      </c>
      <c r="C258" s="148" t="str">
        <f ca="1">IFERROR(Prices!C257/Prices!C256-1,"")</f>
        <v/>
      </c>
      <c r="D258" s="148" t="str">
        <f ca="1">IFERROR(Prices!D257/Prices!D256-1,"")</f>
        <v/>
      </c>
      <c r="E258" s="148" t="str">
        <f ca="1">IFERROR(Prices!E257/Prices!E256-1,"")</f>
        <v/>
      </c>
      <c r="F258" s="148" t="str">
        <f ca="1">IFERROR(Prices!F257/Prices!F256-1,"")</f>
        <v/>
      </c>
      <c r="G258" s="148" t="str">
        <f ca="1">IFERROR(Prices!G257/Prices!G256-1,"")</f>
        <v/>
      </c>
      <c r="H258" s="148" t="str">
        <f ca="1">IFERROR(Prices!H257/Prices!H256-1,"")</f>
        <v/>
      </c>
      <c r="I258" s="149" t="str">
        <f ca="1">IFERROR(Prices!I257/Prices!I256-1,"")</f>
        <v/>
      </c>
      <c r="J258" s="150">
        <f t="shared" ca="1" si="5"/>
        <v>0</v>
      </c>
      <c r="K258" s="112"/>
      <c r="L258" s="112"/>
      <c r="M258" s="112"/>
    </row>
    <row r="259" spans="1:13" x14ac:dyDescent="0.3">
      <c r="A259" s="147" t="str">
        <f ca="1">Prices!$A$258</f>
        <v/>
      </c>
      <c r="B259" s="148" t="str">
        <f ca="1">IFERROR(Prices!B258/Prices!B257-1,"")</f>
        <v/>
      </c>
      <c r="C259" s="148" t="str">
        <f ca="1">IFERROR(Prices!C258/Prices!C257-1,"")</f>
        <v/>
      </c>
      <c r="D259" s="148" t="str">
        <f ca="1">IFERROR(Prices!D258/Prices!D257-1,"")</f>
        <v/>
      </c>
      <c r="E259" s="148" t="str">
        <f ca="1">IFERROR(Prices!E258/Prices!E257-1,"")</f>
        <v/>
      </c>
      <c r="F259" s="148" t="str">
        <f ca="1">IFERROR(Prices!F258/Prices!F257-1,"")</f>
        <v/>
      </c>
      <c r="G259" s="148" t="str">
        <f ca="1">IFERROR(Prices!G258/Prices!G257-1,"")</f>
        <v/>
      </c>
      <c r="H259" s="148" t="str">
        <f ca="1">IFERROR(Prices!H258/Prices!H257-1,"")</f>
        <v/>
      </c>
      <c r="I259" s="149" t="str">
        <f ca="1">IFERROR(Prices!I258/Prices!I257-1,"")</f>
        <v/>
      </c>
      <c r="J259" s="150">
        <f t="shared" ca="1" si="5"/>
        <v>0</v>
      </c>
      <c r="K259" s="112"/>
      <c r="L259" s="112"/>
      <c r="M259" s="112"/>
    </row>
    <row r="260" spans="1:13" x14ac:dyDescent="0.3">
      <c r="A260" s="147" t="str">
        <f ca="1">Prices!$A$259</f>
        <v/>
      </c>
      <c r="B260" s="148" t="str">
        <f ca="1">IFERROR(Prices!B259/Prices!B258-1,"")</f>
        <v/>
      </c>
      <c r="C260" s="148" t="str">
        <f ca="1">IFERROR(Prices!C259/Prices!C258-1,"")</f>
        <v/>
      </c>
      <c r="D260" s="148" t="str">
        <f ca="1">IFERROR(Prices!D259/Prices!D258-1,"")</f>
        <v/>
      </c>
      <c r="E260" s="148" t="str">
        <f ca="1">IFERROR(Prices!E259/Prices!E258-1,"")</f>
        <v/>
      </c>
      <c r="F260" s="148" t="str">
        <f ca="1">IFERROR(Prices!F259/Prices!F258-1,"")</f>
        <v/>
      </c>
      <c r="G260" s="148" t="str">
        <f ca="1">IFERROR(Prices!G259/Prices!G258-1,"")</f>
        <v/>
      </c>
      <c r="H260" s="148" t="str">
        <f ca="1">IFERROR(Prices!H259/Prices!H258-1,"")</f>
        <v/>
      </c>
      <c r="I260" s="149" t="str">
        <f ca="1">IFERROR(Prices!I259/Prices!I258-1,"")</f>
        <v/>
      </c>
      <c r="J260" s="150">
        <f t="shared" ca="1" si="5"/>
        <v>0</v>
      </c>
      <c r="K260" s="112"/>
      <c r="L260" s="112"/>
      <c r="M260" s="112"/>
    </row>
    <row r="261" spans="1:13" x14ac:dyDescent="0.3">
      <c r="A261" s="147" t="str">
        <f ca="1">Prices!$A$260</f>
        <v/>
      </c>
      <c r="B261" s="148" t="str">
        <f ca="1">IFERROR(Prices!B260/Prices!B259-1,"")</f>
        <v/>
      </c>
      <c r="C261" s="148" t="str">
        <f ca="1">IFERROR(Prices!C260/Prices!C259-1,"")</f>
        <v/>
      </c>
      <c r="D261" s="148" t="str">
        <f ca="1">IFERROR(Prices!D260/Prices!D259-1,"")</f>
        <v/>
      </c>
      <c r="E261" s="148" t="str">
        <f ca="1">IFERROR(Prices!E260/Prices!E259-1,"")</f>
        <v/>
      </c>
      <c r="F261" s="148" t="str">
        <f ca="1">IFERROR(Prices!F260/Prices!F259-1,"")</f>
        <v/>
      </c>
      <c r="G261" s="148" t="str">
        <f ca="1">IFERROR(Prices!G260/Prices!G259-1,"")</f>
        <v/>
      </c>
      <c r="H261" s="148" t="str">
        <f ca="1">IFERROR(Prices!H260/Prices!H259-1,"")</f>
        <v/>
      </c>
      <c r="I261" s="149" t="str">
        <f ca="1">IFERROR(Prices!I260/Prices!I259-1,"")</f>
        <v/>
      </c>
      <c r="J261" s="150">
        <f t="shared" ca="1" si="5"/>
        <v>0</v>
      </c>
      <c r="K261" s="112"/>
      <c r="L261" s="112"/>
      <c r="M261" s="112"/>
    </row>
    <row r="262" spans="1:13" x14ac:dyDescent="0.3">
      <c r="A262" s="147" t="str">
        <f ca="1">Prices!$A$261</f>
        <v/>
      </c>
      <c r="B262" s="148" t="str">
        <f ca="1">IFERROR(Prices!B261/Prices!B260-1,"")</f>
        <v/>
      </c>
      <c r="C262" s="148" t="str">
        <f ca="1">IFERROR(Prices!C261/Prices!C260-1,"")</f>
        <v/>
      </c>
      <c r="D262" s="148" t="str">
        <f ca="1">IFERROR(Prices!D261/Prices!D260-1,"")</f>
        <v/>
      </c>
      <c r="E262" s="148" t="str">
        <f ca="1">IFERROR(Prices!E261/Prices!E260-1,"")</f>
        <v/>
      </c>
      <c r="F262" s="148" t="str">
        <f ca="1">IFERROR(Prices!F261/Prices!F260-1,"")</f>
        <v/>
      </c>
      <c r="G262" s="148" t="str">
        <f ca="1">IFERROR(Prices!G261/Prices!G260-1,"")</f>
        <v/>
      </c>
      <c r="H262" s="148" t="str">
        <f ca="1">IFERROR(Prices!H261/Prices!H260-1,"")</f>
        <v/>
      </c>
      <c r="I262" s="149" t="str">
        <f ca="1">IFERROR(Prices!I261/Prices!I260-1,"")</f>
        <v/>
      </c>
      <c r="J262" s="150">
        <f t="shared" ca="1" si="5"/>
        <v>0</v>
      </c>
      <c r="K262" s="112"/>
      <c r="L262" s="112"/>
      <c r="M262" s="112"/>
    </row>
    <row r="263" spans="1:13" x14ac:dyDescent="0.3">
      <c r="A263" s="147" t="str">
        <f ca="1">Prices!$A$262</f>
        <v/>
      </c>
      <c r="B263" s="148" t="str">
        <f ca="1">IFERROR(Prices!B262/Prices!B261-1,"")</f>
        <v/>
      </c>
      <c r="C263" s="148" t="str">
        <f ca="1">IFERROR(Prices!C262/Prices!C261-1,"")</f>
        <v/>
      </c>
      <c r="D263" s="148" t="str">
        <f ca="1">IFERROR(Prices!D262/Prices!D261-1,"")</f>
        <v/>
      </c>
      <c r="E263" s="148" t="str">
        <f ca="1">IFERROR(Prices!E262/Prices!E261-1,"")</f>
        <v/>
      </c>
      <c r="F263" s="148" t="str">
        <f ca="1">IFERROR(Prices!F262/Prices!F261-1,"")</f>
        <v/>
      </c>
      <c r="G263" s="148" t="str">
        <f ca="1">IFERROR(Prices!G262/Prices!G261-1,"")</f>
        <v/>
      </c>
      <c r="H263" s="148" t="str">
        <f ca="1">IFERROR(Prices!H262/Prices!H261-1,"")</f>
        <v/>
      </c>
      <c r="I263" s="149" t="str">
        <f ca="1">IFERROR(Prices!I262/Prices!I261-1,"")</f>
        <v/>
      </c>
      <c r="J263" s="150">
        <f t="shared" ref="J263:J326" ca="1" si="6">IFERROR(SUMPRODUCT(Weights,$B263:$H263),"")</f>
        <v>0</v>
      </c>
      <c r="K263" s="112"/>
      <c r="L263" s="112"/>
      <c r="M263" s="112"/>
    </row>
    <row r="264" spans="1:13" x14ac:dyDescent="0.3">
      <c r="A264" s="147" t="str">
        <f ca="1">Prices!$A$263</f>
        <v/>
      </c>
      <c r="B264" s="148" t="str">
        <f ca="1">IFERROR(Prices!B263/Prices!B262-1,"")</f>
        <v/>
      </c>
      <c r="C264" s="148" t="str">
        <f ca="1">IFERROR(Prices!C263/Prices!C262-1,"")</f>
        <v/>
      </c>
      <c r="D264" s="148" t="str">
        <f ca="1">IFERROR(Prices!D263/Prices!D262-1,"")</f>
        <v/>
      </c>
      <c r="E264" s="148" t="str">
        <f ca="1">IFERROR(Prices!E263/Prices!E262-1,"")</f>
        <v/>
      </c>
      <c r="F264" s="148" t="str">
        <f ca="1">IFERROR(Prices!F263/Prices!F262-1,"")</f>
        <v/>
      </c>
      <c r="G264" s="148" t="str">
        <f ca="1">IFERROR(Prices!G263/Prices!G262-1,"")</f>
        <v/>
      </c>
      <c r="H264" s="148" t="str">
        <f ca="1">IFERROR(Prices!H263/Prices!H262-1,"")</f>
        <v/>
      </c>
      <c r="I264" s="149" t="str">
        <f ca="1">IFERROR(Prices!I263/Prices!I262-1,"")</f>
        <v/>
      </c>
      <c r="J264" s="150">
        <f t="shared" ca="1" si="6"/>
        <v>0</v>
      </c>
      <c r="K264" s="112"/>
      <c r="L264" s="112"/>
      <c r="M264" s="112"/>
    </row>
    <row r="265" spans="1:13" x14ac:dyDescent="0.3">
      <c r="A265" s="147" t="str">
        <f ca="1">Prices!$A$264</f>
        <v/>
      </c>
      <c r="B265" s="148" t="str">
        <f ca="1">IFERROR(Prices!B264/Prices!B263-1,"")</f>
        <v/>
      </c>
      <c r="C265" s="148" t="str">
        <f ca="1">IFERROR(Prices!C264/Prices!C263-1,"")</f>
        <v/>
      </c>
      <c r="D265" s="148" t="str">
        <f ca="1">IFERROR(Prices!D264/Prices!D263-1,"")</f>
        <v/>
      </c>
      <c r="E265" s="148" t="str">
        <f ca="1">IFERROR(Prices!E264/Prices!E263-1,"")</f>
        <v/>
      </c>
      <c r="F265" s="148" t="str">
        <f ca="1">IFERROR(Prices!F264/Prices!F263-1,"")</f>
        <v/>
      </c>
      <c r="G265" s="148" t="str">
        <f ca="1">IFERROR(Prices!G264/Prices!G263-1,"")</f>
        <v/>
      </c>
      <c r="H265" s="148" t="str">
        <f ca="1">IFERROR(Prices!H264/Prices!H263-1,"")</f>
        <v/>
      </c>
      <c r="I265" s="149" t="str">
        <f ca="1">IFERROR(Prices!I264/Prices!I263-1,"")</f>
        <v/>
      </c>
      <c r="J265" s="150">
        <f t="shared" ca="1" si="6"/>
        <v>0</v>
      </c>
      <c r="K265" s="112"/>
      <c r="L265" s="112"/>
      <c r="M265" s="112"/>
    </row>
    <row r="266" spans="1:13" x14ac:dyDescent="0.3">
      <c r="A266" s="147" t="str">
        <f ca="1">Prices!$A$265</f>
        <v/>
      </c>
      <c r="B266" s="148" t="str">
        <f ca="1">IFERROR(Prices!B265/Prices!B264-1,"")</f>
        <v/>
      </c>
      <c r="C266" s="148" t="str">
        <f ca="1">IFERROR(Prices!C265/Prices!C264-1,"")</f>
        <v/>
      </c>
      <c r="D266" s="148" t="str">
        <f ca="1">IFERROR(Prices!D265/Prices!D264-1,"")</f>
        <v/>
      </c>
      <c r="E266" s="148" t="str">
        <f ca="1">IFERROR(Prices!E265/Prices!E264-1,"")</f>
        <v/>
      </c>
      <c r="F266" s="148" t="str">
        <f ca="1">IFERROR(Prices!F265/Prices!F264-1,"")</f>
        <v/>
      </c>
      <c r="G266" s="148" t="str">
        <f ca="1">IFERROR(Prices!G265/Prices!G264-1,"")</f>
        <v/>
      </c>
      <c r="H266" s="148" t="str">
        <f ca="1">IFERROR(Prices!H265/Prices!H264-1,"")</f>
        <v/>
      </c>
      <c r="I266" s="149" t="str">
        <f ca="1">IFERROR(Prices!I265/Prices!I264-1,"")</f>
        <v/>
      </c>
      <c r="J266" s="150">
        <f t="shared" ca="1" si="6"/>
        <v>0</v>
      </c>
      <c r="K266" s="112"/>
      <c r="L266" s="112"/>
      <c r="M266" s="112"/>
    </row>
    <row r="267" spans="1:13" x14ac:dyDescent="0.3">
      <c r="A267" s="147" t="str">
        <f ca="1">Prices!$A$266</f>
        <v/>
      </c>
      <c r="B267" s="148" t="str">
        <f ca="1">IFERROR(Prices!B266/Prices!B265-1,"")</f>
        <v/>
      </c>
      <c r="C267" s="148" t="str">
        <f ca="1">IFERROR(Prices!C266/Prices!C265-1,"")</f>
        <v/>
      </c>
      <c r="D267" s="148" t="str">
        <f ca="1">IFERROR(Prices!D266/Prices!D265-1,"")</f>
        <v/>
      </c>
      <c r="E267" s="148" t="str">
        <f ca="1">IFERROR(Prices!E266/Prices!E265-1,"")</f>
        <v/>
      </c>
      <c r="F267" s="148" t="str">
        <f ca="1">IFERROR(Prices!F266/Prices!F265-1,"")</f>
        <v/>
      </c>
      <c r="G267" s="148" t="str">
        <f ca="1">IFERROR(Prices!G266/Prices!G265-1,"")</f>
        <v/>
      </c>
      <c r="H267" s="148" t="str">
        <f ca="1">IFERROR(Prices!H266/Prices!H265-1,"")</f>
        <v/>
      </c>
      <c r="I267" s="149" t="str">
        <f ca="1">IFERROR(Prices!I266/Prices!I265-1,"")</f>
        <v/>
      </c>
      <c r="J267" s="150">
        <f t="shared" ca="1" si="6"/>
        <v>0</v>
      </c>
      <c r="K267" s="112"/>
      <c r="L267" s="112"/>
      <c r="M267" s="112"/>
    </row>
    <row r="268" spans="1:13" x14ac:dyDescent="0.3">
      <c r="A268" s="147" t="str">
        <f ca="1">Prices!$A$267</f>
        <v/>
      </c>
      <c r="B268" s="148" t="str">
        <f ca="1">IFERROR(Prices!B267/Prices!B266-1,"")</f>
        <v/>
      </c>
      <c r="C268" s="148" t="str">
        <f ca="1">IFERROR(Prices!C267/Prices!C266-1,"")</f>
        <v/>
      </c>
      <c r="D268" s="148" t="str">
        <f ca="1">IFERROR(Prices!D267/Prices!D266-1,"")</f>
        <v/>
      </c>
      <c r="E268" s="148" t="str">
        <f ca="1">IFERROR(Prices!E267/Prices!E266-1,"")</f>
        <v/>
      </c>
      <c r="F268" s="148" t="str">
        <f ca="1">IFERROR(Prices!F267/Prices!F266-1,"")</f>
        <v/>
      </c>
      <c r="G268" s="148" t="str">
        <f ca="1">IFERROR(Prices!G267/Prices!G266-1,"")</f>
        <v/>
      </c>
      <c r="H268" s="148" t="str">
        <f ca="1">IFERROR(Prices!H267/Prices!H266-1,"")</f>
        <v/>
      </c>
      <c r="I268" s="149" t="str">
        <f ca="1">IFERROR(Prices!I267/Prices!I266-1,"")</f>
        <v/>
      </c>
      <c r="J268" s="150">
        <f t="shared" ca="1" si="6"/>
        <v>0</v>
      </c>
      <c r="K268" s="112"/>
      <c r="L268" s="112"/>
      <c r="M268" s="112"/>
    </row>
    <row r="269" spans="1:13" x14ac:dyDescent="0.3">
      <c r="A269" s="147" t="str">
        <f ca="1">Prices!$A$268</f>
        <v/>
      </c>
      <c r="B269" s="148" t="str">
        <f ca="1">IFERROR(Prices!B268/Prices!B267-1,"")</f>
        <v/>
      </c>
      <c r="C269" s="148" t="str">
        <f ca="1">IFERROR(Prices!C268/Prices!C267-1,"")</f>
        <v/>
      </c>
      <c r="D269" s="148" t="str">
        <f ca="1">IFERROR(Prices!D268/Prices!D267-1,"")</f>
        <v/>
      </c>
      <c r="E269" s="148" t="str">
        <f ca="1">IFERROR(Prices!E268/Prices!E267-1,"")</f>
        <v/>
      </c>
      <c r="F269" s="148" t="str">
        <f ca="1">IFERROR(Prices!F268/Prices!F267-1,"")</f>
        <v/>
      </c>
      <c r="G269" s="148" t="str">
        <f ca="1">IFERROR(Prices!G268/Prices!G267-1,"")</f>
        <v/>
      </c>
      <c r="H269" s="148" t="str">
        <f ca="1">IFERROR(Prices!H268/Prices!H267-1,"")</f>
        <v/>
      </c>
      <c r="I269" s="149" t="str">
        <f ca="1">IFERROR(Prices!I268/Prices!I267-1,"")</f>
        <v/>
      </c>
      <c r="J269" s="150">
        <f t="shared" ca="1" si="6"/>
        <v>0</v>
      </c>
      <c r="K269" s="112"/>
      <c r="L269" s="112"/>
      <c r="M269" s="112"/>
    </row>
    <row r="270" spans="1:13" x14ac:dyDescent="0.3">
      <c r="A270" s="147" t="str">
        <f ca="1">Prices!$A$269</f>
        <v/>
      </c>
      <c r="B270" s="148" t="str">
        <f ca="1">IFERROR(Prices!B269/Prices!B268-1,"")</f>
        <v/>
      </c>
      <c r="C270" s="148" t="str">
        <f ca="1">IFERROR(Prices!C269/Prices!C268-1,"")</f>
        <v/>
      </c>
      <c r="D270" s="148" t="str">
        <f ca="1">IFERROR(Prices!D269/Prices!D268-1,"")</f>
        <v/>
      </c>
      <c r="E270" s="148" t="str">
        <f ca="1">IFERROR(Prices!E269/Prices!E268-1,"")</f>
        <v/>
      </c>
      <c r="F270" s="148" t="str">
        <f ca="1">IFERROR(Prices!F269/Prices!F268-1,"")</f>
        <v/>
      </c>
      <c r="G270" s="148" t="str">
        <f ca="1">IFERROR(Prices!G269/Prices!G268-1,"")</f>
        <v/>
      </c>
      <c r="H270" s="148" t="str">
        <f ca="1">IFERROR(Prices!H269/Prices!H268-1,"")</f>
        <v/>
      </c>
      <c r="I270" s="149" t="str">
        <f ca="1">IFERROR(Prices!I269/Prices!I268-1,"")</f>
        <v/>
      </c>
      <c r="J270" s="150">
        <f t="shared" ca="1" si="6"/>
        <v>0</v>
      </c>
      <c r="K270" s="112"/>
      <c r="L270" s="112"/>
      <c r="M270" s="112"/>
    </row>
    <row r="271" spans="1:13" x14ac:dyDescent="0.3">
      <c r="A271" s="147" t="str">
        <f ca="1">Prices!$A$270</f>
        <v/>
      </c>
      <c r="B271" s="148" t="str">
        <f ca="1">IFERROR(Prices!B270/Prices!B269-1,"")</f>
        <v/>
      </c>
      <c r="C271" s="148" t="str">
        <f ca="1">IFERROR(Prices!C270/Prices!C269-1,"")</f>
        <v/>
      </c>
      <c r="D271" s="148" t="str">
        <f ca="1">IFERROR(Prices!D270/Prices!D269-1,"")</f>
        <v/>
      </c>
      <c r="E271" s="148" t="str">
        <f ca="1">IFERROR(Prices!E270/Prices!E269-1,"")</f>
        <v/>
      </c>
      <c r="F271" s="148" t="str">
        <f ca="1">IFERROR(Prices!F270/Prices!F269-1,"")</f>
        <v/>
      </c>
      <c r="G271" s="148" t="str">
        <f ca="1">IFERROR(Prices!G270/Prices!G269-1,"")</f>
        <v/>
      </c>
      <c r="H271" s="148" t="str">
        <f ca="1">IFERROR(Prices!H270/Prices!H269-1,"")</f>
        <v/>
      </c>
      <c r="I271" s="149" t="str">
        <f ca="1">IFERROR(Prices!I270/Prices!I269-1,"")</f>
        <v/>
      </c>
      <c r="J271" s="150">
        <f t="shared" ca="1" si="6"/>
        <v>0</v>
      </c>
      <c r="K271" s="112"/>
      <c r="L271" s="112"/>
      <c r="M271" s="112"/>
    </row>
    <row r="272" spans="1:13" x14ac:dyDescent="0.3">
      <c r="A272" s="147" t="str">
        <f ca="1">Prices!$A$271</f>
        <v/>
      </c>
      <c r="B272" s="148" t="str">
        <f ca="1">IFERROR(Prices!B271/Prices!B270-1,"")</f>
        <v/>
      </c>
      <c r="C272" s="148" t="str">
        <f ca="1">IFERROR(Prices!C271/Prices!C270-1,"")</f>
        <v/>
      </c>
      <c r="D272" s="148" t="str">
        <f ca="1">IFERROR(Prices!D271/Prices!D270-1,"")</f>
        <v/>
      </c>
      <c r="E272" s="148" t="str">
        <f ca="1">IFERROR(Prices!E271/Prices!E270-1,"")</f>
        <v/>
      </c>
      <c r="F272" s="148" t="str">
        <f ca="1">IFERROR(Prices!F271/Prices!F270-1,"")</f>
        <v/>
      </c>
      <c r="G272" s="148" t="str">
        <f ca="1">IFERROR(Prices!G271/Prices!G270-1,"")</f>
        <v/>
      </c>
      <c r="H272" s="148" t="str">
        <f ca="1">IFERROR(Prices!H271/Prices!H270-1,"")</f>
        <v/>
      </c>
      <c r="I272" s="149" t="str">
        <f ca="1">IFERROR(Prices!I271/Prices!I270-1,"")</f>
        <v/>
      </c>
      <c r="J272" s="150">
        <f t="shared" ca="1" si="6"/>
        <v>0</v>
      </c>
      <c r="K272" s="112"/>
      <c r="L272" s="112"/>
      <c r="M272" s="112"/>
    </row>
    <row r="273" spans="1:13" x14ac:dyDescent="0.3">
      <c r="A273" s="147" t="str">
        <f ca="1">Prices!$A$272</f>
        <v/>
      </c>
      <c r="B273" s="148" t="str">
        <f ca="1">IFERROR(Prices!B272/Prices!B271-1,"")</f>
        <v/>
      </c>
      <c r="C273" s="148" t="str">
        <f ca="1">IFERROR(Prices!C272/Prices!C271-1,"")</f>
        <v/>
      </c>
      <c r="D273" s="148" t="str">
        <f ca="1">IFERROR(Prices!D272/Prices!D271-1,"")</f>
        <v/>
      </c>
      <c r="E273" s="148" t="str">
        <f ca="1">IFERROR(Prices!E272/Prices!E271-1,"")</f>
        <v/>
      </c>
      <c r="F273" s="148" t="str">
        <f ca="1">IFERROR(Prices!F272/Prices!F271-1,"")</f>
        <v/>
      </c>
      <c r="G273" s="148" t="str">
        <f ca="1">IFERROR(Prices!G272/Prices!G271-1,"")</f>
        <v/>
      </c>
      <c r="H273" s="148" t="str">
        <f ca="1">IFERROR(Prices!H272/Prices!H271-1,"")</f>
        <v/>
      </c>
      <c r="I273" s="149" t="str">
        <f ca="1">IFERROR(Prices!I272/Prices!I271-1,"")</f>
        <v/>
      </c>
      <c r="J273" s="150">
        <f t="shared" ca="1" si="6"/>
        <v>0</v>
      </c>
      <c r="K273" s="112"/>
      <c r="L273" s="112"/>
      <c r="M273" s="112"/>
    </row>
    <row r="274" spans="1:13" x14ac:dyDescent="0.3">
      <c r="A274" s="147" t="str">
        <f ca="1">Prices!$A$273</f>
        <v/>
      </c>
      <c r="B274" s="148" t="str">
        <f ca="1">IFERROR(Prices!B273/Prices!B272-1,"")</f>
        <v/>
      </c>
      <c r="C274" s="148" t="str">
        <f ca="1">IFERROR(Prices!C273/Prices!C272-1,"")</f>
        <v/>
      </c>
      <c r="D274" s="148" t="str">
        <f ca="1">IFERROR(Prices!D273/Prices!D272-1,"")</f>
        <v/>
      </c>
      <c r="E274" s="148" t="str">
        <f ca="1">IFERROR(Prices!E273/Prices!E272-1,"")</f>
        <v/>
      </c>
      <c r="F274" s="148" t="str">
        <f ca="1">IFERROR(Prices!F273/Prices!F272-1,"")</f>
        <v/>
      </c>
      <c r="G274" s="148" t="str">
        <f ca="1">IFERROR(Prices!G273/Prices!G272-1,"")</f>
        <v/>
      </c>
      <c r="H274" s="148" t="str">
        <f ca="1">IFERROR(Prices!H273/Prices!H272-1,"")</f>
        <v/>
      </c>
      <c r="I274" s="149" t="str">
        <f ca="1">IFERROR(Prices!I273/Prices!I272-1,"")</f>
        <v/>
      </c>
      <c r="J274" s="150">
        <f t="shared" ca="1" si="6"/>
        <v>0</v>
      </c>
      <c r="K274" s="112"/>
      <c r="L274" s="112"/>
      <c r="M274" s="112"/>
    </row>
    <row r="275" spans="1:13" x14ac:dyDescent="0.3">
      <c r="A275" s="147" t="str">
        <f ca="1">Prices!$A$274</f>
        <v/>
      </c>
      <c r="B275" s="148" t="str">
        <f ca="1">IFERROR(Prices!B274/Prices!B273-1,"")</f>
        <v/>
      </c>
      <c r="C275" s="148" t="str">
        <f ca="1">IFERROR(Prices!C274/Prices!C273-1,"")</f>
        <v/>
      </c>
      <c r="D275" s="148" t="str">
        <f ca="1">IFERROR(Prices!D274/Prices!D273-1,"")</f>
        <v/>
      </c>
      <c r="E275" s="148" t="str">
        <f ca="1">IFERROR(Prices!E274/Prices!E273-1,"")</f>
        <v/>
      </c>
      <c r="F275" s="148" t="str">
        <f ca="1">IFERROR(Prices!F274/Prices!F273-1,"")</f>
        <v/>
      </c>
      <c r="G275" s="148" t="str">
        <f ca="1">IFERROR(Prices!G274/Prices!G273-1,"")</f>
        <v/>
      </c>
      <c r="H275" s="148" t="str">
        <f ca="1">IFERROR(Prices!H274/Prices!H273-1,"")</f>
        <v/>
      </c>
      <c r="I275" s="149" t="str">
        <f ca="1">IFERROR(Prices!I274/Prices!I273-1,"")</f>
        <v/>
      </c>
      <c r="J275" s="150">
        <f t="shared" ca="1" si="6"/>
        <v>0</v>
      </c>
      <c r="K275" s="112"/>
      <c r="L275" s="112"/>
      <c r="M275" s="112"/>
    </row>
    <row r="276" spans="1:13" x14ac:dyDescent="0.3">
      <c r="A276" s="147" t="str">
        <f ca="1">Prices!$A$275</f>
        <v/>
      </c>
      <c r="B276" s="148" t="str">
        <f ca="1">IFERROR(Prices!B275/Prices!B274-1,"")</f>
        <v/>
      </c>
      <c r="C276" s="148" t="str">
        <f ca="1">IFERROR(Prices!C275/Prices!C274-1,"")</f>
        <v/>
      </c>
      <c r="D276" s="148" t="str">
        <f ca="1">IFERROR(Prices!D275/Prices!D274-1,"")</f>
        <v/>
      </c>
      <c r="E276" s="148" t="str">
        <f ca="1">IFERROR(Prices!E275/Prices!E274-1,"")</f>
        <v/>
      </c>
      <c r="F276" s="148" t="str">
        <f ca="1">IFERROR(Prices!F275/Prices!F274-1,"")</f>
        <v/>
      </c>
      <c r="G276" s="148" t="str">
        <f ca="1">IFERROR(Prices!G275/Prices!G274-1,"")</f>
        <v/>
      </c>
      <c r="H276" s="148" t="str">
        <f ca="1">IFERROR(Prices!H275/Prices!H274-1,"")</f>
        <v/>
      </c>
      <c r="I276" s="149" t="str">
        <f ca="1">IFERROR(Prices!I275/Prices!I274-1,"")</f>
        <v/>
      </c>
      <c r="J276" s="150">
        <f t="shared" ca="1" si="6"/>
        <v>0</v>
      </c>
      <c r="K276" s="112"/>
      <c r="L276" s="112"/>
      <c r="M276" s="112"/>
    </row>
    <row r="277" spans="1:13" x14ac:dyDescent="0.3">
      <c r="A277" s="147" t="str">
        <f ca="1">Prices!$A$276</f>
        <v/>
      </c>
      <c r="B277" s="148" t="str">
        <f ca="1">IFERROR(Prices!B276/Prices!B275-1,"")</f>
        <v/>
      </c>
      <c r="C277" s="148" t="str">
        <f ca="1">IFERROR(Prices!C276/Prices!C275-1,"")</f>
        <v/>
      </c>
      <c r="D277" s="148" t="str">
        <f ca="1">IFERROR(Prices!D276/Prices!D275-1,"")</f>
        <v/>
      </c>
      <c r="E277" s="148" t="str">
        <f ca="1">IFERROR(Prices!E276/Prices!E275-1,"")</f>
        <v/>
      </c>
      <c r="F277" s="148" t="str">
        <f ca="1">IFERROR(Prices!F276/Prices!F275-1,"")</f>
        <v/>
      </c>
      <c r="G277" s="148" t="str">
        <f ca="1">IFERROR(Prices!G276/Prices!G275-1,"")</f>
        <v/>
      </c>
      <c r="H277" s="148" t="str">
        <f ca="1">IFERROR(Prices!H276/Prices!H275-1,"")</f>
        <v/>
      </c>
      <c r="I277" s="149" t="str">
        <f ca="1">IFERROR(Prices!I276/Prices!I275-1,"")</f>
        <v/>
      </c>
      <c r="J277" s="150">
        <f t="shared" ca="1" si="6"/>
        <v>0</v>
      </c>
      <c r="K277" s="112"/>
      <c r="L277" s="112"/>
      <c r="M277" s="112"/>
    </row>
    <row r="278" spans="1:13" x14ac:dyDescent="0.3">
      <c r="A278" s="147" t="str">
        <f ca="1">Prices!$A$277</f>
        <v/>
      </c>
      <c r="B278" s="148" t="str">
        <f ca="1">IFERROR(Prices!B277/Prices!B276-1,"")</f>
        <v/>
      </c>
      <c r="C278" s="148" t="str">
        <f ca="1">IFERROR(Prices!C277/Prices!C276-1,"")</f>
        <v/>
      </c>
      <c r="D278" s="148" t="str">
        <f ca="1">IFERROR(Prices!D277/Prices!D276-1,"")</f>
        <v/>
      </c>
      <c r="E278" s="148" t="str">
        <f ca="1">IFERROR(Prices!E277/Prices!E276-1,"")</f>
        <v/>
      </c>
      <c r="F278" s="148" t="str">
        <f ca="1">IFERROR(Prices!F277/Prices!F276-1,"")</f>
        <v/>
      </c>
      <c r="G278" s="148" t="str">
        <f ca="1">IFERROR(Prices!G277/Prices!G276-1,"")</f>
        <v/>
      </c>
      <c r="H278" s="148" t="str">
        <f ca="1">IFERROR(Prices!H277/Prices!H276-1,"")</f>
        <v/>
      </c>
      <c r="I278" s="149" t="str">
        <f ca="1">IFERROR(Prices!I277/Prices!I276-1,"")</f>
        <v/>
      </c>
      <c r="J278" s="150">
        <f t="shared" ca="1" si="6"/>
        <v>0</v>
      </c>
      <c r="K278" s="112"/>
      <c r="L278" s="112"/>
      <c r="M278" s="112"/>
    </row>
    <row r="279" spans="1:13" x14ac:dyDescent="0.3">
      <c r="A279" s="147" t="str">
        <f ca="1">Prices!$A$278</f>
        <v/>
      </c>
      <c r="B279" s="148" t="str">
        <f ca="1">IFERROR(Prices!B278/Prices!B277-1,"")</f>
        <v/>
      </c>
      <c r="C279" s="148" t="str">
        <f ca="1">IFERROR(Prices!C278/Prices!C277-1,"")</f>
        <v/>
      </c>
      <c r="D279" s="148" t="str">
        <f ca="1">IFERROR(Prices!D278/Prices!D277-1,"")</f>
        <v/>
      </c>
      <c r="E279" s="148" t="str">
        <f ca="1">IFERROR(Prices!E278/Prices!E277-1,"")</f>
        <v/>
      </c>
      <c r="F279" s="148" t="str">
        <f ca="1">IFERROR(Prices!F278/Prices!F277-1,"")</f>
        <v/>
      </c>
      <c r="G279" s="148" t="str">
        <f ca="1">IFERROR(Prices!G278/Prices!G277-1,"")</f>
        <v/>
      </c>
      <c r="H279" s="148" t="str">
        <f ca="1">IFERROR(Prices!H278/Prices!H277-1,"")</f>
        <v/>
      </c>
      <c r="I279" s="149" t="str">
        <f ca="1">IFERROR(Prices!I278/Prices!I277-1,"")</f>
        <v/>
      </c>
      <c r="J279" s="150">
        <f t="shared" ca="1" si="6"/>
        <v>0</v>
      </c>
      <c r="K279" s="112"/>
      <c r="L279" s="112"/>
      <c r="M279" s="112"/>
    </row>
    <row r="280" spans="1:13" x14ac:dyDescent="0.3">
      <c r="A280" s="147" t="str">
        <f ca="1">Prices!$A$279</f>
        <v/>
      </c>
      <c r="B280" s="148" t="str">
        <f ca="1">IFERROR(Prices!B279/Prices!B278-1,"")</f>
        <v/>
      </c>
      <c r="C280" s="148" t="str">
        <f ca="1">IFERROR(Prices!C279/Prices!C278-1,"")</f>
        <v/>
      </c>
      <c r="D280" s="148" t="str">
        <f ca="1">IFERROR(Prices!D279/Prices!D278-1,"")</f>
        <v/>
      </c>
      <c r="E280" s="148" t="str">
        <f ca="1">IFERROR(Prices!E279/Prices!E278-1,"")</f>
        <v/>
      </c>
      <c r="F280" s="148" t="str">
        <f ca="1">IFERROR(Prices!F279/Prices!F278-1,"")</f>
        <v/>
      </c>
      <c r="G280" s="148" t="str">
        <f ca="1">IFERROR(Prices!G279/Prices!G278-1,"")</f>
        <v/>
      </c>
      <c r="H280" s="148" t="str">
        <f ca="1">IFERROR(Prices!H279/Prices!H278-1,"")</f>
        <v/>
      </c>
      <c r="I280" s="149" t="str">
        <f ca="1">IFERROR(Prices!I279/Prices!I278-1,"")</f>
        <v/>
      </c>
      <c r="J280" s="150">
        <f t="shared" ca="1" si="6"/>
        <v>0</v>
      </c>
      <c r="K280" s="112"/>
      <c r="L280" s="112"/>
      <c r="M280" s="112"/>
    </row>
    <row r="281" spans="1:13" x14ac:dyDescent="0.3">
      <c r="A281" s="147" t="str">
        <f ca="1">Prices!$A$280</f>
        <v/>
      </c>
      <c r="B281" s="148" t="str">
        <f ca="1">IFERROR(Prices!B280/Prices!B279-1,"")</f>
        <v/>
      </c>
      <c r="C281" s="148" t="str">
        <f ca="1">IFERROR(Prices!C280/Prices!C279-1,"")</f>
        <v/>
      </c>
      <c r="D281" s="148" t="str">
        <f ca="1">IFERROR(Prices!D280/Prices!D279-1,"")</f>
        <v/>
      </c>
      <c r="E281" s="148" t="str">
        <f ca="1">IFERROR(Prices!E280/Prices!E279-1,"")</f>
        <v/>
      </c>
      <c r="F281" s="148" t="str">
        <f ca="1">IFERROR(Prices!F280/Prices!F279-1,"")</f>
        <v/>
      </c>
      <c r="G281" s="148" t="str">
        <f ca="1">IFERROR(Prices!G280/Prices!G279-1,"")</f>
        <v/>
      </c>
      <c r="H281" s="148" t="str">
        <f ca="1">IFERROR(Prices!H280/Prices!H279-1,"")</f>
        <v/>
      </c>
      <c r="I281" s="149" t="str">
        <f ca="1">IFERROR(Prices!I280/Prices!I279-1,"")</f>
        <v/>
      </c>
      <c r="J281" s="150">
        <f t="shared" ca="1" si="6"/>
        <v>0</v>
      </c>
      <c r="K281" s="112"/>
      <c r="L281" s="112"/>
      <c r="M281" s="112"/>
    </row>
    <row r="282" spans="1:13" x14ac:dyDescent="0.3">
      <c r="A282" s="147" t="str">
        <f ca="1">Prices!$A$281</f>
        <v/>
      </c>
      <c r="B282" s="148" t="str">
        <f ca="1">IFERROR(Prices!B281/Prices!B280-1,"")</f>
        <v/>
      </c>
      <c r="C282" s="148" t="str">
        <f ca="1">IFERROR(Prices!C281/Prices!C280-1,"")</f>
        <v/>
      </c>
      <c r="D282" s="148" t="str">
        <f ca="1">IFERROR(Prices!D281/Prices!D280-1,"")</f>
        <v/>
      </c>
      <c r="E282" s="148" t="str">
        <f ca="1">IFERROR(Prices!E281/Prices!E280-1,"")</f>
        <v/>
      </c>
      <c r="F282" s="148" t="str">
        <f ca="1">IFERROR(Prices!F281/Prices!F280-1,"")</f>
        <v/>
      </c>
      <c r="G282" s="148" t="str">
        <f ca="1">IFERROR(Prices!G281/Prices!G280-1,"")</f>
        <v/>
      </c>
      <c r="H282" s="148" t="str">
        <f ca="1">IFERROR(Prices!H281/Prices!H280-1,"")</f>
        <v/>
      </c>
      <c r="I282" s="149" t="str">
        <f ca="1">IFERROR(Prices!I281/Prices!I280-1,"")</f>
        <v/>
      </c>
      <c r="J282" s="150">
        <f t="shared" ca="1" si="6"/>
        <v>0</v>
      </c>
      <c r="K282" s="112"/>
      <c r="L282" s="112"/>
      <c r="M282" s="112"/>
    </row>
    <row r="283" spans="1:13" x14ac:dyDescent="0.3">
      <c r="A283" s="147" t="str">
        <f ca="1">Prices!$A$282</f>
        <v/>
      </c>
      <c r="B283" s="148" t="str">
        <f ca="1">IFERROR(Prices!B282/Prices!B281-1,"")</f>
        <v/>
      </c>
      <c r="C283" s="148" t="str">
        <f ca="1">IFERROR(Prices!C282/Prices!C281-1,"")</f>
        <v/>
      </c>
      <c r="D283" s="148" t="str">
        <f ca="1">IFERROR(Prices!D282/Prices!D281-1,"")</f>
        <v/>
      </c>
      <c r="E283" s="148" t="str">
        <f ca="1">IFERROR(Prices!E282/Prices!E281-1,"")</f>
        <v/>
      </c>
      <c r="F283" s="148" t="str">
        <f ca="1">IFERROR(Prices!F282/Prices!F281-1,"")</f>
        <v/>
      </c>
      <c r="G283" s="148" t="str">
        <f ca="1">IFERROR(Prices!G282/Prices!G281-1,"")</f>
        <v/>
      </c>
      <c r="H283" s="148" t="str">
        <f ca="1">IFERROR(Prices!H282/Prices!H281-1,"")</f>
        <v/>
      </c>
      <c r="I283" s="149" t="str">
        <f ca="1">IFERROR(Prices!I282/Prices!I281-1,"")</f>
        <v/>
      </c>
      <c r="J283" s="150">
        <f t="shared" ca="1" si="6"/>
        <v>0</v>
      </c>
      <c r="K283" s="112"/>
      <c r="L283" s="112"/>
      <c r="M283" s="112"/>
    </row>
    <row r="284" spans="1:13" x14ac:dyDescent="0.3">
      <c r="A284" s="147" t="str">
        <f ca="1">Prices!$A$283</f>
        <v/>
      </c>
      <c r="B284" s="148" t="str">
        <f ca="1">IFERROR(Prices!B283/Prices!B282-1,"")</f>
        <v/>
      </c>
      <c r="C284" s="148" t="str">
        <f ca="1">IFERROR(Prices!C283/Prices!C282-1,"")</f>
        <v/>
      </c>
      <c r="D284" s="148" t="str">
        <f ca="1">IFERROR(Prices!D283/Prices!D282-1,"")</f>
        <v/>
      </c>
      <c r="E284" s="148" t="str">
        <f ca="1">IFERROR(Prices!E283/Prices!E282-1,"")</f>
        <v/>
      </c>
      <c r="F284" s="148" t="str">
        <f ca="1">IFERROR(Prices!F283/Prices!F282-1,"")</f>
        <v/>
      </c>
      <c r="G284" s="148" t="str">
        <f ca="1">IFERROR(Prices!G283/Prices!G282-1,"")</f>
        <v/>
      </c>
      <c r="H284" s="148" t="str">
        <f ca="1">IFERROR(Prices!H283/Prices!H282-1,"")</f>
        <v/>
      </c>
      <c r="I284" s="149" t="str">
        <f ca="1">IFERROR(Prices!I283/Prices!I282-1,"")</f>
        <v/>
      </c>
      <c r="J284" s="150">
        <f t="shared" ca="1" si="6"/>
        <v>0</v>
      </c>
      <c r="K284" s="112"/>
      <c r="L284" s="112"/>
      <c r="M284" s="112"/>
    </row>
    <row r="285" spans="1:13" x14ac:dyDescent="0.3">
      <c r="A285" s="147" t="str">
        <f ca="1">Prices!$A$284</f>
        <v/>
      </c>
      <c r="B285" s="148" t="str">
        <f ca="1">IFERROR(Prices!B284/Prices!B283-1,"")</f>
        <v/>
      </c>
      <c r="C285" s="148" t="str">
        <f ca="1">IFERROR(Prices!C284/Prices!C283-1,"")</f>
        <v/>
      </c>
      <c r="D285" s="148" t="str">
        <f ca="1">IFERROR(Prices!D284/Prices!D283-1,"")</f>
        <v/>
      </c>
      <c r="E285" s="148" t="str">
        <f ca="1">IFERROR(Prices!E284/Prices!E283-1,"")</f>
        <v/>
      </c>
      <c r="F285" s="148" t="str">
        <f ca="1">IFERROR(Prices!F284/Prices!F283-1,"")</f>
        <v/>
      </c>
      <c r="G285" s="148" t="str">
        <f ca="1">IFERROR(Prices!G284/Prices!G283-1,"")</f>
        <v/>
      </c>
      <c r="H285" s="148" t="str">
        <f ca="1">IFERROR(Prices!H284/Prices!H283-1,"")</f>
        <v/>
      </c>
      <c r="I285" s="149" t="str">
        <f ca="1">IFERROR(Prices!I284/Prices!I283-1,"")</f>
        <v/>
      </c>
      <c r="J285" s="150">
        <f t="shared" ca="1" si="6"/>
        <v>0</v>
      </c>
      <c r="K285" s="112"/>
      <c r="L285" s="112"/>
      <c r="M285" s="112"/>
    </row>
    <row r="286" spans="1:13" x14ac:dyDescent="0.3">
      <c r="A286" s="147" t="str">
        <f ca="1">Prices!$A$285</f>
        <v/>
      </c>
      <c r="B286" s="148" t="str">
        <f ca="1">IFERROR(Prices!B285/Prices!B284-1,"")</f>
        <v/>
      </c>
      <c r="C286" s="148" t="str">
        <f ca="1">IFERROR(Prices!C285/Prices!C284-1,"")</f>
        <v/>
      </c>
      <c r="D286" s="148" t="str">
        <f ca="1">IFERROR(Prices!D285/Prices!D284-1,"")</f>
        <v/>
      </c>
      <c r="E286" s="148" t="str">
        <f ca="1">IFERROR(Prices!E285/Prices!E284-1,"")</f>
        <v/>
      </c>
      <c r="F286" s="148" t="str">
        <f ca="1">IFERROR(Prices!F285/Prices!F284-1,"")</f>
        <v/>
      </c>
      <c r="G286" s="148" t="str">
        <f ca="1">IFERROR(Prices!G285/Prices!G284-1,"")</f>
        <v/>
      </c>
      <c r="H286" s="148" t="str">
        <f ca="1">IFERROR(Prices!H285/Prices!H284-1,"")</f>
        <v/>
      </c>
      <c r="I286" s="149" t="str">
        <f ca="1">IFERROR(Prices!I285/Prices!I284-1,"")</f>
        <v/>
      </c>
      <c r="J286" s="150">
        <f t="shared" ca="1" si="6"/>
        <v>0</v>
      </c>
      <c r="K286" s="112"/>
      <c r="L286" s="112"/>
      <c r="M286" s="112"/>
    </row>
    <row r="287" spans="1:13" x14ac:dyDescent="0.3">
      <c r="A287" s="147" t="str">
        <f ca="1">Prices!$A$286</f>
        <v/>
      </c>
      <c r="B287" s="148" t="str">
        <f ca="1">IFERROR(Prices!B286/Prices!B285-1,"")</f>
        <v/>
      </c>
      <c r="C287" s="148" t="str">
        <f ca="1">IFERROR(Prices!C286/Prices!C285-1,"")</f>
        <v/>
      </c>
      <c r="D287" s="148" t="str">
        <f ca="1">IFERROR(Prices!D286/Prices!D285-1,"")</f>
        <v/>
      </c>
      <c r="E287" s="148" t="str">
        <f ca="1">IFERROR(Prices!E286/Prices!E285-1,"")</f>
        <v/>
      </c>
      <c r="F287" s="148" t="str">
        <f ca="1">IFERROR(Prices!F286/Prices!F285-1,"")</f>
        <v/>
      </c>
      <c r="G287" s="148" t="str">
        <f ca="1">IFERROR(Prices!G286/Prices!G285-1,"")</f>
        <v/>
      </c>
      <c r="H287" s="148" t="str">
        <f ca="1">IFERROR(Prices!H286/Prices!H285-1,"")</f>
        <v/>
      </c>
      <c r="I287" s="149" t="str">
        <f ca="1">IFERROR(Prices!I286/Prices!I285-1,"")</f>
        <v/>
      </c>
      <c r="J287" s="150">
        <f t="shared" ca="1" si="6"/>
        <v>0</v>
      </c>
      <c r="K287" s="112"/>
      <c r="L287" s="112"/>
      <c r="M287" s="112"/>
    </row>
    <row r="288" spans="1:13" x14ac:dyDescent="0.3">
      <c r="A288" s="147" t="str">
        <f ca="1">Prices!$A$287</f>
        <v/>
      </c>
      <c r="B288" s="148" t="str">
        <f ca="1">IFERROR(Prices!B287/Prices!B286-1,"")</f>
        <v/>
      </c>
      <c r="C288" s="148" t="str">
        <f ca="1">IFERROR(Prices!C287/Prices!C286-1,"")</f>
        <v/>
      </c>
      <c r="D288" s="148" t="str">
        <f ca="1">IFERROR(Prices!D287/Prices!D286-1,"")</f>
        <v/>
      </c>
      <c r="E288" s="148" t="str">
        <f ca="1">IFERROR(Prices!E287/Prices!E286-1,"")</f>
        <v/>
      </c>
      <c r="F288" s="148" t="str">
        <f ca="1">IFERROR(Prices!F287/Prices!F286-1,"")</f>
        <v/>
      </c>
      <c r="G288" s="148" t="str">
        <f ca="1">IFERROR(Prices!G287/Prices!G286-1,"")</f>
        <v/>
      </c>
      <c r="H288" s="148" t="str">
        <f ca="1">IFERROR(Prices!H287/Prices!H286-1,"")</f>
        <v/>
      </c>
      <c r="I288" s="149" t="str">
        <f ca="1">IFERROR(Prices!I287/Prices!I286-1,"")</f>
        <v/>
      </c>
      <c r="J288" s="150">
        <f t="shared" ca="1" si="6"/>
        <v>0</v>
      </c>
      <c r="K288" s="112"/>
      <c r="L288" s="112"/>
      <c r="M288" s="112"/>
    </row>
    <row r="289" spans="1:13" x14ac:dyDescent="0.3">
      <c r="A289" s="147" t="str">
        <f ca="1">Prices!$A$288</f>
        <v/>
      </c>
      <c r="B289" s="148" t="str">
        <f ca="1">IFERROR(Prices!B288/Prices!B287-1,"")</f>
        <v/>
      </c>
      <c r="C289" s="148" t="str">
        <f ca="1">IFERROR(Prices!C288/Prices!C287-1,"")</f>
        <v/>
      </c>
      <c r="D289" s="148" t="str">
        <f ca="1">IFERROR(Prices!D288/Prices!D287-1,"")</f>
        <v/>
      </c>
      <c r="E289" s="148" t="str">
        <f ca="1">IFERROR(Prices!E288/Prices!E287-1,"")</f>
        <v/>
      </c>
      <c r="F289" s="148" t="str">
        <f ca="1">IFERROR(Prices!F288/Prices!F287-1,"")</f>
        <v/>
      </c>
      <c r="G289" s="148" t="str">
        <f ca="1">IFERROR(Prices!G288/Prices!G287-1,"")</f>
        <v/>
      </c>
      <c r="H289" s="148" t="str">
        <f ca="1">IFERROR(Prices!H288/Prices!H287-1,"")</f>
        <v/>
      </c>
      <c r="I289" s="149" t="str">
        <f ca="1">IFERROR(Prices!I288/Prices!I287-1,"")</f>
        <v/>
      </c>
      <c r="J289" s="150">
        <f t="shared" ca="1" si="6"/>
        <v>0</v>
      </c>
      <c r="K289" s="112"/>
      <c r="L289" s="112"/>
      <c r="M289" s="112"/>
    </row>
    <row r="290" spans="1:13" x14ac:dyDescent="0.3">
      <c r="A290" s="147" t="str">
        <f ca="1">Prices!$A$289</f>
        <v/>
      </c>
      <c r="B290" s="148" t="str">
        <f ca="1">IFERROR(Prices!B289/Prices!B288-1,"")</f>
        <v/>
      </c>
      <c r="C290" s="148" t="str">
        <f ca="1">IFERROR(Prices!C289/Prices!C288-1,"")</f>
        <v/>
      </c>
      <c r="D290" s="148" t="str">
        <f ca="1">IFERROR(Prices!D289/Prices!D288-1,"")</f>
        <v/>
      </c>
      <c r="E290" s="148" t="str">
        <f ca="1">IFERROR(Prices!E289/Prices!E288-1,"")</f>
        <v/>
      </c>
      <c r="F290" s="148" t="str">
        <f ca="1">IFERROR(Prices!F289/Prices!F288-1,"")</f>
        <v/>
      </c>
      <c r="G290" s="148" t="str">
        <f ca="1">IFERROR(Prices!G289/Prices!G288-1,"")</f>
        <v/>
      </c>
      <c r="H290" s="148" t="str">
        <f ca="1">IFERROR(Prices!H289/Prices!H288-1,"")</f>
        <v/>
      </c>
      <c r="I290" s="149" t="str">
        <f ca="1">IFERROR(Prices!I289/Prices!I288-1,"")</f>
        <v/>
      </c>
      <c r="J290" s="150">
        <f t="shared" ca="1" si="6"/>
        <v>0</v>
      </c>
      <c r="K290" s="112"/>
      <c r="L290" s="112"/>
      <c r="M290" s="112"/>
    </row>
    <row r="291" spans="1:13" x14ac:dyDescent="0.3">
      <c r="A291" s="147" t="str">
        <f ca="1">Prices!$A$290</f>
        <v/>
      </c>
      <c r="B291" s="148" t="str">
        <f ca="1">IFERROR(Prices!B290/Prices!B289-1,"")</f>
        <v/>
      </c>
      <c r="C291" s="148" t="str">
        <f ca="1">IFERROR(Prices!C290/Prices!C289-1,"")</f>
        <v/>
      </c>
      <c r="D291" s="148" t="str">
        <f ca="1">IFERROR(Prices!D290/Prices!D289-1,"")</f>
        <v/>
      </c>
      <c r="E291" s="148" t="str">
        <f ca="1">IFERROR(Prices!E290/Prices!E289-1,"")</f>
        <v/>
      </c>
      <c r="F291" s="148" t="str">
        <f ca="1">IFERROR(Prices!F290/Prices!F289-1,"")</f>
        <v/>
      </c>
      <c r="G291" s="148" t="str">
        <f ca="1">IFERROR(Prices!G290/Prices!G289-1,"")</f>
        <v/>
      </c>
      <c r="H291" s="148" t="str">
        <f ca="1">IFERROR(Prices!H290/Prices!H289-1,"")</f>
        <v/>
      </c>
      <c r="I291" s="149" t="str">
        <f ca="1">IFERROR(Prices!I290/Prices!I289-1,"")</f>
        <v/>
      </c>
      <c r="J291" s="150">
        <f t="shared" ca="1" si="6"/>
        <v>0</v>
      </c>
      <c r="K291" s="112"/>
      <c r="L291" s="112"/>
      <c r="M291" s="112"/>
    </row>
    <row r="292" spans="1:13" x14ac:dyDescent="0.3">
      <c r="A292" s="147" t="str">
        <f ca="1">Prices!$A$291</f>
        <v/>
      </c>
      <c r="B292" s="148" t="str">
        <f ca="1">IFERROR(Prices!B291/Prices!B290-1,"")</f>
        <v/>
      </c>
      <c r="C292" s="148" t="str">
        <f ca="1">IFERROR(Prices!C291/Prices!C290-1,"")</f>
        <v/>
      </c>
      <c r="D292" s="148" t="str">
        <f ca="1">IFERROR(Prices!D291/Prices!D290-1,"")</f>
        <v/>
      </c>
      <c r="E292" s="148" t="str">
        <f ca="1">IFERROR(Prices!E291/Prices!E290-1,"")</f>
        <v/>
      </c>
      <c r="F292" s="148" t="str">
        <f ca="1">IFERROR(Prices!F291/Prices!F290-1,"")</f>
        <v/>
      </c>
      <c r="G292" s="148" t="str">
        <f ca="1">IFERROR(Prices!G291/Prices!G290-1,"")</f>
        <v/>
      </c>
      <c r="H292" s="148" t="str">
        <f ca="1">IFERROR(Prices!H291/Prices!H290-1,"")</f>
        <v/>
      </c>
      <c r="I292" s="149" t="str">
        <f ca="1">IFERROR(Prices!I291/Prices!I290-1,"")</f>
        <v/>
      </c>
      <c r="J292" s="150">
        <f t="shared" ca="1" si="6"/>
        <v>0</v>
      </c>
      <c r="K292" s="112"/>
      <c r="L292" s="112"/>
      <c r="M292" s="112"/>
    </row>
    <row r="293" spans="1:13" x14ac:dyDescent="0.3">
      <c r="A293" s="147" t="str">
        <f ca="1">Prices!$A$292</f>
        <v/>
      </c>
      <c r="B293" s="148" t="str">
        <f ca="1">IFERROR(Prices!B292/Prices!B291-1,"")</f>
        <v/>
      </c>
      <c r="C293" s="148" t="str">
        <f ca="1">IFERROR(Prices!C292/Prices!C291-1,"")</f>
        <v/>
      </c>
      <c r="D293" s="148" t="str">
        <f ca="1">IFERROR(Prices!D292/Prices!D291-1,"")</f>
        <v/>
      </c>
      <c r="E293" s="148" t="str">
        <f ca="1">IFERROR(Prices!E292/Prices!E291-1,"")</f>
        <v/>
      </c>
      <c r="F293" s="148" t="str">
        <f ca="1">IFERROR(Prices!F292/Prices!F291-1,"")</f>
        <v/>
      </c>
      <c r="G293" s="148" t="str">
        <f ca="1">IFERROR(Prices!G292/Prices!G291-1,"")</f>
        <v/>
      </c>
      <c r="H293" s="148" t="str">
        <f ca="1">IFERROR(Prices!H292/Prices!H291-1,"")</f>
        <v/>
      </c>
      <c r="I293" s="149" t="str">
        <f ca="1">IFERROR(Prices!I292/Prices!I291-1,"")</f>
        <v/>
      </c>
      <c r="J293" s="150">
        <f t="shared" ca="1" si="6"/>
        <v>0</v>
      </c>
      <c r="K293" s="112"/>
      <c r="L293" s="112"/>
      <c r="M293" s="112"/>
    </row>
    <row r="294" spans="1:13" x14ac:dyDescent="0.3">
      <c r="A294" s="147" t="str">
        <f ca="1">Prices!$A$293</f>
        <v/>
      </c>
      <c r="B294" s="148" t="str">
        <f ca="1">IFERROR(Prices!B293/Prices!B292-1,"")</f>
        <v/>
      </c>
      <c r="C294" s="148" t="str">
        <f ca="1">IFERROR(Prices!C293/Prices!C292-1,"")</f>
        <v/>
      </c>
      <c r="D294" s="148" t="str">
        <f ca="1">IFERROR(Prices!D293/Prices!D292-1,"")</f>
        <v/>
      </c>
      <c r="E294" s="148" t="str">
        <f ca="1">IFERROR(Prices!E293/Prices!E292-1,"")</f>
        <v/>
      </c>
      <c r="F294" s="148" t="str">
        <f ca="1">IFERROR(Prices!F293/Prices!F292-1,"")</f>
        <v/>
      </c>
      <c r="G294" s="148" t="str">
        <f ca="1">IFERROR(Prices!G293/Prices!G292-1,"")</f>
        <v/>
      </c>
      <c r="H294" s="148" t="str">
        <f ca="1">IFERROR(Prices!H293/Prices!H292-1,"")</f>
        <v/>
      </c>
      <c r="I294" s="149" t="str">
        <f ca="1">IFERROR(Prices!I293/Prices!I292-1,"")</f>
        <v/>
      </c>
      <c r="J294" s="150">
        <f t="shared" ca="1" si="6"/>
        <v>0</v>
      </c>
      <c r="K294" s="112"/>
      <c r="L294" s="112"/>
      <c r="M294" s="112"/>
    </row>
    <row r="295" spans="1:13" x14ac:dyDescent="0.3">
      <c r="A295" s="147" t="str">
        <f ca="1">Prices!$A$294</f>
        <v/>
      </c>
      <c r="B295" s="148" t="str">
        <f ca="1">IFERROR(Prices!B294/Prices!B293-1,"")</f>
        <v/>
      </c>
      <c r="C295" s="148" t="str">
        <f ca="1">IFERROR(Prices!C294/Prices!C293-1,"")</f>
        <v/>
      </c>
      <c r="D295" s="148" t="str">
        <f ca="1">IFERROR(Prices!D294/Prices!D293-1,"")</f>
        <v/>
      </c>
      <c r="E295" s="148" t="str">
        <f ca="1">IFERROR(Prices!E294/Prices!E293-1,"")</f>
        <v/>
      </c>
      <c r="F295" s="148" t="str">
        <f ca="1">IFERROR(Prices!F294/Prices!F293-1,"")</f>
        <v/>
      </c>
      <c r="G295" s="148" t="str">
        <f ca="1">IFERROR(Prices!G294/Prices!G293-1,"")</f>
        <v/>
      </c>
      <c r="H295" s="148" t="str">
        <f ca="1">IFERROR(Prices!H294/Prices!H293-1,"")</f>
        <v/>
      </c>
      <c r="I295" s="149" t="str">
        <f ca="1">IFERROR(Prices!I294/Prices!I293-1,"")</f>
        <v/>
      </c>
      <c r="J295" s="150">
        <f t="shared" ca="1" si="6"/>
        <v>0</v>
      </c>
      <c r="K295" s="112"/>
      <c r="L295" s="112"/>
      <c r="M295" s="112"/>
    </row>
    <row r="296" spans="1:13" x14ac:dyDescent="0.3">
      <c r="A296" s="147" t="str">
        <f ca="1">Prices!$A$295</f>
        <v/>
      </c>
      <c r="B296" s="148" t="str">
        <f ca="1">IFERROR(Prices!B295/Prices!B294-1,"")</f>
        <v/>
      </c>
      <c r="C296" s="148" t="str">
        <f ca="1">IFERROR(Prices!C295/Prices!C294-1,"")</f>
        <v/>
      </c>
      <c r="D296" s="148" t="str">
        <f ca="1">IFERROR(Prices!D295/Prices!D294-1,"")</f>
        <v/>
      </c>
      <c r="E296" s="148" t="str">
        <f ca="1">IFERROR(Prices!E295/Prices!E294-1,"")</f>
        <v/>
      </c>
      <c r="F296" s="148" t="str">
        <f ca="1">IFERROR(Prices!F295/Prices!F294-1,"")</f>
        <v/>
      </c>
      <c r="G296" s="148" t="str">
        <f ca="1">IFERROR(Prices!G295/Prices!G294-1,"")</f>
        <v/>
      </c>
      <c r="H296" s="148" t="str">
        <f ca="1">IFERROR(Prices!H295/Prices!H294-1,"")</f>
        <v/>
      </c>
      <c r="I296" s="149" t="str">
        <f ca="1">IFERROR(Prices!I295/Prices!I294-1,"")</f>
        <v/>
      </c>
      <c r="J296" s="150">
        <f t="shared" ca="1" si="6"/>
        <v>0</v>
      </c>
      <c r="K296" s="112"/>
      <c r="L296" s="112"/>
      <c r="M296" s="112"/>
    </row>
    <row r="297" spans="1:13" x14ac:dyDescent="0.3">
      <c r="A297" s="147" t="str">
        <f ca="1">Prices!$A$296</f>
        <v/>
      </c>
      <c r="B297" s="148" t="str">
        <f ca="1">IFERROR(Prices!B296/Prices!B295-1,"")</f>
        <v/>
      </c>
      <c r="C297" s="148" t="str">
        <f ca="1">IFERROR(Prices!C296/Prices!C295-1,"")</f>
        <v/>
      </c>
      <c r="D297" s="148" t="str">
        <f ca="1">IFERROR(Prices!D296/Prices!D295-1,"")</f>
        <v/>
      </c>
      <c r="E297" s="148" t="str">
        <f ca="1">IFERROR(Prices!E296/Prices!E295-1,"")</f>
        <v/>
      </c>
      <c r="F297" s="148" t="str">
        <f ca="1">IFERROR(Prices!F296/Prices!F295-1,"")</f>
        <v/>
      </c>
      <c r="G297" s="148" t="str">
        <f ca="1">IFERROR(Prices!G296/Prices!G295-1,"")</f>
        <v/>
      </c>
      <c r="H297" s="148" t="str">
        <f ca="1">IFERROR(Prices!H296/Prices!H295-1,"")</f>
        <v/>
      </c>
      <c r="I297" s="149" t="str">
        <f ca="1">IFERROR(Prices!I296/Prices!I295-1,"")</f>
        <v/>
      </c>
      <c r="J297" s="150">
        <f t="shared" ca="1" si="6"/>
        <v>0</v>
      </c>
      <c r="K297" s="112"/>
      <c r="L297" s="112"/>
      <c r="M297" s="112"/>
    </row>
    <row r="298" spans="1:13" x14ac:dyDescent="0.3">
      <c r="A298" s="147" t="str">
        <f ca="1">Prices!$A$297</f>
        <v/>
      </c>
      <c r="B298" s="148" t="str">
        <f ca="1">IFERROR(Prices!B297/Prices!B296-1,"")</f>
        <v/>
      </c>
      <c r="C298" s="148" t="str">
        <f ca="1">IFERROR(Prices!C297/Prices!C296-1,"")</f>
        <v/>
      </c>
      <c r="D298" s="148" t="str">
        <f ca="1">IFERROR(Prices!D297/Prices!D296-1,"")</f>
        <v/>
      </c>
      <c r="E298" s="148" t="str">
        <f ca="1">IFERROR(Prices!E297/Prices!E296-1,"")</f>
        <v/>
      </c>
      <c r="F298" s="148" t="str">
        <f ca="1">IFERROR(Prices!F297/Prices!F296-1,"")</f>
        <v/>
      </c>
      <c r="G298" s="148" t="str">
        <f ca="1">IFERROR(Prices!G297/Prices!G296-1,"")</f>
        <v/>
      </c>
      <c r="H298" s="148" t="str">
        <f ca="1">IFERROR(Prices!H297/Prices!H296-1,"")</f>
        <v/>
      </c>
      <c r="I298" s="149" t="str">
        <f ca="1">IFERROR(Prices!I297/Prices!I296-1,"")</f>
        <v/>
      </c>
      <c r="J298" s="150">
        <f t="shared" ca="1" si="6"/>
        <v>0</v>
      </c>
      <c r="K298" s="112"/>
      <c r="L298" s="112"/>
      <c r="M298" s="112"/>
    </row>
    <row r="299" spans="1:13" x14ac:dyDescent="0.3">
      <c r="A299" s="147" t="str">
        <f ca="1">Prices!$A$298</f>
        <v/>
      </c>
      <c r="B299" s="148" t="str">
        <f ca="1">IFERROR(Prices!B298/Prices!B297-1,"")</f>
        <v/>
      </c>
      <c r="C299" s="148" t="str">
        <f ca="1">IFERROR(Prices!C298/Prices!C297-1,"")</f>
        <v/>
      </c>
      <c r="D299" s="148" t="str">
        <f ca="1">IFERROR(Prices!D298/Prices!D297-1,"")</f>
        <v/>
      </c>
      <c r="E299" s="148" t="str">
        <f ca="1">IFERROR(Prices!E298/Prices!E297-1,"")</f>
        <v/>
      </c>
      <c r="F299" s="148" t="str">
        <f ca="1">IFERROR(Prices!F298/Prices!F297-1,"")</f>
        <v/>
      </c>
      <c r="G299" s="148" t="str">
        <f ca="1">IFERROR(Prices!G298/Prices!G297-1,"")</f>
        <v/>
      </c>
      <c r="H299" s="148" t="str">
        <f ca="1">IFERROR(Prices!H298/Prices!H297-1,"")</f>
        <v/>
      </c>
      <c r="I299" s="149" t="str">
        <f ca="1">IFERROR(Prices!I298/Prices!I297-1,"")</f>
        <v/>
      </c>
      <c r="J299" s="150">
        <f t="shared" ca="1" si="6"/>
        <v>0</v>
      </c>
      <c r="K299" s="112"/>
      <c r="L299" s="112"/>
      <c r="M299" s="112"/>
    </row>
    <row r="300" spans="1:13" x14ac:dyDescent="0.3">
      <c r="A300" s="147" t="str">
        <f ca="1">Prices!$A$299</f>
        <v/>
      </c>
      <c r="B300" s="148" t="str">
        <f ca="1">IFERROR(Prices!B299/Prices!B298-1,"")</f>
        <v/>
      </c>
      <c r="C300" s="148" t="str">
        <f ca="1">IFERROR(Prices!C299/Prices!C298-1,"")</f>
        <v/>
      </c>
      <c r="D300" s="148" t="str">
        <f ca="1">IFERROR(Prices!D299/Prices!D298-1,"")</f>
        <v/>
      </c>
      <c r="E300" s="148" t="str">
        <f ca="1">IFERROR(Prices!E299/Prices!E298-1,"")</f>
        <v/>
      </c>
      <c r="F300" s="148" t="str">
        <f ca="1">IFERROR(Prices!F299/Prices!F298-1,"")</f>
        <v/>
      </c>
      <c r="G300" s="148" t="str">
        <f ca="1">IFERROR(Prices!G299/Prices!G298-1,"")</f>
        <v/>
      </c>
      <c r="H300" s="148" t="str">
        <f ca="1">IFERROR(Prices!H299/Prices!H298-1,"")</f>
        <v/>
      </c>
      <c r="I300" s="149" t="str">
        <f ca="1">IFERROR(Prices!I299/Prices!I298-1,"")</f>
        <v/>
      </c>
      <c r="J300" s="150">
        <f t="shared" ca="1" si="6"/>
        <v>0</v>
      </c>
      <c r="K300" s="112"/>
      <c r="L300" s="112"/>
      <c r="M300" s="112"/>
    </row>
    <row r="301" spans="1:13" x14ac:dyDescent="0.3">
      <c r="A301" s="147" t="str">
        <f ca="1">Prices!$A$300</f>
        <v/>
      </c>
      <c r="B301" s="148" t="str">
        <f ca="1">IFERROR(Prices!B300/Prices!B299-1,"")</f>
        <v/>
      </c>
      <c r="C301" s="148" t="str">
        <f ca="1">IFERROR(Prices!C300/Prices!C299-1,"")</f>
        <v/>
      </c>
      <c r="D301" s="148" t="str">
        <f ca="1">IFERROR(Prices!D300/Prices!D299-1,"")</f>
        <v/>
      </c>
      <c r="E301" s="148" t="str">
        <f ca="1">IFERROR(Prices!E300/Prices!E299-1,"")</f>
        <v/>
      </c>
      <c r="F301" s="148" t="str">
        <f ca="1">IFERROR(Prices!F300/Prices!F299-1,"")</f>
        <v/>
      </c>
      <c r="G301" s="148" t="str">
        <f ca="1">IFERROR(Prices!G300/Prices!G299-1,"")</f>
        <v/>
      </c>
      <c r="H301" s="148" t="str">
        <f ca="1">IFERROR(Prices!H300/Prices!H299-1,"")</f>
        <v/>
      </c>
      <c r="I301" s="149" t="str">
        <f ca="1">IFERROR(Prices!I300/Prices!I299-1,"")</f>
        <v/>
      </c>
      <c r="J301" s="150">
        <f t="shared" ca="1" si="6"/>
        <v>0</v>
      </c>
      <c r="K301" s="112"/>
      <c r="L301" s="112"/>
      <c r="M301" s="112"/>
    </row>
    <row r="302" spans="1:13" x14ac:dyDescent="0.3">
      <c r="A302" s="147" t="str">
        <f ca="1">Prices!$A$301</f>
        <v/>
      </c>
      <c r="B302" s="148" t="str">
        <f ca="1">IFERROR(Prices!B301/Prices!B300-1,"")</f>
        <v/>
      </c>
      <c r="C302" s="148" t="str">
        <f ca="1">IFERROR(Prices!C301/Prices!C300-1,"")</f>
        <v/>
      </c>
      <c r="D302" s="148" t="str">
        <f ca="1">IFERROR(Prices!D301/Prices!D300-1,"")</f>
        <v/>
      </c>
      <c r="E302" s="148" t="str">
        <f ca="1">IFERROR(Prices!E301/Prices!E300-1,"")</f>
        <v/>
      </c>
      <c r="F302" s="148" t="str">
        <f ca="1">IFERROR(Prices!F301/Prices!F300-1,"")</f>
        <v/>
      </c>
      <c r="G302" s="148" t="str">
        <f ca="1">IFERROR(Prices!G301/Prices!G300-1,"")</f>
        <v/>
      </c>
      <c r="H302" s="148" t="str">
        <f ca="1">IFERROR(Prices!H301/Prices!H300-1,"")</f>
        <v/>
      </c>
      <c r="I302" s="149" t="str">
        <f ca="1">IFERROR(Prices!I301/Prices!I300-1,"")</f>
        <v/>
      </c>
      <c r="J302" s="150">
        <f t="shared" ca="1" si="6"/>
        <v>0</v>
      </c>
      <c r="K302" s="112"/>
      <c r="L302" s="112"/>
      <c r="M302" s="112"/>
    </row>
    <row r="303" spans="1:13" x14ac:dyDescent="0.3">
      <c r="A303" s="147" t="str">
        <f ca="1">Prices!$A$302</f>
        <v/>
      </c>
      <c r="B303" s="148" t="str">
        <f ca="1">IFERROR(Prices!B302/Prices!B301-1,"")</f>
        <v/>
      </c>
      <c r="C303" s="148" t="str">
        <f ca="1">IFERROR(Prices!C302/Prices!C301-1,"")</f>
        <v/>
      </c>
      <c r="D303" s="148" t="str">
        <f ca="1">IFERROR(Prices!D302/Prices!D301-1,"")</f>
        <v/>
      </c>
      <c r="E303" s="148" t="str">
        <f ca="1">IFERROR(Prices!E302/Prices!E301-1,"")</f>
        <v/>
      </c>
      <c r="F303" s="148" t="str">
        <f ca="1">IFERROR(Prices!F302/Prices!F301-1,"")</f>
        <v/>
      </c>
      <c r="G303" s="148" t="str">
        <f ca="1">IFERROR(Prices!G302/Prices!G301-1,"")</f>
        <v/>
      </c>
      <c r="H303" s="148" t="str">
        <f ca="1">IFERROR(Prices!H302/Prices!H301-1,"")</f>
        <v/>
      </c>
      <c r="I303" s="149" t="str">
        <f ca="1">IFERROR(Prices!I302/Prices!I301-1,"")</f>
        <v/>
      </c>
      <c r="J303" s="150">
        <f t="shared" ca="1" si="6"/>
        <v>0</v>
      </c>
      <c r="K303" s="112"/>
      <c r="L303" s="112"/>
      <c r="M303" s="112"/>
    </row>
    <row r="304" spans="1:13" x14ac:dyDescent="0.3">
      <c r="A304" s="147" t="str">
        <f ca="1">Prices!$A$303</f>
        <v/>
      </c>
      <c r="B304" s="148" t="str">
        <f ca="1">IFERROR(Prices!B303/Prices!B302-1,"")</f>
        <v/>
      </c>
      <c r="C304" s="148" t="str">
        <f ca="1">IFERROR(Prices!C303/Prices!C302-1,"")</f>
        <v/>
      </c>
      <c r="D304" s="148" t="str">
        <f ca="1">IFERROR(Prices!D303/Prices!D302-1,"")</f>
        <v/>
      </c>
      <c r="E304" s="148" t="str">
        <f ca="1">IFERROR(Prices!E303/Prices!E302-1,"")</f>
        <v/>
      </c>
      <c r="F304" s="148" t="str">
        <f ca="1">IFERROR(Prices!F303/Prices!F302-1,"")</f>
        <v/>
      </c>
      <c r="G304" s="148" t="str">
        <f ca="1">IFERROR(Prices!G303/Prices!G302-1,"")</f>
        <v/>
      </c>
      <c r="H304" s="148" t="str">
        <f ca="1">IFERROR(Prices!H303/Prices!H302-1,"")</f>
        <v/>
      </c>
      <c r="I304" s="149" t="str">
        <f ca="1">IFERROR(Prices!I303/Prices!I302-1,"")</f>
        <v/>
      </c>
      <c r="J304" s="150">
        <f t="shared" ca="1" si="6"/>
        <v>0</v>
      </c>
      <c r="K304" s="112"/>
      <c r="L304" s="112"/>
      <c r="M304" s="112"/>
    </row>
    <row r="305" spans="1:13" x14ac:dyDescent="0.3">
      <c r="A305" s="147" t="str">
        <f ca="1">Prices!$A$304</f>
        <v/>
      </c>
      <c r="B305" s="148" t="str">
        <f ca="1">IFERROR(Prices!B304/Prices!B303-1,"")</f>
        <v/>
      </c>
      <c r="C305" s="148" t="str">
        <f ca="1">IFERROR(Prices!C304/Prices!C303-1,"")</f>
        <v/>
      </c>
      <c r="D305" s="148" t="str">
        <f ca="1">IFERROR(Prices!D304/Prices!D303-1,"")</f>
        <v/>
      </c>
      <c r="E305" s="148" t="str">
        <f ca="1">IFERROR(Prices!E304/Prices!E303-1,"")</f>
        <v/>
      </c>
      <c r="F305" s="148" t="str">
        <f ca="1">IFERROR(Prices!F304/Prices!F303-1,"")</f>
        <v/>
      </c>
      <c r="G305" s="148" t="str">
        <f ca="1">IFERROR(Prices!G304/Prices!G303-1,"")</f>
        <v/>
      </c>
      <c r="H305" s="148" t="str">
        <f ca="1">IFERROR(Prices!H304/Prices!H303-1,"")</f>
        <v/>
      </c>
      <c r="I305" s="149" t="str">
        <f ca="1">IFERROR(Prices!I304/Prices!I303-1,"")</f>
        <v/>
      </c>
      <c r="J305" s="150">
        <f t="shared" ca="1" si="6"/>
        <v>0</v>
      </c>
      <c r="K305" s="112"/>
      <c r="L305" s="112"/>
      <c r="M305" s="112"/>
    </row>
    <row r="306" spans="1:13" x14ac:dyDescent="0.3">
      <c r="A306" s="147" t="str">
        <f ca="1">Prices!$A$305</f>
        <v/>
      </c>
      <c r="B306" s="148" t="str">
        <f ca="1">IFERROR(Prices!B305/Prices!B304-1,"")</f>
        <v/>
      </c>
      <c r="C306" s="148" t="str">
        <f ca="1">IFERROR(Prices!C305/Prices!C304-1,"")</f>
        <v/>
      </c>
      <c r="D306" s="148" t="str">
        <f ca="1">IFERROR(Prices!D305/Prices!D304-1,"")</f>
        <v/>
      </c>
      <c r="E306" s="148" t="str">
        <f ca="1">IFERROR(Prices!E305/Prices!E304-1,"")</f>
        <v/>
      </c>
      <c r="F306" s="148" t="str">
        <f ca="1">IFERROR(Prices!F305/Prices!F304-1,"")</f>
        <v/>
      </c>
      <c r="G306" s="148" t="str">
        <f ca="1">IFERROR(Prices!G305/Prices!G304-1,"")</f>
        <v/>
      </c>
      <c r="H306" s="148" t="str">
        <f ca="1">IFERROR(Prices!H305/Prices!H304-1,"")</f>
        <v/>
      </c>
      <c r="I306" s="149" t="str">
        <f ca="1">IFERROR(Prices!I305/Prices!I304-1,"")</f>
        <v/>
      </c>
      <c r="J306" s="150">
        <f t="shared" ca="1" si="6"/>
        <v>0</v>
      </c>
      <c r="K306" s="112"/>
      <c r="L306" s="112"/>
      <c r="M306" s="112"/>
    </row>
    <row r="307" spans="1:13" x14ac:dyDescent="0.3">
      <c r="A307" s="147" t="str">
        <f ca="1">Prices!$A$306</f>
        <v/>
      </c>
      <c r="B307" s="148" t="str">
        <f ca="1">IFERROR(Prices!B306/Prices!B305-1,"")</f>
        <v/>
      </c>
      <c r="C307" s="148" t="str">
        <f ca="1">IFERROR(Prices!C306/Prices!C305-1,"")</f>
        <v/>
      </c>
      <c r="D307" s="148" t="str">
        <f ca="1">IFERROR(Prices!D306/Prices!D305-1,"")</f>
        <v/>
      </c>
      <c r="E307" s="148" t="str">
        <f ca="1">IFERROR(Prices!E306/Prices!E305-1,"")</f>
        <v/>
      </c>
      <c r="F307" s="148" t="str">
        <f ca="1">IFERROR(Prices!F306/Prices!F305-1,"")</f>
        <v/>
      </c>
      <c r="G307" s="148" t="str">
        <f ca="1">IFERROR(Prices!G306/Prices!G305-1,"")</f>
        <v/>
      </c>
      <c r="H307" s="148" t="str">
        <f ca="1">IFERROR(Prices!H306/Prices!H305-1,"")</f>
        <v/>
      </c>
      <c r="I307" s="149" t="str">
        <f ca="1">IFERROR(Prices!I306/Prices!I305-1,"")</f>
        <v/>
      </c>
      <c r="J307" s="150">
        <f t="shared" ca="1" si="6"/>
        <v>0</v>
      </c>
      <c r="K307" s="112"/>
      <c r="L307" s="112"/>
      <c r="M307" s="112"/>
    </row>
    <row r="308" spans="1:13" x14ac:dyDescent="0.3">
      <c r="A308" s="147" t="str">
        <f ca="1">Prices!$A$307</f>
        <v/>
      </c>
      <c r="B308" s="148" t="str">
        <f ca="1">IFERROR(Prices!B307/Prices!B306-1,"")</f>
        <v/>
      </c>
      <c r="C308" s="148" t="str">
        <f ca="1">IFERROR(Prices!C307/Prices!C306-1,"")</f>
        <v/>
      </c>
      <c r="D308" s="148" t="str">
        <f ca="1">IFERROR(Prices!D307/Prices!D306-1,"")</f>
        <v/>
      </c>
      <c r="E308" s="148" t="str">
        <f ca="1">IFERROR(Prices!E307/Prices!E306-1,"")</f>
        <v/>
      </c>
      <c r="F308" s="148" t="str">
        <f ca="1">IFERROR(Prices!F307/Prices!F306-1,"")</f>
        <v/>
      </c>
      <c r="G308" s="148" t="str">
        <f ca="1">IFERROR(Prices!G307/Prices!G306-1,"")</f>
        <v/>
      </c>
      <c r="H308" s="148" t="str">
        <f ca="1">IFERROR(Prices!H307/Prices!H306-1,"")</f>
        <v/>
      </c>
      <c r="I308" s="149" t="str">
        <f ca="1">IFERROR(Prices!I307/Prices!I306-1,"")</f>
        <v/>
      </c>
      <c r="J308" s="150">
        <f t="shared" ca="1" si="6"/>
        <v>0</v>
      </c>
      <c r="K308" s="112"/>
      <c r="L308" s="112"/>
      <c r="M308" s="112"/>
    </row>
    <row r="309" spans="1:13" x14ac:dyDescent="0.3">
      <c r="A309" s="147" t="str">
        <f ca="1">Prices!$A$308</f>
        <v/>
      </c>
      <c r="B309" s="148" t="str">
        <f ca="1">IFERROR(Prices!B308/Prices!B307-1,"")</f>
        <v/>
      </c>
      <c r="C309" s="148" t="str">
        <f ca="1">IFERROR(Prices!C308/Prices!C307-1,"")</f>
        <v/>
      </c>
      <c r="D309" s="148" t="str">
        <f ca="1">IFERROR(Prices!D308/Prices!D307-1,"")</f>
        <v/>
      </c>
      <c r="E309" s="148" t="str">
        <f ca="1">IFERROR(Prices!E308/Prices!E307-1,"")</f>
        <v/>
      </c>
      <c r="F309" s="148" t="str">
        <f ca="1">IFERROR(Prices!F308/Prices!F307-1,"")</f>
        <v/>
      </c>
      <c r="G309" s="148" t="str">
        <f ca="1">IFERROR(Prices!G308/Prices!G307-1,"")</f>
        <v/>
      </c>
      <c r="H309" s="148" t="str">
        <f ca="1">IFERROR(Prices!H308/Prices!H307-1,"")</f>
        <v/>
      </c>
      <c r="I309" s="149" t="str">
        <f ca="1">IFERROR(Prices!I308/Prices!I307-1,"")</f>
        <v/>
      </c>
      <c r="J309" s="150">
        <f t="shared" ca="1" si="6"/>
        <v>0</v>
      </c>
      <c r="K309" s="112"/>
      <c r="L309" s="112"/>
      <c r="M309" s="112"/>
    </row>
    <row r="310" spans="1:13" x14ac:dyDescent="0.3">
      <c r="A310" s="147" t="str">
        <f ca="1">Prices!$A$309</f>
        <v/>
      </c>
      <c r="B310" s="148" t="str">
        <f ca="1">IFERROR(Prices!B309/Prices!B308-1,"")</f>
        <v/>
      </c>
      <c r="C310" s="148" t="str">
        <f ca="1">IFERROR(Prices!C309/Prices!C308-1,"")</f>
        <v/>
      </c>
      <c r="D310" s="148" t="str">
        <f ca="1">IFERROR(Prices!D309/Prices!D308-1,"")</f>
        <v/>
      </c>
      <c r="E310" s="148" t="str">
        <f ca="1">IFERROR(Prices!E309/Prices!E308-1,"")</f>
        <v/>
      </c>
      <c r="F310" s="148" t="str">
        <f ca="1">IFERROR(Prices!F309/Prices!F308-1,"")</f>
        <v/>
      </c>
      <c r="G310" s="148" t="str">
        <f ca="1">IFERROR(Prices!G309/Prices!G308-1,"")</f>
        <v/>
      </c>
      <c r="H310" s="148" t="str">
        <f ca="1">IFERROR(Prices!H309/Prices!H308-1,"")</f>
        <v/>
      </c>
      <c r="I310" s="149" t="str">
        <f ca="1">IFERROR(Prices!I309/Prices!I308-1,"")</f>
        <v/>
      </c>
      <c r="J310" s="150">
        <f t="shared" ca="1" si="6"/>
        <v>0</v>
      </c>
      <c r="K310" s="112"/>
      <c r="L310" s="112"/>
      <c r="M310" s="112"/>
    </row>
    <row r="311" spans="1:13" x14ac:dyDescent="0.3">
      <c r="A311" s="147" t="str">
        <f ca="1">Prices!$A$310</f>
        <v/>
      </c>
      <c r="B311" s="148" t="str">
        <f ca="1">IFERROR(Prices!B310/Prices!B309-1,"")</f>
        <v/>
      </c>
      <c r="C311" s="148" t="str">
        <f ca="1">IFERROR(Prices!C310/Prices!C309-1,"")</f>
        <v/>
      </c>
      <c r="D311" s="148" t="str">
        <f ca="1">IFERROR(Prices!D310/Prices!D309-1,"")</f>
        <v/>
      </c>
      <c r="E311" s="148" t="str">
        <f ca="1">IFERROR(Prices!E310/Prices!E309-1,"")</f>
        <v/>
      </c>
      <c r="F311" s="148" t="str">
        <f ca="1">IFERROR(Prices!F310/Prices!F309-1,"")</f>
        <v/>
      </c>
      <c r="G311" s="148" t="str">
        <f ca="1">IFERROR(Prices!G310/Prices!G309-1,"")</f>
        <v/>
      </c>
      <c r="H311" s="148" t="str">
        <f ca="1">IFERROR(Prices!H310/Prices!H309-1,"")</f>
        <v/>
      </c>
      <c r="I311" s="149" t="str">
        <f ca="1">IFERROR(Prices!I310/Prices!I309-1,"")</f>
        <v/>
      </c>
      <c r="J311" s="150">
        <f t="shared" ca="1" si="6"/>
        <v>0</v>
      </c>
      <c r="K311" s="112"/>
      <c r="L311" s="112"/>
      <c r="M311" s="112"/>
    </row>
    <row r="312" spans="1:13" x14ac:dyDescent="0.3">
      <c r="A312" s="147" t="str">
        <f ca="1">Prices!$A$311</f>
        <v/>
      </c>
      <c r="B312" s="148" t="str">
        <f ca="1">IFERROR(Prices!B311/Prices!B310-1,"")</f>
        <v/>
      </c>
      <c r="C312" s="148" t="str">
        <f ca="1">IFERROR(Prices!C311/Prices!C310-1,"")</f>
        <v/>
      </c>
      <c r="D312" s="148" t="str">
        <f ca="1">IFERROR(Prices!D311/Prices!D310-1,"")</f>
        <v/>
      </c>
      <c r="E312" s="148" t="str">
        <f ca="1">IFERROR(Prices!E311/Prices!E310-1,"")</f>
        <v/>
      </c>
      <c r="F312" s="148" t="str">
        <f ca="1">IFERROR(Prices!F311/Prices!F310-1,"")</f>
        <v/>
      </c>
      <c r="G312" s="148" t="str">
        <f ca="1">IFERROR(Prices!G311/Prices!G310-1,"")</f>
        <v/>
      </c>
      <c r="H312" s="148" t="str">
        <f ca="1">IFERROR(Prices!H311/Prices!H310-1,"")</f>
        <v/>
      </c>
      <c r="I312" s="149" t="str">
        <f ca="1">IFERROR(Prices!I311/Prices!I310-1,"")</f>
        <v/>
      </c>
      <c r="J312" s="150">
        <f t="shared" ca="1" si="6"/>
        <v>0</v>
      </c>
      <c r="K312" s="112"/>
      <c r="L312" s="112"/>
      <c r="M312" s="112"/>
    </row>
    <row r="313" spans="1:13" x14ac:dyDescent="0.3">
      <c r="A313" s="147" t="str">
        <f ca="1">Prices!$A$312</f>
        <v/>
      </c>
      <c r="B313" s="148" t="str">
        <f ca="1">IFERROR(Prices!B312/Prices!B311-1,"")</f>
        <v/>
      </c>
      <c r="C313" s="148" t="str">
        <f ca="1">IFERROR(Prices!C312/Prices!C311-1,"")</f>
        <v/>
      </c>
      <c r="D313" s="148" t="str">
        <f ca="1">IFERROR(Prices!D312/Prices!D311-1,"")</f>
        <v/>
      </c>
      <c r="E313" s="148" t="str">
        <f ca="1">IFERROR(Prices!E312/Prices!E311-1,"")</f>
        <v/>
      </c>
      <c r="F313" s="148" t="str">
        <f ca="1">IFERROR(Prices!F312/Prices!F311-1,"")</f>
        <v/>
      </c>
      <c r="G313" s="148" t="str">
        <f ca="1">IFERROR(Prices!G312/Prices!G311-1,"")</f>
        <v/>
      </c>
      <c r="H313" s="148" t="str">
        <f ca="1">IFERROR(Prices!H312/Prices!H311-1,"")</f>
        <v/>
      </c>
      <c r="I313" s="149" t="str">
        <f ca="1">IFERROR(Prices!I312/Prices!I311-1,"")</f>
        <v/>
      </c>
      <c r="J313" s="150">
        <f t="shared" ca="1" si="6"/>
        <v>0</v>
      </c>
      <c r="K313" s="112"/>
      <c r="L313" s="112"/>
      <c r="M313" s="112"/>
    </row>
    <row r="314" spans="1:13" x14ac:dyDescent="0.3">
      <c r="A314" s="147" t="str">
        <f ca="1">Prices!$A$313</f>
        <v/>
      </c>
      <c r="B314" s="148" t="str">
        <f ca="1">IFERROR(Prices!B313/Prices!B312-1,"")</f>
        <v/>
      </c>
      <c r="C314" s="148" t="str">
        <f ca="1">IFERROR(Prices!C313/Prices!C312-1,"")</f>
        <v/>
      </c>
      <c r="D314" s="148" t="str">
        <f ca="1">IFERROR(Prices!D313/Prices!D312-1,"")</f>
        <v/>
      </c>
      <c r="E314" s="148" t="str">
        <f ca="1">IFERROR(Prices!E313/Prices!E312-1,"")</f>
        <v/>
      </c>
      <c r="F314" s="148" t="str">
        <f ca="1">IFERROR(Prices!F313/Prices!F312-1,"")</f>
        <v/>
      </c>
      <c r="G314" s="148" t="str">
        <f ca="1">IFERROR(Prices!G313/Prices!G312-1,"")</f>
        <v/>
      </c>
      <c r="H314" s="148" t="str">
        <f ca="1">IFERROR(Prices!H313/Prices!H312-1,"")</f>
        <v/>
      </c>
      <c r="I314" s="149" t="str">
        <f ca="1">IFERROR(Prices!I313/Prices!I312-1,"")</f>
        <v/>
      </c>
      <c r="J314" s="150">
        <f t="shared" ca="1" si="6"/>
        <v>0</v>
      </c>
      <c r="K314" s="112"/>
      <c r="L314" s="112"/>
      <c r="M314" s="112"/>
    </row>
    <row r="315" spans="1:13" x14ac:dyDescent="0.3">
      <c r="A315" s="147" t="str">
        <f ca="1">Prices!$A$314</f>
        <v/>
      </c>
      <c r="B315" s="148" t="str">
        <f ca="1">IFERROR(Prices!B314/Prices!B313-1,"")</f>
        <v/>
      </c>
      <c r="C315" s="148" t="str">
        <f ca="1">IFERROR(Prices!C314/Prices!C313-1,"")</f>
        <v/>
      </c>
      <c r="D315" s="148" t="str">
        <f ca="1">IFERROR(Prices!D314/Prices!D313-1,"")</f>
        <v/>
      </c>
      <c r="E315" s="148" t="str">
        <f ca="1">IFERROR(Prices!E314/Prices!E313-1,"")</f>
        <v/>
      </c>
      <c r="F315" s="148" t="str">
        <f ca="1">IFERROR(Prices!F314/Prices!F313-1,"")</f>
        <v/>
      </c>
      <c r="G315" s="148" t="str">
        <f ca="1">IFERROR(Prices!G314/Prices!G313-1,"")</f>
        <v/>
      </c>
      <c r="H315" s="148" t="str">
        <f ca="1">IFERROR(Prices!H314/Prices!H313-1,"")</f>
        <v/>
      </c>
      <c r="I315" s="149" t="str">
        <f ca="1">IFERROR(Prices!I314/Prices!I313-1,"")</f>
        <v/>
      </c>
      <c r="J315" s="150">
        <f t="shared" ca="1" si="6"/>
        <v>0</v>
      </c>
      <c r="K315" s="112"/>
      <c r="L315" s="112"/>
      <c r="M315" s="112"/>
    </row>
    <row r="316" spans="1:13" x14ac:dyDescent="0.3">
      <c r="A316" s="147" t="str">
        <f ca="1">Prices!$A$315</f>
        <v/>
      </c>
      <c r="B316" s="148" t="str">
        <f ca="1">IFERROR(Prices!B315/Prices!B314-1,"")</f>
        <v/>
      </c>
      <c r="C316" s="148" t="str">
        <f ca="1">IFERROR(Prices!C315/Prices!C314-1,"")</f>
        <v/>
      </c>
      <c r="D316" s="148" t="str">
        <f ca="1">IFERROR(Prices!D315/Prices!D314-1,"")</f>
        <v/>
      </c>
      <c r="E316" s="148" t="str">
        <f ca="1">IFERROR(Prices!E315/Prices!E314-1,"")</f>
        <v/>
      </c>
      <c r="F316" s="148" t="str">
        <f ca="1">IFERROR(Prices!F315/Prices!F314-1,"")</f>
        <v/>
      </c>
      <c r="G316" s="148" t="str">
        <f ca="1">IFERROR(Prices!G315/Prices!G314-1,"")</f>
        <v/>
      </c>
      <c r="H316" s="148" t="str">
        <f ca="1">IFERROR(Prices!H315/Prices!H314-1,"")</f>
        <v/>
      </c>
      <c r="I316" s="149" t="str">
        <f ca="1">IFERROR(Prices!I315/Prices!I314-1,"")</f>
        <v/>
      </c>
      <c r="J316" s="150">
        <f t="shared" ca="1" si="6"/>
        <v>0</v>
      </c>
      <c r="K316" s="112"/>
      <c r="L316" s="112"/>
      <c r="M316" s="112"/>
    </row>
    <row r="317" spans="1:13" x14ac:dyDescent="0.3">
      <c r="A317" s="147" t="str">
        <f ca="1">Prices!$A$316</f>
        <v/>
      </c>
      <c r="B317" s="148" t="str">
        <f ca="1">IFERROR(Prices!B316/Prices!B315-1,"")</f>
        <v/>
      </c>
      <c r="C317" s="148" t="str">
        <f ca="1">IFERROR(Prices!C316/Prices!C315-1,"")</f>
        <v/>
      </c>
      <c r="D317" s="148" t="str">
        <f ca="1">IFERROR(Prices!D316/Prices!D315-1,"")</f>
        <v/>
      </c>
      <c r="E317" s="148" t="str">
        <f ca="1">IFERROR(Prices!E316/Prices!E315-1,"")</f>
        <v/>
      </c>
      <c r="F317" s="148" t="str">
        <f ca="1">IFERROR(Prices!F316/Prices!F315-1,"")</f>
        <v/>
      </c>
      <c r="G317" s="148" t="str">
        <f ca="1">IFERROR(Prices!G316/Prices!G315-1,"")</f>
        <v/>
      </c>
      <c r="H317" s="148" t="str">
        <f ca="1">IFERROR(Prices!H316/Prices!H315-1,"")</f>
        <v/>
      </c>
      <c r="I317" s="149" t="str">
        <f ca="1">IFERROR(Prices!I316/Prices!I315-1,"")</f>
        <v/>
      </c>
      <c r="J317" s="150">
        <f t="shared" ca="1" si="6"/>
        <v>0</v>
      </c>
      <c r="K317" s="112"/>
      <c r="L317" s="112"/>
      <c r="M317" s="112"/>
    </row>
    <row r="318" spans="1:13" x14ac:dyDescent="0.3">
      <c r="A318" s="147" t="str">
        <f ca="1">Prices!$A$317</f>
        <v/>
      </c>
      <c r="B318" s="148" t="str">
        <f ca="1">IFERROR(Prices!B317/Prices!B316-1,"")</f>
        <v/>
      </c>
      <c r="C318" s="148" t="str">
        <f ca="1">IFERROR(Prices!C317/Prices!C316-1,"")</f>
        <v/>
      </c>
      <c r="D318" s="148" t="str">
        <f ca="1">IFERROR(Prices!D317/Prices!D316-1,"")</f>
        <v/>
      </c>
      <c r="E318" s="148" t="str">
        <f ca="1">IFERROR(Prices!E317/Prices!E316-1,"")</f>
        <v/>
      </c>
      <c r="F318" s="148" t="str">
        <f ca="1">IFERROR(Prices!F317/Prices!F316-1,"")</f>
        <v/>
      </c>
      <c r="G318" s="148" t="str">
        <f ca="1">IFERROR(Prices!G317/Prices!G316-1,"")</f>
        <v/>
      </c>
      <c r="H318" s="148" t="str">
        <f ca="1">IFERROR(Prices!H317/Prices!H316-1,"")</f>
        <v/>
      </c>
      <c r="I318" s="149" t="str">
        <f ca="1">IFERROR(Prices!I317/Prices!I316-1,"")</f>
        <v/>
      </c>
      <c r="J318" s="150">
        <f t="shared" ca="1" si="6"/>
        <v>0</v>
      </c>
      <c r="K318" s="112"/>
      <c r="L318" s="112"/>
      <c r="M318" s="112"/>
    </row>
    <row r="319" spans="1:13" x14ac:dyDescent="0.3">
      <c r="A319" s="147" t="str">
        <f ca="1">Prices!$A$318</f>
        <v/>
      </c>
      <c r="B319" s="148" t="str">
        <f ca="1">IFERROR(Prices!B318/Prices!B317-1,"")</f>
        <v/>
      </c>
      <c r="C319" s="148" t="str">
        <f ca="1">IFERROR(Prices!C318/Prices!C317-1,"")</f>
        <v/>
      </c>
      <c r="D319" s="148" t="str">
        <f ca="1">IFERROR(Prices!D318/Prices!D317-1,"")</f>
        <v/>
      </c>
      <c r="E319" s="148" t="str">
        <f ca="1">IFERROR(Prices!E318/Prices!E317-1,"")</f>
        <v/>
      </c>
      <c r="F319" s="148" t="str">
        <f ca="1">IFERROR(Prices!F318/Prices!F317-1,"")</f>
        <v/>
      </c>
      <c r="G319" s="148" t="str">
        <f ca="1">IFERROR(Prices!G318/Prices!G317-1,"")</f>
        <v/>
      </c>
      <c r="H319" s="148" t="str">
        <f ca="1">IFERROR(Prices!H318/Prices!H317-1,"")</f>
        <v/>
      </c>
      <c r="I319" s="149" t="str">
        <f ca="1">IFERROR(Prices!I318/Prices!I317-1,"")</f>
        <v/>
      </c>
      <c r="J319" s="150">
        <f t="shared" ca="1" si="6"/>
        <v>0</v>
      </c>
      <c r="K319" s="112"/>
      <c r="L319" s="112"/>
      <c r="M319" s="112"/>
    </row>
    <row r="320" spans="1:13" x14ac:dyDescent="0.3">
      <c r="A320" s="147" t="str">
        <f ca="1">Prices!$A$319</f>
        <v/>
      </c>
      <c r="B320" s="148" t="str">
        <f ca="1">IFERROR(Prices!B319/Prices!B318-1,"")</f>
        <v/>
      </c>
      <c r="C320" s="148" t="str">
        <f ca="1">IFERROR(Prices!C319/Prices!C318-1,"")</f>
        <v/>
      </c>
      <c r="D320" s="148" t="str">
        <f ca="1">IFERROR(Prices!D319/Prices!D318-1,"")</f>
        <v/>
      </c>
      <c r="E320" s="148" t="str">
        <f ca="1">IFERROR(Prices!E319/Prices!E318-1,"")</f>
        <v/>
      </c>
      <c r="F320" s="148" t="str">
        <f ca="1">IFERROR(Prices!F319/Prices!F318-1,"")</f>
        <v/>
      </c>
      <c r="G320" s="148" t="str">
        <f ca="1">IFERROR(Prices!G319/Prices!G318-1,"")</f>
        <v/>
      </c>
      <c r="H320" s="148" t="str">
        <f ca="1">IFERROR(Prices!H319/Prices!H318-1,"")</f>
        <v/>
      </c>
      <c r="I320" s="149" t="str">
        <f ca="1">IFERROR(Prices!I319/Prices!I318-1,"")</f>
        <v/>
      </c>
      <c r="J320" s="150">
        <f t="shared" ca="1" si="6"/>
        <v>0</v>
      </c>
      <c r="K320" s="112"/>
      <c r="L320" s="112"/>
      <c r="M320" s="112"/>
    </row>
    <row r="321" spans="1:13" x14ac:dyDescent="0.3">
      <c r="A321" s="147" t="str">
        <f ca="1">Prices!$A$320</f>
        <v/>
      </c>
      <c r="B321" s="148" t="str">
        <f ca="1">IFERROR(Prices!B320/Prices!B319-1,"")</f>
        <v/>
      </c>
      <c r="C321" s="148" t="str">
        <f ca="1">IFERROR(Prices!C320/Prices!C319-1,"")</f>
        <v/>
      </c>
      <c r="D321" s="148" t="str">
        <f ca="1">IFERROR(Prices!D320/Prices!D319-1,"")</f>
        <v/>
      </c>
      <c r="E321" s="148" t="str">
        <f ca="1">IFERROR(Prices!E320/Prices!E319-1,"")</f>
        <v/>
      </c>
      <c r="F321" s="148" t="str">
        <f ca="1">IFERROR(Prices!F320/Prices!F319-1,"")</f>
        <v/>
      </c>
      <c r="G321" s="148" t="str">
        <f ca="1">IFERROR(Prices!G320/Prices!G319-1,"")</f>
        <v/>
      </c>
      <c r="H321" s="148" t="str">
        <f ca="1">IFERROR(Prices!H320/Prices!H319-1,"")</f>
        <v/>
      </c>
      <c r="I321" s="149" t="str">
        <f ca="1">IFERROR(Prices!I320/Prices!I319-1,"")</f>
        <v/>
      </c>
      <c r="J321" s="150">
        <f t="shared" ca="1" si="6"/>
        <v>0</v>
      </c>
      <c r="K321" s="112"/>
      <c r="L321" s="112"/>
      <c r="M321" s="112"/>
    </row>
    <row r="322" spans="1:13" x14ac:dyDescent="0.3">
      <c r="A322" s="147" t="str">
        <f ca="1">Prices!$A$321</f>
        <v/>
      </c>
      <c r="B322" s="148" t="str">
        <f ca="1">IFERROR(Prices!B321/Prices!B320-1,"")</f>
        <v/>
      </c>
      <c r="C322" s="148" t="str">
        <f ca="1">IFERROR(Prices!C321/Prices!C320-1,"")</f>
        <v/>
      </c>
      <c r="D322" s="148" t="str">
        <f ca="1">IFERROR(Prices!D321/Prices!D320-1,"")</f>
        <v/>
      </c>
      <c r="E322" s="148" t="str">
        <f ca="1">IFERROR(Prices!E321/Prices!E320-1,"")</f>
        <v/>
      </c>
      <c r="F322" s="148" t="str">
        <f ca="1">IFERROR(Prices!F321/Prices!F320-1,"")</f>
        <v/>
      </c>
      <c r="G322" s="148" t="str">
        <f ca="1">IFERROR(Prices!G321/Prices!G320-1,"")</f>
        <v/>
      </c>
      <c r="H322" s="148" t="str">
        <f ca="1">IFERROR(Prices!H321/Prices!H320-1,"")</f>
        <v/>
      </c>
      <c r="I322" s="149" t="str">
        <f ca="1">IFERROR(Prices!I321/Prices!I320-1,"")</f>
        <v/>
      </c>
      <c r="J322" s="150">
        <f t="shared" ca="1" si="6"/>
        <v>0</v>
      </c>
      <c r="K322" s="112"/>
      <c r="L322" s="112"/>
      <c r="M322" s="112"/>
    </row>
    <row r="323" spans="1:13" x14ac:dyDescent="0.3">
      <c r="A323" s="147" t="str">
        <f ca="1">Prices!$A$322</f>
        <v/>
      </c>
      <c r="B323" s="148" t="str">
        <f ca="1">IFERROR(Prices!B322/Prices!B321-1,"")</f>
        <v/>
      </c>
      <c r="C323" s="148" t="str">
        <f ca="1">IFERROR(Prices!C322/Prices!C321-1,"")</f>
        <v/>
      </c>
      <c r="D323" s="148" t="str">
        <f ca="1">IFERROR(Prices!D322/Prices!D321-1,"")</f>
        <v/>
      </c>
      <c r="E323" s="148" t="str">
        <f ca="1">IFERROR(Prices!E322/Prices!E321-1,"")</f>
        <v/>
      </c>
      <c r="F323" s="148" t="str">
        <f ca="1">IFERROR(Prices!F322/Prices!F321-1,"")</f>
        <v/>
      </c>
      <c r="G323" s="148" t="str">
        <f ca="1">IFERROR(Prices!G322/Prices!G321-1,"")</f>
        <v/>
      </c>
      <c r="H323" s="148" t="str">
        <f ca="1">IFERROR(Prices!H322/Prices!H321-1,"")</f>
        <v/>
      </c>
      <c r="I323" s="149" t="str">
        <f ca="1">IFERROR(Prices!I322/Prices!I321-1,"")</f>
        <v/>
      </c>
      <c r="J323" s="150">
        <f t="shared" ca="1" si="6"/>
        <v>0</v>
      </c>
      <c r="K323" s="112"/>
      <c r="L323" s="112"/>
      <c r="M323" s="112"/>
    </row>
    <row r="324" spans="1:13" x14ac:dyDescent="0.3">
      <c r="A324" s="147" t="str">
        <f ca="1">Prices!$A$323</f>
        <v/>
      </c>
      <c r="B324" s="148" t="str">
        <f ca="1">IFERROR(Prices!B323/Prices!B322-1,"")</f>
        <v/>
      </c>
      <c r="C324" s="148" t="str">
        <f ca="1">IFERROR(Prices!C323/Prices!C322-1,"")</f>
        <v/>
      </c>
      <c r="D324" s="148" t="str">
        <f ca="1">IFERROR(Prices!D323/Prices!D322-1,"")</f>
        <v/>
      </c>
      <c r="E324" s="148" t="str">
        <f ca="1">IFERROR(Prices!E323/Prices!E322-1,"")</f>
        <v/>
      </c>
      <c r="F324" s="148" t="str">
        <f ca="1">IFERROR(Prices!F323/Prices!F322-1,"")</f>
        <v/>
      </c>
      <c r="G324" s="148" t="str">
        <f ca="1">IFERROR(Prices!G323/Prices!G322-1,"")</f>
        <v/>
      </c>
      <c r="H324" s="148" t="str">
        <f ca="1">IFERROR(Prices!H323/Prices!H322-1,"")</f>
        <v/>
      </c>
      <c r="I324" s="149" t="str">
        <f ca="1">IFERROR(Prices!I323/Prices!I322-1,"")</f>
        <v/>
      </c>
      <c r="J324" s="150">
        <f t="shared" ca="1" si="6"/>
        <v>0</v>
      </c>
      <c r="K324" s="112"/>
      <c r="L324" s="112"/>
      <c r="M324" s="112"/>
    </row>
    <row r="325" spans="1:13" x14ac:dyDescent="0.3">
      <c r="A325" s="147" t="str">
        <f ca="1">Prices!$A$324</f>
        <v/>
      </c>
      <c r="B325" s="148" t="str">
        <f ca="1">IFERROR(Prices!B324/Prices!B323-1,"")</f>
        <v/>
      </c>
      <c r="C325" s="148" t="str">
        <f ca="1">IFERROR(Prices!C324/Prices!C323-1,"")</f>
        <v/>
      </c>
      <c r="D325" s="148" t="str">
        <f ca="1">IFERROR(Prices!D324/Prices!D323-1,"")</f>
        <v/>
      </c>
      <c r="E325" s="148" t="str">
        <f ca="1">IFERROR(Prices!E324/Prices!E323-1,"")</f>
        <v/>
      </c>
      <c r="F325" s="148" t="str">
        <f ca="1">IFERROR(Prices!F324/Prices!F323-1,"")</f>
        <v/>
      </c>
      <c r="G325" s="148" t="str">
        <f ca="1">IFERROR(Prices!G324/Prices!G323-1,"")</f>
        <v/>
      </c>
      <c r="H325" s="148" t="str">
        <f ca="1">IFERROR(Prices!H324/Prices!H323-1,"")</f>
        <v/>
      </c>
      <c r="I325" s="149" t="str">
        <f ca="1">IFERROR(Prices!I324/Prices!I323-1,"")</f>
        <v/>
      </c>
      <c r="J325" s="150">
        <f t="shared" ca="1" si="6"/>
        <v>0</v>
      </c>
      <c r="K325" s="112"/>
      <c r="L325" s="112"/>
      <c r="M325" s="112"/>
    </row>
    <row r="326" spans="1:13" x14ac:dyDescent="0.3">
      <c r="A326" s="147" t="str">
        <f ca="1">Prices!$A$325</f>
        <v/>
      </c>
      <c r="B326" s="148" t="str">
        <f ca="1">IFERROR(Prices!B325/Prices!B324-1,"")</f>
        <v/>
      </c>
      <c r="C326" s="148" t="str">
        <f ca="1">IFERROR(Prices!C325/Prices!C324-1,"")</f>
        <v/>
      </c>
      <c r="D326" s="148" t="str">
        <f ca="1">IFERROR(Prices!D325/Prices!D324-1,"")</f>
        <v/>
      </c>
      <c r="E326" s="148" t="str">
        <f ca="1">IFERROR(Prices!E325/Prices!E324-1,"")</f>
        <v/>
      </c>
      <c r="F326" s="148" t="str">
        <f ca="1">IFERROR(Prices!F325/Prices!F324-1,"")</f>
        <v/>
      </c>
      <c r="G326" s="148" t="str">
        <f ca="1">IFERROR(Prices!G325/Prices!G324-1,"")</f>
        <v/>
      </c>
      <c r="H326" s="148" t="str">
        <f ca="1">IFERROR(Prices!H325/Prices!H324-1,"")</f>
        <v/>
      </c>
      <c r="I326" s="149" t="str">
        <f ca="1">IFERROR(Prices!I325/Prices!I324-1,"")</f>
        <v/>
      </c>
      <c r="J326" s="150">
        <f t="shared" ca="1" si="6"/>
        <v>0</v>
      </c>
      <c r="K326" s="112"/>
      <c r="L326" s="112"/>
      <c r="M326" s="112"/>
    </row>
    <row r="327" spans="1:13" x14ac:dyDescent="0.3">
      <c r="A327" s="147" t="str">
        <f ca="1">Prices!$A$326</f>
        <v/>
      </c>
      <c r="B327" s="148" t="str">
        <f ca="1">IFERROR(Prices!B326/Prices!B325-1,"")</f>
        <v/>
      </c>
      <c r="C327" s="148" t="str">
        <f ca="1">IFERROR(Prices!C326/Prices!C325-1,"")</f>
        <v/>
      </c>
      <c r="D327" s="148" t="str">
        <f ca="1">IFERROR(Prices!D326/Prices!D325-1,"")</f>
        <v/>
      </c>
      <c r="E327" s="148" t="str">
        <f ca="1">IFERROR(Prices!E326/Prices!E325-1,"")</f>
        <v/>
      </c>
      <c r="F327" s="148" t="str">
        <f ca="1">IFERROR(Prices!F326/Prices!F325-1,"")</f>
        <v/>
      </c>
      <c r="G327" s="148" t="str">
        <f ca="1">IFERROR(Prices!G326/Prices!G325-1,"")</f>
        <v/>
      </c>
      <c r="H327" s="148" t="str">
        <f ca="1">IFERROR(Prices!H326/Prices!H325-1,"")</f>
        <v/>
      </c>
      <c r="I327" s="149" t="str">
        <f ca="1">IFERROR(Prices!I326/Prices!I325-1,"")</f>
        <v/>
      </c>
      <c r="J327" s="150">
        <f t="shared" ref="J327:J390" ca="1" si="7">IFERROR(SUMPRODUCT(Weights,$B327:$H327),"")</f>
        <v>0</v>
      </c>
      <c r="K327" s="112"/>
      <c r="L327" s="112"/>
      <c r="M327" s="112"/>
    </row>
    <row r="328" spans="1:13" x14ac:dyDescent="0.3">
      <c r="A328" s="147" t="str">
        <f ca="1">Prices!$A$327</f>
        <v/>
      </c>
      <c r="B328" s="148" t="str">
        <f ca="1">IFERROR(Prices!B327/Prices!B326-1,"")</f>
        <v/>
      </c>
      <c r="C328" s="148" t="str">
        <f ca="1">IFERROR(Prices!C327/Prices!C326-1,"")</f>
        <v/>
      </c>
      <c r="D328" s="148" t="str">
        <f ca="1">IFERROR(Prices!D327/Prices!D326-1,"")</f>
        <v/>
      </c>
      <c r="E328" s="148" t="str">
        <f ca="1">IFERROR(Prices!E327/Prices!E326-1,"")</f>
        <v/>
      </c>
      <c r="F328" s="148" t="str">
        <f ca="1">IFERROR(Prices!F327/Prices!F326-1,"")</f>
        <v/>
      </c>
      <c r="G328" s="148" t="str">
        <f ca="1">IFERROR(Prices!G327/Prices!G326-1,"")</f>
        <v/>
      </c>
      <c r="H328" s="148" t="str">
        <f ca="1">IFERROR(Prices!H327/Prices!H326-1,"")</f>
        <v/>
      </c>
      <c r="I328" s="149" t="str">
        <f ca="1">IFERROR(Prices!I327/Prices!I326-1,"")</f>
        <v/>
      </c>
      <c r="J328" s="150">
        <f t="shared" ca="1" si="7"/>
        <v>0</v>
      </c>
      <c r="K328" s="112"/>
      <c r="L328" s="112"/>
      <c r="M328" s="112"/>
    </row>
    <row r="329" spans="1:13" x14ac:dyDescent="0.3">
      <c r="A329" s="147" t="str">
        <f ca="1">Prices!$A$328</f>
        <v/>
      </c>
      <c r="B329" s="148" t="str">
        <f ca="1">IFERROR(Prices!B328/Prices!B327-1,"")</f>
        <v/>
      </c>
      <c r="C329" s="148" t="str">
        <f ca="1">IFERROR(Prices!C328/Prices!C327-1,"")</f>
        <v/>
      </c>
      <c r="D329" s="148" t="str">
        <f ca="1">IFERROR(Prices!D328/Prices!D327-1,"")</f>
        <v/>
      </c>
      <c r="E329" s="148" t="str">
        <f ca="1">IFERROR(Prices!E328/Prices!E327-1,"")</f>
        <v/>
      </c>
      <c r="F329" s="148" t="str">
        <f ca="1">IFERROR(Prices!F328/Prices!F327-1,"")</f>
        <v/>
      </c>
      <c r="G329" s="148" t="str">
        <f ca="1">IFERROR(Prices!G328/Prices!G327-1,"")</f>
        <v/>
      </c>
      <c r="H329" s="148" t="str">
        <f ca="1">IFERROR(Prices!H328/Prices!H327-1,"")</f>
        <v/>
      </c>
      <c r="I329" s="149" t="str">
        <f ca="1">IFERROR(Prices!I328/Prices!I327-1,"")</f>
        <v/>
      </c>
      <c r="J329" s="150">
        <f t="shared" ca="1" si="7"/>
        <v>0</v>
      </c>
      <c r="K329" s="112"/>
      <c r="L329" s="112"/>
      <c r="M329" s="112"/>
    </row>
    <row r="330" spans="1:13" x14ac:dyDescent="0.3">
      <c r="A330" s="147" t="str">
        <f ca="1">Prices!$A$329</f>
        <v/>
      </c>
      <c r="B330" s="148" t="str">
        <f ca="1">IFERROR(Prices!B329/Prices!B328-1,"")</f>
        <v/>
      </c>
      <c r="C330" s="148" t="str">
        <f ca="1">IFERROR(Prices!C329/Prices!C328-1,"")</f>
        <v/>
      </c>
      <c r="D330" s="148" t="str">
        <f ca="1">IFERROR(Prices!D329/Prices!D328-1,"")</f>
        <v/>
      </c>
      <c r="E330" s="148" t="str">
        <f ca="1">IFERROR(Prices!E329/Prices!E328-1,"")</f>
        <v/>
      </c>
      <c r="F330" s="148" t="str">
        <f ca="1">IFERROR(Prices!F329/Prices!F328-1,"")</f>
        <v/>
      </c>
      <c r="G330" s="148" t="str">
        <f ca="1">IFERROR(Prices!G329/Prices!G328-1,"")</f>
        <v/>
      </c>
      <c r="H330" s="148" t="str">
        <f ca="1">IFERROR(Prices!H329/Prices!H328-1,"")</f>
        <v/>
      </c>
      <c r="I330" s="149" t="str">
        <f ca="1">IFERROR(Prices!I329/Prices!I328-1,"")</f>
        <v/>
      </c>
      <c r="J330" s="150">
        <f t="shared" ca="1" si="7"/>
        <v>0</v>
      </c>
      <c r="K330" s="112"/>
      <c r="L330" s="112"/>
      <c r="M330" s="112"/>
    </row>
    <row r="331" spans="1:13" x14ac:dyDescent="0.3">
      <c r="A331" s="147" t="str">
        <f ca="1">Prices!$A$330</f>
        <v/>
      </c>
      <c r="B331" s="148" t="str">
        <f ca="1">IFERROR(Prices!B330/Prices!B329-1,"")</f>
        <v/>
      </c>
      <c r="C331" s="148" t="str">
        <f ca="1">IFERROR(Prices!C330/Prices!C329-1,"")</f>
        <v/>
      </c>
      <c r="D331" s="148" t="str">
        <f ca="1">IFERROR(Prices!D330/Prices!D329-1,"")</f>
        <v/>
      </c>
      <c r="E331" s="148" t="str">
        <f ca="1">IFERROR(Prices!E330/Prices!E329-1,"")</f>
        <v/>
      </c>
      <c r="F331" s="148" t="str">
        <f ca="1">IFERROR(Prices!F330/Prices!F329-1,"")</f>
        <v/>
      </c>
      <c r="G331" s="148" t="str">
        <f ca="1">IFERROR(Prices!G330/Prices!G329-1,"")</f>
        <v/>
      </c>
      <c r="H331" s="148" t="str">
        <f ca="1">IFERROR(Prices!H330/Prices!H329-1,"")</f>
        <v/>
      </c>
      <c r="I331" s="149" t="str">
        <f ca="1">IFERROR(Prices!I330/Prices!I329-1,"")</f>
        <v/>
      </c>
      <c r="J331" s="150">
        <f t="shared" ca="1" si="7"/>
        <v>0</v>
      </c>
      <c r="K331" s="112"/>
      <c r="L331" s="112"/>
      <c r="M331" s="112"/>
    </row>
    <row r="332" spans="1:13" x14ac:dyDescent="0.3">
      <c r="A332" s="147" t="str">
        <f ca="1">Prices!$A$331</f>
        <v/>
      </c>
      <c r="B332" s="148" t="str">
        <f ca="1">IFERROR(Prices!B331/Prices!B330-1,"")</f>
        <v/>
      </c>
      <c r="C332" s="148" t="str">
        <f ca="1">IFERROR(Prices!C331/Prices!C330-1,"")</f>
        <v/>
      </c>
      <c r="D332" s="148" t="str">
        <f ca="1">IFERROR(Prices!D331/Prices!D330-1,"")</f>
        <v/>
      </c>
      <c r="E332" s="148" t="str">
        <f ca="1">IFERROR(Prices!E331/Prices!E330-1,"")</f>
        <v/>
      </c>
      <c r="F332" s="148" t="str">
        <f ca="1">IFERROR(Prices!F331/Prices!F330-1,"")</f>
        <v/>
      </c>
      <c r="G332" s="148" t="str">
        <f ca="1">IFERROR(Prices!G331/Prices!G330-1,"")</f>
        <v/>
      </c>
      <c r="H332" s="148" t="str">
        <f ca="1">IFERROR(Prices!H331/Prices!H330-1,"")</f>
        <v/>
      </c>
      <c r="I332" s="149" t="str">
        <f ca="1">IFERROR(Prices!I331/Prices!I330-1,"")</f>
        <v/>
      </c>
      <c r="J332" s="150">
        <f t="shared" ca="1" si="7"/>
        <v>0</v>
      </c>
      <c r="K332" s="112"/>
      <c r="L332" s="112"/>
      <c r="M332" s="112"/>
    </row>
    <row r="333" spans="1:13" x14ac:dyDescent="0.3">
      <c r="A333" s="147" t="str">
        <f ca="1">Prices!$A$332</f>
        <v/>
      </c>
      <c r="B333" s="148" t="str">
        <f ca="1">IFERROR(Prices!B332/Prices!B331-1,"")</f>
        <v/>
      </c>
      <c r="C333" s="148" t="str">
        <f ca="1">IFERROR(Prices!C332/Prices!C331-1,"")</f>
        <v/>
      </c>
      <c r="D333" s="148" t="str">
        <f ca="1">IFERROR(Prices!D332/Prices!D331-1,"")</f>
        <v/>
      </c>
      <c r="E333" s="148" t="str">
        <f ca="1">IFERROR(Prices!E332/Prices!E331-1,"")</f>
        <v/>
      </c>
      <c r="F333" s="148" t="str">
        <f ca="1">IFERROR(Prices!F332/Prices!F331-1,"")</f>
        <v/>
      </c>
      <c r="G333" s="148" t="str">
        <f ca="1">IFERROR(Prices!G332/Prices!G331-1,"")</f>
        <v/>
      </c>
      <c r="H333" s="148" t="str">
        <f ca="1">IFERROR(Prices!H332/Prices!H331-1,"")</f>
        <v/>
      </c>
      <c r="I333" s="149" t="str">
        <f ca="1">IFERROR(Prices!I332/Prices!I331-1,"")</f>
        <v/>
      </c>
      <c r="J333" s="150">
        <f t="shared" ca="1" si="7"/>
        <v>0</v>
      </c>
      <c r="K333" s="112"/>
      <c r="L333" s="112"/>
      <c r="M333" s="112"/>
    </row>
    <row r="334" spans="1:13" x14ac:dyDescent="0.3">
      <c r="A334" s="147" t="str">
        <f ca="1">Prices!$A$333</f>
        <v/>
      </c>
      <c r="B334" s="148" t="str">
        <f ca="1">IFERROR(Prices!B333/Prices!B332-1,"")</f>
        <v/>
      </c>
      <c r="C334" s="148" t="str">
        <f ca="1">IFERROR(Prices!C333/Prices!C332-1,"")</f>
        <v/>
      </c>
      <c r="D334" s="148" t="str">
        <f ca="1">IFERROR(Prices!D333/Prices!D332-1,"")</f>
        <v/>
      </c>
      <c r="E334" s="148" t="str">
        <f ca="1">IFERROR(Prices!E333/Prices!E332-1,"")</f>
        <v/>
      </c>
      <c r="F334" s="148" t="str">
        <f ca="1">IFERROR(Prices!F333/Prices!F332-1,"")</f>
        <v/>
      </c>
      <c r="G334" s="148" t="str">
        <f ca="1">IFERROR(Prices!G333/Prices!G332-1,"")</f>
        <v/>
      </c>
      <c r="H334" s="148" t="str">
        <f ca="1">IFERROR(Prices!H333/Prices!H332-1,"")</f>
        <v/>
      </c>
      <c r="I334" s="149" t="str">
        <f ca="1">IFERROR(Prices!I333/Prices!I332-1,"")</f>
        <v/>
      </c>
      <c r="J334" s="150">
        <f t="shared" ca="1" si="7"/>
        <v>0</v>
      </c>
      <c r="K334" s="112"/>
      <c r="L334" s="112"/>
      <c r="M334" s="112"/>
    </row>
    <row r="335" spans="1:13" x14ac:dyDescent="0.3">
      <c r="A335" s="147" t="str">
        <f ca="1">Prices!$A$334</f>
        <v/>
      </c>
      <c r="B335" s="148" t="str">
        <f ca="1">IFERROR(Prices!B334/Prices!B333-1,"")</f>
        <v/>
      </c>
      <c r="C335" s="148" t="str">
        <f ca="1">IFERROR(Prices!C334/Prices!C333-1,"")</f>
        <v/>
      </c>
      <c r="D335" s="148" t="str">
        <f ca="1">IFERROR(Prices!D334/Prices!D333-1,"")</f>
        <v/>
      </c>
      <c r="E335" s="148" t="str">
        <f ca="1">IFERROR(Prices!E334/Prices!E333-1,"")</f>
        <v/>
      </c>
      <c r="F335" s="148" t="str">
        <f ca="1">IFERROR(Prices!F334/Prices!F333-1,"")</f>
        <v/>
      </c>
      <c r="G335" s="148" t="str">
        <f ca="1">IFERROR(Prices!G334/Prices!G333-1,"")</f>
        <v/>
      </c>
      <c r="H335" s="148" t="str">
        <f ca="1">IFERROR(Prices!H334/Prices!H333-1,"")</f>
        <v/>
      </c>
      <c r="I335" s="149" t="str">
        <f ca="1">IFERROR(Prices!I334/Prices!I333-1,"")</f>
        <v/>
      </c>
      <c r="J335" s="150">
        <f t="shared" ca="1" si="7"/>
        <v>0</v>
      </c>
      <c r="K335" s="112"/>
      <c r="L335" s="112"/>
      <c r="M335" s="112"/>
    </row>
    <row r="336" spans="1:13" x14ac:dyDescent="0.3">
      <c r="A336" s="147" t="str">
        <f ca="1">Prices!$A$335</f>
        <v/>
      </c>
      <c r="B336" s="148" t="str">
        <f ca="1">IFERROR(Prices!B335/Prices!B334-1,"")</f>
        <v/>
      </c>
      <c r="C336" s="148" t="str">
        <f ca="1">IFERROR(Prices!C335/Prices!C334-1,"")</f>
        <v/>
      </c>
      <c r="D336" s="148" t="str">
        <f ca="1">IFERROR(Prices!D335/Prices!D334-1,"")</f>
        <v/>
      </c>
      <c r="E336" s="148" t="str">
        <f ca="1">IFERROR(Prices!E335/Prices!E334-1,"")</f>
        <v/>
      </c>
      <c r="F336" s="148" t="str">
        <f ca="1">IFERROR(Prices!F335/Prices!F334-1,"")</f>
        <v/>
      </c>
      <c r="G336" s="148" t="str">
        <f ca="1">IFERROR(Prices!G335/Prices!G334-1,"")</f>
        <v/>
      </c>
      <c r="H336" s="148" t="str">
        <f ca="1">IFERROR(Prices!H335/Prices!H334-1,"")</f>
        <v/>
      </c>
      <c r="I336" s="149" t="str">
        <f ca="1">IFERROR(Prices!I335/Prices!I334-1,"")</f>
        <v/>
      </c>
      <c r="J336" s="150">
        <f t="shared" ca="1" si="7"/>
        <v>0</v>
      </c>
      <c r="K336" s="112"/>
      <c r="L336" s="112"/>
      <c r="M336" s="112"/>
    </row>
    <row r="337" spans="1:13" x14ac:dyDescent="0.3">
      <c r="A337" s="147" t="str">
        <f ca="1">Prices!$A$336</f>
        <v/>
      </c>
      <c r="B337" s="148" t="str">
        <f ca="1">IFERROR(Prices!B336/Prices!B335-1,"")</f>
        <v/>
      </c>
      <c r="C337" s="148" t="str">
        <f ca="1">IFERROR(Prices!C336/Prices!C335-1,"")</f>
        <v/>
      </c>
      <c r="D337" s="148" t="str">
        <f ca="1">IFERROR(Prices!D336/Prices!D335-1,"")</f>
        <v/>
      </c>
      <c r="E337" s="148" t="str">
        <f ca="1">IFERROR(Prices!E336/Prices!E335-1,"")</f>
        <v/>
      </c>
      <c r="F337" s="148" t="str">
        <f ca="1">IFERROR(Prices!F336/Prices!F335-1,"")</f>
        <v/>
      </c>
      <c r="G337" s="148" t="str">
        <f ca="1">IFERROR(Prices!G336/Prices!G335-1,"")</f>
        <v/>
      </c>
      <c r="H337" s="148" t="str">
        <f ca="1">IFERROR(Prices!H336/Prices!H335-1,"")</f>
        <v/>
      </c>
      <c r="I337" s="149" t="str">
        <f ca="1">IFERROR(Prices!I336/Prices!I335-1,"")</f>
        <v/>
      </c>
      <c r="J337" s="150">
        <f t="shared" ca="1" si="7"/>
        <v>0</v>
      </c>
      <c r="K337" s="112"/>
      <c r="L337" s="112"/>
      <c r="M337" s="112"/>
    </row>
    <row r="338" spans="1:13" x14ac:dyDescent="0.3">
      <c r="A338" s="147" t="str">
        <f ca="1">Prices!$A$337</f>
        <v/>
      </c>
      <c r="B338" s="148" t="str">
        <f ca="1">IFERROR(Prices!B337/Prices!B336-1,"")</f>
        <v/>
      </c>
      <c r="C338" s="148" t="str">
        <f ca="1">IFERROR(Prices!C337/Prices!C336-1,"")</f>
        <v/>
      </c>
      <c r="D338" s="148" t="str">
        <f ca="1">IFERROR(Prices!D337/Prices!D336-1,"")</f>
        <v/>
      </c>
      <c r="E338" s="148" t="str">
        <f ca="1">IFERROR(Prices!E337/Prices!E336-1,"")</f>
        <v/>
      </c>
      <c r="F338" s="148" t="str">
        <f ca="1">IFERROR(Prices!F337/Prices!F336-1,"")</f>
        <v/>
      </c>
      <c r="G338" s="148" t="str">
        <f ca="1">IFERROR(Prices!G337/Prices!G336-1,"")</f>
        <v/>
      </c>
      <c r="H338" s="148" t="str">
        <f ca="1">IFERROR(Prices!H337/Prices!H336-1,"")</f>
        <v/>
      </c>
      <c r="I338" s="149" t="str">
        <f ca="1">IFERROR(Prices!I337/Prices!I336-1,"")</f>
        <v/>
      </c>
      <c r="J338" s="150">
        <f t="shared" ca="1" si="7"/>
        <v>0</v>
      </c>
      <c r="K338" s="112"/>
      <c r="L338" s="112"/>
      <c r="M338" s="112"/>
    </row>
    <row r="339" spans="1:13" x14ac:dyDescent="0.3">
      <c r="A339" s="147" t="str">
        <f ca="1">Prices!$A$338</f>
        <v/>
      </c>
      <c r="B339" s="148" t="str">
        <f ca="1">IFERROR(Prices!B338/Prices!B337-1,"")</f>
        <v/>
      </c>
      <c r="C339" s="148" t="str">
        <f ca="1">IFERROR(Prices!C338/Prices!C337-1,"")</f>
        <v/>
      </c>
      <c r="D339" s="148" t="str">
        <f ca="1">IFERROR(Prices!D338/Prices!D337-1,"")</f>
        <v/>
      </c>
      <c r="E339" s="148" t="str">
        <f ca="1">IFERROR(Prices!E338/Prices!E337-1,"")</f>
        <v/>
      </c>
      <c r="F339" s="148" t="str">
        <f ca="1">IFERROR(Prices!F338/Prices!F337-1,"")</f>
        <v/>
      </c>
      <c r="G339" s="148" t="str">
        <f ca="1">IFERROR(Prices!G338/Prices!G337-1,"")</f>
        <v/>
      </c>
      <c r="H339" s="148" t="str">
        <f ca="1">IFERROR(Prices!H338/Prices!H337-1,"")</f>
        <v/>
      </c>
      <c r="I339" s="149" t="str">
        <f ca="1">IFERROR(Prices!I338/Prices!I337-1,"")</f>
        <v/>
      </c>
      <c r="J339" s="150">
        <f t="shared" ca="1" si="7"/>
        <v>0</v>
      </c>
      <c r="K339" s="112"/>
      <c r="L339" s="112"/>
      <c r="M339" s="112"/>
    </row>
    <row r="340" spans="1:13" x14ac:dyDescent="0.3">
      <c r="A340" s="147" t="str">
        <f ca="1">Prices!$A$339</f>
        <v/>
      </c>
      <c r="B340" s="148" t="str">
        <f ca="1">IFERROR(Prices!B339/Prices!B338-1,"")</f>
        <v/>
      </c>
      <c r="C340" s="148" t="str">
        <f ca="1">IFERROR(Prices!C339/Prices!C338-1,"")</f>
        <v/>
      </c>
      <c r="D340" s="148" t="str">
        <f ca="1">IFERROR(Prices!D339/Prices!D338-1,"")</f>
        <v/>
      </c>
      <c r="E340" s="148" t="str">
        <f ca="1">IFERROR(Prices!E339/Prices!E338-1,"")</f>
        <v/>
      </c>
      <c r="F340" s="148" t="str">
        <f ca="1">IFERROR(Prices!F339/Prices!F338-1,"")</f>
        <v/>
      </c>
      <c r="G340" s="148" t="str">
        <f ca="1">IFERROR(Prices!G339/Prices!G338-1,"")</f>
        <v/>
      </c>
      <c r="H340" s="148" t="str">
        <f ca="1">IFERROR(Prices!H339/Prices!H338-1,"")</f>
        <v/>
      </c>
      <c r="I340" s="149" t="str">
        <f ca="1">IFERROR(Prices!I339/Prices!I338-1,"")</f>
        <v/>
      </c>
      <c r="J340" s="150">
        <f t="shared" ca="1" si="7"/>
        <v>0</v>
      </c>
      <c r="K340" s="112"/>
      <c r="L340" s="112"/>
      <c r="M340" s="112"/>
    </row>
    <row r="341" spans="1:13" x14ac:dyDescent="0.3">
      <c r="A341" s="147" t="str">
        <f ca="1">Prices!$A$340</f>
        <v/>
      </c>
      <c r="B341" s="148" t="str">
        <f ca="1">IFERROR(Prices!B340/Prices!B339-1,"")</f>
        <v/>
      </c>
      <c r="C341" s="148" t="str">
        <f ca="1">IFERROR(Prices!C340/Prices!C339-1,"")</f>
        <v/>
      </c>
      <c r="D341" s="148" t="str">
        <f ca="1">IFERROR(Prices!D340/Prices!D339-1,"")</f>
        <v/>
      </c>
      <c r="E341" s="148" t="str">
        <f ca="1">IFERROR(Prices!E340/Prices!E339-1,"")</f>
        <v/>
      </c>
      <c r="F341" s="148" t="str">
        <f ca="1">IFERROR(Prices!F340/Prices!F339-1,"")</f>
        <v/>
      </c>
      <c r="G341" s="148" t="str">
        <f ca="1">IFERROR(Prices!G340/Prices!G339-1,"")</f>
        <v/>
      </c>
      <c r="H341" s="148" t="str">
        <f ca="1">IFERROR(Prices!H340/Prices!H339-1,"")</f>
        <v/>
      </c>
      <c r="I341" s="149" t="str">
        <f ca="1">IFERROR(Prices!I340/Prices!I339-1,"")</f>
        <v/>
      </c>
      <c r="J341" s="150">
        <f t="shared" ca="1" si="7"/>
        <v>0</v>
      </c>
      <c r="K341" s="112"/>
      <c r="L341" s="112"/>
      <c r="M341" s="112"/>
    </row>
    <row r="342" spans="1:13" x14ac:dyDescent="0.3">
      <c r="A342" s="147" t="str">
        <f ca="1">Prices!$A$341</f>
        <v/>
      </c>
      <c r="B342" s="148" t="str">
        <f ca="1">IFERROR(Prices!B341/Prices!B340-1,"")</f>
        <v/>
      </c>
      <c r="C342" s="148" t="str">
        <f ca="1">IFERROR(Prices!C341/Prices!C340-1,"")</f>
        <v/>
      </c>
      <c r="D342" s="148" t="str">
        <f ca="1">IFERROR(Prices!D341/Prices!D340-1,"")</f>
        <v/>
      </c>
      <c r="E342" s="148" t="str">
        <f ca="1">IFERROR(Prices!E341/Prices!E340-1,"")</f>
        <v/>
      </c>
      <c r="F342" s="148" t="str">
        <f ca="1">IFERROR(Prices!F341/Prices!F340-1,"")</f>
        <v/>
      </c>
      <c r="G342" s="148" t="str">
        <f ca="1">IFERROR(Prices!G341/Prices!G340-1,"")</f>
        <v/>
      </c>
      <c r="H342" s="148" t="str">
        <f ca="1">IFERROR(Prices!H341/Prices!H340-1,"")</f>
        <v/>
      </c>
      <c r="I342" s="149" t="str">
        <f ca="1">IFERROR(Prices!I341/Prices!I340-1,"")</f>
        <v/>
      </c>
      <c r="J342" s="150">
        <f t="shared" ca="1" si="7"/>
        <v>0</v>
      </c>
      <c r="K342" s="112"/>
      <c r="L342" s="112"/>
      <c r="M342" s="112"/>
    </row>
    <row r="343" spans="1:13" x14ac:dyDescent="0.3">
      <c r="A343" s="147" t="str">
        <f ca="1">Prices!$A$342</f>
        <v/>
      </c>
      <c r="B343" s="148" t="str">
        <f ca="1">IFERROR(Prices!B342/Prices!B341-1,"")</f>
        <v/>
      </c>
      <c r="C343" s="148" t="str">
        <f ca="1">IFERROR(Prices!C342/Prices!C341-1,"")</f>
        <v/>
      </c>
      <c r="D343" s="148" t="str">
        <f ca="1">IFERROR(Prices!D342/Prices!D341-1,"")</f>
        <v/>
      </c>
      <c r="E343" s="148" t="str">
        <f ca="1">IFERROR(Prices!E342/Prices!E341-1,"")</f>
        <v/>
      </c>
      <c r="F343" s="148" t="str">
        <f ca="1">IFERROR(Prices!F342/Prices!F341-1,"")</f>
        <v/>
      </c>
      <c r="G343" s="148" t="str">
        <f ca="1">IFERROR(Prices!G342/Prices!G341-1,"")</f>
        <v/>
      </c>
      <c r="H343" s="148" t="str">
        <f ca="1">IFERROR(Prices!H342/Prices!H341-1,"")</f>
        <v/>
      </c>
      <c r="I343" s="149" t="str">
        <f ca="1">IFERROR(Prices!I342/Prices!I341-1,"")</f>
        <v/>
      </c>
      <c r="J343" s="150">
        <f t="shared" ca="1" si="7"/>
        <v>0</v>
      </c>
      <c r="K343" s="112"/>
      <c r="L343" s="112"/>
      <c r="M343" s="112"/>
    </row>
    <row r="344" spans="1:13" x14ac:dyDescent="0.3">
      <c r="A344" s="147" t="str">
        <f ca="1">Prices!$A$343</f>
        <v/>
      </c>
      <c r="B344" s="148" t="str">
        <f ca="1">IFERROR(Prices!B343/Prices!B342-1,"")</f>
        <v/>
      </c>
      <c r="C344" s="148" t="str">
        <f ca="1">IFERROR(Prices!C343/Prices!C342-1,"")</f>
        <v/>
      </c>
      <c r="D344" s="148" t="str">
        <f ca="1">IFERROR(Prices!D343/Prices!D342-1,"")</f>
        <v/>
      </c>
      <c r="E344" s="148" t="str">
        <f ca="1">IFERROR(Prices!E343/Prices!E342-1,"")</f>
        <v/>
      </c>
      <c r="F344" s="148" t="str">
        <f ca="1">IFERROR(Prices!F343/Prices!F342-1,"")</f>
        <v/>
      </c>
      <c r="G344" s="148" t="str">
        <f ca="1">IFERROR(Prices!G343/Prices!G342-1,"")</f>
        <v/>
      </c>
      <c r="H344" s="148" t="str">
        <f ca="1">IFERROR(Prices!H343/Prices!H342-1,"")</f>
        <v/>
      </c>
      <c r="I344" s="149" t="str">
        <f ca="1">IFERROR(Prices!I343/Prices!I342-1,"")</f>
        <v/>
      </c>
      <c r="J344" s="150">
        <f t="shared" ca="1" si="7"/>
        <v>0</v>
      </c>
      <c r="K344" s="112"/>
      <c r="L344" s="112"/>
      <c r="M344" s="112"/>
    </row>
    <row r="345" spans="1:13" x14ac:dyDescent="0.3">
      <c r="A345" s="147" t="str">
        <f ca="1">Prices!$A$344</f>
        <v/>
      </c>
      <c r="B345" s="148" t="str">
        <f ca="1">IFERROR(Prices!B344/Prices!B343-1,"")</f>
        <v/>
      </c>
      <c r="C345" s="148" t="str">
        <f ca="1">IFERROR(Prices!C344/Prices!C343-1,"")</f>
        <v/>
      </c>
      <c r="D345" s="148" t="str">
        <f ca="1">IFERROR(Prices!D344/Prices!D343-1,"")</f>
        <v/>
      </c>
      <c r="E345" s="148" t="str">
        <f ca="1">IFERROR(Prices!E344/Prices!E343-1,"")</f>
        <v/>
      </c>
      <c r="F345" s="148" t="str">
        <f ca="1">IFERROR(Prices!F344/Prices!F343-1,"")</f>
        <v/>
      </c>
      <c r="G345" s="148" t="str">
        <f ca="1">IFERROR(Prices!G344/Prices!G343-1,"")</f>
        <v/>
      </c>
      <c r="H345" s="148" t="str">
        <f ca="1">IFERROR(Prices!H344/Prices!H343-1,"")</f>
        <v/>
      </c>
      <c r="I345" s="149" t="str">
        <f ca="1">IFERROR(Prices!I344/Prices!I343-1,"")</f>
        <v/>
      </c>
      <c r="J345" s="150">
        <f t="shared" ca="1" si="7"/>
        <v>0</v>
      </c>
      <c r="K345" s="112"/>
      <c r="L345" s="112"/>
      <c r="M345" s="112"/>
    </row>
    <row r="346" spans="1:13" x14ac:dyDescent="0.3">
      <c r="A346" s="147" t="str">
        <f ca="1">Prices!$A$345</f>
        <v/>
      </c>
      <c r="B346" s="148" t="str">
        <f ca="1">IFERROR(Prices!B345/Prices!B344-1,"")</f>
        <v/>
      </c>
      <c r="C346" s="148" t="str">
        <f ca="1">IFERROR(Prices!C345/Prices!C344-1,"")</f>
        <v/>
      </c>
      <c r="D346" s="148" t="str">
        <f ca="1">IFERROR(Prices!D345/Prices!D344-1,"")</f>
        <v/>
      </c>
      <c r="E346" s="148" t="str">
        <f ca="1">IFERROR(Prices!E345/Prices!E344-1,"")</f>
        <v/>
      </c>
      <c r="F346" s="148" t="str">
        <f ca="1">IFERROR(Prices!F345/Prices!F344-1,"")</f>
        <v/>
      </c>
      <c r="G346" s="148" t="str">
        <f ca="1">IFERROR(Prices!G345/Prices!G344-1,"")</f>
        <v/>
      </c>
      <c r="H346" s="148" t="str">
        <f ca="1">IFERROR(Prices!H345/Prices!H344-1,"")</f>
        <v/>
      </c>
      <c r="I346" s="149" t="str">
        <f ca="1">IFERROR(Prices!I345/Prices!I344-1,"")</f>
        <v/>
      </c>
      <c r="J346" s="150">
        <f t="shared" ca="1" si="7"/>
        <v>0</v>
      </c>
      <c r="K346" s="112"/>
      <c r="L346" s="112"/>
      <c r="M346" s="112"/>
    </row>
    <row r="347" spans="1:13" x14ac:dyDescent="0.3">
      <c r="A347" s="147" t="str">
        <f ca="1">Prices!$A$346</f>
        <v/>
      </c>
      <c r="B347" s="148" t="str">
        <f ca="1">IFERROR(Prices!B346/Prices!B345-1,"")</f>
        <v/>
      </c>
      <c r="C347" s="148" t="str">
        <f ca="1">IFERROR(Prices!C346/Prices!C345-1,"")</f>
        <v/>
      </c>
      <c r="D347" s="148" t="str">
        <f ca="1">IFERROR(Prices!D346/Prices!D345-1,"")</f>
        <v/>
      </c>
      <c r="E347" s="148" t="str">
        <f ca="1">IFERROR(Prices!E346/Prices!E345-1,"")</f>
        <v/>
      </c>
      <c r="F347" s="148" t="str">
        <f ca="1">IFERROR(Prices!F346/Prices!F345-1,"")</f>
        <v/>
      </c>
      <c r="G347" s="148" t="str">
        <f ca="1">IFERROR(Prices!G346/Prices!G345-1,"")</f>
        <v/>
      </c>
      <c r="H347" s="148" t="str">
        <f ca="1">IFERROR(Prices!H346/Prices!H345-1,"")</f>
        <v/>
      </c>
      <c r="I347" s="149" t="str">
        <f ca="1">IFERROR(Prices!I346/Prices!I345-1,"")</f>
        <v/>
      </c>
      <c r="J347" s="150">
        <f t="shared" ca="1" si="7"/>
        <v>0</v>
      </c>
      <c r="K347" s="112"/>
      <c r="L347" s="112"/>
      <c r="M347" s="112"/>
    </row>
    <row r="348" spans="1:13" x14ac:dyDescent="0.3">
      <c r="A348" s="147" t="str">
        <f ca="1">Prices!$A$347</f>
        <v/>
      </c>
      <c r="B348" s="148" t="str">
        <f ca="1">IFERROR(Prices!B347/Prices!B346-1,"")</f>
        <v/>
      </c>
      <c r="C348" s="148" t="str">
        <f ca="1">IFERROR(Prices!C347/Prices!C346-1,"")</f>
        <v/>
      </c>
      <c r="D348" s="148" t="str">
        <f ca="1">IFERROR(Prices!D347/Prices!D346-1,"")</f>
        <v/>
      </c>
      <c r="E348" s="148" t="str">
        <f ca="1">IFERROR(Prices!E347/Prices!E346-1,"")</f>
        <v/>
      </c>
      <c r="F348" s="148" t="str">
        <f ca="1">IFERROR(Prices!F347/Prices!F346-1,"")</f>
        <v/>
      </c>
      <c r="G348" s="148" t="str">
        <f ca="1">IFERROR(Prices!G347/Prices!G346-1,"")</f>
        <v/>
      </c>
      <c r="H348" s="148" t="str">
        <f ca="1">IFERROR(Prices!H347/Prices!H346-1,"")</f>
        <v/>
      </c>
      <c r="I348" s="149" t="str">
        <f ca="1">IFERROR(Prices!I347/Prices!I346-1,"")</f>
        <v/>
      </c>
      <c r="J348" s="150">
        <f t="shared" ca="1" si="7"/>
        <v>0</v>
      </c>
      <c r="K348" s="112"/>
      <c r="L348" s="112"/>
      <c r="M348" s="112"/>
    </row>
    <row r="349" spans="1:13" x14ac:dyDescent="0.3">
      <c r="A349" s="147" t="str">
        <f ca="1">Prices!$A$348</f>
        <v/>
      </c>
      <c r="B349" s="148" t="str">
        <f ca="1">IFERROR(Prices!B348/Prices!B347-1,"")</f>
        <v/>
      </c>
      <c r="C349" s="148" t="str">
        <f ca="1">IFERROR(Prices!C348/Prices!C347-1,"")</f>
        <v/>
      </c>
      <c r="D349" s="148" t="str">
        <f ca="1">IFERROR(Prices!D348/Prices!D347-1,"")</f>
        <v/>
      </c>
      <c r="E349" s="148" t="str">
        <f ca="1">IFERROR(Prices!E348/Prices!E347-1,"")</f>
        <v/>
      </c>
      <c r="F349" s="148" t="str">
        <f ca="1">IFERROR(Prices!F348/Prices!F347-1,"")</f>
        <v/>
      </c>
      <c r="G349" s="148" t="str">
        <f ca="1">IFERROR(Prices!G348/Prices!G347-1,"")</f>
        <v/>
      </c>
      <c r="H349" s="148" t="str">
        <f ca="1">IFERROR(Prices!H348/Prices!H347-1,"")</f>
        <v/>
      </c>
      <c r="I349" s="149" t="str">
        <f ca="1">IFERROR(Prices!I348/Prices!I347-1,"")</f>
        <v/>
      </c>
      <c r="J349" s="150">
        <f t="shared" ca="1" si="7"/>
        <v>0</v>
      </c>
      <c r="K349" s="112"/>
      <c r="L349" s="112"/>
      <c r="M349" s="112"/>
    </row>
    <row r="350" spans="1:13" x14ac:dyDescent="0.3">
      <c r="A350" s="147" t="str">
        <f ca="1">Prices!$A$349</f>
        <v/>
      </c>
      <c r="B350" s="148" t="str">
        <f ca="1">IFERROR(Prices!B349/Prices!B348-1,"")</f>
        <v/>
      </c>
      <c r="C350" s="148" t="str">
        <f ca="1">IFERROR(Prices!C349/Prices!C348-1,"")</f>
        <v/>
      </c>
      <c r="D350" s="148" t="str">
        <f ca="1">IFERROR(Prices!D349/Prices!D348-1,"")</f>
        <v/>
      </c>
      <c r="E350" s="148" t="str">
        <f ca="1">IFERROR(Prices!E349/Prices!E348-1,"")</f>
        <v/>
      </c>
      <c r="F350" s="148" t="str">
        <f ca="1">IFERROR(Prices!F349/Prices!F348-1,"")</f>
        <v/>
      </c>
      <c r="G350" s="148" t="str">
        <f ca="1">IFERROR(Prices!G349/Prices!G348-1,"")</f>
        <v/>
      </c>
      <c r="H350" s="148" t="str">
        <f ca="1">IFERROR(Prices!H349/Prices!H348-1,"")</f>
        <v/>
      </c>
      <c r="I350" s="149" t="str">
        <f ca="1">IFERROR(Prices!I349/Prices!I348-1,"")</f>
        <v/>
      </c>
      <c r="J350" s="150">
        <f t="shared" ca="1" si="7"/>
        <v>0</v>
      </c>
      <c r="K350" s="112"/>
      <c r="L350" s="112"/>
      <c r="M350" s="112"/>
    </row>
    <row r="351" spans="1:13" x14ac:dyDescent="0.3">
      <c r="A351" s="147" t="str">
        <f ca="1">Prices!$A$350</f>
        <v/>
      </c>
      <c r="B351" s="148" t="str">
        <f ca="1">IFERROR(Prices!B350/Prices!B349-1,"")</f>
        <v/>
      </c>
      <c r="C351" s="148" t="str">
        <f ca="1">IFERROR(Prices!C350/Prices!C349-1,"")</f>
        <v/>
      </c>
      <c r="D351" s="148" t="str">
        <f ca="1">IFERROR(Prices!D350/Prices!D349-1,"")</f>
        <v/>
      </c>
      <c r="E351" s="148" t="str">
        <f ca="1">IFERROR(Prices!E350/Prices!E349-1,"")</f>
        <v/>
      </c>
      <c r="F351" s="148" t="str">
        <f ca="1">IFERROR(Prices!F350/Prices!F349-1,"")</f>
        <v/>
      </c>
      <c r="G351" s="148" t="str">
        <f ca="1">IFERROR(Prices!G350/Prices!G349-1,"")</f>
        <v/>
      </c>
      <c r="H351" s="148" t="str">
        <f ca="1">IFERROR(Prices!H350/Prices!H349-1,"")</f>
        <v/>
      </c>
      <c r="I351" s="149" t="str">
        <f ca="1">IFERROR(Prices!I350/Prices!I349-1,"")</f>
        <v/>
      </c>
      <c r="J351" s="150">
        <f t="shared" ca="1" si="7"/>
        <v>0</v>
      </c>
      <c r="K351" s="112"/>
      <c r="L351" s="112"/>
      <c r="M351" s="112"/>
    </row>
    <row r="352" spans="1:13" x14ac:dyDescent="0.3">
      <c r="A352" s="147" t="str">
        <f ca="1">Prices!$A$351</f>
        <v/>
      </c>
      <c r="B352" s="148" t="str">
        <f ca="1">IFERROR(Prices!B351/Prices!B350-1,"")</f>
        <v/>
      </c>
      <c r="C352" s="148" t="str">
        <f ca="1">IFERROR(Prices!C351/Prices!C350-1,"")</f>
        <v/>
      </c>
      <c r="D352" s="148" t="str">
        <f ca="1">IFERROR(Prices!D351/Prices!D350-1,"")</f>
        <v/>
      </c>
      <c r="E352" s="148" t="str">
        <f ca="1">IFERROR(Prices!E351/Prices!E350-1,"")</f>
        <v/>
      </c>
      <c r="F352" s="148" t="str">
        <f ca="1">IFERROR(Prices!F351/Prices!F350-1,"")</f>
        <v/>
      </c>
      <c r="G352" s="148" t="str">
        <f ca="1">IFERROR(Prices!G351/Prices!G350-1,"")</f>
        <v/>
      </c>
      <c r="H352" s="148" t="str">
        <f ca="1">IFERROR(Prices!H351/Prices!H350-1,"")</f>
        <v/>
      </c>
      <c r="I352" s="149" t="str">
        <f ca="1">IFERROR(Prices!I351/Prices!I350-1,"")</f>
        <v/>
      </c>
      <c r="J352" s="150">
        <f t="shared" ca="1" si="7"/>
        <v>0</v>
      </c>
      <c r="K352" s="112"/>
      <c r="L352" s="112"/>
      <c r="M352" s="112"/>
    </row>
    <row r="353" spans="1:13" x14ac:dyDescent="0.3">
      <c r="A353" s="147" t="str">
        <f ca="1">Prices!$A$352</f>
        <v/>
      </c>
      <c r="B353" s="148" t="str">
        <f ca="1">IFERROR(Prices!B352/Prices!B351-1,"")</f>
        <v/>
      </c>
      <c r="C353" s="148" t="str">
        <f ca="1">IFERROR(Prices!C352/Prices!C351-1,"")</f>
        <v/>
      </c>
      <c r="D353" s="148" t="str">
        <f ca="1">IFERROR(Prices!D352/Prices!D351-1,"")</f>
        <v/>
      </c>
      <c r="E353" s="148" t="str">
        <f ca="1">IFERROR(Prices!E352/Prices!E351-1,"")</f>
        <v/>
      </c>
      <c r="F353" s="148" t="str">
        <f ca="1">IFERROR(Prices!F352/Prices!F351-1,"")</f>
        <v/>
      </c>
      <c r="G353" s="148" t="str">
        <f ca="1">IFERROR(Prices!G352/Prices!G351-1,"")</f>
        <v/>
      </c>
      <c r="H353" s="148" t="str">
        <f ca="1">IFERROR(Prices!H352/Prices!H351-1,"")</f>
        <v/>
      </c>
      <c r="I353" s="149" t="str">
        <f ca="1">IFERROR(Prices!I352/Prices!I351-1,"")</f>
        <v/>
      </c>
      <c r="J353" s="150">
        <f t="shared" ca="1" si="7"/>
        <v>0</v>
      </c>
      <c r="K353" s="112"/>
      <c r="L353" s="112"/>
      <c r="M353" s="112"/>
    </row>
    <row r="354" spans="1:13" x14ac:dyDescent="0.3">
      <c r="A354" s="147" t="str">
        <f ca="1">Prices!$A$353</f>
        <v/>
      </c>
      <c r="B354" s="148" t="str">
        <f ca="1">IFERROR(Prices!B353/Prices!B352-1,"")</f>
        <v/>
      </c>
      <c r="C354" s="148" t="str">
        <f ca="1">IFERROR(Prices!C353/Prices!C352-1,"")</f>
        <v/>
      </c>
      <c r="D354" s="148" t="str">
        <f ca="1">IFERROR(Prices!D353/Prices!D352-1,"")</f>
        <v/>
      </c>
      <c r="E354" s="148" t="str">
        <f ca="1">IFERROR(Prices!E353/Prices!E352-1,"")</f>
        <v/>
      </c>
      <c r="F354" s="148" t="str">
        <f ca="1">IFERROR(Prices!F353/Prices!F352-1,"")</f>
        <v/>
      </c>
      <c r="G354" s="148" t="str">
        <f ca="1">IFERROR(Prices!G353/Prices!G352-1,"")</f>
        <v/>
      </c>
      <c r="H354" s="148" t="str">
        <f ca="1">IFERROR(Prices!H353/Prices!H352-1,"")</f>
        <v/>
      </c>
      <c r="I354" s="149" t="str">
        <f ca="1">IFERROR(Prices!I353/Prices!I352-1,"")</f>
        <v/>
      </c>
      <c r="J354" s="150">
        <f t="shared" ca="1" si="7"/>
        <v>0</v>
      </c>
      <c r="K354" s="112"/>
      <c r="L354" s="112"/>
      <c r="M354" s="112"/>
    </row>
    <row r="355" spans="1:13" x14ac:dyDescent="0.3">
      <c r="A355" s="147" t="str">
        <f ca="1">Prices!$A$354</f>
        <v/>
      </c>
      <c r="B355" s="148" t="str">
        <f ca="1">IFERROR(Prices!B354/Prices!B353-1,"")</f>
        <v/>
      </c>
      <c r="C355" s="148" t="str">
        <f ca="1">IFERROR(Prices!C354/Prices!C353-1,"")</f>
        <v/>
      </c>
      <c r="D355" s="148" t="str">
        <f ca="1">IFERROR(Prices!D354/Prices!D353-1,"")</f>
        <v/>
      </c>
      <c r="E355" s="148" t="str">
        <f ca="1">IFERROR(Prices!E354/Prices!E353-1,"")</f>
        <v/>
      </c>
      <c r="F355" s="148" t="str">
        <f ca="1">IFERROR(Prices!F354/Prices!F353-1,"")</f>
        <v/>
      </c>
      <c r="G355" s="148" t="str">
        <f ca="1">IFERROR(Prices!G354/Prices!G353-1,"")</f>
        <v/>
      </c>
      <c r="H355" s="148" t="str">
        <f ca="1">IFERROR(Prices!H354/Prices!H353-1,"")</f>
        <v/>
      </c>
      <c r="I355" s="149" t="str">
        <f ca="1">IFERROR(Prices!I354/Prices!I353-1,"")</f>
        <v/>
      </c>
      <c r="J355" s="150">
        <f t="shared" ca="1" si="7"/>
        <v>0</v>
      </c>
      <c r="K355" s="112"/>
      <c r="L355" s="112"/>
      <c r="M355" s="112"/>
    </row>
    <row r="356" spans="1:13" x14ac:dyDescent="0.3">
      <c r="A356" s="147" t="str">
        <f ca="1">Prices!$A$355</f>
        <v/>
      </c>
      <c r="B356" s="148" t="str">
        <f ca="1">IFERROR(Prices!B355/Prices!B354-1,"")</f>
        <v/>
      </c>
      <c r="C356" s="148" t="str">
        <f ca="1">IFERROR(Prices!C355/Prices!C354-1,"")</f>
        <v/>
      </c>
      <c r="D356" s="148" t="str">
        <f ca="1">IFERROR(Prices!D355/Prices!D354-1,"")</f>
        <v/>
      </c>
      <c r="E356" s="148" t="str">
        <f ca="1">IFERROR(Prices!E355/Prices!E354-1,"")</f>
        <v/>
      </c>
      <c r="F356" s="148" t="str">
        <f ca="1">IFERROR(Prices!F355/Prices!F354-1,"")</f>
        <v/>
      </c>
      <c r="G356" s="148" t="str">
        <f ca="1">IFERROR(Prices!G355/Prices!G354-1,"")</f>
        <v/>
      </c>
      <c r="H356" s="148" t="str">
        <f ca="1">IFERROR(Prices!H355/Prices!H354-1,"")</f>
        <v/>
      </c>
      <c r="I356" s="149" t="str">
        <f ca="1">IFERROR(Prices!I355/Prices!I354-1,"")</f>
        <v/>
      </c>
      <c r="J356" s="150">
        <f t="shared" ca="1" si="7"/>
        <v>0</v>
      </c>
      <c r="K356" s="112"/>
      <c r="L356" s="112"/>
      <c r="M356" s="112"/>
    </row>
    <row r="357" spans="1:13" x14ac:dyDescent="0.3">
      <c r="A357" s="147" t="str">
        <f ca="1">Prices!$A$356</f>
        <v/>
      </c>
      <c r="B357" s="148" t="str">
        <f ca="1">IFERROR(Prices!B356/Prices!B355-1,"")</f>
        <v/>
      </c>
      <c r="C357" s="148" t="str">
        <f ca="1">IFERROR(Prices!C356/Prices!C355-1,"")</f>
        <v/>
      </c>
      <c r="D357" s="148" t="str">
        <f ca="1">IFERROR(Prices!D356/Prices!D355-1,"")</f>
        <v/>
      </c>
      <c r="E357" s="148" t="str">
        <f ca="1">IFERROR(Prices!E356/Prices!E355-1,"")</f>
        <v/>
      </c>
      <c r="F357" s="148" t="str">
        <f ca="1">IFERROR(Prices!F356/Prices!F355-1,"")</f>
        <v/>
      </c>
      <c r="G357" s="148" t="str">
        <f ca="1">IFERROR(Prices!G356/Prices!G355-1,"")</f>
        <v/>
      </c>
      <c r="H357" s="148" t="str">
        <f ca="1">IFERROR(Prices!H356/Prices!H355-1,"")</f>
        <v/>
      </c>
      <c r="I357" s="149" t="str">
        <f ca="1">IFERROR(Prices!I356/Prices!I355-1,"")</f>
        <v/>
      </c>
      <c r="J357" s="150">
        <f t="shared" ca="1" si="7"/>
        <v>0</v>
      </c>
      <c r="K357" s="112"/>
      <c r="L357" s="112"/>
      <c r="M357" s="112"/>
    </row>
    <row r="358" spans="1:13" x14ac:dyDescent="0.3">
      <c r="A358" s="147" t="str">
        <f ca="1">Prices!$A$357</f>
        <v/>
      </c>
      <c r="B358" s="148" t="str">
        <f ca="1">IFERROR(Prices!B357/Prices!B356-1,"")</f>
        <v/>
      </c>
      <c r="C358" s="148" t="str">
        <f ca="1">IFERROR(Prices!C357/Prices!C356-1,"")</f>
        <v/>
      </c>
      <c r="D358" s="148" t="str">
        <f ca="1">IFERROR(Prices!D357/Prices!D356-1,"")</f>
        <v/>
      </c>
      <c r="E358" s="148" t="str">
        <f ca="1">IFERROR(Prices!E357/Prices!E356-1,"")</f>
        <v/>
      </c>
      <c r="F358" s="148" t="str">
        <f ca="1">IFERROR(Prices!F357/Prices!F356-1,"")</f>
        <v/>
      </c>
      <c r="G358" s="148" t="str">
        <f ca="1">IFERROR(Prices!G357/Prices!G356-1,"")</f>
        <v/>
      </c>
      <c r="H358" s="148" t="str">
        <f ca="1">IFERROR(Prices!H357/Prices!H356-1,"")</f>
        <v/>
      </c>
      <c r="I358" s="149" t="str">
        <f ca="1">IFERROR(Prices!I357/Prices!I356-1,"")</f>
        <v/>
      </c>
      <c r="J358" s="150">
        <f t="shared" ca="1" si="7"/>
        <v>0</v>
      </c>
      <c r="K358" s="112"/>
      <c r="L358" s="112"/>
      <c r="M358" s="112"/>
    </row>
    <row r="359" spans="1:13" x14ac:dyDescent="0.3">
      <c r="A359" s="147" t="str">
        <f ca="1">Prices!$A$358</f>
        <v/>
      </c>
      <c r="B359" s="148" t="str">
        <f ca="1">IFERROR(Prices!B358/Prices!B357-1,"")</f>
        <v/>
      </c>
      <c r="C359" s="148" t="str">
        <f ca="1">IFERROR(Prices!C358/Prices!C357-1,"")</f>
        <v/>
      </c>
      <c r="D359" s="148" t="str">
        <f ca="1">IFERROR(Prices!D358/Prices!D357-1,"")</f>
        <v/>
      </c>
      <c r="E359" s="148" t="str">
        <f ca="1">IFERROR(Prices!E358/Prices!E357-1,"")</f>
        <v/>
      </c>
      <c r="F359" s="148" t="str">
        <f ca="1">IFERROR(Prices!F358/Prices!F357-1,"")</f>
        <v/>
      </c>
      <c r="G359" s="148" t="str">
        <f ca="1">IFERROR(Prices!G358/Prices!G357-1,"")</f>
        <v/>
      </c>
      <c r="H359" s="148" t="str">
        <f ca="1">IFERROR(Prices!H358/Prices!H357-1,"")</f>
        <v/>
      </c>
      <c r="I359" s="149" t="str">
        <f ca="1">IFERROR(Prices!I358/Prices!I357-1,"")</f>
        <v/>
      </c>
      <c r="J359" s="150">
        <f t="shared" ca="1" si="7"/>
        <v>0</v>
      </c>
      <c r="K359" s="112"/>
      <c r="L359" s="112"/>
      <c r="M359" s="112"/>
    </row>
    <row r="360" spans="1:13" x14ac:dyDescent="0.3">
      <c r="A360" s="147" t="str">
        <f ca="1">Prices!$A$359</f>
        <v/>
      </c>
      <c r="B360" s="148" t="str">
        <f ca="1">IFERROR(Prices!B359/Prices!B358-1,"")</f>
        <v/>
      </c>
      <c r="C360" s="148" t="str">
        <f ca="1">IFERROR(Prices!C359/Prices!C358-1,"")</f>
        <v/>
      </c>
      <c r="D360" s="148" t="str">
        <f ca="1">IFERROR(Prices!D359/Prices!D358-1,"")</f>
        <v/>
      </c>
      <c r="E360" s="148" t="str">
        <f ca="1">IFERROR(Prices!E359/Prices!E358-1,"")</f>
        <v/>
      </c>
      <c r="F360" s="148" t="str">
        <f ca="1">IFERROR(Prices!F359/Prices!F358-1,"")</f>
        <v/>
      </c>
      <c r="G360" s="148" t="str">
        <f ca="1">IFERROR(Prices!G359/Prices!G358-1,"")</f>
        <v/>
      </c>
      <c r="H360" s="148" t="str">
        <f ca="1">IFERROR(Prices!H359/Prices!H358-1,"")</f>
        <v/>
      </c>
      <c r="I360" s="149" t="str">
        <f ca="1">IFERROR(Prices!I359/Prices!I358-1,"")</f>
        <v/>
      </c>
      <c r="J360" s="150">
        <f t="shared" ca="1" si="7"/>
        <v>0</v>
      </c>
      <c r="K360" s="112"/>
      <c r="L360" s="112"/>
      <c r="M360" s="112"/>
    </row>
    <row r="361" spans="1:13" x14ac:dyDescent="0.3">
      <c r="A361" s="147" t="str">
        <f ca="1">Prices!$A$360</f>
        <v/>
      </c>
      <c r="B361" s="148" t="str">
        <f ca="1">IFERROR(Prices!B360/Prices!B359-1,"")</f>
        <v/>
      </c>
      <c r="C361" s="148" t="str">
        <f ca="1">IFERROR(Prices!C360/Prices!C359-1,"")</f>
        <v/>
      </c>
      <c r="D361" s="148" t="str">
        <f ca="1">IFERROR(Prices!D360/Prices!D359-1,"")</f>
        <v/>
      </c>
      <c r="E361" s="148" t="str">
        <f ca="1">IFERROR(Prices!E360/Prices!E359-1,"")</f>
        <v/>
      </c>
      <c r="F361" s="148" t="str">
        <f ca="1">IFERROR(Prices!F360/Prices!F359-1,"")</f>
        <v/>
      </c>
      <c r="G361" s="148" t="str">
        <f ca="1">IFERROR(Prices!G360/Prices!G359-1,"")</f>
        <v/>
      </c>
      <c r="H361" s="148" t="str">
        <f ca="1">IFERROR(Prices!H360/Prices!H359-1,"")</f>
        <v/>
      </c>
      <c r="I361" s="149" t="str">
        <f ca="1">IFERROR(Prices!I360/Prices!I359-1,"")</f>
        <v/>
      </c>
      <c r="J361" s="150">
        <f t="shared" ca="1" si="7"/>
        <v>0</v>
      </c>
      <c r="K361" s="112"/>
      <c r="L361" s="112"/>
      <c r="M361" s="112"/>
    </row>
    <row r="362" spans="1:13" x14ac:dyDescent="0.3">
      <c r="A362" s="147" t="str">
        <f ca="1">Prices!$A$361</f>
        <v/>
      </c>
      <c r="B362" s="148" t="str">
        <f ca="1">IFERROR(Prices!B361/Prices!B360-1,"")</f>
        <v/>
      </c>
      <c r="C362" s="148" t="str">
        <f ca="1">IFERROR(Prices!C361/Prices!C360-1,"")</f>
        <v/>
      </c>
      <c r="D362" s="148" t="str">
        <f ca="1">IFERROR(Prices!D361/Prices!D360-1,"")</f>
        <v/>
      </c>
      <c r="E362" s="148" t="str">
        <f ca="1">IFERROR(Prices!E361/Prices!E360-1,"")</f>
        <v/>
      </c>
      <c r="F362" s="148" t="str">
        <f ca="1">IFERROR(Prices!F361/Prices!F360-1,"")</f>
        <v/>
      </c>
      <c r="G362" s="148" t="str">
        <f ca="1">IFERROR(Prices!G361/Prices!G360-1,"")</f>
        <v/>
      </c>
      <c r="H362" s="148" t="str">
        <f ca="1">IFERROR(Prices!H361/Prices!H360-1,"")</f>
        <v/>
      </c>
      <c r="I362" s="149" t="str">
        <f ca="1">IFERROR(Prices!I361/Prices!I360-1,"")</f>
        <v/>
      </c>
      <c r="J362" s="150">
        <f t="shared" ca="1" si="7"/>
        <v>0</v>
      </c>
      <c r="K362" s="112"/>
      <c r="L362" s="112"/>
      <c r="M362" s="112"/>
    </row>
    <row r="363" spans="1:13" x14ac:dyDescent="0.3">
      <c r="A363" s="147" t="str">
        <f ca="1">Prices!$A$362</f>
        <v/>
      </c>
      <c r="B363" s="148" t="str">
        <f ca="1">IFERROR(Prices!B362/Prices!B361-1,"")</f>
        <v/>
      </c>
      <c r="C363" s="148" t="str">
        <f ca="1">IFERROR(Prices!C362/Prices!C361-1,"")</f>
        <v/>
      </c>
      <c r="D363" s="148" t="str">
        <f ca="1">IFERROR(Prices!D362/Prices!D361-1,"")</f>
        <v/>
      </c>
      <c r="E363" s="148" t="str">
        <f ca="1">IFERROR(Prices!E362/Prices!E361-1,"")</f>
        <v/>
      </c>
      <c r="F363" s="148" t="str">
        <f ca="1">IFERROR(Prices!F362/Prices!F361-1,"")</f>
        <v/>
      </c>
      <c r="G363" s="148" t="str">
        <f ca="1">IFERROR(Prices!G362/Prices!G361-1,"")</f>
        <v/>
      </c>
      <c r="H363" s="148" t="str">
        <f ca="1">IFERROR(Prices!H362/Prices!H361-1,"")</f>
        <v/>
      </c>
      <c r="I363" s="149" t="str">
        <f ca="1">IFERROR(Prices!I362/Prices!I361-1,"")</f>
        <v/>
      </c>
      <c r="J363" s="150">
        <f t="shared" ca="1" si="7"/>
        <v>0</v>
      </c>
      <c r="K363" s="112"/>
      <c r="L363" s="112"/>
      <c r="M363" s="112"/>
    </row>
    <row r="364" spans="1:13" x14ac:dyDescent="0.3">
      <c r="A364" s="147" t="str">
        <f ca="1">Prices!$A$363</f>
        <v/>
      </c>
      <c r="B364" s="148" t="str">
        <f ca="1">IFERROR(Prices!B363/Prices!B362-1,"")</f>
        <v/>
      </c>
      <c r="C364" s="148" t="str">
        <f ca="1">IFERROR(Prices!C363/Prices!C362-1,"")</f>
        <v/>
      </c>
      <c r="D364" s="148" t="str">
        <f ca="1">IFERROR(Prices!D363/Prices!D362-1,"")</f>
        <v/>
      </c>
      <c r="E364" s="148" t="str">
        <f ca="1">IFERROR(Prices!E363/Prices!E362-1,"")</f>
        <v/>
      </c>
      <c r="F364" s="148" t="str">
        <f ca="1">IFERROR(Prices!F363/Prices!F362-1,"")</f>
        <v/>
      </c>
      <c r="G364" s="148" t="str">
        <f ca="1">IFERROR(Prices!G363/Prices!G362-1,"")</f>
        <v/>
      </c>
      <c r="H364" s="148" t="str">
        <f ca="1">IFERROR(Prices!H363/Prices!H362-1,"")</f>
        <v/>
      </c>
      <c r="I364" s="149" t="str">
        <f ca="1">IFERROR(Prices!I363/Prices!I362-1,"")</f>
        <v/>
      </c>
      <c r="J364" s="150">
        <f t="shared" ca="1" si="7"/>
        <v>0</v>
      </c>
      <c r="K364" s="112"/>
      <c r="L364" s="112"/>
      <c r="M364" s="112"/>
    </row>
    <row r="365" spans="1:13" x14ac:dyDescent="0.3">
      <c r="A365" s="147" t="str">
        <f ca="1">Prices!$A$364</f>
        <v/>
      </c>
      <c r="B365" s="148" t="str">
        <f ca="1">IFERROR(Prices!B364/Prices!B363-1,"")</f>
        <v/>
      </c>
      <c r="C365" s="148" t="str">
        <f ca="1">IFERROR(Prices!C364/Prices!C363-1,"")</f>
        <v/>
      </c>
      <c r="D365" s="148" t="str">
        <f ca="1">IFERROR(Prices!D364/Prices!D363-1,"")</f>
        <v/>
      </c>
      <c r="E365" s="148" t="str">
        <f ca="1">IFERROR(Prices!E364/Prices!E363-1,"")</f>
        <v/>
      </c>
      <c r="F365" s="148" t="str">
        <f ca="1">IFERROR(Prices!F364/Prices!F363-1,"")</f>
        <v/>
      </c>
      <c r="G365" s="148" t="str">
        <f ca="1">IFERROR(Prices!G364/Prices!G363-1,"")</f>
        <v/>
      </c>
      <c r="H365" s="148" t="str">
        <f ca="1">IFERROR(Prices!H364/Prices!H363-1,"")</f>
        <v/>
      </c>
      <c r="I365" s="149" t="str">
        <f ca="1">IFERROR(Prices!I364/Prices!I363-1,"")</f>
        <v/>
      </c>
      <c r="J365" s="150">
        <f t="shared" ca="1" si="7"/>
        <v>0</v>
      </c>
      <c r="K365" s="112"/>
      <c r="L365" s="112"/>
      <c r="M365" s="112"/>
    </row>
    <row r="366" spans="1:13" x14ac:dyDescent="0.3">
      <c r="A366" s="147" t="str">
        <f ca="1">Prices!$A$365</f>
        <v/>
      </c>
      <c r="B366" s="148" t="str">
        <f ca="1">IFERROR(Prices!B365/Prices!B364-1,"")</f>
        <v/>
      </c>
      <c r="C366" s="148" t="str">
        <f ca="1">IFERROR(Prices!C365/Prices!C364-1,"")</f>
        <v/>
      </c>
      <c r="D366" s="148" t="str">
        <f ca="1">IFERROR(Prices!D365/Prices!D364-1,"")</f>
        <v/>
      </c>
      <c r="E366" s="148" t="str">
        <f ca="1">IFERROR(Prices!E365/Prices!E364-1,"")</f>
        <v/>
      </c>
      <c r="F366" s="148" t="str">
        <f ca="1">IFERROR(Prices!F365/Prices!F364-1,"")</f>
        <v/>
      </c>
      <c r="G366" s="148" t="str">
        <f ca="1">IFERROR(Prices!G365/Prices!G364-1,"")</f>
        <v/>
      </c>
      <c r="H366" s="148" t="str">
        <f ca="1">IFERROR(Prices!H365/Prices!H364-1,"")</f>
        <v/>
      </c>
      <c r="I366" s="149" t="str">
        <f ca="1">IFERROR(Prices!I365/Prices!I364-1,"")</f>
        <v/>
      </c>
      <c r="J366" s="150">
        <f t="shared" ca="1" si="7"/>
        <v>0</v>
      </c>
      <c r="K366" s="112"/>
      <c r="L366" s="112"/>
      <c r="M366" s="112"/>
    </row>
    <row r="367" spans="1:13" x14ac:dyDescent="0.3">
      <c r="A367" s="147" t="str">
        <f ca="1">Prices!$A$366</f>
        <v/>
      </c>
      <c r="B367" s="148" t="str">
        <f ca="1">IFERROR(Prices!B366/Prices!B365-1,"")</f>
        <v/>
      </c>
      <c r="C367" s="148" t="str">
        <f ca="1">IFERROR(Prices!C366/Prices!C365-1,"")</f>
        <v/>
      </c>
      <c r="D367" s="148" t="str">
        <f ca="1">IFERROR(Prices!D366/Prices!D365-1,"")</f>
        <v/>
      </c>
      <c r="E367" s="148" t="str">
        <f ca="1">IFERROR(Prices!E366/Prices!E365-1,"")</f>
        <v/>
      </c>
      <c r="F367" s="148" t="str">
        <f ca="1">IFERROR(Prices!F366/Prices!F365-1,"")</f>
        <v/>
      </c>
      <c r="G367" s="148" t="str">
        <f ca="1">IFERROR(Prices!G366/Prices!G365-1,"")</f>
        <v/>
      </c>
      <c r="H367" s="148" t="str">
        <f ca="1">IFERROR(Prices!H366/Prices!H365-1,"")</f>
        <v/>
      </c>
      <c r="I367" s="149" t="str">
        <f ca="1">IFERROR(Prices!I366/Prices!I365-1,"")</f>
        <v/>
      </c>
      <c r="J367" s="150">
        <f t="shared" ca="1" si="7"/>
        <v>0</v>
      </c>
      <c r="K367" s="112"/>
      <c r="L367" s="112"/>
      <c r="M367" s="112"/>
    </row>
    <row r="368" spans="1:13" x14ac:dyDescent="0.3">
      <c r="A368" s="147" t="str">
        <f ca="1">Prices!$A$367</f>
        <v/>
      </c>
      <c r="B368" s="148" t="str">
        <f ca="1">IFERROR(Prices!B367/Prices!B366-1,"")</f>
        <v/>
      </c>
      <c r="C368" s="148" t="str">
        <f ca="1">IFERROR(Prices!C367/Prices!C366-1,"")</f>
        <v/>
      </c>
      <c r="D368" s="148" t="str">
        <f ca="1">IFERROR(Prices!D367/Prices!D366-1,"")</f>
        <v/>
      </c>
      <c r="E368" s="148" t="str">
        <f ca="1">IFERROR(Prices!E367/Prices!E366-1,"")</f>
        <v/>
      </c>
      <c r="F368" s="148" t="str">
        <f ca="1">IFERROR(Prices!F367/Prices!F366-1,"")</f>
        <v/>
      </c>
      <c r="G368" s="148" t="str">
        <f ca="1">IFERROR(Prices!G367/Prices!G366-1,"")</f>
        <v/>
      </c>
      <c r="H368" s="148" t="str">
        <f ca="1">IFERROR(Prices!H367/Prices!H366-1,"")</f>
        <v/>
      </c>
      <c r="I368" s="149" t="str">
        <f ca="1">IFERROR(Prices!I367/Prices!I366-1,"")</f>
        <v/>
      </c>
      <c r="J368" s="150">
        <f t="shared" ca="1" si="7"/>
        <v>0</v>
      </c>
      <c r="K368" s="112"/>
      <c r="L368" s="112"/>
      <c r="M368" s="112"/>
    </row>
    <row r="369" spans="1:13" x14ac:dyDescent="0.3">
      <c r="A369" s="147" t="str">
        <f ca="1">Prices!$A$368</f>
        <v/>
      </c>
      <c r="B369" s="148" t="str">
        <f ca="1">IFERROR(Prices!B368/Prices!B367-1,"")</f>
        <v/>
      </c>
      <c r="C369" s="148" t="str">
        <f ca="1">IFERROR(Prices!C368/Prices!C367-1,"")</f>
        <v/>
      </c>
      <c r="D369" s="148" t="str">
        <f ca="1">IFERROR(Prices!D368/Prices!D367-1,"")</f>
        <v/>
      </c>
      <c r="E369" s="148" t="str">
        <f ca="1">IFERROR(Prices!E368/Prices!E367-1,"")</f>
        <v/>
      </c>
      <c r="F369" s="148" t="str">
        <f ca="1">IFERROR(Prices!F368/Prices!F367-1,"")</f>
        <v/>
      </c>
      <c r="G369" s="148" t="str">
        <f ca="1">IFERROR(Prices!G368/Prices!G367-1,"")</f>
        <v/>
      </c>
      <c r="H369" s="148" t="str">
        <f ca="1">IFERROR(Prices!H368/Prices!H367-1,"")</f>
        <v/>
      </c>
      <c r="I369" s="149" t="str">
        <f ca="1">IFERROR(Prices!I368/Prices!I367-1,"")</f>
        <v/>
      </c>
      <c r="J369" s="150">
        <f t="shared" ca="1" si="7"/>
        <v>0</v>
      </c>
      <c r="K369" s="112"/>
      <c r="L369" s="112"/>
      <c r="M369" s="112"/>
    </row>
    <row r="370" spans="1:13" x14ac:dyDescent="0.3">
      <c r="A370" s="147" t="str">
        <f ca="1">Prices!$A$369</f>
        <v/>
      </c>
      <c r="B370" s="148" t="str">
        <f ca="1">IFERROR(Prices!B369/Prices!B368-1,"")</f>
        <v/>
      </c>
      <c r="C370" s="148" t="str">
        <f ca="1">IFERROR(Prices!C369/Prices!C368-1,"")</f>
        <v/>
      </c>
      <c r="D370" s="148" t="str">
        <f ca="1">IFERROR(Prices!D369/Prices!D368-1,"")</f>
        <v/>
      </c>
      <c r="E370" s="148" t="str">
        <f ca="1">IFERROR(Prices!E369/Prices!E368-1,"")</f>
        <v/>
      </c>
      <c r="F370" s="148" t="str">
        <f ca="1">IFERROR(Prices!F369/Prices!F368-1,"")</f>
        <v/>
      </c>
      <c r="G370" s="148" t="str">
        <f ca="1">IFERROR(Prices!G369/Prices!G368-1,"")</f>
        <v/>
      </c>
      <c r="H370" s="148" t="str">
        <f ca="1">IFERROR(Prices!H369/Prices!H368-1,"")</f>
        <v/>
      </c>
      <c r="I370" s="149" t="str">
        <f ca="1">IFERROR(Prices!I369/Prices!I368-1,"")</f>
        <v/>
      </c>
      <c r="J370" s="150">
        <f t="shared" ca="1" si="7"/>
        <v>0</v>
      </c>
      <c r="K370" s="112"/>
      <c r="L370" s="112"/>
      <c r="M370" s="112"/>
    </row>
    <row r="371" spans="1:13" x14ac:dyDescent="0.3">
      <c r="A371" s="147" t="str">
        <f ca="1">Prices!$A$370</f>
        <v/>
      </c>
      <c r="B371" s="148" t="str">
        <f ca="1">IFERROR(Prices!B370/Prices!B369-1,"")</f>
        <v/>
      </c>
      <c r="C371" s="148" t="str">
        <f ca="1">IFERROR(Prices!C370/Prices!C369-1,"")</f>
        <v/>
      </c>
      <c r="D371" s="148" t="str">
        <f ca="1">IFERROR(Prices!D370/Prices!D369-1,"")</f>
        <v/>
      </c>
      <c r="E371" s="148" t="str">
        <f ca="1">IFERROR(Prices!E370/Prices!E369-1,"")</f>
        <v/>
      </c>
      <c r="F371" s="148" t="str">
        <f ca="1">IFERROR(Prices!F370/Prices!F369-1,"")</f>
        <v/>
      </c>
      <c r="G371" s="148" t="str">
        <f ca="1">IFERROR(Prices!G370/Prices!G369-1,"")</f>
        <v/>
      </c>
      <c r="H371" s="148" t="str">
        <f ca="1">IFERROR(Prices!H370/Prices!H369-1,"")</f>
        <v/>
      </c>
      <c r="I371" s="149" t="str">
        <f ca="1">IFERROR(Prices!I370/Prices!I369-1,"")</f>
        <v/>
      </c>
      <c r="J371" s="150">
        <f t="shared" ca="1" si="7"/>
        <v>0</v>
      </c>
      <c r="K371" s="112"/>
      <c r="L371" s="112"/>
      <c r="M371" s="112"/>
    </row>
    <row r="372" spans="1:13" x14ac:dyDescent="0.3">
      <c r="A372" s="147" t="str">
        <f ca="1">Prices!$A$371</f>
        <v/>
      </c>
      <c r="B372" s="148" t="str">
        <f ca="1">IFERROR(Prices!B371/Prices!B370-1,"")</f>
        <v/>
      </c>
      <c r="C372" s="148" t="str">
        <f ca="1">IFERROR(Prices!C371/Prices!C370-1,"")</f>
        <v/>
      </c>
      <c r="D372" s="148" t="str">
        <f ca="1">IFERROR(Prices!D371/Prices!D370-1,"")</f>
        <v/>
      </c>
      <c r="E372" s="148" t="str">
        <f ca="1">IFERROR(Prices!E371/Prices!E370-1,"")</f>
        <v/>
      </c>
      <c r="F372" s="148" t="str">
        <f ca="1">IFERROR(Prices!F371/Prices!F370-1,"")</f>
        <v/>
      </c>
      <c r="G372" s="148" t="str">
        <f ca="1">IFERROR(Prices!G371/Prices!G370-1,"")</f>
        <v/>
      </c>
      <c r="H372" s="148" t="str">
        <f ca="1">IFERROR(Prices!H371/Prices!H370-1,"")</f>
        <v/>
      </c>
      <c r="I372" s="149" t="str">
        <f ca="1">IFERROR(Prices!I371/Prices!I370-1,"")</f>
        <v/>
      </c>
      <c r="J372" s="150">
        <f t="shared" ca="1" si="7"/>
        <v>0</v>
      </c>
      <c r="K372" s="112"/>
      <c r="L372" s="112"/>
      <c r="M372" s="112"/>
    </row>
    <row r="373" spans="1:13" x14ac:dyDescent="0.3">
      <c r="A373" s="147" t="str">
        <f ca="1">Prices!$A$372</f>
        <v/>
      </c>
      <c r="B373" s="148" t="str">
        <f ca="1">IFERROR(Prices!B372/Prices!B371-1,"")</f>
        <v/>
      </c>
      <c r="C373" s="148" t="str">
        <f ca="1">IFERROR(Prices!C372/Prices!C371-1,"")</f>
        <v/>
      </c>
      <c r="D373" s="148" t="str">
        <f ca="1">IFERROR(Prices!D372/Prices!D371-1,"")</f>
        <v/>
      </c>
      <c r="E373" s="148" t="str">
        <f ca="1">IFERROR(Prices!E372/Prices!E371-1,"")</f>
        <v/>
      </c>
      <c r="F373" s="148" t="str">
        <f ca="1">IFERROR(Prices!F372/Prices!F371-1,"")</f>
        <v/>
      </c>
      <c r="G373" s="148" t="str">
        <f ca="1">IFERROR(Prices!G372/Prices!G371-1,"")</f>
        <v/>
      </c>
      <c r="H373" s="148" t="str">
        <f ca="1">IFERROR(Prices!H372/Prices!H371-1,"")</f>
        <v/>
      </c>
      <c r="I373" s="149" t="str">
        <f ca="1">IFERROR(Prices!I372/Prices!I371-1,"")</f>
        <v/>
      </c>
      <c r="J373" s="150">
        <f t="shared" ca="1" si="7"/>
        <v>0</v>
      </c>
      <c r="K373" s="112"/>
      <c r="L373" s="112"/>
      <c r="M373" s="112"/>
    </row>
    <row r="374" spans="1:13" x14ac:dyDescent="0.3">
      <c r="A374" s="147" t="str">
        <f ca="1">Prices!$A$373</f>
        <v/>
      </c>
      <c r="B374" s="148" t="str">
        <f ca="1">IFERROR(Prices!B373/Prices!B372-1,"")</f>
        <v/>
      </c>
      <c r="C374" s="148" t="str">
        <f ca="1">IFERROR(Prices!C373/Prices!C372-1,"")</f>
        <v/>
      </c>
      <c r="D374" s="148" t="str">
        <f ca="1">IFERROR(Prices!D373/Prices!D372-1,"")</f>
        <v/>
      </c>
      <c r="E374" s="148" t="str">
        <f ca="1">IFERROR(Prices!E373/Prices!E372-1,"")</f>
        <v/>
      </c>
      <c r="F374" s="148" t="str">
        <f ca="1">IFERROR(Prices!F373/Prices!F372-1,"")</f>
        <v/>
      </c>
      <c r="G374" s="148" t="str">
        <f ca="1">IFERROR(Prices!G373/Prices!G372-1,"")</f>
        <v/>
      </c>
      <c r="H374" s="148" t="str">
        <f ca="1">IFERROR(Prices!H373/Prices!H372-1,"")</f>
        <v/>
      </c>
      <c r="I374" s="149" t="str">
        <f ca="1">IFERROR(Prices!I373/Prices!I372-1,"")</f>
        <v/>
      </c>
      <c r="J374" s="150">
        <f t="shared" ca="1" si="7"/>
        <v>0</v>
      </c>
      <c r="K374" s="112"/>
      <c r="L374" s="112"/>
      <c r="M374" s="112"/>
    </row>
    <row r="375" spans="1:13" x14ac:dyDescent="0.3">
      <c r="A375" s="147" t="str">
        <f ca="1">Prices!$A$374</f>
        <v/>
      </c>
      <c r="B375" s="148" t="str">
        <f ca="1">IFERROR(Prices!B374/Prices!B373-1,"")</f>
        <v/>
      </c>
      <c r="C375" s="148" t="str">
        <f ca="1">IFERROR(Prices!C374/Prices!C373-1,"")</f>
        <v/>
      </c>
      <c r="D375" s="148" t="str">
        <f ca="1">IFERROR(Prices!D374/Prices!D373-1,"")</f>
        <v/>
      </c>
      <c r="E375" s="148" t="str">
        <f ca="1">IFERROR(Prices!E374/Prices!E373-1,"")</f>
        <v/>
      </c>
      <c r="F375" s="148" t="str">
        <f ca="1">IFERROR(Prices!F374/Prices!F373-1,"")</f>
        <v/>
      </c>
      <c r="G375" s="148" t="str">
        <f ca="1">IFERROR(Prices!G374/Prices!G373-1,"")</f>
        <v/>
      </c>
      <c r="H375" s="148" t="str">
        <f ca="1">IFERROR(Prices!H374/Prices!H373-1,"")</f>
        <v/>
      </c>
      <c r="I375" s="149" t="str">
        <f ca="1">IFERROR(Prices!I374/Prices!I373-1,"")</f>
        <v/>
      </c>
      <c r="J375" s="150">
        <f t="shared" ca="1" si="7"/>
        <v>0</v>
      </c>
      <c r="K375" s="112"/>
      <c r="L375" s="112"/>
      <c r="M375" s="112"/>
    </row>
    <row r="376" spans="1:13" x14ac:dyDescent="0.3">
      <c r="A376" s="147" t="str">
        <f ca="1">Prices!$A$375</f>
        <v/>
      </c>
      <c r="B376" s="148" t="str">
        <f ca="1">IFERROR(Prices!B375/Prices!B374-1,"")</f>
        <v/>
      </c>
      <c r="C376" s="148" t="str">
        <f ca="1">IFERROR(Prices!C375/Prices!C374-1,"")</f>
        <v/>
      </c>
      <c r="D376" s="148" t="str">
        <f ca="1">IFERROR(Prices!D375/Prices!D374-1,"")</f>
        <v/>
      </c>
      <c r="E376" s="148" t="str">
        <f ca="1">IFERROR(Prices!E375/Prices!E374-1,"")</f>
        <v/>
      </c>
      <c r="F376" s="148" t="str">
        <f ca="1">IFERROR(Prices!F375/Prices!F374-1,"")</f>
        <v/>
      </c>
      <c r="G376" s="148" t="str">
        <f ca="1">IFERROR(Prices!G375/Prices!G374-1,"")</f>
        <v/>
      </c>
      <c r="H376" s="148" t="str">
        <f ca="1">IFERROR(Prices!H375/Prices!H374-1,"")</f>
        <v/>
      </c>
      <c r="I376" s="149" t="str">
        <f ca="1">IFERROR(Prices!I375/Prices!I374-1,"")</f>
        <v/>
      </c>
      <c r="J376" s="150">
        <f t="shared" ca="1" si="7"/>
        <v>0</v>
      </c>
      <c r="K376" s="112"/>
      <c r="L376" s="112"/>
      <c r="M376" s="112"/>
    </row>
    <row r="377" spans="1:13" x14ac:dyDescent="0.3">
      <c r="A377" s="147" t="str">
        <f ca="1">Prices!$A$376</f>
        <v/>
      </c>
      <c r="B377" s="148" t="str">
        <f ca="1">IFERROR(Prices!B376/Prices!B375-1,"")</f>
        <v/>
      </c>
      <c r="C377" s="148" t="str">
        <f ca="1">IFERROR(Prices!C376/Prices!C375-1,"")</f>
        <v/>
      </c>
      <c r="D377" s="148" t="str">
        <f ca="1">IFERROR(Prices!D376/Prices!D375-1,"")</f>
        <v/>
      </c>
      <c r="E377" s="148" t="str">
        <f ca="1">IFERROR(Prices!E376/Prices!E375-1,"")</f>
        <v/>
      </c>
      <c r="F377" s="148" t="str">
        <f ca="1">IFERROR(Prices!F376/Prices!F375-1,"")</f>
        <v/>
      </c>
      <c r="G377" s="148" t="str">
        <f ca="1">IFERROR(Prices!G376/Prices!G375-1,"")</f>
        <v/>
      </c>
      <c r="H377" s="148" t="str">
        <f ca="1">IFERROR(Prices!H376/Prices!H375-1,"")</f>
        <v/>
      </c>
      <c r="I377" s="149" t="str">
        <f ca="1">IFERROR(Prices!I376/Prices!I375-1,"")</f>
        <v/>
      </c>
      <c r="J377" s="150">
        <f t="shared" ca="1" si="7"/>
        <v>0</v>
      </c>
      <c r="K377" s="112"/>
      <c r="L377" s="112"/>
      <c r="M377" s="112"/>
    </row>
    <row r="378" spans="1:13" x14ac:dyDescent="0.3">
      <c r="A378" s="147" t="str">
        <f ca="1">Prices!$A$377</f>
        <v/>
      </c>
      <c r="B378" s="148" t="str">
        <f ca="1">IFERROR(Prices!B377/Prices!B376-1,"")</f>
        <v/>
      </c>
      <c r="C378" s="148" t="str">
        <f ca="1">IFERROR(Prices!C377/Prices!C376-1,"")</f>
        <v/>
      </c>
      <c r="D378" s="148" t="str">
        <f ca="1">IFERROR(Prices!D377/Prices!D376-1,"")</f>
        <v/>
      </c>
      <c r="E378" s="148" t="str">
        <f ca="1">IFERROR(Prices!E377/Prices!E376-1,"")</f>
        <v/>
      </c>
      <c r="F378" s="148" t="str">
        <f ca="1">IFERROR(Prices!F377/Prices!F376-1,"")</f>
        <v/>
      </c>
      <c r="G378" s="148" t="str">
        <f ca="1">IFERROR(Prices!G377/Prices!G376-1,"")</f>
        <v/>
      </c>
      <c r="H378" s="148" t="str">
        <f ca="1">IFERROR(Prices!H377/Prices!H376-1,"")</f>
        <v/>
      </c>
      <c r="I378" s="149" t="str">
        <f ca="1">IFERROR(Prices!I377/Prices!I376-1,"")</f>
        <v/>
      </c>
      <c r="J378" s="150">
        <f t="shared" ca="1" si="7"/>
        <v>0</v>
      </c>
      <c r="K378" s="112"/>
      <c r="L378" s="112"/>
      <c r="M378" s="112"/>
    </row>
    <row r="379" spans="1:13" x14ac:dyDescent="0.3">
      <c r="A379" s="147" t="str">
        <f ca="1">Prices!$A$378</f>
        <v/>
      </c>
      <c r="B379" s="148" t="str">
        <f ca="1">IFERROR(Prices!B378/Prices!B377-1,"")</f>
        <v/>
      </c>
      <c r="C379" s="148" t="str">
        <f ca="1">IFERROR(Prices!C378/Prices!C377-1,"")</f>
        <v/>
      </c>
      <c r="D379" s="148" t="str">
        <f ca="1">IFERROR(Prices!D378/Prices!D377-1,"")</f>
        <v/>
      </c>
      <c r="E379" s="148" t="str">
        <f ca="1">IFERROR(Prices!E378/Prices!E377-1,"")</f>
        <v/>
      </c>
      <c r="F379" s="148" t="str">
        <f ca="1">IFERROR(Prices!F378/Prices!F377-1,"")</f>
        <v/>
      </c>
      <c r="G379" s="148" t="str">
        <f ca="1">IFERROR(Prices!G378/Prices!G377-1,"")</f>
        <v/>
      </c>
      <c r="H379" s="148" t="str">
        <f ca="1">IFERROR(Prices!H378/Prices!H377-1,"")</f>
        <v/>
      </c>
      <c r="I379" s="149" t="str">
        <f ca="1">IFERROR(Prices!I378/Prices!I377-1,"")</f>
        <v/>
      </c>
      <c r="J379" s="150">
        <f t="shared" ca="1" si="7"/>
        <v>0</v>
      </c>
      <c r="K379" s="112"/>
      <c r="L379" s="112"/>
      <c r="M379" s="112"/>
    </row>
    <row r="380" spans="1:13" x14ac:dyDescent="0.3">
      <c r="A380" s="147" t="str">
        <f ca="1">Prices!$A$379</f>
        <v/>
      </c>
      <c r="B380" s="148" t="str">
        <f ca="1">IFERROR(Prices!B379/Prices!B378-1,"")</f>
        <v/>
      </c>
      <c r="C380" s="148" t="str">
        <f ca="1">IFERROR(Prices!C379/Prices!C378-1,"")</f>
        <v/>
      </c>
      <c r="D380" s="148" t="str">
        <f ca="1">IFERROR(Prices!D379/Prices!D378-1,"")</f>
        <v/>
      </c>
      <c r="E380" s="148" t="str">
        <f ca="1">IFERROR(Prices!E379/Prices!E378-1,"")</f>
        <v/>
      </c>
      <c r="F380" s="148" t="str">
        <f ca="1">IFERROR(Prices!F379/Prices!F378-1,"")</f>
        <v/>
      </c>
      <c r="G380" s="148" t="str">
        <f ca="1">IFERROR(Prices!G379/Prices!G378-1,"")</f>
        <v/>
      </c>
      <c r="H380" s="148" t="str">
        <f ca="1">IFERROR(Prices!H379/Prices!H378-1,"")</f>
        <v/>
      </c>
      <c r="I380" s="149" t="str">
        <f ca="1">IFERROR(Prices!I379/Prices!I378-1,"")</f>
        <v/>
      </c>
      <c r="J380" s="150">
        <f t="shared" ca="1" si="7"/>
        <v>0</v>
      </c>
      <c r="K380" s="112"/>
      <c r="L380" s="112"/>
      <c r="M380" s="112"/>
    </row>
    <row r="381" spans="1:13" x14ac:dyDescent="0.3">
      <c r="A381" s="147" t="str">
        <f ca="1">Prices!$A$380</f>
        <v/>
      </c>
      <c r="B381" s="148" t="str">
        <f ca="1">IFERROR(Prices!B380/Prices!B379-1,"")</f>
        <v/>
      </c>
      <c r="C381" s="148" t="str">
        <f ca="1">IFERROR(Prices!C380/Prices!C379-1,"")</f>
        <v/>
      </c>
      <c r="D381" s="148" t="str">
        <f ca="1">IFERROR(Prices!D380/Prices!D379-1,"")</f>
        <v/>
      </c>
      <c r="E381" s="148" t="str">
        <f ca="1">IFERROR(Prices!E380/Prices!E379-1,"")</f>
        <v/>
      </c>
      <c r="F381" s="148" t="str">
        <f ca="1">IFERROR(Prices!F380/Prices!F379-1,"")</f>
        <v/>
      </c>
      <c r="G381" s="148" t="str">
        <f ca="1">IFERROR(Prices!G380/Prices!G379-1,"")</f>
        <v/>
      </c>
      <c r="H381" s="148" t="str">
        <f ca="1">IFERROR(Prices!H380/Prices!H379-1,"")</f>
        <v/>
      </c>
      <c r="I381" s="149" t="str">
        <f ca="1">IFERROR(Prices!I380/Prices!I379-1,"")</f>
        <v/>
      </c>
      <c r="J381" s="150">
        <f t="shared" ca="1" si="7"/>
        <v>0</v>
      </c>
      <c r="K381" s="112"/>
      <c r="L381" s="112"/>
      <c r="M381" s="112"/>
    </row>
    <row r="382" spans="1:13" x14ac:dyDescent="0.3">
      <c r="A382" s="147" t="str">
        <f ca="1">Prices!$A$381</f>
        <v/>
      </c>
      <c r="B382" s="148" t="str">
        <f ca="1">IFERROR(Prices!B381/Prices!B380-1,"")</f>
        <v/>
      </c>
      <c r="C382" s="148" t="str">
        <f ca="1">IFERROR(Prices!C381/Prices!C380-1,"")</f>
        <v/>
      </c>
      <c r="D382" s="148" t="str">
        <f ca="1">IFERROR(Prices!D381/Prices!D380-1,"")</f>
        <v/>
      </c>
      <c r="E382" s="148" t="str">
        <f ca="1">IFERROR(Prices!E381/Prices!E380-1,"")</f>
        <v/>
      </c>
      <c r="F382" s="148" t="str">
        <f ca="1">IFERROR(Prices!F381/Prices!F380-1,"")</f>
        <v/>
      </c>
      <c r="G382" s="148" t="str">
        <f ca="1">IFERROR(Prices!G381/Prices!G380-1,"")</f>
        <v/>
      </c>
      <c r="H382" s="148" t="str">
        <f ca="1">IFERROR(Prices!H381/Prices!H380-1,"")</f>
        <v/>
      </c>
      <c r="I382" s="149" t="str">
        <f ca="1">IFERROR(Prices!I381/Prices!I380-1,"")</f>
        <v/>
      </c>
      <c r="J382" s="150">
        <f t="shared" ca="1" si="7"/>
        <v>0</v>
      </c>
      <c r="K382" s="112"/>
      <c r="L382" s="112"/>
      <c r="M382" s="112"/>
    </row>
    <row r="383" spans="1:13" x14ac:dyDescent="0.3">
      <c r="A383" s="147" t="str">
        <f ca="1">Prices!$A$382</f>
        <v/>
      </c>
      <c r="B383" s="148" t="str">
        <f ca="1">IFERROR(Prices!B382/Prices!B381-1,"")</f>
        <v/>
      </c>
      <c r="C383" s="148" t="str">
        <f ca="1">IFERROR(Prices!C382/Prices!C381-1,"")</f>
        <v/>
      </c>
      <c r="D383" s="148" t="str">
        <f ca="1">IFERROR(Prices!D382/Prices!D381-1,"")</f>
        <v/>
      </c>
      <c r="E383" s="148" t="str">
        <f ca="1">IFERROR(Prices!E382/Prices!E381-1,"")</f>
        <v/>
      </c>
      <c r="F383" s="148" t="str">
        <f ca="1">IFERROR(Prices!F382/Prices!F381-1,"")</f>
        <v/>
      </c>
      <c r="G383" s="148" t="str">
        <f ca="1">IFERROR(Prices!G382/Prices!G381-1,"")</f>
        <v/>
      </c>
      <c r="H383" s="148" t="str">
        <f ca="1">IFERROR(Prices!H382/Prices!H381-1,"")</f>
        <v/>
      </c>
      <c r="I383" s="149" t="str">
        <f ca="1">IFERROR(Prices!I382/Prices!I381-1,"")</f>
        <v/>
      </c>
      <c r="J383" s="150">
        <f t="shared" ca="1" si="7"/>
        <v>0</v>
      </c>
      <c r="K383" s="112"/>
      <c r="L383" s="112"/>
      <c r="M383" s="112"/>
    </row>
    <row r="384" spans="1:13" x14ac:dyDescent="0.3">
      <c r="A384" s="147" t="str">
        <f ca="1">Prices!$A$383</f>
        <v/>
      </c>
      <c r="B384" s="148" t="str">
        <f ca="1">IFERROR(Prices!B383/Prices!B382-1,"")</f>
        <v/>
      </c>
      <c r="C384" s="148" t="str">
        <f ca="1">IFERROR(Prices!C383/Prices!C382-1,"")</f>
        <v/>
      </c>
      <c r="D384" s="148" t="str">
        <f ca="1">IFERROR(Prices!D383/Prices!D382-1,"")</f>
        <v/>
      </c>
      <c r="E384" s="148" t="str">
        <f ca="1">IFERROR(Prices!E383/Prices!E382-1,"")</f>
        <v/>
      </c>
      <c r="F384" s="148" t="str">
        <f ca="1">IFERROR(Prices!F383/Prices!F382-1,"")</f>
        <v/>
      </c>
      <c r="G384" s="148" t="str">
        <f ca="1">IFERROR(Prices!G383/Prices!G382-1,"")</f>
        <v/>
      </c>
      <c r="H384" s="148" t="str">
        <f ca="1">IFERROR(Prices!H383/Prices!H382-1,"")</f>
        <v/>
      </c>
      <c r="I384" s="149" t="str">
        <f ca="1">IFERROR(Prices!I383/Prices!I382-1,"")</f>
        <v/>
      </c>
      <c r="J384" s="150">
        <f t="shared" ca="1" si="7"/>
        <v>0</v>
      </c>
      <c r="K384" s="112"/>
      <c r="L384" s="112"/>
      <c r="M384" s="112"/>
    </row>
    <row r="385" spans="1:13" x14ac:dyDescent="0.3">
      <c r="A385" s="147" t="str">
        <f ca="1">Prices!$A$384</f>
        <v/>
      </c>
      <c r="B385" s="148" t="str">
        <f ca="1">IFERROR(Prices!B384/Prices!B383-1,"")</f>
        <v/>
      </c>
      <c r="C385" s="148" t="str">
        <f ca="1">IFERROR(Prices!C384/Prices!C383-1,"")</f>
        <v/>
      </c>
      <c r="D385" s="148" t="str">
        <f ca="1">IFERROR(Prices!D384/Prices!D383-1,"")</f>
        <v/>
      </c>
      <c r="E385" s="148" t="str">
        <f ca="1">IFERROR(Prices!E384/Prices!E383-1,"")</f>
        <v/>
      </c>
      <c r="F385" s="148" t="str">
        <f ca="1">IFERROR(Prices!F384/Prices!F383-1,"")</f>
        <v/>
      </c>
      <c r="G385" s="148" t="str">
        <f ca="1">IFERROR(Prices!G384/Prices!G383-1,"")</f>
        <v/>
      </c>
      <c r="H385" s="148" t="str">
        <f ca="1">IFERROR(Prices!H384/Prices!H383-1,"")</f>
        <v/>
      </c>
      <c r="I385" s="149" t="str">
        <f ca="1">IFERROR(Prices!I384/Prices!I383-1,"")</f>
        <v/>
      </c>
      <c r="J385" s="150">
        <f t="shared" ca="1" si="7"/>
        <v>0</v>
      </c>
      <c r="K385" s="112"/>
      <c r="L385" s="112"/>
      <c r="M385" s="112"/>
    </row>
    <row r="386" spans="1:13" x14ac:dyDescent="0.3">
      <c r="A386" s="147" t="str">
        <f ca="1">Prices!$A$385</f>
        <v/>
      </c>
      <c r="B386" s="148" t="str">
        <f ca="1">IFERROR(Prices!B385/Prices!B384-1,"")</f>
        <v/>
      </c>
      <c r="C386" s="148" t="str">
        <f ca="1">IFERROR(Prices!C385/Prices!C384-1,"")</f>
        <v/>
      </c>
      <c r="D386" s="148" t="str">
        <f ca="1">IFERROR(Prices!D385/Prices!D384-1,"")</f>
        <v/>
      </c>
      <c r="E386" s="148" t="str">
        <f ca="1">IFERROR(Prices!E385/Prices!E384-1,"")</f>
        <v/>
      </c>
      <c r="F386" s="148" t="str">
        <f ca="1">IFERROR(Prices!F385/Prices!F384-1,"")</f>
        <v/>
      </c>
      <c r="G386" s="148" t="str">
        <f ca="1">IFERROR(Prices!G385/Prices!G384-1,"")</f>
        <v/>
      </c>
      <c r="H386" s="148" t="str">
        <f ca="1">IFERROR(Prices!H385/Prices!H384-1,"")</f>
        <v/>
      </c>
      <c r="I386" s="149" t="str">
        <f ca="1">IFERROR(Prices!I385/Prices!I384-1,"")</f>
        <v/>
      </c>
      <c r="J386" s="150">
        <f t="shared" ca="1" si="7"/>
        <v>0</v>
      </c>
      <c r="K386" s="112"/>
      <c r="L386" s="112"/>
      <c r="M386" s="112"/>
    </row>
    <row r="387" spans="1:13" x14ac:dyDescent="0.3">
      <c r="A387" s="147" t="str">
        <f ca="1">Prices!$A$386</f>
        <v/>
      </c>
      <c r="B387" s="148" t="str">
        <f ca="1">IFERROR(Prices!B386/Prices!B385-1,"")</f>
        <v/>
      </c>
      <c r="C387" s="148" t="str">
        <f ca="1">IFERROR(Prices!C386/Prices!C385-1,"")</f>
        <v/>
      </c>
      <c r="D387" s="148" t="str">
        <f ca="1">IFERROR(Prices!D386/Prices!D385-1,"")</f>
        <v/>
      </c>
      <c r="E387" s="148" t="str">
        <f ca="1">IFERROR(Prices!E386/Prices!E385-1,"")</f>
        <v/>
      </c>
      <c r="F387" s="148" t="str">
        <f ca="1">IFERROR(Prices!F386/Prices!F385-1,"")</f>
        <v/>
      </c>
      <c r="G387" s="148" t="str">
        <f ca="1">IFERROR(Prices!G386/Prices!G385-1,"")</f>
        <v/>
      </c>
      <c r="H387" s="148" t="str">
        <f ca="1">IFERROR(Prices!H386/Prices!H385-1,"")</f>
        <v/>
      </c>
      <c r="I387" s="149" t="str">
        <f ca="1">IFERROR(Prices!I386/Prices!I385-1,"")</f>
        <v/>
      </c>
      <c r="J387" s="150">
        <f t="shared" ca="1" si="7"/>
        <v>0</v>
      </c>
      <c r="K387" s="112"/>
      <c r="L387" s="112"/>
      <c r="M387" s="112"/>
    </row>
    <row r="388" spans="1:13" x14ac:dyDescent="0.3">
      <c r="A388" s="147" t="str">
        <f ca="1">Prices!$A$387</f>
        <v/>
      </c>
      <c r="B388" s="148" t="str">
        <f ca="1">IFERROR(Prices!B387/Prices!B386-1,"")</f>
        <v/>
      </c>
      <c r="C388" s="148" t="str">
        <f ca="1">IFERROR(Prices!C387/Prices!C386-1,"")</f>
        <v/>
      </c>
      <c r="D388" s="148" t="str">
        <f ca="1">IFERROR(Prices!D387/Prices!D386-1,"")</f>
        <v/>
      </c>
      <c r="E388" s="148" t="str">
        <f ca="1">IFERROR(Prices!E387/Prices!E386-1,"")</f>
        <v/>
      </c>
      <c r="F388" s="148" t="str">
        <f ca="1">IFERROR(Prices!F387/Prices!F386-1,"")</f>
        <v/>
      </c>
      <c r="G388" s="148" t="str">
        <f ca="1">IFERROR(Prices!G387/Prices!G386-1,"")</f>
        <v/>
      </c>
      <c r="H388" s="148" t="str">
        <f ca="1">IFERROR(Prices!H387/Prices!H386-1,"")</f>
        <v/>
      </c>
      <c r="I388" s="149" t="str">
        <f ca="1">IFERROR(Prices!I387/Prices!I386-1,"")</f>
        <v/>
      </c>
      <c r="J388" s="150">
        <f t="shared" ca="1" si="7"/>
        <v>0</v>
      </c>
      <c r="K388" s="112"/>
      <c r="L388" s="112"/>
      <c r="M388" s="112"/>
    </row>
    <row r="389" spans="1:13" x14ac:dyDescent="0.3">
      <c r="A389" s="147" t="str">
        <f ca="1">Prices!$A$388</f>
        <v/>
      </c>
      <c r="B389" s="148" t="str">
        <f ca="1">IFERROR(Prices!B388/Prices!B387-1,"")</f>
        <v/>
      </c>
      <c r="C389" s="148" t="str">
        <f ca="1">IFERROR(Prices!C388/Prices!C387-1,"")</f>
        <v/>
      </c>
      <c r="D389" s="148" t="str">
        <f ca="1">IFERROR(Prices!D388/Prices!D387-1,"")</f>
        <v/>
      </c>
      <c r="E389" s="148" t="str">
        <f ca="1">IFERROR(Prices!E388/Prices!E387-1,"")</f>
        <v/>
      </c>
      <c r="F389" s="148" t="str">
        <f ca="1">IFERROR(Prices!F388/Prices!F387-1,"")</f>
        <v/>
      </c>
      <c r="G389" s="148" t="str">
        <f ca="1">IFERROR(Prices!G388/Prices!G387-1,"")</f>
        <v/>
      </c>
      <c r="H389" s="148" t="str">
        <f ca="1">IFERROR(Prices!H388/Prices!H387-1,"")</f>
        <v/>
      </c>
      <c r="I389" s="149" t="str">
        <f ca="1">IFERROR(Prices!I388/Prices!I387-1,"")</f>
        <v/>
      </c>
      <c r="J389" s="150">
        <f t="shared" ca="1" si="7"/>
        <v>0</v>
      </c>
      <c r="K389" s="112"/>
      <c r="L389" s="112"/>
      <c r="M389" s="112"/>
    </row>
    <row r="390" spans="1:13" x14ac:dyDescent="0.3">
      <c r="A390" s="147" t="str">
        <f ca="1">Prices!$A$389</f>
        <v/>
      </c>
      <c r="B390" s="148" t="str">
        <f ca="1">IFERROR(Prices!B389/Prices!B388-1,"")</f>
        <v/>
      </c>
      <c r="C390" s="148" t="str">
        <f ca="1">IFERROR(Prices!C389/Prices!C388-1,"")</f>
        <v/>
      </c>
      <c r="D390" s="148" t="str">
        <f ca="1">IFERROR(Prices!D389/Prices!D388-1,"")</f>
        <v/>
      </c>
      <c r="E390" s="148" t="str">
        <f ca="1">IFERROR(Prices!E389/Prices!E388-1,"")</f>
        <v/>
      </c>
      <c r="F390" s="148" t="str">
        <f ca="1">IFERROR(Prices!F389/Prices!F388-1,"")</f>
        <v/>
      </c>
      <c r="G390" s="148" t="str">
        <f ca="1">IFERROR(Prices!G389/Prices!G388-1,"")</f>
        <v/>
      </c>
      <c r="H390" s="148" t="str">
        <f ca="1">IFERROR(Prices!H389/Prices!H388-1,"")</f>
        <v/>
      </c>
      <c r="I390" s="149" t="str">
        <f ca="1">IFERROR(Prices!I389/Prices!I388-1,"")</f>
        <v/>
      </c>
      <c r="J390" s="150">
        <f t="shared" ca="1" si="7"/>
        <v>0</v>
      </c>
      <c r="K390" s="112"/>
      <c r="L390" s="112"/>
      <c r="M390" s="112"/>
    </row>
    <row r="391" spans="1:13" x14ac:dyDescent="0.3">
      <c r="A391" s="147" t="str">
        <f ca="1">Prices!$A$390</f>
        <v/>
      </c>
      <c r="B391" s="148" t="str">
        <f ca="1">IFERROR(Prices!B390/Prices!B389-1,"")</f>
        <v/>
      </c>
      <c r="C391" s="148" t="str">
        <f ca="1">IFERROR(Prices!C390/Prices!C389-1,"")</f>
        <v/>
      </c>
      <c r="D391" s="148" t="str">
        <f ca="1">IFERROR(Prices!D390/Prices!D389-1,"")</f>
        <v/>
      </c>
      <c r="E391" s="148" t="str">
        <f ca="1">IFERROR(Prices!E390/Prices!E389-1,"")</f>
        <v/>
      </c>
      <c r="F391" s="148" t="str">
        <f ca="1">IFERROR(Prices!F390/Prices!F389-1,"")</f>
        <v/>
      </c>
      <c r="G391" s="148" t="str">
        <f ca="1">IFERROR(Prices!G390/Prices!G389-1,"")</f>
        <v/>
      </c>
      <c r="H391" s="148" t="str">
        <f ca="1">IFERROR(Prices!H390/Prices!H389-1,"")</f>
        <v/>
      </c>
      <c r="I391" s="149" t="str">
        <f ca="1">IFERROR(Prices!I390/Prices!I389-1,"")</f>
        <v/>
      </c>
      <c r="J391" s="150">
        <f t="shared" ref="J391:J454" ca="1" si="8">IFERROR(SUMPRODUCT(Weights,$B391:$H391),"")</f>
        <v>0</v>
      </c>
      <c r="K391" s="112"/>
      <c r="L391" s="112"/>
      <c r="M391" s="112"/>
    </row>
    <row r="392" spans="1:13" x14ac:dyDescent="0.3">
      <c r="A392" s="147" t="str">
        <f ca="1">Prices!$A$391</f>
        <v/>
      </c>
      <c r="B392" s="148" t="str">
        <f ca="1">IFERROR(Prices!B391/Prices!B390-1,"")</f>
        <v/>
      </c>
      <c r="C392" s="148" t="str">
        <f ca="1">IFERROR(Prices!C391/Prices!C390-1,"")</f>
        <v/>
      </c>
      <c r="D392" s="148" t="str">
        <f ca="1">IFERROR(Prices!D391/Prices!D390-1,"")</f>
        <v/>
      </c>
      <c r="E392" s="148" t="str">
        <f ca="1">IFERROR(Prices!E391/Prices!E390-1,"")</f>
        <v/>
      </c>
      <c r="F392" s="148" t="str">
        <f ca="1">IFERROR(Prices!F391/Prices!F390-1,"")</f>
        <v/>
      </c>
      <c r="G392" s="148" t="str">
        <f ca="1">IFERROR(Prices!G391/Prices!G390-1,"")</f>
        <v/>
      </c>
      <c r="H392" s="148" t="str">
        <f ca="1">IFERROR(Prices!H391/Prices!H390-1,"")</f>
        <v/>
      </c>
      <c r="I392" s="149" t="str">
        <f ca="1">IFERROR(Prices!I391/Prices!I390-1,"")</f>
        <v/>
      </c>
      <c r="J392" s="150">
        <f t="shared" ca="1" si="8"/>
        <v>0</v>
      </c>
      <c r="K392" s="112"/>
      <c r="L392" s="112"/>
      <c r="M392" s="112"/>
    </row>
    <row r="393" spans="1:13" x14ac:dyDescent="0.3">
      <c r="A393" s="147" t="str">
        <f ca="1">Prices!$A$392</f>
        <v/>
      </c>
      <c r="B393" s="148" t="str">
        <f ca="1">IFERROR(Prices!B392/Prices!B391-1,"")</f>
        <v/>
      </c>
      <c r="C393" s="148" t="str">
        <f ca="1">IFERROR(Prices!C392/Prices!C391-1,"")</f>
        <v/>
      </c>
      <c r="D393" s="148" t="str">
        <f ca="1">IFERROR(Prices!D392/Prices!D391-1,"")</f>
        <v/>
      </c>
      <c r="E393" s="148" t="str">
        <f ca="1">IFERROR(Prices!E392/Prices!E391-1,"")</f>
        <v/>
      </c>
      <c r="F393" s="148" t="str">
        <f ca="1">IFERROR(Prices!F392/Prices!F391-1,"")</f>
        <v/>
      </c>
      <c r="G393" s="148" t="str">
        <f ca="1">IFERROR(Prices!G392/Prices!G391-1,"")</f>
        <v/>
      </c>
      <c r="H393" s="148" t="str">
        <f ca="1">IFERROR(Prices!H392/Prices!H391-1,"")</f>
        <v/>
      </c>
      <c r="I393" s="149" t="str">
        <f ca="1">IFERROR(Prices!I392/Prices!I391-1,"")</f>
        <v/>
      </c>
      <c r="J393" s="150">
        <f t="shared" ca="1" si="8"/>
        <v>0</v>
      </c>
      <c r="K393" s="112"/>
      <c r="L393" s="112"/>
      <c r="M393" s="112"/>
    </row>
    <row r="394" spans="1:13" x14ac:dyDescent="0.3">
      <c r="A394" s="147" t="str">
        <f ca="1">Prices!$A$393</f>
        <v/>
      </c>
      <c r="B394" s="148" t="str">
        <f ca="1">IFERROR(Prices!B393/Prices!B392-1,"")</f>
        <v/>
      </c>
      <c r="C394" s="148" t="str">
        <f ca="1">IFERROR(Prices!C393/Prices!C392-1,"")</f>
        <v/>
      </c>
      <c r="D394" s="148" t="str">
        <f ca="1">IFERROR(Prices!D393/Prices!D392-1,"")</f>
        <v/>
      </c>
      <c r="E394" s="148" t="str">
        <f ca="1">IFERROR(Prices!E393/Prices!E392-1,"")</f>
        <v/>
      </c>
      <c r="F394" s="148" t="str">
        <f ca="1">IFERROR(Prices!F393/Prices!F392-1,"")</f>
        <v/>
      </c>
      <c r="G394" s="148" t="str">
        <f ca="1">IFERROR(Prices!G393/Prices!G392-1,"")</f>
        <v/>
      </c>
      <c r="H394" s="148" t="str">
        <f ca="1">IFERROR(Prices!H393/Prices!H392-1,"")</f>
        <v/>
      </c>
      <c r="I394" s="149" t="str">
        <f ca="1">IFERROR(Prices!I393/Prices!I392-1,"")</f>
        <v/>
      </c>
      <c r="J394" s="150">
        <f t="shared" ca="1" si="8"/>
        <v>0</v>
      </c>
      <c r="K394" s="112"/>
      <c r="L394" s="112"/>
      <c r="M394" s="112"/>
    </row>
    <row r="395" spans="1:13" x14ac:dyDescent="0.3">
      <c r="A395" s="147" t="str">
        <f ca="1">Prices!$A$394</f>
        <v/>
      </c>
      <c r="B395" s="148" t="str">
        <f ca="1">IFERROR(Prices!B394/Prices!B393-1,"")</f>
        <v/>
      </c>
      <c r="C395" s="148" t="str">
        <f ca="1">IFERROR(Prices!C394/Prices!C393-1,"")</f>
        <v/>
      </c>
      <c r="D395" s="148" t="str">
        <f ca="1">IFERROR(Prices!D394/Prices!D393-1,"")</f>
        <v/>
      </c>
      <c r="E395" s="148" t="str">
        <f ca="1">IFERROR(Prices!E394/Prices!E393-1,"")</f>
        <v/>
      </c>
      <c r="F395" s="148" t="str">
        <f ca="1">IFERROR(Prices!F394/Prices!F393-1,"")</f>
        <v/>
      </c>
      <c r="G395" s="148" t="str">
        <f ca="1">IFERROR(Prices!G394/Prices!G393-1,"")</f>
        <v/>
      </c>
      <c r="H395" s="148" t="str">
        <f ca="1">IFERROR(Prices!H394/Prices!H393-1,"")</f>
        <v/>
      </c>
      <c r="I395" s="149" t="str">
        <f ca="1">IFERROR(Prices!I394/Prices!I393-1,"")</f>
        <v/>
      </c>
      <c r="J395" s="150">
        <f t="shared" ca="1" si="8"/>
        <v>0</v>
      </c>
      <c r="K395" s="112"/>
      <c r="L395" s="112"/>
      <c r="M395" s="112"/>
    </row>
    <row r="396" spans="1:13" x14ac:dyDescent="0.3">
      <c r="A396" s="147" t="str">
        <f ca="1">Prices!$A$395</f>
        <v/>
      </c>
      <c r="B396" s="148" t="str">
        <f ca="1">IFERROR(Prices!B395/Prices!B394-1,"")</f>
        <v/>
      </c>
      <c r="C396" s="148" t="str">
        <f ca="1">IFERROR(Prices!C395/Prices!C394-1,"")</f>
        <v/>
      </c>
      <c r="D396" s="148" t="str">
        <f ca="1">IFERROR(Prices!D395/Prices!D394-1,"")</f>
        <v/>
      </c>
      <c r="E396" s="148" t="str">
        <f ca="1">IFERROR(Prices!E395/Prices!E394-1,"")</f>
        <v/>
      </c>
      <c r="F396" s="148" t="str">
        <f ca="1">IFERROR(Prices!F395/Prices!F394-1,"")</f>
        <v/>
      </c>
      <c r="G396" s="148" t="str">
        <f ca="1">IFERROR(Prices!G395/Prices!G394-1,"")</f>
        <v/>
      </c>
      <c r="H396" s="148" t="str">
        <f ca="1">IFERROR(Prices!H395/Prices!H394-1,"")</f>
        <v/>
      </c>
      <c r="I396" s="149" t="str">
        <f ca="1">IFERROR(Prices!I395/Prices!I394-1,"")</f>
        <v/>
      </c>
      <c r="J396" s="150">
        <f t="shared" ca="1" si="8"/>
        <v>0</v>
      </c>
      <c r="K396" s="112"/>
      <c r="L396" s="112"/>
      <c r="M396" s="112"/>
    </row>
    <row r="397" spans="1:13" x14ac:dyDescent="0.3">
      <c r="A397" s="147" t="str">
        <f ca="1">Prices!$A$396</f>
        <v/>
      </c>
      <c r="B397" s="148" t="str">
        <f ca="1">IFERROR(Prices!B396/Prices!B395-1,"")</f>
        <v/>
      </c>
      <c r="C397" s="148" t="str">
        <f ca="1">IFERROR(Prices!C396/Prices!C395-1,"")</f>
        <v/>
      </c>
      <c r="D397" s="148" t="str">
        <f ca="1">IFERROR(Prices!D396/Prices!D395-1,"")</f>
        <v/>
      </c>
      <c r="E397" s="148" t="str">
        <f ca="1">IFERROR(Prices!E396/Prices!E395-1,"")</f>
        <v/>
      </c>
      <c r="F397" s="148" t="str">
        <f ca="1">IFERROR(Prices!F396/Prices!F395-1,"")</f>
        <v/>
      </c>
      <c r="G397" s="148" t="str">
        <f ca="1">IFERROR(Prices!G396/Prices!G395-1,"")</f>
        <v/>
      </c>
      <c r="H397" s="148" t="str">
        <f ca="1">IFERROR(Prices!H396/Prices!H395-1,"")</f>
        <v/>
      </c>
      <c r="I397" s="149" t="str">
        <f ca="1">IFERROR(Prices!I396/Prices!I395-1,"")</f>
        <v/>
      </c>
      <c r="J397" s="150">
        <f t="shared" ca="1" si="8"/>
        <v>0</v>
      </c>
      <c r="K397" s="112"/>
      <c r="L397" s="112"/>
      <c r="M397" s="112"/>
    </row>
    <row r="398" spans="1:13" x14ac:dyDescent="0.3">
      <c r="A398" s="147" t="str">
        <f ca="1">Prices!$A$397</f>
        <v/>
      </c>
      <c r="B398" s="148" t="str">
        <f ca="1">IFERROR(Prices!B397/Prices!B396-1,"")</f>
        <v/>
      </c>
      <c r="C398" s="148" t="str">
        <f ca="1">IFERROR(Prices!C397/Prices!C396-1,"")</f>
        <v/>
      </c>
      <c r="D398" s="148" t="str">
        <f ca="1">IFERROR(Prices!D397/Prices!D396-1,"")</f>
        <v/>
      </c>
      <c r="E398" s="148" t="str">
        <f ca="1">IFERROR(Prices!E397/Prices!E396-1,"")</f>
        <v/>
      </c>
      <c r="F398" s="148" t="str">
        <f ca="1">IFERROR(Prices!F397/Prices!F396-1,"")</f>
        <v/>
      </c>
      <c r="G398" s="148" t="str">
        <f ca="1">IFERROR(Prices!G397/Prices!G396-1,"")</f>
        <v/>
      </c>
      <c r="H398" s="148" t="str">
        <f ca="1">IFERROR(Prices!H397/Prices!H396-1,"")</f>
        <v/>
      </c>
      <c r="I398" s="149" t="str">
        <f ca="1">IFERROR(Prices!I397/Prices!I396-1,"")</f>
        <v/>
      </c>
      <c r="J398" s="150">
        <f t="shared" ca="1" si="8"/>
        <v>0</v>
      </c>
      <c r="K398" s="112"/>
      <c r="L398" s="112"/>
      <c r="M398" s="112"/>
    </row>
    <row r="399" spans="1:13" x14ac:dyDescent="0.3">
      <c r="A399" s="147" t="str">
        <f ca="1">Prices!$A$398</f>
        <v/>
      </c>
      <c r="B399" s="148" t="str">
        <f ca="1">IFERROR(Prices!B398/Prices!B397-1,"")</f>
        <v/>
      </c>
      <c r="C399" s="148" t="str">
        <f ca="1">IFERROR(Prices!C398/Prices!C397-1,"")</f>
        <v/>
      </c>
      <c r="D399" s="148" t="str">
        <f ca="1">IFERROR(Prices!D398/Prices!D397-1,"")</f>
        <v/>
      </c>
      <c r="E399" s="148" t="str">
        <f ca="1">IFERROR(Prices!E398/Prices!E397-1,"")</f>
        <v/>
      </c>
      <c r="F399" s="148" t="str">
        <f ca="1">IFERROR(Prices!F398/Prices!F397-1,"")</f>
        <v/>
      </c>
      <c r="G399" s="148" t="str">
        <f ca="1">IFERROR(Prices!G398/Prices!G397-1,"")</f>
        <v/>
      </c>
      <c r="H399" s="148" t="str">
        <f ca="1">IFERROR(Prices!H398/Prices!H397-1,"")</f>
        <v/>
      </c>
      <c r="I399" s="149" t="str">
        <f ca="1">IFERROR(Prices!I398/Prices!I397-1,"")</f>
        <v/>
      </c>
      <c r="J399" s="150">
        <f t="shared" ca="1" si="8"/>
        <v>0</v>
      </c>
      <c r="K399" s="112"/>
      <c r="L399" s="112"/>
      <c r="M399" s="112"/>
    </row>
    <row r="400" spans="1:13" x14ac:dyDescent="0.3">
      <c r="A400" s="147" t="str">
        <f ca="1">Prices!$A$399</f>
        <v/>
      </c>
      <c r="B400" s="148" t="str">
        <f ca="1">IFERROR(Prices!B399/Prices!B398-1,"")</f>
        <v/>
      </c>
      <c r="C400" s="148" t="str">
        <f ca="1">IFERROR(Prices!C399/Prices!C398-1,"")</f>
        <v/>
      </c>
      <c r="D400" s="148" t="str">
        <f ca="1">IFERROR(Prices!D399/Prices!D398-1,"")</f>
        <v/>
      </c>
      <c r="E400" s="148" t="str">
        <f ca="1">IFERROR(Prices!E399/Prices!E398-1,"")</f>
        <v/>
      </c>
      <c r="F400" s="148" t="str">
        <f ca="1">IFERROR(Prices!F399/Prices!F398-1,"")</f>
        <v/>
      </c>
      <c r="G400" s="148" t="str">
        <f ca="1">IFERROR(Prices!G399/Prices!G398-1,"")</f>
        <v/>
      </c>
      <c r="H400" s="148" t="str">
        <f ca="1">IFERROR(Prices!H399/Prices!H398-1,"")</f>
        <v/>
      </c>
      <c r="I400" s="149" t="str">
        <f ca="1">IFERROR(Prices!I399/Prices!I398-1,"")</f>
        <v/>
      </c>
      <c r="J400" s="150">
        <f t="shared" ca="1" si="8"/>
        <v>0</v>
      </c>
      <c r="K400" s="112"/>
      <c r="L400" s="112"/>
      <c r="M400" s="112"/>
    </row>
    <row r="401" spans="1:13" x14ac:dyDescent="0.3">
      <c r="A401" s="147" t="str">
        <f ca="1">Prices!$A$400</f>
        <v/>
      </c>
      <c r="B401" s="148" t="str">
        <f ca="1">IFERROR(Prices!B400/Prices!B399-1,"")</f>
        <v/>
      </c>
      <c r="C401" s="148" t="str">
        <f ca="1">IFERROR(Prices!C400/Prices!C399-1,"")</f>
        <v/>
      </c>
      <c r="D401" s="148" t="str">
        <f ca="1">IFERROR(Prices!D400/Prices!D399-1,"")</f>
        <v/>
      </c>
      <c r="E401" s="148" t="str">
        <f ca="1">IFERROR(Prices!E400/Prices!E399-1,"")</f>
        <v/>
      </c>
      <c r="F401" s="148" t="str">
        <f ca="1">IFERROR(Prices!F400/Prices!F399-1,"")</f>
        <v/>
      </c>
      <c r="G401" s="148" t="str">
        <f ca="1">IFERROR(Prices!G400/Prices!G399-1,"")</f>
        <v/>
      </c>
      <c r="H401" s="148" t="str">
        <f ca="1">IFERROR(Prices!H400/Prices!H399-1,"")</f>
        <v/>
      </c>
      <c r="I401" s="149" t="str">
        <f ca="1">IFERROR(Prices!I400/Prices!I399-1,"")</f>
        <v/>
      </c>
      <c r="J401" s="150">
        <f t="shared" ca="1" si="8"/>
        <v>0</v>
      </c>
      <c r="K401" s="112"/>
      <c r="L401" s="112"/>
      <c r="M401" s="112"/>
    </row>
    <row r="402" spans="1:13" x14ac:dyDescent="0.3">
      <c r="A402" s="147" t="str">
        <f ca="1">Prices!$A$401</f>
        <v/>
      </c>
      <c r="B402" s="148" t="str">
        <f ca="1">IFERROR(Prices!B401/Prices!B400-1,"")</f>
        <v/>
      </c>
      <c r="C402" s="148" t="str">
        <f ca="1">IFERROR(Prices!C401/Prices!C400-1,"")</f>
        <v/>
      </c>
      <c r="D402" s="148" t="str">
        <f ca="1">IFERROR(Prices!D401/Prices!D400-1,"")</f>
        <v/>
      </c>
      <c r="E402" s="148" t="str">
        <f ca="1">IFERROR(Prices!E401/Prices!E400-1,"")</f>
        <v/>
      </c>
      <c r="F402" s="148" t="str">
        <f ca="1">IFERROR(Prices!F401/Prices!F400-1,"")</f>
        <v/>
      </c>
      <c r="G402" s="148" t="str">
        <f ca="1">IFERROR(Prices!G401/Prices!G400-1,"")</f>
        <v/>
      </c>
      <c r="H402" s="148" t="str">
        <f ca="1">IFERROR(Prices!H401/Prices!H400-1,"")</f>
        <v/>
      </c>
      <c r="I402" s="149" t="str">
        <f ca="1">IFERROR(Prices!I401/Prices!I400-1,"")</f>
        <v/>
      </c>
      <c r="J402" s="150">
        <f t="shared" ca="1" si="8"/>
        <v>0</v>
      </c>
      <c r="K402" s="112"/>
      <c r="L402" s="112"/>
      <c r="M402" s="112"/>
    </row>
    <row r="403" spans="1:13" x14ac:dyDescent="0.3">
      <c r="A403" s="147" t="str">
        <f ca="1">Prices!$A$402</f>
        <v/>
      </c>
      <c r="B403" s="148" t="str">
        <f ca="1">IFERROR(Prices!B402/Prices!B401-1,"")</f>
        <v/>
      </c>
      <c r="C403" s="148" t="str">
        <f ca="1">IFERROR(Prices!C402/Prices!C401-1,"")</f>
        <v/>
      </c>
      <c r="D403" s="148" t="str">
        <f ca="1">IFERROR(Prices!D402/Prices!D401-1,"")</f>
        <v/>
      </c>
      <c r="E403" s="148" t="str">
        <f ca="1">IFERROR(Prices!E402/Prices!E401-1,"")</f>
        <v/>
      </c>
      <c r="F403" s="148" t="str">
        <f ca="1">IFERROR(Prices!F402/Prices!F401-1,"")</f>
        <v/>
      </c>
      <c r="G403" s="148" t="str">
        <f ca="1">IFERROR(Prices!G402/Prices!G401-1,"")</f>
        <v/>
      </c>
      <c r="H403" s="148" t="str">
        <f ca="1">IFERROR(Prices!H402/Prices!H401-1,"")</f>
        <v/>
      </c>
      <c r="I403" s="149" t="str">
        <f ca="1">IFERROR(Prices!I402/Prices!I401-1,"")</f>
        <v/>
      </c>
      <c r="J403" s="150">
        <f t="shared" ca="1" si="8"/>
        <v>0</v>
      </c>
      <c r="K403" s="112"/>
      <c r="L403" s="112"/>
      <c r="M403" s="112"/>
    </row>
    <row r="404" spans="1:13" x14ac:dyDescent="0.3">
      <c r="A404" s="147" t="str">
        <f ca="1">Prices!$A$403</f>
        <v/>
      </c>
      <c r="B404" s="148" t="str">
        <f ca="1">IFERROR(Prices!B403/Prices!B402-1,"")</f>
        <v/>
      </c>
      <c r="C404" s="148" t="str">
        <f ca="1">IFERROR(Prices!C403/Prices!C402-1,"")</f>
        <v/>
      </c>
      <c r="D404" s="148" t="str">
        <f ca="1">IFERROR(Prices!D403/Prices!D402-1,"")</f>
        <v/>
      </c>
      <c r="E404" s="148" t="str">
        <f ca="1">IFERROR(Prices!E403/Prices!E402-1,"")</f>
        <v/>
      </c>
      <c r="F404" s="148" t="str">
        <f ca="1">IFERROR(Prices!F403/Prices!F402-1,"")</f>
        <v/>
      </c>
      <c r="G404" s="148" t="str">
        <f ca="1">IFERROR(Prices!G403/Prices!G402-1,"")</f>
        <v/>
      </c>
      <c r="H404" s="148" t="str">
        <f ca="1">IFERROR(Prices!H403/Prices!H402-1,"")</f>
        <v/>
      </c>
      <c r="I404" s="149" t="str">
        <f ca="1">IFERROR(Prices!I403/Prices!I402-1,"")</f>
        <v/>
      </c>
      <c r="J404" s="150">
        <f t="shared" ca="1" si="8"/>
        <v>0</v>
      </c>
      <c r="K404" s="112"/>
      <c r="L404" s="112"/>
      <c r="M404" s="112"/>
    </row>
    <row r="405" spans="1:13" x14ac:dyDescent="0.3">
      <c r="A405" s="147" t="str">
        <f ca="1">Prices!$A$404</f>
        <v/>
      </c>
      <c r="B405" s="148" t="str">
        <f ca="1">IFERROR(Prices!B404/Prices!B403-1,"")</f>
        <v/>
      </c>
      <c r="C405" s="148" t="str">
        <f ca="1">IFERROR(Prices!C404/Prices!C403-1,"")</f>
        <v/>
      </c>
      <c r="D405" s="148" t="str">
        <f ca="1">IFERROR(Prices!D404/Prices!D403-1,"")</f>
        <v/>
      </c>
      <c r="E405" s="148" t="str">
        <f ca="1">IFERROR(Prices!E404/Prices!E403-1,"")</f>
        <v/>
      </c>
      <c r="F405" s="148" t="str">
        <f ca="1">IFERROR(Prices!F404/Prices!F403-1,"")</f>
        <v/>
      </c>
      <c r="G405" s="148" t="str">
        <f ca="1">IFERROR(Prices!G404/Prices!G403-1,"")</f>
        <v/>
      </c>
      <c r="H405" s="148" t="str">
        <f ca="1">IFERROR(Prices!H404/Prices!H403-1,"")</f>
        <v/>
      </c>
      <c r="I405" s="149" t="str">
        <f ca="1">IFERROR(Prices!I404/Prices!I403-1,"")</f>
        <v/>
      </c>
      <c r="J405" s="150">
        <f t="shared" ca="1" si="8"/>
        <v>0</v>
      </c>
      <c r="K405" s="112"/>
      <c r="L405" s="112"/>
      <c r="M405" s="112"/>
    </row>
    <row r="406" spans="1:13" x14ac:dyDescent="0.3">
      <c r="A406" s="147" t="str">
        <f ca="1">Prices!$A$405</f>
        <v/>
      </c>
      <c r="B406" s="148" t="str">
        <f ca="1">IFERROR(Prices!B405/Prices!B404-1,"")</f>
        <v/>
      </c>
      <c r="C406" s="148" t="str">
        <f ca="1">IFERROR(Prices!C405/Prices!C404-1,"")</f>
        <v/>
      </c>
      <c r="D406" s="148" t="str">
        <f ca="1">IFERROR(Prices!D405/Prices!D404-1,"")</f>
        <v/>
      </c>
      <c r="E406" s="148" t="str">
        <f ca="1">IFERROR(Prices!E405/Prices!E404-1,"")</f>
        <v/>
      </c>
      <c r="F406" s="148" t="str">
        <f ca="1">IFERROR(Prices!F405/Prices!F404-1,"")</f>
        <v/>
      </c>
      <c r="G406" s="148" t="str">
        <f ca="1">IFERROR(Prices!G405/Prices!G404-1,"")</f>
        <v/>
      </c>
      <c r="H406" s="148" t="str">
        <f ca="1">IFERROR(Prices!H405/Prices!H404-1,"")</f>
        <v/>
      </c>
      <c r="I406" s="149" t="str">
        <f ca="1">IFERROR(Prices!I405/Prices!I404-1,"")</f>
        <v/>
      </c>
      <c r="J406" s="150">
        <f t="shared" ca="1" si="8"/>
        <v>0</v>
      </c>
      <c r="K406" s="112"/>
      <c r="L406" s="112"/>
      <c r="M406" s="112"/>
    </row>
    <row r="407" spans="1:13" x14ac:dyDescent="0.3">
      <c r="A407" s="147" t="str">
        <f ca="1">Prices!$A$406</f>
        <v/>
      </c>
      <c r="B407" s="148" t="str">
        <f ca="1">IFERROR(Prices!B406/Prices!B405-1,"")</f>
        <v/>
      </c>
      <c r="C407" s="148" t="str">
        <f ca="1">IFERROR(Prices!C406/Prices!C405-1,"")</f>
        <v/>
      </c>
      <c r="D407" s="148" t="str">
        <f ca="1">IFERROR(Prices!D406/Prices!D405-1,"")</f>
        <v/>
      </c>
      <c r="E407" s="148" t="str">
        <f ca="1">IFERROR(Prices!E406/Prices!E405-1,"")</f>
        <v/>
      </c>
      <c r="F407" s="148" t="str">
        <f ca="1">IFERROR(Prices!F406/Prices!F405-1,"")</f>
        <v/>
      </c>
      <c r="G407" s="148" t="str">
        <f ca="1">IFERROR(Prices!G406/Prices!G405-1,"")</f>
        <v/>
      </c>
      <c r="H407" s="148" t="str">
        <f ca="1">IFERROR(Prices!H406/Prices!H405-1,"")</f>
        <v/>
      </c>
      <c r="I407" s="149" t="str">
        <f ca="1">IFERROR(Prices!I406/Prices!I405-1,"")</f>
        <v/>
      </c>
      <c r="J407" s="150">
        <f t="shared" ca="1" si="8"/>
        <v>0</v>
      </c>
      <c r="K407" s="112"/>
      <c r="L407" s="112"/>
      <c r="M407" s="112"/>
    </row>
    <row r="408" spans="1:13" x14ac:dyDescent="0.3">
      <c r="A408" s="147" t="str">
        <f ca="1">Prices!$A$407</f>
        <v/>
      </c>
      <c r="B408" s="148" t="str">
        <f ca="1">IFERROR(Prices!B407/Prices!B406-1,"")</f>
        <v/>
      </c>
      <c r="C408" s="148" t="str">
        <f ca="1">IFERROR(Prices!C407/Prices!C406-1,"")</f>
        <v/>
      </c>
      <c r="D408" s="148" t="str">
        <f ca="1">IFERROR(Prices!D407/Prices!D406-1,"")</f>
        <v/>
      </c>
      <c r="E408" s="148" t="str">
        <f ca="1">IFERROR(Prices!E407/Prices!E406-1,"")</f>
        <v/>
      </c>
      <c r="F408" s="148" t="str">
        <f ca="1">IFERROR(Prices!F407/Prices!F406-1,"")</f>
        <v/>
      </c>
      <c r="G408" s="148" t="str">
        <f ca="1">IFERROR(Prices!G407/Prices!G406-1,"")</f>
        <v/>
      </c>
      <c r="H408" s="148" t="str">
        <f ca="1">IFERROR(Prices!H407/Prices!H406-1,"")</f>
        <v/>
      </c>
      <c r="I408" s="149" t="str">
        <f ca="1">IFERROR(Prices!I407/Prices!I406-1,"")</f>
        <v/>
      </c>
      <c r="J408" s="150">
        <f t="shared" ca="1" si="8"/>
        <v>0</v>
      </c>
      <c r="K408" s="112"/>
      <c r="L408" s="112"/>
      <c r="M408" s="112"/>
    </row>
    <row r="409" spans="1:13" x14ac:dyDescent="0.3">
      <c r="A409" s="147" t="str">
        <f ca="1">Prices!$A$408</f>
        <v/>
      </c>
      <c r="B409" s="148" t="str">
        <f ca="1">IFERROR(Prices!B408/Prices!B407-1,"")</f>
        <v/>
      </c>
      <c r="C409" s="148" t="str">
        <f ca="1">IFERROR(Prices!C408/Prices!C407-1,"")</f>
        <v/>
      </c>
      <c r="D409" s="148" t="str">
        <f ca="1">IFERROR(Prices!D408/Prices!D407-1,"")</f>
        <v/>
      </c>
      <c r="E409" s="148" t="str">
        <f ca="1">IFERROR(Prices!E408/Prices!E407-1,"")</f>
        <v/>
      </c>
      <c r="F409" s="148" t="str">
        <f ca="1">IFERROR(Prices!F408/Prices!F407-1,"")</f>
        <v/>
      </c>
      <c r="G409" s="148" t="str">
        <f ca="1">IFERROR(Prices!G408/Prices!G407-1,"")</f>
        <v/>
      </c>
      <c r="H409" s="148" t="str">
        <f ca="1">IFERROR(Prices!H408/Prices!H407-1,"")</f>
        <v/>
      </c>
      <c r="I409" s="149" t="str">
        <f ca="1">IFERROR(Prices!I408/Prices!I407-1,"")</f>
        <v/>
      </c>
      <c r="J409" s="150">
        <f t="shared" ca="1" si="8"/>
        <v>0</v>
      </c>
      <c r="K409" s="112"/>
      <c r="L409" s="112"/>
      <c r="M409" s="112"/>
    </row>
    <row r="410" spans="1:13" x14ac:dyDescent="0.3">
      <c r="A410" s="147" t="str">
        <f ca="1">Prices!$A$409</f>
        <v/>
      </c>
      <c r="B410" s="148" t="str">
        <f ca="1">IFERROR(Prices!B409/Prices!B408-1,"")</f>
        <v/>
      </c>
      <c r="C410" s="148" t="str">
        <f ca="1">IFERROR(Prices!C409/Prices!C408-1,"")</f>
        <v/>
      </c>
      <c r="D410" s="148" t="str">
        <f ca="1">IFERROR(Prices!D409/Prices!D408-1,"")</f>
        <v/>
      </c>
      <c r="E410" s="148" t="str">
        <f ca="1">IFERROR(Prices!E409/Prices!E408-1,"")</f>
        <v/>
      </c>
      <c r="F410" s="148" t="str">
        <f ca="1">IFERROR(Prices!F409/Prices!F408-1,"")</f>
        <v/>
      </c>
      <c r="G410" s="148" t="str">
        <f ca="1">IFERROR(Prices!G409/Prices!G408-1,"")</f>
        <v/>
      </c>
      <c r="H410" s="148" t="str">
        <f ca="1">IFERROR(Prices!H409/Prices!H408-1,"")</f>
        <v/>
      </c>
      <c r="I410" s="149" t="str">
        <f ca="1">IFERROR(Prices!I409/Prices!I408-1,"")</f>
        <v/>
      </c>
      <c r="J410" s="150">
        <f t="shared" ca="1" si="8"/>
        <v>0</v>
      </c>
      <c r="K410" s="112"/>
      <c r="L410" s="112"/>
      <c r="M410" s="112"/>
    </row>
    <row r="411" spans="1:13" x14ac:dyDescent="0.3">
      <c r="A411" s="147" t="str">
        <f ca="1">Prices!$A$410</f>
        <v/>
      </c>
      <c r="B411" s="148" t="str">
        <f ca="1">IFERROR(Prices!B410/Prices!B409-1,"")</f>
        <v/>
      </c>
      <c r="C411" s="148" t="str">
        <f ca="1">IFERROR(Prices!C410/Prices!C409-1,"")</f>
        <v/>
      </c>
      <c r="D411" s="148" t="str">
        <f ca="1">IFERROR(Prices!D410/Prices!D409-1,"")</f>
        <v/>
      </c>
      <c r="E411" s="148" t="str">
        <f ca="1">IFERROR(Prices!E410/Prices!E409-1,"")</f>
        <v/>
      </c>
      <c r="F411" s="148" t="str">
        <f ca="1">IFERROR(Prices!F410/Prices!F409-1,"")</f>
        <v/>
      </c>
      <c r="G411" s="148" t="str">
        <f ca="1">IFERROR(Prices!G410/Prices!G409-1,"")</f>
        <v/>
      </c>
      <c r="H411" s="148" t="str">
        <f ca="1">IFERROR(Prices!H410/Prices!H409-1,"")</f>
        <v/>
      </c>
      <c r="I411" s="149" t="str">
        <f ca="1">IFERROR(Prices!I410/Prices!I409-1,"")</f>
        <v/>
      </c>
      <c r="J411" s="150">
        <f t="shared" ca="1" si="8"/>
        <v>0</v>
      </c>
      <c r="K411" s="112"/>
      <c r="L411" s="112"/>
      <c r="M411" s="112"/>
    </row>
    <row r="412" spans="1:13" x14ac:dyDescent="0.3">
      <c r="A412" s="147" t="str">
        <f ca="1">Prices!$A$411</f>
        <v/>
      </c>
      <c r="B412" s="148" t="str">
        <f ca="1">IFERROR(Prices!B411/Prices!B410-1,"")</f>
        <v/>
      </c>
      <c r="C412" s="148" t="str">
        <f ca="1">IFERROR(Prices!C411/Prices!C410-1,"")</f>
        <v/>
      </c>
      <c r="D412" s="148" t="str">
        <f ca="1">IFERROR(Prices!D411/Prices!D410-1,"")</f>
        <v/>
      </c>
      <c r="E412" s="148" t="str">
        <f ca="1">IFERROR(Prices!E411/Prices!E410-1,"")</f>
        <v/>
      </c>
      <c r="F412" s="148" t="str">
        <f ca="1">IFERROR(Prices!F411/Prices!F410-1,"")</f>
        <v/>
      </c>
      <c r="G412" s="148" t="str">
        <f ca="1">IFERROR(Prices!G411/Prices!G410-1,"")</f>
        <v/>
      </c>
      <c r="H412" s="148" t="str">
        <f ca="1">IFERROR(Prices!H411/Prices!H410-1,"")</f>
        <v/>
      </c>
      <c r="I412" s="149" t="str">
        <f ca="1">IFERROR(Prices!I411/Prices!I410-1,"")</f>
        <v/>
      </c>
      <c r="J412" s="150">
        <f t="shared" ca="1" si="8"/>
        <v>0</v>
      </c>
      <c r="K412" s="112"/>
      <c r="L412" s="112"/>
      <c r="M412" s="112"/>
    </row>
    <row r="413" spans="1:13" x14ac:dyDescent="0.3">
      <c r="A413" s="147" t="str">
        <f ca="1">Prices!$A$412</f>
        <v/>
      </c>
      <c r="B413" s="148" t="str">
        <f ca="1">IFERROR(Prices!B412/Prices!B411-1,"")</f>
        <v/>
      </c>
      <c r="C413" s="148" t="str">
        <f ca="1">IFERROR(Prices!C412/Prices!C411-1,"")</f>
        <v/>
      </c>
      <c r="D413" s="148" t="str">
        <f ca="1">IFERROR(Prices!D412/Prices!D411-1,"")</f>
        <v/>
      </c>
      <c r="E413" s="148" t="str">
        <f ca="1">IFERROR(Prices!E412/Prices!E411-1,"")</f>
        <v/>
      </c>
      <c r="F413" s="148" t="str">
        <f ca="1">IFERROR(Prices!F412/Prices!F411-1,"")</f>
        <v/>
      </c>
      <c r="G413" s="148" t="str">
        <f ca="1">IFERROR(Prices!G412/Prices!G411-1,"")</f>
        <v/>
      </c>
      <c r="H413" s="148" t="str">
        <f ca="1">IFERROR(Prices!H412/Prices!H411-1,"")</f>
        <v/>
      </c>
      <c r="I413" s="149" t="str">
        <f ca="1">IFERROR(Prices!I412/Prices!I411-1,"")</f>
        <v/>
      </c>
      <c r="J413" s="150">
        <f t="shared" ca="1" si="8"/>
        <v>0</v>
      </c>
      <c r="K413" s="112"/>
      <c r="L413" s="112"/>
      <c r="M413" s="112"/>
    </row>
    <row r="414" spans="1:13" x14ac:dyDescent="0.3">
      <c r="A414" s="147" t="str">
        <f ca="1">Prices!$A$413</f>
        <v/>
      </c>
      <c r="B414" s="148" t="str">
        <f ca="1">IFERROR(Prices!B413/Prices!B412-1,"")</f>
        <v/>
      </c>
      <c r="C414" s="148" t="str">
        <f ca="1">IFERROR(Prices!C413/Prices!C412-1,"")</f>
        <v/>
      </c>
      <c r="D414" s="148" t="str">
        <f ca="1">IFERROR(Prices!D413/Prices!D412-1,"")</f>
        <v/>
      </c>
      <c r="E414" s="148" t="str">
        <f ca="1">IFERROR(Prices!E413/Prices!E412-1,"")</f>
        <v/>
      </c>
      <c r="F414" s="148" t="str">
        <f ca="1">IFERROR(Prices!F413/Prices!F412-1,"")</f>
        <v/>
      </c>
      <c r="G414" s="148" t="str">
        <f ca="1">IFERROR(Prices!G413/Prices!G412-1,"")</f>
        <v/>
      </c>
      <c r="H414" s="148" t="str">
        <f ca="1">IFERROR(Prices!H413/Prices!H412-1,"")</f>
        <v/>
      </c>
      <c r="I414" s="149" t="str">
        <f ca="1">IFERROR(Prices!I413/Prices!I412-1,"")</f>
        <v/>
      </c>
      <c r="J414" s="150">
        <f t="shared" ca="1" si="8"/>
        <v>0</v>
      </c>
      <c r="K414" s="112"/>
      <c r="L414" s="112"/>
      <c r="M414" s="112"/>
    </row>
    <row r="415" spans="1:13" x14ac:dyDescent="0.3">
      <c r="A415" s="147" t="str">
        <f ca="1">Prices!$A$414</f>
        <v/>
      </c>
      <c r="B415" s="148" t="str">
        <f ca="1">IFERROR(Prices!B414/Prices!B413-1,"")</f>
        <v/>
      </c>
      <c r="C415" s="148" t="str">
        <f ca="1">IFERROR(Prices!C414/Prices!C413-1,"")</f>
        <v/>
      </c>
      <c r="D415" s="148" t="str">
        <f ca="1">IFERROR(Prices!D414/Prices!D413-1,"")</f>
        <v/>
      </c>
      <c r="E415" s="148" t="str">
        <f ca="1">IFERROR(Prices!E414/Prices!E413-1,"")</f>
        <v/>
      </c>
      <c r="F415" s="148" t="str">
        <f ca="1">IFERROR(Prices!F414/Prices!F413-1,"")</f>
        <v/>
      </c>
      <c r="G415" s="148" t="str">
        <f ca="1">IFERROR(Prices!G414/Prices!G413-1,"")</f>
        <v/>
      </c>
      <c r="H415" s="148" t="str">
        <f ca="1">IFERROR(Prices!H414/Prices!H413-1,"")</f>
        <v/>
      </c>
      <c r="I415" s="149" t="str">
        <f ca="1">IFERROR(Prices!I414/Prices!I413-1,"")</f>
        <v/>
      </c>
      <c r="J415" s="150">
        <f t="shared" ca="1" si="8"/>
        <v>0</v>
      </c>
      <c r="K415" s="112"/>
      <c r="L415" s="112"/>
      <c r="M415" s="112"/>
    </row>
    <row r="416" spans="1:13" x14ac:dyDescent="0.3">
      <c r="A416" s="147" t="str">
        <f ca="1">Prices!$A$415</f>
        <v/>
      </c>
      <c r="B416" s="148" t="str">
        <f ca="1">IFERROR(Prices!B415/Prices!B414-1,"")</f>
        <v/>
      </c>
      <c r="C416" s="148" t="str">
        <f ca="1">IFERROR(Prices!C415/Prices!C414-1,"")</f>
        <v/>
      </c>
      <c r="D416" s="148" t="str">
        <f ca="1">IFERROR(Prices!D415/Prices!D414-1,"")</f>
        <v/>
      </c>
      <c r="E416" s="148" t="str">
        <f ca="1">IFERROR(Prices!E415/Prices!E414-1,"")</f>
        <v/>
      </c>
      <c r="F416" s="148" t="str">
        <f ca="1">IFERROR(Prices!F415/Prices!F414-1,"")</f>
        <v/>
      </c>
      <c r="G416" s="148" t="str">
        <f ca="1">IFERROR(Prices!G415/Prices!G414-1,"")</f>
        <v/>
      </c>
      <c r="H416" s="148" t="str">
        <f ca="1">IFERROR(Prices!H415/Prices!H414-1,"")</f>
        <v/>
      </c>
      <c r="I416" s="149" t="str">
        <f ca="1">IFERROR(Prices!I415/Prices!I414-1,"")</f>
        <v/>
      </c>
      <c r="J416" s="150">
        <f t="shared" ca="1" si="8"/>
        <v>0</v>
      </c>
      <c r="K416" s="112"/>
      <c r="L416" s="112"/>
      <c r="M416" s="112"/>
    </row>
    <row r="417" spans="1:13" x14ac:dyDescent="0.3">
      <c r="A417" s="147" t="str">
        <f ca="1">Prices!$A$416</f>
        <v/>
      </c>
      <c r="B417" s="148" t="str">
        <f ca="1">IFERROR(Prices!B416/Prices!B415-1,"")</f>
        <v/>
      </c>
      <c r="C417" s="148" t="str">
        <f ca="1">IFERROR(Prices!C416/Prices!C415-1,"")</f>
        <v/>
      </c>
      <c r="D417" s="148" t="str">
        <f ca="1">IFERROR(Prices!D416/Prices!D415-1,"")</f>
        <v/>
      </c>
      <c r="E417" s="148" t="str">
        <f ca="1">IFERROR(Prices!E416/Prices!E415-1,"")</f>
        <v/>
      </c>
      <c r="F417" s="148" t="str">
        <f ca="1">IFERROR(Prices!F416/Prices!F415-1,"")</f>
        <v/>
      </c>
      <c r="G417" s="148" t="str">
        <f ca="1">IFERROR(Prices!G416/Prices!G415-1,"")</f>
        <v/>
      </c>
      <c r="H417" s="148" t="str">
        <f ca="1">IFERROR(Prices!H416/Prices!H415-1,"")</f>
        <v/>
      </c>
      <c r="I417" s="149" t="str">
        <f ca="1">IFERROR(Prices!I416/Prices!I415-1,"")</f>
        <v/>
      </c>
      <c r="J417" s="150">
        <f t="shared" ca="1" si="8"/>
        <v>0</v>
      </c>
      <c r="K417" s="112"/>
      <c r="L417" s="112"/>
      <c r="M417" s="112"/>
    </row>
    <row r="418" spans="1:13" x14ac:dyDescent="0.3">
      <c r="A418" s="147" t="str">
        <f ca="1">Prices!$A$417</f>
        <v/>
      </c>
      <c r="B418" s="148" t="str">
        <f ca="1">IFERROR(Prices!B417/Prices!B416-1,"")</f>
        <v/>
      </c>
      <c r="C418" s="148" t="str">
        <f ca="1">IFERROR(Prices!C417/Prices!C416-1,"")</f>
        <v/>
      </c>
      <c r="D418" s="148" t="str">
        <f ca="1">IFERROR(Prices!D417/Prices!D416-1,"")</f>
        <v/>
      </c>
      <c r="E418" s="148" t="str">
        <f ca="1">IFERROR(Prices!E417/Prices!E416-1,"")</f>
        <v/>
      </c>
      <c r="F418" s="148" t="str">
        <f ca="1">IFERROR(Prices!F417/Prices!F416-1,"")</f>
        <v/>
      </c>
      <c r="G418" s="148" t="str">
        <f ca="1">IFERROR(Prices!G417/Prices!G416-1,"")</f>
        <v/>
      </c>
      <c r="H418" s="148" t="str">
        <f ca="1">IFERROR(Prices!H417/Prices!H416-1,"")</f>
        <v/>
      </c>
      <c r="I418" s="149" t="str">
        <f ca="1">IFERROR(Prices!I417/Prices!I416-1,"")</f>
        <v/>
      </c>
      <c r="J418" s="150">
        <f t="shared" ca="1" si="8"/>
        <v>0</v>
      </c>
      <c r="K418" s="112"/>
      <c r="L418" s="112"/>
      <c r="M418" s="112"/>
    </row>
    <row r="419" spans="1:13" x14ac:dyDescent="0.3">
      <c r="A419" s="147" t="str">
        <f ca="1">Prices!$A$418</f>
        <v/>
      </c>
      <c r="B419" s="148" t="str">
        <f ca="1">IFERROR(Prices!B418/Prices!B417-1,"")</f>
        <v/>
      </c>
      <c r="C419" s="148" t="str">
        <f ca="1">IFERROR(Prices!C418/Prices!C417-1,"")</f>
        <v/>
      </c>
      <c r="D419" s="148" t="str">
        <f ca="1">IFERROR(Prices!D418/Prices!D417-1,"")</f>
        <v/>
      </c>
      <c r="E419" s="148" t="str">
        <f ca="1">IFERROR(Prices!E418/Prices!E417-1,"")</f>
        <v/>
      </c>
      <c r="F419" s="148" t="str">
        <f ca="1">IFERROR(Prices!F418/Prices!F417-1,"")</f>
        <v/>
      </c>
      <c r="G419" s="148" t="str">
        <f ca="1">IFERROR(Prices!G418/Prices!G417-1,"")</f>
        <v/>
      </c>
      <c r="H419" s="148" t="str">
        <f ca="1">IFERROR(Prices!H418/Prices!H417-1,"")</f>
        <v/>
      </c>
      <c r="I419" s="149" t="str">
        <f ca="1">IFERROR(Prices!I418/Prices!I417-1,"")</f>
        <v/>
      </c>
      <c r="J419" s="150">
        <f t="shared" ca="1" si="8"/>
        <v>0</v>
      </c>
      <c r="K419" s="112"/>
      <c r="L419" s="112"/>
      <c r="M419" s="112"/>
    </row>
    <row r="420" spans="1:13" x14ac:dyDescent="0.3">
      <c r="A420" s="147" t="str">
        <f ca="1">Prices!$A$419</f>
        <v/>
      </c>
      <c r="B420" s="148" t="str">
        <f ca="1">IFERROR(Prices!B419/Prices!B418-1,"")</f>
        <v/>
      </c>
      <c r="C420" s="148" t="str">
        <f ca="1">IFERROR(Prices!C419/Prices!C418-1,"")</f>
        <v/>
      </c>
      <c r="D420" s="148" t="str">
        <f ca="1">IFERROR(Prices!D419/Prices!D418-1,"")</f>
        <v/>
      </c>
      <c r="E420" s="148" t="str">
        <f ca="1">IFERROR(Prices!E419/Prices!E418-1,"")</f>
        <v/>
      </c>
      <c r="F420" s="148" t="str">
        <f ca="1">IFERROR(Prices!F419/Prices!F418-1,"")</f>
        <v/>
      </c>
      <c r="G420" s="148" t="str">
        <f ca="1">IFERROR(Prices!G419/Prices!G418-1,"")</f>
        <v/>
      </c>
      <c r="H420" s="148" t="str">
        <f ca="1">IFERROR(Prices!H419/Prices!H418-1,"")</f>
        <v/>
      </c>
      <c r="I420" s="149" t="str">
        <f ca="1">IFERROR(Prices!I419/Prices!I418-1,"")</f>
        <v/>
      </c>
      <c r="J420" s="150">
        <f t="shared" ca="1" si="8"/>
        <v>0</v>
      </c>
      <c r="K420" s="112"/>
      <c r="L420" s="112"/>
      <c r="M420" s="112"/>
    </row>
    <row r="421" spans="1:13" x14ac:dyDescent="0.3">
      <c r="A421" s="147" t="str">
        <f ca="1">Prices!$A$420</f>
        <v/>
      </c>
      <c r="B421" s="148" t="str">
        <f ca="1">IFERROR(Prices!B420/Prices!B419-1,"")</f>
        <v/>
      </c>
      <c r="C421" s="148" t="str">
        <f ca="1">IFERROR(Prices!C420/Prices!C419-1,"")</f>
        <v/>
      </c>
      <c r="D421" s="148" t="str">
        <f ca="1">IFERROR(Prices!D420/Prices!D419-1,"")</f>
        <v/>
      </c>
      <c r="E421" s="148" t="str">
        <f ca="1">IFERROR(Prices!E420/Prices!E419-1,"")</f>
        <v/>
      </c>
      <c r="F421" s="148" t="str">
        <f ca="1">IFERROR(Prices!F420/Prices!F419-1,"")</f>
        <v/>
      </c>
      <c r="G421" s="148" t="str">
        <f ca="1">IFERROR(Prices!G420/Prices!G419-1,"")</f>
        <v/>
      </c>
      <c r="H421" s="148" t="str">
        <f ca="1">IFERROR(Prices!H420/Prices!H419-1,"")</f>
        <v/>
      </c>
      <c r="I421" s="149" t="str">
        <f ca="1">IFERROR(Prices!I420/Prices!I419-1,"")</f>
        <v/>
      </c>
      <c r="J421" s="150">
        <f t="shared" ca="1" si="8"/>
        <v>0</v>
      </c>
      <c r="K421" s="112"/>
      <c r="L421" s="112"/>
      <c r="M421" s="112"/>
    </row>
    <row r="422" spans="1:13" x14ac:dyDescent="0.3">
      <c r="A422" s="147" t="str">
        <f ca="1">Prices!$A$421</f>
        <v/>
      </c>
      <c r="B422" s="148" t="str">
        <f ca="1">IFERROR(Prices!B421/Prices!B420-1,"")</f>
        <v/>
      </c>
      <c r="C422" s="148" t="str">
        <f ca="1">IFERROR(Prices!C421/Prices!C420-1,"")</f>
        <v/>
      </c>
      <c r="D422" s="148" t="str">
        <f ca="1">IFERROR(Prices!D421/Prices!D420-1,"")</f>
        <v/>
      </c>
      <c r="E422" s="148" t="str">
        <f ca="1">IFERROR(Prices!E421/Prices!E420-1,"")</f>
        <v/>
      </c>
      <c r="F422" s="148" t="str">
        <f ca="1">IFERROR(Prices!F421/Prices!F420-1,"")</f>
        <v/>
      </c>
      <c r="G422" s="148" t="str">
        <f ca="1">IFERROR(Prices!G421/Prices!G420-1,"")</f>
        <v/>
      </c>
      <c r="H422" s="148" t="str">
        <f ca="1">IFERROR(Prices!H421/Prices!H420-1,"")</f>
        <v/>
      </c>
      <c r="I422" s="149" t="str">
        <f ca="1">IFERROR(Prices!I421/Prices!I420-1,"")</f>
        <v/>
      </c>
      <c r="J422" s="150">
        <f t="shared" ca="1" si="8"/>
        <v>0</v>
      </c>
      <c r="K422" s="112"/>
      <c r="L422" s="112"/>
      <c r="M422" s="112"/>
    </row>
    <row r="423" spans="1:13" x14ac:dyDescent="0.3">
      <c r="A423" s="147" t="str">
        <f ca="1">Prices!$A$422</f>
        <v/>
      </c>
      <c r="B423" s="148" t="str">
        <f ca="1">IFERROR(Prices!B422/Prices!B421-1,"")</f>
        <v/>
      </c>
      <c r="C423" s="148" t="str">
        <f ca="1">IFERROR(Prices!C422/Prices!C421-1,"")</f>
        <v/>
      </c>
      <c r="D423" s="148" t="str">
        <f ca="1">IFERROR(Prices!D422/Prices!D421-1,"")</f>
        <v/>
      </c>
      <c r="E423" s="148" t="str">
        <f ca="1">IFERROR(Prices!E422/Prices!E421-1,"")</f>
        <v/>
      </c>
      <c r="F423" s="148" t="str">
        <f ca="1">IFERROR(Prices!F422/Prices!F421-1,"")</f>
        <v/>
      </c>
      <c r="G423" s="148" t="str">
        <f ca="1">IFERROR(Prices!G422/Prices!G421-1,"")</f>
        <v/>
      </c>
      <c r="H423" s="148" t="str">
        <f ca="1">IFERROR(Prices!H422/Prices!H421-1,"")</f>
        <v/>
      </c>
      <c r="I423" s="149" t="str">
        <f ca="1">IFERROR(Prices!I422/Prices!I421-1,"")</f>
        <v/>
      </c>
      <c r="J423" s="150">
        <f t="shared" ca="1" si="8"/>
        <v>0</v>
      </c>
      <c r="K423" s="112"/>
      <c r="L423" s="112"/>
      <c r="M423" s="112"/>
    </row>
    <row r="424" spans="1:13" x14ac:dyDescent="0.3">
      <c r="A424" s="147" t="str">
        <f ca="1">Prices!$A$423</f>
        <v/>
      </c>
      <c r="B424" s="148" t="str">
        <f ca="1">IFERROR(Prices!B423/Prices!B422-1,"")</f>
        <v/>
      </c>
      <c r="C424" s="148" t="str">
        <f ca="1">IFERROR(Prices!C423/Prices!C422-1,"")</f>
        <v/>
      </c>
      <c r="D424" s="148" t="str">
        <f ca="1">IFERROR(Prices!D423/Prices!D422-1,"")</f>
        <v/>
      </c>
      <c r="E424" s="148" t="str">
        <f ca="1">IFERROR(Prices!E423/Prices!E422-1,"")</f>
        <v/>
      </c>
      <c r="F424" s="148" t="str">
        <f ca="1">IFERROR(Prices!F423/Prices!F422-1,"")</f>
        <v/>
      </c>
      <c r="G424" s="148" t="str">
        <f ca="1">IFERROR(Prices!G423/Prices!G422-1,"")</f>
        <v/>
      </c>
      <c r="H424" s="148" t="str">
        <f ca="1">IFERROR(Prices!H423/Prices!H422-1,"")</f>
        <v/>
      </c>
      <c r="I424" s="149" t="str">
        <f ca="1">IFERROR(Prices!I423/Prices!I422-1,"")</f>
        <v/>
      </c>
      <c r="J424" s="150">
        <f t="shared" ca="1" si="8"/>
        <v>0</v>
      </c>
      <c r="K424" s="112"/>
      <c r="L424" s="112"/>
      <c r="M424" s="112"/>
    </row>
    <row r="425" spans="1:13" x14ac:dyDescent="0.3">
      <c r="A425" s="147" t="str">
        <f ca="1">Prices!$A$424</f>
        <v/>
      </c>
      <c r="B425" s="148" t="str">
        <f ca="1">IFERROR(Prices!B424/Prices!B423-1,"")</f>
        <v/>
      </c>
      <c r="C425" s="148" t="str">
        <f ca="1">IFERROR(Prices!C424/Prices!C423-1,"")</f>
        <v/>
      </c>
      <c r="D425" s="148" t="str">
        <f ca="1">IFERROR(Prices!D424/Prices!D423-1,"")</f>
        <v/>
      </c>
      <c r="E425" s="148" t="str">
        <f ca="1">IFERROR(Prices!E424/Prices!E423-1,"")</f>
        <v/>
      </c>
      <c r="F425" s="148" t="str">
        <f ca="1">IFERROR(Prices!F424/Prices!F423-1,"")</f>
        <v/>
      </c>
      <c r="G425" s="148" t="str">
        <f ca="1">IFERROR(Prices!G424/Prices!G423-1,"")</f>
        <v/>
      </c>
      <c r="H425" s="148" t="str">
        <f ca="1">IFERROR(Prices!H424/Prices!H423-1,"")</f>
        <v/>
      </c>
      <c r="I425" s="149" t="str">
        <f ca="1">IFERROR(Prices!I424/Prices!I423-1,"")</f>
        <v/>
      </c>
      <c r="J425" s="150">
        <f t="shared" ca="1" si="8"/>
        <v>0</v>
      </c>
      <c r="K425" s="112"/>
      <c r="L425" s="112"/>
      <c r="M425" s="112"/>
    </row>
    <row r="426" spans="1:13" x14ac:dyDescent="0.3">
      <c r="A426" s="147" t="str">
        <f ca="1">Prices!$A$425</f>
        <v/>
      </c>
      <c r="B426" s="148" t="str">
        <f ca="1">IFERROR(Prices!B425/Prices!B424-1,"")</f>
        <v/>
      </c>
      <c r="C426" s="148" t="str">
        <f ca="1">IFERROR(Prices!C425/Prices!C424-1,"")</f>
        <v/>
      </c>
      <c r="D426" s="148" t="str">
        <f ca="1">IFERROR(Prices!D425/Prices!D424-1,"")</f>
        <v/>
      </c>
      <c r="E426" s="148" t="str">
        <f ca="1">IFERROR(Prices!E425/Prices!E424-1,"")</f>
        <v/>
      </c>
      <c r="F426" s="148" t="str">
        <f ca="1">IFERROR(Prices!F425/Prices!F424-1,"")</f>
        <v/>
      </c>
      <c r="G426" s="148" t="str">
        <f ca="1">IFERROR(Prices!G425/Prices!G424-1,"")</f>
        <v/>
      </c>
      <c r="H426" s="148" t="str">
        <f ca="1">IFERROR(Prices!H425/Prices!H424-1,"")</f>
        <v/>
      </c>
      <c r="I426" s="149" t="str">
        <f ca="1">IFERROR(Prices!I425/Prices!I424-1,"")</f>
        <v/>
      </c>
      <c r="J426" s="150">
        <f t="shared" ca="1" si="8"/>
        <v>0</v>
      </c>
      <c r="K426" s="112"/>
      <c r="L426" s="112"/>
      <c r="M426" s="112"/>
    </row>
    <row r="427" spans="1:13" x14ac:dyDescent="0.3">
      <c r="A427" s="147" t="str">
        <f ca="1">Prices!$A$426</f>
        <v/>
      </c>
      <c r="B427" s="148" t="str">
        <f ca="1">IFERROR(Prices!B426/Prices!B425-1,"")</f>
        <v/>
      </c>
      <c r="C427" s="148" t="str">
        <f ca="1">IFERROR(Prices!C426/Prices!C425-1,"")</f>
        <v/>
      </c>
      <c r="D427" s="148" t="str">
        <f ca="1">IFERROR(Prices!D426/Prices!D425-1,"")</f>
        <v/>
      </c>
      <c r="E427" s="148" t="str">
        <f ca="1">IFERROR(Prices!E426/Prices!E425-1,"")</f>
        <v/>
      </c>
      <c r="F427" s="148" t="str">
        <f ca="1">IFERROR(Prices!F426/Prices!F425-1,"")</f>
        <v/>
      </c>
      <c r="G427" s="148" t="str">
        <f ca="1">IFERROR(Prices!G426/Prices!G425-1,"")</f>
        <v/>
      </c>
      <c r="H427" s="148" t="str">
        <f ca="1">IFERROR(Prices!H426/Prices!H425-1,"")</f>
        <v/>
      </c>
      <c r="I427" s="149" t="str">
        <f ca="1">IFERROR(Prices!I426/Prices!I425-1,"")</f>
        <v/>
      </c>
      <c r="J427" s="150">
        <f t="shared" ca="1" si="8"/>
        <v>0</v>
      </c>
      <c r="K427" s="112"/>
      <c r="L427" s="112"/>
      <c r="M427" s="112"/>
    </row>
    <row r="428" spans="1:13" x14ac:dyDescent="0.3">
      <c r="A428" s="147" t="str">
        <f ca="1">Prices!$A$427</f>
        <v/>
      </c>
      <c r="B428" s="148" t="str">
        <f ca="1">IFERROR(Prices!B427/Prices!B426-1,"")</f>
        <v/>
      </c>
      <c r="C428" s="148" t="str">
        <f ca="1">IFERROR(Prices!C427/Prices!C426-1,"")</f>
        <v/>
      </c>
      <c r="D428" s="148" t="str">
        <f ca="1">IFERROR(Prices!D427/Prices!D426-1,"")</f>
        <v/>
      </c>
      <c r="E428" s="148" t="str">
        <f ca="1">IFERROR(Prices!E427/Prices!E426-1,"")</f>
        <v/>
      </c>
      <c r="F428" s="148" t="str">
        <f ca="1">IFERROR(Prices!F427/Prices!F426-1,"")</f>
        <v/>
      </c>
      <c r="G428" s="148" t="str">
        <f ca="1">IFERROR(Prices!G427/Prices!G426-1,"")</f>
        <v/>
      </c>
      <c r="H428" s="148" t="str">
        <f ca="1">IFERROR(Prices!H427/Prices!H426-1,"")</f>
        <v/>
      </c>
      <c r="I428" s="149" t="str">
        <f ca="1">IFERROR(Prices!I427/Prices!I426-1,"")</f>
        <v/>
      </c>
      <c r="J428" s="150">
        <f t="shared" ca="1" si="8"/>
        <v>0</v>
      </c>
      <c r="K428" s="112"/>
      <c r="L428" s="112"/>
      <c r="M428" s="112"/>
    </row>
    <row r="429" spans="1:13" x14ac:dyDescent="0.3">
      <c r="A429" s="147" t="str">
        <f ca="1">Prices!$A$428</f>
        <v/>
      </c>
      <c r="B429" s="148" t="str">
        <f ca="1">IFERROR(Prices!B428/Prices!B427-1,"")</f>
        <v/>
      </c>
      <c r="C429" s="148" t="str">
        <f ca="1">IFERROR(Prices!C428/Prices!C427-1,"")</f>
        <v/>
      </c>
      <c r="D429" s="148" t="str">
        <f ca="1">IFERROR(Prices!D428/Prices!D427-1,"")</f>
        <v/>
      </c>
      <c r="E429" s="148" t="str">
        <f ca="1">IFERROR(Prices!E428/Prices!E427-1,"")</f>
        <v/>
      </c>
      <c r="F429" s="148" t="str">
        <f ca="1">IFERROR(Prices!F428/Prices!F427-1,"")</f>
        <v/>
      </c>
      <c r="G429" s="148" t="str">
        <f ca="1">IFERROR(Prices!G428/Prices!G427-1,"")</f>
        <v/>
      </c>
      <c r="H429" s="148" t="str">
        <f ca="1">IFERROR(Prices!H428/Prices!H427-1,"")</f>
        <v/>
      </c>
      <c r="I429" s="149" t="str">
        <f ca="1">IFERROR(Prices!I428/Prices!I427-1,"")</f>
        <v/>
      </c>
      <c r="J429" s="150">
        <f t="shared" ca="1" si="8"/>
        <v>0</v>
      </c>
      <c r="K429" s="112"/>
      <c r="L429" s="112"/>
      <c r="M429" s="112"/>
    </row>
    <row r="430" spans="1:13" x14ac:dyDescent="0.3">
      <c r="A430" s="147" t="str">
        <f ca="1">Prices!$A$429</f>
        <v/>
      </c>
      <c r="B430" s="148" t="str">
        <f ca="1">IFERROR(Prices!B429/Prices!B428-1,"")</f>
        <v/>
      </c>
      <c r="C430" s="148" t="str">
        <f ca="1">IFERROR(Prices!C429/Prices!C428-1,"")</f>
        <v/>
      </c>
      <c r="D430" s="148" t="str">
        <f ca="1">IFERROR(Prices!D429/Prices!D428-1,"")</f>
        <v/>
      </c>
      <c r="E430" s="148" t="str">
        <f ca="1">IFERROR(Prices!E429/Prices!E428-1,"")</f>
        <v/>
      </c>
      <c r="F430" s="148" t="str">
        <f ca="1">IFERROR(Prices!F429/Prices!F428-1,"")</f>
        <v/>
      </c>
      <c r="G430" s="148" t="str">
        <f ca="1">IFERROR(Prices!G429/Prices!G428-1,"")</f>
        <v/>
      </c>
      <c r="H430" s="148" t="str">
        <f ca="1">IFERROR(Prices!H429/Prices!H428-1,"")</f>
        <v/>
      </c>
      <c r="I430" s="149" t="str">
        <f ca="1">IFERROR(Prices!I429/Prices!I428-1,"")</f>
        <v/>
      </c>
      <c r="J430" s="150">
        <f t="shared" ca="1" si="8"/>
        <v>0</v>
      </c>
      <c r="K430" s="112"/>
      <c r="L430" s="112"/>
      <c r="M430" s="112"/>
    </row>
    <row r="431" spans="1:13" x14ac:dyDescent="0.3">
      <c r="A431" s="147" t="str">
        <f ca="1">Prices!$A$430</f>
        <v/>
      </c>
      <c r="B431" s="148" t="str">
        <f ca="1">IFERROR(Prices!B430/Prices!B429-1,"")</f>
        <v/>
      </c>
      <c r="C431" s="148" t="str">
        <f ca="1">IFERROR(Prices!C430/Prices!C429-1,"")</f>
        <v/>
      </c>
      <c r="D431" s="148" t="str">
        <f ca="1">IFERROR(Prices!D430/Prices!D429-1,"")</f>
        <v/>
      </c>
      <c r="E431" s="148" t="str">
        <f ca="1">IFERROR(Prices!E430/Prices!E429-1,"")</f>
        <v/>
      </c>
      <c r="F431" s="148" t="str">
        <f ca="1">IFERROR(Prices!F430/Prices!F429-1,"")</f>
        <v/>
      </c>
      <c r="G431" s="148" t="str">
        <f ca="1">IFERROR(Prices!G430/Prices!G429-1,"")</f>
        <v/>
      </c>
      <c r="H431" s="148" t="str">
        <f ca="1">IFERROR(Prices!H430/Prices!H429-1,"")</f>
        <v/>
      </c>
      <c r="I431" s="149" t="str">
        <f ca="1">IFERROR(Prices!I430/Prices!I429-1,"")</f>
        <v/>
      </c>
      <c r="J431" s="150">
        <f t="shared" ca="1" si="8"/>
        <v>0</v>
      </c>
      <c r="K431" s="112"/>
      <c r="L431" s="112"/>
      <c r="M431" s="112"/>
    </row>
    <row r="432" spans="1:13" x14ac:dyDescent="0.3">
      <c r="A432" s="147" t="str">
        <f ca="1">Prices!$A$431</f>
        <v/>
      </c>
      <c r="B432" s="148" t="str">
        <f ca="1">IFERROR(Prices!B431/Prices!B430-1,"")</f>
        <v/>
      </c>
      <c r="C432" s="148" t="str">
        <f ca="1">IFERROR(Prices!C431/Prices!C430-1,"")</f>
        <v/>
      </c>
      <c r="D432" s="148" t="str">
        <f ca="1">IFERROR(Prices!D431/Prices!D430-1,"")</f>
        <v/>
      </c>
      <c r="E432" s="148" t="str">
        <f ca="1">IFERROR(Prices!E431/Prices!E430-1,"")</f>
        <v/>
      </c>
      <c r="F432" s="148" t="str">
        <f ca="1">IFERROR(Prices!F431/Prices!F430-1,"")</f>
        <v/>
      </c>
      <c r="G432" s="148" t="str">
        <f ca="1">IFERROR(Prices!G431/Prices!G430-1,"")</f>
        <v/>
      </c>
      <c r="H432" s="148" t="str">
        <f ca="1">IFERROR(Prices!H431/Prices!H430-1,"")</f>
        <v/>
      </c>
      <c r="I432" s="149" t="str">
        <f ca="1">IFERROR(Prices!I431/Prices!I430-1,"")</f>
        <v/>
      </c>
      <c r="J432" s="150">
        <f t="shared" ca="1" si="8"/>
        <v>0</v>
      </c>
      <c r="K432" s="112"/>
      <c r="L432" s="112"/>
      <c r="M432" s="112"/>
    </row>
    <row r="433" spans="1:13" x14ac:dyDescent="0.3">
      <c r="A433" s="147" t="str">
        <f ca="1">Prices!$A$432</f>
        <v/>
      </c>
      <c r="B433" s="148" t="str">
        <f ca="1">IFERROR(Prices!B432/Prices!B431-1,"")</f>
        <v/>
      </c>
      <c r="C433" s="148" t="str">
        <f ca="1">IFERROR(Prices!C432/Prices!C431-1,"")</f>
        <v/>
      </c>
      <c r="D433" s="148" t="str">
        <f ca="1">IFERROR(Prices!D432/Prices!D431-1,"")</f>
        <v/>
      </c>
      <c r="E433" s="148" t="str">
        <f ca="1">IFERROR(Prices!E432/Prices!E431-1,"")</f>
        <v/>
      </c>
      <c r="F433" s="148" t="str">
        <f ca="1">IFERROR(Prices!F432/Prices!F431-1,"")</f>
        <v/>
      </c>
      <c r="G433" s="148" t="str">
        <f ca="1">IFERROR(Prices!G432/Prices!G431-1,"")</f>
        <v/>
      </c>
      <c r="H433" s="148" t="str">
        <f ca="1">IFERROR(Prices!H432/Prices!H431-1,"")</f>
        <v/>
      </c>
      <c r="I433" s="149" t="str">
        <f ca="1">IFERROR(Prices!I432/Prices!I431-1,"")</f>
        <v/>
      </c>
      <c r="J433" s="150">
        <f t="shared" ca="1" si="8"/>
        <v>0</v>
      </c>
      <c r="K433" s="112"/>
      <c r="L433" s="112"/>
      <c r="M433" s="112"/>
    </row>
    <row r="434" spans="1:13" x14ac:dyDescent="0.3">
      <c r="A434" s="147" t="str">
        <f ca="1">Prices!$A$433</f>
        <v/>
      </c>
      <c r="B434" s="148" t="str">
        <f ca="1">IFERROR(Prices!B433/Prices!B432-1,"")</f>
        <v/>
      </c>
      <c r="C434" s="148" t="str">
        <f ca="1">IFERROR(Prices!C433/Prices!C432-1,"")</f>
        <v/>
      </c>
      <c r="D434" s="148" t="str">
        <f ca="1">IFERROR(Prices!D433/Prices!D432-1,"")</f>
        <v/>
      </c>
      <c r="E434" s="148" t="str">
        <f ca="1">IFERROR(Prices!E433/Prices!E432-1,"")</f>
        <v/>
      </c>
      <c r="F434" s="148" t="str">
        <f ca="1">IFERROR(Prices!F433/Prices!F432-1,"")</f>
        <v/>
      </c>
      <c r="G434" s="148" t="str">
        <f ca="1">IFERROR(Prices!G433/Prices!G432-1,"")</f>
        <v/>
      </c>
      <c r="H434" s="148" t="str">
        <f ca="1">IFERROR(Prices!H433/Prices!H432-1,"")</f>
        <v/>
      </c>
      <c r="I434" s="149" t="str">
        <f ca="1">IFERROR(Prices!I433/Prices!I432-1,"")</f>
        <v/>
      </c>
      <c r="J434" s="150">
        <f t="shared" ca="1" si="8"/>
        <v>0</v>
      </c>
      <c r="K434" s="112"/>
      <c r="L434" s="112"/>
      <c r="M434" s="112"/>
    </row>
    <row r="435" spans="1:13" x14ac:dyDescent="0.3">
      <c r="A435" s="147" t="str">
        <f ca="1">Prices!$A$434</f>
        <v/>
      </c>
      <c r="B435" s="148" t="str">
        <f ca="1">IFERROR(Prices!B434/Prices!B433-1,"")</f>
        <v/>
      </c>
      <c r="C435" s="148" t="str">
        <f ca="1">IFERROR(Prices!C434/Prices!C433-1,"")</f>
        <v/>
      </c>
      <c r="D435" s="148" t="str">
        <f ca="1">IFERROR(Prices!D434/Prices!D433-1,"")</f>
        <v/>
      </c>
      <c r="E435" s="148" t="str">
        <f ca="1">IFERROR(Prices!E434/Prices!E433-1,"")</f>
        <v/>
      </c>
      <c r="F435" s="148" t="str">
        <f ca="1">IFERROR(Prices!F434/Prices!F433-1,"")</f>
        <v/>
      </c>
      <c r="G435" s="148" t="str">
        <f ca="1">IFERROR(Prices!G434/Prices!G433-1,"")</f>
        <v/>
      </c>
      <c r="H435" s="148" t="str">
        <f ca="1">IFERROR(Prices!H434/Prices!H433-1,"")</f>
        <v/>
      </c>
      <c r="I435" s="149" t="str">
        <f ca="1">IFERROR(Prices!I434/Prices!I433-1,"")</f>
        <v/>
      </c>
      <c r="J435" s="150">
        <f t="shared" ca="1" si="8"/>
        <v>0</v>
      </c>
      <c r="K435" s="112"/>
      <c r="L435" s="112"/>
      <c r="M435" s="112"/>
    </row>
    <row r="436" spans="1:13" x14ac:dyDescent="0.3">
      <c r="A436" s="147" t="str">
        <f ca="1">Prices!$A$435</f>
        <v/>
      </c>
      <c r="B436" s="148" t="str">
        <f ca="1">IFERROR(Prices!B435/Prices!B434-1,"")</f>
        <v/>
      </c>
      <c r="C436" s="148" t="str">
        <f ca="1">IFERROR(Prices!C435/Prices!C434-1,"")</f>
        <v/>
      </c>
      <c r="D436" s="148" t="str">
        <f ca="1">IFERROR(Prices!D435/Prices!D434-1,"")</f>
        <v/>
      </c>
      <c r="E436" s="148" t="str">
        <f ca="1">IFERROR(Prices!E435/Prices!E434-1,"")</f>
        <v/>
      </c>
      <c r="F436" s="148" t="str">
        <f ca="1">IFERROR(Prices!F435/Prices!F434-1,"")</f>
        <v/>
      </c>
      <c r="G436" s="148" t="str">
        <f ca="1">IFERROR(Prices!G435/Prices!G434-1,"")</f>
        <v/>
      </c>
      <c r="H436" s="148" t="str">
        <f ca="1">IFERROR(Prices!H435/Prices!H434-1,"")</f>
        <v/>
      </c>
      <c r="I436" s="149" t="str">
        <f ca="1">IFERROR(Prices!I435/Prices!I434-1,"")</f>
        <v/>
      </c>
      <c r="J436" s="150">
        <f t="shared" ca="1" si="8"/>
        <v>0</v>
      </c>
      <c r="K436" s="112"/>
      <c r="L436" s="112"/>
      <c r="M436" s="112"/>
    </row>
    <row r="437" spans="1:13" x14ac:dyDescent="0.3">
      <c r="A437" s="147" t="str">
        <f ca="1">Prices!$A$436</f>
        <v/>
      </c>
      <c r="B437" s="148" t="str">
        <f ca="1">IFERROR(Prices!B436/Prices!B435-1,"")</f>
        <v/>
      </c>
      <c r="C437" s="148" t="str">
        <f ca="1">IFERROR(Prices!C436/Prices!C435-1,"")</f>
        <v/>
      </c>
      <c r="D437" s="148" t="str">
        <f ca="1">IFERROR(Prices!D436/Prices!D435-1,"")</f>
        <v/>
      </c>
      <c r="E437" s="148" t="str">
        <f ca="1">IFERROR(Prices!E436/Prices!E435-1,"")</f>
        <v/>
      </c>
      <c r="F437" s="148" t="str">
        <f ca="1">IFERROR(Prices!F436/Prices!F435-1,"")</f>
        <v/>
      </c>
      <c r="G437" s="148" t="str">
        <f ca="1">IFERROR(Prices!G436/Prices!G435-1,"")</f>
        <v/>
      </c>
      <c r="H437" s="148" t="str">
        <f ca="1">IFERROR(Prices!H436/Prices!H435-1,"")</f>
        <v/>
      </c>
      <c r="I437" s="149" t="str">
        <f ca="1">IFERROR(Prices!I436/Prices!I435-1,"")</f>
        <v/>
      </c>
      <c r="J437" s="150">
        <f t="shared" ca="1" si="8"/>
        <v>0</v>
      </c>
      <c r="K437" s="112"/>
      <c r="L437" s="112"/>
      <c r="M437" s="112"/>
    </row>
    <row r="438" spans="1:13" x14ac:dyDescent="0.3">
      <c r="A438" s="147" t="str">
        <f ca="1">Prices!$A$437</f>
        <v/>
      </c>
      <c r="B438" s="148" t="str">
        <f ca="1">IFERROR(Prices!B437/Prices!B436-1,"")</f>
        <v/>
      </c>
      <c r="C438" s="148" t="str">
        <f ca="1">IFERROR(Prices!C437/Prices!C436-1,"")</f>
        <v/>
      </c>
      <c r="D438" s="148" t="str">
        <f ca="1">IFERROR(Prices!D437/Prices!D436-1,"")</f>
        <v/>
      </c>
      <c r="E438" s="148" t="str">
        <f ca="1">IFERROR(Prices!E437/Prices!E436-1,"")</f>
        <v/>
      </c>
      <c r="F438" s="148" t="str">
        <f ca="1">IFERROR(Prices!F437/Prices!F436-1,"")</f>
        <v/>
      </c>
      <c r="G438" s="148" t="str">
        <f ca="1">IFERROR(Prices!G437/Prices!G436-1,"")</f>
        <v/>
      </c>
      <c r="H438" s="148" t="str">
        <f ca="1">IFERROR(Prices!H437/Prices!H436-1,"")</f>
        <v/>
      </c>
      <c r="I438" s="149" t="str">
        <f ca="1">IFERROR(Prices!I437/Prices!I436-1,"")</f>
        <v/>
      </c>
      <c r="J438" s="150">
        <f t="shared" ca="1" si="8"/>
        <v>0</v>
      </c>
      <c r="K438" s="112"/>
      <c r="L438" s="112"/>
      <c r="M438" s="112"/>
    </row>
    <row r="439" spans="1:13" x14ac:dyDescent="0.3">
      <c r="A439" s="147" t="str">
        <f ca="1">Prices!$A$438</f>
        <v/>
      </c>
      <c r="B439" s="148" t="str">
        <f ca="1">IFERROR(Prices!B438/Prices!B437-1,"")</f>
        <v/>
      </c>
      <c r="C439" s="148" t="str">
        <f ca="1">IFERROR(Prices!C438/Prices!C437-1,"")</f>
        <v/>
      </c>
      <c r="D439" s="148" t="str">
        <f ca="1">IFERROR(Prices!D438/Prices!D437-1,"")</f>
        <v/>
      </c>
      <c r="E439" s="148" t="str">
        <f ca="1">IFERROR(Prices!E438/Prices!E437-1,"")</f>
        <v/>
      </c>
      <c r="F439" s="148" t="str">
        <f ca="1">IFERROR(Prices!F438/Prices!F437-1,"")</f>
        <v/>
      </c>
      <c r="G439" s="148" t="str">
        <f ca="1">IFERROR(Prices!G438/Prices!G437-1,"")</f>
        <v/>
      </c>
      <c r="H439" s="148" t="str">
        <f ca="1">IFERROR(Prices!H438/Prices!H437-1,"")</f>
        <v/>
      </c>
      <c r="I439" s="149" t="str">
        <f ca="1">IFERROR(Prices!I438/Prices!I437-1,"")</f>
        <v/>
      </c>
      <c r="J439" s="150">
        <f t="shared" ca="1" si="8"/>
        <v>0</v>
      </c>
      <c r="K439" s="112"/>
      <c r="L439" s="112"/>
      <c r="M439" s="112"/>
    </row>
    <row r="440" spans="1:13" x14ac:dyDescent="0.3">
      <c r="A440" s="147" t="str">
        <f ca="1">Prices!$A$439</f>
        <v/>
      </c>
      <c r="B440" s="148" t="str">
        <f ca="1">IFERROR(Prices!B439/Prices!B438-1,"")</f>
        <v/>
      </c>
      <c r="C440" s="148" t="str">
        <f ca="1">IFERROR(Prices!C439/Prices!C438-1,"")</f>
        <v/>
      </c>
      <c r="D440" s="148" t="str">
        <f ca="1">IFERROR(Prices!D439/Prices!D438-1,"")</f>
        <v/>
      </c>
      <c r="E440" s="148" t="str">
        <f ca="1">IFERROR(Prices!E439/Prices!E438-1,"")</f>
        <v/>
      </c>
      <c r="F440" s="148" t="str">
        <f ca="1">IFERROR(Prices!F439/Prices!F438-1,"")</f>
        <v/>
      </c>
      <c r="G440" s="148" t="str">
        <f ca="1">IFERROR(Prices!G439/Prices!G438-1,"")</f>
        <v/>
      </c>
      <c r="H440" s="148" t="str">
        <f ca="1">IFERROR(Prices!H439/Prices!H438-1,"")</f>
        <v/>
      </c>
      <c r="I440" s="149" t="str">
        <f ca="1">IFERROR(Prices!I439/Prices!I438-1,"")</f>
        <v/>
      </c>
      <c r="J440" s="150">
        <f t="shared" ca="1" si="8"/>
        <v>0</v>
      </c>
      <c r="K440" s="112"/>
      <c r="L440" s="112"/>
      <c r="M440" s="112"/>
    </row>
    <row r="441" spans="1:13" x14ac:dyDescent="0.3">
      <c r="A441" s="147" t="str">
        <f ca="1">Prices!$A$440</f>
        <v/>
      </c>
      <c r="B441" s="148" t="str">
        <f ca="1">IFERROR(Prices!B440/Prices!B439-1,"")</f>
        <v/>
      </c>
      <c r="C441" s="148" t="str">
        <f ca="1">IFERROR(Prices!C440/Prices!C439-1,"")</f>
        <v/>
      </c>
      <c r="D441" s="148" t="str">
        <f ca="1">IFERROR(Prices!D440/Prices!D439-1,"")</f>
        <v/>
      </c>
      <c r="E441" s="148" t="str">
        <f ca="1">IFERROR(Prices!E440/Prices!E439-1,"")</f>
        <v/>
      </c>
      <c r="F441" s="148" t="str">
        <f ca="1">IFERROR(Prices!F440/Prices!F439-1,"")</f>
        <v/>
      </c>
      <c r="G441" s="148" t="str">
        <f ca="1">IFERROR(Prices!G440/Prices!G439-1,"")</f>
        <v/>
      </c>
      <c r="H441" s="148" t="str">
        <f ca="1">IFERROR(Prices!H440/Prices!H439-1,"")</f>
        <v/>
      </c>
      <c r="I441" s="149" t="str">
        <f ca="1">IFERROR(Prices!I440/Prices!I439-1,"")</f>
        <v/>
      </c>
      <c r="J441" s="150">
        <f t="shared" ca="1" si="8"/>
        <v>0</v>
      </c>
      <c r="K441" s="112"/>
      <c r="L441" s="112"/>
      <c r="M441" s="112"/>
    </row>
    <row r="442" spans="1:13" x14ac:dyDescent="0.3">
      <c r="A442" s="147" t="str">
        <f ca="1">Prices!$A$441</f>
        <v/>
      </c>
      <c r="B442" s="148" t="str">
        <f ca="1">IFERROR(Prices!B441/Prices!B440-1,"")</f>
        <v/>
      </c>
      <c r="C442" s="148" t="str">
        <f ca="1">IFERROR(Prices!C441/Prices!C440-1,"")</f>
        <v/>
      </c>
      <c r="D442" s="148" t="str">
        <f ca="1">IFERROR(Prices!D441/Prices!D440-1,"")</f>
        <v/>
      </c>
      <c r="E442" s="148" t="str">
        <f ca="1">IFERROR(Prices!E441/Prices!E440-1,"")</f>
        <v/>
      </c>
      <c r="F442" s="148" t="str">
        <f ca="1">IFERROR(Prices!F441/Prices!F440-1,"")</f>
        <v/>
      </c>
      <c r="G442" s="148" t="str">
        <f ca="1">IFERROR(Prices!G441/Prices!G440-1,"")</f>
        <v/>
      </c>
      <c r="H442" s="148" t="str">
        <f ca="1">IFERROR(Prices!H441/Prices!H440-1,"")</f>
        <v/>
      </c>
      <c r="I442" s="149" t="str">
        <f ca="1">IFERROR(Prices!I441/Prices!I440-1,"")</f>
        <v/>
      </c>
      <c r="J442" s="150">
        <f t="shared" ca="1" si="8"/>
        <v>0</v>
      </c>
      <c r="K442" s="112"/>
      <c r="L442" s="112"/>
      <c r="M442" s="112"/>
    </row>
    <row r="443" spans="1:13" x14ac:dyDescent="0.3">
      <c r="A443" s="147" t="str">
        <f ca="1">Prices!$A$442</f>
        <v/>
      </c>
      <c r="B443" s="148" t="str">
        <f ca="1">IFERROR(Prices!B442/Prices!B441-1,"")</f>
        <v/>
      </c>
      <c r="C443" s="148" t="str">
        <f ca="1">IFERROR(Prices!C442/Prices!C441-1,"")</f>
        <v/>
      </c>
      <c r="D443" s="148" t="str">
        <f ca="1">IFERROR(Prices!D442/Prices!D441-1,"")</f>
        <v/>
      </c>
      <c r="E443" s="148" t="str">
        <f ca="1">IFERROR(Prices!E442/Prices!E441-1,"")</f>
        <v/>
      </c>
      <c r="F443" s="148" t="str">
        <f ca="1">IFERROR(Prices!F442/Prices!F441-1,"")</f>
        <v/>
      </c>
      <c r="G443" s="148" t="str">
        <f ca="1">IFERROR(Prices!G442/Prices!G441-1,"")</f>
        <v/>
      </c>
      <c r="H443" s="148" t="str">
        <f ca="1">IFERROR(Prices!H442/Prices!H441-1,"")</f>
        <v/>
      </c>
      <c r="I443" s="149" t="str">
        <f ca="1">IFERROR(Prices!I442/Prices!I441-1,"")</f>
        <v/>
      </c>
      <c r="J443" s="150">
        <f t="shared" ca="1" si="8"/>
        <v>0</v>
      </c>
      <c r="K443" s="112"/>
      <c r="L443" s="112"/>
      <c r="M443" s="112"/>
    </row>
    <row r="444" spans="1:13" x14ac:dyDescent="0.3">
      <c r="A444" s="147" t="str">
        <f ca="1">Prices!$A$443</f>
        <v/>
      </c>
      <c r="B444" s="148" t="str">
        <f ca="1">IFERROR(Prices!B443/Prices!B442-1,"")</f>
        <v/>
      </c>
      <c r="C444" s="148" t="str">
        <f ca="1">IFERROR(Prices!C443/Prices!C442-1,"")</f>
        <v/>
      </c>
      <c r="D444" s="148" t="str">
        <f ca="1">IFERROR(Prices!D443/Prices!D442-1,"")</f>
        <v/>
      </c>
      <c r="E444" s="148" t="str">
        <f ca="1">IFERROR(Prices!E443/Prices!E442-1,"")</f>
        <v/>
      </c>
      <c r="F444" s="148" t="str">
        <f ca="1">IFERROR(Prices!F443/Prices!F442-1,"")</f>
        <v/>
      </c>
      <c r="G444" s="148" t="str">
        <f ca="1">IFERROR(Prices!G443/Prices!G442-1,"")</f>
        <v/>
      </c>
      <c r="H444" s="148" t="str">
        <f ca="1">IFERROR(Prices!H443/Prices!H442-1,"")</f>
        <v/>
      </c>
      <c r="I444" s="149" t="str">
        <f ca="1">IFERROR(Prices!I443/Prices!I442-1,"")</f>
        <v/>
      </c>
      <c r="J444" s="150">
        <f t="shared" ca="1" si="8"/>
        <v>0</v>
      </c>
      <c r="K444" s="112"/>
      <c r="L444" s="112"/>
      <c r="M444" s="112"/>
    </row>
    <row r="445" spans="1:13" x14ac:dyDescent="0.3">
      <c r="A445" s="147" t="str">
        <f ca="1">Prices!$A$444</f>
        <v/>
      </c>
      <c r="B445" s="148" t="str">
        <f ca="1">IFERROR(Prices!B444/Prices!B443-1,"")</f>
        <v/>
      </c>
      <c r="C445" s="148" t="str">
        <f ca="1">IFERROR(Prices!C444/Prices!C443-1,"")</f>
        <v/>
      </c>
      <c r="D445" s="148" t="str">
        <f ca="1">IFERROR(Prices!D444/Prices!D443-1,"")</f>
        <v/>
      </c>
      <c r="E445" s="148" t="str">
        <f ca="1">IFERROR(Prices!E444/Prices!E443-1,"")</f>
        <v/>
      </c>
      <c r="F445" s="148" t="str">
        <f ca="1">IFERROR(Prices!F444/Prices!F443-1,"")</f>
        <v/>
      </c>
      <c r="G445" s="148" t="str">
        <f ca="1">IFERROR(Prices!G444/Prices!G443-1,"")</f>
        <v/>
      </c>
      <c r="H445" s="148" t="str">
        <f ca="1">IFERROR(Prices!H444/Prices!H443-1,"")</f>
        <v/>
      </c>
      <c r="I445" s="149" t="str">
        <f ca="1">IFERROR(Prices!I444/Prices!I443-1,"")</f>
        <v/>
      </c>
      <c r="J445" s="150">
        <f t="shared" ca="1" si="8"/>
        <v>0</v>
      </c>
      <c r="K445" s="112"/>
      <c r="L445" s="112"/>
      <c r="M445" s="112"/>
    </row>
    <row r="446" spans="1:13" x14ac:dyDescent="0.3">
      <c r="A446" s="147" t="str">
        <f ca="1">Prices!$A$445</f>
        <v/>
      </c>
      <c r="B446" s="148" t="str">
        <f ca="1">IFERROR(Prices!B445/Prices!B444-1,"")</f>
        <v/>
      </c>
      <c r="C446" s="148" t="str">
        <f ca="1">IFERROR(Prices!C445/Prices!C444-1,"")</f>
        <v/>
      </c>
      <c r="D446" s="148" t="str">
        <f ca="1">IFERROR(Prices!D445/Prices!D444-1,"")</f>
        <v/>
      </c>
      <c r="E446" s="148" t="str">
        <f ca="1">IFERROR(Prices!E445/Prices!E444-1,"")</f>
        <v/>
      </c>
      <c r="F446" s="148" t="str">
        <f ca="1">IFERROR(Prices!F445/Prices!F444-1,"")</f>
        <v/>
      </c>
      <c r="G446" s="148" t="str">
        <f ca="1">IFERROR(Prices!G445/Prices!G444-1,"")</f>
        <v/>
      </c>
      <c r="H446" s="148" t="str">
        <f ca="1">IFERROR(Prices!H445/Prices!H444-1,"")</f>
        <v/>
      </c>
      <c r="I446" s="149" t="str">
        <f ca="1">IFERROR(Prices!I445/Prices!I444-1,"")</f>
        <v/>
      </c>
      <c r="J446" s="150">
        <f t="shared" ca="1" si="8"/>
        <v>0</v>
      </c>
      <c r="K446" s="112"/>
      <c r="L446" s="112"/>
      <c r="M446" s="112"/>
    </row>
    <row r="447" spans="1:13" x14ac:dyDescent="0.3">
      <c r="A447" s="147" t="str">
        <f ca="1">Prices!$A$446</f>
        <v/>
      </c>
      <c r="B447" s="148" t="str">
        <f ca="1">IFERROR(Prices!B446/Prices!B445-1,"")</f>
        <v/>
      </c>
      <c r="C447" s="148" t="str">
        <f ca="1">IFERROR(Prices!C446/Prices!C445-1,"")</f>
        <v/>
      </c>
      <c r="D447" s="148" t="str">
        <f ca="1">IFERROR(Prices!D446/Prices!D445-1,"")</f>
        <v/>
      </c>
      <c r="E447" s="148" t="str">
        <f ca="1">IFERROR(Prices!E446/Prices!E445-1,"")</f>
        <v/>
      </c>
      <c r="F447" s="148" t="str">
        <f ca="1">IFERROR(Prices!F446/Prices!F445-1,"")</f>
        <v/>
      </c>
      <c r="G447" s="148" t="str">
        <f ca="1">IFERROR(Prices!G446/Prices!G445-1,"")</f>
        <v/>
      </c>
      <c r="H447" s="148" t="str">
        <f ca="1">IFERROR(Prices!H446/Prices!H445-1,"")</f>
        <v/>
      </c>
      <c r="I447" s="149" t="str">
        <f ca="1">IFERROR(Prices!I446/Prices!I445-1,"")</f>
        <v/>
      </c>
      <c r="J447" s="150">
        <f t="shared" ca="1" si="8"/>
        <v>0</v>
      </c>
      <c r="K447" s="112"/>
      <c r="L447" s="112"/>
      <c r="M447" s="112"/>
    </row>
    <row r="448" spans="1:13" x14ac:dyDescent="0.3">
      <c r="A448" s="147" t="str">
        <f ca="1">Prices!$A$447</f>
        <v/>
      </c>
      <c r="B448" s="148" t="str">
        <f ca="1">IFERROR(Prices!B447/Prices!B446-1,"")</f>
        <v/>
      </c>
      <c r="C448" s="148" t="str">
        <f ca="1">IFERROR(Prices!C447/Prices!C446-1,"")</f>
        <v/>
      </c>
      <c r="D448" s="148" t="str">
        <f ca="1">IFERROR(Prices!D447/Prices!D446-1,"")</f>
        <v/>
      </c>
      <c r="E448" s="148" t="str">
        <f ca="1">IFERROR(Prices!E447/Prices!E446-1,"")</f>
        <v/>
      </c>
      <c r="F448" s="148" t="str">
        <f ca="1">IFERROR(Prices!F447/Prices!F446-1,"")</f>
        <v/>
      </c>
      <c r="G448" s="148" t="str">
        <f ca="1">IFERROR(Prices!G447/Prices!G446-1,"")</f>
        <v/>
      </c>
      <c r="H448" s="148" t="str">
        <f ca="1">IFERROR(Prices!H447/Prices!H446-1,"")</f>
        <v/>
      </c>
      <c r="I448" s="149" t="str">
        <f ca="1">IFERROR(Prices!I447/Prices!I446-1,"")</f>
        <v/>
      </c>
      <c r="J448" s="150">
        <f t="shared" ca="1" si="8"/>
        <v>0</v>
      </c>
      <c r="K448" s="112"/>
      <c r="L448" s="112"/>
      <c r="M448" s="112"/>
    </row>
    <row r="449" spans="1:13" x14ac:dyDescent="0.3">
      <c r="A449" s="147" t="str">
        <f ca="1">Prices!$A$448</f>
        <v/>
      </c>
      <c r="B449" s="148" t="str">
        <f ca="1">IFERROR(Prices!B448/Prices!B447-1,"")</f>
        <v/>
      </c>
      <c r="C449" s="148" t="str">
        <f ca="1">IFERROR(Prices!C448/Prices!C447-1,"")</f>
        <v/>
      </c>
      <c r="D449" s="148" t="str">
        <f ca="1">IFERROR(Prices!D448/Prices!D447-1,"")</f>
        <v/>
      </c>
      <c r="E449" s="148" t="str">
        <f ca="1">IFERROR(Prices!E448/Prices!E447-1,"")</f>
        <v/>
      </c>
      <c r="F449" s="148" t="str">
        <f ca="1">IFERROR(Prices!F448/Prices!F447-1,"")</f>
        <v/>
      </c>
      <c r="G449" s="148" t="str">
        <f ca="1">IFERROR(Prices!G448/Prices!G447-1,"")</f>
        <v/>
      </c>
      <c r="H449" s="148" t="str">
        <f ca="1">IFERROR(Prices!H448/Prices!H447-1,"")</f>
        <v/>
      </c>
      <c r="I449" s="149" t="str">
        <f ca="1">IFERROR(Prices!I448/Prices!I447-1,"")</f>
        <v/>
      </c>
      <c r="J449" s="150">
        <f t="shared" ca="1" si="8"/>
        <v>0</v>
      </c>
      <c r="K449" s="112"/>
      <c r="L449" s="112"/>
      <c r="M449" s="112"/>
    </row>
    <row r="450" spans="1:13" x14ac:dyDescent="0.3">
      <c r="A450" s="147" t="str">
        <f ca="1">Prices!$A$449</f>
        <v/>
      </c>
      <c r="B450" s="148" t="str">
        <f ca="1">IFERROR(Prices!B449/Prices!B448-1,"")</f>
        <v/>
      </c>
      <c r="C450" s="148" t="str">
        <f ca="1">IFERROR(Prices!C449/Prices!C448-1,"")</f>
        <v/>
      </c>
      <c r="D450" s="148" t="str">
        <f ca="1">IFERROR(Prices!D449/Prices!D448-1,"")</f>
        <v/>
      </c>
      <c r="E450" s="148" t="str">
        <f ca="1">IFERROR(Prices!E449/Prices!E448-1,"")</f>
        <v/>
      </c>
      <c r="F450" s="148" t="str">
        <f ca="1">IFERROR(Prices!F449/Prices!F448-1,"")</f>
        <v/>
      </c>
      <c r="G450" s="148" t="str">
        <f ca="1">IFERROR(Prices!G449/Prices!G448-1,"")</f>
        <v/>
      </c>
      <c r="H450" s="148" t="str">
        <f ca="1">IFERROR(Prices!H449/Prices!H448-1,"")</f>
        <v/>
      </c>
      <c r="I450" s="149" t="str">
        <f ca="1">IFERROR(Prices!I449/Prices!I448-1,"")</f>
        <v/>
      </c>
      <c r="J450" s="150">
        <f t="shared" ca="1" si="8"/>
        <v>0</v>
      </c>
      <c r="K450" s="112"/>
      <c r="L450" s="112"/>
      <c r="M450" s="112"/>
    </row>
    <row r="451" spans="1:13" x14ac:dyDescent="0.3">
      <c r="A451" s="147" t="str">
        <f ca="1">Prices!$A$450</f>
        <v/>
      </c>
      <c r="B451" s="148" t="str">
        <f ca="1">IFERROR(Prices!B450/Prices!B449-1,"")</f>
        <v/>
      </c>
      <c r="C451" s="148" t="str">
        <f ca="1">IFERROR(Prices!C450/Prices!C449-1,"")</f>
        <v/>
      </c>
      <c r="D451" s="148" t="str">
        <f ca="1">IFERROR(Prices!D450/Prices!D449-1,"")</f>
        <v/>
      </c>
      <c r="E451" s="148" t="str">
        <f ca="1">IFERROR(Prices!E450/Prices!E449-1,"")</f>
        <v/>
      </c>
      <c r="F451" s="148" t="str">
        <f ca="1">IFERROR(Prices!F450/Prices!F449-1,"")</f>
        <v/>
      </c>
      <c r="G451" s="148" t="str">
        <f ca="1">IFERROR(Prices!G450/Prices!G449-1,"")</f>
        <v/>
      </c>
      <c r="H451" s="148" t="str">
        <f ca="1">IFERROR(Prices!H450/Prices!H449-1,"")</f>
        <v/>
      </c>
      <c r="I451" s="149" t="str">
        <f ca="1">IFERROR(Prices!I450/Prices!I449-1,"")</f>
        <v/>
      </c>
      <c r="J451" s="150">
        <f t="shared" ca="1" si="8"/>
        <v>0</v>
      </c>
      <c r="K451" s="112"/>
      <c r="L451" s="112"/>
      <c r="M451" s="112"/>
    </row>
    <row r="452" spans="1:13" x14ac:dyDescent="0.3">
      <c r="A452" s="147" t="str">
        <f ca="1">Prices!$A$451</f>
        <v/>
      </c>
      <c r="B452" s="148" t="str">
        <f ca="1">IFERROR(Prices!B451/Prices!B450-1,"")</f>
        <v/>
      </c>
      <c r="C452" s="148" t="str">
        <f ca="1">IFERROR(Prices!C451/Prices!C450-1,"")</f>
        <v/>
      </c>
      <c r="D452" s="148" t="str">
        <f ca="1">IFERROR(Prices!D451/Prices!D450-1,"")</f>
        <v/>
      </c>
      <c r="E452" s="148" t="str">
        <f ca="1">IFERROR(Prices!E451/Prices!E450-1,"")</f>
        <v/>
      </c>
      <c r="F452" s="148" t="str">
        <f ca="1">IFERROR(Prices!F451/Prices!F450-1,"")</f>
        <v/>
      </c>
      <c r="G452" s="148" t="str">
        <f ca="1">IFERROR(Prices!G451/Prices!G450-1,"")</f>
        <v/>
      </c>
      <c r="H452" s="148" t="str">
        <f ca="1">IFERROR(Prices!H451/Prices!H450-1,"")</f>
        <v/>
      </c>
      <c r="I452" s="149" t="str">
        <f ca="1">IFERROR(Prices!I451/Prices!I450-1,"")</f>
        <v/>
      </c>
      <c r="J452" s="150">
        <f t="shared" ca="1" si="8"/>
        <v>0</v>
      </c>
      <c r="K452" s="112"/>
      <c r="L452" s="112"/>
      <c r="M452" s="112"/>
    </row>
    <row r="453" spans="1:13" x14ac:dyDescent="0.3">
      <c r="A453" s="147" t="str">
        <f ca="1">Prices!$A$452</f>
        <v/>
      </c>
      <c r="B453" s="148" t="str">
        <f ca="1">IFERROR(Prices!B452/Prices!B451-1,"")</f>
        <v/>
      </c>
      <c r="C453" s="148" t="str">
        <f ca="1">IFERROR(Prices!C452/Prices!C451-1,"")</f>
        <v/>
      </c>
      <c r="D453" s="148" t="str">
        <f ca="1">IFERROR(Prices!D452/Prices!D451-1,"")</f>
        <v/>
      </c>
      <c r="E453" s="148" t="str">
        <f ca="1">IFERROR(Prices!E452/Prices!E451-1,"")</f>
        <v/>
      </c>
      <c r="F453" s="148" t="str">
        <f ca="1">IFERROR(Prices!F452/Prices!F451-1,"")</f>
        <v/>
      </c>
      <c r="G453" s="148" t="str">
        <f ca="1">IFERROR(Prices!G452/Prices!G451-1,"")</f>
        <v/>
      </c>
      <c r="H453" s="148" t="str">
        <f ca="1">IFERROR(Prices!H452/Prices!H451-1,"")</f>
        <v/>
      </c>
      <c r="I453" s="149" t="str">
        <f ca="1">IFERROR(Prices!I452/Prices!I451-1,"")</f>
        <v/>
      </c>
      <c r="J453" s="150">
        <f t="shared" ca="1" si="8"/>
        <v>0</v>
      </c>
      <c r="K453" s="112"/>
      <c r="L453" s="112"/>
      <c r="M453" s="112"/>
    </row>
    <row r="454" spans="1:13" x14ac:dyDescent="0.3">
      <c r="A454" s="147" t="str">
        <f ca="1">Prices!$A$453</f>
        <v/>
      </c>
      <c r="B454" s="148" t="str">
        <f ca="1">IFERROR(Prices!B453/Prices!B452-1,"")</f>
        <v/>
      </c>
      <c r="C454" s="148" t="str">
        <f ca="1">IFERROR(Prices!C453/Prices!C452-1,"")</f>
        <v/>
      </c>
      <c r="D454" s="148" t="str">
        <f ca="1">IFERROR(Prices!D453/Prices!D452-1,"")</f>
        <v/>
      </c>
      <c r="E454" s="148" t="str">
        <f ca="1">IFERROR(Prices!E453/Prices!E452-1,"")</f>
        <v/>
      </c>
      <c r="F454" s="148" t="str">
        <f ca="1">IFERROR(Prices!F453/Prices!F452-1,"")</f>
        <v/>
      </c>
      <c r="G454" s="148" t="str">
        <f ca="1">IFERROR(Prices!G453/Prices!G452-1,"")</f>
        <v/>
      </c>
      <c r="H454" s="148" t="str">
        <f ca="1">IFERROR(Prices!H453/Prices!H452-1,"")</f>
        <v/>
      </c>
      <c r="I454" s="149" t="str">
        <f ca="1">IFERROR(Prices!I453/Prices!I452-1,"")</f>
        <v/>
      </c>
      <c r="J454" s="150">
        <f t="shared" ca="1" si="8"/>
        <v>0</v>
      </c>
      <c r="K454" s="112"/>
      <c r="L454" s="112"/>
      <c r="M454" s="112"/>
    </row>
    <row r="455" spans="1:13" x14ac:dyDescent="0.3">
      <c r="A455" s="147" t="str">
        <f ca="1">Prices!$A$454</f>
        <v/>
      </c>
      <c r="B455" s="148" t="str">
        <f ca="1">IFERROR(Prices!B454/Prices!B453-1,"")</f>
        <v/>
      </c>
      <c r="C455" s="148" t="str">
        <f ca="1">IFERROR(Prices!C454/Prices!C453-1,"")</f>
        <v/>
      </c>
      <c r="D455" s="148" t="str">
        <f ca="1">IFERROR(Prices!D454/Prices!D453-1,"")</f>
        <v/>
      </c>
      <c r="E455" s="148" t="str">
        <f ca="1">IFERROR(Prices!E454/Prices!E453-1,"")</f>
        <v/>
      </c>
      <c r="F455" s="148" t="str">
        <f ca="1">IFERROR(Prices!F454/Prices!F453-1,"")</f>
        <v/>
      </c>
      <c r="G455" s="148" t="str">
        <f ca="1">IFERROR(Prices!G454/Prices!G453-1,"")</f>
        <v/>
      </c>
      <c r="H455" s="148" t="str">
        <f ca="1">IFERROR(Prices!H454/Prices!H453-1,"")</f>
        <v/>
      </c>
      <c r="I455" s="149" t="str">
        <f ca="1">IFERROR(Prices!I454/Prices!I453-1,"")</f>
        <v/>
      </c>
      <c r="J455" s="150">
        <f t="shared" ref="J455:J518" ca="1" si="9">IFERROR(SUMPRODUCT(Weights,$B455:$H455),"")</f>
        <v>0</v>
      </c>
      <c r="K455" s="112"/>
      <c r="L455" s="112"/>
      <c r="M455" s="112"/>
    </row>
    <row r="456" spans="1:13" x14ac:dyDescent="0.3">
      <c r="A456" s="147" t="str">
        <f ca="1">Prices!$A$455</f>
        <v/>
      </c>
      <c r="B456" s="148" t="str">
        <f ca="1">IFERROR(Prices!B455/Prices!B454-1,"")</f>
        <v/>
      </c>
      <c r="C456" s="148" t="str">
        <f ca="1">IFERROR(Prices!C455/Prices!C454-1,"")</f>
        <v/>
      </c>
      <c r="D456" s="148" t="str">
        <f ca="1">IFERROR(Prices!D455/Prices!D454-1,"")</f>
        <v/>
      </c>
      <c r="E456" s="148" t="str">
        <f ca="1">IFERROR(Prices!E455/Prices!E454-1,"")</f>
        <v/>
      </c>
      <c r="F456" s="148" t="str">
        <f ca="1">IFERROR(Prices!F455/Prices!F454-1,"")</f>
        <v/>
      </c>
      <c r="G456" s="148" t="str">
        <f ca="1">IFERROR(Prices!G455/Prices!G454-1,"")</f>
        <v/>
      </c>
      <c r="H456" s="148" t="str">
        <f ca="1">IFERROR(Prices!H455/Prices!H454-1,"")</f>
        <v/>
      </c>
      <c r="I456" s="149" t="str">
        <f ca="1">IFERROR(Prices!I455/Prices!I454-1,"")</f>
        <v/>
      </c>
      <c r="J456" s="150">
        <f t="shared" ca="1" si="9"/>
        <v>0</v>
      </c>
      <c r="K456" s="112"/>
      <c r="L456" s="112"/>
      <c r="M456" s="112"/>
    </row>
    <row r="457" spans="1:13" x14ac:dyDescent="0.3">
      <c r="A457" s="147" t="str">
        <f ca="1">Prices!$A$456</f>
        <v/>
      </c>
      <c r="B457" s="148" t="str">
        <f ca="1">IFERROR(Prices!B456/Prices!B455-1,"")</f>
        <v/>
      </c>
      <c r="C457" s="148" t="str">
        <f ca="1">IFERROR(Prices!C456/Prices!C455-1,"")</f>
        <v/>
      </c>
      <c r="D457" s="148" t="str">
        <f ca="1">IFERROR(Prices!D456/Prices!D455-1,"")</f>
        <v/>
      </c>
      <c r="E457" s="148" t="str">
        <f ca="1">IFERROR(Prices!E456/Prices!E455-1,"")</f>
        <v/>
      </c>
      <c r="F457" s="148" t="str">
        <f ca="1">IFERROR(Prices!F456/Prices!F455-1,"")</f>
        <v/>
      </c>
      <c r="G457" s="148" t="str">
        <f ca="1">IFERROR(Prices!G456/Prices!G455-1,"")</f>
        <v/>
      </c>
      <c r="H457" s="148" t="str">
        <f ca="1">IFERROR(Prices!H456/Prices!H455-1,"")</f>
        <v/>
      </c>
      <c r="I457" s="149" t="str">
        <f ca="1">IFERROR(Prices!I456/Prices!I455-1,"")</f>
        <v/>
      </c>
      <c r="J457" s="150">
        <f t="shared" ca="1" si="9"/>
        <v>0</v>
      </c>
      <c r="K457" s="112"/>
      <c r="L457" s="112"/>
      <c r="M457" s="112"/>
    </row>
    <row r="458" spans="1:13" x14ac:dyDescent="0.3">
      <c r="A458" s="147" t="str">
        <f ca="1">Prices!$A$457</f>
        <v/>
      </c>
      <c r="B458" s="148" t="str">
        <f ca="1">IFERROR(Prices!B457/Prices!B456-1,"")</f>
        <v/>
      </c>
      <c r="C458" s="148" t="str">
        <f ca="1">IFERROR(Prices!C457/Prices!C456-1,"")</f>
        <v/>
      </c>
      <c r="D458" s="148" t="str">
        <f ca="1">IFERROR(Prices!D457/Prices!D456-1,"")</f>
        <v/>
      </c>
      <c r="E458" s="148" t="str">
        <f ca="1">IFERROR(Prices!E457/Prices!E456-1,"")</f>
        <v/>
      </c>
      <c r="F458" s="148" t="str">
        <f ca="1">IFERROR(Prices!F457/Prices!F456-1,"")</f>
        <v/>
      </c>
      <c r="G458" s="148" t="str">
        <f ca="1">IFERROR(Prices!G457/Prices!G456-1,"")</f>
        <v/>
      </c>
      <c r="H458" s="148" t="str">
        <f ca="1">IFERROR(Prices!H457/Prices!H456-1,"")</f>
        <v/>
      </c>
      <c r="I458" s="149" t="str">
        <f ca="1">IFERROR(Prices!I457/Prices!I456-1,"")</f>
        <v/>
      </c>
      <c r="J458" s="150">
        <f t="shared" ca="1" si="9"/>
        <v>0</v>
      </c>
      <c r="K458" s="112"/>
      <c r="L458" s="112"/>
      <c r="M458" s="112"/>
    </row>
    <row r="459" spans="1:13" x14ac:dyDescent="0.3">
      <c r="A459" s="147" t="str">
        <f ca="1">Prices!$A$458</f>
        <v/>
      </c>
      <c r="B459" s="148" t="str">
        <f ca="1">IFERROR(Prices!B458/Prices!B457-1,"")</f>
        <v/>
      </c>
      <c r="C459" s="148" t="str">
        <f ca="1">IFERROR(Prices!C458/Prices!C457-1,"")</f>
        <v/>
      </c>
      <c r="D459" s="148" t="str">
        <f ca="1">IFERROR(Prices!D458/Prices!D457-1,"")</f>
        <v/>
      </c>
      <c r="E459" s="148" t="str">
        <f ca="1">IFERROR(Prices!E458/Prices!E457-1,"")</f>
        <v/>
      </c>
      <c r="F459" s="148" t="str">
        <f ca="1">IFERROR(Prices!F458/Prices!F457-1,"")</f>
        <v/>
      </c>
      <c r="G459" s="148" t="str">
        <f ca="1">IFERROR(Prices!G458/Prices!G457-1,"")</f>
        <v/>
      </c>
      <c r="H459" s="148" t="str">
        <f ca="1">IFERROR(Prices!H458/Prices!H457-1,"")</f>
        <v/>
      </c>
      <c r="I459" s="149" t="str">
        <f ca="1">IFERROR(Prices!I458/Prices!I457-1,"")</f>
        <v/>
      </c>
      <c r="J459" s="150">
        <f t="shared" ca="1" si="9"/>
        <v>0</v>
      </c>
      <c r="K459" s="112"/>
      <c r="L459" s="112"/>
      <c r="M459" s="112"/>
    </row>
    <row r="460" spans="1:13" x14ac:dyDescent="0.3">
      <c r="A460" s="147" t="str">
        <f ca="1">Prices!$A$459</f>
        <v/>
      </c>
      <c r="B460" s="148" t="str">
        <f ca="1">IFERROR(Prices!B459/Prices!B458-1,"")</f>
        <v/>
      </c>
      <c r="C460" s="148" t="str">
        <f ca="1">IFERROR(Prices!C459/Prices!C458-1,"")</f>
        <v/>
      </c>
      <c r="D460" s="148" t="str">
        <f ca="1">IFERROR(Prices!D459/Prices!D458-1,"")</f>
        <v/>
      </c>
      <c r="E460" s="148" t="str">
        <f ca="1">IFERROR(Prices!E459/Prices!E458-1,"")</f>
        <v/>
      </c>
      <c r="F460" s="148" t="str">
        <f ca="1">IFERROR(Prices!F459/Prices!F458-1,"")</f>
        <v/>
      </c>
      <c r="G460" s="148" t="str">
        <f ca="1">IFERROR(Prices!G459/Prices!G458-1,"")</f>
        <v/>
      </c>
      <c r="H460" s="148" t="str">
        <f ca="1">IFERROR(Prices!H459/Prices!H458-1,"")</f>
        <v/>
      </c>
      <c r="I460" s="149" t="str">
        <f ca="1">IFERROR(Prices!I459/Prices!I458-1,"")</f>
        <v/>
      </c>
      <c r="J460" s="150">
        <f t="shared" ca="1" si="9"/>
        <v>0</v>
      </c>
      <c r="K460" s="112"/>
      <c r="L460" s="112"/>
      <c r="M460" s="112"/>
    </row>
    <row r="461" spans="1:13" x14ac:dyDescent="0.3">
      <c r="A461" s="147" t="str">
        <f ca="1">Prices!$A$460</f>
        <v/>
      </c>
      <c r="B461" s="148" t="str">
        <f ca="1">IFERROR(Prices!B460/Prices!B459-1,"")</f>
        <v/>
      </c>
      <c r="C461" s="148" t="str">
        <f ca="1">IFERROR(Prices!C460/Prices!C459-1,"")</f>
        <v/>
      </c>
      <c r="D461" s="148" t="str">
        <f ca="1">IFERROR(Prices!D460/Prices!D459-1,"")</f>
        <v/>
      </c>
      <c r="E461" s="148" t="str">
        <f ca="1">IFERROR(Prices!E460/Prices!E459-1,"")</f>
        <v/>
      </c>
      <c r="F461" s="148" t="str">
        <f ca="1">IFERROR(Prices!F460/Prices!F459-1,"")</f>
        <v/>
      </c>
      <c r="G461" s="148" t="str">
        <f ca="1">IFERROR(Prices!G460/Prices!G459-1,"")</f>
        <v/>
      </c>
      <c r="H461" s="148" t="str">
        <f ca="1">IFERROR(Prices!H460/Prices!H459-1,"")</f>
        <v/>
      </c>
      <c r="I461" s="149" t="str">
        <f ca="1">IFERROR(Prices!I460/Prices!I459-1,"")</f>
        <v/>
      </c>
      <c r="J461" s="150">
        <f t="shared" ca="1" si="9"/>
        <v>0</v>
      </c>
      <c r="K461" s="112"/>
      <c r="L461" s="112"/>
      <c r="M461" s="112"/>
    </row>
    <row r="462" spans="1:13" x14ac:dyDescent="0.3">
      <c r="A462" s="147" t="str">
        <f ca="1">Prices!$A$461</f>
        <v/>
      </c>
      <c r="B462" s="148" t="str">
        <f ca="1">IFERROR(Prices!B461/Prices!B460-1,"")</f>
        <v/>
      </c>
      <c r="C462" s="148" t="str">
        <f ca="1">IFERROR(Prices!C461/Prices!C460-1,"")</f>
        <v/>
      </c>
      <c r="D462" s="148" t="str">
        <f ca="1">IFERROR(Prices!D461/Prices!D460-1,"")</f>
        <v/>
      </c>
      <c r="E462" s="148" t="str">
        <f ca="1">IFERROR(Prices!E461/Prices!E460-1,"")</f>
        <v/>
      </c>
      <c r="F462" s="148" t="str">
        <f ca="1">IFERROR(Prices!F461/Prices!F460-1,"")</f>
        <v/>
      </c>
      <c r="G462" s="148" t="str">
        <f ca="1">IFERROR(Prices!G461/Prices!G460-1,"")</f>
        <v/>
      </c>
      <c r="H462" s="148" t="str">
        <f ca="1">IFERROR(Prices!H461/Prices!H460-1,"")</f>
        <v/>
      </c>
      <c r="I462" s="149" t="str">
        <f ca="1">IFERROR(Prices!I461/Prices!I460-1,"")</f>
        <v/>
      </c>
      <c r="J462" s="150">
        <f t="shared" ca="1" si="9"/>
        <v>0</v>
      </c>
      <c r="K462" s="112"/>
      <c r="L462" s="112"/>
      <c r="M462" s="112"/>
    </row>
    <row r="463" spans="1:13" x14ac:dyDescent="0.3">
      <c r="A463" s="147" t="str">
        <f ca="1">Prices!$A$462</f>
        <v/>
      </c>
      <c r="B463" s="148" t="str">
        <f ca="1">IFERROR(Prices!B462/Prices!B461-1,"")</f>
        <v/>
      </c>
      <c r="C463" s="148" t="str">
        <f ca="1">IFERROR(Prices!C462/Prices!C461-1,"")</f>
        <v/>
      </c>
      <c r="D463" s="148" t="str">
        <f ca="1">IFERROR(Prices!D462/Prices!D461-1,"")</f>
        <v/>
      </c>
      <c r="E463" s="148" t="str">
        <f ca="1">IFERROR(Prices!E462/Prices!E461-1,"")</f>
        <v/>
      </c>
      <c r="F463" s="148" t="str">
        <f ca="1">IFERROR(Prices!F462/Prices!F461-1,"")</f>
        <v/>
      </c>
      <c r="G463" s="148" t="str">
        <f ca="1">IFERROR(Prices!G462/Prices!G461-1,"")</f>
        <v/>
      </c>
      <c r="H463" s="148" t="str">
        <f ca="1">IFERROR(Prices!H462/Prices!H461-1,"")</f>
        <v/>
      </c>
      <c r="I463" s="149" t="str">
        <f ca="1">IFERROR(Prices!I462/Prices!I461-1,"")</f>
        <v/>
      </c>
      <c r="J463" s="150">
        <f t="shared" ca="1" si="9"/>
        <v>0</v>
      </c>
      <c r="K463" s="112"/>
      <c r="L463" s="112"/>
      <c r="M463" s="112"/>
    </row>
    <row r="464" spans="1:13" x14ac:dyDescent="0.3">
      <c r="A464" s="147" t="str">
        <f ca="1">Prices!$A$463</f>
        <v/>
      </c>
      <c r="B464" s="148" t="str">
        <f ca="1">IFERROR(Prices!B463/Prices!B462-1,"")</f>
        <v/>
      </c>
      <c r="C464" s="148" t="str">
        <f ca="1">IFERROR(Prices!C463/Prices!C462-1,"")</f>
        <v/>
      </c>
      <c r="D464" s="148" t="str">
        <f ca="1">IFERROR(Prices!D463/Prices!D462-1,"")</f>
        <v/>
      </c>
      <c r="E464" s="148" t="str">
        <f ca="1">IFERROR(Prices!E463/Prices!E462-1,"")</f>
        <v/>
      </c>
      <c r="F464" s="148" t="str">
        <f ca="1">IFERROR(Prices!F463/Prices!F462-1,"")</f>
        <v/>
      </c>
      <c r="G464" s="148" t="str">
        <f ca="1">IFERROR(Prices!G463/Prices!G462-1,"")</f>
        <v/>
      </c>
      <c r="H464" s="148" t="str">
        <f ca="1">IFERROR(Prices!H463/Prices!H462-1,"")</f>
        <v/>
      </c>
      <c r="I464" s="149" t="str">
        <f ca="1">IFERROR(Prices!I463/Prices!I462-1,"")</f>
        <v/>
      </c>
      <c r="J464" s="150">
        <f t="shared" ca="1" si="9"/>
        <v>0</v>
      </c>
      <c r="K464" s="112"/>
      <c r="L464" s="112"/>
      <c r="M464" s="112"/>
    </row>
    <row r="465" spans="1:13" x14ac:dyDescent="0.3">
      <c r="A465" s="147" t="str">
        <f ca="1">Prices!$A$464</f>
        <v/>
      </c>
      <c r="B465" s="148" t="str">
        <f ca="1">IFERROR(Prices!B464/Prices!B463-1,"")</f>
        <v/>
      </c>
      <c r="C465" s="148" t="str">
        <f ca="1">IFERROR(Prices!C464/Prices!C463-1,"")</f>
        <v/>
      </c>
      <c r="D465" s="148" t="str">
        <f ca="1">IFERROR(Prices!D464/Prices!D463-1,"")</f>
        <v/>
      </c>
      <c r="E465" s="148" t="str">
        <f ca="1">IFERROR(Prices!E464/Prices!E463-1,"")</f>
        <v/>
      </c>
      <c r="F465" s="148" t="str">
        <f ca="1">IFERROR(Prices!F464/Prices!F463-1,"")</f>
        <v/>
      </c>
      <c r="G465" s="148" t="str">
        <f ca="1">IFERROR(Prices!G464/Prices!G463-1,"")</f>
        <v/>
      </c>
      <c r="H465" s="148" t="str">
        <f ca="1">IFERROR(Prices!H464/Prices!H463-1,"")</f>
        <v/>
      </c>
      <c r="I465" s="149" t="str">
        <f ca="1">IFERROR(Prices!I464/Prices!I463-1,"")</f>
        <v/>
      </c>
      <c r="J465" s="150">
        <f t="shared" ca="1" si="9"/>
        <v>0</v>
      </c>
      <c r="K465" s="112"/>
      <c r="L465" s="112"/>
      <c r="M465" s="112"/>
    </row>
    <row r="466" spans="1:13" x14ac:dyDescent="0.3">
      <c r="A466" s="147" t="str">
        <f ca="1">Prices!$A$465</f>
        <v/>
      </c>
      <c r="B466" s="148" t="str">
        <f ca="1">IFERROR(Prices!B465/Prices!B464-1,"")</f>
        <v/>
      </c>
      <c r="C466" s="148" t="str">
        <f ca="1">IFERROR(Prices!C465/Prices!C464-1,"")</f>
        <v/>
      </c>
      <c r="D466" s="148" t="str">
        <f ca="1">IFERROR(Prices!D465/Prices!D464-1,"")</f>
        <v/>
      </c>
      <c r="E466" s="148" t="str">
        <f ca="1">IFERROR(Prices!E465/Prices!E464-1,"")</f>
        <v/>
      </c>
      <c r="F466" s="148" t="str">
        <f ca="1">IFERROR(Prices!F465/Prices!F464-1,"")</f>
        <v/>
      </c>
      <c r="G466" s="148" t="str">
        <f ca="1">IFERROR(Prices!G465/Prices!G464-1,"")</f>
        <v/>
      </c>
      <c r="H466" s="148" t="str">
        <f ca="1">IFERROR(Prices!H465/Prices!H464-1,"")</f>
        <v/>
      </c>
      <c r="I466" s="149" t="str">
        <f ca="1">IFERROR(Prices!I465/Prices!I464-1,"")</f>
        <v/>
      </c>
      <c r="J466" s="150">
        <f t="shared" ca="1" si="9"/>
        <v>0</v>
      </c>
      <c r="K466" s="112"/>
      <c r="L466" s="112"/>
      <c r="M466" s="112"/>
    </row>
    <row r="467" spans="1:13" x14ac:dyDescent="0.3">
      <c r="A467" s="147" t="str">
        <f ca="1">Prices!$A$466</f>
        <v/>
      </c>
      <c r="B467" s="148" t="str">
        <f ca="1">IFERROR(Prices!B466/Prices!B465-1,"")</f>
        <v/>
      </c>
      <c r="C467" s="148" t="str">
        <f ca="1">IFERROR(Prices!C466/Prices!C465-1,"")</f>
        <v/>
      </c>
      <c r="D467" s="148" t="str">
        <f ca="1">IFERROR(Prices!D466/Prices!D465-1,"")</f>
        <v/>
      </c>
      <c r="E467" s="148" t="str">
        <f ca="1">IFERROR(Prices!E466/Prices!E465-1,"")</f>
        <v/>
      </c>
      <c r="F467" s="148" t="str">
        <f ca="1">IFERROR(Prices!F466/Prices!F465-1,"")</f>
        <v/>
      </c>
      <c r="G467" s="148" t="str">
        <f ca="1">IFERROR(Prices!G466/Prices!G465-1,"")</f>
        <v/>
      </c>
      <c r="H467" s="148" t="str">
        <f ca="1">IFERROR(Prices!H466/Prices!H465-1,"")</f>
        <v/>
      </c>
      <c r="I467" s="149" t="str">
        <f ca="1">IFERROR(Prices!I466/Prices!I465-1,"")</f>
        <v/>
      </c>
      <c r="J467" s="150">
        <f t="shared" ca="1" si="9"/>
        <v>0</v>
      </c>
      <c r="K467" s="112"/>
      <c r="L467" s="112"/>
      <c r="M467" s="112"/>
    </row>
    <row r="468" spans="1:13" x14ac:dyDescent="0.3">
      <c r="A468" s="147" t="str">
        <f ca="1">Prices!$A$467</f>
        <v/>
      </c>
      <c r="B468" s="148" t="str">
        <f ca="1">IFERROR(Prices!B467/Prices!B466-1,"")</f>
        <v/>
      </c>
      <c r="C468" s="148" t="str">
        <f ca="1">IFERROR(Prices!C467/Prices!C466-1,"")</f>
        <v/>
      </c>
      <c r="D468" s="148" t="str">
        <f ca="1">IFERROR(Prices!D467/Prices!D466-1,"")</f>
        <v/>
      </c>
      <c r="E468" s="148" t="str">
        <f ca="1">IFERROR(Prices!E467/Prices!E466-1,"")</f>
        <v/>
      </c>
      <c r="F468" s="148" t="str">
        <f ca="1">IFERROR(Prices!F467/Prices!F466-1,"")</f>
        <v/>
      </c>
      <c r="G468" s="148" t="str">
        <f ca="1">IFERROR(Prices!G467/Prices!G466-1,"")</f>
        <v/>
      </c>
      <c r="H468" s="148" t="str">
        <f ca="1">IFERROR(Prices!H467/Prices!H466-1,"")</f>
        <v/>
      </c>
      <c r="I468" s="149" t="str">
        <f ca="1">IFERROR(Prices!I467/Prices!I466-1,"")</f>
        <v/>
      </c>
      <c r="J468" s="150">
        <f t="shared" ca="1" si="9"/>
        <v>0</v>
      </c>
      <c r="K468" s="112"/>
      <c r="L468" s="112"/>
      <c r="M468" s="112"/>
    </row>
    <row r="469" spans="1:13" x14ac:dyDescent="0.3">
      <c r="A469" s="147" t="str">
        <f ca="1">Prices!$A$468</f>
        <v/>
      </c>
      <c r="B469" s="148" t="str">
        <f ca="1">IFERROR(Prices!B468/Prices!B467-1,"")</f>
        <v/>
      </c>
      <c r="C469" s="148" t="str">
        <f ca="1">IFERROR(Prices!C468/Prices!C467-1,"")</f>
        <v/>
      </c>
      <c r="D469" s="148" t="str">
        <f ca="1">IFERROR(Prices!D468/Prices!D467-1,"")</f>
        <v/>
      </c>
      <c r="E469" s="148" t="str">
        <f ca="1">IFERROR(Prices!E468/Prices!E467-1,"")</f>
        <v/>
      </c>
      <c r="F469" s="148" t="str">
        <f ca="1">IFERROR(Prices!F468/Prices!F467-1,"")</f>
        <v/>
      </c>
      <c r="G469" s="148" t="str">
        <f ca="1">IFERROR(Prices!G468/Prices!G467-1,"")</f>
        <v/>
      </c>
      <c r="H469" s="148" t="str">
        <f ca="1">IFERROR(Prices!H468/Prices!H467-1,"")</f>
        <v/>
      </c>
      <c r="I469" s="149" t="str">
        <f ca="1">IFERROR(Prices!I468/Prices!I467-1,"")</f>
        <v/>
      </c>
      <c r="J469" s="150">
        <f t="shared" ca="1" si="9"/>
        <v>0</v>
      </c>
      <c r="K469" s="112"/>
      <c r="L469" s="112"/>
      <c r="M469" s="112"/>
    </row>
    <row r="470" spans="1:13" x14ac:dyDescent="0.3">
      <c r="A470" s="147" t="str">
        <f ca="1">Prices!$A$469</f>
        <v/>
      </c>
      <c r="B470" s="148" t="str">
        <f ca="1">IFERROR(Prices!B469/Prices!B468-1,"")</f>
        <v/>
      </c>
      <c r="C470" s="148" t="str">
        <f ca="1">IFERROR(Prices!C469/Prices!C468-1,"")</f>
        <v/>
      </c>
      <c r="D470" s="148" t="str">
        <f ca="1">IFERROR(Prices!D469/Prices!D468-1,"")</f>
        <v/>
      </c>
      <c r="E470" s="148" t="str">
        <f ca="1">IFERROR(Prices!E469/Prices!E468-1,"")</f>
        <v/>
      </c>
      <c r="F470" s="148" t="str">
        <f ca="1">IFERROR(Prices!F469/Prices!F468-1,"")</f>
        <v/>
      </c>
      <c r="G470" s="148" t="str">
        <f ca="1">IFERROR(Prices!G469/Prices!G468-1,"")</f>
        <v/>
      </c>
      <c r="H470" s="148" t="str">
        <f ca="1">IFERROR(Prices!H469/Prices!H468-1,"")</f>
        <v/>
      </c>
      <c r="I470" s="149" t="str">
        <f ca="1">IFERROR(Prices!I469/Prices!I468-1,"")</f>
        <v/>
      </c>
      <c r="J470" s="150">
        <f t="shared" ca="1" si="9"/>
        <v>0</v>
      </c>
      <c r="K470" s="112"/>
      <c r="L470" s="112"/>
      <c r="M470" s="112"/>
    </row>
    <row r="471" spans="1:13" x14ac:dyDescent="0.3">
      <c r="A471" s="147" t="str">
        <f ca="1">Prices!$A$470</f>
        <v/>
      </c>
      <c r="B471" s="148" t="str">
        <f ca="1">IFERROR(Prices!B470/Prices!B469-1,"")</f>
        <v/>
      </c>
      <c r="C471" s="148" t="str">
        <f ca="1">IFERROR(Prices!C470/Prices!C469-1,"")</f>
        <v/>
      </c>
      <c r="D471" s="148" t="str">
        <f ca="1">IFERROR(Prices!D470/Prices!D469-1,"")</f>
        <v/>
      </c>
      <c r="E471" s="148" t="str">
        <f ca="1">IFERROR(Prices!E470/Prices!E469-1,"")</f>
        <v/>
      </c>
      <c r="F471" s="148" t="str">
        <f ca="1">IFERROR(Prices!F470/Prices!F469-1,"")</f>
        <v/>
      </c>
      <c r="G471" s="148" t="str">
        <f ca="1">IFERROR(Prices!G470/Prices!G469-1,"")</f>
        <v/>
      </c>
      <c r="H471" s="148" t="str">
        <f ca="1">IFERROR(Prices!H470/Prices!H469-1,"")</f>
        <v/>
      </c>
      <c r="I471" s="149" t="str">
        <f ca="1">IFERROR(Prices!I470/Prices!I469-1,"")</f>
        <v/>
      </c>
      <c r="J471" s="150">
        <f t="shared" ca="1" si="9"/>
        <v>0</v>
      </c>
      <c r="K471" s="112"/>
      <c r="L471" s="112"/>
      <c r="M471" s="112"/>
    </row>
    <row r="472" spans="1:13" x14ac:dyDescent="0.3">
      <c r="A472" s="147" t="str">
        <f ca="1">Prices!$A$471</f>
        <v/>
      </c>
      <c r="B472" s="148" t="str">
        <f ca="1">IFERROR(Prices!B471/Prices!B470-1,"")</f>
        <v/>
      </c>
      <c r="C472" s="148" t="str">
        <f ca="1">IFERROR(Prices!C471/Prices!C470-1,"")</f>
        <v/>
      </c>
      <c r="D472" s="148" t="str">
        <f ca="1">IFERROR(Prices!D471/Prices!D470-1,"")</f>
        <v/>
      </c>
      <c r="E472" s="148" t="str">
        <f ca="1">IFERROR(Prices!E471/Prices!E470-1,"")</f>
        <v/>
      </c>
      <c r="F472" s="148" t="str">
        <f ca="1">IFERROR(Prices!F471/Prices!F470-1,"")</f>
        <v/>
      </c>
      <c r="G472" s="148" t="str">
        <f ca="1">IFERROR(Prices!G471/Prices!G470-1,"")</f>
        <v/>
      </c>
      <c r="H472" s="148" t="str">
        <f ca="1">IFERROR(Prices!H471/Prices!H470-1,"")</f>
        <v/>
      </c>
      <c r="I472" s="149" t="str">
        <f ca="1">IFERROR(Prices!I471/Prices!I470-1,"")</f>
        <v/>
      </c>
      <c r="J472" s="150">
        <f t="shared" ca="1" si="9"/>
        <v>0</v>
      </c>
      <c r="K472" s="112"/>
      <c r="L472" s="112"/>
      <c r="M472" s="112"/>
    </row>
    <row r="473" spans="1:13" x14ac:dyDescent="0.3">
      <c r="A473" s="147" t="str">
        <f ca="1">Prices!$A$472</f>
        <v/>
      </c>
      <c r="B473" s="148" t="str">
        <f ca="1">IFERROR(Prices!B472/Prices!B471-1,"")</f>
        <v/>
      </c>
      <c r="C473" s="148" t="str">
        <f ca="1">IFERROR(Prices!C472/Prices!C471-1,"")</f>
        <v/>
      </c>
      <c r="D473" s="148" t="str">
        <f ca="1">IFERROR(Prices!D472/Prices!D471-1,"")</f>
        <v/>
      </c>
      <c r="E473" s="148" t="str">
        <f ca="1">IFERROR(Prices!E472/Prices!E471-1,"")</f>
        <v/>
      </c>
      <c r="F473" s="148" t="str">
        <f ca="1">IFERROR(Prices!F472/Prices!F471-1,"")</f>
        <v/>
      </c>
      <c r="G473" s="148" t="str">
        <f ca="1">IFERROR(Prices!G472/Prices!G471-1,"")</f>
        <v/>
      </c>
      <c r="H473" s="148" t="str">
        <f ca="1">IFERROR(Prices!H472/Prices!H471-1,"")</f>
        <v/>
      </c>
      <c r="I473" s="149" t="str">
        <f ca="1">IFERROR(Prices!I472/Prices!I471-1,"")</f>
        <v/>
      </c>
      <c r="J473" s="150">
        <f t="shared" ca="1" si="9"/>
        <v>0</v>
      </c>
      <c r="K473" s="112"/>
      <c r="L473" s="112"/>
      <c r="M473" s="112"/>
    </row>
    <row r="474" spans="1:13" x14ac:dyDescent="0.3">
      <c r="A474" s="147" t="str">
        <f ca="1">Prices!$A$473</f>
        <v/>
      </c>
      <c r="B474" s="148" t="str">
        <f ca="1">IFERROR(Prices!B473/Prices!B472-1,"")</f>
        <v/>
      </c>
      <c r="C474" s="148" t="str">
        <f ca="1">IFERROR(Prices!C473/Prices!C472-1,"")</f>
        <v/>
      </c>
      <c r="D474" s="148" t="str">
        <f ca="1">IFERROR(Prices!D473/Prices!D472-1,"")</f>
        <v/>
      </c>
      <c r="E474" s="148" t="str">
        <f ca="1">IFERROR(Prices!E473/Prices!E472-1,"")</f>
        <v/>
      </c>
      <c r="F474" s="148" t="str">
        <f ca="1">IFERROR(Prices!F473/Prices!F472-1,"")</f>
        <v/>
      </c>
      <c r="G474" s="148" t="str">
        <f ca="1">IFERROR(Prices!G473/Prices!G472-1,"")</f>
        <v/>
      </c>
      <c r="H474" s="148" t="str">
        <f ca="1">IFERROR(Prices!H473/Prices!H472-1,"")</f>
        <v/>
      </c>
      <c r="I474" s="149" t="str">
        <f ca="1">IFERROR(Prices!I473/Prices!I472-1,"")</f>
        <v/>
      </c>
      <c r="J474" s="150">
        <f t="shared" ca="1" si="9"/>
        <v>0</v>
      </c>
      <c r="K474" s="112"/>
      <c r="L474" s="112"/>
      <c r="M474" s="112"/>
    </row>
    <row r="475" spans="1:13" x14ac:dyDescent="0.3">
      <c r="A475" s="147" t="str">
        <f ca="1">Prices!$A$474</f>
        <v/>
      </c>
      <c r="B475" s="148" t="str">
        <f ca="1">IFERROR(Prices!B474/Prices!B473-1,"")</f>
        <v/>
      </c>
      <c r="C475" s="148" t="str">
        <f ca="1">IFERROR(Prices!C474/Prices!C473-1,"")</f>
        <v/>
      </c>
      <c r="D475" s="148" t="str">
        <f ca="1">IFERROR(Prices!D474/Prices!D473-1,"")</f>
        <v/>
      </c>
      <c r="E475" s="148" t="str">
        <f ca="1">IFERROR(Prices!E474/Prices!E473-1,"")</f>
        <v/>
      </c>
      <c r="F475" s="148" t="str">
        <f ca="1">IFERROR(Prices!F474/Prices!F473-1,"")</f>
        <v/>
      </c>
      <c r="G475" s="148" t="str">
        <f ca="1">IFERROR(Prices!G474/Prices!G473-1,"")</f>
        <v/>
      </c>
      <c r="H475" s="148" t="str">
        <f ca="1">IFERROR(Prices!H474/Prices!H473-1,"")</f>
        <v/>
      </c>
      <c r="I475" s="149" t="str">
        <f ca="1">IFERROR(Prices!I474/Prices!I473-1,"")</f>
        <v/>
      </c>
      <c r="J475" s="150">
        <f t="shared" ca="1" si="9"/>
        <v>0</v>
      </c>
      <c r="K475" s="112"/>
      <c r="L475" s="112"/>
      <c r="M475" s="112"/>
    </row>
    <row r="476" spans="1:13" x14ac:dyDescent="0.3">
      <c r="A476" s="147" t="str">
        <f ca="1">Prices!$A$475</f>
        <v/>
      </c>
      <c r="B476" s="148" t="str">
        <f ca="1">IFERROR(Prices!B475/Prices!B474-1,"")</f>
        <v/>
      </c>
      <c r="C476" s="148" t="str">
        <f ca="1">IFERROR(Prices!C475/Prices!C474-1,"")</f>
        <v/>
      </c>
      <c r="D476" s="148" t="str">
        <f ca="1">IFERROR(Prices!D475/Prices!D474-1,"")</f>
        <v/>
      </c>
      <c r="E476" s="148" t="str">
        <f ca="1">IFERROR(Prices!E475/Prices!E474-1,"")</f>
        <v/>
      </c>
      <c r="F476" s="148" t="str">
        <f ca="1">IFERROR(Prices!F475/Prices!F474-1,"")</f>
        <v/>
      </c>
      <c r="G476" s="148" t="str">
        <f ca="1">IFERROR(Prices!G475/Prices!G474-1,"")</f>
        <v/>
      </c>
      <c r="H476" s="148" t="str">
        <f ca="1">IFERROR(Prices!H475/Prices!H474-1,"")</f>
        <v/>
      </c>
      <c r="I476" s="149" t="str">
        <f ca="1">IFERROR(Prices!I475/Prices!I474-1,"")</f>
        <v/>
      </c>
      <c r="J476" s="150">
        <f t="shared" ca="1" si="9"/>
        <v>0</v>
      </c>
      <c r="K476" s="112"/>
      <c r="L476" s="112"/>
      <c r="M476" s="112"/>
    </row>
    <row r="477" spans="1:13" x14ac:dyDescent="0.3">
      <c r="A477" s="147" t="str">
        <f ca="1">Prices!$A$476</f>
        <v/>
      </c>
      <c r="B477" s="148" t="str">
        <f ca="1">IFERROR(Prices!B476/Prices!B475-1,"")</f>
        <v/>
      </c>
      <c r="C477" s="148" t="str">
        <f ca="1">IFERROR(Prices!C476/Prices!C475-1,"")</f>
        <v/>
      </c>
      <c r="D477" s="148" t="str">
        <f ca="1">IFERROR(Prices!D476/Prices!D475-1,"")</f>
        <v/>
      </c>
      <c r="E477" s="148" t="str">
        <f ca="1">IFERROR(Prices!E476/Prices!E475-1,"")</f>
        <v/>
      </c>
      <c r="F477" s="148" t="str">
        <f ca="1">IFERROR(Prices!F476/Prices!F475-1,"")</f>
        <v/>
      </c>
      <c r="G477" s="148" t="str">
        <f ca="1">IFERROR(Prices!G476/Prices!G475-1,"")</f>
        <v/>
      </c>
      <c r="H477" s="148" t="str">
        <f ca="1">IFERROR(Prices!H476/Prices!H475-1,"")</f>
        <v/>
      </c>
      <c r="I477" s="149" t="str">
        <f ca="1">IFERROR(Prices!I476/Prices!I475-1,"")</f>
        <v/>
      </c>
      <c r="J477" s="150">
        <f t="shared" ca="1" si="9"/>
        <v>0</v>
      </c>
      <c r="K477" s="112"/>
      <c r="L477" s="112"/>
      <c r="M477" s="112"/>
    </row>
    <row r="478" spans="1:13" x14ac:dyDescent="0.3">
      <c r="A478" s="147" t="str">
        <f ca="1">Prices!$A$477</f>
        <v/>
      </c>
      <c r="B478" s="148" t="str">
        <f ca="1">IFERROR(Prices!B477/Prices!B476-1,"")</f>
        <v/>
      </c>
      <c r="C478" s="148" t="str">
        <f ca="1">IFERROR(Prices!C477/Prices!C476-1,"")</f>
        <v/>
      </c>
      <c r="D478" s="148" t="str">
        <f ca="1">IFERROR(Prices!D477/Prices!D476-1,"")</f>
        <v/>
      </c>
      <c r="E478" s="148" t="str">
        <f ca="1">IFERROR(Prices!E477/Prices!E476-1,"")</f>
        <v/>
      </c>
      <c r="F478" s="148" t="str">
        <f ca="1">IFERROR(Prices!F477/Prices!F476-1,"")</f>
        <v/>
      </c>
      <c r="G478" s="148" t="str">
        <f ca="1">IFERROR(Prices!G477/Prices!G476-1,"")</f>
        <v/>
      </c>
      <c r="H478" s="148" t="str">
        <f ca="1">IFERROR(Prices!H477/Prices!H476-1,"")</f>
        <v/>
      </c>
      <c r="I478" s="149" t="str">
        <f ca="1">IFERROR(Prices!I477/Prices!I476-1,"")</f>
        <v/>
      </c>
      <c r="J478" s="150">
        <f t="shared" ca="1" si="9"/>
        <v>0</v>
      </c>
      <c r="K478" s="112"/>
      <c r="L478" s="112"/>
      <c r="M478" s="112"/>
    </row>
    <row r="479" spans="1:13" x14ac:dyDescent="0.3">
      <c r="A479" s="147" t="str">
        <f ca="1">Prices!$A$478</f>
        <v/>
      </c>
      <c r="B479" s="148" t="str">
        <f ca="1">IFERROR(Prices!B478/Prices!B477-1,"")</f>
        <v/>
      </c>
      <c r="C479" s="148" t="str">
        <f ca="1">IFERROR(Prices!C478/Prices!C477-1,"")</f>
        <v/>
      </c>
      <c r="D479" s="148" t="str">
        <f ca="1">IFERROR(Prices!D478/Prices!D477-1,"")</f>
        <v/>
      </c>
      <c r="E479" s="148" t="str">
        <f ca="1">IFERROR(Prices!E478/Prices!E477-1,"")</f>
        <v/>
      </c>
      <c r="F479" s="148" t="str">
        <f ca="1">IFERROR(Prices!F478/Prices!F477-1,"")</f>
        <v/>
      </c>
      <c r="G479" s="148" t="str">
        <f ca="1">IFERROR(Prices!G478/Prices!G477-1,"")</f>
        <v/>
      </c>
      <c r="H479" s="148" t="str">
        <f ca="1">IFERROR(Prices!H478/Prices!H477-1,"")</f>
        <v/>
      </c>
      <c r="I479" s="149" t="str">
        <f ca="1">IFERROR(Prices!I478/Prices!I477-1,"")</f>
        <v/>
      </c>
      <c r="J479" s="150">
        <f t="shared" ca="1" si="9"/>
        <v>0</v>
      </c>
      <c r="K479" s="112"/>
      <c r="L479" s="112"/>
      <c r="M479" s="112"/>
    </row>
    <row r="480" spans="1:13" x14ac:dyDescent="0.3">
      <c r="A480" s="147" t="str">
        <f ca="1">Prices!$A$479</f>
        <v/>
      </c>
      <c r="B480" s="148" t="str">
        <f ca="1">IFERROR(Prices!B479/Prices!B478-1,"")</f>
        <v/>
      </c>
      <c r="C480" s="148" t="str">
        <f ca="1">IFERROR(Prices!C479/Prices!C478-1,"")</f>
        <v/>
      </c>
      <c r="D480" s="148" t="str">
        <f ca="1">IFERROR(Prices!D479/Prices!D478-1,"")</f>
        <v/>
      </c>
      <c r="E480" s="148" t="str">
        <f ca="1">IFERROR(Prices!E479/Prices!E478-1,"")</f>
        <v/>
      </c>
      <c r="F480" s="148" t="str">
        <f ca="1">IFERROR(Prices!F479/Prices!F478-1,"")</f>
        <v/>
      </c>
      <c r="G480" s="148" t="str">
        <f ca="1">IFERROR(Prices!G479/Prices!G478-1,"")</f>
        <v/>
      </c>
      <c r="H480" s="148" t="str">
        <f ca="1">IFERROR(Prices!H479/Prices!H478-1,"")</f>
        <v/>
      </c>
      <c r="I480" s="149" t="str">
        <f ca="1">IFERROR(Prices!I479/Prices!I478-1,"")</f>
        <v/>
      </c>
      <c r="J480" s="150">
        <f t="shared" ca="1" si="9"/>
        <v>0</v>
      </c>
      <c r="K480" s="112"/>
      <c r="L480" s="112"/>
      <c r="M480" s="112"/>
    </row>
    <row r="481" spans="1:13" x14ac:dyDescent="0.3">
      <c r="A481" s="147" t="str">
        <f ca="1">Prices!$A$480</f>
        <v/>
      </c>
      <c r="B481" s="148" t="str">
        <f ca="1">IFERROR(Prices!B480/Prices!B479-1,"")</f>
        <v/>
      </c>
      <c r="C481" s="148" t="str">
        <f ca="1">IFERROR(Prices!C480/Prices!C479-1,"")</f>
        <v/>
      </c>
      <c r="D481" s="148" t="str">
        <f ca="1">IFERROR(Prices!D480/Prices!D479-1,"")</f>
        <v/>
      </c>
      <c r="E481" s="148" t="str">
        <f ca="1">IFERROR(Prices!E480/Prices!E479-1,"")</f>
        <v/>
      </c>
      <c r="F481" s="148" t="str">
        <f ca="1">IFERROR(Prices!F480/Prices!F479-1,"")</f>
        <v/>
      </c>
      <c r="G481" s="148" t="str">
        <f ca="1">IFERROR(Prices!G480/Prices!G479-1,"")</f>
        <v/>
      </c>
      <c r="H481" s="148" t="str">
        <f ca="1">IFERROR(Prices!H480/Prices!H479-1,"")</f>
        <v/>
      </c>
      <c r="I481" s="149" t="str">
        <f ca="1">IFERROR(Prices!I480/Prices!I479-1,"")</f>
        <v/>
      </c>
      <c r="J481" s="150">
        <f t="shared" ca="1" si="9"/>
        <v>0</v>
      </c>
      <c r="K481" s="112"/>
      <c r="L481" s="112"/>
      <c r="M481" s="112"/>
    </row>
    <row r="482" spans="1:13" x14ac:dyDescent="0.3">
      <c r="A482" s="147" t="str">
        <f ca="1">Prices!$A$481</f>
        <v/>
      </c>
      <c r="B482" s="148" t="str">
        <f ca="1">IFERROR(Prices!B481/Prices!B480-1,"")</f>
        <v/>
      </c>
      <c r="C482" s="148" t="str">
        <f ca="1">IFERROR(Prices!C481/Prices!C480-1,"")</f>
        <v/>
      </c>
      <c r="D482" s="148" t="str">
        <f ca="1">IFERROR(Prices!D481/Prices!D480-1,"")</f>
        <v/>
      </c>
      <c r="E482" s="148" t="str">
        <f ca="1">IFERROR(Prices!E481/Prices!E480-1,"")</f>
        <v/>
      </c>
      <c r="F482" s="148" t="str">
        <f ca="1">IFERROR(Prices!F481/Prices!F480-1,"")</f>
        <v/>
      </c>
      <c r="G482" s="148" t="str">
        <f ca="1">IFERROR(Prices!G481/Prices!G480-1,"")</f>
        <v/>
      </c>
      <c r="H482" s="148" t="str">
        <f ca="1">IFERROR(Prices!H481/Prices!H480-1,"")</f>
        <v/>
      </c>
      <c r="I482" s="149" t="str">
        <f ca="1">IFERROR(Prices!I481/Prices!I480-1,"")</f>
        <v/>
      </c>
      <c r="J482" s="150">
        <f t="shared" ca="1" si="9"/>
        <v>0</v>
      </c>
      <c r="K482" s="112"/>
      <c r="L482" s="112"/>
      <c r="M482" s="112"/>
    </row>
    <row r="483" spans="1:13" x14ac:dyDescent="0.3">
      <c r="A483" s="147" t="str">
        <f ca="1">Prices!$A$482</f>
        <v/>
      </c>
      <c r="B483" s="148" t="str">
        <f ca="1">IFERROR(Prices!B482/Prices!B481-1,"")</f>
        <v/>
      </c>
      <c r="C483" s="148" t="str">
        <f ca="1">IFERROR(Prices!C482/Prices!C481-1,"")</f>
        <v/>
      </c>
      <c r="D483" s="148" t="str">
        <f ca="1">IFERROR(Prices!D482/Prices!D481-1,"")</f>
        <v/>
      </c>
      <c r="E483" s="148" t="str">
        <f ca="1">IFERROR(Prices!E482/Prices!E481-1,"")</f>
        <v/>
      </c>
      <c r="F483" s="148" t="str">
        <f ca="1">IFERROR(Prices!F482/Prices!F481-1,"")</f>
        <v/>
      </c>
      <c r="G483" s="148" t="str">
        <f ca="1">IFERROR(Prices!G482/Prices!G481-1,"")</f>
        <v/>
      </c>
      <c r="H483" s="148" t="str">
        <f ca="1">IFERROR(Prices!H482/Prices!H481-1,"")</f>
        <v/>
      </c>
      <c r="I483" s="149" t="str">
        <f ca="1">IFERROR(Prices!I482/Prices!I481-1,"")</f>
        <v/>
      </c>
      <c r="J483" s="150">
        <f t="shared" ca="1" si="9"/>
        <v>0</v>
      </c>
      <c r="K483" s="112"/>
      <c r="L483" s="112"/>
      <c r="M483" s="112"/>
    </row>
    <row r="484" spans="1:13" x14ac:dyDescent="0.3">
      <c r="A484" s="147" t="str">
        <f ca="1">Prices!$A$483</f>
        <v/>
      </c>
      <c r="B484" s="148" t="str">
        <f ca="1">IFERROR(Prices!B483/Prices!B482-1,"")</f>
        <v/>
      </c>
      <c r="C484" s="148" t="str">
        <f ca="1">IFERROR(Prices!C483/Prices!C482-1,"")</f>
        <v/>
      </c>
      <c r="D484" s="148" t="str">
        <f ca="1">IFERROR(Prices!D483/Prices!D482-1,"")</f>
        <v/>
      </c>
      <c r="E484" s="148" t="str">
        <f ca="1">IFERROR(Prices!E483/Prices!E482-1,"")</f>
        <v/>
      </c>
      <c r="F484" s="148" t="str">
        <f ca="1">IFERROR(Prices!F483/Prices!F482-1,"")</f>
        <v/>
      </c>
      <c r="G484" s="148" t="str">
        <f ca="1">IFERROR(Prices!G483/Prices!G482-1,"")</f>
        <v/>
      </c>
      <c r="H484" s="148" t="str">
        <f ca="1">IFERROR(Prices!H483/Prices!H482-1,"")</f>
        <v/>
      </c>
      <c r="I484" s="149" t="str">
        <f ca="1">IFERROR(Prices!I483/Prices!I482-1,"")</f>
        <v/>
      </c>
      <c r="J484" s="150">
        <f t="shared" ca="1" si="9"/>
        <v>0</v>
      </c>
      <c r="K484" s="112"/>
      <c r="L484" s="112"/>
      <c r="M484" s="112"/>
    </row>
    <row r="485" spans="1:13" x14ac:dyDescent="0.3">
      <c r="A485" s="147" t="str">
        <f ca="1">Prices!$A$484</f>
        <v/>
      </c>
      <c r="B485" s="148" t="str">
        <f ca="1">IFERROR(Prices!B484/Prices!B483-1,"")</f>
        <v/>
      </c>
      <c r="C485" s="148" t="str">
        <f ca="1">IFERROR(Prices!C484/Prices!C483-1,"")</f>
        <v/>
      </c>
      <c r="D485" s="148" t="str">
        <f ca="1">IFERROR(Prices!D484/Prices!D483-1,"")</f>
        <v/>
      </c>
      <c r="E485" s="148" t="str">
        <f ca="1">IFERROR(Prices!E484/Prices!E483-1,"")</f>
        <v/>
      </c>
      <c r="F485" s="148" t="str">
        <f ca="1">IFERROR(Prices!F484/Prices!F483-1,"")</f>
        <v/>
      </c>
      <c r="G485" s="148" t="str">
        <f ca="1">IFERROR(Prices!G484/Prices!G483-1,"")</f>
        <v/>
      </c>
      <c r="H485" s="148" t="str">
        <f ca="1">IFERROR(Prices!H484/Prices!H483-1,"")</f>
        <v/>
      </c>
      <c r="I485" s="149" t="str">
        <f ca="1">IFERROR(Prices!I484/Prices!I483-1,"")</f>
        <v/>
      </c>
      <c r="J485" s="150">
        <f t="shared" ca="1" si="9"/>
        <v>0</v>
      </c>
      <c r="K485" s="112"/>
      <c r="L485" s="112"/>
      <c r="M485" s="112"/>
    </row>
    <row r="486" spans="1:13" x14ac:dyDescent="0.3">
      <c r="A486" s="147" t="str">
        <f ca="1">Prices!$A$485</f>
        <v/>
      </c>
      <c r="B486" s="148" t="str">
        <f ca="1">IFERROR(Prices!B485/Prices!B484-1,"")</f>
        <v/>
      </c>
      <c r="C486" s="148" t="str">
        <f ca="1">IFERROR(Prices!C485/Prices!C484-1,"")</f>
        <v/>
      </c>
      <c r="D486" s="148" t="str">
        <f ca="1">IFERROR(Prices!D485/Prices!D484-1,"")</f>
        <v/>
      </c>
      <c r="E486" s="148" t="str">
        <f ca="1">IFERROR(Prices!E485/Prices!E484-1,"")</f>
        <v/>
      </c>
      <c r="F486" s="148" t="str">
        <f ca="1">IFERROR(Prices!F485/Prices!F484-1,"")</f>
        <v/>
      </c>
      <c r="G486" s="148" t="str">
        <f ca="1">IFERROR(Prices!G485/Prices!G484-1,"")</f>
        <v/>
      </c>
      <c r="H486" s="148" t="str">
        <f ca="1">IFERROR(Prices!H485/Prices!H484-1,"")</f>
        <v/>
      </c>
      <c r="I486" s="149" t="str">
        <f ca="1">IFERROR(Prices!I485/Prices!I484-1,"")</f>
        <v/>
      </c>
      <c r="J486" s="150">
        <f t="shared" ca="1" si="9"/>
        <v>0</v>
      </c>
      <c r="K486" s="112"/>
      <c r="L486" s="112"/>
      <c r="M486" s="112"/>
    </row>
    <row r="487" spans="1:13" x14ac:dyDescent="0.3">
      <c r="A487" s="147" t="str">
        <f ca="1">Prices!$A$486</f>
        <v/>
      </c>
      <c r="B487" s="148" t="str">
        <f ca="1">IFERROR(Prices!B486/Prices!B485-1,"")</f>
        <v/>
      </c>
      <c r="C487" s="148" t="str">
        <f ca="1">IFERROR(Prices!C486/Prices!C485-1,"")</f>
        <v/>
      </c>
      <c r="D487" s="148" t="str">
        <f ca="1">IFERROR(Prices!D486/Prices!D485-1,"")</f>
        <v/>
      </c>
      <c r="E487" s="148" t="str">
        <f ca="1">IFERROR(Prices!E486/Prices!E485-1,"")</f>
        <v/>
      </c>
      <c r="F487" s="148" t="str">
        <f ca="1">IFERROR(Prices!F486/Prices!F485-1,"")</f>
        <v/>
      </c>
      <c r="G487" s="148" t="str">
        <f ca="1">IFERROR(Prices!G486/Prices!G485-1,"")</f>
        <v/>
      </c>
      <c r="H487" s="148" t="str">
        <f ca="1">IFERROR(Prices!H486/Prices!H485-1,"")</f>
        <v/>
      </c>
      <c r="I487" s="149" t="str">
        <f ca="1">IFERROR(Prices!I486/Prices!I485-1,"")</f>
        <v/>
      </c>
      <c r="J487" s="150">
        <f t="shared" ca="1" si="9"/>
        <v>0</v>
      </c>
      <c r="K487" s="112"/>
      <c r="L487" s="112"/>
      <c r="M487" s="112"/>
    </row>
    <row r="488" spans="1:13" x14ac:dyDescent="0.3">
      <c r="A488" s="147" t="str">
        <f ca="1">Prices!$A$487</f>
        <v/>
      </c>
      <c r="B488" s="148" t="str">
        <f ca="1">IFERROR(Prices!B487/Prices!B486-1,"")</f>
        <v/>
      </c>
      <c r="C488" s="148" t="str">
        <f ca="1">IFERROR(Prices!C487/Prices!C486-1,"")</f>
        <v/>
      </c>
      <c r="D488" s="148" t="str">
        <f ca="1">IFERROR(Prices!D487/Prices!D486-1,"")</f>
        <v/>
      </c>
      <c r="E488" s="148" t="str">
        <f ca="1">IFERROR(Prices!E487/Prices!E486-1,"")</f>
        <v/>
      </c>
      <c r="F488" s="148" t="str">
        <f ca="1">IFERROR(Prices!F487/Prices!F486-1,"")</f>
        <v/>
      </c>
      <c r="G488" s="148" t="str">
        <f ca="1">IFERROR(Prices!G487/Prices!G486-1,"")</f>
        <v/>
      </c>
      <c r="H488" s="148" t="str">
        <f ca="1">IFERROR(Prices!H487/Prices!H486-1,"")</f>
        <v/>
      </c>
      <c r="I488" s="149" t="str">
        <f ca="1">IFERROR(Prices!I487/Prices!I486-1,"")</f>
        <v/>
      </c>
      <c r="J488" s="150">
        <f t="shared" ca="1" si="9"/>
        <v>0</v>
      </c>
      <c r="K488" s="112"/>
      <c r="L488" s="112"/>
      <c r="M488" s="112"/>
    </row>
    <row r="489" spans="1:13" x14ac:dyDescent="0.3">
      <c r="A489" s="147" t="str">
        <f ca="1">Prices!$A$488</f>
        <v/>
      </c>
      <c r="B489" s="148" t="str">
        <f ca="1">IFERROR(Prices!B488/Prices!B487-1,"")</f>
        <v/>
      </c>
      <c r="C489" s="148" t="str">
        <f ca="1">IFERROR(Prices!C488/Prices!C487-1,"")</f>
        <v/>
      </c>
      <c r="D489" s="148" t="str">
        <f ca="1">IFERROR(Prices!D488/Prices!D487-1,"")</f>
        <v/>
      </c>
      <c r="E489" s="148" t="str">
        <f ca="1">IFERROR(Prices!E488/Prices!E487-1,"")</f>
        <v/>
      </c>
      <c r="F489" s="148" t="str">
        <f ca="1">IFERROR(Prices!F488/Prices!F487-1,"")</f>
        <v/>
      </c>
      <c r="G489" s="148" t="str">
        <f ca="1">IFERROR(Prices!G488/Prices!G487-1,"")</f>
        <v/>
      </c>
      <c r="H489" s="148" t="str">
        <f ca="1">IFERROR(Prices!H488/Prices!H487-1,"")</f>
        <v/>
      </c>
      <c r="I489" s="149" t="str">
        <f ca="1">IFERROR(Prices!I488/Prices!I487-1,"")</f>
        <v/>
      </c>
      <c r="J489" s="150">
        <f t="shared" ca="1" si="9"/>
        <v>0</v>
      </c>
      <c r="K489" s="112"/>
      <c r="L489" s="112"/>
      <c r="M489" s="112"/>
    </row>
    <row r="490" spans="1:13" x14ac:dyDescent="0.3">
      <c r="A490" s="147" t="str">
        <f ca="1">Prices!$A$489</f>
        <v/>
      </c>
      <c r="B490" s="148" t="str">
        <f ca="1">IFERROR(Prices!B489/Prices!B488-1,"")</f>
        <v/>
      </c>
      <c r="C490" s="148" t="str">
        <f ca="1">IFERROR(Prices!C489/Prices!C488-1,"")</f>
        <v/>
      </c>
      <c r="D490" s="148" t="str">
        <f ca="1">IFERROR(Prices!D489/Prices!D488-1,"")</f>
        <v/>
      </c>
      <c r="E490" s="148" t="str">
        <f ca="1">IFERROR(Prices!E489/Prices!E488-1,"")</f>
        <v/>
      </c>
      <c r="F490" s="148" t="str">
        <f ca="1">IFERROR(Prices!F489/Prices!F488-1,"")</f>
        <v/>
      </c>
      <c r="G490" s="148" t="str">
        <f ca="1">IFERROR(Prices!G489/Prices!G488-1,"")</f>
        <v/>
      </c>
      <c r="H490" s="148" t="str">
        <f ca="1">IFERROR(Prices!H489/Prices!H488-1,"")</f>
        <v/>
      </c>
      <c r="I490" s="149" t="str">
        <f ca="1">IFERROR(Prices!I489/Prices!I488-1,"")</f>
        <v/>
      </c>
      <c r="J490" s="150">
        <f t="shared" ca="1" si="9"/>
        <v>0</v>
      </c>
      <c r="K490" s="112"/>
      <c r="L490" s="112"/>
      <c r="M490" s="112"/>
    </row>
    <row r="491" spans="1:13" x14ac:dyDescent="0.3">
      <c r="A491" s="147" t="str">
        <f ca="1">Prices!$A$490</f>
        <v/>
      </c>
      <c r="B491" s="148" t="str">
        <f ca="1">IFERROR(Prices!B490/Prices!B489-1,"")</f>
        <v/>
      </c>
      <c r="C491" s="148" t="str">
        <f ca="1">IFERROR(Prices!C490/Prices!C489-1,"")</f>
        <v/>
      </c>
      <c r="D491" s="148" t="str">
        <f ca="1">IFERROR(Prices!D490/Prices!D489-1,"")</f>
        <v/>
      </c>
      <c r="E491" s="148" t="str">
        <f ca="1">IFERROR(Prices!E490/Prices!E489-1,"")</f>
        <v/>
      </c>
      <c r="F491" s="148" t="str">
        <f ca="1">IFERROR(Prices!F490/Prices!F489-1,"")</f>
        <v/>
      </c>
      <c r="G491" s="148" t="str">
        <f ca="1">IFERROR(Prices!G490/Prices!G489-1,"")</f>
        <v/>
      </c>
      <c r="H491" s="148" t="str">
        <f ca="1">IFERROR(Prices!H490/Prices!H489-1,"")</f>
        <v/>
      </c>
      <c r="I491" s="149" t="str">
        <f ca="1">IFERROR(Prices!I490/Prices!I489-1,"")</f>
        <v/>
      </c>
      <c r="J491" s="150">
        <f t="shared" ca="1" si="9"/>
        <v>0</v>
      </c>
      <c r="K491" s="112"/>
      <c r="L491" s="112"/>
      <c r="M491" s="112"/>
    </row>
    <row r="492" spans="1:13" x14ac:dyDescent="0.3">
      <c r="A492" s="147" t="str">
        <f ca="1">Prices!$A$491</f>
        <v/>
      </c>
      <c r="B492" s="148" t="str">
        <f ca="1">IFERROR(Prices!B491/Prices!B490-1,"")</f>
        <v/>
      </c>
      <c r="C492" s="148" t="str">
        <f ca="1">IFERROR(Prices!C491/Prices!C490-1,"")</f>
        <v/>
      </c>
      <c r="D492" s="148" t="str">
        <f ca="1">IFERROR(Prices!D491/Prices!D490-1,"")</f>
        <v/>
      </c>
      <c r="E492" s="148" t="str">
        <f ca="1">IFERROR(Prices!E491/Prices!E490-1,"")</f>
        <v/>
      </c>
      <c r="F492" s="148" t="str">
        <f ca="1">IFERROR(Prices!F491/Prices!F490-1,"")</f>
        <v/>
      </c>
      <c r="G492" s="148" t="str">
        <f ca="1">IFERROR(Prices!G491/Prices!G490-1,"")</f>
        <v/>
      </c>
      <c r="H492" s="148" t="str">
        <f ca="1">IFERROR(Prices!H491/Prices!H490-1,"")</f>
        <v/>
      </c>
      <c r="I492" s="149" t="str">
        <f ca="1">IFERROR(Prices!I491/Prices!I490-1,"")</f>
        <v/>
      </c>
      <c r="J492" s="150">
        <f t="shared" ca="1" si="9"/>
        <v>0</v>
      </c>
      <c r="K492" s="112"/>
      <c r="L492" s="112"/>
      <c r="M492" s="112"/>
    </row>
    <row r="493" spans="1:13" x14ac:dyDescent="0.3">
      <c r="A493" s="147" t="str">
        <f ca="1">Prices!$A$492</f>
        <v/>
      </c>
      <c r="B493" s="148" t="str">
        <f ca="1">IFERROR(Prices!B492/Prices!B491-1,"")</f>
        <v/>
      </c>
      <c r="C493" s="148" t="str">
        <f ca="1">IFERROR(Prices!C492/Prices!C491-1,"")</f>
        <v/>
      </c>
      <c r="D493" s="148" t="str">
        <f ca="1">IFERROR(Prices!D492/Prices!D491-1,"")</f>
        <v/>
      </c>
      <c r="E493" s="148" t="str">
        <f ca="1">IFERROR(Prices!E492/Prices!E491-1,"")</f>
        <v/>
      </c>
      <c r="F493" s="148" t="str">
        <f ca="1">IFERROR(Prices!F492/Prices!F491-1,"")</f>
        <v/>
      </c>
      <c r="G493" s="148" t="str">
        <f ca="1">IFERROR(Prices!G492/Prices!G491-1,"")</f>
        <v/>
      </c>
      <c r="H493" s="148" t="str">
        <f ca="1">IFERROR(Prices!H492/Prices!H491-1,"")</f>
        <v/>
      </c>
      <c r="I493" s="149" t="str">
        <f ca="1">IFERROR(Prices!I492/Prices!I491-1,"")</f>
        <v/>
      </c>
      <c r="J493" s="150">
        <f t="shared" ca="1" si="9"/>
        <v>0</v>
      </c>
      <c r="K493" s="112"/>
      <c r="L493" s="112"/>
      <c r="M493" s="112"/>
    </row>
    <row r="494" spans="1:13" x14ac:dyDescent="0.3">
      <c r="A494" s="147" t="str">
        <f ca="1">Prices!$A$493</f>
        <v/>
      </c>
      <c r="B494" s="148" t="str">
        <f ca="1">IFERROR(Prices!B493/Prices!B492-1,"")</f>
        <v/>
      </c>
      <c r="C494" s="148" t="str">
        <f ca="1">IFERROR(Prices!C493/Prices!C492-1,"")</f>
        <v/>
      </c>
      <c r="D494" s="148" t="str">
        <f ca="1">IFERROR(Prices!D493/Prices!D492-1,"")</f>
        <v/>
      </c>
      <c r="E494" s="148" t="str">
        <f ca="1">IFERROR(Prices!E493/Prices!E492-1,"")</f>
        <v/>
      </c>
      <c r="F494" s="148" t="str">
        <f ca="1">IFERROR(Prices!F493/Prices!F492-1,"")</f>
        <v/>
      </c>
      <c r="G494" s="148" t="str">
        <f ca="1">IFERROR(Prices!G493/Prices!G492-1,"")</f>
        <v/>
      </c>
      <c r="H494" s="148" t="str">
        <f ca="1">IFERROR(Prices!H493/Prices!H492-1,"")</f>
        <v/>
      </c>
      <c r="I494" s="149" t="str">
        <f ca="1">IFERROR(Prices!I493/Prices!I492-1,"")</f>
        <v/>
      </c>
      <c r="J494" s="150">
        <f t="shared" ca="1" si="9"/>
        <v>0</v>
      </c>
      <c r="K494" s="112"/>
      <c r="L494" s="112"/>
      <c r="M494" s="112"/>
    </row>
    <row r="495" spans="1:13" x14ac:dyDescent="0.3">
      <c r="A495" s="147" t="str">
        <f ca="1">Prices!$A$494</f>
        <v/>
      </c>
      <c r="B495" s="148" t="str">
        <f ca="1">IFERROR(Prices!B494/Prices!B493-1,"")</f>
        <v/>
      </c>
      <c r="C495" s="148" t="str">
        <f ca="1">IFERROR(Prices!C494/Prices!C493-1,"")</f>
        <v/>
      </c>
      <c r="D495" s="148" t="str">
        <f ca="1">IFERROR(Prices!D494/Prices!D493-1,"")</f>
        <v/>
      </c>
      <c r="E495" s="148" t="str">
        <f ca="1">IFERROR(Prices!E494/Prices!E493-1,"")</f>
        <v/>
      </c>
      <c r="F495" s="148" t="str">
        <f ca="1">IFERROR(Prices!F494/Prices!F493-1,"")</f>
        <v/>
      </c>
      <c r="G495" s="148" t="str">
        <f ca="1">IFERROR(Prices!G494/Prices!G493-1,"")</f>
        <v/>
      </c>
      <c r="H495" s="148" t="str">
        <f ca="1">IFERROR(Prices!H494/Prices!H493-1,"")</f>
        <v/>
      </c>
      <c r="I495" s="149" t="str">
        <f ca="1">IFERROR(Prices!I494/Prices!I493-1,"")</f>
        <v/>
      </c>
      <c r="J495" s="150">
        <f t="shared" ca="1" si="9"/>
        <v>0</v>
      </c>
      <c r="K495" s="112"/>
      <c r="L495" s="112"/>
      <c r="M495" s="112"/>
    </row>
    <row r="496" spans="1:13" x14ac:dyDescent="0.3">
      <c r="A496" s="147" t="str">
        <f ca="1">Prices!$A$495</f>
        <v/>
      </c>
      <c r="B496" s="148" t="str">
        <f ca="1">IFERROR(Prices!B495/Prices!B494-1,"")</f>
        <v/>
      </c>
      <c r="C496" s="148" t="str">
        <f ca="1">IFERROR(Prices!C495/Prices!C494-1,"")</f>
        <v/>
      </c>
      <c r="D496" s="148" t="str">
        <f ca="1">IFERROR(Prices!D495/Prices!D494-1,"")</f>
        <v/>
      </c>
      <c r="E496" s="148" t="str">
        <f ca="1">IFERROR(Prices!E495/Prices!E494-1,"")</f>
        <v/>
      </c>
      <c r="F496" s="148" t="str">
        <f ca="1">IFERROR(Prices!F495/Prices!F494-1,"")</f>
        <v/>
      </c>
      <c r="G496" s="148" t="str">
        <f ca="1">IFERROR(Prices!G495/Prices!G494-1,"")</f>
        <v/>
      </c>
      <c r="H496" s="148" t="str">
        <f ca="1">IFERROR(Prices!H495/Prices!H494-1,"")</f>
        <v/>
      </c>
      <c r="I496" s="149" t="str">
        <f ca="1">IFERROR(Prices!I495/Prices!I494-1,"")</f>
        <v/>
      </c>
      <c r="J496" s="150">
        <f t="shared" ca="1" si="9"/>
        <v>0</v>
      </c>
      <c r="K496" s="112"/>
      <c r="L496" s="112"/>
      <c r="M496" s="112"/>
    </row>
    <row r="497" spans="1:13" x14ac:dyDescent="0.3">
      <c r="A497" s="147" t="str">
        <f ca="1">Prices!$A$496</f>
        <v/>
      </c>
      <c r="B497" s="148" t="str">
        <f ca="1">IFERROR(Prices!B496/Prices!B495-1,"")</f>
        <v/>
      </c>
      <c r="C497" s="148" t="str">
        <f ca="1">IFERROR(Prices!C496/Prices!C495-1,"")</f>
        <v/>
      </c>
      <c r="D497" s="148" t="str">
        <f ca="1">IFERROR(Prices!D496/Prices!D495-1,"")</f>
        <v/>
      </c>
      <c r="E497" s="148" t="str">
        <f ca="1">IFERROR(Prices!E496/Prices!E495-1,"")</f>
        <v/>
      </c>
      <c r="F497" s="148" t="str">
        <f ca="1">IFERROR(Prices!F496/Prices!F495-1,"")</f>
        <v/>
      </c>
      <c r="G497" s="148" t="str">
        <f ca="1">IFERROR(Prices!G496/Prices!G495-1,"")</f>
        <v/>
      </c>
      <c r="H497" s="148" t="str">
        <f ca="1">IFERROR(Prices!H496/Prices!H495-1,"")</f>
        <v/>
      </c>
      <c r="I497" s="149" t="str">
        <f ca="1">IFERROR(Prices!I496/Prices!I495-1,"")</f>
        <v/>
      </c>
      <c r="J497" s="150">
        <f t="shared" ca="1" si="9"/>
        <v>0</v>
      </c>
      <c r="K497" s="112"/>
      <c r="L497" s="112"/>
      <c r="M497" s="112"/>
    </row>
    <row r="498" spans="1:13" x14ac:dyDescent="0.3">
      <c r="A498" s="147" t="str">
        <f ca="1">Prices!$A$497</f>
        <v/>
      </c>
      <c r="B498" s="148" t="str">
        <f ca="1">IFERROR(Prices!B497/Prices!B496-1,"")</f>
        <v/>
      </c>
      <c r="C498" s="148" t="str">
        <f ca="1">IFERROR(Prices!C497/Prices!C496-1,"")</f>
        <v/>
      </c>
      <c r="D498" s="148" t="str">
        <f ca="1">IFERROR(Prices!D497/Prices!D496-1,"")</f>
        <v/>
      </c>
      <c r="E498" s="148" t="str">
        <f ca="1">IFERROR(Prices!E497/Prices!E496-1,"")</f>
        <v/>
      </c>
      <c r="F498" s="148" t="str">
        <f ca="1">IFERROR(Prices!F497/Prices!F496-1,"")</f>
        <v/>
      </c>
      <c r="G498" s="148" t="str">
        <f ca="1">IFERROR(Prices!G497/Prices!G496-1,"")</f>
        <v/>
      </c>
      <c r="H498" s="148" t="str">
        <f ca="1">IFERROR(Prices!H497/Prices!H496-1,"")</f>
        <v/>
      </c>
      <c r="I498" s="149" t="str">
        <f ca="1">IFERROR(Prices!I497/Prices!I496-1,"")</f>
        <v/>
      </c>
      <c r="J498" s="150">
        <f t="shared" ca="1" si="9"/>
        <v>0</v>
      </c>
      <c r="K498" s="112"/>
      <c r="L498" s="112"/>
      <c r="M498" s="112"/>
    </row>
    <row r="499" spans="1:13" x14ac:dyDescent="0.3">
      <c r="A499" s="147" t="str">
        <f ca="1">Prices!$A$498</f>
        <v/>
      </c>
      <c r="B499" s="148" t="str">
        <f ca="1">IFERROR(Prices!B498/Prices!B497-1,"")</f>
        <v/>
      </c>
      <c r="C499" s="148" t="str">
        <f ca="1">IFERROR(Prices!C498/Prices!C497-1,"")</f>
        <v/>
      </c>
      <c r="D499" s="148" t="str">
        <f ca="1">IFERROR(Prices!D498/Prices!D497-1,"")</f>
        <v/>
      </c>
      <c r="E499" s="148" t="str">
        <f ca="1">IFERROR(Prices!E498/Prices!E497-1,"")</f>
        <v/>
      </c>
      <c r="F499" s="148" t="str">
        <f ca="1">IFERROR(Prices!F498/Prices!F497-1,"")</f>
        <v/>
      </c>
      <c r="G499" s="148" t="str">
        <f ca="1">IFERROR(Prices!G498/Prices!G497-1,"")</f>
        <v/>
      </c>
      <c r="H499" s="148" t="str">
        <f ca="1">IFERROR(Prices!H498/Prices!H497-1,"")</f>
        <v/>
      </c>
      <c r="I499" s="149" t="str">
        <f ca="1">IFERROR(Prices!I498/Prices!I497-1,"")</f>
        <v/>
      </c>
      <c r="J499" s="150">
        <f t="shared" ca="1" si="9"/>
        <v>0</v>
      </c>
      <c r="K499" s="112"/>
      <c r="L499" s="112"/>
      <c r="M499" s="112"/>
    </row>
    <row r="500" spans="1:13" x14ac:dyDescent="0.3">
      <c r="A500" s="147" t="str">
        <f ca="1">Prices!$A$499</f>
        <v/>
      </c>
      <c r="B500" s="148" t="str">
        <f ca="1">IFERROR(Prices!B499/Prices!B498-1,"")</f>
        <v/>
      </c>
      <c r="C500" s="148" t="str">
        <f ca="1">IFERROR(Prices!C499/Prices!C498-1,"")</f>
        <v/>
      </c>
      <c r="D500" s="148" t="str">
        <f ca="1">IFERROR(Prices!D499/Prices!D498-1,"")</f>
        <v/>
      </c>
      <c r="E500" s="148" t="str">
        <f ca="1">IFERROR(Prices!E499/Prices!E498-1,"")</f>
        <v/>
      </c>
      <c r="F500" s="148" t="str">
        <f ca="1">IFERROR(Prices!F499/Prices!F498-1,"")</f>
        <v/>
      </c>
      <c r="G500" s="148" t="str">
        <f ca="1">IFERROR(Prices!G499/Prices!G498-1,"")</f>
        <v/>
      </c>
      <c r="H500" s="148" t="str">
        <f ca="1">IFERROR(Prices!H499/Prices!H498-1,"")</f>
        <v/>
      </c>
      <c r="I500" s="149" t="str">
        <f ca="1">IFERROR(Prices!I499/Prices!I498-1,"")</f>
        <v/>
      </c>
      <c r="J500" s="150">
        <f t="shared" ca="1" si="9"/>
        <v>0</v>
      </c>
      <c r="K500" s="112"/>
      <c r="L500" s="112"/>
      <c r="M500" s="112"/>
    </row>
    <row r="501" spans="1:13" x14ac:dyDescent="0.3">
      <c r="A501" s="147" t="str">
        <f ca="1">Prices!$A$500</f>
        <v/>
      </c>
      <c r="B501" s="148" t="str">
        <f ca="1">IFERROR(Prices!B500/Prices!B499-1,"")</f>
        <v/>
      </c>
      <c r="C501" s="148" t="str">
        <f ca="1">IFERROR(Prices!C500/Prices!C499-1,"")</f>
        <v/>
      </c>
      <c r="D501" s="148" t="str">
        <f ca="1">IFERROR(Prices!D500/Prices!D499-1,"")</f>
        <v/>
      </c>
      <c r="E501" s="148" t="str">
        <f ca="1">IFERROR(Prices!E500/Prices!E499-1,"")</f>
        <v/>
      </c>
      <c r="F501" s="148" t="str">
        <f ca="1">IFERROR(Prices!F500/Prices!F499-1,"")</f>
        <v/>
      </c>
      <c r="G501" s="148" t="str">
        <f ca="1">IFERROR(Prices!G500/Prices!G499-1,"")</f>
        <v/>
      </c>
      <c r="H501" s="148" t="str">
        <f ca="1">IFERROR(Prices!H500/Prices!H499-1,"")</f>
        <v/>
      </c>
      <c r="I501" s="149" t="str">
        <f ca="1">IFERROR(Prices!I500/Prices!I499-1,"")</f>
        <v/>
      </c>
      <c r="J501" s="150">
        <f t="shared" ca="1" si="9"/>
        <v>0</v>
      </c>
      <c r="K501" s="112"/>
      <c r="L501" s="112"/>
      <c r="M501" s="112"/>
    </row>
    <row r="502" spans="1:13" x14ac:dyDescent="0.3">
      <c r="A502" s="147" t="str">
        <f ca="1">Prices!$A$501</f>
        <v/>
      </c>
      <c r="B502" s="148" t="str">
        <f ca="1">IFERROR(Prices!B501/Prices!B500-1,"")</f>
        <v/>
      </c>
      <c r="C502" s="148" t="str">
        <f ca="1">IFERROR(Prices!C501/Prices!C500-1,"")</f>
        <v/>
      </c>
      <c r="D502" s="148" t="str">
        <f ca="1">IFERROR(Prices!D501/Prices!D500-1,"")</f>
        <v/>
      </c>
      <c r="E502" s="148" t="str">
        <f ca="1">IFERROR(Prices!E501/Prices!E500-1,"")</f>
        <v/>
      </c>
      <c r="F502" s="148" t="str">
        <f ca="1">IFERROR(Prices!F501/Prices!F500-1,"")</f>
        <v/>
      </c>
      <c r="G502" s="148" t="str">
        <f ca="1">IFERROR(Prices!G501/Prices!G500-1,"")</f>
        <v/>
      </c>
      <c r="H502" s="148" t="str">
        <f ca="1">IFERROR(Prices!H501/Prices!H500-1,"")</f>
        <v/>
      </c>
      <c r="I502" s="149" t="str">
        <f ca="1">IFERROR(Prices!I501/Prices!I500-1,"")</f>
        <v/>
      </c>
      <c r="J502" s="150">
        <f t="shared" ca="1" si="9"/>
        <v>0</v>
      </c>
      <c r="K502" s="112"/>
      <c r="L502" s="112"/>
      <c r="M502" s="112"/>
    </row>
    <row r="503" spans="1:13" x14ac:dyDescent="0.3">
      <c r="A503" s="147" t="str">
        <f ca="1">Prices!$A$502</f>
        <v/>
      </c>
      <c r="B503" s="148" t="str">
        <f ca="1">IFERROR(Prices!B502/Prices!B501-1,"")</f>
        <v/>
      </c>
      <c r="C503" s="148" t="str">
        <f ca="1">IFERROR(Prices!C502/Prices!C501-1,"")</f>
        <v/>
      </c>
      <c r="D503" s="148" t="str">
        <f ca="1">IFERROR(Prices!D502/Prices!D501-1,"")</f>
        <v/>
      </c>
      <c r="E503" s="148" t="str">
        <f ca="1">IFERROR(Prices!E502/Prices!E501-1,"")</f>
        <v/>
      </c>
      <c r="F503" s="148" t="str">
        <f ca="1">IFERROR(Prices!F502/Prices!F501-1,"")</f>
        <v/>
      </c>
      <c r="G503" s="148" t="str">
        <f ca="1">IFERROR(Prices!G502/Prices!G501-1,"")</f>
        <v/>
      </c>
      <c r="H503" s="148" t="str">
        <f ca="1">IFERROR(Prices!H502/Prices!H501-1,"")</f>
        <v/>
      </c>
      <c r="I503" s="149" t="str">
        <f ca="1">IFERROR(Prices!I502/Prices!I501-1,"")</f>
        <v/>
      </c>
      <c r="J503" s="150">
        <f t="shared" ca="1" si="9"/>
        <v>0</v>
      </c>
      <c r="K503" s="112"/>
      <c r="L503" s="112"/>
      <c r="M503" s="112"/>
    </row>
    <row r="504" spans="1:13" x14ac:dyDescent="0.3">
      <c r="A504" s="147" t="str">
        <f ca="1">Prices!$A$503</f>
        <v/>
      </c>
      <c r="B504" s="148" t="str">
        <f ca="1">IFERROR(Prices!B503/Prices!B502-1,"")</f>
        <v/>
      </c>
      <c r="C504" s="148" t="str">
        <f ca="1">IFERROR(Prices!C503/Prices!C502-1,"")</f>
        <v/>
      </c>
      <c r="D504" s="148" t="str">
        <f ca="1">IFERROR(Prices!D503/Prices!D502-1,"")</f>
        <v/>
      </c>
      <c r="E504" s="148" t="str">
        <f ca="1">IFERROR(Prices!E503/Prices!E502-1,"")</f>
        <v/>
      </c>
      <c r="F504" s="148" t="str">
        <f ca="1">IFERROR(Prices!F503/Prices!F502-1,"")</f>
        <v/>
      </c>
      <c r="G504" s="148" t="str">
        <f ca="1">IFERROR(Prices!G503/Prices!G502-1,"")</f>
        <v/>
      </c>
      <c r="H504" s="148" t="str">
        <f ca="1">IFERROR(Prices!H503/Prices!H502-1,"")</f>
        <v/>
      </c>
      <c r="I504" s="149" t="str">
        <f ca="1">IFERROR(Prices!I503/Prices!I502-1,"")</f>
        <v/>
      </c>
      <c r="J504" s="150">
        <f t="shared" ca="1" si="9"/>
        <v>0</v>
      </c>
      <c r="K504" s="112"/>
      <c r="L504" s="112"/>
      <c r="M504" s="112"/>
    </row>
    <row r="505" spans="1:13" x14ac:dyDescent="0.3">
      <c r="A505" s="147" t="str">
        <f ca="1">Prices!$A$504</f>
        <v/>
      </c>
      <c r="B505" s="148" t="str">
        <f ca="1">IFERROR(Prices!B504/Prices!B503-1,"")</f>
        <v/>
      </c>
      <c r="C505" s="148" t="str">
        <f ca="1">IFERROR(Prices!C504/Prices!C503-1,"")</f>
        <v/>
      </c>
      <c r="D505" s="148" t="str">
        <f ca="1">IFERROR(Prices!D504/Prices!D503-1,"")</f>
        <v/>
      </c>
      <c r="E505" s="148" t="str">
        <f ca="1">IFERROR(Prices!E504/Prices!E503-1,"")</f>
        <v/>
      </c>
      <c r="F505" s="148" t="str">
        <f ca="1">IFERROR(Prices!F504/Prices!F503-1,"")</f>
        <v/>
      </c>
      <c r="G505" s="148" t="str">
        <f ca="1">IFERROR(Prices!G504/Prices!G503-1,"")</f>
        <v/>
      </c>
      <c r="H505" s="148" t="str">
        <f ca="1">IFERROR(Prices!H504/Prices!H503-1,"")</f>
        <v/>
      </c>
      <c r="I505" s="149" t="str">
        <f ca="1">IFERROR(Prices!I504/Prices!I503-1,"")</f>
        <v/>
      </c>
      <c r="J505" s="150">
        <f t="shared" ca="1" si="9"/>
        <v>0</v>
      </c>
      <c r="K505" s="112"/>
      <c r="L505" s="112"/>
      <c r="M505" s="112"/>
    </row>
    <row r="506" spans="1:13" x14ac:dyDescent="0.3">
      <c r="A506" s="147" t="str">
        <f ca="1">Prices!$A$505</f>
        <v/>
      </c>
      <c r="B506" s="148" t="str">
        <f ca="1">IFERROR(Prices!B505/Prices!B504-1,"")</f>
        <v/>
      </c>
      <c r="C506" s="148" t="str">
        <f ca="1">IFERROR(Prices!C505/Prices!C504-1,"")</f>
        <v/>
      </c>
      <c r="D506" s="148" t="str">
        <f ca="1">IFERROR(Prices!D505/Prices!D504-1,"")</f>
        <v/>
      </c>
      <c r="E506" s="148" t="str">
        <f ca="1">IFERROR(Prices!E505/Prices!E504-1,"")</f>
        <v/>
      </c>
      <c r="F506" s="148" t="str">
        <f ca="1">IFERROR(Prices!F505/Prices!F504-1,"")</f>
        <v/>
      </c>
      <c r="G506" s="148" t="str">
        <f ca="1">IFERROR(Prices!G505/Prices!G504-1,"")</f>
        <v/>
      </c>
      <c r="H506" s="148" t="str">
        <f ca="1">IFERROR(Prices!H505/Prices!H504-1,"")</f>
        <v/>
      </c>
      <c r="I506" s="149" t="str">
        <f ca="1">IFERROR(Prices!I505/Prices!I504-1,"")</f>
        <v/>
      </c>
      <c r="J506" s="150">
        <f t="shared" ca="1" si="9"/>
        <v>0</v>
      </c>
      <c r="K506" s="112"/>
      <c r="L506" s="112"/>
      <c r="M506" s="112"/>
    </row>
    <row r="507" spans="1:13" x14ac:dyDescent="0.3">
      <c r="A507" s="147" t="str">
        <f ca="1">Prices!$A$506</f>
        <v/>
      </c>
      <c r="B507" s="148" t="str">
        <f ca="1">IFERROR(Prices!B506/Prices!B505-1,"")</f>
        <v/>
      </c>
      <c r="C507" s="148" t="str">
        <f ca="1">IFERROR(Prices!C506/Prices!C505-1,"")</f>
        <v/>
      </c>
      <c r="D507" s="148" t="str">
        <f ca="1">IFERROR(Prices!D506/Prices!D505-1,"")</f>
        <v/>
      </c>
      <c r="E507" s="148" t="str">
        <f ca="1">IFERROR(Prices!E506/Prices!E505-1,"")</f>
        <v/>
      </c>
      <c r="F507" s="148" t="str">
        <f ca="1">IFERROR(Prices!F506/Prices!F505-1,"")</f>
        <v/>
      </c>
      <c r="G507" s="148" t="str">
        <f ca="1">IFERROR(Prices!G506/Prices!G505-1,"")</f>
        <v/>
      </c>
      <c r="H507" s="148" t="str">
        <f ca="1">IFERROR(Prices!H506/Prices!H505-1,"")</f>
        <v/>
      </c>
      <c r="I507" s="149" t="str">
        <f ca="1">IFERROR(Prices!I506/Prices!I505-1,"")</f>
        <v/>
      </c>
      <c r="J507" s="150">
        <f t="shared" ca="1" si="9"/>
        <v>0</v>
      </c>
      <c r="K507" s="112"/>
      <c r="L507" s="112"/>
      <c r="M507" s="112"/>
    </row>
    <row r="508" spans="1:13" x14ac:dyDescent="0.3">
      <c r="A508" s="147" t="str">
        <f ca="1">Prices!$A$507</f>
        <v/>
      </c>
      <c r="B508" s="148" t="str">
        <f ca="1">IFERROR(Prices!B507/Prices!B506-1,"")</f>
        <v/>
      </c>
      <c r="C508" s="148" t="str">
        <f ca="1">IFERROR(Prices!C507/Prices!C506-1,"")</f>
        <v/>
      </c>
      <c r="D508" s="148" t="str">
        <f ca="1">IFERROR(Prices!D507/Prices!D506-1,"")</f>
        <v/>
      </c>
      <c r="E508" s="148" t="str">
        <f ca="1">IFERROR(Prices!E507/Prices!E506-1,"")</f>
        <v/>
      </c>
      <c r="F508" s="148" t="str">
        <f ca="1">IFERROR(Prices!F507/Prices!F506-1,"")</f>
        <v/>
      </c>
      <c r="G508" s="148" t="str">
        <f ca="1">IFERROR(Prices!G507/Prices!G506-1,"")</f>
        <v/>
      </c>
      <c r="H508" s="148" t="str">
        <f ca="1">IFERROR(Prices!H507/Prices!H506-1,"")</f>
        <v/>
      </c>
      <c r="I508" s="149" t="str">
        <f ca="1">IFERROR(Prices!I507/Prices!I506-1,"")</f>
        <v/>
      </c>
      <c r="J508" s="150">
        <f t="shared" ca="1" si="9"/>
        <v>0</v>
      </c>
      <c r="K508" s="112"/>
      <c r="L508" s="112"/>
      <c r="M508" s="112"/>
    </row>
    <row r="509" spans="1:13" x14ac:dyDescent="0.3">
      <c r="A509" s="147" t="str">
        <f ca="1">Prices!$A$508</f>
        <v/>
      </c>
      <c r="B509" s="148" t="str">
        <f ca="1">IFERROR(Prices!B508/Prices!B507-1,"")</f>
        <v/>
      </c>
      <c r="C509" s="148" t="str">
        <f ca="1">IFERROR(Prices!C508/Prices!C507-1,"")</f>
        <v/>
      </c>
      <c r="D509" s="148" t="str">
        <f ca="1">IFERROR(Prices!D508/Prices!D507-1,"")</f>
        <v/>
      </c>
      <c r="E509" s="148" t="str">
        <f ca="1">IFERROR(Prices!E508/Prices!E507-1,"")</f>
        <v/>
      </c>
      <c r="F509" s="148" t="str">
        <f ca="1">IFERROR(Prices!F508/Prices!F507-1,"")</f>
        <v/>
      </c>
      <c r="G509" s="148" t="str">
        <f ca="1">IFERROR(Prices!G508/Prices!G507-1,"")</f>
        <v/>
      </c>
      <c r="H509" s="148" t="str">
        <f ca="1">IFERROR(Prices!H508/Prices!H507-1,"")</f>
        <v/>
      </c>
      <c r="I509" s="149" t="str">
        <f ca="1">IFERROR(Prices!I508/Prices!I507-1,"")</f>
        <v/>
      </c>
      <c r="J509" s="150">
        <f t="shared" ca="1" si="9"/>
        <v>0</v>
      </c>
      <c r="K509" s="112"/>
      <c r="L509" s="112"/>
      <c r="M509" s="112"/>
    </row>
    <row r="510" spans="1:13" x14ac:dyDescent="0.3">
      <c r="A510" s="147" t="str">
        <f ca="1">Prices!$A$509</f>
        <v/>
      </c>
      <c r="B510" s="148" t="str">
        <f ca="1">IFERROR(Prices!B509/Prices!B508-1,"")</f>
        <v/>
      </c>
      <c r="C510" s="148" t="str">
        <f ca="1">IFERROR(Prices!C509/Prices!C508-1,"")</f>
        <v/>
      </c>
      <c r="D510" s="148" t="str">
        <f ca="1">IFERROR(Prices!D509/Prices!D508-1,"")</f>
        <v/>
      </c>
      <c r="E510" s="148" t="str">
        <f ca="1">IFERROR(Prices!E509/Prices!E508-1,"")</f>
        <v/>
      </c>
      <c r="F510" s="148" t="str">
        <f ca="1">IFERROR(Prices!F509/Prices!F508-1,"")</f>
        <v/>
      </c>
      <c r="G510" s="148" t="str">
        <f ca="1">IFERROR(Prices!G509/Prices!G508-1,"")</f>
        <v/>
      </c>
      <c r="H510" s="148" t="str">
        <f ca="1">IFERROR(Prices!H509/Prices!H508-1,"")</f>
        <v/>
      </c>
      <c r="I510" s="149" t="str">
        <f ca="1">IFERROR(Prices!I509/Prices!I508-1,"")</f>
        <v/>
      </c>
      <c r="J510" s="150">
        <f t="shared" ca="1" si="9"/>
        <v>0</v>
      </c>
      <c r="K510" s="112"/>
      <c r="L510" s="112"/>
      <c r="M510" s="112"/>
    </row>
    <row r="511" spans="1:13" x14ac:dyDescent="0.3">
      <c r="A511" s="147" t="str">
        <f ca="1">Prices!$A$510</f>
        <v/>
      </c>
      <c r="B511" s="148" t="str">
        <f ca="1">IFERROR(Prices!B510/Prices!B509-1,"")</f>
        <v/>
      </c>
      <c r="C511" s="148" t="str">
        <f ca="1">IFERROR(Prices!C510/Prices!C509-1,"")</f>
        <v/>
      </c>
      <c r="D511" s="148" t="str">
        <f ca="1">IFERROR(Prices!D510/Prices!D509-1,"")</f>
        <v/>
      </c>
      <c r="E511" s="148" t="str">
        <f ca="1">IFERROR(Prices!E510/Prices!E509-1,"")</f>
        <v/>
      </c>
      <c r="F511" s="148" t="str">
        <f ca="1">IFERROR(Prices!F510/Prices!F509-1,"")</f>
        <v/>
      </c>
      <c r="G511" s="148" t="str">
        <f ca="1">IFERROR(Prices!G510/Prices!G509-1,"")</f>
        <v/>
      </c>
      <c r="H511" s="148" t="str">
        <f ca="1">IFERROR(Prices!H510/Prices!H509-1,"")</f>
        <v/>
      </c>
      <c r="I511" s="149" t="str">
        <f ca="1">IFERROR(Prices!I510/Prices!I509-1,"")</f>
        <v/>
      </c>
      <c r="J511" s="150">
        <f t="shared" ca="1" si="9"/>
        <v>0</v>
      </c>
      <c r="K511" s="112"/>
      <c r="L511" s="112"/>
      <c r="M511" s="112"/>
    </row>
    <row r="512" spans="1:13" x14ac:dyDescent="0.3">
      <c r="A512" s="147" t="str">
        <f ca="1">Prices!$A$511</f>
        <v/>
      </c>
      <c r="B512" s="148" t="str">
        <f ca="1">IFERROR(Prices!B511/Prices!B510-1,"")</f>
        <v/>
      </c>
      <c r="C512" s="148" t="str">
        <f ca="1">IFERROR(Prices!C511/Prices!C510-1,"")</f>
        <v/>
      </c>
      <c r="D512" s="148" t="str">
        <f ca="1">IFERROR(Prices!D511/Prices!D510-1,"")</f>
        <v/>
      </c>
      <c r="E512" s="148" t="str">
        <f ca="1">IFERROR(Prices!E511/Prices!E510-1,"")</f>
        <v/>
      </c>
      <c r="F512" s="148" t="str">
        <f ca="1">IFERROR(Prices!F511/Prices!F510-1,"")</f>
        <v/>
      </c>
      <c r="G512" s="148" t="str">
        <f ca="1">IFERROR(Prices!G511/Prices!G510-1,"")</f>
        <v/>
      </c>
      <c r="H512" s="148" t="str">
        <f ca="1">IFERROR(Prices!H511/Prices!H510-1,"")</f>
        <v/>
      </c>
      <c r="I512" s="149" t="str">
        <f ca="1">IFERROR(Prices!I511/Prices!I510-1,"")</f>
        <v/>
      </c>
      <c r="J512" s="150">
        <f t="shared" ca="1" si="9"/>
        <v>0</v>
      </c>
      <c r="K512" s="112"/>
      <c r="L512" s="112"/>
      <c r="M512" s="112"/>
    </row>
    <row r="513" spans="1:13" x14ac:dyDescent="0.3">
      <c r="A513" s="147" t="str">
        <f ca="1">Prices!$A$512</f>
        <v/>
      </c>
      <c r="B513" s="148" t="str">
        <f ca="1">IFERROR(Prices!B512/Prices!B511-1,"")</f>
        <v/>
      </c>
      <c r="C513" s="148" t="str">
        <f ca="1">IFERROR(Prices!C512/Prices!C511-1,"")</f>
        <v/>
      </c>
      <c r="D513" s="148" t="str">
        <f ca="1">IFERROR(Prices!D512/Prices!D511-1,"")</f>
        <v/>
      </c>
      <c r="E513" s="148" t="str">
        <f ca="1">IFERROR(Prices!E512/Prices!E511-1,"")</f>
        <v/>
      </c>
      <c r="F513" s="148" t="str">
        <f ca="1">IFERROR(Prices!F512/Prices!F511-1,"")</f>
        <v/>
      </c>
      <c r="G513" s="148" t="str">
        <f ca="1">IFERROR(Prices!G512/Prices!G511-1,"")</f>
        <v/>
      </c>
      <c r="H513" s="148" t="str">
        <f ca="1">IFERROR(Prices!H512/Prices!H511-1,"")</f>
        <v/>
      </c>
      <c r="I513" s="149" t="str">
        <f ca="1">IFERROR(Prices!I512/Prices!I511-1,"")</f>
        <v/>
      </c>
      <c r="J513" s="150">
        <f t="shared" ca="1" si="9"/>
        <v>0</v>
      </c>
      <c r="K513" s="112"/>
      <c r="L513" s="112"/>
      <c r="M513" s="112"/>
    </row>
    <row r="514" spans="1:13" x14ac:dyDescent="0.3">
      <c r="A514" s="147" t="str">
        <f ca="1">Prices!$A$513</f>
        <v/>
      </c>
      <c r="B514" s="148" t="str">
        <f ca="1">IFERROR(Prices!B513/Prices!B512-1,"")</f>
        <v/>
      </c>
      <c r="C514" s="148" t="str">
        <f ca="1">IFERROR(Prices!C513/Prices!C512-1,"")</f>
        <v/>
      </c>
      <c r="D514" s="148" t="str">
        <f ca="1">IFERROR(Prices!D513/Prices!D512-1,"")</f>
        <v/>
      </c>
      <c r="E514" s="148" t="str">
        <f ca="1">IFERROR(Prices!E513/Prices!E512-1,"")</f>
        <v/>
      </c>
      <c r="F514" s="148" t="str">
        <f ca="1">IFERROR(Prices!F513/Prices!F512-1,"")</f>
        <v/>
      </c>
      <c r="G514" s="148" t="str">
        <f ca="1">IFERROR(Prices!G513/Prices!G512-1,"")</f>
        <v/>
      </c>
      <c r="H514" s="148" t="str">
        <f ca="1">IFERROR(Prices!H513/Prices!H512-1,"")</f>
        <v/>
      </c>
      <c r="I514" s="149" t="str">
        <f ca="1">IFERROR(Prices!I513/Prices!I512-1,"")</f>
        <v/>
      </c>
      <c r="J514" s="150">
        <f t="shared" ca="1" si="9"/>
        <v>0</v>
      </c>
      <c r="K514" s="112"/>
      <c r="L514" s="112"/>
      <c r="M514" s="112"/>
    </row>
    <row r="515" spans="1:13" x14ac:dyDescent="0.3">
      <c r="A515" s="147" t="str">
        <f ca="1">Prices!$A$514</f>
        <v/>
      </c>
      <c r="B515" s="148" t="str">
        <f ca="1">IFERROR(Prices!B514/Prices!B513-1,"")</f>
        <v/>
      </c>
      <c r="C515" s="148" t="str">
        <f ca="1">IFERROR(Prices!C514/Prices!C513-1,"")</f>
        <v/>
      </c>
      <c r="D515" s="148" t="str">
        <f ca="1">IFERROR(Prices!D514/Prices!D513-1,"")</f>
        <v/>
      </c>
      <c r="E515" s="148" t="str">
        <f ca="1">IFERROR(Prices!E514/Prices!E513-1,"")</f>
        <v/>
      </c>
      <c r="F515" s="148" t="str">
        <f ca="1">IFERROR(Prices!F514/Prices!F513-1,"")</f>
        <v/>
      </c>
      <c r="G515" s="148" t="str">
        <f ca="1">IFERROR(Prices!G514/Prices!G513-1,"")</f>
        <v/>
      </c>
      <c r="H515" s="148" t="str">
        <f ca="1">IFERROR(Prices!H514/Prices!H513-1,"")</f>
        <v/>
      </c>
      <c r="I515" s="149" t="str">
        <f ca="1">IFERROR(Prices!I514/Prices!I513-1,"")</f>
        <v/>
      </c>
      <c r="J515" s="150">
        <f t="shared" ca="1" si="9"/>
        <v>0</v>
      </c>
      <c r="K515" s="112"/>
      <c r="L515" s="112"/>
      <c r="M515" s="112"/>
    </row>
    <row r="516" spans="1:13" x14ac:dyDescent="0.3">
      <c r="A516" s="147" t="str">
        <f ca="1">Prices!$A$515</f>
        <v/>
      </c>
      <c r="B516" s="148" t="str">
        <f ca="1">IFERROR(Prices!B515/Prices!B514-1,"")</f>
        <v/>
      </c>
      <c r="C516" s="148" t="str">
        <f ca="1">IFERROR(Prices!C515/Prices!C514-1,"")</f>
        <v/>
      </c>
      <c r="D516" s="148" t="str">
        <f ca="1">IFERROR(Prices!D515/Prices!D514-1,"")</f>
        <v/>
      </c>
      <c r="E516" s="148" t="str">
        <f ca="1">IFERROR(Prices!E515/Prices!E514-1,"")</f>
        <v/>
      </c>
      <c r="F516" s="148" t="str">
        <f ca="1">IFERROR(Prices!F515/Prices!F514-1,"")</f>
        <v/>
      </c>
      <c r="G516" s="148" t="str">
        <f ca="1">IFERROR(Prices!G515/Prices!G514-1,"")</f>
        <v/>
      </c>
      <c r="H516" s="148" t="str">
        <f ca="1">IFERROR(Prices!H515/Prices!H514-1,"")</f>
        <v/>
      </c>
      <c r="I516" s="149" t="str">
        <f ca="1">IFERROR(Prices!I515/Prices!I514-1,"")</f>
        <v/>
      </c>
      <c r="J516" s="150">
        <f t="shared" ca="1" si="9"/>
        <v>0</v>
      </c>
      <c r="K516" s="112"/>
      <c r="L516" s="112"/>
      <c r="M516" s="112"/>
    </row>
    <row r="517" spans="1:13" x14ac:dyDescent="0.3">
      <c r="A517" s="147" t="str">
        <f ca="1">Prices!$A$516</f>
        <v/>
      </c>
      <c r="B517" s="148" t="str">
        <f ca="1">IFERROR(Prices!B516/Prices!B515-1,"")</f>
        <v/>
      </c>
      <c r="C517" s="148" t="str">
        <f ca="1">IFERROR(Prices!C516/Prices!C515-1,"")</f>
        <v/>
      </c>
      <c r="D517" s="148" t="str">
        <f ca="1">IFERROR(Prices!D516/Prices!D515-1,"")</f>
        <v/>
      </c>
      <c r="E517" s="148" t="str">
        <f ca="1">IFERROR(Prices!E516/Prices!E515-1,"")</f>
        <v/>
      </c>
      <c r="F517" s="148" t="str">
        <f ca="1">IFERROR(Prices!F516/Prices!F515-1,"")</f>
        <v/>
      </c>
      <c r="G517" s="148" t="str">
        <f ca="1">IFERROR(Prices!G516/Prices!G515-1,"")</f>
        <v/>
      </c>
      <c r="H517" s="148" t="str">
        <f ca="1">IFERROR(Prices!H516/Prices!H515-1,"")</f>
        <v/>
      </c>
      <c r="I517" s="149" t="str">
        <f ca="1">IFERROR(Prices!I516/Prices!I515-1,"")</f>
        <v/>
      </c>
      <c r="J517" s="150">
        <f t="shared" ca="1" si="9"/>
        <v>0</v>
      </c>
      <c r="K517" s="112"/>
      <c r="L517" s="112"/>
      <c r="M517" s="112"/>
    </row>
    <row r="518" spans="1:13" x14ac:dyDescent="0.3">
      <c r="A518" s="147" t="str">
        <f ca="1">Prices!$A$517</f>
        <v/>
      </c>
      <c r="B518" s="148" t="str">
        <f ca="1">IFERROR(Prices!B517/Prices!B516-1,"")</f>
        <v/>
      </c>
      <c r="C518" s="148" t="str">
        <f ca="1">IFERROR(Prices!C517/Prices!C516-1,"")</f>
        <v/>
      </c>
      <c r="D518" s="148" t="str">
        <f ca="1">IFERROR(Prices!D517/Prices!D516-1,"")</f>
        <v/>
      </c>
      <c r="E518" s="148" t="str">
        <f ca="1">IFERROR(Prices!E517/Prices!E516-1,"")</f>
        <v/>
      </c>
      <c r="F518" s="148" t="str">
        <f ca="1">IFERROR(Prices!F517/Prices!F516-1,"")</f>
        <v/>
      </c>
      <c r="G518" s="148" t="str">
        <f ca="1">IFERROR(Prices!G517/Prices!G516-1,"")</f>
        <v/>
      </c>
      <c r="H518" s="148" t="str">
        <f ca="1">IFERROR(Prices!H517/Prices!H516-1,"")</f>
        <v/>
      </c>
      <c r="I518" s="149" t="str">
        <f ca="1">IFERROR(Prices!I517/Prices!I516-1,"")</f>
        <v/>
      </c>
      <c r="J518" s="150">
        <f t="shared" ca="1" si="9"/>
        <v>0</v>
      </c>
      <c r="K518" s="112"/>
      <c r="L518" s="112"/>
      <c r="M518" s="112"/>
    </row>
    <row r="519" spans="1:13" x14ac:dyDescent="0.3">
      <c r="A519" s="147" t="str">
        <f ca="1">Prices!$A$518</f>
        <v/>
      </c>
      <c r="B519" s="148" t="str">
        <f ca="1">IFERROR(Prices!B518/Prices!B517-1,"")</f>
        <v/>
      </c>
      <c r="C519" s="148" t="str">
        <f ca="1">IFERROR(Prices!C518/Prices!C517-1,"")</f>
        <v/>
      </c>
      <c r="D519" s="148" t="str">
        <f ca="1">IFERROR(Prices!D518/Prices!D517-1,"")</f>
        <v/>
      </c>
      <c r="E519" s="148" t="str">
        <f ca="1">IFERROR(Prices!E518/Prices!E517-1,"")</f>
        <v/>
      </c>
      <c r="F519" s="148" t="str">
        <f ca="1">IFERROR(Prices!F518/Prices!F517-1,"")</f>
        <v/>
      </c>
      <c r="G519" s="148" t="str">
        <f ca="1">IFERROR(Prices!G518/Prices!G517-1,"")</f>
        <v/>
      </c>
      <c r="H519" s="148" t="str">
        <f ca="1">IFERROR(Prices!H518/Prices!H517-1,"")</f>
        <v/>
      </c>
      <c r="I519" s="149" t="str">
        <f ca="1">IFERROR(Prices!I518/Prices!I517-1,"")</f>
        <v/>
      </c>
      <c r="J519" s="150">
        <f t="shared" ref="J519:J582" ca="1" si="10">IFERROR(SUMPRODUCT(Weights,$B519:$H519),"")</f>
        <v>0</v>
      </c>
      <c r="K519" s="112"/>
      <c r="L519" s="112"/>
      <c r="M519" s="112"/>
    </row>
    <row r="520" spans="1:13" x14ac:dyDescent="0.3">
      <c r="A520" s="147" t="str">
        <f ca="1">Prices!$A$519</f>
        <v/>
      </c>
      <c r="B520" s="148" t="str">
        <f ca="1">IFERROR(Prices!B519/Prices!B518-1,"")</f>
        <v/>
      </c>
      <c r="C520" s="148" t="str">
        <f ca="1">IFERROR(Prices!C519/Prices!C518-1,"")</f>
        <v/>
      </c>
      <c r="D520" s="148" t="str">
        <f ca="1">IFERROR(Prices!D519/Prices!D518-1,"")</f>
        <v/>
      </c>
      <c r="E520" s="148" t="str">
        <f ca="1">IFERROR(Prices!E519/Prices!E518-1,"")</f>
        <v/>
      </c>
      <c r="F520" s="148" t="str">
        <f ca="1">IFERROR(Prices!F519/Prices!F518-1,"")</f>
        <v/>
      </c>
      <c r="G520" s="148" t="str">
        <f ca="1">IFERROR(Prices!G519/Prices!G518-1,"")</f>
        <v/>
      </c>
      <c r="H520" s="148" t="str">
        <f ca="1">IFERROR(Prices!H519/Prices!H518-1,"")</f>
        <v/>
      </c>
      <c r="I520" s="149" t="str">
        <f ca="1">IFERROR(Prices!I519/Prices!I518-1,"")</f>
        <v/>
      </c>
      <c r="J520" s="150">
        <f t="shared" ca="1" si="10"/>
        <v>0</v>
      </c>
      <c r="K520" s="112"/>
      <c r="L520" s="112"/>
      <c r="M520" s="112"/>
    </row>
    <row r="521" spans="1:13" x14ac:dyDescent="0.3">
      <c r="A521" s="147" t="str">
        <f ca="1">Prices!$A$520</f>
        <v/>
      </c>
      <c r="B521" s="148" t="str">
        <f ca="1">IFERROR(Prices!B520/Prices!B519-1,"")</f>
        <v/>
      </c>
      <c r="C521" s="148" t="str">
        <f ca="1">IFERROR(Prices!C520/Prices!C519-1,"")</f>
        <v/>
      </c>
      <c r="D521" s="148" t="str">
        <f ca="1">IFERROR(Prices!D520/Prices!D519-1,"")</f>
        <v/>
      </c>
      <c r="E521" s="148" t="str">
        <f ca="1">IFERROR(Prices!E520/Prices!E519-1,"")</f>
        <v/>
      </c>
      <c r="F521" s="148" t="str">
        <f ca="1">IFERROR(Prices!F520/Prices!F519-1,"")</f>
        <v/>
      </c>
      <c r="G521" s="148" t="str">
        <f ca="1">IFERROR(Prices!G520/Prices!G519-1,"")</f>
        <v/>
      </c>
      <c r="H521" s="148" t="str">
        <f ca="1">IFERROR(Prices!H520/Prices!H519-1,"")</f>
        <v/>
      </c>
      <c r="I521" s="149" t="str">
        <f ca="1">IFERROR(Prices!I520/Prices!I519-1,"")</f>
        <v/>
      </c>
      <c r="J521" s="150">
        <f t="shared" ca="1" si="10"/>
        <v>0</v>
      </c>
      <c r="K521" s="112"/>
      <c r="L521" s="112"/>
      <c r="M521" s="112"/>
    </row>
    <row r="522" spans="1:13" x14ac:dyDescent="0.3">
      <c r="A522" s="147" t="str">
        <f ca="1">Prices!$A$521</f>
        <v/>
      </c>
      <c r="B522" s="148" t="str">
        <f ca="1">IFERROR(Prices!B521/Prices!B520-1,"")</f>
        <v/>
      </c>
      <c r="C522" s="148" t="str">
        <f ca="1">IFERROR(Prices!C521/Prices!C520-1,"")</f>
        <v/>
      </c>
      <c r="D522" s="148" t="str">
        <f ca="1">IFERROR(Prices!D521/Prices!D520-1,"")</f>
        <v/>
      </c>
      <c r="E522" s="148" t="str">
        <f ca="1">IFERROR(Prices!E521/Prices!E520-1,"")</f>
        <v/>
      </c>
      <c r="F522" s="148" t="str">
        <f ca="1">IFERROR(Prices!F521/Prices!F520-1,"")</f>
        <v/>
      </c>
      <c r="G522" s="148" t="str">
        <f ca="1">IFERROR(Prices!G521/Prices!G520-1,"")</f>
        <v/>
      </c>
      <c r="H522" s="148" t="str">
        <f ca="1">IFERROR(Prices!H521/Prices!H520-1,"")</f>
        <v/>
      </c>
      <c r="I522" s="149" t="str">
        <f ca="1">IFERROR(Prices!I521/Prices!I520-1,"")</f>
        <v/>
      </c>
      <c r="J522" s="150">
        <f t="shared" ca="1" si="10"/>
        <v>0</v>
      </c>
      <c r="K522" s="112"/>
      <c r="L522" s="112"/>
      <c r="M522" s="112"/>
    </row>
    <row r="523" spans="1:13" x14ac:dyDescent="0.3">
      <c r="A523" s="147" t="str">
        <f ca="1">Prices!$A$522</f>
        <v/>
      </c>
      <c r="B523" s="148" t="str">
        <f ca="1">IFERROR(Prices!B522/Prices!B521-1,"")</f>
        <v/>
      </c>
      <c r="C523" s="148" t="str">
        <f ca="1">IFERROR(Prices!C522/Prices!C521-1,"")</f>
        <v/>
      </c>
      <c r="D523" s="148" t="str">
        <f ca="1">IFERROR(Prices!D522/Prices!D521-1,"")</f>
        <v/>
      </c>
      <c r="E523" s="148" t="str">
        <f ca="1">IFERROR(Prices!E522/Prices!E521-1,"")</f>
        <v/>
      </c>
      <c r="F523" s="148" t="str">
        <f ca="1">IFERROR(Prices!F522/Prices!F521-1,"")</f>
        <v/>
      </c>
      <c r="G523" s="148" t="str">
        <f ca="1">IFERROR(Prices!G522/Prices!G521-1,"")</f>
        <v/>
      </c>
      <c r="H523" s="148" t="str">
        <f ca="1">IFERROR(Prices!H522/Prices!H521-1,"")</f>
        <v/>
      </c>
      <c r="I523" s="149" t="str">
        <f ca="1">IFERROR(Prices!I522/Prices!I521-1,"")</f>
        <v/>
      </c>
      <c r="J523" s="150">
        <f t="shared" ca="1" si="10"/>
        <v>0</v>
      </c>
      <c r="K523" s="112"/>
      <c r="L523" s="112"/>
      <c r="M523" s="112"/>
    </row>
    <row r="524" spans="1:13" x14ac:dyDescent="0.3">
      <c r="A524" s="147" t="str">
        <f ca="1">Prices!$A$523</f>
        <v/>
      </c>
      <c r="B524" s="148" t="str">
        <f ca="1">IFERROR(Prices!B523/Prices!B522-1,"")</f>
        <v/>
      </c>
      <c r="C524" s="148" t="str">
        <f ca="1">IFERROR(Prices!C523/Prices!C522-1,"")</f>
        <v/>
      </c>
      <c r="D524" s="148" t="str">
        <f ca="1">IFERROR(Prices!D523/Prices!D522-1,"")</f>
        <v/>
      </c>
      <c r="E524" s="148" t="str">
        <f ca="1">IFERROR(Prices!E523/Prices!E522-1,"")</f>
        <v/>
      </c>
      <c r="F524" s="148" t="str">
        <f ca="1">IFERROR(Prices!F523/Prices!F522-1,"")</f>
        <v/>
      </c>
      <c r="G524" s="148" t="str">
        <f ca="1">IFERROR(Prices!G523/Prices!G522-1,"")</f>
        <v/>
      </c>
      <c r="H524" s="148" t="str">
        <f ca="1">IFERROR(Prices!H523/Prices!H522-1,"")</f>
        <v/>
      </c>
      <c r="I524" s="149" t="str">
        <f ca="1">IFERROR(Prices!I523/Prices!I522-1,"")</f>
        <v/>
      </c>
      <c r="J524" s="150">
        <f t="shared" ca="1" si="10"/>
        <v>0</v>
      </c>
      <c r="K524" s="112"/>
      <c r="L524" s="112"/>
      <c r="M524" s="112"/>
    </row>
    <row r="525" spans="1:13" x14ac:dyDescent="0.3">
      <c r="A525" s="147" t="str">
        <f ca="1">Prices!$A$524</f>
        <v/>
      </c>
      <c r="B525" s="148" t="str">
        <f ca="1">IFERROR(Prices!B524/Prices!B523-1,"")</f>
        <v/>
      </c>
      <c r="C525" s="148" t="str">
        <f ca="1">IFERROR(Prices!C524/Prices!C523-1,"")</f>
        <v/>
      </c>
      <c r="D525" s="148" t="str">
        <f ca="1">IFERROR(Prices!D524/Prices!D523-1,"")</f>
        <v/>
      </c>
      <c r="E525" s="148" t="str">
        <f ca="1">IFERROR(Prices!E524/Prices!E523-1,"")</f>
        <v/>
      </c>
      <c r="F525" s="148" t="str">
        <f ca="1">IFERROR(Prices!F524/Prices!F523-1,"")</f>
        <v/>
      </c>
      <c r="G525" s="148" t="str">
        <f ca="1">IFERROR(Prices!G524/Prices!G523-1,"")</f>
        <v/>
      </c>
      <c r="H525" s="148" t="str">
        <f ca="1">IFERROR(Prices!H524/Prices!H523-1,"")</f>
        <v/>
      </c>
      <c r="I525" s="149" t="str">
        <f ca="1">IFERROR(Prices!I524/Prices!I523-1,"")</f>
        <v/>
      </c>
      <c r="J525" s="150">
        <f t="shared" ca="1" si="10"/>
        <v>0</v>
      </c>
      <c r="K525" s="112"/>
      <c r="L525" s="112"/>
      <c r="M525" s="112"/>
    </row>
    <row r="526" spans="1:13" x14ac:dyDescent="0.3">
      <c r="A526" s="147" t="str">
        <f ca="1">Prices!$A$525</f>
        <v/>
      </c>
      <c r="B526" s="148" t="str">
        <f ca="1">IFERROR(Prices!B525/Prices!B524-1,"")</f>
        <v/>
      </c>
      <c r="C526" s="148" t="str">
        <f ca="1">IFERROR(Prices!C525/Prices!C524-1,"")</f>
        <v/>
      </c>
      <c r="D526" s="148" t="str">
        <f ca="1">IFERROR(Prices!D525/Prices!D524-1,"")</f>
        <v/>
      </c>
      <c r="E526" s="148" t="str">
        <f ca="1">IFERROR(Prices!E525/Prices!E524-1,"")</f>
        <v/>
      </c>
      <c r="F526" s="148" t="str">
        <f ca="1">IFERROR(Prices!F525/Prices!F524-1,"")</f>
        <v/>
      </c>
      <c r="G526" s="148" t="str">
        <f ca="1">IFERROR(Prices!G525/Prices!G524-1,"")</f>
        <v/>
      </c>
      <c r="H526" s="148" t="str">
        <f ca="1">IFERROR(Prices!H525/Prices!H524-1,"")</f>
        <v/>
      </c>
      <c r="I526" s="149" t="str">
        <f ca="1">IFERROR(Prices!I525/Prices!I524-1,"")</f>
        <v/>
      </c>
      <c r="J526" s="150">
        <f t="shared" ca="1" si="10"/>
        <v>0</v>
      </c>
      <c r="K526" s="112"/>
      <c r="L526" s="112"/>
      <c r="M526" s="112"/>
    </row>
    <row r="527" spans="1:13" x14ac:dyDescent="0.3">
      <c r="A527" s="147" t="str">
        <f ca="1">Prices!$A$526</f>
        <v/>
      </c>
      <c r="B527" s="148" t="str">
        <f ca="1">IFERROR(Prices!B526/Prices!B525-1,"")</f>
        <v/>
      </c>
      <c r="C527" s="148" t="str">
        <f ca="1">IFERROR(Prices!C526/Prices!C525-1,"")</f>
        <v/>
      </c>
      <c r="D527" s="148" t="str">
        <f ca="1">IFERROR(Prices!D526/Prices!D525-1,"")</f>
        <v/>
      </c>
      <c r="E527" s="148" t="str">
        <f ca="1">IFERROR(Prices!E526/Prices!E525-1,"")</f>
        <v/>
      </c>
      <c r="F527" s="148" t="str">
        <f ca="1">IFERROR(Prices!F526/Prices!F525-1,"")</f>
        <v/>
      </c>
      <c r="G527" s="148" t="str">
        <f ca="1">IFERROR(Prices!G526/Prices!G525-1,"")</f>
        <v/>
      </c>
      <c r="H527" s="148" t="str">
        <f ca="1">IFERROR(Prices!H526/Prices!H525-1,"")</f>
        <v/>
      </c>
      <c r="I527" s="149" t="str">
        <f ca="1">IFERROR(Prices!I526/Prices!I525-1,"")</f>
        <v/>
      </c>
      <c r="J527" s="150">
        <f t="shared" ca="1" si="10"/>
        <v>0</v>
      </c>
      <c r="K527" s="112"/>
      <c r="L527" s="112"/>
      <c r="M527" s="112"/>
    </row>
    <row r="528" spans="1:13" x14ac:dyDescent="0.3">
      <c r="A528" s="147" t="str">
        <f ca="1">Prices!$A$527</f>
        <v/>
      </c>
      <c r="B528" s="148" t="str">
        <f ca="1">IFERROR(Prices!B527/Prices!B526-1,"")</f>
        <v/>
      </c>
      <c r="C528" s="148" t="str">
        <f ca="1">IFERROR(Prices!C527/Prices!C526-1,"")</f>
        <v/>
      </c>
      <c r="D528" s="148" t="str">
        <f ca="1">IFERROR(Prices!D527/Prices!D526-1,"")</f>
        <v/>
      </c>
      <c r="E528" s="148" t="str">
        <f ca="1">IFERROR(Prices!E527/Prices!E526-1,"")</f>
        <v/>
      </c>
      <c r="F528" s="148" t="str">
        <f ca="1">IFERROR(Prices!F527/Prices!F526-1,"")</f>
        <v/>
      </c>
      <c r="G528" s="148" t="str">
        <f ca="1">IFERROR(Prices!G527/Prices!G526-1,"")</f>
        <v/>
      </c>
      <c r="H528" s="148" t="str">
        <f ca="1">IFERROR(Prices!H527/Prices!H526-1,"")</f>
        <v/>
      </c>
      <c r="I528" s="149" t="str">
        <f ca="1">IFERROR(Prices!I527/Prices!I526-1,"")</f>
        <v/>
      </c>
      <c r="J528" s="150">
        <f t="shared" ca="1" si="10"/>
        <v>0</v>
      </c>
      <c r="K528" s="112"/>
      <c r="L528" s="112"/>
      <c r="M528" s="112"/>
    </row>
    <row r="529" spans="1:13" x14ac:dyDescent="0.3">
      <c r="A529" s="147" t="str">
        <f ca="1">Prices!$A$528</f>
        <v/>
      </c>
      <c r="B529" s="148" t="str">
        <f ca="1">IFERROR(Prices!B528/Prices!B527-1,"")</f>
        <v/>
      </c>
      <c r="C529" s="148" t="str">
        <f ca="1">IFERROR(Prices!C528/Prices!C527-1,"")</f>
        <v/>
      </c>
      <c r="D529" s="148" t="str">
        <f ca="1">IFERROR(Prices!D528/Prices!D527-1,"")</f>
        <v/>
      </c>
      <c r="E529" s="148" t="str">
        <f ca="1">IFERROR(Prices!E528/Prices!E527-1,"")</f>
        <v/>
      </c>
      <c r="F529" s="148" t="str">
        <f ca="1">IFERROR(Prices!F528/Prices!F527-1,"")</f>
        <v/>
      </c>
      <c r="G529" s="148" t="str">
        <f ca="1">IFERROR(Prices!G528/Prices!G527-1,"")</f>
        <v/>
      </c>
      <c r="H529" s="148" t="str">
        <f ca="1">IFERROR(Prices!H528/Prices!H527-1,"")</f>
        <v/>
      </c>
      <c r="I529" s="149" t="str">
        <f ca="1">IFERROR(Prices!I528/Prices!I527-1,"")</f>
        <v/>
      </c>
      <c r="J529" s="150">
        <f t="shared" ca="1" si="10"/>
        <v>0</v>
      </c>
      <c r="K529" s="112"/>
      <c r="L529" s="112"/>
      <c r="M529" s="112"/>
    </row>
    <row r="530" spans="1:13" x14ac:dyDescent="0.3">
      <c r="A530" s="147" t="str">
        <f ca="1">Prices!$A$529</f>
        <v/>
      </c>
      <c r="B530" s="148" t="str">
        <f ca="1">IFERROR(Prices!B529/Prices!B528-1,"")</f>
        <v/>
      </c>
      <c r="C530" s="148" t="str">
        <f ca="1">IFERROR(Prices!C529/Prices!C528-1,"")</f>
        <v/>
      </c>
      <c r="D530" s="148" t="str">
        <f ca="1">IFERROR(Prices!D529/Prices!D528-1,"")</f>
        <v/>
      </c>
      <c r="E530" s="148" t="str">
        <f ca="1">IFERROR(Prices!E529/Prices!E528-1,"")</f>
        <v/>
      </c>
      <c r="F530" s="148" t="str">
        <f ca="1">IFERROR(Prices!F529/Prices!F528-1,"")</f>
        <v/>
      </c>
      <c r="G530" s="148" t="str">
        <f ca="1">IFERROR(Prices!G529/Prices!G528-1,"")</f>
        <v/>
      </c>
      <c r="H530" s="148" t="str">
        <f ca="1">IFERROR(Prices!H529/Prices!H528-1,"")</f>
        <v/>
      </c>
      <c r="I530" s="149" t="str">
        <f ca="1">IFERROR(Prices!I529/Prices!I528-1,"")</f>
        <v/>
      </c>
      <c r="J530" s="150">
        <f t="shared" ca="1" si="10"/>
        <v>0</v>
      </c>
      <c r="K530" s="112"/>
      <c r="L530" s="112"/>
      <c r="M530" s="112"/>
    </row>
    <row r="531" spans="1:13" x14ac:dyDescent="0.3">
      <c r="A531" s="147" t="str">
        <f ca="1">Prices!$A$530</f>
        <v/>
      </c>
      <c r="B531" s="148" t="str">
        <f ca="1">IFERROR(Prices!B530/Prices!B529-1,"")</f>
        <v/>
      </c>
      <c r="C531" s="148" t="str">
        <f ca="1">IFERROR(Prices!C530/Prices!C529-1,"")</f>
        <v/>
      </c>
      <c r="D531" s="148" t="str">
        <f ca="1">IFERROR(Prices!D530/Prices!D529-1,"")</f>
        <v/>
      </c>
      <c r="E531" s="148" t="str">
        <f ca="1">IFERROR(Prices!E530/Prices!E529-1,"")</f>
        <v/>
      </c>
      <c r="F531" s="148" t="str">
        <f ca="1">IFERROR(Prices!F530/Prices!F529-1,"")</f>
        <v/>
      </c>
      <c r="G531" s="148" t="str">
        <f ca="1">IFERROR(Prices!G530/Prices!G529-1,"")</f>
        <v/>
      </c>
      <c r="H531" s="148" t="str">
        <f ca="1">IFERROR(Prices!H530/Prices!H529-1,"")</f>
        <v/>
      </c>
      <c r="I531" s="149" t="str">
        <f ca="1">IFERROR(Prices!I530/Prices!I529-1,"")</f>
        <v/>
      </c>
      <c r="J531" s="150">
        <f t="shared" ca="1" si="10"/>
        <v>0</v>
      </c>
      <c r="K531" s="112"/>
      <c r="L531" s="112"/>
      <c r="M531" s="112"/>
    </row>
    <row r="532" spans="1:13" x14ac:dyDescent="0.3">
      <c r="A532" s="147" t="str">
        <f ca="1">Prices!$A$531</f>
        <v/>
      </c>
      <c r="B532" s="148" t="str">
        <f ca="1">IFERROR(Prices!B531/Prices!B530-1,"")</f>
        <v/>
      </c>
      <c r="C532" s="148" t="str">
        <f ca="1">IFERROR(Prices!C531/Prices!C530-1,"")</f>
        <v/>
      </c>
      <c r="D532" s="148" t="str">
        <f ca="1">IFERROR(Prices!D531/Prices!D530-1,"")</f>
        <v/>
      </c>
      <c r="E532" s="148" t="str">
        <f ca="1">IFERROR(Prices!E531/Prices!E530-1,"")</f>
        <v/>
      </c>
      <c r="F532" s="148" t="str">
        <f ca="1">IFERROR(Prices!F531/Prices!F530-1,"")</f>
        <v/>
      </c>
      <c r="G532" s="148" t="str">
        <f ca="1">IFERROR(Prices!G531/Prices!G530-1,"")</f>
        <v/>
      </c>
      <c r="H532" s="148" t="str">
        <f ca="1">IFERROR(Prices!H531/Prices!H530-1,"")</f>
        <v/>
      </c>
      <c r="I532" s="149" t="str">
        <f ca="1">IFERROR(Prices!I531/Prices!I530-1,"")</f>
        <v/>
      </c>
      <c r="J532" s="150">
        <f t="shared" ca="1" si="10"/>
        <v>0</v>
      </c>
      <c r="K532" s="112"/>
      <c r="L532" s="112"/>
      <c r="M532" s="112"/>
    </row>
    <row r="533" spans="1:13" x14ac:dyDescent="0.3">
      <c r="A533" s="147" t="str">
        <f ca="1">Prices!$A$532</f>
        <v/>
      </c>
      <c r="B533" s="148" t="str">
        <f ca="1">IFERROR(Prices!B532/Prices!B531-1,"")</f>
        <v/>
      </c>
      <c r="C533" s="148" t="str">
        <f ca="1">IFERROR(Prices!C532/Prices!C531-1,"")</f>
        <v/>
      </c>
      <c r="D533" s="148" t="str">
        <f ca="1">IFERROR(Prices!D532/Prices!D531-1,"")</f>
        <v/>
      </c>
      <c r="E533" s="148" t="str">
        <f ca="1">IFERROR(Prices!E532/Prices!E531-1,"")</f>
        <v/>
      </c>
      <c r="F533" s="148" t="str">
        <f ca="1">IFERROR(Prices!F532/Prices!F531-1,"")</f>
        <v/>
      </c>
      <c r="G533" s="148" t="str">
        <f ca="1">IFERROR(Prices!G532/Prices!G531-1,"")</f>
        <v/>
      </c>
      <c r="H533" s="148" t="str">
        <f ca="1">IFERROR(Prices!H532/Prices!H531-1,"")</f>
        <v/>
      </c>
      <c r="I533" s="149" t="str">
        <f ca="1">IFERROR(Prices!I532/Prices!I531-1,"")</f>
        <v/>
      </c>
      <c r="J533" s="150">
        <f t="shared" ca="1" si="10"/>
        <v>0</v>
      </c>
      <c r="K533" s="112"/>
      <c r="L533" s="112"/>
      <c r="M533" s="112"/>
    </row>
    <row r="534" spans="1:13" x14ac:dyDescent="0.3">
      <c r="A534" s="147" t="str">
        <f ca="1">Prices!$A$533</f>
        <v/>
      </c>
      <c r="B534" s="148" t="str">
        <f ca="1">IFERROR(Prices!B533/Prices!B532-1,"")</f>
        <v/>
      </c>
      <c r="C534" s="148" t="str">
        <f ca="1">IFERROR(Prices!C533/Prices!C532-1,"")</f>
        <v/>
      </c>
      <c r="D534" s="148" t="str">
        <f ca="1">IFERROR(Prices!D533/Prices!D532-1,"")</f>
        <v/>
      </c>
      <c r="E534" s="148" t="str">
        <f ca="1">IFERROR(Prices!E533/Prices!E532-1,"")</f>
        <v/>
      </c>
      <c r="F534" s="148" t="str">
        <f ca="1">IFERROR(Prices!F533/Prices!F532-1,"")</f>
        <v/>
      </c>
      <c r="G534" s="148" t="str">
        <f ca="1">IFERROR(Prices!G533/Prices!G532-1,"")</f>
        <v/>
      </c>
      <c r="H534" s="148" t="str">
        <f ca="1">IFERROR(Prices!H533/Prices!H532-1,"")</f>
        <v/>
      </c>
      <c r="I534" s="149" t="str">
        <f ca="1">IFERROR(Prices!I533/Prices!I532-1,"")</f>
        <v/>
      </c>
      <c r="J534" s="150">
        <f t="shared" ca="1" si="10"/>
        <v>0</v>
      </c>
      <c r="K534" s="112"/>
      <c r="L534" s="112"/>
      <c r="M534" s="112"/>
    </row>
    <row r="535" spans="1:13" x14ac:dyDescent="0.3">
      <c r="A535" s="147" t="str">
        <f ca="1">Prices!$A$534</f>
        <v/>
      </c>
      <c r="B535" s="148" t="str">
        <f ca="1">IFERROR(Prices!B534/Prices!B533-1,"")</f>
        <v/>
      </c>
      <c r="C535" s="148" t="str">
        <f ca="1">IFERROR(Prices!C534/Prices!C533-1,"")</f>
        <v/>
      </c>
      <c r="D535" s="148" t="str">
        <f ca="1">IFERROR(Prices!D534/Prices!D533-1,"")</f>
        <v/>
      </c>
      <c r="E535" s="148" t="str">
        <f ca="1">IFERROR(Prices!E534/Prices!E533-1,"")</f>
        <v/>
      </c>
      <c r="F535" s="148" t="str">
        <f ca="1">IFERROR(Prices!F534/Prices!F533-1,"")</f>
        <v/>
      </c>
      <c r="G535" s="148" t="str">
        <f ca="1">IFERROR(Prices!G534/Prices!G533-1,"")</f>
        <v/>
      </c>
      <c r="H535" s="148" t="str">
        <f ca="1">IFERROR(Prices!H534/Prices!H533-1,"")</f>
        <v/>
      </c>
      <c r="I535" s="149" t="str">
        <f ca="1">IFERROR(Prices!I534/Prices!I533-1,"")</f>
        <v/>
      </c>
      <c r="J535" s="150">
        <f t="shared" ca="1" si="10"/>
        <v>0</v>
      </c>
      <c r="K535" s="112"/>
      <c r="L535" s="112"/>
      <c r="M535" s="112"/>
    </row>
    <row r="536" spans="1:13" x14ac:dyDescent="0.3">
      <c r="A536" s="147" t="str">
        <f ca="1">Prices!$A$535</f>
        <v/>
      </c>
      <c r="B536" s="148" t="str">
        <f ca="1">IFERROR(Prices!B535/Prices!B534-1,"")</f>
        <v/>
      </c>
      <c r="C536" s="148" t="str">
        <f ca="1">IFERROR(Prices!C535/Prices!C534-1,"")</f>
        <v/>
      </c>
      <c r="D536" s="148" t="str">
        <f ca="1">IFERROR(Prices!D535/Prices!D534-1,"")</f>
        <v/>
      </c>
      <c r="E536" s="148" t="str">
        <f ca="1">IFERROR(Prices!E535/Prices!E534-1,"")</f>
        <v/>
      </c>
      <c r="F536" s="148" t="str">
        <f ca="1">IFERROR(Prices!F535/Prices!F534-1,"")</f>
        <v/>
      </c>
      <c r="G536" s="148" t="str">
        <f ca="1">IFERROR(Prices!G535/Prices!G534-1,"")</f>
        <v/>
      </c>
      <c r="H536" s="148" t="str">
        <f ca="1">IFERROR(Prices!H535/Prices!H534-1,"")</f>
        <v/>
      </c>
      <c r="I536" s="149" t="str">
        <f ca="1">IFERROR(Prices!I535/Prices!I534-1,"")</f>
        <v/>
      </c>
      <c r="J536" s="150">
        <f t="shared" ca="1" si="10"/>
        <v>0</v>
      </c>
      <c r="K536" s="112"/>
      <c r="L536" s="112"/>
      <c r="M536" s="112"/>
    </row>
    <row r="537" spans="1:13" x14ac:dyDescent="0.3">
      <c r="A537" s="147" t="str">
        <f ca="1">Prices!$A$536</f>
        <v/>
      </c>
      <c r="B537" s="148" t="str">
        <f ca="1">IFERROR(Prices!B536/Prices!B535-1,"")</f>
        <v/>
      </c>
      <c r="C537" s="148" t="str">
        <f ca="1">IFERROR(Prices!C536/Prices!C535-1,"")</f>
        <v/>
      </c>
      <c r="D537" s="148" t="str">
        <f ca="1">IFERROR(Prices!D536/Prices!D535-1,"")</f>
        <v/>
      </c>
      <c r="E537" s="148" t="str">
        <f ca="1">IFERROR(Prices!E536/Prices!E535-1,"")</f>
        <v/>
      </c>
      <c r="F537" s="148" t="str">
        <f ca="1">IFERROR(Prices!F536/Prices!F535-1,"")</f>
        <v/>
      </c>
      <c r="G537" s="148" t="str">
        <f ca="1">IFERROR(Prices!G536/Prices!G535-1,"")</f>
        <v/>
      </c>
      <c r="H537" s="148" t="str">
        <f ca="1">IFERROR(Prices!H536/Prices!H535-1,"")</f>
        <v/>
      </c>
      <c r="I537" s="149" t="str">
        <f ca="1">IFERROR(Prices!I536/Prices!I535-1,"")</f>
        <v/>
      </c>
      <c r="J537" s="150">
        <f t="shared" ca="1" si="10"/>
        <v>0</v>
      </c>
      <c r="K537" s="112"/>
      <c r="L537" s="112"/>
      <c r="M537" s="112"/>
    </row>
    <row r="538" spans="1:13" x14ac:dyDescent="0.3">
      <c r="A538" s="147" t="str">
        <f ca="1">Prices!$A$537</f>
        <v/>
      </c>
      <c r="B538" s="148" t="str">
        <f ca="1">IFERROR(Prices!B537/Prices!B536-1,"")</f>
        <v/>
      </c>
      <c r="C538" s="148" t="str">
        <f ca="1">IFERROR(Prices!C537/Prices!C536-1,"")</f>
        <v/>
      </c>
      <c r="D538" s="148" t="str">
        <f ca="1">IFERROR(Prices!D537/Prices!D536-1,"")</f>
        <v/>
      </c>
      <c r="E538" s="148" t="str">
        <f ca="1">IFERROR(Prices!E537/Prices!E536-1,"")</f>
        <v/>
      </c>
      <c r="F538" s="148" t="str">
        <f ca="1">IFERROR(Prices!F537/Prices!F536-1,"")</f>
        <v/>
      </c>
      <c r="G538" s="148" t="str">
        <f ca="1">IFERROR(Prices!G537/Prices!G536-1,"")</f>
        <v/>
      </c>
      <c r="H538" s="148" t="str">
        <f ca="1">IFERROR(Prices!H537/Prices!H536-1,"")</f>
        <v/>
      </c>
      <c r="I538" s="149" t="str">
        <f ca="1">IFERROR(Prices!I537/Prices!I536-1,"")</f>
        <v/>
      </c>
      <c r="J538" s="150">
        <f t="shared" ca="1" si="10"/>
        <v>0</v>
      </c>
      <c r="K538" s="112"/>
      <c r="L538" s="112"/>
      <c r="M538" s="112"/>
    </row>
    <row r="539" spans="1:13" x14ac:dyDescent="0.3">
      <c r="A539" s="147" t="str">
        <f ca="1">Prices!$A$538</f>
        <v/>
      </c>
      <c r="B539" s="148" t="str">
        <f ca="1">IFERROR(Prices!B538/Prices!B537-1,"")</f>
        <v/>
      </c>
      <c r="C539" s="148" t="str">
        <f ca="1">IFERROR(Prices!C538/Prices!C537-1,"")</f>
        <v/>
      </c>
      <c r="D539" s="148" t="str">
        <f ca="1">IFERROR(Prices!D538/Prices!D537-1,"")</f>
        <v/>
      </c>
      <c r="E539" s="148" t="str">
        <f ca="1">IFERROR(Prices!E538/Prices!E537-1,"")</f>
        <v/>
      </c>
      <c r="F539" s="148" t="str">
        <f ca="1">IFERROR(Prices!F538/Prices!F537-1,"")</f>
        <v/>
      </c>
      <c r="G539" s="148" t="str">
        <f ca="1">IFERROR(Prices!G538/Prices!G537-1,"")</f>
        <v/>
      </c>
      <c r="H539" s="148" t="str">
        <f ca="1">IFERROR(Prices!H538/Prices!H537-1,"")</f>
        <v/>
      </c>
      <c r="I539" s="149" t="str">
        <f ca="1">IFERROR(Prices!I538/Prices!I537-1,"")</f>
        <v/>
      </c>
      <c r="J539" s="150">
        <f t="shared" ca="1" si="10"/>
        <v>0</v>
      </c>
      <c r="K539" s="112"/>
      <c r="L539" s="112"/>
      <c r="M539" s="112"/>
    </row>
    <row r="540" spans="1:13" x14ac:dyDescent="0.3">
      <c r="A540" s="147" t="str">
        <f ca="1">Prices!$A$539</f>
        <v/>
      </c>
      <c r="B540" s="148" t="str">
        <f ca="1">IFERROR(Prices!B539/Prices!B538-1,"")</f>
        <v/>
      </c>
      <c r="C540" s="148" t="str">
        <f ca="1">IFERROR(Prices!C539/Prices!C538-1,"")</f>
        <v/>
      </c>
      <c r="D540" s="148" t="str">
        <f ca="1">IFERROR(Prices!D539/Prices!D538-1,"")</f>
        <v/>
      </c>
      <c r="E540" s="148" t="str">
        <f ca="1">IFERROR(Prices!E539/Prices!E538-1,"")</f>
        <v/>
      </c>
      <c r="F540" s="148" t="str">
        <f ca="1">IFERROR(Prices!F539/Prices!F538-1,"")</f>
        <v/>
      </c>
      <c r="G540" s="148" t="str">
        <f ca="1">IFERROR(Prices!G539/Prices!G538-1,"")</f>
        <v/>
      </c>
      <c r="H540" s="148" t="str">
        <f ca="1">IFERROR(Prices!H539/Prices!H538-1,"")</f>
        <v/>
      </c>
      <c r="I540" s="149" t="str">
        <f ca="1">IFERROR(Prices!I539/Prices!I538-1,"")</f>
        <v/>
      </c>
      <c r="J540" s="150">
        <f t="shared" ca="1" si="10"/>
        <v>0</v>
      </c>
      <c r="K540" s="112"/>
      <c r="L540" s="112"/>
      <c r="M540" s="112"/>
    </row>
    <row r="541" spans="1:13" x14ac:dyDescent="0.3">
      <c r="A541" s="147" t="str">
        <f ca="1">Prices!$A$540</f>
        <v/>
      </c>
      <c r="B541" s="148" t="str">
        <f ca="1">IFERROR(Prices!B540/Prices!B539-1,"")</f>
        <v/>
      </c>
      <c r="C541" s="148" t="str">
        <f ca="1">IFERROR(Prices!C540/Prices!C539-1,"")</f>
        <v/>
      </c>
      <c r="D541" s="148" t="str">
        <f ca="1">IFERROR(Prices!D540/Prices!D539-1,"")</f>
        <v/>
      </c>
      <c r="E541" s="148" t="str">
        <f ca="1">IFERROR(Prices!E540/Prices!E539-1,"")</f>
        <v/>
      </c>
      <c r="F541" s="148" t="str">
        <f ca="1">IFERROR(Prices!F540/Prices!F539-1,"")</f>
        <v/>
      </c>
      <c r="G541" s="148" t="str">
        <f ca="1">IFERROR(Prices!G540/Prices!G539-1,"")</f>
        <v/>
      </c>
      <c r="H541" s="148" t="str">
        <f ca="1">IFERROR(Prices!H540/Prices!H539-1,"")</f>
        <v/>
      </c>
      <c r="I541" s="149" t="str">
        <f ca="1">IFERROR(Prices!I540/Prices!I539-1,"")</f>
        <v/>
      </c>
      <c r="J541" s="150">
        <f t="shared" ca="1" si="10"/>
        <v>0</v>
      </c>
      <c r="K541" s="112"/>
      <c r="L541" s="112"/>
      <c r="M541" s="112"/>
    </row>
    <row r="542" spans="1:13" x14ac:dyDescent="0.3">
      <c r="A542" s="147" t="str">
        <f ca="1">Prices!$A$541</f>
        <v/>
      </c>
      <c r="B542" s="148" t="str">
        <f ca="1">IFERROR(Prices!B541/Prices!B540-1,"")</f>
        <v/>
      </c>
      <c r="C542" s="148" t="str">
        <f ca="1">IFERROR(Prices!C541/Prices!C540-1,"")</f>
        <v/>
      </c>
      <c r="D542" s="148" t="str">
        <f ca="1">IFERROR(Prices!D541/Prices!D540-1,"")</f>
        <v/>
      </c>
      <c r="E542" s="148" t="str">
        <f ca="1">IFERROR(Prices!E541/Prices!E540-1,"")</f>
        <v/>
      </c>
      <c r="F542" s="148" t="str">
        <f ca="1">IFERROR(Prices!F541/Prices!F540-1,"")</f>
        <v/>
      </c>
      <c r="G542" s="148" t="str">
        <f ca="1">IFERROR(Prices!G541/Prices!G540-1,"")</f>
        <v/>
      </c>
      <c r="H542" s="148" t="str">
        <f ca="1">IFERROR(Prices!H541/Prices!H540-1,"")</f>
        <v/>
      </c>
      <c r="I542" s="149" t="str">
        <f ca="1">IFERROR(Prices!I541/Prices!I540-1,"")</f>
        <v/>
      </c>
      <c r="J542" s="150">
        <f t="shared" ca="1" si="10"/>
        <v>0</v>
      </c>
      <c r="K542" s="112"/>
      <c r="L542" s="112"/>
      <c r="M542" s="112"/>
    </row>
    <row r="543" spans="1:13" x14ac:dyDescent="0.3">
      <c r="A543" s="147" t="str">
        <f ca="1">Prices!$A$542</f>
        <v/>
      </c>
      <c r="B543" s="148" t="str">
        <f ca="1">IFERROR(Prices!B542/Prices!B541-1,"")</f>
        <v/>
      </c>
      <c r="C543" s="148" t="str">
        <f ca="1">IFERROR(Prices!C542/Prices!C541-1,"")</f>
        <v/>
      </c>
      <c r="D543" s="148" t="str">
        <f ca="1">IFERROR(Prices!D542/Prices!D541-1,"")</f>
        <v/>
      </c>
      <c r="E543" s="148" t="str">
        <f ca="1">IFERROR(Prices!E542/Prices!E541-1,"")</f>
        <v/>
      </c>
      <c r="F543" s="148" t="str">
        <f ca="1">IFERROR(Prices!F542/Prices!F541-1,"")</f>
        <v/>
      </c>
      <c r="G543" s="148" t="str">
        <f ca="1">IFERROR(Prices!G542/Prices!G541-1,"")</f>
        <v/>
      </c>
      <c r="H543" s="148" t="str">
        <f ca="1">IFERROR(Prices!H542/Prices!H541-1,"")</f>
        <v/>
      </c>
      <c r="I543" s="149" t="str">
        <f ca="1">IFERROR(Prices!I542/Prices!I541-1,"")</f>
        <v/>
      </c>
      <c r="J543" s="150">
        <f t="shared" ca="1" si="10"/>
        <v>0</v>
      </c>
      <c r="K543" s="112"/>
      <c r="L543" s="112"/>
      <c r="M543" s="112"/>
    </row>
    <row r="544" spans="1:13" x14ac:dyDescent="0.3">
      <c r="A544" s="147" t="str">
        <f ca="1">Prices!$A$543</f>
        <v/>
      </c>
      <c r="B544" s="148" t="str">
        <f ca="1">IFERROR(Prices!B543/Prices!B542-1,"")</f>
        <v/>
      </c>
      <c r="C544" s="148" t="str">
        <f ca="1">IFERROR(Prices!C543/Prices!C542-1,"")</f>
        <v/>
      </c>
      <c r="D544" s="148" t="str">
        <f ca="1">IFERROR(Prices!D543/Prices!D542-1,"")</f>
        <v/>
      </c>
      <c r="E544" s="148" t="str">
        <f ca="1">IFERROR(Prices!E543/Prices!E542-1,"")</f>
        <v/>
      </c>
      <c r="F544" s="148" t="str">
        <f ca="1">IFERROR(Prices!F543/Prices!F542-1,"")</f>
        <v/>
      </c>
      <c r="G544" s="148" t="str">
        <f ca="1">IFERROR(Prices!G543/Prices!G542-1,"")</f>
        <v/>
      </c>
      <c r="H544" s="148" t="str">
        <f ca="1">IFERROR(Prices!H543/Prices!H542-1,"")</f>
        <v/>
      </c>
      <c r="I544" s="149" t="str">
        <f ca="1">IFERROR(Prices!I543/Prices!I542-1,"")</f>
        <v/>
      </c>
      <c r="J544" s="150">
        <f t="shared" ca="1" si="10"/>
        <v>0</v>
      </c>
      <c r="K544" s="112"/>
      <c r="L544" s="112"/>
      <c r="M544" s="112"/>
    </row>
    <row r="545" spans="1:13" x14ac:dyDescent="0.3">
      <c r="A545" s="147" t="str">
        <f ca="1">Prices!$A$544</f>
        <v/>
      </c>
      <c r="B545" s="148" t="str">
        <f ca="1">IFERROR(Prices!B544/Prices!B543-1,"")</f>
        <v/>
      </c>
      <c r="C545" s="148" t="str">
        <f ca="1">IFERROR(Prices!C544/Prices!C543-1,"")</f>
        <v/>
      </c>
      <c r="D545" s="148" t="str">
        <f ca="1">IFERROR(Prices!D544/Prices!D543-1,"")</f>
        <v/>
      </c>
      <c r="E545" s="148" t="str">
        <f ca="1">IFERROR(Prices!E544/Prices!E543-1,"")</f>
        <v/>
      </c>
      <c r="F545" s="148" t="str">
        <f ca="1">IFERROR(Prices!F544/Prices!F543-1,"")</f>
        <v/>
      </c>
      <c r="G545" s="148" t="str">
        <f ca="1">IFERROR(Prices!G544/Prices!G543-1,"")</f>
        <v/>
      </c>
      <c r="H545" s="148" t="str">
        <f ca="1">IFERROR(Prices!H544/Prices!H543-1,"")</f>
        <v/>
      </c>
      <c r="I545" s="149" t="str">
        <f ca="1">IFERROR(Prices!I544/Prices!I543-1,"")</f>
        <v/>
      </c>
      <c r="J545" s="150">
        <f t="shared" ca="1" si="10"/>
        <v>0</v>
      </c>
      <c r="K545" s="112"/>
      <c r="L545" s="112"/>
      <c r="M545" s="112"/>
    </row>
    <row r="546" spans="1:13" x14ac:dyDescent="0.3">
      <c r="A546" s="147" t="str">
        <f ca="1">Prices!$A$545</f>
        <v/>
      </c>
      <c r="B546" s="148" t="str">
        <f ca="1">IFERROR(Prices!B545/Prices!B544-1,"")</f>
        <v/>
      </c>
      <c r="C546" s="148" t="str">
        <f ca="1">IFERROR(Prices!C545/Prices!C544-1,"")</f>
        <v/>
      </c>
      <c r="D546" s="148" t="str">
        <f ca="1">IFERROR(Prices!D545/Prices!D544-1,"")</f>
        <v/>
      </c>
      <c r="E546" s="148" t="str">
        <f ca="1">IFERROR(Prices!E545/Prices!E544-1,"")</f>
        <v/>
      </c>
      <c r="F546" s="148" t="str">
        <f ca="1">IFERROR(Prices!F545/Prices!F544-1,"")</f>
        <v/>
      </c>
      <c r="G546" s="148" t="str">
        <f ca="1">IFERROR(Prices!G545/Prices!G544-1,"")</f>
        <v/>
      </c>
      <c r="H546" s="148" t="str">
        <f ca="1">IFERROR(Prices!H545/Prices!H544-1,"")</f>
        <v/>
      </c>
      <c r="I546" s="149" t="str">
        <f ca="1">IFERROR(Prices!I545/Prices!I544-1,"")</f>
        <v/>
      </c>
      <c r="J546" s="150">
        <f t="shared" ca="1" si="10"/>
        <v>0</v>
      </c>
      <c r="K546" s="112"/>
      <c r="L546" s="112"/>
      <c r="M546" s="112"/>
    </row>
    <row r="547" spans="1:13" x14ac:dyDescent="0.3">
      <c r="A547" s="147" t="str">
        <f ca="1">Prices!$A$546</f>
        <v/>
      </c>
      <c r="B547" s="148" t="str">
        <f ca="1">IFERROR(Prices!B546/Prices!B545-1,"")</f>
        <v/>
      </c>
      <c r="C547" s="148" t="str">
        <f ca="1">IFERROR(Prices!C546/Prices!C545-1,"")</f>
        <v/>
      </c>
      <c r="D547" s="148" t="str">
        <f ca="1">IFERROR(Prices!D546/Prices!D545-1,"")</f>
        <v/>
      </c>
      <c r="E547" s="148" t="str">
        <f ca="1">IFERROR(Prices!E546/Prices!E545-1,"")</f>
        <v/>
      </c>
      <c r="F547" s="148" t="str">
        <f ca="1">IFERROR(Prices!F546/Prices!F545-1,"")</f>
        <v/>
      </c>
      <c r="G547" s="148" t="str">
        <f ca="1">IFERROR(Prices!G546/Prices!G545-1,"")</f>
        <v/>
      </c>
      <c r="H547" s="148" t="str">
        <f ca="1">IFERROR(Prices!H546/Prices!H545-1,"")</f>
        <v/>
      </c>
      <c r="I547" s="149" t="str">
        <f ca="1">IFERROR(Prices!I546/Prices!I545-1,"")</f>
        <v/>
      </c>
      <c r="J547" s="150">
        <f t="shared" ca="1" si="10"/>
        <v>0</v>
      </c>
      <c r="K547" s="112"/>
      <c r="L547" s="112"/>
      <c r="M547" s="112"/>
    </row>
    <row r="548" spans="1:13" x14ac:dyDescent="0.3">
      <c r="A548" s="147" t="str">
        <f ca="1">Prices!$A$547</f>
        <v/>
      </c>
      <c r="B548" s="148" t="str">
        <f ca="1">IFERROR(Prices!B547/Prices!B546-1,"")</f>
        <v/>
      </c>
      <c r="C548" s="148" t="str">
        <f ca="1">IFERROR(Prices!C547/Prices!C546-1,"")</f>
        <v/>
      </c>
      <c r="D548" s="148" t="str">
        <f ca="1">IFERROR(Prices!D547/Prices!D546-1,"")</f>
        <v/>
      </c>
      <c r="E548" s="148" t="str">
        <f ca="1">IFERROR(Prices!E547/Prices!E546-1,"")</f>
        <v/>
      </c>
      <c r="F548" s="148" t="str">
        <f ca="1">IFERROR(Prices!F547/Prices!F546-1,"")</f>
        <v/>
      </c>
      <c r="G548" s="148" t="str">
        <f ca="1">IFERROR(Prices!G547/Prices!G546-1,"")</f>
        <v/>
      </c>
      <c r="H548" s="148" t="str">
        <f ca="1">IFERROR(Prices!H547/Prices!H546-1,"")</f>
        <v/>
      </c>
      <c r="I548" s="149" t="str">
        <f ca="1">IFERROR(Prices!I547/Prices!I546-1,"")</f>
        <v/>
      </c>
      <c r="J548" s="150">
        <f t="shared" ca="1" si="10"/>
        <v>0</v>
      </c>
      <c r="K548" s="112"/>
      <c r="L548" s="112"/>
      <c r="M548" s="112"/>
    </row>
    <row r="549" spans="1:13" x14ac:dyDescent="0.3">
      <c r="A549" s="147" t="str">
        <f ca="1">Prices!$A$548</f>
        <v/>
      </c>
      <c r="B549" s="148" t="str">
        <f ca="1">IFERROR(Prices!B548/Prices!B547-1,"")</f>
        <v/>
      </c>
      <c r="C549" s="148" t="str">
        <f ca="1">IFERROR(Prices!C548/Prices!C547-1,"")</f>
        <v/>
      </c>
      <c r="D549" s="148" t="str">
        <f ca="1">IFERROR(Prices!D548/Prices!D547-1,"")</f>
        <v/>
      </c>
      <c r="E549" s="148" t="str">
        <f ca="1">IFERROR(Prices!E548/Prices!E547-1,"")</f>
        <v/>
      </c>
      <c r="F549" s="148" t="str">
        <f ca="1">IFERROR(Prices!F548/Prices!F547-1,"")</f>
        <v/>
      </c>
      <c r="G549" s="148" t="str">
        <f ca="1">IFERROR(Prices!G548/Prices!G547-1,"")</f>
        <v/>
      </c>
      <c r="H549" s="148" t="str">
        <f ca="1">IFERROR(Prices!H548/Prices!H547-1,"")</f>
        <v/>
      </c>
      <c r="I549" s="149" t="str">
        <f ca="1">IFERROR(Prices!I548/Prices!I547-1,"")</f>
        <v/>
      </c>
      <c r="J549" s="150">
        <f t="shared" ca="1" si="10"/>
        <v>0</v>
      </c>
      <c r="K549" s="112"/>
      <c r="L549" s="112"/>
      <c r="M549" s="112"/>
    </row>
    <row r="550" spans="1:13" x14ac:dyDescent="0.3">
      <c r="A550" s="147" t="str">
        <f ca="1">Prices!$A$549</f>
        <v/>
      </c>
      <c r="B550" s="148" t="str">
        <f ca="1">IFERROR(Prices!B549/Prices!B548-1,"")</f>
        <v/>
      </c>
      <c r="C550" s="148" t="str">
        <f ca="1">IFERROR(Prices!C549/Prices!C548-1,"")</f>
        <v/>
      </c>
      <c r="D550" s="148" t="str">
        <f ca="1">IFERROR(Prices!D549/Prices!D548-1,"")</f>
        <v/>
      </c>
      <c r="E550" s="148" t="str">
        <f ca="1">IFERROR(Prices!E549/Prices!E548-1,"")</f>
        <v/>
      </c>
      <c r="F550" s="148" t="str">
        <f ca="1">IFERROR(Prices!F549/Prices!F548-1,"")</f>
        <v/>
      </c>
      <c r="G550" s="148" t="str">
        <f ca="1">IFERROR(Prices!G549/Prices!G548-1,"")</f>
        <v/>
      </c>
      <c r="H550" s="148" t="str">
        <f ca="1">IFERROR(Prices!H549/Prices!H548-1,"")</f>
        <v/>
      </c>
      <c r="I550" s="149" t="str">
        <f ca="1">IFERROR(Prices!I549/Prices!I548-1,"")</f>
        <v/>
      </c>
      <c r="J550" s="150">
        <f t="shared" ca="1" si="10"/>
        <v>0</v>
      </c>
      <c r="K550" s="112"/>
      <c r="L550" s="112"/>
      <c r="M550" s="112"/>
    </row>
    <row r="551" spans="1:13" x14ac:dyDescent="0.3">
      <c r="A551" s="147" t="str">
        <f ca="1">Prices!$A$550</f>
        <v/>
      </c>
      <c r="B551" s="148" t="str">
        <f ca="1">IFERROR(Prices!B550/Prices!B549-1,"")</f>
        <v/>
      </c>
      <c r="C551" s="148" t="str">
        <f ca="1">IFERROR(Prices!C550/Prices!C549-1,"")</f>
        <v/>
      </c>
      <c r="D551" s="148" t="str">
        <f ca="1">IFERROR(Prices!D550/Prices!D549-1,"")</f>
        <v/>
      </c>
      <c r="E551" s="148" t="str">
        <f ca="1">IFERROR(Prices!E550/Prices!E549-1,"")</f>
        <v/>
      </c>
      <c r="F551" s="148" t="str">
        <f ca="1">IFERROR(Prices!F550/Prices!F549-1,"")</f>
        <v/>
      </c>
      <c r="G551" s="148" t="str">
        <f ca="1">IFERROR(Prices!G550/Prices!G549-1,"")</f>
        <v/>
      </c>
      <c r="H551" s="148" t="str">
        <f ca="1">IFERROR(Prices!H550/Prices!H549-1,"")</f>
        <v/>
      </c>
      <c r="I551" s="149" t="str">
        <f ca="1">IFERROR(Prices!I550/Prices!I549-1,"")</f>
        <v/>
      </c>
      <c r="J551" s="150">
        <f t="shared" ca="1" si="10"/>
        <v>0</v>
      </c>
      <c r="K551" s="112"/>
      <c r="L551" s="112"/>
      <c r="M551" s="112"/>
    </row>
    <row r="552" spans="1:13" x14ac:dyDescent="0.3">
      <c r="A552" s="147" t="str">
        <f ca="1">Prices!$A$551</f>
        <v/>
      </c>
      <c r="B552" s="148" t="str">
        <f ca="1">IFERROR(Prices!B551/Prices!B550-1,"")</f>
        <v/>
      </c>
      <c r="C552" s="148" t="str">
        <f ca="1">IFERROR(Prices!C551/Prices!C550-1,"")</f>
        <v/>
      </c>
      <c r="D552" s="148" t="str">
        <f ca="1">IFERROR(Prices!D551/Prices!D550-1,"")</f>
        <v/>
      </c>
      <c r="E552" s="148" t="str">
        <f ca="1">IFERROR(Prices!E551/Prices!E550-1,"")</f>
        <v/>
      </c>
      <c r="F552" s="148" t="str">
        <f ca="1">IFERROR(Prices!F551/Prices!F550-1,"")</f>
        <v/>
      </c>
      <c r="G552" s="148" t="str">
        <f ca="1">IFERROR(Prices!G551/Prices!G550-1,"")</f>
        <v/>
      </c>
      <c r="H552" s="148" t="str">
        <f ca="1">IFERROR(Prices!H551/Prices!H550-1,"")</f>
        <v/>
      </c>
      <c r="I552" s="149" t="str">
        <f ca="1">IFERROR(Prices!I551/Prices!I550-1,"")</f>
        <v/>
      </c>
      <c r="J552" s="150">
        <f t="shared" ca="1" si="10"/>
        <v>0</v>
      </c>
      <c r="K552" s="112"/>
      <c r="L552" s="112"/>
      <c r="M552" s="112"/>
    </row>
    <row r="553" spans="1:13" x14ac:dyDescent="0.3">
      <c r="A553" s="147" t="str">
        <f ca="1">Prices!$A$552</f>
        <v/>
      </c>
      <c r="B553" s="148" t="str">
        <f ca="1">IFERROR(Prices!B552/Prices!B551-1,"")</f>
        <v/>
      </c>
      <c r="C553" s="148" t="str">
        <f ca="1">IFERROR(Prices!C552/Prices!C551-1,"")</f>
        <v/>
      </c>
      <c r="D553" s="148" t="str">
        <f ca="1">IFERROR(Prices!D552/Prices!D551-1,"")</f>
        <v/>
      </c>
      <c r="E553" s="148" t="str">
        <f ca="1">IFERROR(Prices!E552/Prices!E551-1,"")</f>
        <v/>
      </c>
      <c r="F553" s="148" t="str">
        <f ca="1">IFERROR(Prices!F552/Prices!F551-1,"")</f>
        <v/>
      </c>
      <c r="G553" s="148" t="str">
        <f ca="1">IFERROR(Prices!G552/Prices!G551-1,"")</f>
        <v/>
      </c>
      <c r="H553" s="148" t="str">
        <f ca="1">IFERROR(Prices!H552/Prices!H551-1,"")</f>
        <v/>
      </c>
      <c r="I553" s="149" t="str">
        <f ca="1">IFERROR(Prices!I552/Prices!I551-1,"")</f>
        <v/>
      </c>
      <c r="J553" s="150">
        <f t="shared" ca="1" si="10"/>
        <v>0</v>
      </c>
      <c r="K553" s="112"/>
      <c r="L553" s="112"/>
      <c r="M553" s="112"/>
    </row>
    <row r="554" spans="1:13" x14ac:dyDescent="0.3">
      <c r="A554" s="147" t="str">
        <f ca="1">Prices!$A$553</f>
        <v/>
      </c>
      <c r="B554" s="148" t="str">
        <f ca="1">IFERROR(Prices!B553/Prices!B552-1,"")</f>
        <v/>
      </c>
      <c r="C554" s="148" t="str">
        <f ca="1">IFERROR(Prices!C553/Prices!C552-1,"")</f>
        <v/>
      </c>
      <c r="D554" s="148" t="str">
        <f ca="1">IFERROR(Prices!D553/Prices!D552-1,"")</f>
        <v/>
      </c>
      <c r="E554" s="148" t="str">
        <f ca="1">IFERROR(Prices!E553/Prices!E552-1,"")</f>
        <v/>
      </c>
      <c r="F554" s="148" t="str">
        <f ca="1">IFERROR(Prices!F553/Prices!F552-1,"")</f>
        <v/>
      </c>
      <c r="G554" s="148" t="str">
        <f ca="1">IFERROR(Prices!G553/Prices!G552-1,"")</f>
        <v/>
      </c>
      <c r="H554" s="148" t="str">
        <f ca="1">IFERROR(Prices!H553/Prices!H552-1,"")</f>
        <v/>
      </c>
      <c r="I554" s="149" t="str">
        <f ca="1">IFERROR(Prices!I553/Prices!I552-1,"")</f>
        <v/>
      </c>
      <c r="J554" s="150">
        <f t="shared" ca="1" si="10"/>
        <v>0</v>
      </c>
      <c r="K554" s="112"/>
      <c r="L554" s="112"/>
      <c r="M554" s="112"/>
    </row>
    <row r="555" spans="1:13" x14ac:dyDescent="0.3">
      <c r="A555" s="147" t="str">
        <f ca="1">Prices!$A$554</f>
        <v/>
      </c>
      <c r="B555" s="148" t="str">
        <f ca="1">IFERROR(Prices!B554/Prices!B553-1,"")</f>
        <v/>
      </c>
      <c r="C555" s="148" t="str">
        <f ca="1">IFERROR(Prices!C554/Prices!C553-1,"")</f>
        <v/>
      </c>
      <c r="D555" s="148" t="str">
        <f ca="1">IFERROR(Prices!D554/Prices!D553-1,"")</f>
        <v/>
      </c>
      <c r="E555" s="148" t="str">
        <f ca="1">IFERROR(Prices!E554/Prices!E553-1,"")</f>
        <v/>
      </c>
      <c r="F555" s="148" t="str">
        <f ca="1">IFERROR(Prices!F554/Prices!F553-1,"")</f>
        <v/>
      </c>
      <c r="G555" s="148" t="str">
        <f ca="1">IFERROR(Prices!G554/Prices!G553-1,"")</f>
        <v/>
      </c>
      <c r="H555" s="148" t="str">
        <f ca="1">IFERROR(Prices!H554/Prices!H553-1,"")</f>
        <v/>
      </c>
      <c r="I555" s="149" t="str">
        <f ca="1">IFERROR(Prices!I554/Prices!I553-1,"")</f>
        <v/>
      </c>
      <c r="J555" s="150">
        <f t="shared" ca="1" si="10"/>
        <v>0</v>
      </c>
      <c r="K555" s="112"/>
      <c r="L555" s="112"/>
      <c r="M555" s="112"/>
    </row>
    <row r="556" spans="1:13" x14ac:dyDescent="0.3">
      <c r="A556" s="147" t="str">
        <f ca="1">Prices!$A$555</f>
        <v/>
      </c>
      <c r="B556" s="148" t="str">
        <f ca="1">IFERROR(Prices!B555/Prices!B554-1,"")</f>
        <v/>
      </c>
      <c r="C556" s="148" t="str">
        <f ca="1">IFERROR(Prices!C555/Prices!C554-1,"")</f>
        <v/>
      </c>
      <c r="D556" s="148" t="str">
        <f ca="1">IFERROR(Prices!D555/Prices!D554-1,"")</f>
        <v/>
      </c>
      <c r="E556" s="148" t="str">
        <f ca="1">IFERROR(Prices!E555/Prices!E554-1,"")</f>
        <v/>
      </c>
      <c r="F556" s="148" t="str">
        <f ca="1">IFERROR(Prices!F555/Prices!F554-1,"")</f>
        <v/>
      </c>
      <c r="G556" s="148" t="str">
        <f ca="1">IFERROR(Prices!G555/Prices!G554-1,"")</f>
        <v/>
      </c>
      <c r="H556" s="148" t="str">
        <f ca="1">IFERROR(Prices!H555/Prices!H554-1,"")</f>
        <v/>
      </c>
      <c r="I556" s="149" t="str">
        <f ca="1">IFERROR(Prices!I555/Prices!I554-1,"")</f>
        <v/>
      </c>
      <c r="J556" s="150">
        <f t="shared" ca="1" si="10"/>
        <v>0</v>
      </c>
      <c r="K556" s="112"/>
      <c r="L556" s="112"/>
      <c r="M556" s="112"/>
    </row>
    <row r="557" spans="1:13" x14ac:dyDescent="0.3">
      <c r="A557" s="147" t="str">
        <f ca="1">Prices!$A$556</f>
        <v/>
      </c>
      <c r="B557" s="148" t="str">
        <f ca="1">IFERROR(Prices!B556/Prices!B555-1,"")</f>
        <v/>
      </c>
      <c r="C557" s="148" t="str">
        <f ca="1">IFERROR(Prices!C556/Prices!C555-1,"")</f>
        <v/>
      </c>
      <c r="D557" s="148" t="str">
        <f ca="1">IFERROR(Prices!D556/Prices!D555-1,"")</f>
        <v/>
      </c>
      <c r="E557" s="148" t="str">
        <f ca="1">IFERROR(Prices!E556/Prices!E555-1,"")</f>
        <v/>
      </c>
      <c r="F557" s="148" t="str">
        <f ca="1">IFERROR(Prices!F556/Prices!F555-1,"")</f>
        <v/>
      </c>
      <c r="G557" s="148" t="str">
        <f ca="1">IFERROR(Prices!G556/Prices!G555-1,"")</f>
        <v/>
      </c>
      <c r="H557" s="148" t="str">
        <f ca="1">IFERROR(Prices!H556/Prices!H555-1,"")</f>
        <v/>
      </c>
      <c r="I557" s="149" t="str">
        <f ca="1">IFERROR(Prices!I556/Prices!I555-1,"")</f>
        <v/>
      </c>
      <c r="J557" s="150">
        <f t="shared" ca="1" si="10"/>
        <v>0</v>
      </c>
      <c r="K557" s="112"/>
      <c r="L557" s="112"/>
      <c r="M557" s="112"/>
    </row>
    <row r="558" spans="1:13" x14ac:dyDescent="0.3">
      <c r="A558" s="147" t="str">
        <f ca="1">Prices!$A$557</f>
        <v/>
      </c>
      <c r="B558" s="148" t="str">
        <f ca="1">IFERROR(Prices!B557/Prices!B556-1,"")</f>
        <v/>
      </c>
      <c r="C558" s="148" t="str">
        <f ca="1">IFERROR(Prices!C557/Prices!C556-1,"")</f>
        <v/>
      </c>
      <c r="D558" s="148" t="str">
        <f ca="1">IFERROR(Prices!D557/Prices!D556-1,"")</f>
        <v/>
      </c>
      <c r="E558" s="148" t="str">
        <f ca="1">IFERROR(Prices!E557/Prices!E556-1,"")</f>
        <v/>
      </c>
      <c r="F558" s="148" t="str">
        <f ca="1">IFERROR(Prices!F557/Prices!F556-1,"")</f>
        <v/>
      </c>
      <c r="G558" s="148" t="str">
        <f ca="1">IFERROR(Prices!G557/Prices!G556-1,"")</f>
        <v/>
      </c>
      <c r="H558" s="148" t="str">
        <f ca="1">IFERROR(Prices!H557/Prices!H556-1,"")</f>
        <v/>
      </c>
      <c r="I558" s="149" t="str">
        <f ca="1">IFERROR(Prices!I557/Prices!I556-1,"")</f>
        <v/>
      </c>
      <c r="J558" s="150">
        <f t="shared" ca="1" si="10"/>
        <v>0</v>
      </c>
      <c r="K558" s="112"/>
      <c r="L558" s="112"/>
      <c r="M558" s="112"/>
    </row>
    <row r="559" spans="1:13" x14ac:dyDescent="0.3">
      <c r="A559" s="147" t="str">
        <f ca="1">Prices!$A$558</f>
        <v/>
      </c>
      <c r="B559" s="148" t="str">
        <f ca="1">IFERROR(Prices!B558/Prices!B557-1,"")</f>
        <v/>
      </c>
      <c r="C559" s="148" t="str">
        <f ca="1">IFERROR(Prices!C558/Prices!C557-1,"")</f>
        <v/>
      </c>
      <c r="D559" s="148" t="str">
        <f ca="1">IFERROR(Prices!D558/Prices!D557-1,"")</f>
        <v/>
      </c>
      <c r="E559" s="148" t="str">
        <f ca="1">IFERROR(Prices!E558/Prices!E557-1,"")</f>
        <v/>
      </c>
      <c r="F559" s="148" t="str">
        <f ca="1">IFERROR(Prices!F558/Prices!F557-1,"")</f>
        <v/>
      </c>
      <c r="G559" s="148" t="str">
        <f ca="1">IFERROR(Prices!G558/Prices!G557-1,"")</f>
        <v/>
      </c>
      <c r="H559" s="148" t="str">
        <f ca="1">IFERROR(Prices!H558/Prices!H557-1,"")</f>
        <v/>
      </c>
      <c r="I559" s="149" t="str">
        <f ca="1">IFERROR(Prices!I558/Prices!I557-1,"")</f>
        <v/>
      </c>
      <c r="J559" s="150">
        <f t="shared" ca="1" si="10"/>
        <v>0</v>
      </c>
      <c r="K559" s="112"/>
      <c r="L559" s="112"/>
      <c r="M559" s="112"/>
    </row>
    <row r="560" spans="1:13" x14ac:dyDescent="0.3">
      <c r="A560" s="147" t="str">
        <f ca="1">Prices!$A$559</f>
        <v/>
      </c>
      <c r="B560" s="148" t="str">
        <f ca="1">IFERROR(Prices!B559/Prices!B558-1,"")</f>
        <v/>
      </c>
      <c r="C560" s="148" t="str">
        <f ca="1">IFERROR(Prices!C559/Prices!C558-1,"")</f>
        <v/>
      </c>
      <c r="D560" s="148" t="str">
        <f ca="1">IFERROR(Prices!D559/Prices!D558-1,"")</f>
        <v/>
      </c>
      <c r="E560" s="148" t="str">
        <f ca="1">IFERROR(Prices!E559/Prices!E558-1,"")</f>
        <v/>
      </c>
      <c r="F560" s="148" t="str">
        <f ca="1">IFERROR(Prices!F559/Prices!F558-1,"")</f>
        <v/>
      </c>
      <c r="G560" s="148" t="str">
        <f ca="1">IFERROR(Prices!G559/Prices!G558-1,"")</f>
        <v/>
      </c>
      <c r="H560" s="148" t="str">
        <f ca="1">IFERROR(Prices!H559/Prices!H558-1,"")</f>
        <v/>
      </c>
      <c r="I560" s="149" t="str">
        <f ca="1">IFERROR(Prices!I559/Prices!I558-1,"")</f>
        <v/>
      </c>
      <c r="J560" s="150">
        <f t="shared" ca="1" si="10"/>
        <v>0</v>
      </c>
      <c r="K560" s="112"/>
      <c r="L560" s="112"/>
      <c r="M560" s="112"/>
    </row>
    <row r="561" spans="1:13" x14ac:dyDescent="0.3">
      <c r="A561" s="147" t="str">
        <f ca="1">Prices!$A$560</f>
        <v/>
      </c>
      <c r="B561" s="148" t="str">
        <f ca="1">IFERROR(Prices!B560/Prices!B559-1,"")</f>
        <v/>
      </c>
      <c r="C561" s="148" t="str">
        <f ca="1">IFERROR(Prices!C560/Prices!C559-1,"")</f>
        <v/>
      </c>
      <c r="D561" s="148" t="str">
        <f ca="1">IFERROR(Prices!D560/Prices!D559-1,"")</f>
        <v/>
      </c>
      <c r="E561" s="148" t="str">
        <f ca="1">IFERROR(Prices!E560/Prices!E559-1,"")</f>
        <v/>
      </c>
      <c r="F561" s="148" t="str">
        <f ca="1">IFERROR(Prices!F560/Prices!F559-1,"")</f>
        <v/>
      </c>
      <c r="G561" s="148" t="str">
        <f ca="1">IFERROR(Prices!G560/Prices!G559-1,"")</f>
        <v/>
      </c>
      <c r="H561" s="148" t="str">
        <f ca="1">IFERROR(Prices!H560/Prices!H559-1,"")</f>
        <v/>
      </c>
      <c r="I561" s="149" t="str">
        <f ca="1">IFERROR(Prices!I560/Prices!I559-1,"")</f>
        <v/>
      </c>
      <c r="J561" s="150">
        <f t="shared" ca="1" si="10"/>
        <v>0</v>
      </c>
      <c r="K561" s="112"/>
      <c r="L561" s="112"/>
      <c r="M561" s="112"/>
    </row>
    <row r="562" spans="1:13" x14ac:dyDescent="0.3">
      <c r="A562" s="147" t="str">
        <f ca="1">Prices!$A$561</f>
        <v/>
      </c>
      <c r="B562" s="148" t="str">
        <f ca="1">IFERROR(Prices!B561/Prices!B560-1,"")</f>
        <v/>
      </c>
      <c r="C562" s="148" t="str">
        <f ca="1">IFERROR(Prices!C561/Prices!C560-1,"")</f>
        <v/>
      </c>
      <c r="D562" s="148" t="str">
        <f ca="1">IFERROR(Prices!D561/Prices!D560-1,"")</f>
        <v/>
      </c>
      <c r="E562" s="148" t="str">
        <f ca="1">IFERROR(Prices!E561/Prices!E560-1,"")</f>
        <v/>
      </c>
      <c r="F562" s="148" t="str">
        <f ca="1">IFERROR(Prices!F561/Prices!F560-1,"")</f>
        <v/>
      </c>
      <c r="G562" s="148" t="str">
        <f ca="1">IFERROR(Prices!G561/Prices!G560-1,"")</f>
        <v/>
      </c>
      <c r="H562" s="148" t="str">
        <f ca="1">IFERROR(Prices!H561/Prices!H560-1,"")</f>
        <v/>
      </c>
      <c r="I562" s="149" t="str">
        <f ca="1">IFERROR(Prices!I561/Prices!I560-1,"")</f>
        <v/>
      </c>
      <c r="J562" s="150">
        <f t="shared" ca="1" si="10"/>
        <v>0</v>
      </c>
      <c r="K562" s="112"/>
      <c r="L562" s="112"/>
      <c r="M562" s="112"/>
    </row>
    <row r="563" spans="1:13" x14ac:dyDescent="0.3">
      <c r="A563" s="147" t="str">
        <f ca="1">Prices!$A$562</f>
        <v/>
      </c>
      <c r="B563" s="148" t="str">
        <f ca="1">IFERROR(Prices!B562/Prices!B561-1,"")</f>
        <v/>
      </c>
      <c r="C563" s="148" t="str">
        <f ca="1">IFERROR(Prices!C562/Prices!C561-1,"")</f>
        <v/>
      </c>
      <c r="D563" s="148" t="str">
        <f ca="1">IFERROR(Prices!D562/Prices!D561-1,"")</f>
        <v/>
      </c>
      <c r="E563" s="148" t="str">
        <f ca="1">IFERROR(Prices!E562/Prices!E561-1,"")</f>
        <v/>
      </c>
      <c r="F563" s="148" t="str">
        <f ca="1">IFERROR(Prices!F562/Prices!F561-1,"")</f>
        <v/>
      </c>
      <c r="G563" s="148" t="str">
        <f ca="1">IFERROR(Prices!G562/Prices!G561-1,"")</f>
        <v/>
      </c>
      <c r="H563" s="148" t="str">
        <f ca="1">IFERROR(Prices!H562/Prices!H561-1,"")</f>
        <v/>
      </c>
      <c r="I563" s="149" t="str">
        <f ca="1">IFERROR(Prices!I562/Prices!I561-1,"")</f>
        <v/>
      </c>
      <c r="J563" s="150">
        <f t="shared" ca="1" si="10"/>
        <v>0</v>
      </c>
      <c r="K563" s="112"/>
      <c r="L563" s="112"/>
      <c r="M563" s="112"/>
    </row>
    <row r="564" spans="1:13" x14ac:dyDescent="0.3">
      <c r="A564" s="147" t="str">
        <f ca="1">Prices!$A$563</f>
        <v/>
      </c>
      <c r="B564" s="148" t="str">
        <f ca="1">IFERROR(Prices!B563/Prices!B562-1,"")</f>
        <v/>
      </c>
      <c r="C564" s="148" t="str">
        <f ca="1">IFERROR(Prices!C563/Prices!C562-1,"")</f>
        <v/>
      </c>
      <c r="D564" s="148" t="str">
        <f ca="1">IFERROR(Prices!D563/Prices!D562-1,"")</f>
        <v/>
      </c>
      <c r="E564" s="148" t="str">
        <f ca="1">IFERROR(Prices!E563/Prices!E562-1,"")</f>
        <v/>
      </c>
      <c r="F564" s="148" t="str">
        <f ca="1">IFERROR(Prices!F563/Prices!F562-1,"")</f>
        <v/>
      </c>
      <c r="G564" s="148" t="str">
        <f ca="1">IFERROR(Prices!G563/Prices!G562-1,"")</f>
        <v/>
      </c>
      <c r="H564" s="148" t="str">
        <f ca="1">IFERROR(Prices!H563/Prices!H562-1,"")</f>
        <v/>
      </c>
      <c r="I564" s="149" t="str">
        <f ca="1">IFERROR(Prices!I563/Prices!I562-1,"")</f>
        <v/>
      </c>
      <c r="J564" s="150">
        <f t="shared" ca="1" si="10"/>
        <v>0</v>
      </c>
      <c r="K564" s="112"/>
      <c r="L564" s="112"/>
      <c r="M564" s="112"/>
    </row>
    <row r="565" spans="1:13" x14ac:dyDescent="0.3">
      <c r="A565" s="147" t="str">
        <f ca="1">Prices!$A$564</f>
        <v/>
      </c>
      <c r="B565" s="148" t="str">
        <f ca="1">IFERROR(Prices!B564/Prices!B563-1,"")</f>
        <v/>
      </c>
      <c r="C565" s="148" t="str">
        <f ca="1">IFERROR(Prices!C564/Prices!C563-1,"")</f>
        <v/>
      </c>
      <c r="D565" s="148" t="str">
        <f ca="1">IFERROR(Prices!D564/Prices!D563-1,"")</f>
        <v/>
      </c>
      <c r="E565" s="148" t="str">
        <f ca="1">IFERROR(Prices!E564/Prices!E563-1,"")</f>
        <v/>
      </c>
      <c r="F565" s="148" t="str">
        <f ca="1">IFERROR(Prices!F564/Prices!F563-1,"")</f>
        <v/>
      </c>
      <c r="G565" s="148" t="str">
        <f ca="1">IFERROR(Prices!G564/Prices!G563-1,"")</f>
        <v/>
      </c>
      <c r="H565" s="148" t="str">
        <f ca="1">IFERROR(Prices!H564/Prices!H563-1,"")</f>
        <v/>
      </c>
      <c r="I565" s="149" t="str">
        <f ca="1">IFERROR(Prices!I564/Prices!I563-1,"")</f>
        <v/>
      </c>
      <c r="J565" s="150">
        <f t="shared" ca="1" si="10"/>
        <v>0</v>
      </c>
      <c r="K565" s="112"/>
      <c r="L565" s="112"/>
      <c r="M565" s="112"/>
    </row>
    <row r="566" spans="1:13" x14ac:dyDescent="0.3">
      <c r="A566" s="147" t="str">
        <f ca="1">Prices!$A$565</f>
        <v/>
      </c>
      <c r="B566" s="148" t="str">
        <f ca="1">IFERROR(Prices!B565/Prices!B564-1,"")</f>
        <v/>
      </c>
      <c r="C566" s="148" t="str">
        <f ca="1">IFERROR(Prices!C565/Prices!C564-1,"")</f>
        <v/>
      </c>
      <c r="D566" s="148" t="str">
        <f ca="1">IFERROR(Prices!D565/Prices!D564-1,"")</f>
        <v/>
      </c>
      <c r="E566" s="148" t="str">
        <f ca="1">IFERROR(Prices!E565/Prices!E564-1,"")</f>
        <v/>
      </c>
      <c r="F566" s="148" t="str">
        <f ca="1">IFERROR(Prices!F565/Prices!F564-1,"")</f>
        <v/>
      </c>
      <c r="G566" s="148" t="str">
        <f ca="1">IFERROR(Prices!G565/Prices!G564-1,"")</f>
        <v/>
      </c>
      <c r="H566" s="148" t="str">
        <f ca="1">IFERROR(Prices!H565/Prices!H564-1,"")</f>
        <v/>
      </c>
      <c r="I566" s="149" t="str">
        <f ca="1">IFERROR(Prices!I565/Prices!I564-1,"")</f>
        <v/>
      </c>
      <c r="J566" s="150">
        <f t="shared" ca="1" si="10"/>
        <v>0</v>
      </c>
      <c r="K566" s="112"/>
      <c r="L566" s="112"/>
      <c r="M566" s="112"/>
    </row>
    <row r="567" spans="1:13" x14ac:dyDescent="0.3">
      <c r="A567" s="147" t="str">
        <f ca="1">Prices!$A$566</f>
        <v/>
      </c>
      <c r="B567" s="148" t="str">
        <f ca="1">IFERROR(Prices!B566/Prices!B565-1,"")</f>
        <v/>
      </c>
      <c r="C567" s="148" t="str">
        <f ca="1">IFERROR(Prices!C566/Prices!C565-1,"")</f>
        <v/>
      </c>
      <c r="D567" s="148" t="str">
        <f ca="1">IFERROR(Prices!D566/Prices!D565-1,"")</f>
        <v/>
      </c>
      <c r="E567" s="148" t="str">
        <f ca="1">IFERROR(Prices!E566/Prices!E565-1,"")</f>
        <v/>
      </c>
      <c r="F567" s="148" t="str">
        <f ca="1">IFERROR(Prices!F566/Prices!F565-1,"")</f>
        <v/>
      </c>
      <c r="G567" s="148" t="str">
        <f ca="1">IFERROR(Prices!G566/Prices!G565-1,"")</f>
        <v/>
      </c>
      <c r="H567" s="148" t="str">
        <f ca="1">IFERROR(Prices!H566/Prices!H565-1,"")</f>
        <v/>
      </c>
      <c r="I567" s="149" t="str">
        <f ca="1">IFERROR(Prices!I566/Prices!I565-1,"")</f>
        <v/>
      </c>
      <c r="J567" s="150">
        <f t="shared" ca="1" si="10"/>
        <v>0</v>
      </c>
      <c r="K567" s="112"/>
      <c r="L567" s="112"/>
      <c r="M567" s="112"/>
    </row>
    <row r="568" spans="1:13" x14ac:dyDescent="0.3">
      <c r="A568" s="147" t="str">
        <f ca="1">Prices!$A$567</f>
        <v/>
      </c>
      <c r="B568" s="148" t="str">
        <f ca="1">IFERROR(Prices!B567/Prices!B566-1,"")</f>
        <v/>
      </c>
      <c r="C568" s="148" t="str">
        <f ca="1">IFERROR(Prices!C567/Prices!C566-1,"")</f>
        <v/>
      </c>
      <c r="D568" s="148" t="str">
        <f ca="1">IFERROR(Prices!D567/Prices!D566-1,"")</f>
        <v/>
      </c>
      <c r="E568" s="148" t="str">
        <f ca="1">IFERROR(Prices!E567/Prices!E566-1,"")</f>
        <v/>
      </c>
      <c r="F568" s="148" t="str">
        <f ca="1">IFERROR(Prices!F567/Prices!F566-1,"")</f>
        <v/>
      </c>
      <c r="G568" s="148" t="str">
        <f ca="1">IFERROR(Prices!G567/Prices!G566-1,"")</f>
        <v/>
      </c>
      <c r="H568" s="148" t="str">
        <f ca="1">IFERROR(Prices!H567/Prices!H566-1,"")</f>
        <v/>
      </c>
      <c r="I568" s="149" t="str">
        <f ca="1">IFERROR(Prices!I567/Prices!I566-1,"")</f>
        <v/>
      </c>
      <c r="J568" s="150">
        <f t="shared" ca="1" si="10"/>
        <v>0</v>
      </c>
      <c r="K568" s="112"/>
      <c r="L568" s="112"/>
      <c r="M568" s="112"/>
    </row>
    <row r="569" spans="1:13" x14ac:dyDescent="0.3">
      <c r="A569" s="147" t="str">
        <f ca="1">Prices!$A$568</f>
        <v/>
      </c>
      <c r="B569" s="148" t="str">
        <f ca="1">IFERROR(Prices!B568/Prices!B567-1,"")</f>
        <v/>
      </c>
      <c r="C569" s="148" t="str">
        <f ca="1">IFERROR(Prices!C568/Prices!C567-1,"")</f>
        <v/>
      </c>
      <c r="D569" s="148" t="str">
        <f ca="1">IFERROR(Prices!D568/Prices!D567-1,"")</f>
        <v/>
      </c>
      <c r="E569" s="148" t="str">
        <f ca="1">IFERROR(Prices!E568/Prices!E567-1,"")</f>
        <v/>
      </c>
      <c r="F569" s="148" t="str">
        <f ca="1">IFERROR(Prices!F568/Prices!F567-1,"")</f>
        <v/>
      </c>
      <c r="G569" s="148" t="str">
        <f ca="1">IFERROR(Prices!G568/Prices!G567-1,"")</f>
        <v/>
      </c>
      <c r="H569" s="148" t="str">
        <f ca="1">IFERROR(Prices!H568/Prices!H567-1,"")</f>
        <v/>
      </c>
      <c r="I569" s="149" t="str">
        <f ca="1">IFERROR(Prices!I568/Prices!I567-1,"")</f>
        <v/>
      </c>
      <c r="J569" s="150">
        <f t="shared" ca="1" si="10"/>
        <v>0</v>
      </c>
      <c r="K569" s="112"/>
      <c r="L569" s="112"/>
      <c r="M569" s="112"/>
    </row>
    <row r="570" spans="1:13" x14ac:dyDescent="0.3">
      <c r="A570" s="147" t="str">
        <f ca="1">Prices!$A$569</f>
        <v/>
      </c>
      <c r="B570" s="148" t="str">
        <f ca="1">IFERROR(Prices!B569/Prices!B568-1,"")</f>
        <v/>
      </c>
      <c r="C570" s="148" t="str">
        <f ca="1">IFERROR(Prices!C569/Prices!C568-1,"")</f>
        <v/>
      </c>
      <c r="D570" s="148" t="str">
        <f ca="1">IFERROR(Prices!D569/Prices!D568-1,"")</f>
        <v/>
      </c>
      <c r="E570" s="148" t="str">
        <f ca="1">IFERROR(Prices!E569/Prices!E568-1,"")</f>
        <v/>
      </c>
      <c r="F570" s="148" t="str">
        <f ca="1">IFERROR(Prices!F569/Prices!F568-1,"")</f>
        <v/>
      </c>
      <c r="G570" s="148" t="str">
        <f ca="1">IFERROR(Prices!G569/Prices!G568-1,"")</f>
        <v/>
      </c>
      <c r="H570" s="148" t="str">
        <f ca="1">IFERROR(Prices!H569/Prices!H568-1,"")</f>
        <v/>
      </c>
      <c r="I570" s="149" t="str">
        <f ca="1">IFERROR(Prices!I569/Prices!I568-1,"")</f>
        <v/>
      </c>
      <c r="J570" s="150">
        <f t="shared" ca="1" si="10"/>
        <v>0</v>
      </c>
      <c r="K570" s="112"/>
      <c r="L570" s="112"/>
      <c r="M570" s="112"/>
    </row>
    <row r="571" spans="1:13" x14ac:dyDescent="0.3">
      <c r="A571" s="147" t="str">
        <f ca="1">Prices!$A$570</f>
        <v/>
      </c>
      <c r="B571" s="148" t="str">
        <f ca="1">IFERROR(Prices!B570/Prices!B569-1,"")</f>
        <v/>
      </c>
      <c r="C571" s="148" t="str">
        <f ca="1">IFERROR(Prices!C570/Prices!C569-1,"")</f>
        <v/>
      </c>
      <c r="D571" s="148" t="str">
        <f ca="1">IFERROR(Prices!D570/Prices!D569-1,"")</f>
        <v/>
      </c>
      <c r="E571" s="148" t="str">
        <f ca="1">IFERROR(Prices!E570/Prices!E569-1,"")</f>
        <v/>
      </c>
      <c r="F571" s="148" t="str">
        <f ca="1">IFERROR(Prices!F570/Prices!F569-1,"")</f>
        <v/>
      </c>
      <c r="G571" s="148" t="str">
        <f ca="1">IFERROR(Prices!G570/Prices!G569-1,"")</f>
        <v/>
      </c>
      <c r="H571" s="148" t="str">
        <f ca="1">IFERROR(Prices!H570/Prices!H569-1,"")</f>
        <v/>
      </c>
      <c r="I571" s="149" t="str">
        <f ca="1">IFERROR(Prices!I570/Prices!I569-1,"")</f>
        <v/>
      </c>
      <c r="J571" s="150">
        <f t="shared" ca="1" si="10"/>
        <v>0</v>
      </c>
      <c r="K571" s="112"/>
      <c r="L571" s="112"/>
      <c r="M571" s="112"/>
    </row>
    <row r="572" spans="1:13" x14ac:dyDescent="0.3">
      <c r="A572" s="147" t="str">
        <f ca="1">Prices!$A$571</f>
        <v/>
      </c>
      <c r="B572" s="148" t="str">
        <f ca="1">IFERROR(Prices!B571/Prices!B570-1,"")</f>
        <v/>
      </c>
      <c r="C572" s="148" t="str">
        <f ca="1">IFERROR(Prices!C571/Prices!C570-1,"")</f>
        <v/>
      </c>
      <c r="D572" s="148" t="str">
        <f ca="1">IFERROR(Prices!D571/Prices!D570-1,"")</f>
        <v/>
      </c>
      <c r="E572" s="148" t="str">
        <f ca="1">IFERROR(Prices!E571/Prices!E570-1,"")</f>
        <v/>
      </c>
      <c r="F572" s="148" t="str">
        <f ca="1">IFERROR(Prices!F571/Prices!F570-1,"")</f>
        <v/>
      </c>
      <c r="G572" s="148" t="str">
        <f ca="1">IFERROR(Prices!G571/Prices!G570-1,"")</f>
        <v/>
      </c>
      <c r="H572" s="148" t="str">
        <f ca="1">IFERROR(Prices!H571/Prices!H570-1,"")</f>
        <v/>
      </c>
      <c r="I572" s="149" t="str">
        <f ca="1">IFERROR(Prices!I571/Prices!I570-1,"")</f>
        <v/>
      </c>
      <c r="J572" s="150">
        <f t="shared" ca="1" si="10"/>
        <v>0</v>
      </c>
      <c r="K572" s="112"/>
      <c r="L572" s="112"/>
      <c r="M572" s="112"/>
    </row>
    <row r="573" spans="1:13" x14ac:dyDescent="0.3">
      <c r="A573" s="147" t="str">
        <f ca="1">Prices!$A$572</f>
        <v/>
      </c>
      <c r="B573" s="148" t="str">
        <f ca="1">IFERROR(Prices!B572/Prices!B571-1,"")</f>
        <v/>
      </c>
      <c r="C573" s="148" t="str">
        <f ca="1">IFERROR(Prices!C572/Prices!C571-1,"")</f>
        <v/>
      </c>
      <c r="D573" s="148" t="str">
        <f ca="1">IFERROR(Prices!D572/Prices!D571-1,"")</f>
        <v/>
      </c>
      <c r="E573" s="148" t="str">
        <f ca="1">IFERROR(Prices!E572/Prices!E571-1,"")</f>
        <v/>
      </c>
      <c r="F573" s="148" t="str">
        <f ca="1">IFERROR(Prices!F572/Prices!F571-1,"")</f>
        <v/>
      </c>
      <c r="G573" s="148" t="str">
        <f ca="1">IFERROR(Prices!G572/Prices!G571-1,"")</f>
        <v/>
      </c>
      <c r="H573" s="148" t="str">
        <f ca="1">IFERROR(Prices!H572/Prices!H571-1,"")</f>
        <v/>
      </c>
      <c r="I573" s="149" t="str">
        <f ca="1">IFERROR(Prices!I572/Prices!I571-1,"")</f>
        <v/>
      </c>
      <c r="J573" s="150">
        <f t="shared" ca="1" si="10"/>
        <v>0</v>
      </c>
      <c r="K573" s="112"/>
      <c r="L573" s="112"/>
      <c r="M573" s="112"/>
    </row>
    <row r="574" spans="1:13" x14ac:dyDescent="0.3">
      <c r="A574" s="147" t="str">
        <f ca="1">Prices!$A$573</f>
        <v/>
      </c>
      <c r="B574" s="148" t="str">
        <f ca="1">IFERROR(Prices!B573/Prices!B572-1,"")</f>
        <v/>
      </c>
      <c r="C574" s="148" t="str">
        <f ca="1">IFERROR(Prices!C573/Prices!C572-1,"")</f>
        <v/>
      </c>
      <c r="D574" s="148" t="str">
        <f ca="1">IFERROR(Prices!D573/Prices!D572-1,"")</f>
        <v/>
      </c>
      <c r="E574" s="148" t="str">
        <f ca="1">IFERROR(Prices!E573/Prices!E572-1,"")</f>
        <v/>
      </c>
      <c r="F574" s="148" t="str">
        <f ca="1">IFERROR(Prices!F573/Prices!F572-1,"")</f>
        <v/>
      </c>
      <c r="G574" s="148" t="str">
        <f ca="1">IFERROR(Prices!G573/Prices!G572-1,"")</f>
        <v/>
      </c>
      <c r="H574" s="148" t="str">
        <f ca="1">IFERROR(Prices!H573/Prices!H572-1,"")</f>
        <v/>
      </c>
      <c r="I574" s="149" t="str">
        <f ca="1">IFERROR(Prices!I573/Prices!I572-1,"")</f>
        <v/>
      </c>
      <c r="J574" s="150">
        <f t="shared" ca="1" si="10"/>
        <v>0</v>
      </c>
      <c r="K574" s="112"/>
      <c r="L574" s="112"/>
      <c r="M574" s="112"/>
    </row>
    <row r="575" spans="1:13" x14ac:dyDescent="0.3">
      <c r="A575" s="147" t="str">
        <f ca="1">Prices!$A$574</f>
        <v/>
      </c>
      <c r="B575" s="148" t="str">
        <f ca="1">IFERROR(Prices!B574/Prices!B573-1,"")</f>
        <v/>
      </c>
      <c r="C575" s="148" t="str">
        <f ca="1">IFERROR(Prices!C574/Prices!C573-1,"")</f>
        <v/>
      </c>
      <c r="D575" s="148" t="str">
        <f ca="1">IFERROR(Prices!D574/Prices!D573-1,"")</f>
        <v/>
      </c>
      <c r="E575" s="148" t="str">
        <f ca="1">IFERROR(Prices!E574/Prices!E573-1,"")</f>
        <v/>
      </c>
      <c r="F575" s="148" t="str">
        <f ca="1">IFERROR(Prices!F574/Prices!F573-1,"")</f>
        <v/>
      </c>
      <c r="G575" s="148" t="str">
        <f ca="1">IFERROR(Prices!G574/Prices!G573-1,"")</f>
        <v/>
      </c>
      <c r="H575" s="148" t="str">
        <f ca="1">IFERROR(Prices!H574/Prices!H573-1,"")</f>
        <v/>
      </c>
      <c r="I575" s="149" t="str">
        <f ca="1">IFERROR(Prices!I574/Prices!I573-1,"")</f>
        <v/>
      </c>
      <c r="J575" s="150">
        <f t="shared" ca="1" si="10"/>
        <v>0</v>
      </c>
      <c r="K575" s="112"/>
      <c r="L575" s="112"/>
      <c r="M575" s="112"/>
    </row>
    <row r="576" spans="1:13" x14ac:dyDescent="0.3">
      <c r="A576" s="147" t="str">
        <f ca="1">Prices!$A$575</f>
        <v/>
      </c>
      <c r="B576" s="148" t="str">
        <f ca="1">IFERROR(Prices!B575/Prices!B574-1,"")</f>
        <v/>
      </c>
      <c r="C576" s="148" t="str">
        <f ca="1">IFERROR(Prices!C575/Prices!C574-1,"")</f>
        <v/>
      </c>
      <c r="D576" s="148" t="str">
        <f ca="1">IFERROR(Prices!D575/Prices!D574-1,"")</f>
        <v/>
      </c>
      <c r="E576" s="148" t="str">
        <f ca="1">IFERROR(Prices!E575/Prices!E574-1,"")</f>
        <v/>
      </c>
      <c r="F576" s="148" t="str">
        <f ca="1">IFERROR(Prices!F575/Prices!F574-1,"")</f>
        <v/>
      </c>
      <c r="G576" s="148" t="str">
        <f ca="1">IFERROR(Prices!G575/Prices!G574-1,"")</f>
        <v/>
      </c>
      <c r="H576" s="148" t="str">
        <f ca="1">IFERROR(Prices!H575/Prices!H574-1,"")</f>
        <v/>
      </c>
      <c r="I576" s="149" t="str">
        <f ca="1">IFERROR(Prices!I575/Prices!I574-1,"")</f>
        <v/>
      </c>
      <c r="J576" s="150">
        <f t="shared" ca="1" si="10"/>
        <v>0</v>
      </c>
      <c r="K576" s="112"/>
      <c r="L576" s="112"/>
      <c r="M576" s="112"/>
    </row>
    <row r="577" spans="1:13" x14ac:dyDescent="0.3">
      <c r="A577" s="147" t="str">
        <f ca="1">Prices!$A$576</f>
        <v/>
      </c>
      <c r="B577" s="148" t="str">
        <f ca="1">IFERROR(Prices!B576/Prices!B575-1,"")</f>
        <v/>
      </c>
      <c r="C577" s="148" t="str">
        <f ca="1">IFERROR(Prices!C576/Prices!C575-1,"")</f>
        <v/>
      </c>
      <c r="D577" s="148" t="str">
        <f ca="1">IFERROR(Prices!D576/Prices!D575-1,"")</f>
        <v/>
      </c>
      <c r="E577" s="148" t="str">
        <f ca="1">IFERROR(Prices!E576/Prices!E575-1,"")</f>
        <v/>
      </c>
      <c r="F577" s="148" t="str">
        <f ca="1">IFERROR(Prices!F576/Prices!F575-1,"")</f>
        <v/>
      </c>
      <c r="G577" s="148" t="str">
        <f ca="1">IFERROR(Prices!G576/Prices!G575-1,"")</f>
        <v/>
      </c>
      <c r="H577" s="148" t="str">
        <f ca="1">IFERROR(Prices!H576/Prices!H575-1,"")</f>
        <v/>
      </c>
      <c r="I577" s="149" t="str">
        <f ca="1">IFERROR(Prices!I576/Prices!I575-1,"")</f>
        <v/>
      </c>
      <c r="J577" s="150">
        <f t="shared" ca="1" si="10"/>
        <v>0</v>
      </c>
      <c r="K577" s="112"/>
      <c r="L577" s="112"/>
      <c r="M577" s="112"/>
    </row>
    <row r="578" spans="1:13" x14ac:dyDescent="0.3">
      <c r="A578" s="147" t="str">
        <f ca="1">Prices!$A$577</f>
        <v/>
      </c>
      <c r="B578" s="148" t="str">
        <f ca="1">IFERROR(Prices!B577/Prices!B576-1,"")</f>
        <v/>
      </c>
      <c r="C578" s="148" t="str">
        <f ca="1">IFERROR(Prices!C577/Prices!C576-1,"")</f>
        <v/>
      </c>
      <c r="D578" s="148" t="str">
        <f ca="1">IFERROR(Prices!D577/Prices!D576-1,"")</f>
        <v/>
      </c>
      <c r="E578" s="148" t="str">
        <f ca="1">IFERROR(Prices!E577/Prices!E576-1,"")</f>
        <v/>
      </c>
      <c r="F578" s="148" t="str">
        <f ca="1">IFERROR(Prices!F577/Prices!F576-1,"")</f>
        <v/>
      </c>
      <c r="G578" s="148" t="str">
        <f ca="1">IFERROR(Prices!G577/Prices!G576-1,"")</f>
        <v/>
      </c>
      <c r="H578" s="148" t="str">
        <f ca="1">IFERROR(Prices!H577/Prices!H576-1,"")</f>
        <v/>
      </c>
      <c r="I578" s="149" t="str">
        <f ca="1">IFERROR(Prices!I577/Prices!I576-1,"")</f>
        <v/>
      </c>
      <c r="J578" s="150">
        <f t="shared" ca="1" si="10"/>
        <v>0</v>
      </c>
      <c r="K578" s="112"/>
      <c r="L578" s="112"/>
      <c r="M578" s="112"/>
    </row>
    <row r="579" spans="1:13" x14ac:dyDescent="0.3">
      <c r="A579" s="147" t="str">
        <f ca="1">Prices!$A$578</f>
        <v/>
      </c>
      <c r="B579" s="148" t="str">
        <f ca="1">IFERROR(Prices!B578/Prices!B577-1,"")</f>
        <v/>
      </c>
      <c r="C579" s="148" t="str">
        <f ca="1">IFERROR(Prices!C578/Prices!C577-1,"")</f>
        <v/>
      </c>
      <c r="D579" s="148" t="str">
        <f ca="1">IFERROR(Prices!D578/Prices!D577-1,"")</f>
        <v/>
      </c>
      <c r="E579" s="148" t="str">
        <f ca="1">IFERROR(Prices!E578/Prices!E577-1,"")</f>
        <v/>
      </c>
      <c r="F579" s="148" t="str">
        <f ca="1">IFERROR(Prices!F578/Prices!F577-1,"")</f>
        <v/>
      </c>
      <c r="G579" s="148" t="str">
        <f ca="1">IFERROR(Prices!G578/Prices!G577-1,"")</f>
        <v/>
      </c>
      <c r="H579" s="148" t="str">
        <f ca="1">IFERROR(Prices!H578/Prices!H577-1,"")</f>
        <v/>
      </c>
      <c r="I579" s="149" t="str">
        <f ca="1">IFERROR(Prices!I578/Prices!I577-1,"")</f>
        <v/>
      </c>
      <c r="J579" s="150">
        <f t="shared" ca="1" si="10"/>
        <v>0</v>
      </c>
      <c r="K579" s="112"/>
      <c r="L579" s="112"/>
      <c r="M579" s="112"/>
    </row>
    <row r="580" spans="1:13" x14ac:dyDescent="0.3">
      <c r="A580" s="147" t="str">
        <f ca="1">Prices!$A$579</f>
        <v/>
      </c>
      <c r="B580" s="148" t="str">
        <f ca="1">IFERROR(Prices!B579/Prices!B578-1,"")</f>
        <v/>
      </c>
      <c r="C580" s="148" t="str">
        <f ca="1">IFERROR(Prices!C579/Prices!C578-1,"")</f>
        <v/>
      </c>
      <c r="D580" s="148" t="str">
        <f ca="1">IFERROR(Prices!D579/Prices!D578-1,"")</f>
        <v/>
      </c>
      <c r="E580" s="148" t="str">
        <f ca="1">IFERROR(Prices!E579/Prices!E578-1,"")</f>
        <v/>
      </c>
      <c r="F580" s="148" t="str">
        <f ca="1">IFERROR(Prices!F579/Prices!F578-1,"")</f>
        <v/>
      </c>
      <c r="G580" s="148" t="str">
        <f ca="1">IFERROR(Prices!G579/Prices!G578-1,"")</f>
        <v/>
      </c>
      <c r="H580" s="148" t="str">
        <f ca="1">IFERROR(Prices!H579/Prices!H578-1,"")</f>
        <v/>
      </c>
      <c r="I580" s="149" t="str">
        <f ca="1">IFERROR(Prices!I579/Prices!I578-1,"")</f>
        <v/>
      </c>
      <c r="J580" s="150">
        <f t="shared" ca="1" si="10"/>
        <v>0</v>
      </c>
      <c r="K580" s="112"/>
      <c r="L580" s="112"/>
      <c r="M580" s="112"/>
    </row>
    <row r="581" spans="1:13" x14ac:dyDescent="0.3">
      <c r="A581" s="147" t="str">
        <f ca="1">Prices!$A$580</f>
        <v/>
      </c>
      <c r="B581" s="148" t="str">
        <f ca="1">IFERROR(Prices!B580/Prices!B579-1,"")</f>
        <v/>
      </c>
      <c r="C581" s="148" t="str">
        <f ca="1">IFERROR(Prices!C580/Prices!C579-1,"")</f>
        <v/>
      </c>
      <c r="D581" s="148" t="str">
        <f ca="1">IFERROR(Prices!D580/Prices!D579-1,"")</f>
        <v/>
      </c>
      <c r="E581" s="148" t="str">
        <f ca="1">IFERROR(Prices!E580/Prices!E579-1,"")</f>
        <v/>
      </c>
      <c r="F581" s="148" t="str">
        <f ca="1">IFERROR(Prices!F580/Prices!F579-1,"")</f>
        <v/>
      </c>
      <c r="G581" s="148" t="str">
        <f ca="1">IFERROR(Prices!G580/Prices!G579-1,"")</f>
        <v/>
      </c>
      <c r="H581" s="148" t="str">
        <f ca="1">IFERROR(Prices!H580/Prices!H579-1,"")</f>
        <v/>
      </c>
      <c r="I581" s="149" t="str">
        <f ca="1">IFERROR(Prices!I580/Prices!I579-1,"")</f>
        <v/>
      </c>
      <c r="J581" s="150">
        <f t="shared" ca="1" si="10"/>
        <v>0</v>
      </c>
      <c r="K581" s="112"/>
      <c r="L581" s="112"/>
      <c r="M581" s="112"/>
    </row>
    <row r="582" spans="1:13" x14ac:dyDescent="0.3">
      <c r="A582" s="147" t="str">
        <f ca="1">Prices!$A$581</f>
        <v/>
      </c>
      <c r="B582" s="148" t="str">
        <f ca="1">IFERROR(Prices!B581/Prices!B580-1,"")</f>
        <v/>
      </c>
      <c r="C582" s="148" t="str">
        <f ca="1">IFERROR(Prices!C581/Prices!C580-1,"")</f>
        <v/>
      </c>
      <c r="D582" s="148" t="str">
        <f ca="1">IFERROR(Prices!D581/Prices!D580-1,"")</f>
        <v/>
      </c>
      <c r="E582" s="148" t="str">
        <f ca="1">IFERROR(Prices!E581/Prices!E580-1,"")</f>
        <v/>
      </c>
      <c r="F582" s="148" t="str">
        <f ca="1">IFERROR(Prices!F581/Prices!F580-1,"")</f>
        <v/>
      </c>
      <c r="G582" s="148" t="str">
        <f ca="1">IFERROR(Prices!G581/Prices!G580-1,"")</f>
        <v/>
      </c>
      <c r="H582" s="148" t="str">
        <f ca="1">IFERROR(Prices!H581/Prices!H580-1,"")</f>
        <v/>
      </c>
      <c r="I582" s="149" t="str">
        <f ca="1">IFERROR(Prices!I581/Prices!I580-1,"")</f>
        <v/>
      </c>
      <c r="J582" s="150">
        <f t="shared" ca="1" si="10"/>
        <v>0</v>
      </c>
      <c r="K582" s="112"/>
      <c r="L582" s="112"/>
      <c r="M582" s="112"/>
    </row>
    <row r="583" spans="1:13" x14ac:dyDescent="0.3">
      <c r="A583" s="147" t="str">
        <f ca="1">Prices!$A$582</f>
        <v/>
      </c>
      <c r="B583" s="148" t="str">
        <f ca="1">IFERROR(Prices!B582/Prices!B581-1,"")</f>
        <v/>
      </c>
      <c r="C583" s="148" t="str">
        <f ca="1">IFERROR(Prices!C582/Prices!C581-1,"")</f>
        <v/>
      </c>
      <c r="D583" s="148" t="str">
        <f ca="1">IFERROR(Prices!D582/Prices!D581-1,"")</f>
        <v/>
      </c>
      <c r="E583" s="148" t="str">
        <f ca="1">IFERROR(Prices!E582/Prices!E581-1,"")</f>
        <v/>
      </c>
      <c r="F583" s="148" t="str">
        <f ca="1">IFERROR(Prices!F582/Prices!F581-1,"")</f>
        <v/>
      </c>
      <c r="G583" s="148" t="str">
        <f ca="1">IFERROR(Prices!G582/Prices!G581-1,"")</f>
        <v/>
      </c>
      <c r="H583" s="148" t="str">
        <f ca="1">IFERROR(Prices!H582/Prices!H581-1,"")</f>
        <v/>
      </c>
      <c r="I583" s="149" t="str">
        <f ca="1">IFERROR(Prices!I582/Prices!I581-1,"")</f>
        <v/>
      </c>
      <c r="J583" s="150">
        <f t="shared" ref="J583:J646" ca="1" si="11">IFERROR(SUMPRODUCT(Weights,$B583:$H583),"")</f>
        <v>0</v>
      </c>
      <c r="K583" s="112"/>
      <c r="L583" s="112"/>
      <c r="M583" s="112"/>
    </row>
    <row r="584" spans="1:13" x14ac:dyDescent="0.3">
      <c r="A584" s="147" t="str">
        <f ca="1">Prices!$A$583</f>
        <v/>
      </c>
      <c r="B584" s="148" t="str">
        <f ca="1">IFERROR(Prices!B583/Prices!B582-1,"")</f>
        <v/>
      </c>
      <c r="C584" s="148" t="str">
        <f ca="1">IFERROR(Prices!C583/Prices!C582-1,"")</f>
        <v/>
      </c>
      <c r="D584" s="148" t="str">
        <f ca="1">IFERROR(Prices!D583/Prices!D582-1,"")</f>
        <v/>
      </c>
      <c r="E584" s="148" t="str">
        <f ca="1">IFERROR(Prices!E583/Prices!E582-1,"")</f>
        <v/>
      </c>
      <c r="F584" s="148" t="str">
        <f ca="1">IFERROR(Prices!F583/Prices!F582-1,"")</f>
        <v/>
      </c>
      <c r="G584" s="148" t="str">
        <f ca="1">IFERROR(Prices!G583/Prices!G582-1,"")</f>
        <v/>
      </c>
      <c r="H584" s="148" t="str">
        <f ca="1">IFERROR(Prices!H583/Prices!H582-1,"")</f>
        <v/>
      </c>
      <c r="I584" s="149" t="str">
        <f ca="1">IFERROR(Prices!I583/Prices!I582-1,"")</f>
        <v/>
      </c>
      <c r="J584" s="150">
        <f t="shared" ca="1" si="11"/>
        <v>0</v>
      </c>
      <c r="K584" s="112"/>
      <c r="L584" s="112"/>
      <c r="M584" s="112"/>
    </row>
    <row r="585" spans="1:13" x14ac:dyDescent="0.3">
      <c r="A585" s="147" t="str">
        <f ca="1">Prices!$A$584</f>
        <v/>
      </c>
      <c r="B585" s="148" t="str">
        <f ca="1">IFERROR(Prices!B584/Prices!B583-1,"")</f>
        <v/>
      </c>
      <c r="C585" s="148" t="str">
        <f ca="1">IFERROR(Prices!C584/Prices!C583-1,"")</f>
        <v/>
      </c>
      <c r="D585" s="148" t="str">
        <f ca="1">IFERROR(Prices!D584/Prices!D583-1,"")</f>
        <v/>
      </c>
      <c r="E585" s="148" t="str">
        <f ca="1">IFERROR(Prices!E584/Prices!E583-1,"")</f>
        <v/>
      </c>
      <c r="F585" s="148" t="str">
        <f ca="1">IFERROR(Prices!F584/Prices!F583-1,"")</f>
        <v/>
      </c>
      <c r="G585" s="148" t="str">
        <f ca="1">IFERROR(Prices!G584/Prices!G583-1,"")</f>
        <v/>
      </c>
      <c r="H585" s="148" t="str">
        <f ca="1">IFERROR(Prices!H584/Prices!H583-1,"")</f>
        <v/>
      </c>
      <c r="I585" s="149" t="str">
        <f ca="1">IFERROR(Prices!I584/Prices!I583-1,"")</f>
        <v/>
      </c>
      <c r="J585" s="150">
        <f t="shared" ca="1" si="11"/>
        <v>0</v>
      </c>
      <c r="K585" s="112"/>
      <c r="L585" s="112"/>
      <c r="M585" s="112"/>
    </row>
    <row r="586" spans="1:13" x14ac:dyDescent="0.3">
      <c r="A586" s="147" t="str">
        <f ca="1">Prices!$A$585</f>
        <v/>
      </c>
      <c r="B586" s="148" t="str">
        <f ca="1">IFERROR(Prices!B585/Prices!B584-1,"")</f>
        <v/>
      </c>
      <c r="C586" s="148" t="str">
        <f ca="1">IFERROR(Prices!C585/Prices!C584-1,"")</f>
        <v/>
      </c>
      <c r="D586" s="148" t="str">
        <f ca="1">IFERROR(Prices!D585/Prices!D584-1,"")</f>
        <v/>
      </c>
      <c r="E586" s="148" t="str">
        <f ca="1">IFERROR(Prices!E585/Prices!E584-1,"")</f>
        <v/>
      </c>
      <c r="F586" s="148" t="str">
        <f ca="1">IFERROR(Prices!F585/Prices!F584-1,"")</f>
        <v/>
      </c>
      <c r="G586" s="148" t="str">
        <f ca="1">IFERROR(Prices!G585/Prices!G584-1,"")</f>
        <v/>
      </c>
      <c r="H586" s="148" t="str">
        <f ca="1">IFERROR(Prices!H585/Prices!H584-1,"")</f>
        <v/>
      </c>
      <c r="I586" s="149" t="str">
        <f ca="1">IFERROR(Prices!I585/Prices!I584-1,"")</f>
        <v/>
      </c>
      <c r="J586" s="150">
        <f t="shared" ca="1" si="11"/>
        <v>0</v>
      </c>
      <c r="K586" s="112"/>
      <c r="L586" s="112"/>
      <c r="M586" s="112"/>
    </row>
    <row r="587" spans="1:13" x14ac:dyDescent="0.3">
      <c r="A587" s="147" t="str">
        <f ca="1">Prices!$A$586</f>
        <v/>
      </c>
      <c r="B587" s="148" t="str">
        <f ca="1">IFERROR(Prices!B586/Prices!B585-1,"")</f>
        <v/>
      </c>
      <c r="C587" s="148" t="str">
        <f ca="1">IFERROR(Prices!C586/Prices!C585-1,"")</f>
        <v/>
      </c>
      <c r="D587" s="148" t="str">
        <f ca="1">IFERROR(Prices!D586/Prices!D585-1,"")</f>
        <v/>
      </c>
      <c r="E587" s="148" t="str">
        <f ca="1">IFERROR(Prices!E586/Prices!E585-1,"")</f>
        <v/>
      </c>
      <c r="F587" s="148" t="str">
        <f ca="1">IFERROR(Prices!F586/Prices!F585-1,"")</f>
        <v/>
      </c>
      <c r="G587" s="148" t="str">
        <f ca="1">IFERROR(Prices!G586/Prices!G585-1,"")</f>
        <v/>
      </c>
      <c r="H587" s="148" t="str">
        <f ca="1">IFERROR(Prices!H586/Prices!H585-1,"")</f>
        <v/>
      </c>
      <c r="I587" s="149" t="str">
        <f ca="1">IFERROR(Prices!I586/Prices!I585-1,"")</f>
        <v/>
      </c>
      <c r="J587" s="150">
        <f t="shared" ca="1" si="11"/>
        <v>0</v>
      </c>
      <c r="K587" s="112"/>
      <c r="L587" s="112"/>
      <c r="M587" s="112"/>
    </row>
    <row r="588" spans="1:13" x14ac:dyDescent="0.3">
      <c r="A588" s="147" t="str">
        <f ca="1">Prices!$A$587</f>
        <v/>
      </c>
      <c r="B588" s="148" t="str">
        <f ca="1">IFERROR(Prices!B587/Prices!B586-1,"")</f>
        <v/>
      </c>
      <c r="C588" s="148" t="str">
        <f ca="1">IFERROR(Prices!C587/Prices!C586-1,"")</f>
        <v/>
      </c>
      <c r="D588" s="148" t="str">
        <f ca="1">IFERROR(Prices!D587/Prices!D586-1,"")</f>
        <v/>
      </c>
      <c r="E588" s="148" t="str">
        <f ca="1">IFERROR(Prices!E587/Prices!E586-1,"")</f>
        <v/>
      </c>
      <c r="F588" s="148" t="str">
        <f ca="1">IFERROR(Prices!F587/Prices!F586-1,"")</f>
        <v/>
      </c>
      <c r="G588" s="148" t="str">
        <f ca="1">IFERROR(Prices!G587/Prices!G586-1,"")</f>
        <v/>
      </c>
      <c r="H588" s="148" t="str">
        <f ca="1">IFERROR(Prices!H587/Prices!H586-1,"")</f>
        <v/>
      </c>
      <c r="I588" s="149" t="str">
        <f ca="1">IFERROR(Prices!I587/Prices!I586-1,"")</f>
        <v/>
      </c>
      <c r="J588" s="150">
        <f t="shared" ca="1" si="11"/>
        <v>0</v>
      </c>
      <c r="K588" s="112"/>
      <c r="L588" s="112"/>
      <c r="M588" s="112"/>
    </row>
    <row r="589" spans="1:13" x14ac:dyDescent="0.3">
      <c r="A589" s="147" t="str">
        <f ca="1">Prices!$A$588</f>
        <v/>
      </c>
      <c r="B589" s="148" t="str">
        <f ca="1">IFERROR(Prices!B588/Prices!B587-1,"")</f>
        <v/>
      </c>
      <c r="C589" s="148" t="str">
        <f ca="1">IFERROR(Prices!C588/Prices!C587-1,"")</f>
        <v/>
      </c>
      <c r="D589" s="148" t="str">
        <f ca="1">IFERROR(Prices!D588/Prices!D587-1,"")</f>
        <v/>
      </c>
      <c r="E589" s="148" t="str">
        <f ca="1">IFERROR(Prices!E588/Prices!E587-1,"")</f>
        <v/>
      </c>
      <c r="F589" s="148" t="str">
        <f ca="1">IFERROR(Prices!F588/Prices!F587-1,"")</f>
        <v/>
      </c>
      <c r="G589" s="148" t="str">
        <f ca="1">IFERROR(Prices!G588/Prices!G587-1,"")</f>
        <v/>
      </c>
      <c r="H589" s="148" t="str">
        <f ca="1">IFERROR(Prices!H588/Prices!H587-1,"")</f>
        <v/>
      </c>
      <c r="I589" s="149" t="str">
        <f ca="1">IFERROR(Prices!I588/Prices!I587-1,"")</f>
        <v/>
      </c>
      <c r="J589" s="150">
        <f t="shared" ca="1" si="11"/>
        <v>0</v>
      </c>
      <c r="K589" s="112"/>
      <c r="L589" s="112"/>
      <c r="M589" s="112"/>
    </row>
    <row r="590" spans="1:13" x14ac:dyDescent="0.3">
      <c r="A590" s="147" t="str">
        <f ca="1">Prices!$A$589</f>
        <v/>
      </c>
      <c r="B590" s="148" t="str">
        <f ca="1">IFERROR(Prices!B589/Prices!B588-1,"")</f>
        <v/>
      </c>
      <c r="C590" s="148" t="str">
        <f ca="1">IFERROR(Prices!C589/Prices!C588-1,"")</f>
        <v/>
      </c>
      <c r="D590" s="148" t="str">
        <f ca="1">IFERROR(Prices!D589/Prices!D588-1,"")</f>
        <v/>
      </c>
      <c r="E590" s="148" t="str">
        <f ca="1">IFERROR(Prices!E589/Prices!E588-1,"")</f>
        <v/>
      </c>
      <c r="F590" s="148" t="str">
        <f ca="1">IFERROR(Prices!F589/Prices!F588-1,"")</f>
        <v/>
      </c>
      <c r="G590" s="148" t="str">
        <f ca="1">IFERROR(Prices!G589/Prices!G588-1,"")</f>
        <v/>
      </c>
      <c r="H590" s="148" t="str">
        <f ca="1">IFERROR(Prices!H589/Prices!H588-1,"")</f>
        <v/>
      </c>
      <c r="I590" s="149" t="str">
        <f ca="1">IFERROR(Prices!I589/Prices!I588-1,"")</f>
        <v/>
      </c>
      <c r="J590" s="150">
        <f t="shared" ca="1" si="11"/>
        <v>0</v>
      </c>
      <c r="K590" s="112"/>
      <c r="L590" s="112"/>
      <c r="M590" s="112"/>
    </row>
    <row r="591" spans="1:13" x14ac:dyDescent="0.3">
      <c r="A591" s="147" t="str">
        <f ca="1">Prices!$A$590</f>
        <v/>
      </c>
      <c r="B591" s="148" t="str">
        <f ca="1">IFERROR(Prices!B590/Prices!B589-1,"")</f>
        <v/>
      </c>
      <c r="C591" s="148" t="str">
        <f ca="1">IFERROR(Prices!C590/Prices!C589-1,"")</f>
        <v/>
      </c>
      <c r="D591" s="148" t="str">
        <f ca="1">IFERROR(Prices!D590/Prices!D589-1,"")</f>
        <v/>
      </c>
      <c r="E591" s="148" t="str">
        <f ca="1">IFERROR(Prices!E590/Prices!E589-1,"")</f>
        <v/>
      </c>
      <c r="F591" s="148" t="str">
        <f ca="1">IFERROR(Prices!F590/Prices!F589-1,"")</f>
        <v/>
      </c>
      <c r="G591" s="148" t="str">
        <f ca="1">IFERROR(Prices!G590/Prices!G589-1,"")</f>
        <v/>
      </c>
      <c r="H591" s="148" t="str">
        <f ca="1">IFERROR(Prices!H590/Prices!H589-1,"")</f>
        <v/>
      </c>
      <c r="I591" s="149" t="str">
        <f ca="1">IFERROR(Prices!I590/Prices!I589-1,"")</f>
        <v/>
      </c>
      <c r="J591" s="150">
        <f t="shared" ca="1" si="11"/>
        <v>0</v>
      </c>
      <c r="K591" s="112"/>
      <c r="L591" s="112"/>
      <c r="M591" s="112"/>
    </row>
    <row r="592" spans="1:13" x14ac:dyDescent="0.3">
      <c r="A592" s="147" t="str">
        <f ca="1">Prices!$A$591</f>
        <v/>
      </c>
      <c r="B592" s="148" t="str">
        <f ca="1">IFERROR(Prices!B591/Prices!B590-1,"")</f>
        <v/>
      </c>
      <c r="C592" s="148" t="str">
        <f ca="1">IFERROR(Prices!C591/Prices!C590-1,"")</f>
        <v/>
      </c>
      <c r="D592" s="148" t="str">
        <f ca="1">IFERROR(Prices!D591/Prices!D590-1,"")</f>
        <v/>
      </c>
      <c r="E592" s="148" t="str">
        <f ca="1">IFERROR(Prices!E591/Prices!E590-1,"")</f>
        <v/>
      </c>
      <c r="F592" s="148" t="str">
        <f ca="1">IFERROR(Prices!F591/Prices!F590-1,"")</f>
        <v/>
      </c>
      <c r="G592" s="148" t="str">
        <f ca="1">IFERROR(Prices!G591/Prices!G590-1,"")</f>
        <v/>
      </c>
      <c r="H592" s="148" t="str">
        <f ca="1">IFERROR(Prices!H591/Prices!H590-1,"")</f>
        <v/>
      </c>
      <c r="I592" s="149" t="str">
        <f ca="1">IFERROR(Prices!I591/Prices!I590-1,"")</f>
        <v/>
      </c>
      <c r="J592" s="150">
        <f t="shared" ca="1" si="11"/>
        <v>0</v>
      </c>
      <c r="K592" s="112"/>
      <c r="L592" s="112"/>
      <c r="M592" s="112"/>
    </row>
    <row r="593" spans="1:13" x14ac:dyDescent="0.3">
      <c r="A593" s="147" t="str">
        <f ca="1">Prices!$A$592</f>
        <v/>
      </c>
      <c r="B593" s="148" t="str">
        <f ca="1">IFERROR(Prices!B592/Prices!B591-1,"")</f>
        <v/>
      </c>
      <c r="C593" s="148" t="str">
        <f ca="1">IFERROR(Prices!C592/Prices!C591-1,"")</f>
        <v/>
      </c>
      <c r="D593" s="148" t="str">
        <f ca="1">IFERROR(Prices!D592/Prices!D591-1,"")</f>
        <v/>
      </c>
      <c r="E593" s="148" t="str">
        <f ca="1">IFERROR(Prices!E592/Prices!E591-1,"")</f>
        <v/>
      </c>
      <c r="F593" s="148" t="str">
        <f ca="1">IFERROR(Prices!F592/Prices!F591-1,"")</f>
        <v/>
      </c>
      <c r="G593" s="148" t="str">
        <f ca="1">IFERROR(Prices!G592/Prices!G591-1,"")</f>
        <v/>
      </c>
      <c r="H593" s="148" t="str">
        <f ca="1">IFERROR(Prices!H592/Prices!H591-1,"")</f>
        <v/>
      </c>
      <c r="I593" s="149" t="str">
        <f ca="1">IFERROR(Prices!I592/Prices!I591-1,"")</f>
        <v/>
      </c>
      <c r="J593" s="150">
        <f t="shared" ca="1" si="11"/>
        <v>0</v>
      </c>
      <c r="K593" s="112"/>
      <c r="L593" s="112"/>
      <c r="M593" s="112"/>
    </row>
    <row r="594" spans="1:13" x14ac:dyDescent="0.3">
      <c r="A594" s="147" t="str">
        <f ca="1">Prices!$A$593</f>
        <v/>
      </c>
      <c r="B594" s="148" t="str">
        <f ca="1">IFERROR(Prices!B593/Prices!B592-1,"")</f>
        <v/>
      </c>
      <c r="C594" s="148" t="str">
        <f ca="1">IFERROR(Prices!C593/Prices!C592-1,"")</f>
        <v/>
      </c>
      <c r="D594" s="148" t="str">
        <f ca="1">IFERROR(Prices!D593/Prices!D592-1,"")</f>
        <v/>
      </c>
      <c r="E594" s="148" t="str">
        <f ca="1">IFERROR(Prices!E593/Prices!E592-1,"")</f>
        <v/>
      </c>
      <c r="F594" s="148" t="str">
        <f ca="1">IFERROR(Prices!F593/Prices!F592-1,"")</f>
        <v/>
      </c>
      <c r="G594" s="148" t="str">
        <f ca="1">IFERROR(Prices!G593/Prices!G592-1,"")</f>
        <v/>
      </c>
      <c r="H594" s="148" t="str">
        <f ca="1">IFERROR(Prices!H593/Prices!H592-1,"")</f>
        <v/>
      </c>
      <c r="I594" s="149" t="str">
        <f ca="1">IFERROR(Prices!I593/Prices!I592-1,"")</f>
        <v/>
      </c>
      <c r="J594" s="150">
        <f t="shared" ca="1" si="11"/>
        <v>0</v>
      </c>
      <c r="K594" s="112"/>
      <c r="L594" s="112"/>
      <c r="M594" s="112"/>
    </row>
    <row r="595" spans="1:13" x14ac:dyDescent="0.3">
      <c r="A595" s="147" t="str">
        <f ca="1">Prices!$A$594</f>
        <v/>
      </c>
      <c r="B595" s="148" t="str">
        <f ca="1">IFERROR(Prices!B594/Prices!B593-1,"")</f>
        <v/>
      </c>
      <c r="C595" s="148" t="str">
        <f ca="1">IFERROR(Prices!C594/Prices!C593-1,"")</f>
        <v/>
      </c>
      <c r="D595" s="148" t="str">
        <f ca="1">IFERROR(Prices!D594/Prices!D593-1,"")</f>
        <v/>
      </c>
      <c r="E595" s="148" t="str">
        <f ca="1">IFERROR(Prices!E594/Prices!E593-1,"")</f>
        <v/>
      </c>
      <c r="F595" s="148" t="str">
        <f ca="1">IFERROR(Prices!F594/Prices!F593-1,"")</f>
        <v/>
      </c>
      <c r="G595" s="148" t="str">
        <f ca="1">IFERROR(Prices!G594/Prices!G593-1,"")</f>
        <v/>
      </c>
      <c r="H595" s="148" t="str">
        <f ca="1">IFERROR(Prices!H594/Prices!H593-1,"")</f>
        <v/>
      </c>
      <c r="I595" s="149" t="str">
        <f ca="1">IFERROR(Prices!I594/Prices!I593-1,"")</f>
        <v/>
      </c>
      <c r="J595" s="150">
        <f t="shared" ca="1" si="11"/>
        <v>0</v>
      </c>
      <c r="K595" s="112"/>
      <c r="L595" s="112"/>
      <c r="M595" s="112"/>
    </row>
    <row r="596" spans="1:13" x14ac:dyDescent="0.3">
      <c r="A596" s="147" t="str">
        <f ca="1">Prices!$A$595</f>
        <v/>
      </c>
      <c r="B596" s="148" t="str">
        <f ca="1">IFERROR(Prices!B595/Prices!B594-1,"")</f>
        <v/>
      </c>
      <c r="C596" s="148" t="str">
        <f ca="1">IFERROR(Prices!C595/Prices!C594-1,"")</f>
        <v/>
      </c>
      <c r="D596" s="148" t="str">
        <f ca="1">IFERROR(Prices!D595/Prices!D594-1,"")</f>
        <v/>
      </c>
      <c r="E596" s="148" t="str">
        <f ca="1">IFERROR(Prices!E595/Prices!E594-1,"")</f>
        <v/>
      </c>
      <c r="F596" s="148" t="str">
        <f ca="1">IFERROR(Prices!F595/Prices!F594-1,"")</f>
        <v/>
      </c>
      <c r="G596" s="148" t="str">
        <f ca="1">IFERROR(Prices!G595/Prices!G594-1,"")</f>
        <v/>
      </c>
      <c r="H596" s="148" t="str">
        <f ca="1">IFERROR(Prices!H595/Prices!H594-1,"")</f>
        <v/>
      </c>
      <c r="I596" s="149" t="str">
        <f ca="1">IFERROR(Prices!I595/Prices!I594-1,"")</f>
        <v/>
      </c>
      <c r="J596" s="150">
        <f t="shared" ca="1" si="11"/>
        <v>0</v>
      </c>
      <c r="K596" s="112"/>
      <c r="L596" s="112"/>
      <c r="M596" s="112"/>
    </row>
    <row r="597" spans="1:13" x14ac:dyDescent="0.3">
      <c r="A597" s="147" t="str">
        <f ca="1">Prices!$A$596</f>
        <v/>
      </c>
      <c r="B597" s="148" t="str">
        <f ca="1">IFERROR(Prices!B596/Prices!B595-1,"")</f>
        <v/>
      </c>
      <c r="C597" s="148" t="str">
        <f ca="1">IFERROR(Prices!C596/Prices!C595-1,"")</f>
        <v/>
      </c>
      <c r="D597" s="148" t="str">
        <f ca="1">IFERROR(Prices!D596/Prices!D595-1,"")</f>
        <v/>
      </c>
      <c r="E597" s="148" t="str">
        <f ca="1">IFERROR(Prices!E596/Prices!E595-1,"")</f>
        <v/>
      </c>
      <c r="F597" s="148" t="str">
        <f ca="1">IFERROR(Prices!F596/Prices!F595-1,"")</f>
        <v/>
      </c>
      <c r="G597" s="148" t="str">
        <f ca="1">IFERROR(Prices!G596/Prices!G595-1,"")</f>
        <v/>
      </c>
      <c r="H597" s="148" t="str">
        <f ca="1">IFERROR(Prices!H596/Prices!H595-1,"")</f>
        <v/>
      </c>
      <c r="I597" s="149" t="str">
        <f ca="1">IFERROR(Prices!I596/Prices!I595-1,"")</f>
        <v/>
      </c>
      <c r="J597" s="150">
        <f t="shared" ca="1" si="11"/>
        <v>0</v>
      </c>
      <c r="K597" s="112"/>
      <c r="L597" s="112"/>
      <c r="M597" s="112"/>
    </row>
    <row r="598" spans="1:13" x14ac:dyDescent="0.3">
      <c r="A598" s="147" t="str">
        <f ca="1">Prices!$A$597</f>
        <v/>
      </c>
      <c r="B598" s="148" t="str">
        <f ca="1">IFERROR(Prices!B597/Prices!B596-1,"")</f>
        <v/>
      </c>
      <c r="C598" s="148" t="str">
        <f ca="1">IFERROR(Prices!C597/Prices!C596-1,"")</f>
        <v/>
      </c>
      <c r="D598" s="148" t="str">
        <f ca="1">IFERROR(Prices!D597/Prices!D596-1,"")</f>
        <v/>
      </c>
      <c r="E598" s="148" t="str">
        <f ca="1">IFERROR(Prices!E597/Prices!E596-1,"")</f>
        <v/>
      </c>
      <c r="F598" s="148" t="str">
        <f ca="1">IFERROR(Prices!F597/Prices!F596-1,"")</f>
        <v/>
      </c>
      <c r="G598" s="148" t="str">
        <f ca="1">IFERROR(Prices!G597/Prices!G596-1,"")</f>
        <v/>
      </c>
      <c r="H598" s="148" t="str">
        <f ca="1">IFERROR(Prices!H597/Prices!H596-1,"")</f>
        <v/>
      </c>
      <c r="I598" s="149" t="str">
        <f ca="1">IFERROR(Prices!I597/Prices!I596-1,"")</f>
        <v/>
      </c>
      <c r="J598" s="150">
        <f t="shared" ca="1" si="11"/>
        <v>0</v>
      </c>
      <c r="K598" s="112"/>
      <c r="L598" s="112"/>
      <c r="M598" s="112"/>
    </row>
    <row r="599" spans="1:13" x14ac:dyDescent="0.3">
      <c r="A599" s="147" t="str">
        <f ca="1">Prices!$A$598</f>
        <v/>
      </c>
      <c r="B599" s="148" t="str">
        <f ca="1">IFERROR(Prices!B598/Prices!B597-1,"")</f>
        <v/>
      </c>
      <c r="C599" s="148" t="str">
        <f ca="1">IFERROR(Prices!C598/Prices!C597-1,"")</f>
        <v/>
      </c>
      <c r="D599" s="148" t="str">
        <f ca="1">IFERROR(Prices!D598/Prices!D597-1,"")</f>
        <v/>
      </c>
      <c r="E599" s="148" t="str">
        <f ca="1">IFERROR(Prices!E598/Prices!E597-1,"")</f>
        <v/>
      </c>
      <c r="F599" s="148" t="str">
        <f ca="1">IFERROR(Prices!F598/Prices!F597-1,"")</f>
        <v/>
      </c>
      <c r="G599" s="148" t="str">
        <f ca="1">IFERROR(Prices!G598/Prices!G597-1,"")</f>
        <v/>
      </c>
      <c r="H599" s="148" t="str">
        <f ca="1">IFERROR(Prices!H598/Prices!H597-1,"")</f>
        <v/>
      </c>
      <c r="I599" s="149" t="str">
        <f ca="1">IFERROR(Prices!I598/Prices!I597-1,"")</f>
        <v/>
      </c>
      <c r="J599" s="150">
        <f t="shared" ca="1" si="11"/>
        <v>0</v>
      </c>
      <c r="K599" s="112"/>
      <c r="L599" s="112"/>
      <c r="M599" s="112"/>
    </row>
    <row r="600" spans="1:13" x14ac:dyDescent="0.3">
      <c r="A600" s="147" t="str">
        <f ca="1">Prices!$A$599</f>
        <v/>
      </c>
      <c r="B600" s="148" t="str">
        <f ca="1">IFERROR(Prices!B599/Prices!B598-1,"")</f>
        <v/>
      </c>
      <c r="C600" s="148" t="str">
        <f ca="1">IFERROR(Prices!C599/Prices!C598-1,"")</f>
        <v/>
      </c>
      <c r="D600" s="148" t="str">
        <f ca="1">IFERROR(Prices!D599/Prices!D598-1,"")</f>
        <v/>
      </c>
      <c r="E600" s="148" t="str">
        <f ca="1">IFERROR(Prices!E599/Prices!E598-1,"")</f>
        <v/>
      </c>
      <c r="F600" s="148" t="str">
        <f ca="1">IFERROR(Prices!F599/Prices!F598-1,"")</f>
        <v/>
      </c>
      <c r="G600" s="148" t="str">
        <f ca="1">IFERROR(Prices!G599/Prices!G598-1,"")</f>
        <v/>
      </c>
      <c r="H600" s="148" t="str">
        <f ca="1">IFERROR(Prices!H599/Prices!H598-1,"")</f>
        <v/>
      </c>
      <c r="I600" s="149" t="str">
        <f ca="1">IFERROR(Prices!I599/Prices!I598-1,"")</f>
        <v/>
      </c>
      <c r="J600" s="150">
        <f t="shared" ca="1" si="11"/>
        <v>0</v>
      </c>
      <c r="K600" s="112"/>
      <c r="L600" s="112"/>
      <c r="M600" s="112"/>
    </row>
    <row r="601" spans="1:13" x14ac:dyDescent="0.3">
      <c r="A601" s="147" t="str">
        <f ca="1">Prices!$A$600</f>
        <v/>
      </c>
      <c r="B601" s="148" t="str">
        <f ca="1">IFERROR(Prices!B600/Prices!B599-1,"")</f>
        <v/>
      </c>
      <c r="C601" s="148" t="str">
        <f ca="1">IFERROR(Prices!C600/Prices!C599-1,"")</f>
        <v/>
      </c>
      <c r="D601" s="148" t="str">
        <f ca="1">IFERROR(Prices!D600/Prices!D599-1,"")</f>
        <v/>
      </c>
      <c r="E601" s="148" t="str">
        <f ca="1">IFERROR(Prices!E600/Prices!E599-1,"")</f>
        <v/>
      </c>
      <c r="F601" s="148" t="str">
        <f ca="1">IFERROR(Prices!F600/Prices!F599-1,"")</f>
        <v/>
      </c>
      <c r="G601" s="148" t="str">
        <f ca="1">IFERROR(Prices!G600/Prices!G599-1,"")</f>
        <v/>
      </c>
      <c r="H601" s="148" t="str">
        <f ca="1">IFERROR(Prices!H600/Prices!H599-1,"")</f>
        <v/>
      </c>
      <c r="I601" s="149" t="str">
        <f ca="1">IFERROR(Prices!I600/Prices!I599-1,"")</f>
        <v/>
      </c>
      <c r="J601" s="150">
        <f t="shared" ca="1" si="11"/>
        <v>0</v>
      </c>
      <c r="K601" s="112"/>
      <c r="L601" s="112"/>
      <c r="M601" s="112"/>
    </row>
    <row r="602" spans="1:13" x14ac:dyDescent="0.3">
      <c r="A602" s="147" t="str">
        <f ca="1">Prices!$A$601</f>
        <v/>
      </c>
      <c r="B602" s="148" t="str">
        <f ca="1">IFERROR(Prices!B601/Prices!B600-1,"")</f>
        <v/>
      </c>
      <c r="C602" s="148" t="str">
        <f ca="1">IFERROR(Prices!C601/Prices!C600-1,"")</f>
        <v/>
      </c>
      <c r="D602" s="148" t="str">
        <f ca="1">IFERROR(Prices!D601/Prices!D600-1,"")</f>
        <v/>
      </c>
      <c r="E602" s="148" t="str">
        <f ca="1">IFERROR(Prices!E601/Prices!E600-1,"")</f>
        <v/>
      </c>
      <c r="F602" s="148" t="str">
        <f ca="1">IFERROR(Prices!F601/Prices!F600-1,"")</f>
        <v/>
      </c>
      <c r="G602" s="148" t="str">
        <f ca="1">IFERROR(Prices!G601/Prices!G600-1,"")</f>
        <v/>
      </c>
      <c r="H602" s="148" t="str">
        <f ca="1">IFERROR(Prices!H601/Prices!H600-1,"")</f>
        <v/>
      </c>
      <c r="I602" s="149" t="str">
        <f ca="1">IFERROR(Prices!I601/Prices!I600-1,"")</f>
        <v/>
      </c>
      <c r="J602" s="150">
        <f t="shared" ca="1" si="11"/>
        <v>0</v>
      </c>
      <c r="K602" s="112"/>
      <c r="L602" s="112"/>
      <c r="M602" s="112"/>
    </row>
    <row r="603" spans="1:13" x14ac:dyDescent="0.3">
      <c r="A603" s="147" t="str">
        <f ca="1">Prices!$A$602</f>
        <v/>
      </c>
      <c r="B603" s="148" t="str">
        <f ca="1">IFERROR(Prices!B602/Prices!B601-1,"")</f>
        <v/>
      </c>
      <c r="C603" s="148" t="str">
        <f ca="1">IFERROR(Prices!C602/Prices!C601-1,"")</f>
        <v/>
      </c>
      <c r="D603" s="148" t="str">
        <f ca="1">IFERROR(Prices!D602/Prices!D601-1,"")</f>
        <v/>
      </c>
      <c r="E603" s="148" t="str">
        <f ca="1">IFERROR(Prices!E602/Prices!E601-1,"")</f>
        <v/>
      </c>
      <c r="F603" s="148" t="str">
        <f ca="1">IFERROR(Prices!F602/Prices!F601-1,"")</f>
        <v/>
      </c>
      <c r="G603" s="148" t="str">
        <f ca="1">IFERROR(Prices!G602/Prices!G601-1,"")</f>
        <v/>
      </c>
      <c r="H603" s="148" t="str">
        <f ca="1">IFERROR(Prices!H602/Prices!H601-1,"")</f>
        <v/>
      </c>
      <c r="I603" s="149" t="str">
        <f ca="1">IFERROR(Prices!I602/Prices!I601-1,"")</f>
        <v/>
      </c>
      <c r="J603" s="150">
        <f t="shared" ca="1" si="11"/>
        <v>0</v>
      </c>
      <c r="K603" s="112"/>
      <c r="L603" s="112"/>
      <c r="M603" s="112"/>
    </row>
    <row r="604" spans="1:13" x14ac:dyDescent="0.3">
      <c r="A604" s="147" t="str">
        <f ca="1">Prices!$A$603</f>
        <v/>
      </c>
      <c r="B604" s="148" t="str">
        <f ca="1">IFERROR(Prices!B603/Prices!B602-1,"")</f>
        <v/>
      </c>
      <c r="C604" s="148" t="str">
        <f ca="1">IFERROR(Prices!C603/Prices!C602-1,"")</f>
        <v/>
      </c>
      <c r="D604" s="148" t="str">
        <f ca="1">IFERROR(Prices!D603/Prices!D602-1,"")</f>
        <v/>
      </c>
      <c r="E604" s="148" t="str">
        <f ca="1">IFERROR(Prices!E603/Prices!E602-1,"")</f>
        <v/>
      </c>
      <c r="F604" s="148" t="str">
        <f ca="1">IFERROR(Prices!F603/Prices!F602-1,"")</f>
        <v/>
      </c>
      <c r="G604" s="148" t="str">
        <f ca="1">IFERROR(Prices!G603/Prices!G602-1,"")</f>
        <v/>
      </c>
      <c r="H604" s="148" t="str">
        <f ca="1">IFERROR(Prices!H603/Prices!H602-1,"")</f>
        <v/>
      </c>
      <c r="I604" s="149" t="str">
        <f ca="1">IFERROR(Prices!I603/Prices!I602-1,"")</f>
        <v/>
      </c>
      <c r="J604" s="150">
        <f t="shared" ca="1" si="11"/>
        <v>0</v>
      </c>
      <c r="K604" s="112"/>
      <c r="L604" s="112"/>
      <c r="M604" s="112"/>
    </row>
    <row r="605" spans="1:13" x14ac:dyDescent="0.3">
      <c r="A605" s="147" t="str">
        <f ca="1">Prices!$A$604</f>
        <v/>
      </c>
      <c r="B605" s="148" t="str">
        <f ca="1">IFERROR(Prices!B604/Prices!B603-1,"")</f>
        <v/>
      </c>
      <c r="C605" s="148" t="str">
        <f ca="1">IFERROR(Prices!C604/Prices!C603-1,"")</f>
        <v/>
      </c>
      <c r="D605" s="148" t="str">
        <f ca="1">IFERROR(Prices!D604/Prices!D603-1,"")</f>
        <v/>
      </c>
      <c r="E605" s="148" t="str">
        <f ca="1">IFERROR(Prices!E604/Prices!E603-1,"")</f>
        <v/>
      </c>
      <c r="F605" s="148" t="str">
        <f ca="1">IFERROR(Prices!F604/Prices!F603-1,"")</f>
        <v/>
      </c>
      <c r="G605" s="148" t="str">
        <f ca="1">IFERROR(Prices!G604/Prices!G603-1,"")</f>
        <v/>
      </c>
      <c r="H605" s="148" t="str">
        <f ca="1">IFERROR(Prices!H604/Prices!H603-1,"")</f>
        <v/>
      </c>
      <c r="I605" s="149" t="str">
        <f ca="1">IFERROR(Prices!I604/Prices!I603-1,"")</f>
        <v/>
      </c>
      <c r="J605" s="150">
        <f t="shared" ca="1" si="11"/>
        <v>0</v>
      </c>
      <c r="K605" s="112"/>
      <c r="L605" s="112"/>
      <c r="M605" s="112"/>
    </row>
    <row r="606" spans="1:13" x14ac:dyDescent="0.3">
      <c r="A606" s="147" t="str">
        <f ca="1">Prices!$A$605</f>
        <v/>
      </c>
      <c r="B606" s="148" t="str">
        <f ca="1">IFERROR(Prices!B605/Prices!B604-1,"")</f>
        <v/>
      </c>
      <c r="C606" s="148" t="str">
        <f ca="1">IFERROR(Prices!C605/Prices!C604-1,"")</f>
        <v/>
      </c>
      <c r="D606" s="148" t="str">
        <f ca="1">IFERROR(Prices!D605/Prices!D604-1,"")</f>
        <v/>
      </c>
      <c r="E606" s="148" t="str">
        <f ca="1">IFERROR(Prices!E605/Prices!E604-1,"")</f>
        <v/>
      </c>
      <c r="F606" s="148" t="str">
        <f ca="1">IFERROR(Prices!F605/Prices!F604-1,"")</f>
        <v/>
      </c>
      <c r="G606" s="148" t="str">
        <f ca="1">IFERROR(Prices!G605/Prices!G604-1,"")</f>
        <v/>
      </c>
      <c r="H606" s="148" t="str">
        <f ca="1">IFERROR(Prices!H605/Prices!H604-1,"")</f>
        <v/>
      </c>
      <c r="I606" s="149" t="str">
        <f ca="1">IFERROR(Prices!I605/Prices!I604-1,"")</f>
        <v/>
      </c>
      <c r="J606" s="150">
        <f t="shared" ca="1" si="11"/>
        <v>0</v>
      </c>
      <c r="K606" s="112"/>
      <c r="L606" s="112"/>
      <c r="M606" s="112"/>
    </row>
    <row r="607" spans="1:13" x14ac:dyDescent="0.3">
      <c r="A607" s="147" t="str">
        <f ca="1">Prices!$A$606</f>
        <v/>
      </c>
      <c r="B607" s="148" t="str">
        <f ca="1">IFERROR(Prices!B606/Prices!B605-1,"")</f>
        <v/>
      </c>
      <c r="C607" s="148" t="str">
        <f ca="1">IFERROR(Prices!C606/Prices!C605-1,"")</f>
        <v/>
      </c>
      <c r="D607" s="148" t="str">
        <f ca="1">IFERROR(Prices!D606/Prices!D605-1,"")</f>
        <v/>
      </c>
      <c r="E607" s="148" t="str">
        <f ca="1">IFERROR(Prices!E606/Prices!E605-1,"")</f>
        <v/>
      </c>
      <c r="F607" s="148" t="str">
        <f ca="1">IFERROR(Prices!F606/Prices!F605-1,"")</f>
        <v/>
      </c>
      <c r="G607" s="148" t="str">
        <f ca="1">IFERROR(Prices!G606/Prices!G605-1,"")</f>
        <v/>
      </c>
      <c r="H607" s="148" t="str">
        <f ca="1">IFERROR(Prices!H606/Prices!H605-1,"")</f>
        <v/>
      </c>
      <c r="I607" s="149" t="str">
        <f ca="1">IFERROR(Prices!I606/Prices!I605-1,"")</f>
        <v/>
      </c>
      <c r="J607" s="150">
        <f t="shared" ca="1" si="11"/>
        <v>0</v>
      </c>
      <c r="K607" s="112"/>
      <c r="L607" s="112"/>
      <c r="M607" s="112"/>
    </row>
    <row r="608" spans="1:13" x14ac:dyDescent="0.3">
      <c r="A608" s="147" t="str">
        <f ca="1">Prices!$A$607</f>
        <v/>
      </c>
      <c r="B608" s="148" t="str">
        <f ca="1">IFERROR(Prices!B607/Prices!B606-1,"")</f>
        <v/>
      </c>
      <c r="C608" s="148" t="str">
        <f ca="1">IFERROR(Prices!C607/Prices!C606-1,"")</f>
        <v/>
      </c>
      <c r="D608" s="148" t="str">
        <f ca="1">IFERROR(Prices!D607/Prices!D606-1,"")</f>
        <v/>
      </c>
      <c r="E608" s="148" t="str">
        <f ca="1">IFERROR(Prices!E607/Prices!E606-1,"")</f>
        <v/>
      </c>
      <c r="F608" s="148" t="str">
        <f ca="1">IFERROR(Prices!F607/Prices!F606-1,"")</f>
        <v/>
      </c>
      <c r="G608" s="148" t="str">
        <f ca="1">IFERROR(Prices!G607/Prices!G606-1,"")</f>
        <v/>
      </c>
      <c r="H608" s="148" t="str">
        <f ca="1">IFERROR(Prices!H607/Prices!H606-1,"")</f>
        <v/>
      </c>
      <c r="I608" s="149" t="str">
        <f ca="1">IFERROR(Prices!I607/Prices!I606-1,"")</f>
        <v/>
      </c>
      <c r="J608" s="150">
        <f t="shared" ca="1" si="11"/>
        <v>0</v>
      </c>
      <c r="K608" s="112"/>
      <c r="L608" s="112"/>
      <c r="M608" s="112"/>
    </row>
    <row r="609" spans="1:13" x14ac:dyDescent="0.3">
      <c r="A609" s="147" t="str">
        <f ca="1">Prices!$A$608</f>
        <v/>
      </c>
      <c r="B609" s="148" t="str">
        <f ca="1">IFERROR(Prices!B608/Prices!B607-1,"")</f>
        <v/>
      </c>
      <c r="C609" s="148" t="str">
        <f ca="1">IFERROR(Prices!C608/Prices!C607-1,"")</f>
        <v/>
      </c>
      <c r="D609" s="148" t="str">
        <f ca="1">IFERROR(Prices!D608/Prices!D607-1,"")</f>
        <v/>
      </c>
      <c r="E609" s="148" t="str">
        <f ca="1">IFERROR(Prices!E608/Prices!E607-1,"")</f>
        <v/>
      </c>
      <c r="F609" s="148" t="str">
        <f ca="1">IFERROR(Prices!F608/Prices!F607-1,"")</f>
        <v/>
      </c>
      <c r="G609" s="148" t="str">
        <f ca="1">IFERROR(Prices!G608/Prices!G607-1,"")</f>
        <v/>
      </c>
      <c r="H609" s="148" t="str">
        <f ca="1">IFERROR(Prices!H608/Prices!H607-1,"")</f>
        <v/>
      </c>
      <c r="I609" s="149" t="str">
        <f ca="1">IFERROR(Prices!I608/Prices!I607-1,"")</f>
        <v/>
      </c>
      <c r="J609" s="150">
        <f t="shared" ca="1" si="11"/>
        <v>0</v>
      </c>
      <c r="K609" s="112"/>
      <c r="L609" s="112"/>
      <c r="M609" s="112"/>
    </row>
    <row r="610" spans="1:13" x14ac:dyDescent="0.3">
      <c r="A610" s="147" t="str">
        <f ca="1">Prices!$A$609</f>
        <v/>
      </c>
      <c r="B610" s="148" t="str">
        <f ca="1">IFERROR(Prices!B609/Prices!B608-1,"")</f>
        <v/>
      </c>
      <c r="C610" s="148" t="str">
        <f ca="1">IFERROR(Prices!C609/Prices!C608-1,"")</f>
        <v/>
      </c>
      <c r="D610" s="148" t="str">
        <f ca="1">IFERROR(Prices!D609/Prices!D608-1,"")</f>
        <v/>
      </c>
      <c r="E610" s="148" t="str">
        <f ca="1">IFERROR(Prices!E609/Prices!E608-1,"")</f>
        <v/>
      </c>
      <c r="F610" s="148" t="str">
        <f ca="1">IFERROR(Prices!F609/Prices!F608-1,"")</f>
        <v/>
      </c>
      <c r="G610" s="148" t="str">
        <f ca="1">IFERROR(Prices!G609/Prices!G608-1,"")</f>
        <v/>
      </c>
      <c r="H610" s="148" t="str">
        <f ca="1">IFERROR(Prices!H609/Prices!H608-1,"")</f>
        <v/>
      </c>
      <c r="I610" s="149" t="str">
        <f ca="1">IFERROR(Prices!I609/Prices!I608-1,"")</f>
        <v/>
      </c>
      <c r="J610" s="150">
        <f t="shared" ca="1" si="11"/>
        <v>0</v>
      </c>
      <c r="K610" s="112"/>
      <c r="L610" s="112"/>
      <c r="M610" s="112"/>
    </row>
    <row r="611" spans="1:13" x14ac:dyDescent="0.3">
      <c r="A611" s="147" t="str">
        <f ca="1">Prices!$A$610</f>
        <v/>
      </c>
      <c r="B611" s="148" t="str">
        <f ca="1">IFERROR(Prices!B610/Prices!B609-1,"")</f>
        <v/>
      </c>
      <c r="C611" s="148" t="str">
        <f ca="1">IFERROR(Prices!C610/Prices!C609-1,"")</f>
        <v/>
      </c>
      <c r="D611" s="148" t="str">
        <f ca="1">IFERROR(Prices!D610/Prices!D609-1,"")</f>
        <v/>
      </c>
      <c r="E611" s="148" t="str">
        <f ca="1">IFERROR(Prices!E610/Prices!E609-1,"")</f>
        <v/>
      </c>
      <c r="F611" s="148" t="str">
        <f ca="1">IFERROR(Prices!F610/Prices!F609-1,"")</f>
        <v/>
      </c>
      <c r="G611" s="148" t="str">
        <f ca="1">IFERROR(Prices!G610/Prices!G609-1,"")</f>
        <v/>
      </c>
      <c r="H611" s="148" t="str">
        <f ca="1">IFERROR(Prices!H610/Prices!H609-1,"")</f>
        <v/>
      </c>
      <c r="I611" s="149" t="str">
        <f ca="1">IFERROR(Prices!I610/Prices!I609-1,"")</f>
        <v/>
      </c>
      <c r="J611" s="150">
        <f t="shared" ca="1" si="11"/>
        <v>0</v>
      </c>
      <c r="K611" s="112"/>
      <c r="L611" s="112"/>
      <c r="M611" s="112"/>
    </row>
    <row r="612" spans="1:13" x14ac:dyDescent="0.3">
      <c r="A612" s="147" t="str">
        <f ca="1">Prices!$A$611</f>
        <v/>
      </c>
      <c r="B612" s="148" t="str">
        <f ca="1">IFERROR(Prices!B611/Prices!B610-1,"")</f>
        <v/>
      </c>
      <c r="C612" s="148" t="str">
        <f ca="1">IFERROR(Prices!C611/Prices!C610-1,"")</f>
        <v/>
      </c>
      <c r="D612" s="148" t="str">
        <f ca="1">IFERROR(Prices!D611/Prices!D610-1,"")</f>
        <v/>
      </c>
      <c r="E612" s="148" t="str">
        <f ca="1">IFERROR(Prices!E611/Prices!E610-1,"")</f>
        <v/>
      </c>
      <c r="F612" s="148" t="str">
        <f ca="1">IFERROR(Prices!F611/Prices!F610-1,"")</f>
        <v/>
      </c>
      <c r="G612" s="148" t="str">
        <f ca="1">IFERROR(Prices!G611/Prices!G610-1,"")</f>
        <v/>
      </c>
      <c r="H612" s="148" t="str">
        <f ca="1">IFERROR(Prices!H611/Prices!H610-1,"")</f>
        <v/>
      </c>
      <c r="I612" s="149" t="str">
        <f ca="1">IFERROR(Prices!I611/Prices!I610-1,"")</f>
        <v/>
      </c>
      <c r="J612" s="150">
        <f t="shared" ca="1" si="11"/>
        <v>0</v>
      </c>
      <c r="K612" s="112"/>
      <c r="L612" s="112"/>
      <c r="M612" s="112"/>
    </row>
    <row r="613" spans="1:13" x14ac:dyDescent="0.3">
      <c r="A613" s="147" t="str">
        <f ca="1">Prices!$A$612</f>
        <v/>
      </c>
      <c r="B613" s="148" t="str">
        <f ca="1">IFERROR(Prices!B612/Prices!B611-1,"")</f>
        <v/>
      </c>
      <c r="C613" s="148" t="str">
        <f ca="1">IFERROR(Prices!C612/Prices!C611-1,"")</f>
        <v/>
      </c>
      <c r="D613" s="148" t="str">
        <f ca="1">IFERROR(Prices!D612/Prices!D611-1,"")</f>
        <v/>
      </c>
      <c r="E613" s="148" t="str">
        <f ca="1">IFERROR(Prices!E612/Prices!E611-1,"")</f>
        <v/>
      </c>
      <c r="F613" s="148" t="str">
        <f ca="1">IFERROR(Prices!F612/Prices!F611-1,"")</f>
        <v/>
      </c>
      <c r="G613" s="148" t="str">
        <f ca="1">IFERROR(Prices!G612/Prices!G611-1,"")</f>
        <v/>
      </c>
      <c r="H613" s="148" t="str">
        <f ca="1">IFERROR(Prices!H612/Prices!H611-1,"")</f>
        <v/>
      </c>
      <c r="I613" s="149" t="str">
        <f ca="1">IFERROR(Prices!I612/Prices!I611-1,"")</f>
        <v/>
      </c>
      <c r="J613" s="150">
        <f t="shared" ca="1" si="11"/>
        <v>0</v>
      </c>
      <c r="K613" s="112"/>
      <c r="L613" s="112"/>
      <c r="M613" s="112"/>
    </row>
    <row r="614" spans="1:13" x14ac:dyDescent="0.3">
      <c r="A614" s="147" t="str">
        <f ca="1">Prices!$A$613</f>
        <v/>
      </c>
      <c r="B614" s="148" t="str">
        <f ca="1">IFERROR(Prices!B613/Prices!B612-1,"")</f>
        <v/>
      </c>
      <c r="C614" s="148" t="str">
        <f ca="1">IFERROR(Prices!C613/Prices!C612-1,"")</f>
        <v/>
      </c>
      <c r="D614" s="148" t="str">
        <f ca="1">IFERROR(Prices!D613/Prices!D612-1,"")</f>
        <v/>
      </c>
      <c r="E614" s="148" t="str">
        <f ca="1">IFERROR(Prices!E613/Prices!E612-1,"")</f>
        <v/>
      </c>
      <c r="F614" s="148" t="str">
        <f ca="1">IFERROR(Prices!F613/Prices!F612-1,"")</f>
        <v/>
      </c>
      <c r="G614" s="148" t="str">
        <f ca="1">IFERROR(Prices!G613/Prices!G612-1,"")</f>
        <v/>
      </c>
      <c r="H614" s="148" t="str">
        <f ca="1">IFERROR(Prices!H613/Prices!H612-1,"")</f>
        <v/>
      </c>
      <c r="I614" s="149" t="str">
        <f ca="1">IFERROR(Prices!I613/Prices!I612-1,"")</f>
        <v/>
      </c>
      <c r="J614" s="150">
        <f t="shared" ca="1" si="11"/>
        <v>0</v>
      </c>
      <c r="K614" s="112"/>
      <c r="L614" s="112"/>
      <c r="M614" s="112"/>
    </row>
    <row r="615" spans="1:13" x14ac:dyDescent="0.3">
      <c r="A615" s="147" t="str">
        <f ca="1">Prices!$A$614</f>
        <v/>
      </c>
      <c r="B615" s="148" t="str">
        <f ca="1">IFERROR(Prices!B614/Prices!B613-1,"")</f>
        <v/>
      </c>
      <c r="C615" s="148" t="str">
        <f ca="1">IFERROR(Prices!C614/Prices!C613-1,"")</f>
        <v/>
      </c>
      <c r="D615" s="148" t="str">
        <f ca="1">IFERROR(Prices!D614/Prices!D613-1,"")</f>
        <v/>
      </c>
      <c r="E615" s="148" t="str">
        <f ca="1">IFERROR(Prices!E614/Prices!E613-1,"")</f>
        <v/>
      </c>
      <c r="F615" s="148" t="str">
        <f ca="1">IFERROR(Prices!F614/Prices!F613-1,"")</f>
        <v/>
      </c>
      <c r="G615" s="148" t="str">
        <f ca="1">IFERROR(Prices!G614/Prices!G613-1,"")</f>
        <v/>
      </c>
      <c r="H615" s="148" t="str">
        <f ca="1">IFERROR(Prices!H614/Prices!H613-1,"")</f>
        <v/>
      </c>
      <c r="I615" s="149" t="str">
        <f ca="1">IFERROR(Prices!I614/Prices!I613-1,"")</f>
        <v/>
      </c>
      <c r="J615" s="150">
        <f t="shared" ca="1" si="11"/>
        <v>0</v>
      </c>
      <c r="K615" s="112"/>
      <c r="L615" s="112"/>
      <c r="M615" s="112"/>
    </row>
    <row r="616" spans="1:13" x14ac:dyDescent="0.3">
      <c r="A616" s="147" t="str">
        <f ca="1">Prices!$A$615</f>
        <v/>
      </c>
      <c r="B616" s="148" t="str">
        <f ca="1">IFERROR(Prices!B615/Prices!B614-1,"")</f>
        <v/>
      </c>
      <c r="C616" s="148" t="str">
        <f ca="1">IFERROR(Prices!C615/Prices!C614-1,"")</f>
        <v/>
      </c>
      <c r="D616" s="148" t="str">
        <f ca="1">IFERROR(Prices!D615/Prices!D614-1,"")</f>
        <v/>
      </c>
      <c r="E616" s="148" t="str">
        <f ca="1">IFERROR(Prices!E615/Prices!E614-1,"")</f>
        <v/>
      </c>
      <c r="F616" s="148" t="str">
        <f ca="1">IFERROR(Prices!F615/Prices!F614-1,"")</f>
        <v/>
      </c>
      <c r="G616" s="148" t="str">
        <f ca="1">IFERROR(Prices!G615/Prices!G614-1,"")</f>
        <v/>
      </c>
      <c r="H616" s="148" t="str">
        <f ca="1">IFERROR(Prices!H615/Prices!H614-1,"")</f>
        <v/>
      </c>
      <c r="I616" s="149" t="str">
        <f ca="1">IFERROR(Prices!I615/Prices!I614-1,"")</f>
        <v/>
      </c>
      <c r="J616" s="150">
        <f t="shared" ca="1" si="11"/>
        <v>0</v>
      </c>
      <c r="K616" s="112"/>
      <c r="L616" s="112"/>
      <c r="M616" s="112"/>
    </row>
    <row r="617" spans="1:13" x14ac:dyDescent="0.3">
      <c r="A617" s="147" t="str">
        <f ca="1">Prices!$A$616</f>
        <v/>
      </c>
      <c r="B617" s="148" t="str">
        <f ca="1">IFERROR(Prices!B616/Prices!B615-1,"")</f>
        <v/>
      </c>
      <c r="C617" s="148" t="str">
        <f ca="1">IFERROR(Prices!C616/Prices!C615-1,"")</f>
        <v/>
      </c>
      <c r="D617" s="148" t="str">
        <f ca="1">IFERROR(Prices!D616/Prices!D615-1,"")</f>
        <v/>
      </c>
      <c r="E617" s="148" t="str">
        <f ca="1">IFERROR(Prices!E616/Prices!E615-1,"")</f>
        <v/>
      </c>
      <c r="F617" s="148" t="str">
        <f ca="1">IFERROR(Prices!F616/Prices!F615-1,"")</f>
        <v/>
      </c>
      <c r="G617" s="148" t="str">
        <f ca="1">IFERROR(Prices!G616/Prices!G615-1,"")</f>
        <v/>
      </c>
      <c r="H617" s="148" t="str">
        <f ca="1">IFERROR(Prices!H616/Prices!H615-1,"")</f>
        <v/>
      </c>
      <c r="I617" s="149" t="str">
        <f ca="1">IFERROR(Prices!I616/Prices!I615-1,"")</f>
        <v/>
      </c>
      <c r="J617" s="150">
        <f t="shared" ca="1" si="11"/>
        <v>0</v>
      </c>
      <c r="K617" s="112"/>
      <c r="L617" s="112"/>
      <c r="M617" s="112"/>
    </row>
    <row r="618" spans="1:13" x14ac:dyDescent="0.3">
      <c r="A618" s="147" t="str">
        <f ca="1">Prices!$A$617</f>
        <v/>
      </c>
      <c r="B618" s="148" t="str">
        <f ca="1">IFERROR(Prices!B617/Prices!B616-1,"")</f>
        <v/>
      </c>
      <c r="C618" s="148" t="str">
        <f ca="1">IFERROR(Prices!C617/Prices!C616-1,"")</f>
        <v/>
      </c>
      <c r="D618" s="148" t="str">
        <f ca="1">IFERROR(Prices!D617/Prices!D616-1,"")</f>
        <v/>
      </c>
      <c r="E618" s="148" t="str">
        <f ca="1">IFERROR(Prices!E617/Prices!E616-1,"")</f>
        <v/>
      </c>
      <c r="F618" s="148" t="str">
        <f ca="1">IFERROR(Prices!F617/Prices!F616-1,"")</f>
        <v/>
      </c>
      <c r="G618" s="148" t="str">
        <f ca="1">IFERROR(Prices!G617/Prices!G616-1,"")</f>
        <v/>
      </c>
      <c r="H618" s="148" t="str">
        <f ca="1">IFERROR(Prices!H617/Prices!H616-1,"")</f>
        <v/>
      </c>
      <c r="I618" s="149" t="str">
        <f ca="1">IFERROR(Prices!I617/Prices!I616-1,"")</f>
        <v/>
      </c>
      <c r="J618" s="150">
        <f t="shared" ca="1" si="11"/>
        <v>0</v>
      </c>
      <c r="K618" s="112"/>
      <c r="L618" s="112"/>
      <c r="M618" s="112"/>
    </row>
    <row r="619" spans="1:13" x14ac:dyDescent="0.3">
      <c r="A619" s="147" t="str">
        <f ca="1">Prices!$A$618</f>
        <v/>
      </c>
      <c r="B619" s="148" t="str">
        <f ca="1">IFERROR(Prices!B618/Prices!B617-1,"")</f>
        <v/>
      </c>
      <c r="C619" s="148" t="str">
        <f ca="1">IFERROR(Prices!C618/Prices!C617-1,"")</f>
        <v/>
      </c>
      <c r="D619" s="148" t="str">
        <f ca="1">IFERROR(Prices!D618/Prices!D617-1,"")</f>
        <v/>
      </c>
      <c r="E619" s="148" t="str">
        <f ca="1">IFERROR(Prices!E618/Prices!E617-1,"")</f>
        <v/>
      </c>
      <c r="F619" s="148" t="str">
        <f ca="1">IFERROR(Prices!F618/Prices!F617-1,"")</f>
        <v/>
      </c>
      <c r="G619" s="148" t="str">
        <f ca="1">IFERROR(Prices!G618/Prices!G617-1,"")</f>
        <v/>
      </c>
      <c r="H619" s="148" t="str">
        <f ca="1">IFERROR(Prices!H618/Prices!H617-1,"")</f>
        <v/>
      </c>
      <c r="I619" s="149" t="str">
        <f ca="1">IFERROR(Prices!I618/Prices!I617-1,"")</f>
        <v/>
      </c>
      <c r="J619" s="150">
        <f t="shared" ca="1" si="11"/>
        <v>0</v>
      </c>
      <c r="K619" s="112"/>
      <c r="L619" s="112"/>
      <c r="M619" s="112"/>
    </row>
    <row r="620" spans="1:13" x14ac:dyDescent="0.3">
      <c r="A620" s="147" t="str">
        <f ca="1">Prices!$A$619</f>
        <v/>
      </c>
      <c r="B620" s="148" t="str">
        <f ca="1">IFERROR(Prices!B619/Prices!B618-1,"")</f>
        <v/>
      </c>
      <c r="C620" s="148" t="str">
        <f ca="1">IFERROR(Prices!C619/Prices!C618-1,"")</f>
        <v/>
      </c>
      <c r="D620" s="148" t="str">
        <f ca="1">IFERROR(Prices!D619/Prices!D618-1,"")</f>
        <v/>
      </c>
      <c r="E620" s="148" t="str">
        <f ca="1">IFERROR(Prices!E619/Prices!E618-1,"")</f>
        <v/>
      </c>
      <c r="F620" s="148" t="str">
        <f ca="1">IFERROR(Prices!F619/Prices!F618-1,"")</f>
        <v/>
      </c>
      <c r="G620" s="148" t="str">
        <f ca="1">IFERROR(Prices!G619/Prices!G618-1,"")</f>
        <v/>
      </c>
      <c r="H620" s="148" t="str">
        <f ca="1">IFERROR(Prices!H619/Prices!H618-1,"")</f>
        <v/>
      </c>
      <c r="I620" s="149" t="str">
        <f ca="1">IFERROR(Prices!I619/Prices!I618-1,"")</f>
        <v/>
      </c>
      <c r="J620" s="150">
        <f t="shared" ca="1" si="11"/>
        <v>0</v>
      </c>
      <c r="K620" s="112"/>
      <c r="L620" s="112"/>
      <c r="M620" s="112"/>
    </row>
    <row r="621" spans="1:13" x14ac:dyDescent="0.3">
      <c r="A621" s="147" t="str">
        <f ca="1">Prices!$A$620</f>
        <v/>
      </c>
      <c r="B621" s="148" t="str">
        <f ca="1">IFERROR(Prices!B620/Prices!B619-1,"")</f>
        <v/>
      </c>
      <c r="C621" s="148" t="str">
        <f ca="1">IFERROR(Prices!C620/Prices!C619-1,"")</f>
        <v/>
      </c>
      <c r="D621" s="148" t="str">
        <f ca="1">IFERROR(Prices!D620/Prices!D619-1,"")</f>
        <v/>
      </c>
      <c r="E621" s="148" t="str">
        <f ca="1">IFERROR(Prices!E620/Prices!E619-1,"")</f>
        <v/>
      </c>
      <c r="F621" s="148" t="str">
        <f ca="1">IFERROR(Prices!F620/Prices!F619-1,"")</f>
        <v/>
      </c>
      <c r="G621" s="148" t="str">
        <f ca="1">IFERROR(Prices!G620/Prices!G619-1,"")</f>
        <v/>
      </c>
      <c r="H621" s="148" t="str">
        <f ca="1">IFERROR(Prices!H620/Prices!H619-1,"")</f>
        <v/>
      </c>
      <c r="I621" s="149" t="str">
        <f ca="1">IFERROR(Prices!I620/Prices!I619-1,"")</f>
        <v/>
      </c>
      <c r="J621" s="150">
        <f t="shared" ca="1" si="11"/>
        <v>0</v>
      </c>
      <c r="K621" s="112"/>
      <c r="L621" s="112"/>
      <c r="M621" s="112"/>
    </row>
    <row r="622" spans="1:13" x14ac:dyDescent="0.3">
      <c r="A622" s="147" t="str">
        <f ca="1">Prices!$A$621</f>
        <v/>
      </c>
      <c r="B622" s="148" t="str">
        <f ca="1">IFERROR(Prices!B621/Prices!B620-1,"")</f>
        <v/>
      </c>
      <c r="C622" s="148" t="str">
        <f ca="1">IFERROR(Prices!C621/Prices!C620-1,"")</f>
        <v/>
      </c>
      <c r="D622" s="148" t="str">
        <f ca="1">IFERROR(Prices!D621/Prices!D620-1,"")</f>
        <v/>
      </c>
      <c r="E622" s="148" t="str">
        <f ca="1">IFERROR(Prices!E621/Prices!E620-1,"")</f>
        <v/>
      </c>
      <c r="F622" s="148" t="str">
        <f ca="1">IFERROR(Prices!F621/Prices!F620-1,"")</f>
        <v/>
      </c>
      <c r="G622" s="148" t="str">
        <f ca="1">IFERROR(Prices!G621/Prices!G620-1,"")</f>
        <v/>
      </c>
      <c r="H622" s="148" t="str">
        <f ca="1">IFERROR(Prices!H621/Prices!H620-1,"")</f>
        <v/>
      </c>
      <c r="I622" s="149" t="str">
        <f ca="1">IFERROR(Prices!I621/Prices!I620-1,"")</f>
        <v/>
      </c>
      <c r="J622" s="150">
        <f t="shared" ca="1" si="11"/>
        <v>0</v>
      </c>
      <c r="K622" s="112"/>
      <c r="L622" s="112"/>
      <c r="M622" s="112"/>
    </row>
    <row r="623" spans="1:13" x14ac:dyDescent="0.3">
      <c r="A623" s="147" t="str">
        <f ca="1">Prices!$A$622</f>
        <v/>
      </c>
      <c r="B623" s="148" t="str">
        <f ca="1">IFERROR(Prices!B622/Prices!B621-1,"")</f>
        <v/>
      </c>
      <c r="C623" s="148" t="str">
        <f ca="1">IFERROR(Prices!C622/Prices!C621-1,"")</f>
        <v/>
      </c>
      <c r="D623" s="148" t="str">
        <f ca="1">IFERROR(Prices!D622/Prices!D621-1,"")</f>
        <v/>
      </c>
      <c r="E623" s="148" t="str">
        <f ca="1">IFERROR(Prices!E622/Prices!E621-1,"")</f>
        <v/>
      </c>
      <c r="F623" s="148" t="str">
        <f ca="1">IFERROR(Prices!F622/Prices!F621-1,"")</f>
        <v/>
      </c>
      <c r="G623" s="148" t="str">
        <f ca="1">IFERROR(Prices!G622/Prices!G621-1,"")</f>
        <v/>
      </c>
      <c r="H623" s="148" t="str">
        <f ca="1">IFERROR(Prices!H622/Prices!H621-1,"")</f>
        <v/>
      </c>
      <c r="I623" s="149" t="str">
        <f ca="1">IFERROR(Prices!I622/Prices!I621-1,"")</f>
        <v/>
      </c>
      <c r="J623" s="150">
        <f t="shared" ca="1" si="11"/>
        <v>0</v>
      </c>
      <c r="K623" s="112"/>
      <c r="L623" s="112"/>
      <c r="M623" s="112"/>
    </row>
    <row r="624" spans="1:13" x14ac:dyDescent="0.3">
      <c r="A624" s="147" t="str">
        <f ca="1">Prices!$A$623</f>
        <v/>
      </c>
      <c r="B624" s="148" t="str">
        <f ca="1">IFERROR(Prices!B623/Prices!B622-1,"")</f>
        <v/>
      </c>
      <c r="C624" s="148" t="str">
        <f ca="1">IFERROR(Prices!C623/Prices!C622-1,"")</f>
        <v/>
      </c>
      <c r="D624" s="148" t="str">
        <f ca="1">IFERROR(Prices!D623/Prices!D622-1,"")</f>
        <v/>
      </c>
      <c r="E624" s="148" t="str">
        <f ca="1">IFERROR(Prices!E623/Prices!E622-1,"")</f>
        <v/>
      </c>
      <c r="F624" s="148" t="str">
        <f ca="1">IFERROR(Prices!F623/Prices!F622-1,"")</f>
        <v/>
      </c>
      <c r="G624" s="148" t="str">
        <f ca="1">IFERROR(Prices!G623/Prices!G622-1,"")</f>
        <v/>
      </c>
      <c r="H624" s="148" t="str">
        <f ca="1">IFERROR(Prices!H623/Prices!H622-1,"")</f>
        <v/>
      </c>
      <c r="I624" s="149" t="str">
        <f ca="1">IFERROR(Prices!I623/Prices!I622-1,"")</f>
        <v/>
      </c>
      <c r="J624" s="150">
        <f t="shared" ca="1" si="11"/>
        <v>0</v>
      </c>
      <c r="K624" s="112"/>
      <c r="L624" s="112"/>
      <c r="M624" s="112"/>
    </row>
    <row r="625" spans="1:13" x14ac:dyDescent="0.3">
      <c r="A625" s="147" t="str">
        <f ca="1">Prices!$A$624</f>
        <v/>
      </c>
      <c r="B625" s="148" t="str">
        <f ca="1">IFERROR(Prices!B624/Prices!B623-1,"")</f>
        <v/>
      </c>
      <c r="C625" s="148" t="str">
        <f ca="1">IFERROR(Prices!C624/Prices!C623-1,"")</f>
        <v/>
      </c>
      <c r="D625" s="148" t="str">
        <f ca="1">IFERROR(Prices!D624/Prices!D623-1,"")</f>
        <v/>
      </c>
      <c r="E625" s="148" t="str">
        <f ca="1">IFERROR(Prices!E624/Prices!E623-1,"")</f>
        <v/>
      </c>
      <c r="F625" s="148" t="str">
        <f ca="1">IFERROR(Prices!F624/Prices!F623-1,"")</f>
        <v/>
      </c>
      <c r="G625" s="148" t="str">
        <f ca="1">IFERROR(Prices!G624/Prices!G623-1,"")</f>
        <v/>
      </c>
      <c r="H625" s="148" t="str">
        <f ca="1">IFERROR(Prices!H624/Prices!H623-1,"")</f>
        <v/>
      </c>
      <c r="I625" s="149" t="str">
        <f ca="1">IFERROR(Prices!I624/Prices!I623-1,"")</f>
        <v/>
      </c>
      <c r="J625" s="150">
        <f t="shared" ca="1" si="11"/>
        <v>0</v>
      </c>
      <c r="K625" s="112"/>
      <c r="L625" s="112"/>
      <c r="M625" s="112"/>
    </row>
    <row r="626" spans="1:13" x14ac:dyDescent="0.3">
      <c r="A626" s="147" t="str">
        <f ca="1">Prices!$A$625</f>
        <v/>
      </c>
      <c r="B626" s="148" t="str">
        <f ca="1">IFERROR(Prices!B625/Prices!B624-1,"")</f>
        <v/>
      </c>
      <c r="C626" s="148" t="str">
        <f ca="1">IFERROR(Prices!C625/Prices!C624-1,"")</f>
        <v/>
      </c>
      <c r="D626" s="148" t="str">
        <f ca="1">IFERROR(Prices!D625/Prices!D624-1,"")</f>
        <v/>
      </c>
      <c r="E626" s="148" t="str">
        <f ca="1">IFERROR(Prices!E625/Prices!E624-1,"")</f>
        <v/>
      </c>
      <c r="F626" s="148" t="str">
        <f ca="1">IFERROR(Prices!F625/Prices!F624-1,"")</f>
        <v/>
      </c>
      <c r="G626" s="148" t="str">
        <f ca="1">IFERROR(Prices!G625/Prices!G624-1,"")</f>
        <v/>
      </c>
      <c r="H626" s="148" t="str">
        <f ca="1">IFERROR(Prices!H625/Prices!H624-1,"")</f>
        <v/>
      </c>
      <c r="I626" s="149" t="str">
        <f ca="1">IFERROR(Prices!I625/Prices!I624-1,"")</f>
        <v/>
      </c>
      <c r="J626" s="150">
        <f t="shared" ca="1" si="11"/>
        <v>0</v>
      </c>
      <c r="K626" s="112"/>
      <c r="L626" s="112"/>
      <c r="M626" s="112"/>
    </row>
    <row r="627" spans="1:13" x14ac:dyDescent="0.3">
      <c r="A627" s="147" t="str">
        <f ca="1">Prices!$A$626</f>
        <v/>
      </c>
      <c r="B627" s="148" t="str">
        <f ca="1">IFERROR(Prices!B626/Prices!B625-1,"")</f>
        <v/>
      </c>
      <c r="C627" s="148" t="str">
        <f ca="1">IFERROR(Prices!C626/Prices!C625-1,"")</f>
        <v/>
      </c>
      <c r="D627" s="148" t="str">
        <f ca="1">IFERROR(Prices!D626/Prices!D625-1,"")</f>
        <v/>
      </c>
      <c r="E627" s="148" t="str">
        <f ca="1">IFERROR(Prices!E626/Prices!E625-1,"")</f>
        <v/>
      </c>
      <c r="F627" s="148" t="str">
        <f ca="1">IFERROR(Prices!F626/Prices!F625-1,"")</f>
        <v/>
      </c>
      <c r="G627" s="148" t="str">
        <f ca="1">IFERROR(Prices!G626/Prices!G625-1,"")</f>
        <v/>
      </c>
      <c r="H627" s="148" t="str">
        <f ca="1">IFERROR(Prices!H626/Prices!H625-1,"")</f>
        <v/>
      </c>
      <c r="I627" s="149" t="str">
        <f ca="1">IFERROR(Prices!I626/Prices!I625-1,"")</f>
        <v/>
      </c>
      <c r="J627" s="150">
        <f t="shared" ca="1" si="11"/>
        <v>0</v>
      </c>
      <c r="K627" s="112"/>
      <c r="L627" s="112"/>
      <c r="M627" s="112"/>
    </row>
    <row r="628" spans="1:13" x14ac:dyDescent="0.3">
      <c r="A628" s="147" t="str">
        <f ca="1">Prices!$A$627</f>
        <v/>
      </c>
      <c r="B628" s="148" t="str">
        <f ca="1">IFERROR(Prices!B627/Prices!B626-1,"")</f>
        <v/>
      </c>
      <c r="C628" s="148" t="str">
        <f ca="1">IFERROR(Prices!C627/Prices!C626-1,"")</f>
        <v/>
      </c>
      <c r="D628" s="148" t="str">
        <f ca="1">IFERROR(Prices!D627/Prices!D626-1,"")</f>
        <v/>
      </c>
      <c r="E628" s="148" t="str">
        <f ca="1">IFERROR(Prices!E627/Prices!E626-1,"")</f>
        <v/>
      </c>
      <c r="F628" s="148" t="str">
        <f ca="1">IFERROR(Prices!F627/Prices!F626-1,"")</f>
        <v/>
      </c>
      <c r="G628" s="148" t="str">
        <f ca="1">IFERROR(Prices!G627/Prices!G626-1,"")</f>
        <v/>
      </c>
      <c r="H628" s="148" t="str">
        <f ca="1">IFERROR(Prices!H627/Prices!H626-1,"")</f>
        <v/>
      </c>
      <c r="I628" s="149" t="str">
        <f ca="1">IFERROR(Prices!I627/Prices!I626-1,"")</f>
        <v/>
      </c>
      <c r="J628" s="150">
        <f t="shared" ca="1" si="11"/>
        <v>0</v>
      </c>
      <c r="K628" s="112"/>
      <c r="L628" s="112"/>
      <c r="M628" s="112"/>
    </row>
    <row r="629" spans="1:13" x14ac:dyDescent="0.3">
      <c r="A629" s="147" t="str">
        <f ca="1">Prices!$A$628</f>
        <v/>
      </c>
      <c r="B629" s="148" t="str">
        <f ca="1">IFERROR(Prices!B628/Prices!B627-1,"")</f>
        <v/>
      </c>
      <c r="C629" s="148" t="str">
        <f ca="1">IFERROR(Prices!C628/Prices!C627-1,"")</f>
        <v/>
      </c>
      <c r="D629" s="148" t="str">
        <f ca="1">IFERROR(Prices!D628/Prices!D627-1,"")</f>
        <v/>
      </c>
      <c r="E629" s="148" t="str">
        <f ca="1">IFERROR(Prices!E628/Prices!E627-1,"")</f>
        <v/>
      </c>
      <c r="F629" s="148" t="str">
        <f ca="1">IFERROR(Prices!F628/Prices!F627-1,"")</f>
        <v/>
      </c>
      <c r="G629" s="148" t="str">
        <f ca="1">IFERROR(Prices!G628/Prices!G627-1,"")</f>
        <v/>
      </c>
      <c r="H629" s="148" t="str">
        <f ca="1">IFERROR(Prices!H628/Prices!H627-1,"")</f>
        <v/>
      </c>
      <c r="I629" s="149" t="str">
        <f ca="1">IFERROR(Prices!I628/Prices!I627-1,"")</f>
        <v/>
      </c>
      <c r="J629" s="150">
        <f t="shared" ca="1" si="11"/>
        <v>0</v>
      </c>
      <c r="K629" s="112"/>
      <c r="L629" s="112"/>
      <c r="M629" s="112"/>
    </row>
    <row r="630" spans="1:13" x14ac:dyDescent="0.3">
      <c r="A630" s="147" t="str">
        <f ca="1">Prices!$A$629</f>
        <v/>
      </c>
      <c r="B630" s="148" t="str">
        <f ca="1">IFERROR(Prices!B629/Prices!B628-1,"")</f>
        <v/>
      </c>
      <c r="C630" s="148" t="str">
        <f ca="1">IFERROR(Prices!C629/Prices!C628-1,"")</f>
        <v/>
      </c>
      <c r="D630" s="148" t="str">
        <f ca="1">IFERROR(Prices!D629/Prices!D628-1,"")</f>
        <v/>
      </c>
      <c r="E630" s="148" t="str">
        <f ca="1">IFERROR(Prices!E629/Prices!E628-1,"")</f>
        <v/>
      </c>
      <c r="F630" s="148" t="str">
        <f ca="1">IFERROR(Prices!F629/Prices!F628-1,"")</f>
        <v/>
      </c>
      <c r="G630" s="148" t="str">
        <f ca="1">IFERROR(Prices!G629/Prices!G628-1,"")</f>
        <v/>
      </c>
      <c r="H630" s="148" t="str">
        <f ca="1">IFERROR(Prices!H629/Prices!H628-1,"")</f>
        <v/>
      </c>
      <c r="I630" s="149" t="str">
        <f ca="1">IFERROR(Prices!I629/Prices!I628-1,"")</f>
        <v/>
      </c>
      <c r="J630" s="150">
        <f t="shared" ca="1" si="11"/>
        <v>0</v>
      </c>
      <c r="K630" s="112"/>
      <c r="L630" s="112"/>
      <c r="M630" s="112"/>
    </row>
    <row r="631" spans="1:13" x14ac:dyDescent="0.3">
      <c r="A631" s="147" t="str">
        <f ca="1">Prices!$A$630</f>
        <v/>
      </c>
      <c r="B631" s="148" t="str">
        <f ca="1">IFERROR(Prices!B630/Prices!B629-1,"")</f>
        <v/>
      </c>
      <c r="C631" s="148" t="str">
        <f ca="1">IFERROR(Prices!C630/Prices!C629-1,"")</f>
        <v/>
      </c>
      <c r="D631" s="148" t="str">
        <f ca="1">IFERROR(Prices!D630/Prices!D629-1,"")</f>
        <v/>
      </c>
      <c r="E631" s="148" t="str">
        <f ca="1">IFERROR(Prices!E630/Prices!E629-1,"")</f>
        <v/>
      </c>
      <c r="F631" s="148" t="str">
        <f ca="1">IFERROR(Prices!F630/Prices!F629-1,"")</f>
        <v/>
      </c>
      <c r="G631" s="148" t="str">
        <f ca="1">IFERROR(Prices!G630/Prices!G629-1,"")</f>
        <v/>
      </c>
      <c r="H631" s="148" t="str">
        <f ca="1">IFERROR(Prices!H630/Prices!H629-1,"")</f>
        <v/>
      </c>
      <c r="I631" s="149" t="str">
        <f ca="1">IFERROR(Prices!I630/Prices!I629-1,"")</f>
        <v/>
      </c>
      <c r="J631" s="150">
        <f t="shared" ca="1" si="11"/>
        <v>0</v>
      </c>
      <c r="K631" s="112"/>
      <c r="L631" s="112"/>
      <c r="M631" s="112"/>
    </row>
    <row r="632" spans="1:13" x14ac:dyDescent="0.3">
      <c r="A632" s="147" t="str">
        <f ca="1">Prices!$A$631</f>
        <v/>
      </c>
      <c r="B632" s="148" t="str">
        <f ca="1">IFERROR(Prices!B631/Prices!B630-1,"")</f>
        <v/>
      </c>
      <c r="C632" s="148" t="str">
        <f ca="1">IFERROR(Prices!C631/Prices!C630-1,"")</f>
        <v/>
      </c>
      <c r="D632" s="148" t="str">
        <f ca="1">IFERROR(Prices!D631/Prices!D630-1,"")</f>
        <v/>
      </c>
      <c r="E632" s="148" t="str">
        <f ca="1">IFERROR(Prices!E631/Prices!E630-1,"")</f>
        <v/>
      </c>
      <c r="F632" s="148" t="str">
        <f ca="1">IFERROR(Prices!F631/Prices!F630-1,"")</f>
        <v/>
      </c>
      <c r="G632" s="148" t="str">
        <f ca="1">IFERROR(Prices!G631/Prices!G630-1,"")</f>
        <v/>
      </c>
      <c r="H632" s="148" t="str">
        <f ca="1">IFERROR(Prices!H631/Prices!H630-1,"")</f>
        <v/>
      </c>
      <c r="I632" s="149" t="str">
        <f ca="1">IFERROR(Prices!I631/Prices!I630-1,"")</f>
        <v/>
      </c>
      <c r="J632" s="150">
        <f t="shared" ca="1" si="11"/>
        <v>0</v>
      </c>
      <c r="K632" s="112"/>
      <c r="L632" s="112"/>
      <c r="M632" s="112"/>
    </row>
    <row r="633" spans="1:13" x14ac:dyDescent="0.3">
      <c r="A633" s="147" t="str">
        <f ca="1">Prices!$A$632</f>
        <v/>
      </c>
      <c r="B633" s="148" t="str">
        <f ca="1">IFERROR(Prices!B632/Prices!B631-1,"")</f>
        <v/>
      </c>
      <c r="C633" s="148" t="str">
        <f ca="1">IFERROR(Prices!C632/Prices!C631-1,"")</f>
        <v/>
      </c>
      <c r="D633" s="148" t="str">
        <f ca="1">IFERROR(Prices!D632/Prices!D631-1,"")</f>
        <v/>
      </c>
      <c r="E633" s="148" t="str">
        <f ca="1">IFERROR(Prices!E632/Prices!E631-1,"")</f>
        <v/>
      </c>
      <c r="F633" s="148" t="str">
        <f ca="1">IFERROR(Prices!F632/Prices!F631-1,"")</f>
        <v/>
      </c>
      <c r="G633" s="148" t="str">
        <f ca="1">IFERROR(Prices!G632/Prices!G631-1,"")</f>
        <v/>
      </c>
      <c r="H633" s="148" t="str">
        <f ca="1">IFERROR(Prices!H632/Prices!H631-1,"")</f>
        <v/>
      </c>
      <c r="I633" s="149" t="str">
        <f ca="1">IFERROR(Prices!I632/Prices!I631-1,"")</f>
        <v/>
      </c>
      <c r="J633" s="150">
        <f t="shared" ca="1" si="11"/>
        <v>0</v>
      </c>
      <c r="K633" s="112"/>
      <c r="L633" s="112"/>
      <c r="M633" s="112"/>
    </row>
    <row r="634" spans="1:13" x14ac:dyDescent="0.3">
      <c r="A634" s="147" t="str">
        <f ca="1">Prices!$A$633</f>
        <v/>
      </c>
      <c r="B634" s="148" t="str">
        <f ca="1">IFERROR(Prices!B633/Prices!B632-1,"")</f>
        <v/>
      </c>
      <c r="C634" s="148" t="str">
        <f ca="1">IFERROR(Prices!C633/Prices!C632-1,"")</f>
        <v/>
      </c>
      <c r="D634" s="148" t="str">
        <f ca="1">IFERROR(Prices!D633/Prices!D632-1,"")</f>
        <v/>
      </c>
      <c r="E634" s="148" t="str">
        <f ca="1">IFERROR(Prices!E633/Prices!E632-1,"")</f>
        <v/>
      </c>
      <c r="F634" s="148" t="str">
        <f ca="1">IFERROR(Prices!F633/Prices!F632-1,"")</f>
        <v/>
      </c>
      <c r="G634" s="148" t="str">
        <f ca="1">IFERROR(Prices!G633/Prices!G632-1,"")</f>
        <v/>
      </c>
      <c r="H634" s="148" t="str">
        <f ca="1">IFERROR(Prices!H633/Prices!H632-1,"")</f>
        <v/>
      </c>
      <c r="I634" s="149" t="str">
        <f ca="1">IFERROR(Prices!I633/Prices!I632-1,"")</f>
        <v/>
      </c>
      <c r="J634" s="150">
        <f t="shared" ca="1" si="11"/>
        <v>0</v>
      </c>
      <c r="K634" s="112"/>
      <c r="L634" s="112"/>
      <c r="M634" s="112"/>
    </row>
    <row r="635" spans="1:13" x14ac:dyDescent="0.3">
      <c r="A635" s="147" t="str">
        <f ca="1">Prices!$A$634</f>
        <v/>
      </c>
      <c r="B635" s="148" t="str">
        <f ca="1">IFERROR(Prices!B634/Prices!B633-1,"")</f>
        <v/>
      </c>
      <c r="C635" s="148" t="str">
        <f ca="1">IFERROR(Prices!C634/Prices!C633-1,"")</f>
        <v/>
      </c>
      <c r="D635" s="148" t="str">
        <f ca="1">IFERROR(Prices!D634/Prices!D633-1,"")</f>
        <v/>
      </c>
      <c r="E635" s="148" t="str">
        <f ca="1">IFERROR(Prices!E634/Prices!E633-1,"")</f>
        <v/>
      </c>
      <c r="F635" s="148" t="str">
        <f ca="1">IFERROR(Prices!F634/Prices!F633-1,"")</f>
        <v/>
      </c>
      <c r="G635" s="148" t="str">
        <f ca="1">IFERROR(Prices!G634/Prices!G633-1,"")</f>
        <v/>
      </c>
      <c r="H635" s="148" t="str">
        <f ca="1">IFERROR(Prices!H634/Prices!H633-1,"")</f>
        <v/>
      </c>
      <c r="I635" s="149" t="str">
        <f ca="1">IFERROR(Prices!I634/Prices!I633-1,"")</f>
        <v/>
      </c>
      <c r="J635" s="150">
        <f t="shared" ca="1" si="11"/>
        <v>0</v>
      </c>
      <c r="K635" s="112"/>
      <c r="L635" s="112"/>
      <c r="M635" s="112"/>
    </row>
    <row r="636" spans="1:13" x14ac:dyDescent="0.3">
      <c r="A636" s="147" t="str">
        <f ca="1">Prices!$A$635</f>
        <v/>
      </c>
      <c r="B636" s="148" t="str">
        <f ca="1">IFERROR(Prices!B635/Prices!B634-1,"")</f>
        <v/>
      </c>
      <c r="C636" s="148" t="str">
        <f ca="1">IFERROR(Prices!C635/Prices!C634-1,"")</f>
        <v/>
      </c>
      <c r="D636" s="148" t="str">
        <f ca="1">IFERROR(Prices!D635/Prices!D634-1,"")</f>
        <v/>
      </c>
      <c r="E636" s="148" t="str">
        <f ca="1">IFERROR(Prices!E635/Prices!E634-1,"")</f>
        <v/>
      </c>
      <c r="F636" s="148" t="str">
        <f ca="1">IFERROR(Prices!F635/Prices!F634-1,"")</f>
        <v/>
      </c>
      <c r="G636" s="148" t="str">
        <f ca="1">IFERROR(Prices!G635/Prices!G634-1,"")</f>
        <v/>
      </c>
      <c r="H636" s="148" t="str">
        <f ca="1">IFERROR(Prices!H635/Prices!H634-1,"")</f>
        <v/>
      </c>
      <c r="I636" s="149" t="str">
        <f ca="1">IFERROR(Prices!I635/Prices!I634-1,"")</f>
        <v/>
      </c>
      <c r="J636" s="150">
        <f t="shared" ca="1" si="11"/>
        <v>0</v>
      </c>
      <c r="K636" s="112"/>
      <c r="L636" s="112"/>
      <c r="M636" s="112"/>
    </row>
    <row r="637" spans="1:13" x14ac:dyDescent="0.3">
      <c r="A637" s="147" t="str">
        <f ca="1">Prices!$A$636</f>
        <v/>
      </c>
      <c r="B637" s="148" t="str">
        <f ca="1">IFERROR(Prices!B636/Prices!B635-1,"")</f>
        <v/>
      </c>
      <c r="C637" s="148" t="str">
        <f ca="1">IFERROR(Prices!C636/Prices!C635-1,"")</f>
        <v/>
      </c>
      <c r="D637" s="148" t="str">
        <f ca="1">IFERROR(Prices!D636/Prices!D635-1,"")</f>
        <v/>
      </c>
      <c r="E637" s="148" t="str">
        <f ca="1">IFERROR(Prices!E636/Prices!E635-1,"")</f>
        <v/>
      </c>
      <c r="F637" s="148" t="str">
        <f ca="1">IFERROR(Prices!F636/Prices!F635-1,"")</f>
        <v/>
      </c>
      <c r="G637" s="148" t="str">
        <f ca="1">IFERROR(Prices!G636/Prices!G635-1,"")</f>
        <v/>
      </c>
      <c r="H637" s="148" t="str">
        <f ca="1">IFERROR(Prices!H636/Prices!H635-1,"")</f>
        <v/>
      </c>
      <c r="I637" s="149" t="str">
        <f ca="1">IFERROR(Prices!I636/Prices!I635-1,"")</f>
        <v/>
      </c>
      <c r="J637" s="150">
        <f t="shared" ca="1" si="11"/>
        <v>0</v>
      </c>
      <c r="K637" s="112"/>
      <c r="L637" s="112"/>
      <c r="M637" s="112"/>
    </row>
    <row r="638" spans="1:13" x14ac:dyDescent="0.3">
      <c r="A638" s="147" t="str">
        <f ca="1">Prices!$A$637</f>
        <v/>
      </c>
      <c r="B638" s="148" t="str">
        <f ca="1">IFERROR(Prices!B637/Prices!B636-1,"")</f>
        <v/>
      </c>
      <c r="C638" s="148" t="str">
        <f ca="1">IFERROR(Prices!C637/Prices!C636-1,"")</f>
        <v/>
      </c>
      <c r="D638" s="148" t="str">
        <f ca="1">IFERROR(Prices!D637/Prices!D636-1,"")</f>
        <v/>
      </c>
      <c r="E638" s="148" t="str">
        <f ca="1">IFERROR(Prices!E637/Prices!E636-1,"")</f>
        <v/>
      </c>
      <c r="F638" s="148" t="str">
        <f ca="1">IFERROR(Prices!F637/Prices!F636-1,"")</f>
        <v/>
      </c>
      <c r="G638" s="148" t="str">
        <f ca="1">IFERROR(Prices!G637/Prices!G636-1,"")</f>
        <v/>
      </c>
      <c r="H638" s="148" t="str">
        <f ca="1">IFERROR(Prices!H637/Prices!H636-1,"")</f>
        <v/>
      </c>
      <c r="I638" s="149" t="str">
        <f ca="1">IFERROR(Prices!I637/Prices!I636-1,"")</f>
        <v/>
      </c>
      <c r="J638" s="150">
        <f t="shared" ca="1" si="11"/>
        <v>0</v>
      </c>
      <c r="K638" s="112"/>
      <c r="L638" s="112"/>
      <c r="M638" s="112"/>
    </row>
    <row r="639" spans="1:13" x14ac:dyDescent="0.3">
      <c r="A639" s="147" t="str">
        <f ca="1">Prices!$A$638</f>
        <v/>
      </c>
      <c r="B639" s="148" t="str">
        <f ca="1">IFERROR(Prices!B638/Prices!B637-1,"")</f>
        <v/>
      </c>
      <c r="C639" s="148" t="str">
        <f ca="1">IFERROR(Prices!C638/Prices!C637-1,"")</f>
        <v/>
      </c>
      <c r="D639" s="148" t="str">
        <f ca="1">IFERROR(Prices!D638/Prices!D637-1,"")</f>
        <v/>
      </c>
      <c r="E639" s="148" t="str">
        <f ca="1">IFERROR(Prices!E638/Prices!E637-1,"")</f>
        <v/>
      </c>
      <c r="F639" s="148" t="str">
        <f ca="1">IFERROR(Prices!F638/Prices!F637-1,"")</f>
        <v/>
      </c>
      <c r="G639" s="148" t="str">
        <f ca="1">IFERROR(Prices!G638/Prices!G637-1,"")</f>
        <v/>
      </c>
      <c r="H639" s="148" t="str">
        <f ca="1">IFERROR(Prices!H638/Prices!H637-1,"")</f>
        <v/>
      </c>
      <c r="I639" s="149" t="str">
        <f ca="1">IFERROR(Prices!I638/Prices!I637-1,"")</f>
        <v/>
      </c>
      <c r="J639" s="150">
        <f t="shared" ca="1" si="11"/>
        <v>0</v>
      </c>
      <c r="K639" s="112"/>
      <c r="L639" s="112"/>
      <c r="M639" s="112"/>
    </row>
    <row r="640" spans="1:13" x14ac:dyDescent="0.3">
      <c r="A640" s="147" t="str">
        <f ca="1">Prices!$A$639</f>
        <v/>
      </c>
      <c r="B640" s="148" t="str">
        <f ca="1">IFERROR(Prices!B639/Prices!B638-1,"")</f>
        <v/>
      </c>
      <c r="C640" s="148" t="str">
        <f ca="1">IFERROR(Prices!C639/Prices!C638-1,"")</f>
        <v/>
      </c>
      <c r="D640" s="148" t="str">
        <f ca="1">IFERROR(Prices!D639/Prices!D638-1,"")</f>
        <v/>
      </c>
      <c r="E640" s="148" t="str">
        <f ca="1">IFERROR(Prices!E639/Prices!E638-1,"")</f>
        <v/>
      </c>
      <c r="F640" s="148" t="str">
        <f ca="1">IFERROR(Prices!F639/Prices!F638-1,"")</f>
        <v/>
      </c>
      <c r="G640" s="148" t="str">
        <f ca="1">IFERROR(Prices!G639/Prices!G638-1,"")</f>
        <v/>
      </c>
      <c r="H640" s="148" t="str">
        <f ca="1">IFERROR(Prices!H639/Prices!H638-1,"")</f>
        <v/>
      </c>
      <c r="I640" s="149" t="str">
        <f ca="1">IFERROR(Prices!I639/Prices!I638-1,"")</f>
        <v/>
      </c>
      <c r="J640" s="150">
        <f t="shared" ca="1" si="11"/>
        <v>0</v>
      </c>
      <c r="K640" s="112"/>
      <c r="L640" s="112"/>
      <c r="M640" s="112"/>
    </row>
    <row r="641" spans="1:13" x14ac:dyDescent="0.3">
      <c r="A641" s="147" t="str">
        <f ca="1">Prices!$A$640</f>
        <v/>
      </c>
      <c r="B641" s="148" t="str">
        <f ca="1">IFERROR(Prices!B640/Prices!B639-1,"")</f>
        <v/>
      </c>
      <c r="C641" s="148" t="str">
        <f ca="1">IFERROR(Prices!C640/Prices!C639-1,"")</f>
        <v/>
      </c>
      <c r="D641" s="148" t="str">
        <f ca="1">IFERROR(Prices!D640/Prices!D639-1,"")</f>
        <v/>
      </c>
      <c r="E641" s="148" t="str">
        <f ca="1">IFERROR(Prices!E640/Prices!E639-1,"")</f>
        <v/>
      </c>
      <c r="F641" s="148" t="str">
        <f ca="1">IFERROR(Prices!F640/Prices!F639-1,"")</f>
        <v/>
      </c>
      <c r="G641" s="148" t="str">
        <f ca="1">IFERROR(Prices!G640/Prices!G639-1,"")</f>
        <v/>
      </c>
      <c r="H641" s="148" t="str">
        <f ca="1">IFERROR(Prices!H640/Prices!H639-1,"")</f>
        <v/>
      </c>
      <c r="I641" s="149" t="str">
        <f ca="1">IFERROR(Prices!I640/Prices!I639-1,"")</f>
        <v/>
      </c>
      <c r="J641" s="150">
        <f t="shared" ca="1" si="11"/>
        <v>0</v>
      </c>
      <c r="K641" s="112"/>
      <c r="L641" s="112"/>
      <c r="M641" s="112"/>
    </row>
    <row r="642" spans="1:13" x14ac:dyDescent="0.3">
      <c r="A642" s="147" t="str">
        <f ca="1">Prices!$A$641</f>
        <v/>
      </c>
      <c r="B642" s="148" t="str">
        <f ca="1">IFERROR(Prices!B641/Prices!B640-1,"")</f>
        <v/>
      </c>
      <c r="C642" s="148" t="str">
        <f ca="1">IFERROR(Prices!C641/Prices!C640-1,"")</f>
        <v/>
      </c>
      <c r="D642" s="148" t="str">
        <f ca="1">IFERROR(Prices!D641/Prices!D640-1,"")</f>
        <v/>
      </c>
      <c r="E642" s="148" t="str">
        <f ca="1">IFERROR(Prices!E641/Prices!E640-1,"")</f>
        <v/>
      </c>
      <c r="F642" s="148" t="str">
        <f ca="1">IFERROR(Prices!F641/Prices!F640-1,"")</f>
        <v/>
      </c>
      <c r="G642" s="148" t="str">
        <f ca="1">IFERROR(Prices!G641/Prices!G640-1,"")</f>
        <v/>
      </c>
      <c r="H642" s="148" t="str">
        <f ca="1">IFERROR(Prices!H641/Prices!H640-1,"")</f>
        <v/>
      </c>
      <c r="I642" s="149" t="str">
        <f ca="1">IFERROR(Prices!I641/Prices!I640-1,"")</f>
        <v/>
      </c>
      <c r="J642" s="150">
        <f t="shared" ca="1" si="11"/>
        <v>0</v>
      </c>
      <c r="K642" s="112"/>
      <c r="L642" s="112"/>
      <c r="M642" s="112"/>
    </row>
    <row r="643" spans="1:13" x14ac:dyDescent="0.3">
      <c r="A643" s="147" t="str">
        <f ca="1">Prices!$A$642</f>
        <v/>
      </c>
      <c r="B643" s="148" t="str">
        <f ca="1">IFERROR(Prices!B642/Prices!B641-1,"")</f>
        <v/>
      </c>
      <c r="C643" s="148" t="str">
        <f ca="1">IFERROR(Prices!C642/Prices!C641-1,"")</f>
        <v/>
      </c>
      <c r="D643" s="148" t="str">
        <f ca="1">IFERROR(Prices!D642/Prices!D641-1,"")</f>
        <v/>
      </c>
      <c r="E643" s="148" t="str">
        <f ca="1">IFERROR(Prices!E642/Prices!E641-1,"")</f>
        <v/>
      </c>
      <c r="F643" s="148" t="str">
        <f ca="1">IFERROR(Prices!F642/Prices!F641-1,"")</f>
        <v/>
      </c>
      <c r="G643" s="148" t="str">
        <f ca="1">IFERROR(Prices!G642/Prices!G641-1,"")</f>
        <v/>
      </c>
      <c r="H643" s="148" t="str">
        <f ca="1">IFERROR(Prices!H642/Prices!H641-1,"")</f>
        <v/>
      </c>
      <c r="I643" s="149" t="str">
        <f ca="1">IFERROR(Prices!I642/Prices!I641-1,"")</f>
        <v/>
      </c>
      <c r="J643" s="150">
        <f t="shared" ca="1" si="11"/>
        <v>0</v>
      </c>
      <c r="K643" s="112"/>
      <c r="L643" s="112"/>
      <c r="M643" s="112"/>
    </row>
    <row r="644" spans="1:13" x14ac:dyDescent="0.3">
      <c r="A644" s="147" t="str">
        <f ca="1">Prices!$A$643</f>
        <v/>
      </c>
      <c r="B644" s="148" t="str">
        <f ca="1">IFERROR(Prices!B643/Prices!B642-1,"")</f>
        <v/>
      </c>
      <c r="C644" s="148" t="str">
        <f ca="1">IFERROR(Prices!C643/Prices!C642-1,"")</f>
        <v/>
      </c>
      <c r="D644" s="148" t="str">
        <f ca="1">IFERROR(Prices!D643/Prices!D642-1,"")</f>
        <v/>
      </c>
      <c r="E644" s="148" t="str">
        <f ca="1">IFERROR(Prices!E643/Prices!E642-1,"")</f>
        <v/>
      </c>
      <c r="F644" s="148" t="str">
        <f ca="1">IFERROR(Prices!F643/Prices!F642-1,"")</f>
        <v/>
      </c>
      <c r="G644" s="148" t="str">
        <f ca="1">IFERROR(Prices!G643/Prices!G642-1,"")</f>
        <v/>
      </c>
      <c r="H644" s="148" t="str">
        <f ca="1">IFERROR(Prices!H643/Prices!H642-1,"")</f>
        <v/>
      </c>
      <c r="I644" s="149" t="str">
        <f ca="1">IFERROR(Prices!I643/Prices!I642-1,"")</f>
        <v/>
      </c>
      <c r="J644" s="150">
        <f t="shared" ca="1" si="11"/>
        <v>0</v>
      </c>
      <c r="K644" s="112"/>
      <c r="L644" s="112"/>
      <c r="M644" s="112"/>
    </row>
    <row r="645" spans="1:13" x14ac:dyDescent="0.3">
      <c r="A645" s="147" t="str">
        <f ca="1">Prices!$A$644</f>
        <v/>
      </c>
      <c r="B645" s="148" t="str">
        <f ca="1">IFERROR(Prices!B644/Prices!B643-1,"")</f>
        <v/>
      </c>
      <c r="C645" s="148" t="str">
        <f ca="1">IFERROR(Prices!C644/Prices!C643-1,"")</f>
        <v/>
      </c>
      <c r="D645" s="148" t="str">
        <f ca="1">IFERROR(Prices!D644/Prices!D643-1,"")</f>
        <v/>
      </c>
      <c r="E645" s="148" t="str">
        <f ca="1">IFERROR(Prices!E644/Prices!E643-1,"")</f>
        <v/>
      </c>
      <c r="F645" s="148" t="str">
        <f ca="1">IFERROR(Prices!F644/Prices!F643-1,"")</f>
        <v/>
      </c>
      <c r="G645" s="148" t="str">
        <f ca="1">IFERROR(Prices!G644/Prices!G643-1,"")</f>
        <v/>
      </c>
      <c r="H645" s="148" t="str">
        <f ca="1">IFERROR(Prices!H644/Prices!H643-1,"")</f>
        <v/>
      </c>
      <c r="I645" s="149" t="str">
        <f ca="1">IFERROR(Prices!I644/Prices!I643-1,"")</f>
        <v/>
      </c>
      <c r="J645" s="150">
        <f t="shared" ca="1" si="11"/>
        <v>0</v>
      </c>
      <c r="K645" s="112"/>
      <c r="L645" s="112"/>
      <c r="M645" s="112"/>
    </row>
    <row r="646" spans="1:13" x14ac:dyDescent="0.3">
      <c r="A646" s="147" t="str">
        <f ca="1">Prices!$A$645</f>
        <v/>
      </c>
      <c r="B646" s="148" t="str">
        <f ca="1">IFERROR(Prices!B645/Prices!B644-1,"")</f>
        <v/>
      </c>
      <c r="C646" s="148" t="str">
        <f ca="1">IFERROR(Prices!C645/Prices!C644-1,"")</f>
        <v/>
      </c>
      <c r="D646" s="148" t="str">
        <f ca="1">IFERROR(Prices!D645/Prices!D644-1,"")</f>
        <v/>
      </c>
      <c r="E646" s="148" t="str">
        <f ca="1">IFERROR(Prices!E645/Prices!E644-1,"")</f>
        <v/>
      </c>
      <c r="F646" s="148" t="str">
        <f ca="1">IFERROR(Prices!F645/Prices!F644-1,"")</f>
        <v/>
      </c>
      <c r="G646" s="148" t="str">
        <f ca="1">IFERROR(Prices!G645/Prices!G644-1,"")</f>
        <v/>
      </c>
      <c r="H646" s="148" t="str">
        <f ca="1">IFERROR(Prices!H645/Prices!H644-1,"")</f>
        <v/>
      </c>
      <c r="I646" s="149" t="str">
        <f ca="1">IFERROR(Prices!I645/Prices!I644-1,"")</f>
        <v/>
      </c>
      <c r="J646" s="150">
        <f t="shared" ca="1" si="11"/>
        <v>0</v>
      </c>
      <c r="K646" s="112"/>
      <c r="L646" s="112"/>
      <c r="M646" s="112"/>
    </row>
    <row r="647" spans="1:13" x14ac:dyDescent="0.3">
      <c r="A647" s="147" t="str">
        <f ca="1">Prices!$A$646</f>
        <v/>
      </c>
      <c r="B647" s="148" t="str">
        <f ca="1">IFERROR(Prices!B646/Prices!B645-1,"")</f>
        <v/>
      </c>
      <c r="C647" s="148" t="str">
        <f ca="1">IFERROR(Prices!C646/Prices!C645-1,"")</f>
        <v/>
      </c>
      <c r="D647" s="148" t="str">
        <f ca="1">IFERROR(Prices!D646/Prices!D645-1,"")</f>
        <v/>
      </c>
      <c r="E647" s="148" t="str">
        <f ca="1">IFERROR(Prices!E646/Prices!E645-1,"")</f>
        <v/>
      </c>
      <c r="F647" s="148" t="str">
        <f ca="1">IFERROR(Prices!F646/Prices!F645-1,"")</f>
        <v/>
      </c>
      <c r="G647" s="148" t="str">
        <f ca="1">IFERROR(Prices!G646/Prices!G645-1,"")</f>
        <v/>
      </c>
      <c r="H647" s="148" t="str">
        <f ca="1">IFERROR(Prices!H646/Prices!H645-1,"")</f>
        <v/>
      </c>
      <c r="I647" s="149" t="str">
        <f ca="1">IFERROR(Prices!I646/Prices!I645-1,"")</f>
        <v/>
      </c>
      <c r="J647" s="150">
        <f t="shared" ref="J647:J710" ca="1" si="12">IFERROR(SUMPRODUCT(Weights,$B647:$H647),"")</f>
        <v>0</v>
      </c>
      <c r="K647" s="112"/>
      <c r="L647" s="112"/>
      <c r="M647" s="112"/>
    </row>
    <row r="648" spans="1:13" x14ac:dyDescent="0.3">
      <c r="A648" s="147" t="str">
        <f ca="1">Prices!$A$647</f>
        <v/>
      </c>
      <c r="B648" s="148" t="str">
        <f ca="1">IFERROR(Prices!B647/Prices!B646-1,"")</f>
        <v/>
      </c>
      <c r="C648" s="148" t="str">
        <f ca="1">IFERROR(Prices!C647/Prices!C646-1,"")</f>
        <v/>
      </c>
      <c r="D648" s="148" t="str">
        <f ca="1">IFERROR(Prices!D647/Prices!D646-1,"")</f>
        <v/>
      </c>
      <c r="E648" s="148" t="str">
        <f ca="1">IFERROR(Prices!E647/Prices!E646-1,"")</f>
        <v/>
      </c>
      <c r="F648" s="148" t="str">
        <f ca="1">IFERROR(Prices!F647/Prices!F646-1,"")</f>
        <v/>
      </c>
      <c r="G648" s="148" t="str">
        <f ca="1">IFERROR(Prices!G647/Prices!G646-1,"")</f>
        <v/>
      </c>
      <c r="H648" s="148" t="str">
        <f ca="1">IFERROR(Prices!H647/Prices!H646-1,"")</f>
        <v/>
      </c>
      <c r="I648" s="149" t="str">
        <f ca="1">IFERROR(Prices!I647/Prices!I646-1,"")</f>
        <v/>
      </c>
      <c r="J648" s="150">
        <f t="shared" ca="1" si="12"/>
        <v>0</v>
      </c>
      <c r="K648" s="112"/>
      <c r="L648" s="112"/>
      <c r="M648" s="112"/>
    </row>
    <row r="649" spans="1:13" x14ac:dyDescent="0.3">
      <c r="A649" s="147" t="str">
        <f ca="1">Prices!$A$648</f>
        <v/>
      </c>
      <c r="B649" s="148" t="str">
        <f ca="1">IFERROR(Prices!B648/Prices!B647-1,"")</f>
        <v/>
      </c>
      <c r="C649" s="148" t="str">
        <f ca="1">IFERROR(Prices!C648/Prices!C647-1,"")</f>
        <v/>
      </c>
      <c r="D649" s="148" t="str">
        <f ca="1">IFERROR(Prices!D648/Prices!D647-1,"")</f>
        <v/>
      </c>
      <c r="E649" s="148" t="str">
        <f ca="1">IFERROR(Prices!E648/Prices!E647-1,"")</f>
        <v/>
      </c>
      <c r="F649" s="148" t="str">
        <f ca="1">IFERROR(Prices!F648/Prices!F647-1,"")</f>
        <v/>
      </c>
      <c r="G649" s="148" t="str">
        <f ca="1">IFERROR(Prices!G648/Prices!G647-1,"")</f>
        <v/>
      </c>
      <c r="H649" s="148" t="str">
        <f ca="1">IFERROR(Prices!H648/Prices!H647-1,"")</f>
        <v/>
      </c>
      <c r="I649" s="149" t="str">
        <f ca="1">IFERROR(Prices!I648/Prices!I647-1,"")</f>
        <v/>
      </c>
      <c r="J649" s="150">
        <f t="shared" ca="1" si="12"/>
        <v>0</v>
      </c>
      <c r="K649" s="112"/>
      <c r="L649" s="112"/>
      <c r="M649" s="112"/>
    </row>
    <row r="650" spans="1:13" x14ac:dyDescent="0.3">
      <c r="A650" s="147" t="str">
        <f ca="1">Prices!$A$649</f>
        <v/>
      </c>
      <c r="B650" s="148" t="str">
        <f ca="1">IFERROR(Prices!B649/Prices!B648-1,"")</f>
        <v/>
      </c>
      <c r="C650" s="148" t="str">
        <f ca="1">IFERROR(Prices!C649/Prices!C648-1,"")</f>
        <v/>
      </c>
      <c r="D650" s="148" t="str">
        <f ca="1">IFERROR(Prices!D649/Prices!D648-1,"")</f>
        <v/>
      </c>
      <c r="E650" s="148" t="str">
        <f ca="1">IFERROR(Prices!E649/Prices!E648-1,"")</f>
        <v/>
      </c>
      <c r="F650" s="148" t="str">
        <f ca="1">IFERROR(Prices!F649/Prices!F648-1,"")</f>
        <v/>
      </c>
      <c r="G650" s="148" t="str">
        <f ca="1">IFERROR(Prices!G649/Prices!G648-1,"")</f>
        <v/>
      </c>
      <c r="H650" s="148" t="str">
        <f ca="1">IFERROR(Prices!H649/Prices!H648-1,"")</f>
        <v/>
      </c>
      <c r="I650" s="149" t="str">
        <f ca="1">IFERROR(Prices!I649/Prices!I648-1,"")</f>
        <v/>
      </c>
      <c r="J650" s="150">
        <f t="shared" ca="1" si="12"/>
        <v>0</v>
      </c>
      <c r="K650" s="112"/>
      <c r="L650" s="112"/>
      <c r="M650" s="112"/>
    </row>
    <row r="651" spans="1:13" x14ac:dyDescent="0.3">
      <c r="A651" s="147" t="str">
        <f ca="1">Prices!$A$650</f>
        <v/>
      </c>
      <c r="B651" s="148" t="str">
        <f ca="1">IFERROR(Prices!B650/Prices!B649-1,"")</f>
        <v/>
      </c>
      <c r="C651" s="148" t="str">
        <f ca="1">IFERROR(Prices!C650/Prices!C649-1,"")</f>
        <v/>
      </c>
      <c r="D651" s="148" t="str">
        <f ca="1">IFERROR(Prices!D650/Prices!D649-1,"")</f>
        <v/>
      </c>
      <c r="E651" s="148" t="str">
        <f ca="1">IFERROR(Prices!E650/Prices!E649-1,"")</f>
        <v/>
      </c>
      <c r="F651" s="148" t="str">
        <f ca="1">IFERROR(Prices!F650/Prices!F649-1,"")</f>
        <v/>
      </c>
      <c r="G651" s="148" t="str">
        <f ca="1">IFERROR(Prices!G650/Prices!G649-1,"")</f>
        <v/>
      </c>
      <c r="H651" s="148" t="str">
        <f ca="1">IFERROR(Prices!H650/Prices!H649-1,"")</f>
        <v/>
      </c>
      <c r="I651" s="149" t="str">
        <f ca="1">IFERROR(Prices!I650/Prices!I649-1,"")</f>
        <v/>
      </c>
      <c r="J651" s="150">
        <f t="shared" ca="1" si="12"/>
        <v>0</v>
      </c>
      <c r="K651" s="112"/>
      <c r="L651" s="112"/>
      <c r="M651" s="112"/>
    </row>
    <row r="652" spans="1:13" x14ac:dyDescent="0.3">
      <c r="A652" s="147" t="str">
        <f ca="1">Prices!$A$651</f>
        <v/>
      </c>
      <c r="B652" s="148" t="str">
        <f ca="1">IFERROR(Prices!B651/Prices!B650-1,"")</f>
        <v/>
      </c>
      <c r="C652" s="148" t="str">
        <f ca="1">IFERROR(Prices!C651/Prices!C650-1,"")</f>
        <v/>
      </c>
      <c r="D652" s="148" t="str">
        <f ca="1">IFERROR(Prices!D651/Prices!D650-1,"")</f>
        <v/>
      </c>
      <c r="E652" s="148" t="str">
        <f ca="1">IFERROR(Prices!E651/Prices!E650-1,"")</f>
        <v/>
      </c>
      <c r="F652" s="148" t="str">
        <f ca="1">IFERROR(Prices!F651/Prices!F650-1,"")</f>
        <v/>
      </c>
      <c r="G652" s="148" t="str">
        <f ca="1">IFERROR(Prices!G651/Prices!G650-1,"")</f>
        <v/>
      </c>
      <c r="H652" s="148" t="str">
        <f ca="1">IFERROR(Prices!H651/Prices!H650-1,"")</f>
        <v/>
      </c>
      <c r="I652" s="149" t="str">
        <f ca="1">IFERROR(Prices!I651/Prices!I650-1,"")</f>
        <v/>
      </c>
      <c r="J652" s="150">
        <f t="shared" ca="1" si="12"/>
        <v>0</v>
      </c>
      <c r="K652" s="112"/>
      <c r="L652" s="112"/>
      <c r="M652" s="112"/>
    </row>
    <row r="653" spans="1:13" x14ac:dyDescent="0.3">
      <c r="A653" s="147" t="str">
        <f ca="1">Prices!$A$652</f>
        <v/>
      </c>
      <c r="B653" s="148" t="str">
        <f ca="1">IFERROR(Prices!B652/Prices!B651-1,"")</f>
        <v/>
      </c>
      <c r="C653" s="148" t="str">
        <f ca="1">IFERROR(Prices!C652/Prices!C651-1,"")</f>
        <v/>
      </c>
      <c r="D653" s="148" t="str">
        <f ca="1">IFERROR(Prices!D652/Prices!D651-1,"")</f>
        <v/>
      </c>
      <c r="E653" s="148" t="str">
        <f ca="1">IFERROR(Prices!E652/Prices!E651-1,"")</f>
        <v/>
      </c>
      <c r="F653" s="148" t="str">
        <f ca="1">IFERROR(Prices!F652/Prices!F651-1,"")</f>
        <v/>
      </c>
      <c r="G653" s="148" t="str">
        <f ca="1">IFERROR(Prices!G652/Prices!G651-1,"")</f>
        <v/>
      </c>
      <c r="H653" s="148" t="str">
        <f ca="1">IFERROR(Prices!H652/Prices!H651-1,"")</f>
        <v/>
      </c>
      <c r="I653" s="149" t="str">
        <f ca="1">IFERROR(Prices!I652/Prices!I651-1,"")</f>
        <v/>
      </c>
      <c r="J653" s="150">
        <f t="shared" ca="1" si="12"/>
        <v>0</v>
      </c>
      <c r="K653" s="112"/>
      <c r="L653" s="112"/>
      <c r="M653" s="112"/>
    </row>
    <row r="654" spans="1:13" x14ac:dyDescent="0.3">
      <c r="A654" s="147" t="str">
        <f ca="1">Prices!$A$653</f>
        <v/>
      </c>
      <c r="B654" s="148" t="str">
        <f ca="1">IFERROR(Prices!B653/Prices!B652-1,"")</f>
        <v/>
      </c>
      <c r="C654" s="148" t="str">
        <f ca="1">IFERROR(Prices!C653/Prices!C652-1,"")</f>
        <v/>
      </c>
      <c r="D654" s="148" t="str">
        <f ca="1">IFERROR(Prices!D653/Prices!D652-1,"")</f>
        <v/>
      </c>
      <c r="E654" s="148" t="str">
        <f ca="1">IFERROR(Prices!E653/Prices!E652-1,"")</f>
        <v/>
      </c>
      <c r="F654" s="148" t="str">
        <f ca="1">IFERROR(Prices!F653/Prices!F652-1,"")</f>
        <v/>
      </c>
      <c r="G654" s="148" t="str">
        <f ca="1">IFERROR(Prices!G653/Prices!G652-1,"")</f>
        <v/>
      </c>
      <c r="H654" s="148" t="str">
        <f ca="1">IFERROR(Prices!H653/Prices!H652-1,"")</f>
        <v/>
      </c>
      <c r="I654" s="149" t="str">
        <f ca="1">IFERROR(Prices!I653/Prices!I652-1,"")</f>
        <v/>
      </c>
      <c r="J654" s="150">
        <f t="shared" ca="1" si="12"/>
        <v>0</v>
      </c>
      <c r="K654" s="112"/>
      <c r="L654" s="112"/>
      <c r="M654" s="112"/>
    </row>
    <row r="655" spans="1:13" x14ac:dyDescent="0.3">
      <c r="A655" s="147" t="str">
        <f ca="1">Prices!$A$654</f>
        <v/>
      </c>
      <c r="B655" s="148" t="str">
        <f ca="1">IFERROR(Prices!B654/Prices!B653-1,"")</f>
        <v/>
      </c>
      <c r="C655" s="148" t="str">
        <f ca="1">IFERROR(Prices!C654/Prices!C653-1,"")</f>
        <v/>
      </c>
      <c r="D655" s="148" t="str">
        <f ca="1">IFERROR(Prices!D654/Prices!D653-1,"")</f>
        <v/>
      </c>
      <c r="E655" s="148" t="str">
        <f ca="1">IFERROR(Prices!E654/Prices!E653-1,"")</f>
        <v/>
      </c>
      <c r="F655" s="148" t="str">
        <f ca="1">IFERROR(Prices!F654/Prices!F653-1,"")</f>
        <v/>
      </c>
      <c r="G655" s="148" t="str">
        <f ca="1">IFERROR(Prices!G654/Prices!G653-1,"")</f>
        <v/>
      </c>
      <c r="H655" s="148" t="str">
        <f ca="1">IFERROR(Prices!H654/Prices!H653-1,"")</f>
        <v/>
      </c>
      <c r="I655" s="149" t="str">
        <f ca="1">IFERROR(Prices!I654/Prices!I653-1,"")</f>
        <v/>
      </c>
      <c r="J655" s="150">
        <f t="shared" ca="1" si="12"/>
        <v>0</v>
      </c>
      <c r="K655" s="112"/>
      <c r="L655" s="112"/>
      <c r="M655" s="112"/>
    </row>
    <row r="656" spans="1:13" x14ac:dyDescent="0.3">
      <c r="A656" s="147" t="str">
        <f ca="1">Prices!$A$655</f>
        <v/>
      </c>
      <c r="B656" s="148" t="str">
        <f ca="1">IFERROR(Prices!B655/Prices!B654-1,"")</f>
        <v/>
      </c>
      <c r="C656" s="148" t="str">
        <f ca="1">IFERROR(Prices!C655/Prices!C654-1,"")</f>
        <v/>
      </c>
      <c r="D656" s="148" t="str">
        <f ca="1">IFERROR(Prices!D655/Prices!D654-1,"")</f>
        <v/>
      </c>
      <c r="E656" s="148" t="str">
        <f ca="1">IFERROR(Prices!E655/Prices!E654-1,"")</f>
        <v/>
      </c>
      <c r="F656" s="148" t="str">
        <f ca="1">IFERROR(Prices!F655/Prices!F654-1,"")</f>
        <v/>
      </c>
      <c r="G656" s="148" t="str">
        <f ca="1">IFERROR(Prices!G655/Prices!G654-1,"")</f>
        <v/>
      </c>
      <c r="H656" s="148" t="str">
        <f ca="1">IFERROR(Prices!H655/Prices!H654-1,"")</f>
        <v/>
      </c>
      <c r="I656" s="149" t="str">
        <f ca="1">IFERROR(Prices!I655/Prices!I654-1,"")</f>
        <v/>
      </c>
      <c r="J656" s="150">
        <f t="shared" ca="1" si="12"/>
        <v>0</v>
      </c>
      <c r="K656" s="112"/>
      <c r="L656" s="112"/>
      <c r="M656" s="112"/>
    </row>
    <row r="657" spans="1:13" x14ac:dyDescent="0.3">
      <c r="A657" s="147" t="str">
        <f ca="1">Prices!$A$656</f>
        <v/>
      </c>
      <c r="B657" s="148" t="str">
        <f ca="1">IFERROR(Prices!B656/Prices!B655-1,"")</f>
        <v/>
      </c>
      <c r="C657" s="148" t="str">
        <f ca="1">IFERROR(Prices!C656/Prices!C655-1,"")</f>
        <v/>
      </c>
      <c r="D657" s="148" t="str">
        <f ca="1">IFERROR(Prices!D656/Prices!D655-1,"")</f>
        <v/>
      </c>
      <c r="E657" s="148" t="str">
        <f ca="1">IFERROR(Prices!E656/Prices!E655-1,"")</f>
        <v/>
      </c>
      <c r="F657" s="148" t="str">
        <f ca="1">IFERROR(Prices!F656/Prices!F655-1,"")</f>
        <v/>
      </c>
      <c r="G657" s="148" t="str">
        <f ca="1">IFERROR(Prices!G656/Prices!G655-1,"")</f>
        <v/>
      </c>
      <c r="H657" s="148" t="str">
        <f ca="1">IFERROR(Prices!H656/Prices!H655-1,"")</f>
        <v/>
      </c>
      <c r="I657" s="149" t="str">
        <f ca="1">IFERROR(Prices!I656/Prices!I655-1,"")</f>
        <v/>
      </c>
      <c r="J657" s="150">
        <f t="shared" ca="1" si="12"/>
        <v>0</v>
      </c>
      <c r="K657" s="112"/>
      <c r="L657" s="112"/>
      <c r="M657" s="112"/>
    </row>
    <row r="658" spans="1:13" x14ac:dyDescent="0.3">
      <c r="A658" s="147" t="str">
        <f ca="1">Prices!$A$657</f>
        <v/>
      </c>
      <c r="B658" s="148" t="str">
        <f ca="1">IFERROR(Prices!B657/Prices!B656-1,"")</f>
        <v/>
      </c>
      <c r="C658" s="148" t="str">
        <f ca="1">IFERROR(Prices!C657/Prices!C656-1,"")</f>
        <v/>
      </c>
      <c r="D658" s="148" t="str">
        <f ca="1">IFERROR(Prices!D657/Prices!D656-1,"")</f>
        <v/>
      </c>
      <c r="E658" s="148" t="str">
        <f ca="1">IFERROR(Prices!E657/Prices!E656-1,"")</f>
        <v/>
      </c>
      <c r="F658" s="148" t="str">
        <f ca="1">IFERROR(Prices!F657/Prices!F656-1,"")</f>
        <v/>
      </c>
      <c r="G658" s="148" t="str">
        <f ca="1">IFERROR(Prices!G657/Prices!G656-1,"")</f>
        <v/>
      </c>
      <c r="H658" s="148" t="str">
        <f ca="1">IFERROR(Prices!H657/Prices!H656-1,"")</f>
        <v/>
      </c>
      <c r="I658" s="149" t="str">
        <f ca="1">IFERROR(Prices!I657/Prices!I656-1,"")</f>
        <v/>
      </c>
      <c r="J658" s="150">
        <f t="shared" ca="1" si="12"/>
        <v>0</v>
      </c>
      <c r="K658" s="112"/>
      <c r="L658" s="112"/>
      <c r="M658" s="112"/>
    </row>
    <row r="659" spans="1:13" x14ac:dyDescent="0.3">
      <c r="A659" s="147" t="str">
        <f ca="1">Prices!$A$658</f>
        <v/>
      </c>
      <c r="B659" s="148" t="str">
        <f ca="1">IFERROR(Prices!B658/Prices!B657-1,"")</f>
        <v/>
      </c>
      <c r="C659" s="148" t="str">
        <f ca="1">IFERROR(Prices!C658/Prices!C657-1,"")</f>
        <v/>
      </c>
      <c r="D659" s="148" t="str">
        <f ca="1">IFERROR(Prices!D658/Prices!D657-1,"")</f>
        <v/>
      </c>
      <c r="E659" s="148" t="str">
        <f ca="1">IFERROR(Prices!E658/Prices!E657-1,"")</f>
        <v/>
      </c>
      <c r="F659" s="148" t="str">
        <f ca="1">IFERROR(Prices!F658/Prices!F657-1,"")</f>
        <v/>
      </c>
      <c r="G659" s="148" t="str">
        <f ca="1">IFERROR(Prices!G658/Prices!G657-1,"")</f>
        <v/>
      </c>
      <c r="H659" s="148" t="str">
        <f ca="1">IFERROR(Prices!H658/Prices!H657-1,"")</f>
        <v/>
      </c>
      <c r="I659" s="149" t="str">
        <f ca="1">IFERROR(Prices!I658/Prices!I657-1,"")</f>
        <v/>
      </c>
      <c r="J659" s="150">
        <f t="shared" ca="1" si="12"/>
        <v>0</v>
      </c>
      <c r="K659" s="112"/>
      <c r="L659" s="112"/>
      <c r="M659" s="112"/>
    </row>
    <row r="660" spans="1:13" x14ac:dyDescent="0.3">
      <c r="A660" s="147" t="str">
        <f ca="1">Prices!$A$659</f>
        <v/>
      </c>
      <c r="B660" s="148" t="str">
        <f ca="1">IFERROR(Prices!B659/Prices!B658-1,"")</f>
        <v/>
      </c>
      <c r="C660" s="148" t="str">
        <f ca="1">IFERROR(Prices!C659/Prices!C658-1,"")</f>
        <v/>
      </c>
      <c r="D660" s="148" t="str">
        <f ca="1">IFERROR(Prices!D659/Prices!D658-1,"")</f>
        <v/>
      </c>
      <c r="E660" s="148" t="str">
        <f ca="1">IFERROR(Prices!E659/Prices!E658-1,"")</f>
        <v/>
      </c>
      <c r="F660" s="148" t="str">
        <f ca="1">IFERROR(Prices!F659/Prices!F658-1,"")</f>
        <v/>
      </c>
      <c r="G660" s="148" t="str">
        <f ca="1">IFERROR(Prices!G659/Prices!G658-1,"")</f>
        <v/>
      </c>
      <c r="H660" s="148" t="str">
        <f ca="1">IFERROR(Prices!H659/Prices!H658-1,"")</f>
        <v/>
      </c>
      <c r="I660" s="149" t="str">
        <f ca="1">IFERROR(Prices!I659/Prices!I658-1,"")</f>
        <v/>
      </c>
      <c r="J660" s="150">
        <f t="shared" ca="1" si="12"/>
        <v>0</v>
      </c>
      <c r="K660" s="112"/>
      <c r="L660" s="112"/>
      <c r="M660" s="112"/>
    </row>
    <row r="661" spans="1:13" x14ac:dyDescent="0.3">
      <c r="A661" s="147" t="str">
        <f ca="1">Prices!$A$660</f>
        <v/>
      </c>
      <c r="B661" s="148" t="str">
        <f ca="1">IFERROR(Prices!B660/Prices!B659-1,"")</f>
        <v/>
      </c>
      <c r="C661" s="148" t="str">
        <f ca="1">IFERROR(Prices!C660/Prices!C659-1,"")</f>
        <v/>
      </c>
      <c r="D661" s="148" t="str">
        <f ca="1">IFERROR(Prices!D660/Prices!D659-1,"")</f>
        <v/>
      </c>
      <c r="E661" s="148" t="str">
        <f ca="1">IFERROR(Prices!E660/Prices!E659-1,"")</f>
        <v/>
      </c>
      <c r="F661" s="148" t="str">
        <f ca="1">IFERROR(Prices!F660/Prices!F659-1,"")</f>
        <v/>
      </c>
      <c r="G661" s="148" t="str">
        <f ca="1">IFERROR(Prices!G660/Prices!G659-1,"")</f>
        <v/>
      </c>
      <c r="H661" s="148" t="str">
        <f ca="1">IFERROR(Prices!H660/Prices!H659-1,"")</f>
        <v/>
      </c>
      <c r="I661" s="149" t="str">
        <f ca="1">IFERROR(Prices!I660/Prices!I659-1,"")</f>
        <v/>
      </c>
      <c r="J661" s="150">
        <f t="shared" ca="1" si="12"/>
        <v>0</v>
      </c>
      <c r="K661" s="112"/>
      <c r="L661" s="112"/>
      <c r="M661" s="112"/>
    </row>
    <row r="662" spans="1:13" x14ac:dyDescent="0.3">
      <c r="A662" s="147" t="str">
        <f ca="1">Prices!$A$661</f>
        <v/>
      </c>
      <c r="B662" s="148" t="str">
        <f ca="1">IFERROR(Prices!B661/Prices!B660-1,"")</f>
        <v/>
      </c>
      <c r="C662" s="148" t="str">
        <f ca="1">IFERROR(Prices!C661/Prices!C660-1,"")</f>
        <v/>
      </c>
      <c r="D662" s="148" t="str">
        <f ca="1">IFERROR(Prices!D661/Prices!D660-1,"")</f>
        <v/>
      </c>
      <c r="E662" s="148" t="str">
        <f ca="1">IFERROR(Prices!E661/Prices!E660-1,"")</f>
        <v/>
      </c>
      <c r="F662" s="148" t="str">
        <f ca="1">IFERROR(Prices!F661/Prices!F660-1,"")</f>
        <v/>
      </c>
      <c r="G662" s="148" t="str">
        <f ca="1">IFERROR(Prices!G661/Prices!G660-1,"")</f>
        <v/>
      </c>
      <c r="H662" s="148" t="str">
        <f ca="1">IFERROR(Prices!H661/Prices!H660-1,"")</f>
        <v/>
      </c>
      <c r="I662" s="149" t="str">
        <f ca="1">IFERROR(Prices!I661/Prices!I660-1,"")</f>
        <v/>
      </c>
      <c r="J662" s="150">
        <f t="shared" ca="1" si="12"/>
        <v>0</v>
      </c>
      <c r="K662" s="112"/>
      <c r="L662" s="112"/>
      <c r="M662" s="112"/>
    </row>
    <row r="663" spans="1:13" x14ac:dyDescent="0.3">
      <c r="A663" s="147" t="str">
        <f ca="1">Prices!$A$662</f>
        <v/>
      </c>
      <c r="B663" s="148" t="str">
        <f ca="1">IFERROR(Prices!B662/Prices!B661-1,"")</f>
        <v/>
      </c>
      <c r="C663" s="148" t="str">
        <f ca="1">IFERROR(Prices!C662/Prices!C661-1,"")</f>
        <v/>
      </c>
      <c r="D663" s="148" t="str">
        <f ca="1">IFERROR(Prices!D662/Prices!D661-1,"")</f>
        <v/>
      </c>
      <c r="E663" s="148" t="str">
        <f ca="1">IFERROR(Prices!E662/Prices!E661-1,"")</f>
        <v/>
      </c>
      <c r="F663" s="148" t="str">
        <f ca="1">IFERROR(Prices!F662/Prices!F661-1,"")</f>
        <v/>
      </c>
      <c r="G663" s="148" t="str">
        <f ca="1">IFERROR(Prices!G662/Prices!G661-1,"")</f>
        <v/>
      </c>
      <c r="H663" s="148" t="str">
        <f ca="1">IFERROR(Prices!H662/Prices!H661-1,"")</f>
        <v/>
      </c>
      <c r="I663" s="149" t="str">
        <f ca="1">IFERROR(Prices!I662/Prices!I661-1,"")</f>
        <v/>
      </c>
      <c r="J663" s="150">
        <f t="shared" ca="1" si="12"/>
        <v>0</v>
      </c>
      <c r="K663" s="112"/>
      <c r="L663" s="112"/>
      <c r="M663" s="112"/>
    </row>
    <row r="664" spans="1:13" x14ac:dyDescent="0.3">
      <c r="A664" s="147" t="str">
        <f ca="1">Prices!$A$663</f>
        <v/>
      </c>
      <c r="B664" s="148" t="str">
        <f ca="1">IFERROR(Prices!B663/Prices!B662-1,"")</f>
        <v/>
      </c>
      <c r="C664" s="148" t="str">
        <f ca="1">IFERROR(Prices!C663/Prices!C662-1,"")</f>
        <v/>
      </c>
      <c r="D664" s="148" t="str">
        <f ca="1">IFERROR(Prices!D663/Prices!D662-1,"")</f>
        <v/>
      </c>
      <c r="E664" s="148" t="str">
        <f ca="1">IFERROR(Prices!E663/Prices!E662-1,"")</f>
        <v/>
      </c>
      <c r="F664" s="148" t="str">
        <f ca="1">IFERROR(Prices!F663/Prices!F662-1,"")</f>
        <v/>
      </c>
      <c r="G664" s="148" t="str">
        <f ca="1">IFERROR(Prices!G663/Prices!G662-1,"")</f>
        <v/>
      </c>
      <c r="H664" s="148" t="str">
        <f ca="1">IFERROR(Prices!H663/Prices!H662-1,"")</f>
        <v/>
      </c>
      <c r="I664" s="149" t="str">
        <f ca="1">IFERROR(Prices!I663/Prices!I662-1,"")</f>
        <v/>
      </c>
      <c r="J664" s="150">
        <f t="shared" ca="1" si="12"/>
        <v>0</v>
      </c>
      <c r="K664" s="112"/>
      <c r="L664" s="112"/>
      <c r="M664" s="112"/>
    </row>
    <row r="665" spans="1:13" x14ac:dyDescent="0.3">
      <c r="A665" s="147" t="str">
        <f ca="1">Prices!$A$664</f>
        <v/>
      </c>
      <c r="B665" s="148" t="str">
        <f ca="1">IFERROR(Prices!B664/Prices!B663-1,"")</f>
        <v/>
      </c>
      <c r="C665" s="148" t="str">
        <f ca="1">IFERROR(Prices!C664/Prices!C663-1,"")</f>
        <v/>
      </c>
      <c r="D665" s="148" t="str">
        <f ca="1">IFERROR(Prices!D664/Prices!D663-1,"")</f>
        <v/>
      </c>
      <c r="E665" s="148" t="str">
        <f ca="1">IFERROR(Prices!E664/Prices!E663-1,"")</f>
        <v/>
      </c>
      <c r="F665" s="148" t="str">
        <f ca="1">IFERROR(Prices!F664/Prices!F663-1,"")</f>
        <v/>
      </c>
      <c r="G665" s="148" t="str">
        <f ca="1">IFERROR(Prices!G664/Prices!G663-1,"")</f>
        <v/>
      </c>
      <c r="H665" s="148" t="str">
        <f ca="1">IFERROR(Prices!H664/Prices!H663-1,"")</f>
        <v/>
      </c>
      <c r="I665" s="149" t="str">
        <f ca="1">IFERROR(Prices!I664/Prices!I663-1,"")</f>
        <v/>
      </c>
      <c r="J665" s="150">
        <f t="shared" ca="1" si="12"/>
        <v>0</v>
      </c>
      <c r="K665" s="112"/>
      <c r="L665" s="112"/>
      <c r="M665" s="112"/>
    </row>
    <row r="666" spans="1:13" x14ac:dyDescent="0.3">
      <c r="A666" s="147" t="str">
        <f ca="1">Prices!$A$665</f>
        <v/>
      </c>
      <c r="B666" s="148" t="str">
        <f ca="1">IFERROR(Prices!B665/Prices!B664-1,"")</f>
        <v/>
      </c>
      <c r="C666" s="148" t="str">
        <f ca="1">IFERROR(Prices!C665/Prices!C664-1,"")</f>
        <v/>
      </c>
      <c r="D666" s="148" t="str">
        <f ca="1">IFERROR(Prices!D665/Prices!D664-1,"")</f>
        <v/>
      </c>
      <c r="E666" s="148" t="str">
        <f ca="1">IFERROR(Prices!E665/Prices!E664-1,"")</f>
        <v/>
      </c>
      <c r="F666" s="148" t="str">
        <f ca="1">IFERROR(Prices!F665/Prices!F664-1,"")</f>
        <v/>
      </c>
      <c r="G666" s="148" t="str">
        <f ca="1">IFERROR(Prices!G665/Prices!G664-1,"")</f>
        <v/>
      </c>
      <c r="H666" s="148" t="str">
        <f ca="1">IFERROR(Prices!H665/Prices!H664-1,"")</f>
        <v/>
      </c>
      <c r="I666" s="149" t="str">
        <f ca="1">IFERROR(Prices!I665/Prices!I664-1,"")</f>
        <v/>
      </c>
      <c r="J666" s="150">
        <f t="shared" ca="1" si="12"/>
        <v>0</v>
      </c>
      <c r="K666" s="112"/>
      <c r="L666" s="112"/>
      <c r="M666" s="112"/>
    </row>
    <row r="667" spans="1:13" x14ac:dyDescent="0.3">
      <c r="A667" s="147" t="str">
        <f ca="1">Prices!$A$666</f>
        <v/>
      </c>
      <c r="B667" s="148" t="str">
        <f ca="1">IFERROR(Prices!B666/Prices!B665-1,"")</f>
        <v/>
      </c>
      <c r="C667" s="148" t="str">
        <f ca="1">IFERROR(Prices!C666/Prices!C665-1,"")</f>
        <v/>
      </c>
      <c r="D667" s="148" t="str">
        <f ca="1">IFERROR(Prices!D666/Prices!D665-1,"")</f>
        <v/>
      </c>
      <c r="E667" s="148" t="str">
        <f ca="1">IFERROR(Prices!E666/Prices!E665-1,"")</f>
        <v/>
      </c>
      <c r="F667" s="148" t="str">
        <f ca="1">IFERROR(Prices!F666/Prices!F665-1,"")</f>
        <v/>
      </c>
      <c r="G667" s="148" t="str">
        <f ca="1">IFERROR(Prices!G666/Prices!G665-1,"")</f>
        <v/>
      </c>
      <c r="H667" s="148" t="str">
        <f ca="1">IFERROR(Prices!H666/Prices!H665-1,"")</f>
        <v/>
      </c>
      <c r="I667" s="149" t="str">
        <f ca="1">IFERROR(Prices!I666/Prices!I665-1,"")</f>
        <v/>
      </c>
      <c r="J667" s="150">
        <f t="shared" ca="1" si="12"/>
        <v>0</v>
      </c>
      <c r="K667" s="112"/>
      <c r="L667" s="112"/>
      <c r="M667" s="112"/>
    </row>
    <row r="668" spans="1:13" x14ac:dyDescent="0.3">
      <c r="A668" s="147" t="str">
        <f ca="1">Prices!$A$667</f>
        <v/>
      </c>
      <c r="B668" s="148" t="str">
        <f ca="1">IFERROR(Prices!B667/Prices!B666-1,"")</f>
        <v/>
      </c>
      <c r="C668" s="148" t="str">
        <f ca="1">IFERROR(Prices!C667/Prices!C666-1,"")</f>
        <v/>
      </c>
      <c r="D668" s="148" t="str">
        <f ca="1">IFERROR(Prices!D667/Prices!D666-1,"")</f>
        <v/>
      </c>
      <c r="E668" s="148" t="str">
        <f ca="1">IFERROR(Prices!E667/Prices!E666-1,"")</f>
        <v/>
      </c>
      <c r="F668" s="148" t="str">
        <f ca="1">IFERROR(Prices!F667/Prices!F666-1,"")</f>
        <v/>
      </c>
      <c r="G668" s="148" t="str">
        <f ca="1">IFERROR(Prices!G667/Prices!G666-1,"")</f>
        <v/>
      </c>
      <c r="H668" s="148" t="str">
        <f ca="1">IFERROR(Prices!H667/Prices!H666-1,"")</f>
        <v/>
      </c>
      <c r="I668" s="149" t="str">
        <f ca="1">IFERROR(Prices!I667/Prices!I666-1,"")</f>
        <v/>
      </c>
      <c r="J668" s="150">
        <f t="shared" ca="1" si="12"/>
        <v>0</v>
      </c>
      <c r="K668" s="112"/>
      <c r="L668" s="112"/>
      <c r="M668" s="112"/>
    </row>
    <row r="669" spans="1:13" x14ac:dyDescent="0.3">
      <c r="A669" s="147" t="str">
        <f ca="1">Prices!$A$668</f>
        <v/>
      </c>
      <c r="B669" s="148" t="str">
        <f ca="1">IFERROR(Prices!B668/Prices!B667-1,"")</f>
        <v/>
      </c>
      <c r="C669" s="148" t="str">
        <f ca="1">IFERROR(Prices!C668/Prices!C667-1,"")</f>
        <v/>
      </c>
      <c r="D669" s="148" t="str">
        <f ca="1">IFERROR(Prices!D668/Prices!D667-1,"")</f>
        <v/>
      </c>
      <c r="E669" s="148" t="str">
        <f ca="1">IFERROR(Prices!E668/Prices!E667-1,"")</f>
        <v/>
      </c>
      <c r="F669" s="148" t="str">
        <f ca="1">IFERROR(Prices!F668/Prices!F667-1,"")</f>
        <v/>
      </c>
      <c r="G669" s="148" t="str">
        <f ca="1">IFERROR(Prices!G668/Prices!G667-1,"")</f>
        <v/>
      </c>
      <c r="H669" s="148" t="str">
        <f ca="1">IFERROR(Prices!H668/Prices!H667-1,"")</f>
        <v/>
      </c>
      <c r="I669" s="149" t="str">
        <f ca="1">IFERROR(Prices!I668/Prices!I667-1,"")</f>
        <v/>
      </c>
      <c r="J669" s="150">
        <f t="shared" ca="1" si="12"/>
        <v>0</v>
      </c>
      <c r="K669" s="112"/>
      <c r="L669" s="112"/>
      <c r="M669" s="112"/>
    </row>
    <row r="670" spans="1:13" x14ac:dyDescent="0.3">
      <c r="A670" s="147" t="str">
        <f ca="1">Prices!$A$669</f>
        <v/>
      </c>
      <c r="B670" s="148" t="str">
        <f ca="1">IFERROR(Prices!B669/Prices!B668-1,"")</f>
        <v/>
      </c>
      <c r="C670" s="148" t="str">
        <f ca="1">IFERROR(Prices!C669/Prices!C668-1,"")</f>
        <v/>
      </c>
      <c r="D670" s="148" t="str">
        <f ca="1">IFERROR(Prices!D669/Prices!D668-1,"")</f>
        <v/>
      </c>
      <c r="E670" s="148" t="str">
        <f ca="1">IFERROR(Prices!E669/Prices!E668-1,"")</f>
        <v/>
      </c>
      <c r="F670" s="148" t="str">
        <f ca="1">IFERROR(Prices!F669/Prices!F668-1,"")</f>
        <v/>
      </c>
      <c r="G670" s="148" t="str">
        <f ca="1">IFERROR(Prices!G669/Prices!G668-1,"")</f>
        <v/>
      </c>
      <c r="H670" s="148" t="str">
        <f ca="1">IFERROR(Prices!H669/Prices!H668-1,"")</f>
        <v/>
      </c>
      <c r="I670" s="149" t="str">
        <f ca="1">IFERROR(Prices!I669/Prices!I668-1,"")</f>
        <v/>
      </c>
      <c r="J670" s="150">
        <f t="shared" ca="1" si="12"/>
        <v>0</v>
      </c>
      <c r="K670" s="112"/>
      <c r="L670" s="112"/>
      <c r="M670" s="112"/>
    </row>
    <row r="671" spans="1:13" x14ac:dyDescent="0.3">
      <c r="A671" s="147" t="str">
        <f ca="1">Prices!$A$670</f>
        <v/>
      </c>
      <c r="B671" s="148" t="str">
        <f ca="1">IFERROR(Prices!B670/Prices!B669-1,"")</f>
        <v/>
      </c>
      <c r="C671" s="148" t="str">
        <f ca="1">IFERROR(Prices!C670/Prices!C669-1,"")</f>
        <v/>
      </c>
      <c r="D671" s="148" t="str">
        <f ca="1">IFERROR(Prices!D670/Prices!D669-1,"")</f>
        <v/>
      </c>
      <c r="E671" s="148" t="str">
        <f ca="1">IFERROR(Prices!E670/Prices!E669-1,"")</f>
        <v/>
      </c>
      <c r="F671" s="148" t="str">
        <f ca="1">IFERROR(Prices!F670/Prices!F669-1,"")</f>
        <v/>
      </c>
      <c r="G671" s="148" t="str">
        <f ca="1">IFERROR(Prices!G670/Prices!G669-1,"")</f>
        <v/>
      </c>
      <c r="H671" s="148" t="str">
        <f ca="1">IFERROR(Prices!H670/Prices!H669-1,"")</f>
        <v/>
      </c>
      <c r="I671" s="149" t="str">
        <f ca="1">IFERROR(Prices!I670/Prices!I669-1,"")</f>
        <v/>
      </c>
      <c r="J671" s="150">
        <f t="shared" ca="1" si="12"/>
        <v>0</v>
      </c>
      <c r="K671" s="112"/>
      <c r="L671" s="112"/>
      <c r="M671" s="112"/>
    </row>
    <row r="672" spans="1:13" x14ac:dyDescent="0.3">
      <c r="A672" s="147" t="str">
        <f ca="1">Prices!$A$671</f>
        <v/>
      </c>
      <c r="B672" s="148" t="str">
        <f ca="1">IFERROR(Prices!B671/Prices!B670-1,"")</f>
        <v/>
      </c>
      <c r="C672" s="148" t="str">
        <f ca="1">IFERROR(Prices!C671/Prices!C670-1,"")</f>
        <v/>
      </c>
      <c r="D672" s="148" t="str">
        <f ca="1">IFERROR(Prices!D671/Prices!D670-1,"")</f>
        <v/>
      </c>
      <c r="E672" s="148" t="str">
        <f ca="1">IFERROR(Prices!E671/Prices!E670-1,"")</f>
        <v/>
      </c>
      <c r="F672" s="148" t="str">
        <f ca="1">IFERROR(Prices!F671/Prices!F670-1,"")</f>
        <v/>
      </c>
      <c r="G672" s="148" t="str">
        <f ca="1">IFERROR(Prices!G671/Prices!G670-1,"")</f>
        <v/>
      </c>
      <c r="H672" s="148" t="str">
        <f ca="1">IFERROR(Prices!H671/Prices!H670-1,"")</f>
        <v/>
      </c>
      <c r="I672" s="149" t="str">
        <f ca="1">IFERROR(Prices!I671/Prices!I670-1,"")</f>
        <v/>
      </c>
      <c r="J672" s="150">
        <f t="shared" ca="1" si="12"/>
        <v>0</v>
      </c>
      <c r="K672" s="112"/>
      <c r="L672" s="112"/>
      <c r="M672" s="112"/>
    </row>
    <row r="673" spans="1:13" x14ac:dyDescent="0.3">
      <c r="A673" s="147" t="str">
        <f ca="1">Prices!$A$672</f>
        <v/>
      </c>
      <c r="B673" s="148" t="str">
        <f ca="1">IFERROR(Prices!B672/Prices!B671-1,"")</f>
        <v/>
      </c>
      <c r="C673" s="148" t="str">
        <f ca="1">IFERROR(Prices!C672/Prices!C671-1,"")</f>
        <v/>
      </c>
      <c r="D673" s="148" t="str">
        <f ca="1">IFERROR(Prices!D672/Prices!D671-1,"")</f>
        <v/>
      </c>
      <c r="E673" s="148" t="str">
        <f ca="1">IFERROR(Prices!E672/Prices!E671-1,"")</f>
        <v/>
      </c>
      <c r="F673" s="148" t="str">
        <f ca="1">IFERROR(Prices!F672/Prices!F671-1,"")</f>
        <v/>
      </c>
      <c r="G673" s="148" t="str">
        <f ca="1">IFERROR(Prices!G672/Prices!G671-1,"")</f>
        <v/>
      </c>
      <c r="H673" s="148" t="str">
        <f ca="1">IFERROR(Prices!H672/Prices!H671-1,"")</f>
        <v/>
      </c>
      <c r="I673" s="149" t="str">
        <f ca="1">IFERROR(Prices!I672/Prices!I671-1,"")</f>
        <v/>
      </c>
      <c r="J673" s="150">
        <f t="shared" ca="1" si="12"/>
        <v>0</v>
      </c>
      <c r="K673" s="112"/>
      <c r="L673" s="112"/>
      <c r="M673" s="112"/>
    </row>
    <row r="674" spans="1:13" x14ac:dyDescent="0.3">
      <c r="A674" s="147" t="str">
        <f ca="1">Prices!$A$673</f>
        <v/>
      </c>
      <c r="B674" s="148" t="str">
        <f ca="1">IFERROR(Prices!B673/Prices!B672-1,"")</f>
        <v/>
      </c>
      <c r="C674" s="148" t="str">
        <f ca="1">IFERROR(Prices!C673/Prices!C672-1,"")</f>
        <v/>
      </c>
      <c r="D674" s="148" t="str">
        <f ca="1">IFERROR(Prices!D673/Prices!D672-1,"")</f>
        <v/>
      </c>
      <c r="E674" s="148" t="str">
        <f ca="1">IFERROR(Prices!E673/Prices!E672-1,"")</f>
        <v/>
      </c>
      <c r="F674" s="148" t="str">
        <f ca="1">IFERROR(Prices!F673/Prices!F672-1,"")</f>
        <v/>
      </c>
      <c r="G674" s="148" t="str">
        <f ca="1">IFERROR(Prices!G673/Prices!G672-1,"")</f>
        <v/>
      </c>
      <c r="H674" s="148" t="str">
        <f ca="1">IFERROR(Prices!H673/Prices!H672-1,"")</f>
        <v/>
      </c>
      <c r="I674" s="149" t="str">
        <f ca="1">IFERROR(Prices!I673/Prices!I672-1,"")</f>
        <v/>
      </c>
      <c r="J674" s="150">
        <f t="shared" ca="1" si="12"/>
        <v>0</v>
      </c>
      <c r="K674" s="112"/>
      <c r="L674" s="112"/>
      <c r="M674" s="112"/>
    </row>
    <row r="675" spans="1:13" x14ac:dyDescent="0.3">
      <c r="A675" s="147" t="str">
        <f ca="1">Prices!$A$674</f>
        <v/>
      </c>
      <c r="B675" s="148" t="str">
        <f ca="1">IFERROR(Prices!B674/Prices!B673-1,"")</f>
        <v/>
      </c>
      <c r="C675" s="148" t="str">
        <f ca="1">IFERROR(Prices!C674/Prices!C673-1,"")</f>
        <v/>
      </c>
      <c r="D675" s="148" t="str">
        <f ca="1">IFERROR(Prices!D674/Prices!D673-1,"")</f>
        <v/>
      </c>
      <c r="E675" s="148" t="str">
        <f ca="1">IFERROR(Prices!E674/Prices!E673-1,"")</f>
        <v/>
      </c>
      <c r="F675" s="148" t="str">
        <f ca="1">IFERROR(Prices!F674/Prices!F673-1,"")</f>
        <v/>
      </c>
      <c r="G675" s="148" t="str">
        <f ca="1">IFERROR(Prices!G674/Prices!G673-1,"")</f>
        <v/>
      </c>
      <c r="H675" s="148" t="str">
        <f ca="1">IFERROR(Prices!H674/Prices!H673-1,"")</f>
        <v/>
      </c>
      <c r="I675" s="149" t="str">
        <f ca="1">IFERROR(Prices!I674/Prices!I673-1,"")</f>
        <v/>
      </c>
      <c r="J675" s="150">
        <f t="shared" ca="1" si="12"/>
        <v>0</v>
      </c>
      <c r="K675" s="112"/>
      <c r="L675" s="112"/>
      <c r="M675" s="112"/>
    </row>
    <row r="676" spans="1:13" x14ac:dyDescent="0.3">
      <c r="A676" s="147" t="str">
        <f ca="1">Prices!$A$675</f>
        <v/>
      </c>
      <c r="B676" s="148" t="str">
        <f ca="1">IFERROR(Prices!B675/Prices!B674-1,"")</f>
        <v/>
      </c>
      <c r="C676" s="148" t="str">
        <f ca="1">IFERROR(Prices!C675/Prices!C674-1,"")</f>
        <v/>
      </c>
      <c r="D676" s="148" t="str">
        <f ca="1">IFERROR(Prices!D675/Prices!D674-1,"")</f>
        <v/>
      </c>
      <c r="E676" s="148" t="str">
        <f ca="1">IFERROR(Prices!E675/Prices!E674-1,"")</f>
        <v/>
      </c>
      <c r="F676" s="148" t="str">
        <f ca="1">IFERROR(Prices!F675/Prices!F674-1,"")</f>
        <v/>
      </c>
      <c r="G676" s="148" t="str">
        <f ca="1">IFERROR(Prices!G675/Prices!G674-1,"")</f>
        <v/>
      </c>
      <c r="H676" s="148" t="str">
        <f ca="1">IFERROR(Prices!H675/Prices!H674-1,"")</f>
        <v/>
      </c>
      <c r="I676" s="149" t="str">
        <f ca="1">IFERROR(Prices!I675/Prices!I674-1,"")</f>
        <v/>
      </c>
      <c r="J676" s="150">
        <f t="shared" ca="1" si="12"/>
        <v>0</v>
      </c>
      <c r="K676" s="112"/>
      <c r="L676" s="112"/>
      <c r="M676" s="112"/>
    </row>
    <row r="677" spans="1:13" x14ac:dyDescent="0.3">
      <c r="A677" s="147" t="str">
        <f ca="1">Prices!$A$676</f>
        <v/>
      </c>
      <c r="B677" s="148" t="str">
        <f ca="1">IFERROR(Prices!B676/Prices!B675-1,"")</f>
        <v/>
      </c>
      <c r="C677" s="148" t="str">
        <f ca="1">IFERROR(Prices!C676/Prices!C675-1,"")</f>
        <v/>
      </c>
      <c r="D677" s="148" t="str">
        <f ca="1">IFERROR(Prices!D676/Prices!D675-1,"")</f>
        <v/>
      </c>
      <c r="E677" s="148" t="str">
        <f ca="1">IFERROR(Prices!E676/Prices!E675-1,"")</f>
        <v/>
      </c>
      <c r="F677" s="148" t="str">
        <f ca="1">IFERROR(Prices!F676/Prices!F675-1,"")</f>
        <v/>
      </c>
      <c r="G677" s="148" t="str">
        <f ca="1">IFERROR(Prices!G676/Prices!G675-1,"")</f>
        <v/>
      </c>
      <c r="H677" s="148" t="str">
        <f ca="1">IFERROR(Prices!H676/Prices!H675-1,"")</f>
        <v/>
      </c>
      <c r="I677" s="149" t="str">
        <f ca="1">IFERROR(Prices!I676/Prices!I675-1,"")</f>
        <v/>
      </c>
      <c r="J677" s="150">
        <f t="shared" ca="1" si="12"/>
        <v>0</v>
      </c>
      <c r="K677" s="112"/>
      <c r="L677" s="112"/>
      <c r="M677" s="112"/>
    </row>
    <row r="678" spans="1:13" x14ac:dyDescent="0.3">
      <c r="A678" s="147" t="str">
        <f ca="1">Prices!$A$677</f>
        <v/>
      </c>
      <c r="B678" s="148" t="str">
        <f ca="1">IFERROR(Prices!B677/Prices!B676-1,"")</f>
        <v/>
      </c>
      <c r="C678" s="148" t="str">
        <f ca="1">IFERROR(Prices!C677/Prices!C676-1,"")</f>
        <v/>
      </c>
      <c r="D678" s="148" t="str">
        <f ca="1">IFERROR(Prices!D677/Prices!D676-1,"")</f>
        <v/>
      </c>
      <c r="E678" s="148" t="str">
        <f ca="1">IFERROR(Prices!E677/Prices!E676-1,"")</f>
        <v/>
      </c>
      <c r="F678" s="148" t="str">
        <f ca="1">IFERROR(Prices!F677/Prices!F676-1,"")</f>
        <v/>
      </c>
      <c r="G678" s="148" t="str">
        <f ca="1">IFERROR(Prices!G677/Prices!G676-1,"")</f>
        <v/>
      </c>
      <c r="H678" s="148" t="str">
        <f ca="1">IFERROR(Prices!H677/Prices!H676-1,"")</f>
        <v/>
      </c>
      <c r="I678" s="149" t="str">
        <f ca="1">IFERROR(Prices!I677/Prices!I676-1,"")</f>
        <v/>
      </c>
      <c r="J678" s="150">
        <f t="shared" ca="1" si="12"/>
        <v>0</v>
      </c>
      <c r="K678" s="112"/>
      <c r="L678" s="112"/>
      <c r="M678" s="112"/>
    </row>
    <row r="679" spans="1:13" x14ac:dyDescent="0.3">
      <c r="A679" s="147" t="str">
        <f ca="1">Prices!$A$678</f>
        <v/>
      </c>
      <c r="B679" s="148" t="str">
        <f ca="1">IFERROR(Prices!B678/Prices!B677-1,"")</f>
        <v/>
      </c>
      <c r="C679" s="148" t="str">
        <f ca="1">IFERROR(Prices!C678/Prices!C677-1,"")</f>
        <v/>
      </c>
      <c r="D679" s="148" t="str">
        <f ca="1">IFERROR(Prices!D678/Prices!D677-1,"")</f>
        <v/>
      </c>
      <c r="E679" s="148" t="str">
        <f ca="1">IFERROR(Prices!E678/Prices!E677-1,"")</f>
        <v/>
      </c>
      <c r="F679" s="148" t="str">
        <f ca="1">IFERROR(Prices!F678/Prices!F677-1,"")</f>
        <v/>
      </c>
      <c r="G679" s="148" t="str">
        <f ca="1">IFERROR(Prices!G678/Prices!G677-1,"")</f>
        <v/>
      </c>
      <c r="H679" s="148" t="str">
        <f ca="1">IFERROR(Prices!H678/Prices!H677-1,"")</f>
        <v/>
      </c>
      <c r="I679" s="149" t="str">
        <f ca="1">IFERROR(Prices!I678/Prices!I677-1,"")</f>
        <v/>
      </c>
      <c r="J679" s="150">
        <f t="shared" ca="1" si="12"/>
        <v>0</v>
      </c>
      <c r="K679" s="112"/>
      <c r="L679" s="112"/>
      <c r="M679" s="112"/>
    </row>
    <row r="680" spans="1:13" x14ac:dyDescent="0.3">
      <c r="A680" s="147" t="str">
        <f ca="1">Prices!$A$679</f>
        <v/>
      </c>
      <c r="B680" s="148" t="str">
        <f ca="1">IFERROR(Prices!B679/Prices!B678-1,"")</f>
        <v/>
      </c>
      <c r="C680" s="148" t="str">
        <f ca="1">IFERROR(Prices!C679/Prices!C678-1,"")</f>
        <v/>
      </c>
      <c r="D680" s="148" t="str">
        <f ca="1">IFERROR(Prices!D679/Prices!D678-1,"")</f>
        <v/>
      </c>
      <c r="E680" s="148" t="str">
        <f ca="1">IFERROR(Prices!E679/Prices!E678-1,"")</f>
        <v/>
      </c>
      <c r="F680" s="148" t="str">
        <f ca="1">IFERROR(Prices!F679/Prices!F678-1,"")</f>
        <v/>
      </c>
      <c r="G680" s="148" t="str">
        <f ca="1">IFERROR(Prices!G679/Prices!G678-1,"")</f>
        <v/>
      </c>
      <c r="H680" s="148" t="str">
        <f ca="1">IFERROR(Prices!H679/Prices!H678-1,"")</f>
        <v/>
      </c>
      <c r="I680" s="149" t="str">
        <f ca="1">IFERROR(Prices!I679/Prices!I678-1,"")</f>
        <v/>
      </c>
      <c r="J680" s="150">
        <f t="shared" ca="1" si="12"/>
        <v>0</v>
      </c>
      <c r="K680" s="112"/>
      <c r="L680" s="112"/>
      <c r="M680" s="112"/>
    </row>
    <row r="681" spans="1:13" x14ac:dyDescent="0.3">
      <c r="A681" s="147" t="str">
        <f ca="1">Prices!$A$680</f>
        <v/>
      </c>
      <c r="B681" s="148" t="str">
        <f ca="1">IFERROR(Prices!B680/Prices!B679-1,"")</f>
        <v/>
      </c>
      <c r="C681" s="148" t="str">
        <f ca="1">IFERROR(Prices!C680/Prices!C679-1,"")</f>
        <v/>
      </c>
      <c r="D681" s="148" t="str">
        <f ca="1">IFERROR(Prices!D680/Prices!D679-1,"")</f>
        <v/>
      </c>
      <c r="E681" s="148" t="str">
        <f ca="1">IFERROR(Prices!E680/Prices!E679-1,"")</f>
        <v/>
      </c>
      <c r="F681" s="148" t="str">
        <f ca="1">IFERROR(Prices!F680/Prices!F679-1,"")</f>
        <v/>
      </c>
      <c r="G681" s="148" t="str">
        <f ca="1">IFERROR(Prices!G680/Prices!G679-1,"")</f>
        <v/>
      </c>
      <c r="H681" s="148" t="str">
        <f ca="1">IFERROR(Prices!H680/Prices!H679-1,"")</f>
        <v/>
      </c>
      <c r="I681" s="149" t="str">
        <f ca="1">IFERROR(Prices!I680/Prices!I679-1,"")</f>
        <v/>
      </c>
      <c r="J681" s="150">
        <f t="shared" ca="1" si="12"/>
        <v>0</v>
      </c>
      <c r="K681" s="112"/>
      <c r="L681" s="112"/>
      <c r="M681" s="112"/>
    </row>
    <row r="682" spans="1:13" x14ac:dyDescent="0.3">
      <c r="A682" s="147" t="str">
        <f ca="1">Prices!$A$681</f>
        <v/>
      </c>
      <c r="B682" s="148" t="str">
        <f ca="1">IFERROR(Prices!B681/Prices!B680-1,"")</f>
        <v/>
      </c>
      <c r="C682" s="148" t="str">
        <f ca="1">IFERROR(Prices!C681/Prices!C680-1,"")</f>
        <v/>
      </c>
      <c r="D682" s="148" t="str">
        <f ca="1">IFERROR(Prices!D681/Prices!D680-1,"")</f>
        <v/>
      </c>
      <c r="E682" s="148" t="str">
        <f ca="1">IFERROR(Prices!E681/Prices!E680-1,"")</f>
        <v/>
      </c>
      <c r="F682" s="148" t="str">
        <f ca="1">IFERROR(Prices!F681/Prices!F680-1,"")</f>
        <v/>
      </c>
      <c r="G682" s="148" t="str">
        <f ca="1">IFERROR(Prices!G681/Prices!G680-1,"")</f>
        <v/>
      </c>
      <c r="H682" s="148" t="str">
        <f ca="1">IFERROR(Prices!H681/Prices!H680-1,"")</f>
        <v/>
      </c>
      <c r="I682" s="149" t="str">
        <f ca="1">IFERROR(Prices!I681/Prices!I680-1,"")</f>
        <v/>
      </c>
      <c r="J682" s="150">
        <f t="shared" ca="1" si="12"/>
        <v>0</v>
      </c>
      <c r="K682" s="112"/>
      <c r="L682" s="112"/>
      <c r="M682" s="112"/>
    </row>
    <row r="683" spans="1:13" x14ac:dyDescent="0.3">
      <c r="A683" s="147" t="str">
        <f ca="1">Prices!$A$682</f>
        <v/>
      </c>
      <c r="B683" s="148" t="str">
        <f ca="1">IFERROR(Prices!B682/Prices!B681-1,"")</f>
        <v/>
      </c>
      <c r="C683" s="148" t="str">
        <f ca="1">IFERROR(Prices!C682/Prices!C681-1,"")</f>
        <v/>
      </c>
      <c r="D683" s="148" t="str">
        <f ca="1">IFERROR(Prices!D682/Prices!D681-1,"")</f>
        <v/>
      </c>
      <c r="E683" s="148" t="str">
        <f ca="1">IFERROR(Prices!E682/Prices!E681-1,"")</f>
        <v/>
      </c>
      <c r="F683" s="148" t="str">
        <f ca="1">IFERROR(Prices!F682/Prices!F681-1,"")</f>
        <v/>
      </c>
      <c r="G683" s="148" t="str">
        <f ca="1">IFERROR(Prices!G682/Prices!G681-1,"")</f>
        <v/>
      </c>
      <c r="H683" s="148" t="str">
        <f ca="1">IFERROR(Prices!H682/Prices!H681-1,"")</f>
        <v/>
      </c>
      <c r="I683" s="149" t="str">
        <f ca="1">IFERROR(Prices!I682/Prices!I681-1,"")</f>
        <v/>
      </c>
      <c r="J683" s="150">
        <f t="shared" ca="1" si="12"/>
        <v>0</v>
      </c>
      <c r="K683" s="112"/>
      <c r="L683" s="112"/>
      <c r="M683" s="112"/>
    </row>
    <row r="684" spans="1:13" x14ac:dyDescent="0.3">
      <c r="A684" s="147" t="str">
        <f ca="1">Prices!$A$683</f>
        <v/>
      </c>
      <c r="B684" s="148" t="str">
        <f ca="1">IFERROR(Prices!B683/Prices!B682-1,"")</f>
        <v/>
      </c>
      <c r="C684" s="148" t="str">
        <f ca="1">IFERROR(Prices!C683/Prices!C682-1,"")</f>
        <v/>
      </c>
      <c r="D684" s="148" t="str">
        <f ca="1">IFERROR(Prices!D683/Prices!D682-1,"")</f>
        <v/>
      </c>
      <c r="E684" s="148" t="str">
        <f ca="1">IFERROR(Prices!E683/Prices!E682-1,"")</f>
        <v/>
      </c>
      <c r="F684" s="148" t="str">
        <f ca="1">IFERROR(Prices!F683/Prices!F682-1,"")</f>
        <v/>
      </c>
      <c r="G684" s="148" t="str">
        <f ca="1">IFERROR(Prices!G683/Prices!G682-1,"")</f>
        <v/>
      </c>
      <c r="H684" s="148" t="str">
        <f ca="1">IFERROR(Prices!H683/Prices!H682-1,"")</f>
        <v/>
      </c>
      <c r="I684" s="149" t="str">
        <f ca="1">IFERROR(Prices!I683/Prices!I682-1,"")</f>
        <v/>
      </c>
      <c r="J684" s="150">
        <f t="shared" ca="1" si="12"/>
        <v>0</v>
      </c>
      <c r="K684" s="112"/>
      <c r="L684" s="112"/>
      <c r="M684" s="112"/>
    </row>
    <row r="685" spans="1:13" x14ac:dyDescent="0.3">
      <c r="A685" s="147" t="str">
        <f ca="1">Prices!$A$684</f>
        <v/>
      </c>
      <c r="B685" s="148" t="str">
        <f ca="1">IFERROR(Prices!B684/Prices!B683-1,"")</f>
        <v/>
      </c>
      <c r="C685" s="148" t="str">
        <f ca="1">IFERROR(Prices!C684/Prices!C683-1,"")</f>
        <v/>
      </c>
      <c r="D685" s="148" t="str">
        <f ca="1">IFERROR(Prices!D684/Prices!D683-1,"")</f>
        <v/>
      </c>
      <c r="E685" s="148" t="str">
        <f ca="1">IFERROR(Prices!E684/Prices!E683-1,"")</f>
        <v/>
      </c>
      <c r="F685" s="148" t="str">
        <f ca="1">IFERROR(Prices!F684/Prices!F683-1,"")</f>
        <v/>
      </c>
      <c r="G685" s="148" t="str">
        <f ca="1">IFERROR(Prices!G684/Prices!G683-1,"")</f>
        <v/>
      </c>
      <c r="H685" s="148" t="str">
        <f ca="1">IFERROR(Prices!H684/Prices!H683-1,"")</f>
        <v/>
      </c>
      <c r="I685" s="149" t="str">
        <f ca="1">IFERROR(Prices!I684/Prices!I683-1,"")</f>
        <v/>
      </c>
      <c r="J685" s="150">
        <f t="shared" ca="1" si="12"/>
        <v>0</v>
      </c>
      <c r="K685" s="112"/>
      <c r="L685" s="112"/>
      <c r="M685" s="112"/>
    </row>
    <row r="686" spans="1:13" x14ac:dyDescent="0.3">
      <c r="A686" s="147" t="str">
        <f ca="1">Prices!$A$685</f>
        <v/>
      </c>
      <c r="B686" s="148" t="str">
        <f ca="1">IFERROR(Prices!B685/Prices!B684-1,"")</f>
        <v/>
      </c>
      <c r="C686" s="148" t="str">
        <f ca="1">IFERROR(Prices!C685/Prices!C684-1,"")</f>
        <v/>
      </c>
      <c r="D686" s="148" t="str">
        <f ca="1">IFERROR(Prices!D685/Prices!D684-1,"")</f>
        <v/>
      </c>
      <c r="E686" s="148" t="str">
        <f ca="1">IFERROR(Prices!E685/Prices!E684-1,"")</f>
        <v/>
      </c>
      <c r="F686" s="148" t="str">
        <f ca="1">IFERROR(Prices!F685/Prices!F684-1,"")</f>
        <v/>
      </c>
      <c r="G686" s="148" t="str">
        <f ca="1">IFERROR(Prices!G685/Prices!G684-1,"")</f>
        <v/>
      </c>
      <c r="H686" s="148" t="str">
        <f ca="1">IFERROR(Prices!H685/Prices!H684-1,"")</f>
        <v/>
      </c>
      <c r="I686" s="149" t="str">
        <f ca="1">IFERROR(Prices!I685/Prices!I684-1,"")</f>
        <v/>
      </c>
      <c r="J686" s="150">
        <f t="shared" ca="1" si="12"/>
        <v>0</v>
      </c>
      <c r="K686" s="112"/>
      <c r="L686" s="112"/>
      <c r="M686" s="112"/>
    </row>
    <row r="687" spans="1:13" x14ac:dyDescent="0.3">
      <c r="A687" s="147" t="str">
        <f ca="1">Prices!$A$686</f>
        <v/>
      </c>
      <c r="B687" s="148" t="str">
        <f ca="1">IFERROR(Prices!B686/Prices!B685-1,"")</f>
        <v/>
      </c>
      <c r="C687" s="148" t="str">
        <f ca="1">IFERROR(Prices!C686/Prices!C685-1,"")</f>
        <v/>
      </c>
      <c r="D687" s="148" t="str">
        <f ca="1">IFERROR(Prices!D686/Prices!D685-1,"")</f>
        <v/>
      </c>
      <c r="E687" s="148" t="str">
        <f ca="1">IFERROR(Prices!E686/Prices!E685-1,"")</f>
        <v/>
      </c>
      <c r="F687" s="148" t="str">
        <f ca="1">IFERROR(Prices!F686/Prices!F685-1,"")</f>
        <v/>
      </c>
      <c r="G687" s="148" t="str">
        <f ca="1">IFERROR(Prices!G686/Prices!G685-1,"")</f>
        <v/>
      </c>
      <c r="H687" s="148" t="str">
        <f ca="1">IFERROR(Prices!H686/Prices!H685-1,"")</f>
        <v/>
      </c>
      <c r="I687" s="149" t="str">
        <f ca="1">IFERROR(Prices!I686/Prices!I685-1,"")</f>
        <v/>
      </c>
      <c r="J687" s="150">
        <f t="shared" ca="1" si="12"/>
        <v>0</v>
      </c>
      <c r="K687" s="112"/>
      <c r="L687" s="112"/>
      <c r="M687" s="112"/>
    </row>
    <row r="688" spans="1:13" x14ac:dyDescent="0.3">
      <c r="A688" s="147" t="str">
        <f ca="1">Prices!$A$687</f>
        <v/>
      </c>
      <c r="B688" s="148" t="str">
        <f ca="1">IFERROR(Prices!B687/Prices!B686-1,"")</f>
        <v/>
      </c>
      <c r="C688" s="148" t="str">
        <f ca="1">IFERROR(Prices!C687/Prices!C686-1,"")</f>
        <v/>
      </c>
      <c r="D688" s="148" t="str">
        <f ca="1">IFERROR(Prices!D687/Prices!D686-1,"")</f>
        <v/>
      </c>
      <c r="E688" s="148" t="str">
        <f ca="1">IFERROR(Prices!E687/Prices!E686-1,"")</f>
        <v/>
      </c>
      <c r="F688" s="148" t="str">
        <f ca="1">IFERROR(Prices!F687/Prices!F686-1,"")</f>
        <v/>
      </c>
      <c r="G688" s="148" t="str">
        <f ca="1">IFERROR(Prices!G687/Prices!G686-1,"")</f>
        <v/>
      </c>
      <c r="H688" s="148" t="str">
        <f ca="1">IFERROR(Prices!H687/Prices!H686-1,"")</f>
        <v/>
      </c>
      <c r="I688" s="149" t="str">
        <f ca="1">IFERROR(Prices!I687/Prices!I686-1,"")</f>
        <v/>
      </c>
      <c r="J688" s="150">
        <f t="shared" ca="1" si="12"/>
        <v>0</v>
      </c>
      <c r="K688" s="112"/>
      <c r="L688" s="112"/>
      <c r="M688" s="112"/>
    </row>
    <row r="689" spans="1:13" x14ac:dyDescent="0.3">
      <c r="A689" s="147" t="str">
        <f ca="1">Prices!$A$688</f>
        <v/>
      </c>
      <c r="B689" s="148" t="str">
        <f ca="1">IFERROR(Prices!B688/Prices!B687-1,"")</f>
        <v/>
      </c>
      <c r="C689" s="148" t="str">
        <f ca="1">IFERROR(Prices!C688/Prices!C687-1,"")</f>
        <v/>
      </c>
      <c r="D689" s="148" t="str">
        <f ca="1">IFERROR(Prices!D688/Prices!D687-1,"")</f>
        <v/>
      </c>
      <c r="E689" s="148" t="str">
        <f ca="1">IFERROR(Prices!E688/Prices!E687-1,"")</f>
        <v/>
      </c>
      <c r="F689" s="148" t="str">
        <f ca="1">IFERROR(Prices!F688/Prices!F687-1,"")</f>
        <v/>
      </c>
      <c r="G689" s="148" t="str">
        <f ca="1">IFERROR(Prices!G688/Prices!G687-1,"")</f>
        <v/>
      </c>
      <c r="H689" s="148" t="str">
        <f ca="1">IFERROR(Prices!H688/Prices!H687-1,"")</f>
        <v/>
      </c>
      <c r="I689" s="149" t="str">
        <f ca="1">IFERROR(Prices!I688/Prices!I687-1,"")</f>
        <v/>
      </c>
      <c r="J689" s="150">
        <f t="shared" ca="1" si="12"/>
        <v>0</v>
      </c>
      <c r="K689" s="112"/>
      <c r="L689" s="112"/>
      <c r="M689" s="112"/>
    </row>
    <row r="690" spans="1:13" x14ac:dyDescent="0.3">
      <c r="A690" s="147" t="str">
        <f ca="1">Prices!$A$689</f>
        <v/>
      </c>
      <c r="B690" s="148" t="str">
        <f ca="1">IFERROR(Prices!B689/Prices!B688-1,"")</f>
        <v/>
      </c>
      <c r="C690" s="148" t="str">
        <f ca="1">IFERROR(Prices!C689/Prices!C688-1,"")</f>
        <v/>
      </c>
      <c r="D690" s="148" t="str">
        <f ca="1">IFERROR(Prices!D689/Prices!D688-1,"")</f>
        <v/>
      </c>
      <c r="E690" s="148" t="str">
        <f ca="1">IFERROR(Prices!E689/Prices!E688-1,"")</f>
        <v/>
      </c>
      <c r="F690" s="148" t="str">
        <f ca="1">IFERROR(Prices!F689/Prices!F688-1,"")</f>
        <v/>
      </c>
      <c r="G690" s="148" t="str">
        <f ca="1">IFERROR(Prices!G689/Prices!G688-1,"")</f>
        <v/>
      </c>
      <c r="H690" s="148" t="str">
        <f ca="1">IFERROR(Prices!H689/Prices!H688-1,"")</f>
        <v/>
      </c>
      <c r="I690" s="149" t="str">
        <f ca="1">IFERROR(Prices!I689/Prices!I688-1,"")</f>
        <v/>
      </c>
      <c r="J690" s="150">
        <f t="shared" ca="1" si="12"/>
        <v>0</v>
      </c>
      <c r="K690" s="112"/>
      <c r="L690" s="112"/>
      <c r="M690" s="112"/>
    </row>
    <row r="691" spans="1:13" x14ac:dyDescent="0.3">
      <c r="A691" s="147" t="str">
        <f ca="1">Prices!$A$690</f>
        <v/>
      </c>
      <c r="B691" s="148" t="str">
        <f ca="1">IFERROR(Prices!B690/Prices!B689-1,"")</f>
        <v/>
      </c>
      <c r="C691" s="148" t="str">
        <f ca="1">IFERROR(Prices!C690/Prices!C689-1,"")</f>
        <v/>
      </c>
      <c r="D691" s="148" t="str">
        <f ca="1">IFERROR(Prices!D690/Prices!D689-1,"")</f>
        <v/>
      </c>
      <c r="E691" s="148" t="str">
        <f ca="1">IFERROR(Prices!E690/Prices!E689-1,"")</f>
        <v/>
      </c>
      <c r="F691" s="148" t="str">
        <f ca="1">IFERROR(Prices!F690/Prices!F689-1,"")</f>
        <v/>
      </c>
      <c r="G691" s="148" t="str">
        <f ca="1">IFERROR(Prices!G690/Prices!G689-1,"")</f>
        <v/>
      </c>
      <c r="H691" s="148" t="str">
        <f ca="1">IFERROR(Prices!H690/Prices!H689-1,"")</f>
        <v/>
      </c>
      <c r="I691" s="149" t="str">
        <f ca="1">IFERROR(Prices!I690/Prices!I689-1,"")</f>
        <v/>
      </c>
      <c r="J691" s="150">
        <f t="shared" ca="1" si="12"/>
        <v>0</v>
      </c>
      <c r="K691" s="112"/>
      <c r="L691" s="112"/>
      <c r="M691" s="112"/>
    </row>
    <row r="692" spans="1:13" x14ac:dyDescent="0.3">
      <c r="A692" s="147" t="str">
        <f ca="1">Prices!$A$691</f>
        <v/>
      </c>
      <c r="B692" s="148" t="str">
        <f ca="1">IFERROR(Prices!B691/Prices!B690-1,"")</f>
        <v/>
      </c>
      <c r="C692" s="148" t="str">
        <f ca="1">IFERROR(Prices!C691/Prices!C690-1,"")</f>
        <v/>
      </c>
      <c r="D692" s="148" t="str">
        <f ca="1">IFERROR(Prices!D691/Prices!D690-1,"")</f>
        <v/>
      </c>
      <c r="E692" s="148" t="str">
        <f ca="1">IFERROR(Prices!E691/Prices!E690-1,"")</f>
        <v/>
      </c>
      <c r="F692" s="148" t="str">
        <f ca="1">IFERROR(Prices!F691/Prices!F690-1,"")</f>
        <v/>
      </c>
      <c r="G692" s="148" t="str">
        <f ca="1">IFERROR(Prices!G691/Prices!G690-1,"")</f>
        <v/>
      </c>
      <c r="H692" s="148" t="str">
        <f ca="1">IFERROR(Prices!H691/Prices!H690-1,"")</f>
        <v/>
      </c>
      <c r="I692" s="149" t="str">
        <f ca="1">IFERROR(Prices!I691/Prices!I690-1,"")</f>
        <v/>
      </c>
      <c r="J692" s="150">
        <f t="shared" ca="1" si="12"/>
        <v>0</v>
      </c>
      <c r="K692" s="112"/>
      <c r="L692" s="112"/>
      <c r="M692" s="112"/>
    </row>
    <row r="693" spans="1:13" x14ac:dyDescent="0.3">
      <c r="A693" s="147" t="str">
        <f ca="1">Prices!$A$692</f>
        <v/>
      </c>
      <c r="B693" s="148" t="str">
        <f ca="1">IFERROR(Prices!B692/Prices!B691-1,"")</f>
        <v/>
      </c>
      <c r="C693" s="148" t="str">
        <f ca="1">IFERROR(Prices!C692/Prices!C691-1,"")</f>
        <v/>
      </c>
      <c r="D693" s="148" t="str">
        <f ca="1">IFERROR(Prices!D692/Prices!D691-1,"")</f>
        <v/>
      </c>
      <c r="E693" s="148" t="str">
        <f ca="1">IFERROR(Prices!E692/Prices!E691-1,"")</f>
        <v/>
      </c>
      <c r="F693" s="148" t="str">
        <f ca="1">IFERROR(Prices!F692/Prices!F691-1,"")</f>
        <v/>
      </c>
      <c r="G693" s="148" t="str">
        <f ca="1">IFERROR(Prices!G692/Prices!G691-1,"")</f>
        <v/>
      </c>
      <c r="H693" s="148" t="str">
        <f ca="1">IFERROR(Prices!H692/Prices!H691-1,"")</f>
        <v/>
      </c>
      <c r="I693" s="149" t="str">
        <f ca="1">IFERROR(Prices!I692/Prices!I691-1,"")</f>
        <v/>
      </c>
      <c r="J693" s="150">
        <f t="shared" ca="1" si="12"/>
        <v>0</v>
      </c>
      <c r="K693" s="112"/>
      <c r="L693" s="112"/>
      <c r="M693" s="112"/>
    </row>
    <row r="694" spans="1:13" x14ac:dyDescent="0.3">
      <c r="A694" s="147" t="str">
        <f ca="1">Prices!$A$693</f>
        <v/>
      </c>
      <c r="B694" s="148" t="str">
        <f ca="1">IFERROR(Prices!B693/Prices!B692-1,"")</f>
        <v/>
      </c>
      <c r="C694" s="148" t="str">
        <f ca="1">IFERROR(Prices!C693/Prices!C692-1,"")</f>
        <v/>
      </c>
      <c r="D694" s="148" t="str">
        <f ca="1">IFERROR(Prices!D693/Prices!D692-1,"")</f>
        <v/>
      </c>
      <c r="E694" s="148" t="str">
        <f ca="1">IFERROR(Prices!E693/Prices!E692-1,"")</f>
        <v/>
      </c>
      <c r="F694" s="148" t="str">
        <f ca="1">IFERROR(Prices!F693/Prices!F692-1,"")</f>
        <v/>
      </c>
      <c r="G694" s="148" t="str">
        <f ca="1">IFERROR(Prices!G693/Prices!G692-1,"")</f>
        <v/>
      </c>
      <c r="H694" s="148" t="str">
        <f ca="1">IFERROR(Prices!H693/Prices!H692-1,"")</f>
        <v/>
      </c>
      <c r="I694" s="149" t="str">
        <f ca="1">IFERROR(Prices!I693/Prices!I692-1,"")</f>
        <v/>
      </c>
      <c r="J694" s="150">
        <f t="shared" ca="1" si="12"/>
        <v>0</v>
      </c>
      <c r="K694" s="112"/>
      <c r="L694" s="112"/>
      <c r="M694" s="112"/>
    </row>
    <row r="695" spans="1:13" x14ac:dyDescent="0.3">
      <c r="A695" s="147" t="str">
        <f ca="1">Prices!$A$694</f>
        <v/>
      </c>
      <c r="B695" s="148" t="str">
        <f ca="1">IFERROR(Prices!B694/Prices!B693-1,"")</f>
        <v/>
      </c>
      <c r="C695" s="148" t="str">
        <f ca="1">IFERROR(Prices!C694/Prices!C693-1,"")</f>
        <v/>
      </c>
      <c r="D695" s="148" t="str">
        <f ca="1">IFERROR(Prices!D694/Prices!D693-1,"")</f>
        <v/>
      </c>
      <c r="E695" s="148" t="str">
        <f ca="1">IFERROR(Prices!E694/Prices!E693-1,"")</f>
        <v/>
      </c>
      <c r="F695" s="148" t="str">
        <f ca="1">IFERROR(Prices!F694/Prices!F693-1,"")</f>
        <v/>
      </c>
      <c r="G695" s="148" t="str">
        <f ca="1">IFERROR(Prices!G694/Prices!G693-1,"")</f>
        <v/>
      </c>
      <c r="H695" s="148" t="str">
        <f ca="1">IFERROR(Prices!H694/Prices!H693-1,"")</f>
        <v/>
      </c>
      <c r="I695" s="149" t="str">
        <f ca="1">IFERROR(Prices!I694/Prices!I693-1,"")</f>
        <v/>
      </c>
      <c r="J695" s="150">
        <f t="shared" ca="1" si="12"/>
        <v>0</v>
      </c>
      <c r="K695" s="112"/>
      <c r="L695" s="112"/>
      <c r="M695" s="112"/>
    </row>
    <row r="696" spans="1:13" x14ac:dyDescent="0.3">
      <c r="A696" s="147" t="str">
        <f ca="1">Prices!$A$695</f>
        <v/>
      </c>
      <c r="B696" s="148" t="str">
        <f ca="1">IFERROR(Prices!B695/Prices!B694-1,"")</f>
        <v/>
      </c>
      <c r="C696" s="148" t="str">
        <f ca="1">IFERROR(Prices!C695/Prices!C694-1,"")</f>
        <v/>
      </c>
      <c r="D696" s="148" t="str">
        <f ca="1">IFERROR(Prices!D695/Prices!D694-1,"")</f>
        <v/>
      </c>
      <c r="E696" s="148" t="str">
        <f ca="1">IFERROR(Prices!E695/Prices!E694-1,"")</f>
        <v/>
      </c>
      <c r="F696" s="148" t="str">
        <f ca="1">IFERROR(Prices!F695/Prices!F694-1,"")</f>
        <v/>
      </c>
      <c r="G696" s="148" t="str">
        <f ca="1">IFERROR(Prices!G695/Prices!G694-1,"")</f>
        <v/>
      </c>
      <c r="H696" s="148" t="str">
        <f ca="1">IFERROR(Prices!H695/Prices!H694-1,"")</f>
        <v/>
      </c>
      <c r="I696" s="149" t="str">
        <f ca="1">IFERROR(Prices!I695/Prices!I694-1,"")</f>
        <v/>
      </c>
      <c r="J696" s="150">
        <f t="shared" ca="1" si="12"/>
        <v>0</v>
      </c>
      <c r="K696" s="112"/>
      <c r="L696" s="112"/>
      <c r="M696" s="112"/>
    </row>
    <row r="697" spans="1:13" x14ac:dyDescent="0.3">
      <c r="A697" s="147" t="str">
        <f ca="1">Prices!$A$696</f>
        <v/>
      </c>
      <c r="B697" s="148" t="str">
        <f ca="1">IFERROR(Prices!B696/Prices!B695-1,"")</f>
        <v/>
      </c>
      <c r="C697" s="148" t="str">
        <f ca="1">IFERROR(Prices!C696/Prices!C695-1,"")</f>
        <v/>
      </c>
      <c r="D697" s="148" t="str">
        <f ca="1">IFERROR(Prices!D696/Prices!D695-1,"")</f>
        <v/>
      </c>
      <c r="E697" s="148" t="str">
        <f ca="1">IFERROR(Prices!E696/Prices!E695-1,"")</f>
        <v/>
      </c>
      <c r="F697" s="148" t="str">
        <f ca="1">IFERROR(Prices!F696/Prices!F695-1,"")</f>
        <v/>
      </c>
      <c r="G697" s="148" t="str">
        <f ca="1">IFERROR(Prices!G696/Prices!G695-1,"")</f>
        <v/>
      </c>
      <c r="H697" s="148" t="str">
        <f ca="1">IFERROR(Prices!H696/Prices!H695-1,"")</f>
        <v/>
      </c>
      <c r="I697" s="149" t="str">
        <f ca="1">IFERROR(Prices!I696/Prices!I695-1,"")</f>
        <v/>
      </c>
      <c r="J697" s="150">
        <f t="shared" ca="1" si="12"/>
        <v>0</v>
      </c>
      <c r="K697" s="112"/>
      <c r="L697" s="112"/>
      <c r="M697" s="112"/>
    </row>
    <row r="698" spans="1:13" x14ac:dyDescent="0.3">
      <c r="A698" s="147" t="str">
        <f ca="1">Prices!$A$697</f>
        <v/>
      </c>
      <c r="B698" s="148" t="str">
        <f ca="1">IFERROR(Prices!B697/Prices!B696-1,"")</f>
        <v/>
      </c>
      <c r="C698" s="148" t="str">
        <f ca="1">IFERROR(Prices!C697/Prices!C696-1,"")</f>
        <v/>
      </c>
      <c r="D698" s="148" t="str">
        <f ca="1">IFERROR(Prices!D697/Prices!D696-1,"")</f>
        <v/>
      </c>
      <c r="E698" s="148" t="str">
        <f ca="1">IFERROR(Prices!E697/Prices!E696-1,"")</f>
        <v/>
      </c>
      <c r="F698" s="148" t="str">
        <f ca="1">IFERROR(Prices!F697/Prices!F696-1,"")</f>
        <v/>
      </c>
      <c r="G698" s="148" t="str">
        <f ca="1">IFERROR(Prices!G697/Prices!G696-1,"")</f>
        <v/>
      </c>
      <c r="H698" s="148" t="str">
        <f ca="1">IFERROR(Prices!H697/Prices!H696-1,"")</f>
        <v/>
      </c>
      <c r="I698" s="149" t="str">
        <f ca="1">IFERROR(Prices!I697/Prices!I696-1,"")</f>
        <v/>
      </c>
      <c r="J698" s="150">
        <f t="shared" ca="1" si="12"/>
        <v>0</v>
      </c>
      <c r="K698" s="112"/>
      <c r="L698" s="112"/>
      <c r="M698" s="112"/>
    </row>
    <row r="699" spans="1:13" x14ac:dyDescent="0.3">
      <c r="A699" s="147" t="str">
        <f ca="1">Prices!$A$698</f>
        <v/>
      </c>
      <c r="B699" s="148" t="str">
        <f ca="1">IFERROR(Prices!B698/Prices!B697-1,"")</f>
        <v/>
      </c>
      <c r="C699" s="148" t="str">
        <f ca="1">IFERROR(Prices!C698/Prices!C697-1,"")</f>
        <v/>
      </c>
      <c r="D699" s="148" t="str">
        <f ca="1">IFERROR(Prices!D698/Prices!D697-1,"")</f>
        <v/>
      </c>
      <c r="E699" s="148" t="str">
        <f ca="1">IFERROR(Prices!E698/Prices!E697-1,"")</f>
        <v/>
      </c>
      <c r="F699" s="148" t="str">
        <f ca="1">IFERROR(Prices!F698/Prices!F697-1,"")</f>
        <v/>
      </c>
      <c r="G699" s="148" t="str">
        <f ca="1">IFERROR(Prices!G698/Prices!G697-1,"")</f>
        <v/>
      </c>
      <c r="H699" s="148" t="str">
        <f ca="1">IFERROR(Prices!H698/Prices!H697-1,"")</f>
        <v/>
      </c>
      <c r="I699" s="149" t="str">
        <f ca="1">IFERROR(Prices!I698/Prices!I697-1,"")</f>
        <v/>
      </c>
      <c r="J699" s="150">
        <f t="shared" ca="1" si="12"/>
        <v>0</v>
      </c>
      <c r="K699" s="112"/>
      <c r="L699" s="112"/>
      <c r="M699" s="112"/>
    </row>
    <row r="700" spans="1:13" x14ac:dyDescent="0.3">
      <c r="A700" s="147" t="str">
        <f ca="1">Prices!$A$699</f>
        <v/>
      </c>
      <c r="B700" s="148" t="str">
        <f ca="1">IFERROR(Prices!B699/Prices!B698-1,"")</f>
        <v/>
      </c>
      <c r="C700" s="148" t="str">
        <f ca="1">IFERROR(Prices!C699/Prices!C698-1,"")</f>
        <v/>
      </c>
      <c r="D700" s="148" t="str">
        <f ca="1">IFERROR(Prices!D699/Prices!D698-1,"")</f>
        <v/>
      </c>
      <c r="E700" s="148" t="str">
        <f ca="1">IFERROR(Prices!E699/Prices!E698-1,"")</f>
        <v/>
      </c>
      <c r="F700" s="148" t="str">
        <f ca="1">IFERROR(Prices!F699/Prices!F698-1,"")</f>
        <v/>
      </c>
      <c r="G700" s="148" t="str">
        <f ca="1">IFERROR(Prices!G699/Prices!G698-1,"")</f>
        <v/>
      </c>
      <c r="H700" s="148" t="str">
        <f ca="1">IFERROR(Prices!H699/Prices!H698-1,"")</f>
        <v/>
      </c>
      <c r="I700" s="149" t="str">
        <f ca="1">IFERROR(Prices!I699/Prices!I698-1,"")</f>
        <v/>
      </c>
      <c r="J700" s="150">
        <f t="shared" ca="1" si="12"/>
        <v>0</v>
      </c>
      <c r="K700" s="112"/>
      <c r="L700" s="112"/>
      <c r="M700" s="112"/>
    </row>
    <row r="701" spans="1:13" x14ac:dyDescent="0.3">
      <c r="A701" s="147" t="str">
        <f ca="1">Prices!$A$700</f>
        <v/>
      </c>
      <c r="B701" s="148" t="str">
        <f ca="1">IFERROR(Prices!B700/Prices!B699-1,"")</f>
        <v/>
      </c>
      <c r="C701" s="148" t="str">
        <f ca="1">IFERROR(Prices!C700/Prices!C699-1,"")</f>
        <v/>
      </c>
      <c r="D701" s="148" t="str">
        <f ca="1">IFERROR(Prices!D700/Prices!D699-1,"")</f>
        <v/>
      </c>
      <c r="E701" s="148" t="str">
        <f ca="1">IFERROR(Prices!E700/Prices!E699-1,"")</f>
        <v/>
      </c>
      <c r="F701" s="148" t="str">
        <f ca="1">IFERROR(Prices!F700/Prices!F699-1,"")</f>
        <v/>
      </c>
      <c r="G701" s="148" t="str">
        <f ca="1">IFERROR(Prices!G700/Prices!G699-1,"")</f>
        <v/>
      </c>
      <c r="H701" s="148" t="str">
        <f ca="1">IFERROR(Prices!H700/Prices!H699-1,"")</f>
        <v/>
      </c>
      <c r="I701" s="149" t="str">
        <f ca="1">IFERROR(Prices!I700/Prices!I699-1,"")</f>
        <v/>
      </c>
      <c r="J701" s="150">
        <f t="shared" ca="1" si="12"/>
        <v>0</v>
      </c>
      <c r="K701" s="112"/>
      <c r="L701" s="112"/>
      <c r="M701" s="112"/>
    </row>
    <row r="702" spans="1:13" x14ac:dyDescent="0.3">
      <c r="A702" s="147" t="str">
        <f ca="1">Prices!$A$701</f>
        <v/>
      </c>
      <c r="B702" s="148" t="str">
        <f ca="1">IFERROR(Prices!B701/Prices!B700-1,"")</f>
        <v/>
      </c>
      <c r="C702" s="148" t="str">
        <f ca="1">IFERROR(Prices!C701/Prices!C700-1,"")</f>
        <v/>
      </c>
      <c r="D702" s="148" t="str">
        <f ca="1">IFERROR(Prices!D701/Prices!D700-1,"")</f>
        <v/>
      </c>
      <c r="E702" s="148" t="str">
        <f ca="1">IFERROR(Prices!E701/Prices!E700-1,"")</f>
        <v/>
      </c>
      <c r="F702" s="148" t="str">
        <f ca="1">IFERROR(Prices!F701/Prices!F700-1,"")</f>
        <v/>
      </c>
      <c r="G702" s="148" t="str">
        <f ca="1">IFERROR(Prices!G701/Prices!G700-1,"")</f>
        <v/>
      </c>
      <c r="H702" s="148" t="str">
        <f ca="1">IFERROR(Prices!H701/Prices!H700-1,"")</f>
        <v/>
      </c>
      <c r="I702" s="149" t="str">
        <f ca="1">IFERROR(Prices!I701/Prices!I700-1,"")</f>
        <v/>
      </c>
      <c r="J702" s="150">
        <f t="shared" ca="1" si="12"/>
        <v>0</v>
      </c>
      <c r="K702" s="112"/>
      <c r="L702" s="112"/>
      <c r="M702" s="112"/>
    </row>
    <row r="703" spans="1:13" x14ac:dyDescent="0.3">
      <c r="A703" s="147" t="str">
        <f ca="1">Prices!$A$702</f>
        <v/>
      </c>
      <c r="B703" s="148" t="str">
        <f ca="1">IFERROR(Prices!B702/Prices!B701-1,"")</f>
        <v/>
      </c>
      <c r="C703" s="148" t="str">
        <f ca="1">IFERROR(Prices!C702/Prices!C701-1,"")</f>
        <v/>
      </c>
      <c r="D703" s="148" t="str">
        <f ca="1">IFERROR(Prices!D702/Prices!D701-1,"")</f>
        <v/>
      </c>
      <c r="E703" s="148" t="str">
        <f ca="1">IFERROR(Prices!E702/Prices!E701-1,"")</f>
        <v/>
      </c>
      <c r="F703" s="148" t="str">
        <f ca="1">IFERROR(Prices!F702/Prices!F701-1,"")</f>
        <v/>
      </c>
      <c r="G703" s="148" t="str">
        <f ca="1">IFERROR(Prices!G702/Prices!G701-1,"")</f>
        <v/>
      </c>
      <c r="H703" s="148" t="str">
        <f ca="1">IFERROR(Prices!H702/Prices!H701-1,"")</f>
        <v/>
      </c>
      <c r="I703" s="149" t="str">
        <f ca="1">IFERROR(Prices!I702/Prices!I701-1,"")</f>
        <v/>
      </c>
      <c r="J703" s="150">
        <f t="shared" ca="1" si="12"/>
        <v>0</v>
      </c>
      <c r="K703" s="112"/>
      <c r="L703" s="112"/>
      <c r="M703" s="112"/>
    </row>
    <row r="704" spans="1:13" x14ac:dyDescent="0.3">
      <c r="A704" s="147" t="str">
        <f ca="1">Prices!$A$703</f>
        <v/>
      </c>
      <c r="B704" s="148" t="str">
        <f ca="1">IFERROR(Prices!B703/Prices!B702-1,"")</f>
        <v/>
      </c>
      <c r="C704" s="148" t="str">
        <f ca="1">IFERROR(Prices!C703/Prices!C702-1,"")</f>
        <v/>
      </c>
      <c r="D704" s="148" t="str">
        <f ca="1">IFERROR(Prices!D703/Prices!D702-1,"")</f>
        <v/>
      </c>
      <c r="E704" s="148" t="str">
        <f ca="1">IFERROR(Prices!E703/Prices!E702-1,"")</f>
        <v/>
      </c>
      <c r="F704" s="148" t="str">
        <f ca="1">IFERROR(Prices!F703/Prices!F702-1,"")</f>
        <v/>
      </c>
      <c r="G704" s="148" t="str">
        <f ca="1">IFERROR(Prices!G703/Prices!G702-1,"")</f>
        <v/>
      </c>
      <c r="H704" s="148" t="str">
        <f ca="1">IFERROR(Prices!H703/Prices!H702-1,"")</f>
        <v/>
      </c>
      <c r="I704" s="149" t="str">
        <f ca="1">IFERROR(Prices!I703/Prices!I702-1,"")</f>
        <v/>
      </c>
      <c r="J704" s="150">
        <f t="shared" ca="1" si="12"/>
        <v>0</v>
      </c>
      <c r="K704" s="112"/>
      <c r="L704" s="112"/>
      <c r="M704" s="112"/>
    </row>
    <row r="705" spans="1:13" x14ac:dyDescent="0.3">
      <c r="A705" s="147" t="str">
        <f ca="1">Prices!$A$704</f>
        <v/>
      </c>
      <c r="B705" s="148" t="str">
        <f ca="1">IFERROR(Prices!B704/Prices!B703-1,"")</f>
        <v/>
      </c>
      <c r="C705" s="148" t="str">
        <f ca="1">IFERROR(Prices!C704/Prices!C703-1,"")</f>
        <v/>
      </c>
      <c r="D705" s="148" t="str">
        <f ca="1">IFERROR(Prices!D704/Prices!D703-1,"")</f>
        <v/>
      </c>
      <c r="E705" s="148" t="str">
        <f ca="1">IFERROR(Prices!E704/Prices!E703-1,"")</f>
        <v/>
      </c>
      <c r="F705" s="148" t="str">
        <f ca="1">IFERROR(Prices!F704/Prices!F703-1,"")</f>
        <v/>
      </c>
      <c r="G705" s="148" t="str">
        <f ca="1">IFERROR(Prices!G704/Prices!G703-1,"")</f>
        <v/>
      </c>
      <c r="H705" s="148" t="str">
        <f ca="1">IFERROR(Prices!H704/Prices!H703-1,"")</f>
        <v/>
      </c>
      <c r="I705" s="149" t="str">
        <f ca="1">IFERROR(Prices!I704/Prices!I703-1,"")</f>
        <v/>
      </c>
      <c r="J705" s="150">
        <f t="shared" ca="1" si="12"/>
        <v>0</v>
      </c>
      <c r="K705" s="112"/>
      <c r="L705" s="112"/>
      <c r="M705" s="112"/>
    </row>
    <row r="706" spans="1:13" x14ac:dyDescent="0.3">
      <c r="A706" s="147" t="str">
        <f ca="1">Prices!$A$705</f>
        <v/>
      </c>
      <c r="B706" s="148" t="str">
        <f ca="1">IFERROR(Prices!B705/Prices!B704-1,"")</f>
        <v/>
      </c>
      <c r="C706" s="148" t="str">
        <f ca="1">IFERROR(Prices!C705/Prices!C704-1,"")</f>
        <v/>
      </c>
      <c r="D706" s="148" t="str">
        <f ca="1">IFERROR(Prices!D705/Prices!D704-1,"")</f>
        <v/>
      </c>
      <c r="E706" s="148" t="str">
        <f ca="1">IFERROR(Prices!E705/Prices!E704-1,"")</f>
        <v/>
      </c>
      <c r="F706" s="148" t="str">
        <f ca="1">IFERROR(Prices!F705/Prices!F704-1,"")</f>
        <v/>
      </c>
      <c r="G706" s="148" t="str">
        <f ca="1">IFERROR(Prices!G705/Prices!G704-1,"")</f>
        <v/>
      </c>
      <c r="H706" s="148" t="str">
        <f ca="1">IFERROR(Prices!H705/Prices!H704-1,"")</f>
        <v/>
      </c>
      <c r="I706" s="149" t="str">
        <f ca="1">IFERROR(Prices!I705/Prices!I704-1,"")</f>
        <v/>
      </c>
      <c r="J706" s="150">
        <f t="shared" ca="1" si="12"/>
        <v>0</v>
      </c>
      <c r="K706" s="112"/>
      <c r="L706" s="112"/>
      <c r="M706" s="112"/>
    </row>
    <row r="707" spans="1:13" x14ac:dyDescent="0.3">
      <c r="A707" s="147" t="str">
        <f ca="1">Prices!$A$706</f>
        <v/>
      </c>
      <c r="B707" s="148" t="str">
        <f ca="1">IFERROR(Prices!B706/Prices!B705-1,"")</f>
        <v/>
      </c>
      <c r="C707" s="148" t="str">
        <f ca="1">IFERROR(Prices!C706/Prices!C705-1,"")</f>
        <v/>
      </c>
      <c r="D707" s="148" t="str">
        <f ca="1">IFERROR(Prices!D706/Prices!D705-1,"")</f>
        <v/>
      </c>
      <c r="E707" s="148" t="str">
        <f ca="1">IFERROR(Prices!E706/Prices!E705-1,"")</f>
        <v/>
      </c>
      <c r="F707" s="148" t="str">
        <f ca="1">IFERROR(Prices!F706/Prices!F705-1,"")</f>
        <v/>
      </c>
      <c r="G707" s="148" t="str">
        <f ca="1">IFERROR(Prices!G706/Prices!G705-1,"")</f>
        <v/>
      </c>
      <c r="H707" s="148" t="str">
        <f ca="1">IFERROR(Prices!H706/Prices!H705-1,"")</f>
        <v/>
      </c>
      <c r="I707" s="149" t="str">
        <f ca="1">IFERROR(Prices!I706/Prices!I705-1,"")</f>
        <v/>
      </c>
      <c r="J707" s="150">
        <f t="shared" ca="1" si="12"/>
        <v>0</v>
      </c>
      <c r="K707" s="112"/>
      <c r="L707" s="112"/>
      <c r="M707" s="112"/>
    </row>
    <row r="708" spans="1:13" x14ac:dyDescent="0.3">
      <c r="A708" s="147" t="str">
        <f ca="1">Prices!$A$707</f>
        <v/>
      </c>
      <c r="B708" s="148" t="str">
        <f ca="1">IFERROR(Prices!B707/Prices!B706-1,"")</f>
        <v/>
      </c>
      <c r="C708" s="148" t="str">
        <f ca="1">IFERROR(Prices!C707/Prices!C706-1,"")</f>
        <v/>
      </c>
      <c r="D708" s="148" t="str">
        <f ca="1">IFERROR(Prices!D707/Prices!D706-1,"")</f>
        <v/>
      </c>
      <c r="E708" s="148" t="str">
        <f ca="1">IFERROR(Prices!E707/Prices!E706-1,"")</f>
        <v/>
      </c>
      <c r="F708" s="148" t="str">
        <f ca="1">IFERROR(Prices!F707/Prices!F706-1,"")</f>
        <v/>
      </c>
      <c r="G708" s="148" t="str">
        <f ca="1">IFERROR(Prices!G707/Prices!G706-1,"")</f>
        <v/>
      </c>
      <c r="H708" s="148" t="str">
        <f ca="1">IFERROR(Prices!H707/Prices!H706-1,"")</f>
        <v/>
      </c>
      <c r="I708" s="149" t="str">
        <f ca="1">IFERROR(Prices!I707/Prices!I706-1,"")</f>
        <v/>
      </c>
      <c r="J708" s="150">
        <f t="shared" ca="1" si="12"/>
        <v>0</v>
      </c>
      <c r="K708" s="112"/>
      <c r="L708" s="112"/>
      <c r="M708" s="112"/>
    </row>
    <row r="709" spans="1:13" x14ac:dyDescent="0.3">
      <c r="A709" s="147" t="str">
        <f ca="1">Prices!$A$708</f>
        <v/>
      </c>
      <c r="B709" s="148" t="str">
        <f ca="1">IFERROR(Prices!B708/Prices!B707-1,"")</f>
        <v/>
      </c>
      <c r="C709" s="148" t="str">
        <f ca="1">IFERROR(Prices!C708/Prices!C707-1,"")</f>
        <v/>
      </c>
      <c r="D709" s="148" t="str">
        <f ca="1">IFERROR(Prices!D708/Prices!D707-1,"")</f>
        <v/>
      </c>
      <c r="E709" s="148" t="str">
        <f ca="1">IFERROR(Prices!E708/Prices!E707-1,"")</f>
        <v/>
      </c>
      <c r="F709" s="148" t="str">
        <f ca="1">IFERROR(Prices!F708/Prices!F707-1,"")</f>
        <v/>
      </c>
      <c r="G709" s="148" t="str">
        <f ca="1">IFERROR(Prices!G708/Prices!G707-1,"")</f>
        <v/>
      </c>
      <c r="H709" s="148" t="str">
        <f ca="1">IFERROR(Prices!H708/Prices!H707-1,"")</f>
        <v/>
      </c>
      <c r="I709" s="149" t="str">
        <f ca="1">IFERROR(Prices!I708/Prices!I707-1,"")</f>
        <v/>
      </c>
      <c r="J709" s="150">
        <f t="shared" ca="1" si="12"/>
        <v>0</v>
      </c>
      <c r="K709" s="112"/>
      <c r="L709" s="112"/>
      <c r="M709" s="112"/>
    </row>
    <row r="710" spans="1:13" x14ac:dyDescent="0.3">
      <c r="A710" s="147" t="str">
        <f ca="1">Prices!$A$709</f>
        <v/>
      </c>
      <c r="B710" s="148" t="str">
        <f ca="1">IFERROR(Prices!B709/Prices!B708-1,"")</f>
        <v/>
      </c>
      <c r="C710" s="148" t="str">
        <f ca="1">IFERROR(Prices!C709/Prices!C708-1,"")</f>
        <v/>
      </c>
      <c r="D710" s="148" t="str">
        <f ca="1">IFERROR(Prices!D709/Prices!D708-1,"")</f>
        <v/>
      </c>
      <c r="E710" s="148" t="str">
        <f ca="1">IFERROR(Prices!E709/Prices!E708-1,"")</f>
        <v/>
      </c>
      <c r="F710" s="148" t="str">
        <f ca="1">IFERROR(Prices!F709/Prices!F708-1,"")</f>
        <v/>
      </c>
      <c r="G710" s="148" t="str">
        <f ca="1">IFERROR(Prices!G709/Prices!G708-1,"")</f>
        <v/>
      </c>
      <c r="H710" s="148" t="str">
        <f ca="1">IFERROR(Prices!H709/Prices!H708-1,"")</f>
        <v/>
      </c>
      <c r="I710" s="149" t="str">
        <f ca="1">IFERROR(Prices!I709/Prices!I708-1,"")</f>
        <v/>
      </c>
      <c r="J710" s="150">
        <f t="shared" ca="1" si="12"/>
        <v>0</v>
      </c>
      <c r="K710" s="112"/>
      <c r="L710" s="112"/>
      <c r="M710" s="112"/>
    </row>
    <row r="711" spans="1:13" x14ac:dyDescent="0.3">
      <c r="A711" s="147" t="str">
        <f ca="1">Prices!$A$710</f>
        <v/>
      </c>
      <c r="B711" s="148" t="str">
        <f ca="1">IFERROR(Prices!B710/Prices!B709-1,"")</f>
        <v/>
      </c>
      <c r="C711" s="148" t="str">
        <f ca="1">IFERROR(Prices!C710/Prices!C709-1,"")</f>
        <v/>
      </c>
      <c r="D711" s="148" t="str">
        <f ca="1">IFERROR(Prices!D710/Prices!D709-1,"")</f>
        <v/>
      </c>
      <c r="E711" s="148" t="str">
        <f ca="1">IFERROR(Prices!E710/Prices!E709-1,"")</f>
        <v/>
      </c>
      <c r="F711" s="148" t="str">
        <f ca="1">IFERROR(Prices!F710/Prices!F709-1,"")</f>
        <v/>
      </c>
      <c r="G711" s="148" t="str">
        <f ca="1">IFERROR(Prices!G710/Prices!G709-1,"")</f>
        <v/>
      </c>
      <c r="H711" s="148" t="str">
        <f ca="1">IFERROR(Prices!H710/Prices!H709-1,"")</f>
        <v/>
      </c>
      <c r="I711" s="149" t="str">
        <f ca="1">IFERROR(Prices!I710/Prices!I709-1,"")</f>
        <v/>
      </c>
      <c r="J711" s="150">
        <f t="shared" ref="J711:J774" ca="1" si="13">IFERROR(SUMPRODUCT(Weights,$B711:$H711),"")</f>
        <v>0</v>
      </c>
      <c r="K711" s="112"/>
      <c r="L711" s="112"/>
      <c r="M711" s="112"/>
    </row>
    <row r="712" spans="1:13" x14ac:dyDescent="0.3">
      <c r="A712" s="147" t="str">
        <f ca="1">Prices!$A$711</f>
        <v/>
      </c>
      <c r="B712" s="148" t="str">
        <f ca="1">IFERROR(Prices!B711/Prices!B710-1,"")</f>
        <v/>
      </c>
      <c r="C712" s="148" t="str">
        <f ca="1">IFERROR(Prices!C711/Prices!C710-1,"")</f>
        <v/>
      </c>
      <c r="D712" s="148" t="str">
        <f ca="1">IFERROR(Prices!D711/Prices!D710-1,"")</f>
        <v/>
      </c>
      <c r="E712" s="148" t="str">
        <f ca="1">IFERROR(Prices!E711/Prices!E710-1,"")</f>
        <v/>
      </c>
      <c r="F712" s="148" t="str">
        <f ca="1">IFERROR(Prices!F711/Prices!F710-1,"")</f>
        <v/>
      </c>
      <c r="G712" s="148" t="str">
        <f ca="1">IFERROR(Prices!G711/Prices!G710-1,"")</f>
        <v/>
      </c>
      <c r="H712" s="148" t="str">
        <f ca="1">IFERROR(Prices!H711/Prices!H710-1,"")</f>
        <v/>
      </c>
      <c r="I712" s="149" t="str">
        <f ca="1">IFERROR(Prices!I711/Prices!I710-1,"")</f>
        <v/>
      </c>
      <c r="J712" s="150">
        <f t="shared" ca="1" si="13"/>
        <v>0</v>
      </c>
      <c r="K712" s="112"/>
      <c r="L712" s="112"/>
      <c r="M712" s="112"/>
    </row>
    <row r="713" spans="1:13" x14ac:dyDescent="0.3">
      <c r="A713" s="147" t="str">
        <f ca="1">Prices!$A$712</f>
        <v/>
      </c>
      <c r="B713" s="148" t="str">
        <f ca="1">IFERROR(Prices!B712/Prices!B711-1,"")</f>
        <v/>
      </c>
      <c r="C713" s="148" t="str">
        <f ca="1">IFERROR(Prices!C712/Prices!C711-1,"")</f>
        <v/>
      </c>
      <c r="D713" s="148" t="str">
        <f ca="1">IFERROR(Prices!D712/Prices!D711-1,"")</f>
        <v/>
      </c>
      <c r="E713" s="148" t="str">
        <f ca="1">IFERROR(Prices!E712/Prices!E711-1,"")</f>
        <v/>
      </c>
      <c r="F713" s="148" t="str">
        <f ca="1">IFERROR(Prices!F712/Prices!F711-1,"")</f>
        <v/>
      </c>
      <c r="G713" s="148" t="str">
        <f ca="1">IFERROR(Prices!G712/Prices!G711-1,"")</f>
        <v/>
      </c>
      <c r="H713" s="148" t="str">
        <f ca="1">IFERROR(Prices!H712/Prices!H711-1,"")</f>
        <v/>
      </c>
      <c r="I713" s="149" t="str">
        <f ca="1">IFERROR(Prices!I712/Prices!I711-1,"")</f>
        <v/>
      </c>
      <c r="J713" s="150">
        <f t="shared" ca="1" si="13"/>
        <v>0</v>
      </c>
      <c r="K713" s="112"/>
      <c r="L713" s="112"/>
      <c r="M713" s="112"/>
    </row>
    <row r="714" spans="1:13" x14ac:dyDescent="0.3">
      <c r="A714" s="147" t="str">
        <f ca="1">Prices!$A$713</f>
        <v/>
      </c>
      <c r="B714" s="148" t="str">
        <f ca="1">IFERROR(Prices!B713/Prices!B712-1,"")</f>
        <v/>
      </c>
      <c r="C714" s="148" t="str">
        <f ca="1">IFERROR(Prices!C713/Prices!C712-1,"")</f>
        <v/>
      </c>
      <c r="D714" s="148" t="str">
        <f ca="1">IFERROR(Prices!D713/Prices!D712-1,"")</f>
        <v/>
      </c>
      <c r="E714" s="148" t="str">
        <f ca="1">IFERROR(Prices!E713/Prices!E712-1,"")</f>
        <v/>
      </c>
      <c r="F714" s="148" t="str">
        <f ca="1">IFERROR(Prices!F713/Prices!F712-1,"")</f>
        <v/>
      </c>
      <c r="G714" s="148" t="str">
        <f ca="1">IFERROR(Prices!G713/Prices!G712-1,"")</f>
        <v/>
      </c>
      <c r="H714" s="148" t="str">
        <f ca="1">IFERROR(Prices!H713/Prices!H712-1,"")</f>
        <v/>
      </c>
      <c r="I714" s="149" t="str">
        <f ca="1">IFERROR(Prices!I713/Prices!I712-1,"")</f>
        <v/>
      </c>
      <c r="J714" s="150">
        <f t="shared" ca="1" si="13"/>
        <v>0</v>
      </c>
      <c r="K714" s="112"/>
      <c r="L714" s="112"/>
      <c r="M714" s="112"/>
    </row>
    <row r="715" spans="1:13" x14ac:dyDescent="0.3">
      <c r="A715" s="147" t="str">
        <f ca="1">Prices!$A$714</f>
        <v/>
      </c>
      <c r="B715" s="148" t="str">
        <f ca="1">IFERROR(Prices!B714/Prices!B713-1,"")</f>
        <v/>
      </c>
      <c r="C715" s="148" t="str">
        <f ca="1">IFERROR(Prices!C714/Prices!C713-1,"")</f>
        <v/>
      </c>
      <c r="D715" s="148" t="str">
        <f ca="1">IFERROR(Prices!D714/Prices!D713-1,"")</f>
        <v/>
      </c>
      <c r="E715" s="148" t="str">
        <f ca="1">IFERROR(Prices!E714/Prices!E713-1,"")</f>
        <v/>
      </c>
      <c r="F715" s="148" t="str">
        <f ca="1">IFERROR(Prices!F714/Prices!F713-1,"")</f>
        <v/>
      </c>
      <c r="G715" s="148" t="str">
        <f ca="1">IFERROR(Prices!G714/Prices!G713-1,"")</f>
        <v/>
      </c>
      <c r="H715" s="148" t="str">
        <f ca="1">IFERROR(Prices!H714/Prices!H713-1,"")</f>
        <v/>
      </c>
      <c r="I715" s="149" t="str">
        <f ca="1">IFERROR(Prices!I714/Prices!I713-1,"")</f>
        <v/>
      </c>
      <c r="J715" s="150">
        <f t="shared" ca="1" si="13"/>
        <v>0</v>
      </c>
      <c r="K715" s="112"/>
      <c r="L715" s="112"/>
      <c r="M715" s="112"/>
    </row>
    <row r="716" spans="1:13" x14ac:dyDescent="0.3">
      <c r="A716" s="147" t="str">
        <f ca="1">Prices!$A$715</f>
        <v/>
      </c>
      <c r="B716" s="148" t="str">
        <f ca="1">IFERROR(Prices!B715/Prices!B714-1,"")</f>
        <v/>
      </c>
      <c r="C716" s="148" t="str">
        <f ca="1">IFERROR(Prices!C715/Prices!C714-1,"")</f>
        <v/>
      </c>
      <c r="D716" s="148" t="str">
        <f ca="1">IFERROR(Prices!D715/Prices!D714-1,"")</f>
        <v/>
      </c>
      <c r="E716" s="148" t="str">
        <f ca="1">IFERROR(Prices!E715/Prices!E714-1,"")</f>
        <v/>
      </c>
      <c r="F716" s="148" t="str">
        <f ca="1">IFERROR(Prices!F715/Prices!F714-1,"")</f>
        <v/>
      </c>
      <c r="G716" s="148" t="str">
        <f ca="1">IFERROR(Prices!G715/Prices!G714-1,"")</f>
        <v/>
      </c>
      <c r="H716" s="148" t="str">
        <f ca="1">IFERROR(Prices!H715/Prices!H714-1,"")</f>
        <v/>
      </c>
      <c r="I716" s="149" t="str">
        <f ca="1">IFERROR(Prices!I715/Prices!I714-1,"")</f>
        <v/>
      </c>
      <c r="J716" s="150">
        <f t="shared" ca="1" si="13"/>
        <v>0</v>
      </c>
      <c r="K716" s="112"/>
      <c r="L716" s="112"/>
      <c r="M716" s="112"/>
    </row>
    <row r="717" spans="1:13" x14ac:dyDescent="0.3">
      <c r="A717" s="147" t="str">
        <f ca="1">Prices!$A$716</f>
        <v/>
      </c>
      <c r="B717" s="148" t="str">
        <f ca="1">IFERROR(Prices!B716/Prices!B715-1,"")</f>
        <v/>
      </c>
      <c r="C717" s="148" t="str">
        <f ca="1">IFERROR(Prices!C716/Prices!C715-1,"")</f>
        <v/>
      </c>
      <c r="D717" s="148" t="str">
        <f ca="1">IFERROR(Prices!D716/Prices!D715-1,"")</f>
        <v/>
      </c>
      <c r="E717" s="148" t="str">
        <f ca="1">IFERROR(Prices!E716/Prices!E715-1,"")</f>
        <v/>
      </c>
      <c r="F717" s="148" t="str">
        <f ca="1">IFERROR(Prices!F716/Prices!F715-1,"")</f>
        <v/>
      </c>
      <c r="G717" s="148" t="str">
        <f ca="1">IFERROR(Prices!G716/Prices!G715-1,"")</f>
        <v/>
      </c>
      <c r="H717" s="148" t="str">
        <f ca="1">IFERROR(Prices!H716/Prices!H715-1,"")</f>
        <v/>
      </c>
      <c r="I717" s="149" t="str">
        <f ca="1">IFERROR(Prices!I716/Prices!I715-1,"")</f>
        <v/>
      </c>
      <c r="J717" s="150">
        <f t="shared" ca="1" si="13"/>
        <v>0</v>
      </c>
      <c r="K717" s="112"/>
      <c r="L717" s="112"/>
      <c r="M717" s="112"/>
    </row>
    <row r="718" spans="1:13" x14ac:dyDescent="0.3">
      <c r="A718" s="147" t="str">
        <f ca="1">Prices!$A$717</f>
        <v/>
      </c>
      <c r="B718" s="148" t="str">
        <f ca="1">IFERROR(Prices!B717/Prices!B716-1,"")</f>
        <v/>
      </c>
      <c r="C718" s="148" t="str">
        <f ca="1">IFERROR(Prices!C717/Prices!C716-1,"")</f>
        <v/>
      </c>
      <c r="D718" s="148" t="str">
        <f ca="1">IFERROR(Prices!D717/Prices!D716-1,"")</f>
        <v/>
      </c>
      <c r="E718" s="148" t="str">
        <f ca="1">IFERROR(Prices!E717/Prices!E716-1,"")</f>
        <v/>
      </c>
      <c r="F718" s="148" t="str">
        <f ca="1">IFERROR(Prices!F717/Prices!F716-1,"")</f>
        <v/>
      </c>
      <c r="G718" s="148" t="str">
        <f ca="1">IFERROR(Prices!G717/Prices!G716-1,"")</f>
        <v/>
      </c>
      <c r="H718" s="148" t="str">
        <f ca="1">IFERROR(Prices!H717/Prices!H716-1,"")</f>
        <v/>
      </c>
      <c r="I718" s="149" t="str">
        <f ca="1">IFERROR(Prices!I717/Prices!I716-1,"")</f>
        <v/>
      </c>
      <c r="J718" s="150">
        <f t="shared" ca="1" si="13"/>
        <v>0</v>
      </c>
      <c r="K718" s="112"/>
      <c r="L718" s="112"/>
      <c r="M718" s="112"/>
    </row>
    <row r="719" spans="1:13" x14ac:dyDescent="0.3">
      <c r="A719" s="147" t="str">
        <f ca="1">Prices!$A$718</f>
        <v/>
      </c>
      <c r="B719" s="148" t="str">
        <f ca="1">IFERROR(Prices!B718/Prices!B717-1,"")</f>
        <v/>
      </c>
      <c r="C719" s="148" t="str">
        <f ca="1">IFERROR(Prices!C718/Prices!C717-1,"")</f>
        <v/>
      </c>
      <c r="D719" s="148" t="str">
        <f ca="1">IFERROR(Prices!D718/Prices!D717-1,"")</f>
        <v/>
      </c>
      <c r="E719" s="148" t="str">
        <f ca="1">IFERROR(Prices!E718/Prices!E717-1,"")</f>
        <v/>
      </c>
      <c r="F719" s="148" t="str">
        <f ca="1">IFERROR(Prices!F718/Prices!F717-1,"")</f>
        <v/>
      </c>
      <c r="G719" s="148" t="str">
        <f ca="1">IFERROR(Prices!G718/Prices!G717-1,"")</f>
        <v/>
      </c>
      <c r="H719" s="148" t="str">
        <f ca="1">IFERROR(Prices!H718/Prices!H717-1,"")</f>
        <v/>
      </c>
      <c r="I719" s="149" t="str">
        <f ca="1">IFERROR(Prices!I718/Prices!I717-1,"")</f>
        <v/>
      </c>
      <c r="J719" s="150">
        <f t="shared" ca="1" si="13"/>
        <v>0</v>
      </c>
      <c r="K719" s="112"/>
      <c r="L719" s="112"/>
      <c r="M719" s="112"/>
    </row>
    <row r="720" spans="1:13" x14ac:dyDescent="0.3">
      <c r="A720" s="147" t="str">
        <f ca="1">Prices!$A$719</f>
        <v/>
      </c>
      <c r="B720" s="148" t="str">
        <f ca="1">IFERROR(Prices!B719/Prices!B718-1,"")</f>
        <v/>
      </c>
      <c r="C720" s="148" t="str">
        <f ca="1">IFERROR(Prices!C719/Prices!C718-1,"")</f>
        <v/>
      </c>
      <c r="D720" s="148" t="str">
        <f ca="1">IFERROR(Prices!D719/Prices!D718-1,"")</f>
        <v/>
      </c>
      <c r="E720" s="148" t="str">
        <f ca="1">IFERROR(Prices!E719/Prices!E718-1,"")</f>
        <v/>
      </c>
      <c r="F720" s="148" t="str">
        <f ca="1">IFERROR(Prices!F719/Prices!F718-1,"")</f>
        <v/>
      </c>
      <c r="G720" s="148" t="str">
        <f ca="1">IFERROR(Prices!G719/Prices!G718-1,"")</f>
        <v/>
      </c>
      <c r="H720" s="148" t="str">
        <f ca="1">IFERROR(Prices!H719/Prices!H718-1,"")</f>
        <v/>
      </c>
      <c r="I720" s="149" t="str">
        <f ca="1">IFERROR(Prices!I719/Prices!I718-1,"")</f>
        <v/>
      </c>
      <c r="J720" s="150">
        <f t="shared" ca="1" si="13"/>
        <v>0</v>
      </c>
      <c r="K720" s="112"/>
      <c r="L720" s="112"/>
      <c r="M720" s="112"/>
    </row>
    <row r="721" spans="1:13" x14ac:dyDescent="0.3">
      <c r="A721" s="147" t="str">
        <f ca="1">Prices!$A$720</f>
        <v/>
      </c>
      <c r="B721" s="148" t="str">
        <f ca="1">IFERROR(Prices!B720/Prices!B719-1,"")</f>
        <v/>
      </c>
      <c r="C721" s="148" t="str">
        <f ca="1">IFERROR(Prices!C720/Prices!C719-1,"")</f>
        <v/>
      </c>
      <c r="D721" s="148" t="str">
        <f ca="1">IFERROR(Prices!D720/Prices!D719-1,"")</f>
        <v/>
      </c>
      <c r="E721" s="148" t="str">
        <f ca="1">IFERROR(Prices!E720/Prices!E719-1,"")</f>
        <v/>
      </c>
      <c r="F721" s="148" t="str">
        <f ca="1">IFERROR(Prices!F720/Prices!F719-1,"")</f>
        <v/>
      </c>
      <c r="G721" s="148" t="str">
        <f ca="1">IFERROR(Prices!G720/Prices!G719-1,"")</f>
        <v/>
      </c>
      <c r="H721" s="148" t="str">
        <f ca="1">IFERROR(Prices!H720/Prices!H719-1,"")</f>
        <v/>
      </c>
      <c r="I721" s="149" t="str">
        <f ca="1">IFERROR(Prices!I720/Prices!I719-1,"")</f>
        <v/>
      </c>
      <c r="J721" s="150">
        <f t="shared" ca="1" si="13"/>
        <v>0</v>
      </c>
      <c r="K721" s="112"/>
      <c r="L721" s="112"/>
      <c r="M721" s="112"/>
    </row>
    <row r="722" spans="1:13" x14ac:dyDescent="0.3">
      <c r="A722" s="147" t="str">
        <f ca="1">Prices!$A$721</f>
        <v/>
      </c>
      <c r="B722" s="148" t="str">
        <f ca="1">IFERROR(Prices!B721/Prices!B720-1,"")</f>
        <v/>
      </c>
      <c r="C722" s="148" t="str">
        <f ca="1">IFERROR(Prices!C721/Prices!C720-1,"")</f>
        <v/>
      </c>
      <c r="D722" s="148" t="str">
        <f ca="1">IFERROR(Prices!D721/Prices!D720-1,"")</f>
        <v/>
      </c>
      <c r="E722" s="148" t="str">
        <f ca="1">IFERROR(Prices!E721/Prices!E720-1,"")</f>
        <v/>
      </c>
      <c r="F722" s="148" t="str">
        <f ca="1">IFERROR(Prices!F721/Prices!F720-1,"")</f>
        <v/>
      </c>
      <c r="G722" s="148" t="str">
        <f ca="1">IFERROR(Prices!G721/Prices!G720-1,"")</f>
        <v/>
      </c>
      <c r="H722" s="148" t="str">
        <f ca="1">IFERROR(Prices!H721/Prices!H720-1,"")</f>
        <v/>
      </c>
      <c r="I722" s="149" t="str">
        <f ca="1">IFERROR(Prices!I721/Prices!I720-1,"")</f>
        <v/>
      </c>
      <c r="J722" s="150">
        <f t="shared" ca="1" si="13"/>
        <v>0</v>
      </c>
      <c r="K722" s="112"/>
      <c r="L722" s="112"/>
      <c r="M722" s="112"/>
    </row>
    <row r="723" spans="1:13" x14ac:dyDescent="0.3">
      <c r="A723" s="147" t="str">
        <f ca="1">Prices!$A$722</f>
        <v/>
      </c>
      <c r="B723" s="148" t="str">
        <f ca="1">IFERROR(Prices!B722/Prices!B721-1,"")</f>
        <v/>
      </c>
      <c r="C723" s="148" t="str">
        <f ca="1">IFERROR(Prices!C722/Prices!C721-1,"")</f>
        <v/>
      </c>
      <c r="D723" s="148" t="str">
        <f ca="1">IFERROR(Prices!D722/Prices!D721-1,"")</f>
        <v/>
      </c>
      <c r="E723" s="148" t="str">
        <f ca="1">IFERROR(Prices!E722/Prices!E721-1,"")</f>
        <v/>
      </c>
      <c r="F723" s="148" t="str">
        <f ca="1">IFERROR(Prices!F722/Prices!F721-1,"")</f>
        <v/>
      </c>
      <c r="G723" s="148" t="str">
        <f ca="1">IFERROR(Prices!G722/Prices!G721-1,"")</f>
        <v/>
      </c>
      <c r="H723" s="148" t="str">
        <f ca="1">IFERROR(Prices!H722/Prices!H721-1,"")</f>
        <v/>
      </c>
      <c r="I723" s="149" t="str">
        <f ca="1">IFERROR(Prices!I722/Prices!I721-1,"")</f>
        <v/>
      </c>
      <c r="J723" s="150">
        <f t="shared" ca="1" si="13"/>
        <v>0</v>
      </c>
      <c r="K723" s="112"/>
      <c r="L723" s="112"/>
      <c r="M723" s="112"/>
    </row>
    <row r="724" spans="1:13" x14ac:dyDescent="0.3">
      <c r="A724" s="147" t="str">
        <f ca="1">Prices!$A$723</f>
        <v/>
      </c>
      <c r="B724" s="148" t="str">
        <f ca="1">IFERROR(Prices!B723/Prices!B722-1,"")</f>
        <v/>
      </c>
      <c r="C724" s="148" t="str">
        <f ca="1">IFERROR(Prices!C723/Prices!C722-1,"")</f>
        <v/>
      </c>
      <c r="D724" s="148" t="str">
        <f ca="1">IFERROR(Prices!D723/Prices!D722-1,"")</f>
        <v/>
      </c>
      <c r="E724" s="148" t="str">
        <f ca="1">IFERROR(Prices!E723/Prices!E722-1,"")</f>
        <v/>
      </c>
      <c r="F724" s="148" t="str">
        <f ca="1">IFERROR(Prices!F723/Prices!F722-1,"")</f>
        <v/>
      </c>
      <c r="G724" s="148" t="str">
        <f ca="1">IFERROR(Prices!G723/Prices!G722-1,"")</f>
        <v/>
      </c>
      <c r="H724" s="148" t="str">
        <f ca="1">IFERROR(Prices!H723/Prices!H722-1,"")</f>
        <v/>
      </c>
      <c r="I724" s="149" t="str">
        <f ca="1">IFERROR(Prices!I723/Prices!I722-1,"")</f>
        <v/>
      </c>
      <c r="J724" s="150">
        <f t="shared" ca="1" si="13"/>
        <v>0</v>
      </c>
      <c r="K724" s="112"/>
      <c r="L724" s="112"/>
      <c r="M724" s="112"/>
    </row>
    <row r="725" spans="1:13" x14ac:dyDescent="0.3">
      <c r="A725" s="147" t="str">
        <f ca="1">Prices!$A$724</f>
        <v/>
      </c>
      <c r="B725" s="148" t="str">
        <f ca="1">IFERROR(Prices!B724/Prices!B723-1,"")</f>
        <v/>
      </c>
      <c r="C725" s="148" t="str">
        <f ca="1">IFERROR(Prices!C724/Prices!C723-1,"")</f>
        <v/>
      </c>
      <c r="D725" s="148" t="str">
        <f ca="1">IFERROR(Prices!D724/Prices!D723-1,"")</f>
        <v/>
      </c>
      <c r="E725" s="148" t="str">
        <f ca="1">IFERROR(Prices!E724/Prices!E723-1,"")</f>
        <v/>
      </c>
      <c r="F725" s="148" t="str">
        <f ca="1">IFERROR(Prices!F724/Prices!F723-1,"")</f>
        <v/>
      </c>
      <c r="G725" s="148" t="str">
        <f ca="1">IFERROR(Prices!G724/Prices!G723-1,"")</f>
        <v/>
      </c>
      <c r="H725" s="148" t="str">
        <f ca="1">IFERROR(Prices!H724/Prices!H723-1,"")</f>
        <v/>
      </c>
      <c r="I725" s="149" t="str">
        <f ca="1">IFERROR(Prices!I724/Prices!I723-1,"")</f>
        <v/>
      </c>
      <c r="J725" s="150">
        <f t="shared" ca="1" si="13"/>
        <v>0</v>
      </c>
      <c r="K725" s="112"/>
      <c r="L725" s="112"/>
      <c r="M725" s="112"/>
    </row>
    <row r="726" spans="1:13" x14ac:dyDescent="0.3">
      <c r="A726" s="147" t="str">
        <f ca="1">Prices!$A$725</f>
        <v/>
      </c>
      <c r="B726" s="148" t="str">
        <f ca="1">IFERROR(Prices!B725/Prices!B724-1,"")</f>
        <v/>
      </c>
      <c r="C726" s="148" t="str">
        <f ca="1">IFERROR(Prices!C725/Prices!C724-1,"")</f>
        <v/>
      </c>
      <c r="D726" s="148" t="str">
        <f ca="1">IFERROR(Prices!D725/Prices!D724-1,"")</f>
        <v/>
      </c>
      <c r="E726" s="148" t="str">
        <f ca="1">IFERROR(Prices!E725/Prices!E724-1,"")</f>
        <v/>
      </c>
      <c r="F726" s="148" t="str">
        <f ca="1">IFERROR(Prices!F725/Prices!F724-1,"")</f>
        <v/>
      </c>
      <c r="G726" s="148" t="str">
        <f ca="1">IFERROR(Prices!G725/Prices!G724-1,"")</f>
        <v/>
      </c>
      <c r="H726" s="148" t="str">
        <f ca="1">IFERROR(Prices!H725/Prices!H724-1,"")</f>
        <v/>
      </c>
      <c r="I726" s="149" t="str">
        <f ca="1">IFERROR(Prices!I725/Prices!I724-1,"")</f>
        <v/>
      </c>
      <c r="J726" s="150">
        <f t="shared" ca="1" si="13"/>
        <v>0</v>
      </c>
      <c r="K726" s="112"/>
      <c r="L726" s="112"/>
      <c r="M726" s="112"/>
    </row>
    <row r="727" spans="1:13" x14ac:dyDescent="0.3">
      <c r="A727" s="147" t="str">
        <f ca="1">Prices!$A$726</f>
        <v/>
      </c>
      <c r="B727" s="148" t="str">
        <f ca="1">IFERROR(Prices!B726/Prices!B725-1,"")</f>
        <v/>
      </c>
      <c r="C727" s="148" t="str">
        <f ca="1">IFERROR(Prices!C726/Prices!C725-1,"")</f>
        <v/>
      </c>
      <c r="D727" s="148" t="str">
        <f ca="1">IFERROR(Prices!D726/Prices!D725-1,"")</f>
        <v/>
      </c>
      <c r="E727" s="148" t="str">
        <f ca="1">IFERROR(Prices!E726/Prices!E725-1,"")</f>
        <v/>
      </c>
      <c r="F727" s="148" t="str">
        <f ca="1">IFERROR(Prices!F726/Prices!F725-1,"")</f>
        <v/>
      </c>
      <c r="G727" s="148" t="str">
        <f ca="1">IFERROR(Prices!G726/Prices!G725-1,"")</f>
        <v/>
      </c>
      <c r="H727" s="148" t="str">
        <f ca="1">IFERROR(Prices!H726/Prices!H725-1,"")</f>
        <v/>
      </c>
      <c r="I727" s="149" t="str">
        <f ca="1">IFERROR(Prices!I726/Prices!I725-1,"")</f>
        <v/>
      </c>
      <c r="J727" s="150">
        <f t="shared" ca="1" si="13"/>
        <v>0</v>
      </c>
      <c r="K727" s="112"/>
      <c r="L727" s="112"/>
      <c r="M727" s="112"/>
    </row>
    <row r="728" spans="1:13" x14ac:dyDescent="0.3">
      <c r="A728" s="147" t="str">
        <f ca="1">Prices!$A$727</f>
        <v/>
      </c>
      <c r="B728" s="148" t="str">
        <f ca="1">IFERROR(Prices!B727/Prices!B726-1,"")</f>
        <v/>
      </c>
      <c r="C728" s="148" t="str">
        <f ca="1">IFERROR(Prices!C727/Prices!C726-1,"")</f>
        <v/>
      </c>
      <c r="D728" s="148" t="str">
        <f ca="1">IFERROR(Prices!D727/Prices!D726-1,"")</f>
        <v/>
      </c>
      <c r="E728" s="148" t="str">
        <f ca="1">IFERROR(Prices!E727/Prices!E726-1,"")</f>
        <v/>
      </c>
      <c r="F728" s="148" t="str">
        <f ca="1">IFERROR(Prices!F727/Prices!F726-1,"")</f>
        <v/>
      </c>
      <c r="G728" s="148" t="str">
        <f ca="1">IFERROR(Prices!G727/Prices!G726-1,"")</f>
        <v/>
      </c>
      <c r="H728" s="148" t="str">
        <f ca="1">IFERROR(Prices!H727/Prices!H726-1,"")</f>
        <v/>
      </c>
      <c r="I728" s="149" t="str">
        <f ca="1">IFERROR(Prices!I727/Prices!I726-1,"")</f>
        <v/>
      </c>
      <c r="J728" s="150">
        <f t="shared" ca="1" si="13"/>
        <v>0</v>
      </c>
      <c r="K728" s="112"/>
      <c r="L728" s="112"/>
      <c r="M728" s="112"/>
    </row>
    <row r="729" spans="1:13" x14ac:dyDescent="0.3">
      <c r="A729" s="147" t="str">
        <f ca="1">Prices!$A$728</f>
        <v/>
      </c>
      <c r="B729" s="148" t="str">
        <f ca="1">IFERROR(Prices!B728/Prices!B727-1,"")</f>
        <v/>
      </c>
      <c r="C729" s="148" t="str">
        <f ca="1">IFERROR(Prices!C728/Prices!C727-1,"")</f>
        <v/>
      </c>
      <c r="D729" s="148" t="str">
        <f ca="1">IFERROR(Prices!D728/Prices!D727-1,"")</f>
        <v/>
      </c>
      <c r="E729" s="148" t="str">
        <f ca="1">IFERROR(Prices!E728/Prices!E727-1,"")</f>
        <v/>
      </c>
      <c r="F729" s="148" t="str">
        <f ca="1">IFERROR(Prices!F728/Prices!F727-1,"")</f>
        <v/>
      </c>
      <c r="G729" s="148" t="str">
        <f ca="1">IFERROR(Prices!G728/Prices!G727-1,"")</f>
        <v/>
      </c>
      <c r="H729" s="148" t="str">
        <f ca="1">IFERROR(Prices!H728/Prices!H727-1,"")</f>
        <v/>
      </c>
      <c r="I729" s="149" t="str">
        <f ca="1">IFERROR(Prices!I728/Prices!I727-1,"")</f>
        <v/>
      </c>
      <c r="J729" s="150">
        <f t="shared" ca="1" si="13"/>
        <v>0</v>
      </c>
      <c r="K729" s="112"/>
      <c r="L729" s="112"/>
      <c r="M729" s="112"/>
    </row>
    <row r="730" spans="1:13" x14ac:dyDescent="0.3">
      <c r="A730" s="147" t="str">
        <f ca="1">Prices!$A$729</f>
        <v/>
      </c>
      <c r="B730" s="148" t="str">
        <f ca="1">IFERROR(Prices!B729/Prices!B728-1,"")</f>
        <v/>
      </c>
      <c r="C730" s="148" t="str">
        <f ca="1">IFERROR(Prices!C729/Prices!C728-1,"")</f>
        <v/>
      </c>
      <c r="D730" s="148" t="str">
        <f ca="1">IFERROR(Prices!D729/Prices!D728-1,"")</f>
        <v/>
      </c>
      <c r="E730" s="148" t="str">
        <f ca="1">IFERROR(Prices!E729/Prices!E728-1,"")</f>
        <v/>
      </c>
      <c r="F730" s="148" t="str">
        <f ca="1">IFERROR(Prices!F729/Prices!F728-1,"")</f>
        <v/>
      </c>
      <c r="G730" s="148" t="str">
        <f ca="1">IFERROR(Prices!G729/Prices!G728-1,"")</f>
        <v/>
      </c>
      <c r="H730" s="148" t="str">
        <f ca="1">IFERROR(Prices!H729/Prices!H728-1,"")</f>
        <v/>
      </c>
      <c r="I730" s="149" t="str">
        <f ca="1">IFERROR(Prices!I729/Prices!I728-1,"")</f>
        <v/>
      </c>
      <c r="J730" s="150">
        <f t="shared" ca="1" si="13"/>
        <v>0</v>
      </c>
      <c r="K730" s="112"/>
      <c r="L730" s="112"/>
      <c r="M730" s="112"/>
    </row>
    <row r="731" spans="1:13" x14ac:dyDescent="0.3">
      <c r="A731" s="147" t="str">
        <f ca="1">Prices!$A$730</f>
        <v/>
      </c>
      <c r="B731" s="148" t="str">
        <f ca="1">IFERROR(Prices!B730/Prices!B729-1,"")</f>
        <v/>
      </c>
      <c r="C731" s="148" t="str">
        <f ca="1">IFERROR(Prices!C730/Prices!C729-1,"")</f>
        <v/>
      </c>
      <c r="D731" s="148" t="str">
        <f ca="1">IFERROR(Prices!D730/Prices!D729-1,"")</f>
        <v/>
      </c>
      <c r="E731" s="148" t="str">
        <f ca="1">IFERROR(Prices!E730/Prices!E729-1,"")</f>
        <v/>
      </c>
      <c r="F731" s="148" t="str">
        <f ca="1">IFERROR(Prices!F730/Prices!F729-1,"")</f>
        <v/>
      </c>
      <c r="G731" s="148" t="str">
        <f ca="1">IFERROR(Prices!G730/Prices!G729-1,"")</f>
        <v/>
      </c>
      <c r="H731" s="148" t="str">
        <f ca="1">IFERROR(Prices!H730/Prices!H729-1,"")</f>
        <v/>
      </c>
      <c r="I731" s="149" t="str">
        <f ca="1">IFERROR(Prices!I730/Prices!I729-1,"")</f>
        <v/>
      </c>
      <c r="J731" s="150">
        <f t="shared" ca="1" si="13"/>
        <v>0</v>
      </c>
      <c r="K731" s="112"/>
      <c r="L731" s="112"/>
      <c r="M731" s="112"/>
    </row>
    <row r="732" spans="1:13" x14ac:dyDescent="0.3">
      <c r="A732" s="147" t="str">
        <f ca="1">Prices!$A$731</f>
        <v/>
      </c>
      <c r="B732" s="148" t="str">
        <f ca="1">IFERROR(Prices!B731/Prices!B730-1,"")</f>
        <v/>
      </c>
      <c r="C732" s="148" t="str">
        <f ca="1">IFERROR(Prices!C731/Prices!C730-1,"")</f>
        <v/>
      </c>
      <c r="D732" s="148" t="str">
        <f ca="1">IFERROR(Prices!D731/Prices!D730-1,"")</f>
        <v/>
      </c>
      <c r="E732" s="148" t="str">
        <f ca="1">IFERROR(Prices!E731/Prices!E730-1,"")</f>
        <v/>
      </c>
      <c r="F732" s="148" t="str">
        <f ca="1">IFERROR(Prices!F731/Prices!F730-1,"")</f>
        <v/>
      </c>
      <c r="G732" s="148" t="str">
        <f ca="1">IFERROR(Prices!G731/Prices!G730-1,"")</f>
        <v/>
      </c>
      <c r="H732" s="148" t="str">
        <f ca="1">IFERROR(Prices!H731/Prices!H730-1,"")</f>
        <v/>
      </c>
      <c r="I732" s="149" t="str">
        <f ca="1">IFERROR(Prices!I731/Prices!I730-1,"")</f>
        <v/>
      </c>
      <c r="J732" s="150">
        <f t="shared" ca="1" si="13"/>
        <v>0</v>
      </c>
      <c r="K732" s="112"/>
      <c r="L732" s="112"/>
      <c r="M732" s="112"/>
    </row>
    <row r="733" spans="1:13" x14ac:dyDescent="0.3">
      <c r="A733" s="147" t="str">
        <f ca="1">Prices!$A$732</f>
        <v/>
      </c>
      <c r="B733" s="148" t="str">
        <f ca="1">IFERROR(Prices!B732/Prices!B731-1,"")</f>
        <v/>
      </c>
      <c r="C733" s="148" t="str">
        <f ca="1">IFERROR(Prices!C732/Prices!C731-1,"")</f>
        <v/>
      </c>
      <c r="D733" s="148" t="str">
        <f ca="1">IFERROR(Prices!D732/Prices!D731-1,"")</f>
        <v/>
      </c>
      <c r="E733" s="148" t="str">
        <f ca="1">IFERROR(Prices!E732/Prices!E731-1,"")</f>
        <v/>
      </c>
      <c r="F733" s="148" t="str">
        <f ca="1">IFERROR(Prices!F732/Prices!F731-1,"")</f>
        <v/>
      </c>
      <c r="G733" s="148" t="str">
        <f ca="1">IFERROR(Prices!G732/Prices!G731-1,"")</f>
        <v/>
      </c>
      <c r="H733" s="148" t="str">
        <f ca="1">IFERROR(Prices!H732/Prices!H731-1,"")</f>
        <v/>
      </c>
      <c r="I733" s="149" t="str">
        <f ca="1">IFERROR(Prices!I732/Prices!I731-1,"")</f>
        <v/>
      </c>
      <c r="J733" s="150">
        <f t="shared" ca="1" si="13"/>
        <v>0</v>
      </c>
      <c r="K733" s="112"/>
      <c r="L733" s="112"/>
      <c r="M733" s="112"/>
    </row>
    <row r="734" spans="1:13" x14ac:dyDescent="0.3">
      <c r="A734" s="147" t="str">
        <f ca="1">Prices!$A$733</f>
        <v/>
      </c>
      <c r="B734" s="148" t="str">
        <f ca="1">IFERROR(Prices!B733/Prices!B732-1,"")</f>
        <v/>
      </c>
      <c r="C734" s="148" t="str">
        <f ca="1">IFERROR(Prices!C733/Prices!C732-1,"")</f>
        <v/>
      </c>
      <c r="D734" s="148" t="str">
        <f ca="1">IFERROR(Prices!D733/Prices!D732-1,"")</f>
        <v/>
      </c>
      <c r="E734" s="148" t="str">
        <f ca="1">IFERROR(Prices!E733/Prices!E732-1,"")</f>
        <v/>
      </c>
      <c r="F734" s="148" t="str">
        <f ca="1">IFERROR(Prices!F733/Prices!F732-1,"")</f>
        <v/>
      </c>
      <c r="G734" s="148" t="str">
        <f ca="1">IFERROR(Prices!G733/Prices!G732-1,"")</f>
        <v/>
      </c>
      <c r="H734" s="148" t="str">
        <f ca="1">IFERROR(Prices!H733/Prices!H732-1,"")</f>
        <v/>
      </c>
      <c r="I734" s="149" t="str">
        <f ca="1">IFERROR(Prices!I733/Prices!I732-1,"")</f>
        <v/>
      </c>
      <c r="J734" s="150">
        <f t="shared" ca="1" si="13"/>
        <v>0</v>
      </c>
      <c r="K734" s="112"/>
      <c r="L734" s="112"/>
      <c r="M734" s="112"/>
    </row>
    <row r="735" spans="1:13" x14ac:dyDescent="0.3">
      <c r="A735" s="147" t="str">
        <f ca="1">Prices!$A$734</f>
        <v/>
      </c>
      <c r="B735" s="148" t="str">
        <f ca="1">IFERROR(Prices!B734/Prices!B733-1,"")</f>
        <v/>
      </c>
      <c r="C735" s="148" t="str">
        <f ca="1">IFERROR(Prices!C734/Prices!C733-1,"")</f>
        <v/>
      </c>
      <c r="D735" s="148" t="str">
        <f ca="1">IFERROR(Prices!D734/Prices!D733-1,"")</f>
        <v/>
      </c>
      <c r="E735" s="148" t="str">
        <f ca="1">IFERROR(Prices!E734/Prices!E733-1,"")</f>
        <v/>
      </c>
      <c r="F735" s="148" t="str">
        <f ca="1">IFERROR(Prices!F734/Prices!F733-1,"")</f>
        <v/>
      </c>
      <c r="G735" s="148" t="str">
        <f ca="1">IFERROR(Prices!G734/Prices!G733-1,"")</f>
        <v/>
      </c>
      <c r="H735" s="148" t="str">
        <f ca="1">IFERROR(Prices!H734/Prices!H733-1,"")</f>
        <v/>
      </c>
      <c r="I735" s="149" t="str">
        <f ca="1">IFERROR(Prices!I734/Prices!I733-1,"")</f>
        <v/>
      </c>
      <c r="J735" s="150">
        <f t="shared" ca="1" si="13"/>
        <v>0</v>
      </c>
      <c r="K735" s="112"/>
      <c r="L735" s="112"/>
      <c r="M735" s="112"/>
    </row>
    <row r="736" spans="1:13" x14ac:dyDescent="0.3">
      <c r="A736" s="147" t="str">
        <f ca="1">Prices!$A$735</f>
        <v/>
      </c>
      <c r="B736" s="148" t="str">
        <f ca="1">IFERROR(Prices!B735/Prices!B734-1,"")</f>
        <v/>
      </c>
      <c r="C736" s="148" t="str">
        <f ca="1">IFERROR(Prices!C735/Prices!C734-1,"")</f>
        <v/>
      </c>
      <c r="D736" s="148" t="str">
        <f ca="1">IFERROR(Prices!D735/Prices!D734-1,"")</f>
        <v/>
      </c>
      <c r="E736" s="148" t="str">
        <f ca="1">IFERROR(Prices!E735/Prices!E734-1,"")</f>
        <v/>
      </c>
      <c r="F736" s="148" t="str">
        <f ca="1">IFERROR(Prices!F735/Prices!F734-1,"")</f>
        <v/>
      </c>
      <c r="G736" s="148" t="str">
        <f ca="1">IFERROR(Prices!G735/Prices!G734-1,"")</f>
        <v/>
      </c>
      <c r="H736" s="148" t="str">
        <f ca="1">IFERROR(Prices!H735/Prices!H734-1,"")</f>
        <v/>
      </c>
      <c r="I736" s="149" t="str">
        <f ca="1">IFERROR(Prices!I735/Prices!I734-1,"")</f>
        <v/>
      </c>
      <c r="J736" s="150">
        <f t="shared" ca="1" si="13"/>
        <v>0</v>
      </c>
      <c r="K736" s="112"/>
      <c r="L736" s="112"/>
      <c r="M736" s="112"/>
    </row>
    <row r="737" spans="1:13" x14ac:dyDescent="0.3">
      <c r="A737" s="147" t="str">
        <f ca="1">Prices!$A$736</f>
        <v/>
      </c>
      <c r="B737" s="148" t="str">
        <f ca="1">IFERROR(Prices!B736/Prices!B735-1,"")</f>
        <v/>
      </c>
      <c r="C737" s="148" t="str">
        <f ca="1">IFERROR(Prices!C736/Prices!C735-1,"")</f>
        <v/>
      </c>
      <c r="D737" s="148" t="str">
        <f ca="1">IFERROR(Prices!D736/Prices!D735-1,"")</f>
        <v/>
      </c>
      <c r="E737" s="148" t="str">
        <f ca="1">IFERROR(Prices!E736/Prices!E735-1,"")</f>
        <v/>
      </c>
      <c r="F737" s="148" t="str">
        <f ca="1">IFERROR(Prices!F736/Prices!F735-1,"")</f>
        <v/>
      </c>
      <c r="G737" s="148" t="str">
        <f ca="1">IFERROR(Prices!G736/Prices!G735-1,"")</f>
        <v/>
      </c>
      <c r="H737" s="148" t="str">
        <f ca="1">IFERROR(Prices!H736/Prices!H735-1,"")</f>
        <v/>
      </c>
      <c r="I737" s="149" t="str">
        <f ca="1">IFERROR(Prices!I736/Prices!I735-1,"")</f>
        <v/>
      </c>
      <c r="J737" s="150">
        <f t="shared" ca="1" si="13"/>
        <v>0</v>
      </c>
      <c r="K737" s="112"/>
      <c r="L737" s="112"/>
      <c r="M737" s="112"/>
    </row>
    <row r="738" spans="1:13" x14ac:dyDescent="0.3">
      <c r="A738" s="147" t="str">
        <f ca="1">Prices!$A$737</f>
        <v/>
      </c>
      <c r="B738" s="148" t="str">
        <f ca="1">IFERROR(Prices!B737/Prices!B736-1,"")</f>
        <v/>
      </c>
      <c r="C738" s="148" t="str">
        <f ca="1">IFERROR(Prices!C737/Prices!C736-1,"")</f>
        <v/>
      </c>
      <c r="D738" s="148" t="str">
        <f ca="1">IFERROR(Prices!D737/Prices!D736-1,"")</f>
        <v/>
      </c>
      <c r="E738" s="148" t="str">
        <f ca="1">IFERROR(Prices!E737/Prices!E736-1,"")</f>
        <v/>
      </c>
      <c r="F738" s="148" t="str">
        <f ca="1">IFERROR(Prices!F737/Prices!F736-1,"")</f>
        <v/>
      </c>
      <c r="G738" s="148" t="str">
        <f ca="1">IFERROR(Prices!G737/Prices!G736-1,"")</f>
        <v/>
      </c>
      <c r="H738" s="148" t="str">
        <f ca="1">IFERROR(Prices!H737/Prices!H736-1,"")</f>
        <v/>
      </c>
      <c r="I738" s="149" t="str">
        <f ca="1">IFERROR(Prices!I737/Prices!I736-1,"")</f>
        <v/>
      </c>
      <c r="J738" s="150">
        <f t="shared" ca="1" si="13"/>
        <v>0</v>
      </c>
      <c r="K738" s="112"/>
      <c r="L738" s="112"/>
      <c r="M738" s="112"/>
    </row>
    <row r="739" spans="1:13" x14ac:dyDescent="0.3">
      <c r="A739" s="147" t="str">
        <f ca="1">Prices!$A$738</f>
        <v/>
      </c>
      <c r="B739" s="148" t="str">
        <f ca="1">IFERROR(Prices!B738/Prices!B737-1,"")</f>
        <v/>
      </c>
      <c r="C739" s="148" t="str">
        <f ca="1">IFERROR(Prices!C738/Prices!C737-1,"")</f>
        <v/>
      </c>
      <c r="D739" s="148" t="str">
        <f ca="1">IFERROR(Prices!D738/Prices!D737-1,"")</f>
        <v/>
      </c>
      <c r="E739" s="148" t="str">
        <f ca="1">IFERROR(Prices!E738/Prices!E737-1,"")</f>
        <v/>
      </c>
      <c r="F739" s="148" t="str">
        <f ca="1">IFERROR(Prices!F738/Prices!F737-1,"")</f>
        <v/>
      </c>
      <c r="G739" s="148" t="str">
        <f ca="1">IFERROR(Prices!G738/Prices!G737-1,"")</f>
        <v/>
      </c>
      <c r="H739" s="148" t="str">
        <f ca="1">IFERROR(Prices!H738/Prices!H737-1,"")</f>
        <v/>
      </c>
      <c r="I739" s="149" t="str">
        <f ca="1">IFERROR(Prices!I738/Prices!I737-1,"")</f>
        <v/>
      </c>
      <c r="J739" s="150">
        <f t="shared" ca="1" si="13"/>
        <v>0</v>
      </c>
      <c r="K739" s="112"/>
      <c r="L739" s="112"/>
      <c r="M739" s="112"/>
    </row>
    <row r="740" spans="1:13" x14ac:dyDescent="0.3">
      <c r="A740" s="147" t="str">
        <f ca="1">Prices!$A$739</f>
        <v/>
      </c>
      <c r="B740" s="148" t="str">
        <f ca="1">IFERROR(Prices!B739/Prices!B738-1,"")</f>
        <v/>
      </c>
      <c r="C740" s="148" t="str">
        <f ca="1">IFERROR(Prices!C739/Prices!C738-1,"")</f>
        <v/>
      </c>
      <c r="D740" s="148" t="str">
        <f ca="1">IFERROR(Prices!D739/Prices!D738-1,"")</f>
        <v/>
      </c>
      <c r="E740" s="148" t="str">
        <f ca="1">IFERROR(Prices!E739/Prices!E738-1,"")</f>
        <v/>
      </c>
      <c r="F740" s="148" t="str">
        <f ca="1">IFERROR(Prices!F739/Prices!F738-1,"")</f>
        <v/>
      </c>
      <c r="G740" s="148" t="str">
        <f ca="1">IFERROR(Prices!G739/Prices!G738-1,"")</f>
        <v/>
      </c>
      <c r="H740" s="148" t="str">
        <f ca="1">IFERROR(Prices!H739/Prices!H738-1,"")</f>
        <v/>
      </c>
      <c r="I740" s="149" t="str">
        <f ca="1">IFERROR(Prices!I739/Prices!I738-1,"")</f>
        <v/>
      </c>
      <c r="J740" s="150">
        <f t="shared" ca="1" si="13"/>
        <v>0</v>
      </c>
      <c r="K740" s="112"/>
      <c r="L740" s="112"/>
      <c r="M740" s="112"/>
    </row>
    <row r="741" spans="1:13" x14ac:dyDescent="0.3">
      <c r="A741" s="147" t="str">
        <f ca="1">Prices!$A$740</f>
        <v/>
      </c>
      <c r="B741" s="148" t="str">
        <f ca="1">IFERROR(Prices!B740/Prices!B739-1,"")</f>
        <v/>
      </c>
      <c r="C741" s="148" t="str">
        <f ca="1">IFERROR(Prices!C740/Prices!C739-1,"")</f>
        <v/>
      </c>
      <c r="D741" s="148" t="str">
        <f ca="1">IFERROR(Prices!D740/Prices!D739-1,"")</f>
        <v/>
      </c>
      <c r="E741" s="148" t="str">
        <f ca="1">IFERROR(Prices!E740/Prices!E739-1,"")</f>
        <v/>
      </c>
      <c r="F741" s="148" t="str">
        <f ca="1">IFERROR(Prices!F740/Prices!F739-1,"")</f>
        <v/>
      </c>
      <c r="G741" s="148" t="str">
        <f ca="1">IFERROR(Prices!G740/Prices!G739-1,"")</f>
        <v/>
      </c>
      <c r="H741" s="148" t="str">
        <f ca="1">IFERROR(Prices!H740/Prices!H739-1,"")</f>
        <v/>
      </c>
      <c r="I741" s="149" t="str">
        <f ca="1">IFERROR(Prices!I740/Prices!I739-1,"")</f>
        <v/>
      </c>
      <c r="J741" s="150">
        <f t="shared" ca="1" si="13"/>
        <v>0</v>
      </c>
      <c r="K741" s="112"/>
      <c r="L741" s="112"/>
      <c r="M741" s="112"/>
    </row>
    <row r="742" spans="1:13" x14ac:dyDescent="0.3">
      <c r="A742" s="147" t="str">
        <f ca="1">Prices!$A$741</f>
        <v/>
      </c>
      <c r="B742" s="148" t="str">
        <f ca="1">IFERROR(Prices!B741/Prices!B740-1,"")</f>
        <v/>
      </c>
      <c r="C742" s="148" t="str">
        <f ca="1">IFERROR(Prices!C741/Prices!C740-1,"")</f>
        <v/>
      </c>
      <c r="D742" s="148" t="str">
        <f ca="1">IFERROR(Prices!D741/Prices!D740-1,"")</f>
        <v/>
      </c>
      <c r="E742" s="148" t="str">
        <f ca="1">IFERROR(Prices!E741/Prices!E740-1,"")</f>
        <v/>
      </c>
      <c r="F742" s="148" t="str">
        <f ca="1">IFERROR(Prices!F741/Prices!F740-1,"")</f>
        <v/>
      </c>
      <c r="G742" s="148" t="str">
        <f ca="1">IFERROR(Prices!G741/Prices!G740-1,"")</f>
        <v/>
      </c>
      <c r="H742" s="148" t="str">
        <f ca="1">IFERROR(Prices!H741/Prices!H740-1,"")</f>
        <v/>
      </c>
      <c r="I742" s="149" t="str">
        <f ca="1">IFERROR(Prices!I741/Prices!I740-1,"")</f>
        <v/>
      </c>
      <c r="J742" s="150">
        <f t="shared" ca="1" si="13"/>
        <v>0</v>
      </c>
      <c r="K742" s="112"/>
      <c r="L742" s="112"/>
      <c r="M742" s="112"/>
    </row>
    <row r="743" spans="1:13" x14ac:dyDescent="0.3">
      <c r="A743" s="147" t="str">
        <f ca="1">Prices!$A$742</f>
        <v/>
      </c>
      <c r="B743" s="148" t="str">
        <f ca="1">IFERROR(Prices!B742/Prices!B741-1,"")</f>
        <v/>
      </c>
      <c r="C743" s="148" t="str">
        <f ca="1">IFERROR(Prices!C742/Prices!C741-1,"")</f>
        <v/>
      </c>
      <c r="D743" s="148" t="str">
        <f ca="1">IFERROR(Prices!D742/Prices!D741-1,"")</f>
        <v/>
      </c>
      <c r="E743" s="148" t="str">
        <f ca="1">IFERROR(Prices!E742/Prices!E741-1,"")</f>
        <v/>
      </c>
      <c r="F743" s="148" t="str">
        <f ca="1">IFERROR(Prices!F742/Prices!F741-1,"")</f>
        <v/>
      </c>
      <c r="G743" s="148" t="str">
        <f ca="1">IFERROR(Prices!G742/Prices!G741-1,"")</f>
        <v/>
      </c>
      <c r="H743" s="148" t="str">
        <f ca="1">IFERROR(Prices!H742/Prices!H741-1,"")</f>
        <v/>
      </c>
      <c r="I743" s="149" t="str">
        <f ca="1">IFERROR(Prices!I742/Prices!I741-1,"")</f>
        <v/>
      </c>
      <c r="J743" s="150">
        <f t="shared" ca="1" si="13"/>
        <v>0</v>
      </c>
      <c r="K743" s="112"/>
      <c r="L743" s="112"/>
      <c r="M743" s="112"/>
    </row>
    <row r="744" spans="1:13" x14ac:dyDescent="0.3">
      <c r="A744" s="147" t="str">
        <f ca="1">Prices!$A$743</f>
        <v/>
      </c>
      <c r="B744" s="148" t="str">
        <f ca="1">IFERROR(Prices!B743/Prices!B742-1,"")</f>
        <v/>
      </c>
      <c r="C744" s="148" t="str">
        <f ca="1">IFERROR(Prices!C743/Prices!C742-1,"")</f>
        <v/>
      </c>
      <c r="D744" s="148" t="str">
        <f ca="1">IFERROR(Prices!D743/Prices!D742-1,"")</f>
        <v/>
      </c>
      <c r="E744" s="148" t="str">
        <f ca="1">IFERROR(Prices!E743/Prices!E742-1,"")</f>
        <v/>
      </c>
      <c r="F744" s="148" t="str">
        <f ca="1">IFERROR(Prices!F743/Prices!F742-1,"")</f>
        <v/>
      </c>
      <c r="G744" s="148" t="str">
        <f ca="1">IFERROR(Prices!G743/Prices!G742-1,"")</f>
        <v/>
      </c>
      <c r="H744" s="148" t="str">
        <f ca="1">IFERROR(Prices!H743/Prices!H742-1,"")</f>
        <v/>
      </c>
      <c r="I744" s="149" t="str">
        <f ca="1">IFERROR(Prices!I743/Prices!I742-1,"")</f>
        <v/>
      </c>
      <c r="J744" s="150">
        <f t="shared" ca="1" si="13"/>
        <v>0</v>
      </c>
      <c r="K744" s="112"/>
      <c r="L744" s="112"/>
      <c r="M744" s="112"/>
    </row>
    <row r="745" spans="1:13" x14ac:dyDescent="0.3">
      <c r="A745" s="147" t="str">
        <f ca="1">Prices!$A$744</f>
        <v/>
      </c>
      <c r="B745" s="148" t="str">
        <f ca="1">IFERROR(Prices!B744/Prices!B743-1,"")</f>
        <v/>
      </c>
      <c r="C745" s="148" t="str">
        <f ca="1">IFERROR(Prices!C744/Prices!C743-1,"")</f>
        <v/>
      </c>
      <c r="D745" s="148" t="str">
        <f ca="1">IFERROR(Prices!D744/Prices!D743-1,"")</f>
        <v/>
      </c>
      <c r="E745" s="148" t="str">
        <f ca="1">IFERROR(Prices!E744/Prices!E743-1,"")</f>
        <v/>
      </c>
      <c r="F745" s="148" t="str">
        <f ca="1">IFERROR(Prices!F744/Prices!F743-1,"")</f>
        <v/>
      </c>
      <c r="G745" s="148" t="str">
        <f ca="1">IFERROR(Prices!G744/Prices!G743-1,"")</f>
        <v/>
      </c>
      <c r="H745" s="148" t="str">
        <f ca="1">IFERROR(Prices!H744/Prices!H743-1,"")</f>
        <v/>
      </c>
      <c r="I745" s="149" t="str">
        <f ca="1">IFERROR(Prices!I744/Prices!I743-1,"")</f>
        <v/>
      </c>
      <c r="J745" s="150">
        <f t="shared" ca="1" si="13"/>
        <v>0</v>
      </c>
      <c r="K745" s="112"/>
      <c r="L745" s="112"/>
      <c r="M745" s="112"/>
    </row>
    <row r="746" spans="1:13" x14ac:dyDescent="0.3">
      <c r="A746" s="147" t="str">
        <f ca="1">Prices!$A$745</f>
        <v/>
      </c>
      <c r="B746" s="148" t="str">
        <f ca="1">IFERROR(Prices!B745/Prices!B744-1,"")</f>
        <v/>
      </c>
      <c r="C746" s="148" t="str">
        <f ca="1">IFERROR(Prices!C745/Prices!C744-1,"")</f>
        <v/>
      </c>
      <c r="D746" s="148" t="str">
        <f ca="1">IFERROR(Prices!D745/Prices!D744-1,"")</f>
        <v/>
      </c>
      <c r="E746" s="148" t="str">
        <f ca="1">IFERROR(Prices!E745/Prices!E744-1,"")</f>
        <v/>
      </c>
      <c r="F746" s="148" t="str">
        <f ca="1">IFERROR(Prices!F745/Prices!F744-1,"")</f>
        <v/>
      </c>
      <c r="G746" s="148" t="str">
        <f ca="1">IFERROR(Prices!G745/Prices!G744-1,"")</f>
        <v/>
      </c>
      <c r="H746" s="148" t="str">
        <f ca="1">IFERROR(Prices!H745/Prices!H744-1,"")</f>
        <v/>
      </c>
      <c r="I746" s="149" t="str">
        <f ca="1">IFERROR(Prices!I745/Prices!I744-1,"")</f>
        <v/>
      </c>
      <c r="J746" s="150">
        <f t="shared" ca="1" si="13"/>
        <v>0</v>
      </c>
      <c r="K746" s="112"/>
      <c r="L746" s="112"/>
      <c r="M746" s="112"/>
    </row>
    <row r="747" spans="1:13" x14ac:dyDescent="0.3">
      <c r="A747" s="147" t="str">
        <f ca="1">Prices!$A$746</f>
        <v/>
      </c>
      <c r="B747" s="148" t="str">
        <f ca="1">IFERROR(Prices!B746/Prices!B745-1,"")</f>
        <v/>
      </c>
      <c r="C747" s="148" t="str">
        <f ca="1">IFERROR(Prices!C746/Prices!C745-1,"")</f>
        <v/>
      </c>
      <c r="D747" s="148" t="str">
        <f ca="1">IFERROR(Prices!D746/Prices!D745-1,"")</f>
        <v/>
      </c>
      <c r="E747" s="148" t="str">
        <f ca="1">IFERROR(Prices!E746/Prices!E745-1,"")</f>
        <v/>
      </c>
      <c r="F747" s="148" t="str">
        <f ca="1">IFERROR(Prices!F746/Prices!F745-1,"")</f>
        <v/>
      </c>
      <c r="G747" s="148" t="str">
        <f ca="1">IFERROR(Prices!G746/Prices!G745-1,"")</f>
        <v/>
      </c>
      <c r="H747" s="148" t="str">
        <f ca="1">IFERROR(Prices!H746/Prices!H745-1,"")</f>
        <v/>
      </c>
      <c r="I747" s="149" t="str">
        <f ca="1">IFERROR(Prices!I746/Prices!I745-1,"")</f>
        <v/>
      </c>
      <c r="J747" s="150">
        <f t="shared" ca="1" si="13"/>
        <v>0</v>
      </c>
      <c r="K747" s="112"/>
      <c r="L747" s="112"/>
      <c r="M747" s="112"/>
    </row>
    <row r="748" spans="1:13" x14ac:dyDescent="0.3">
      <c r="A748" s="147" t="str">
        <f ca="1">Prices!$A$747</f>
        <v/>
      </c>
      <c r="B748" s="148" t="str">
        <f ca="1">IFERROR(Prices!B747/Prices!B746-1,"")</f>
        <v/>
      </c>
      <c r="C748" s="148" t="str">
        <f ca="1">IFERROR(Prices!C747/Prices!C746-1,"")</f>
        <v/>
      </c>
      <c r="D748" s="148" t="str">
        <f ca="1">IFERROR(Prices!D747/Prices!D746-1,"")</f>
        <v/>
      </c>
      <c r="E748" s="148" t="str">
        <f ca="1">IFERROR(Prices!E747/Prices!E746-1,"")</f>
        <v/>
      </c>
      <c r="F748" s="148" t="str">
        <f ca="1">IFERROR(Prices!F747/Prices!F746-1,"")</f>
        <v/>
      </c>
      <c r="G748" s="148" t="str">
        <f ca="1">IFERROR(Prices!G747/Prices!G746-1,"")</f>
        <v/>
      </c>
      <c r="H748" s="148" t="str">
        <f ca="1">IFERROR(Prices!H747/Prices!H746-1,"")</f>
        <v/>
      </c>
      <c r="I748" s="149" t="str">
        <f ca="1">IFERROR(Prices!I747/Prices!I746-1,"")</f>
        <v/>
      </c>
      <c r="J748" s="150">
        <f t="shared" ca="1" si="13"/>
        <v>0</v>
      </c>
      <c r="K748" s="112"/>
      <c r="L748" s="112"/>
      <c r="M748" s="112"/>
    </row>
    <row r="749" spans="1:13" x14ac:dyDescent="0.3">
      <c r="A749" s="147" t="str">
        <f ca="1">Prices!$A$748</f>
        <v/>
      </c>
      <c r="B749" s="148" t="str">
        <f ca="1">IFERROR(Prices!B748/Prices!B747-1,"")</f>
        <v/>
      </c>
      <c r="C749" s="148" t="str">
        <f ca="1">IFERROR(Prices!C748/Prices!C747-1,"")</f>
        <v/>
      </c>
      <c r="D749" s="148" t="str">
        <f ca="1">IFERROR(Prices!D748/Prices!D747-1,"")</f>
        <v/>
      </c>
      <c r="E749" s="148" t="str">
        <f ca="1">IFERROR(Prices!E748/Prices!E747-1,"")</f>
        <v/>
      </c>
      <c r="F749" s="148" t="str">
        <f ca="1">IFERROR(Prices!F748/Prices!F747-1,"")</f>
        <v/>
      </c>
      <c r="G749" s="148" t="str">
        <f ca="1">IFERROR(Prices!G748/Prices!G747-1,"")</f>
        <v/>
      </c>
      <c r="H749" s="148" t="str">
        <f ca="1">IFERROR(Prices!H748/Prices!H747-1,"")</f>
        <v/>
      </c>
      <c r="I749" s="149" t="str">
        <f ca="1">IFERROR(Prices!I748/Prices!I747-1,"")</f>
        <v/>
      </c>
      <c r="J749" s="150">
        <f t="shared" ca="1" si="13"/>
        <v>0</v>
      </c>
      <c r="K749" s="112"/>
      <c r="L749" s="112"/>
      <c r="M749" s="112"/>
    </row>
    <row r="750" spans="1:13" x14ac:dyDescent="0.3">
      <c r="A750" s="147" t="str">
        <f ca="1">Prices!$A$749</f>
        <v/>
      </c>
      <c r="B750" s="148" t="str">
        <f ca="1">IFERROR(Prices!B749/Prices!B748-1,"")</f>
        <v/>
      </c>
      <c r="C750" s="148" t="str">
        <f ca="1">IFERROR(Prices!C749/Prices!C748-1,"")</f>
        <v/>
      </c>
      <c r="D750" s="148" t="str">
        <f ca="1">IFERROR(Prices!D749/Prices!D748-1,"")</f>
        <v/>
      </c>
      <c r="E750" s="148" t="str">
        <f ca="1">IFERROR(Prices!E749/Prices!E748-1,"")</f>
        <v/>
      </c>
      <c r="F750" s="148" t="str">
        <f ca="1">IFERROR(Prices!F749/Prices!F748-1,"")</f>
        <v/>
      </c>
      <c r="G750" s="148" t="str">
        <f ca="1">IFERROR(Prices!G749/Prices!G748-1,"")</f>
        <v/>
      </c>
      <c r="H750" s="148" t="str">
        <f ca="1">IFERROR(Prices!H749/Prices!H748-1,"")</f>
        <v/>
      </c>
      <c r="I750" s="149" t="str">
        <f ca="1">IFERROR(Prices!I749/Prices!I748-1,"")</f>
        <v/>
      </c>
      <c r="J750" s="150">
        <f t="shared" ca="1" si="13"/>
        <v>0</v>
      </c>
      <c r="K750" s="112"/>
      <c r="L750" s="112"/>
      <c r="M750" s="112"/>
    </row>
    <row r="751" spans="1:13" x14ac:dyDescent="0.3">
      <c r="A751" s="147" t="str">
        <f ca="1">Prices!$A$750</f>
        <v/>
      </c>
      <c r="B751" s="148" t="str">
        <f ca="1">IFERROR(Prices!B750/Prices!B749-1,"")</f>
        <v/>
      </c>
      <c r="C751" s="148" t="str">
        <f ca="1">IFERROR(Prices!C750/Prices!C749-1,"")</f>
        <v/>
      </c>
      <c r="D751" s="148" t="str">
        <f ca="1">IFERROR(Prices!D750/Prices!D749-1,"")</f>
        <v/>
      </c>
      <c r="E751" s="148" t="str">
        <f ca="1">IFERROR(Prices!E750/Prices!E749-1,"")</f>
        <v/>
      </c>
      <c r="F751" s="148" t="str">
        <f ca="1">IFERROR(Prices!F750/Prices!F749-1,"")</f>
        <v/>
      </c>
      <c r="G751" s="148" t="str">
        <f ca="1">IFERROR(Prices!G750/Prices!G749-1,"")</f>
        <v/>
      </c>
      <c r="H751" s="148" t="str">
        <f ca="1">IFERROR(Prices!H750/Prices!H749-1,"")</f>
        <v/>
      </c>
      <c r="I751" s="149" t="str">
        <f ca="1">IFERROR(Prices!I750/Prices!I749-1,"")</f>
        <v/>
      </c>
      <c r="J751" s="150">
        <f t="shared" ca="1" si="13"/>
        <v>0</v>
      </c>
      <c r="K751" s="112"/>
      <c r="L751" s="112"/>
      <c r="M751" s="112"/>
    </row>
    <row r="752" spans="1:13" x14ac:dyDescent="0.3">
      <c r="A752" s="147" t="str">
        <f ca="1">Prices!$A$751</f>
        <v/>
      </c>
      <c r="B752" s="148" t="str">
        <f ca="1">IFERROR(Prices!B751/Prices!B750-1,"")</f>
        <v/>
      </c>
      <c r="C752" s="148" t="str">
        <f ca="1">IFERROR(Prices!C751/Prices!C750-1,"")</f>
        <v/>
      </c>
      <c r="D752" s="148" t="str">
        <f ca="1">IFERROR(Prices!D751/Prices!D750-1,"")</f>
        <v/>
      </c>
      <c r="E752" s="148" t="str">
        <f ca="1">IFERROR(Prices!E751/Prices!E750-1,"")</f>
        <v/>
      </c>
      <c r="F752" s="148" t="str">
        <f ca="1">IFERROR(Prices!F751/Prices!F750-1,"")</f>
        <v/>
      </c>
      <c r="G752" s="148" t="str">
        <f ca="1">IFERROR(Prices!G751/Prices!G750-1,"")</f>
        <v/>
      </c>
      <c r="H752" s="148" t="str">
        <f ca="1">IFERROR(Prices!H751/Prices!H750-1,"")</f>
        <v/>
      </c>
      <c r="I752" s="149" t="str">
        <f ca="1">IFERROR(Prices!I751/Prices!I750-1,"")</f>
        <v/>
      </c>
      <c r="J752" s="150">
        <f t="shared" ca="1" si="13"/>
        <v>0</v>
      </c>
      <c r="K752" s="112"/>
      <c r="L752" s="112"/>
      <c r="M752" s="112"/>
    </row>
    <row r="753" spans="1:13" x14ac:dyDescent="0.3">
      <c r="A753" s="147" t="str">
        <f ca="1">Prices!$A$752</f>
        <v/>
      </c>
      <c r="B753" s="148" t="str">
        <f ca="1">IFERROR(Prices!B752/Prices!B751-1,"")</f>
        <v/>
      </c>
      <c r="C753" s="148" t="str">
        <f ca="1">IFERROR(Prices!C752/Prices!C751-1,"")</f>
        <v/>
      </c>
      <c r="D753" s="148" t="str">
        <f ca="1">IFERROR(Prices!D752/Prices!D751-1,"")</f>
        <v/>
      </c>
      <c r="E753" s="148" t="str">
        <f ca="1">IFERROR(Prices!E752/Prices!E751-1,"")</f>
        <v/>
      </c>
      <c r="F753" s="148" t="str">
        <f ca="1">IFERROR(Prices!F752/Prices!F751-1,"")</f>
        <v/>
      </c>
      <c r="G753" s="148" t="str">
        <f ca="1">IFERROR(Prices!G752/Prices!G751-1,"")</f>
        <v/>
      </c>
      <c r="H753" s="148" t="str">
        <f ca="1">IFERROR(Prices!H752/Prices!H751-1,"")</f>
        <v/>
      </c>
      <c r="I753" s="149" t="str">
        <f ca="1">IFERROR(Prices!I752/Prices!I751-1,"")</f>
        <v/>
      </c>
      <c r="J753" s="150">
        <f t="shared" ca="1" si="13"/>
        <v>0</v>
      </c>
      <c r="K753" s="112"/>
      <c r="L753" s="112"/>
      <c r="M753" s="112"/>
    </row>
    <row r="754" spans="1:13" x14ac:dyDescent="0.3">
      <c r="A754" s="147" t="str">
        <f ca="1">Prices!$A$753</f>
        <v/>
      </c>
      <c r="B754" s="148" t="str">
        <f ca="1">IFERROR(Prices!B753/Prices!B752-1,"")</f>
        <v/>
      </c>
      <c r="C754" s="148" t="str">
        <f ca="1">IFERROR(Prices!C753/Prices!C752-1,"")</f>
        <v/>
      </c>
      <c r="D754" s="148" t="str">
        <f ca="1">IFERROR(Prices!D753/Prices!D752-1,"")</f>
        <v/>
      </c>
      <c r="E754" s="148" t="str">
        <f ca="1">IFERROR(Prices!E753/Prices!E752-1,"")</f>
        <v/>
      </c>
      <c r="F754" s="148" t="str">
        <f ca="1">IFERROR(Prices!F753/Prices!F752-1,"")</f>
        <v/>
      </c>
      <c r="G754" s="148" t="str">
        <f ca="1">IFERROR(Prices!G753/Prices!G752-1,"")</f>
        <v/>
      </c>
      <c r="H754" s="148" t="str">
        <f ca="1">IFERROR(Prices!H753/Prices!H752-1,"")</f>
        <v/>
      </c>
      <c r="I754" s="149" t="str">
        <f ca="1">IFERROR(Prices!I753/Prices!I752-1,"")</f>
        <v/>
      </c>
      <c r="J754" s="150">
        <f t="shared" ca="1" si="13"/>
        <v>0</v>
      </c>
      <c r="K754" s="112"/>
      <c r="L754" s="112"/>
      <c r="M754" s="112"/>
    </row>
    <row r="755" spans="1:13" x14ac:dyDescent="0.3">
      <c r="A755" s="147" t="str">
        <f ca="1">Prices!$A$754</f>
        <v/>
      </c>
      <c r="B755" s="148" t="str">
        <f ca="1">IFERROR(Prices!B754/Prices!B753-1,"")</f>
        <v/>
      </c>
      <c r="C755" s="148" t="str">
        <f ca="1">IFERROR(Prices!C754/Prices!C753-1,"")</f>
        <v/>
      </c>
      <c r="D755" s="148" t="str">
        <f ca="1">IFERROR(Prices!D754/Prices!D753-1,"")</f>
        <v/>
      </c>
      <c r="E755" s="148" t="str">
        <f ca="1">IFERROR(Prices!E754/Prices!E753-1,"")</f>
        <v/>
      </c>
      <c r="F755" s="148" t="str">
        <f ca="1">IFERROR(Prices!F754/Prices!F753-1,"")</f>
        <v/>
      </c>
      <c r="G755" s="148" t="str">
        <f ca="1">IFERROR(Prices!G754/Prices!G753-1,"")</f>
        <v/>
      </c>
      <c r="H755" s="148" t="str">
        <f ca="1">IFERROR(Prices!H754/Prices!H753-1,"")</f>
        <v/>
      </c>
      <c r="I755" s="149" t="str">
        <f ca="1">IFERROR(Prices!I754/Prices!I753-1,"")</f>
        <v/>
      </c>
      <c r="J755" s="150">
        <f t="shared" ca="1" si="13"/>
        <v>0</v>
      </c>
      <c r="K755" s="112"/>
      <c r="L755" s="112"/>
      <c r="M755" s="112"/>
    </row>
    <row r="756" spans="1:13" x14ac:dyDescent="0.3">
      <c r="A756" s="147" t="str">
        <f ca="1">Prices!$A$755</f>
        <v/>
      </c>
      <c r="B756" s="148" t="str">
        <f ca="1">IFERROR(Prices!B755/Prices!B754-1,"")</f>
        <v/>
      </c>
      <c r="C756" s="148" t="str">
        <f ca="1">IFERROR(Prices!C755/Prices!C754-1,"")</f>
        <v/>
      </c>
      <c r="D756" s="148" t="str">
        <f ca="1">IFERROR(Prices!D755/Prices!D754-1,"")</f>
        <v/>
      </c>
      <c r="E756" s="148" t="str">
        <f ca="1">IFERROR(Prices!E755/Prices!E754-1,"")</f>
        <v/>
      </c>
      <c r="F756" s="148" t="str">
        <f ca="1">IFERROR(Prices!F755/Prices!F754-1,"")</f>
        <v/>
      </c>
      <c r="G756" s="148" t="str">
        <f ca="1">IFERROR(Prices!G755/Prices!G754-1,"")</f>
        <v/>
      </c>
      <c r="H756" s="148" t="str">
        <f ca="1">IFERROR(Prices!H755/Prices!H754-1,"")</f>
        <v/>
      </c>
      <c r="I756" s="149" t="str">
        <f ca="1">IFERROR(Prices!I755/Prices!I754-1,"")</f>
        <v/>
      </c>
      <c r="J756" s="150">
        <f t="shared" ca="1" si="13"/>
        <v>0</v>
      </c>
      <c r="K756" s="112"/>
      <c r="L756" s="112"/>
      <c r="M756" s="112"/>
    </row>
    <row r="757" spans="1:13" x14ac:dyDescent="0.3">
      <c r="A757" s="147" t="str">
        <f ca="1">Prices!$A$756</f>
        <v/>
      </c>
      <c r="B757" s="148" t="str">
        <f ca="1">IFERROR(Prices!B756/Prices!B755-1,"")</f>
        <v/>
      </c>
      <c r="C757" s="148" t="str">
        <f ca="1">IFERROR(Prices!C756/Prices!C755-1,"")</f>
        <v/>
      </c>
      <c r="D757" s="148" t="str">
        <f ca="1">IFERROR(Prices!D756/Prices!D755-1,"")</f>
        <v/>
      </c>
      <c r="E757" s="148" t="str">
        <f ca="1">IFERROR(Prices!E756/Prices!E755-1,"")</f>
        <v/>
      </c>
      <c r="F757" s="148" t="str">
        <f ca="1">IFERROR(Prices!F756/Prices!F755-1,"")</f>
        <v/>
      </c>
      <c r="G757" s="148" t="str">
        <f ca="1">IFERROR(Prices!G756/Prices!G755-1,"")</f>
        <v/>
      </c>
      <c r="H757" s="148" t="str">
        <f ca="1">IFERROR(Prices!H756/Prices!H755-1,"")</f>
        <v/>
      </c>
      <c r="I757" s="149" t="str">
        <f ca="1">IFERROR(Prices!I756/Prices!I755-1,"")</f>
        <v/>
      </c>
      <c r="J757" s="150">
        <f t="shared" ca="1" si="13"/>
        <v>0</v>
      </c>
      <c r="K757" s="112"/>
      <c r="L757" s="112"/>
      <c r="M757" s="112"/>
    </row>
    <row r="758" spans="1:13" x14ac:dyDescent="0.3">
      <c r="A758" s="147" t="str">
        <f ca="1">Prices!$A$757</f>
        <v/>
      </c>
      <c r="B758" s="148" t="str">
        <f ca="1">IFERROR(Prices!B757/Prices!B756-1,"")</f>
        <v/>
      </c>
      <c r="C758" s="148" t="str">
        <f ca="1">IFERROR(Prices!C757/Prices!C756-1,"")</f>
        <v/>
      </c>
      <c r="D758" s="148" t="str">
        <f ca="1">IFERROR(Prices!D757/Prices!D756-1,"")</f>
        <v/>
      </c>
      <c r="E758" s="148" t="str">
        <f ca="1">IFERROR(Prices!E757/Prices!E756-1,"")</f>
        <v/>
      </c>
      <c r="F758" s="148" t="str">
        <f ca="1">IFERROR(Prices!F757/Prices!F756-1,"")</f>
        <v/>
      </c>
      <c r="G758" s="148" t="str">
        <f ca="1">IFERROR(Prices!G757/Prices!G756-1,"")</f>
        <v/>
      </c>
      <c r="H758" s="148" t="str">
        <f ca="1">IFERROR(Prices!H757/Prices!H756-1,"")</f>
        <v/>
      </c>
      <c r="I758" s="149" t="str">
        <f ca="1">IFERROR(Prices!I757/Prices!I756-1,"")</f>
        <v/>
      </c>
      <c r="J758" s="150">
        <f t="shared" ca="1" si="13"/>
        <v>0</v>
      </c>
      <c r="K758" s="112"/>
      <c r="L758" s="112"/>
      <c r="M758" s="112"/>
    </row>
    <row r="759" spans="1:13" x14ac:dyDescent="0.3">
      <c r="A759" s="147" t="str">
        <f ca="1">Prices!$A$758</f>
        <v/>
      </c>
      <c r="B759" s="148" t="str">
        <f ca="1">IFERROR(Prices!B758/Prices!B757-1,"")</f>
        <v/>
      </c>
      <c r="C759" s="148" t="str">
        <f ca="1">IFERROR(Prices!C758/Prices!C757-1,"")</f>
        <v/>
      </c>
      <c r="D759" s="148" t="str">
        <f ca="1">IFERROR(Prices!D758/Prices!D757-1,"")</f>
        <v/>
      </c>
      <c r="E759" s="148" t="str">
        <f ca="1">IFERROR(Prices!E758/Prices!E757-1,"")</f>
        <v/>
      </c>
      <c r="F759" s="148" t="str">
        <f ca="1">IFERROR(Prices!F758/Prices!F757-1,"")</f>
        <v/>
      </c>
      <c r="G759" s="148" t="str">
        <f ca="1">IFERROR(Prices!G758/Prices!G757-1,"")</f>
        <v/>
      </c>
      <c r="H759" s="148" t="str">
        <f ca="1">IFERROR(Prices!H758/Prices!H757-1,"")</f>
        <v/>
      </c>
      <c r="I759" s="149" t="str">
        <f ca="1">IFERROR(Prices!I758/Prices!I757-1,"")</f>
        <v/>
      </c>
      <c r="J759" s="150">
        <f t="shared" ca="1" si="13"/>
        <v>0</v>
      </c>
      <c r="K759" s="112"/>
      <c r="L759" s="112"/>
      <c r="M759" s="112"/>
    </row>
    <row r="760" spans="1:13" x14ac:dyDescent="0.3">
      <c r="A760" s="147" t="str">
        <f ca="1">Prices!$A$759</f>
        <v/>
      </c>
      <c r="B760" s="148" t="str">
        <f ca="1">IFERROR(Prices!B759/Prices!B758-1,"")</f>
        <v/>
      </c>
      <c r="C760" s="148" t="str">
        <f ca="1">IFERROR(Prices!C759/Prices!C758-1,"")</f>
        <v/>
      </c>
      <c r="D760" s="148" t="str">
        <f ca="1">IFERROR(Prices!D759/Prices!D758-1,"")</f>
        <v/>
      </c>
      <c r="E760" s="148" t="str">
        <f ca="1">IFERROR(Prices!E759/Prices!E758-1,"")</f>
        <v/>
      </c>
      <c r="F760" s="148" t="str">
        <f ca="1">IFERROR(Prices!F759/Prices!F758-1,"")</f>
        <v/>
      </c>
      <c r="G760" s="148" t="str">
        <f ca="1">IFERROR(Prices!G759/Prices!G758-1,"")</f>
        <v/>
      </c>
      <c r="H760" s="148" t="str">
        <f ca="1">IFERROR(Prices!H759/Prices!H758-1,"")</f>
        <v/>
      </c>
      <c r="I760" s="149" t="str">
        <f ca="1">IFERROR(Prices!I759/Prices!I758-1,"")</f>
        <v/>
      </c>
      <c r="J760" s="150">
        <f t="shared" ca="1" si="13"/>
        <v>0</v>
      </c>
      <c r="K760" s="112"/>
      <c r="L760" s="112"/>
      <c r="M760" s="112"/>
    </row>
    <row r="761" spans="1:13" x14ac:dyDescent="0.3">
      <c r="A761" s="147" t="str">
        <f ca="1">Prices!$A$760</f>
        <v/>
      </c>
      <c r="B761" s="148" t="str">
        <f ca="1">IFERROR(Prices!B760/Prices!B759-1,"")</f>
        <v/>
      </c>
      <c r="C761" s="148" t="str">
        <f ca="1">IFERROR(Prices!C760/Prices!C759-1,"")</f>
        <v/>
      </c>
      <c r="D761" s="148" t="str">
        <f ca="1">IFERROR(Prices!D760/Prices!D759-1,"")</f>
        <v/>
      </c>
      <c r="E761" s="148" t="str">
        <f ca="1">IFERROR(Prices!E760/Prices!E759-1,"")</f>
        <v/>
      </c>
      <c r="F761" s="148" t="str">
        <f ca="1">IFERROR(Prices!F760/Prices!F759-1,"")</f>
        <v/>
      </c>
      <c r="G761" s="148" t="str">
        <f ca="1">IFERROR(Prices!G760/Prices!G759-1,"")</f>
        <v/>
      </c>
      <c r="H761" s="148" t="str">
        <f ca="1">IFERROR(Prices!H760/Prices!H759-1,"")</f>
        <v/>
      </c>
      <c r="I761" s="149" t="str">
        <f ca="1">IFERROR(Prices!I760/Prices!I759-1,"")</f>
        <v/>
      </c>
      <c r="J761" s="150">
        <f t="shared" ca="1" si="13"/>
        <v>0</v>
      </c>
      <c r="K761" s="112"/>
      <c r="L761" s="112"/>
      <c r="M761" s="112"/>
    </row>
    <row r="762" spans="1:13" x14ac:dyDescent="0.3">
      <c r="A762" s="147" t="str">
        <f ca="1">Prices!$A$761</f>
        <v/>
      </c>
      <c r="B762" s="148" t="str">
        <f ca="1">IFERROR(Prices!B761/Prices!B760-1,"")</f>
        <v/>
      </c>
      <c r="C762" s="148" t="str">
        <f ca="1">IFERROR(Prices!C761/Prices!C760-1,"")</f>
        <v/>
      </c>
      <c r="D762" s="148" t="str">
        <f ca="1">IFERROR(Prices!D761/Prices!D760-1,"")</f>
        <v/>
      </c>
      <c r="E762" s="148" t="str">
        <f ca="1">IFERROR(Prices!E761/Prices!E760-1,"")</f>
        <v/>
      </c>
      <c r="F762" s="148" t="str">
        <f ca="1">IFERROR(Prices!F761/Prices!F760-1,"")</f>
        <v/>
      </c>
      <c r="G762" s="148" t="str">
        <f ca="1">IFERROR(Prices!G761/Prices!G760-1,"")</f>
        <v/>
      </c>
      <c r="H762" s="148" t="str">
        <f ca="1">IFERROR(Prices!H761/Prices!H760-1,"")</f>
        <v/>
      </c>
      <c r="I762" s="149" t="str">
        <f ca="1">IFERROR(Prices!I761/Prices!I760-1,"")</f>
        <v/>
      </c>
      <c r="J762" s="150">
        <f t="shared" ca="1" si="13"/>
        <v>0</v>
      </c>
      <c r="K762" s="112"/>
      <c r="L762" s="112"/>
      <c r="M762" s="112"/>
    </row>
    <row r="763" spans="1:13" x14ac:dyDescent="0.3">
      <c r="A763" s="147" t="str">
        <f ca="1">Prices!$A$762</f>
        <v/>
      </c>
      <c r="B763" s="148" t="str">
        <f ca="1">IFERROR(Prices!B762/Prices!B761-1,"")</f>
        <v/>
      </c>
      <c r="C763" s="148" t="str">
        <f ca="1">IFERROR(Prices!C762/Prices!C761-1,"")</f>
        <v/>
      </c>
      <c r="D763" s="148" t="str">
        <f ca="1">IFERROR(Prices!D762/Prices!D761-1,"")</f>
        <v/>
      </c>
      <c r="E763" s="148" t="str">
        <f ca="1">IFERROR(Prices!E762/Prices!E761-1,"")</f>
        <v/>
      </c>
      <c r="F763" s="148" t="str">
        <f ca="1">IFERROR(Prices!F762/Prices!F761-1,"")</f>
        <v/>
      </c>
      <c r="G763" s="148" t="str">
        <f ca="1">IFERROR(Prices!G762/Prices!G761-1,"")</f>
        <v/>
      </c>
      <c r="H763" s="148" t="str">
        <f ca="1">IFERROR(Prices!H762/Prices!H761-1,"")</f>
        <v/>
      </c>
      <c r="I763" s="149" t="str">
        <f ca="1">IFERROR(Prices!I762/Prices!I761-1,"")</f>
        <v/>
      </c>
      <c r="J763" s="150">
        <f t="shared" ca="1" si="13"/>
        <v>0</v>
      </c>
      <c r="K763" s="112"/>
      <c r="L763" s="112"/>
      <c r="M763" s="112"/>
    </row>
    <row r="764" spans="1:13" x14ac:dyDescent="0.3">
      <c r="A764" s="147" t="str">
        <f ca="1">Prices!$A$763</f>
        <v/>
      </c>
      <c r="B764" s="148" t="str">
        <f ca="1">IFERROR(Prices!B763/Prices!B762-1,"")</f>
        <v/>
      </c>
      <c r="C764" s="148" t="str">
        <f ca="1">IFERROR(Prices!C763/Prices!C762-1,"")</f>
        <v/>
      </c>
      <c r="D764" s="148" t="str">
        <f ca="1">IFERROR(Prices!D763/Prices!D762-1,"")</f>
        <v/>
      </c>
      <c r="E764" s="148" t="str">
        <f ca="1">IFERROR(Prices!E763/Prices!E762-1,"")</f>
        <v/>
      </c>
      <c r="F764" s="148" t="str">
        <f ca="1">IFERROR(Prices!F763/Prices!F762-1,"")</f>
        <v/>
      </c>
      <c r="G764" s="148" t="str">
        <f ca="1">IFERROR(Prices!G763/Prices!G762-1,"")</f>
        <v/>
      </c>
      <c r="H764" s="148" t="str">
        <f ca="1">IFERROR(Prices!H763/Prices!H762-1,"")</f>
        <v/>
      </c>
      <c r="I764" s="149" t="str">
        <f ca="1">IFERROR(Prices!I763/Prices!I762-1,"")</f>
        <v/>
      </c>
      <c r="J764" s="150">
        <f t="shared" ca="1" si="13"/>
        <v>0</v>
      </c>
      <c r="K764" s="112"/>
      <c r="L764" s="112"/>
      <c r="M764" s="112"/>
    </row>
    <row r="765" spans="1:13" x14ac:dyDescent="0.3">
      <c r="A765" s="147" t="str">
        <f ca="1">Prices!$A$764</f>
        <v/>
      </c>
      <c r="B765" s="148" t="str">
        <f ca="1">IFERROR(Prices!B764/Prices!B763-1,"")</f>
        <v/>
      </c>
      <c r="C765" s="148" t="str">
        <f ca="1">IFERROR(Prices!C764/Prices!C763-1,"")</f>
        <v/>
      </c>
      <c r="D765" s="148" t="str">
        <f ca="1">IFERROR(Prices!D764/Prices!D763-1,"")</f>
        <v/>
      </c>
      <c r="E765" s="148" t="str">
        <f ca="1">IFERROR(Prices!E764/Prices!E763-1,"")</f>
        <v/>
      </c>
      <c r="F765" s="148" t="str">
        <f ca="1">IFERROR(Prices!F764/Prices!F763-1,"")</f>
        <v/>
      </c>
      <c r="G765" s="148" t="str">
        <f ca="1">IFERROR(Prices!G764/Prices!G763-1,"")</f>
        <v/>
      </c>
      <c r="H765" s="148" t="str">
        <f ca="1">IFERROR(Prices!H764/Prices!H763-1,"")</f>
        <v/>
      </c>
      <c r="I765" s="149" t="str">
        <f ca="1">IFERROR(Prices!I764/Prices!I763-1,"")</f>
        <v/>
      </c>
      <c r="J765" s="150">
        <f t="shared" ca="1" si="13"/>
        <v>0</v>
      </c>
      <c r="K765" s="112"/>
      <c r="L765" s="112"/>
      <c r="M765" s="112"/>
    </row>
    <row r="766" spans="1:13" x14ac:dyDescent="0.3">
      <c r="A766" s="147" t="str">
        <f ca="1">Prices!$A$765</f>
        <v/>
      </c>
      <c r="B766" s="148" t="str">
        <f ca="1">IFERROR(Prices!B765/Prices!B764-1,"")</f>
        <v/>
      </c>
      <c r="C766" s="148" t="str">
        <f ca="1">IFERROR(Prices!C765/Prices!C764-1,"")</f>
        <v/>
      </c>
      <c r="D766" s="148" t="str">
        <f ca="1">IFERROR(Prices!D765/Prices!D764-1,"")</f>
        <v/>
      </c>
      <c r="E766" s="148" t="str">
        <f ca="1">IFERROR(Prices!E765/Prices!E764-1,"")</f>
        <v/>
      </c>
      <c r="F766" s="148" t="str">
        <f ca="1">IFERROR(Prices!F765/Prices!F764-1,"")</f>
        <v/>
      </c>
      <c r="G766" s="148" t="str">
        <f ca="1">IFERROR(Prices!G765/Prices!G764-1,"")</f>
        <v/>
      </c>
      <c r="H766" s="148" t="str">
        <f ca="1">IFERROR(Prices!H765/Prices!H764-1,"")</f>
        <v/>
      </c>
      <c r="I766" s="149" t="str">
        <f ca="1">IFERROR(Prices!I765/Prices!I764-1,"")</f>
        <v/>
      </c>
      <c r="J766" s="150">
        <f t="shared" ca="1" si="13"/>
        <v>0</v>
      </c>
      <c r="K766" s="112"/>
      <c r="L766" s="112"/>
      <c r="M766" s="112"/>
    </row>
    <row r="767" spans="1:13" x14ac:dyDescent="0.3">
      <c r="A767" s="147" t="str">
        <f ca="1">Prices!$A$766</f>
        <v/>
      </c>
      <c r="B767" s="148" t="str">
        <f ca="1">IFERROR(Prices!B766/Prices!B765-1,"")</f>
        <v/>
      </c>
      <c r="C767" s="148" t="str">
        <f ca="1">IFERROR(Prices!C766/Prices!C765-1,"")</f>
        <v/>
      </c>
      <c r="D767" s="148" t="str">
        <f ca="1">IFERROR(Prices!D766/Prices!D765-1,"")</f>
        <v/>
      </c>
      <c r="E767" s="148" t="str">
        <f ca="1">IFERROR(Prices!E766/Prices!E765-1,"")</f>
        <v/>
      </c>
      <c r="F767" s="148" t="str">
        <f ca="1">IFERROR(Prices!F766/Prices!F765-1,"")</f>
        <v/>
      </c>
      <c r="G767" s="148" t="str">
        <f ca="1">IFERROR(Prices!G766/Prices!G765-1,"")</f>
        <v/>
      </c>
      <c r="H767" s="148" t="str">
        <f ca="1">IFERROR(Prices!H766/Prices!H765-1,"")</f>
        <v/>
      </c>
      <c r="I767" s="149" t="str">
        <f ca="1">IFERROR(Prices!I766/Prices!I765-1,"")</f>
        <v/>
      </c>
      <c r="J767" s="150">
        <f t="shared" ca="1" si="13"/>
        <v>0</v>
      </c>
      <c r="K767" s="112"/>
      <c r="L767" s="112"/>
      <c r="M767" s="112"/>
    </row>
    <row r="768" spans="1:13" x14ac:dyDescent="0.3">
      <c r="A768" s="147" t="str">
        <f ca="1">Prices!$A$767</f>
        <v/>
      </c>
      <c r="B768" s="148" t="str">
        <f ca="1">IFERROR(Prices!B767/Prices!B766-1,"")</f>
        <v/>
      </c>
      <c r="C768" s="148" t="str">
        <f ca="1">IFERROR(Prices!C767/Prices!C766-1,"")</f>
        <v/>
      </c>
      <c r="D768" s="148" t="str">
        <f ca="1">IFERROR(Prices!D767/Prices!D766-1,"")</f>
        <v/>
      </c>
      <c r="E768" s="148" t="str">
        <f ca="1">IFERROR(Prices!E767/Prices!E766-1,"")</f>
        <v/>
      </c>
      <c r="F768" s="148" t="str">
        <f ca="1">IFERROR(Prices!F767/Prices!F766-1,"")</f>
        <v/>
      </c>
      <c r="G768" s="148" t="str">
        <f ca="1">IFERROR(Prices!G767/Prices!G766-1,"")</f>
        <v/>
      </c>
      <c r="H768" s="148" t="str">
        <f ca="1">IFERROR(Prices!H767/Prices!H766-1,"")</f>
        <v/>
      </c>
      <c r="I768" s="149" t="str">
        <f ca="1">IFERROR(Prices!I767/Prices!I766-1,"")</f>
        <v/>
      </c>
      <c r="J768" s="150">
        <f t="shared" ca="1" si="13"/>
        <v>0</v>
      </c>
      <c r="K768" s="112"/>
      <c r="L768" s="112"/>
      <c r="M768" s="112"/>
    </row>
    <row r="769" spans="1:13" x14ac:dyDescent="0.3">
      <c r="A769" s="147" t="str">
        <f ca="1">Prices!$A$768</f>
        <v/>
      </c>
      <c r="B769" s="148" t="str">
        <f ca="1">IFERROR(Prices!B768/Prices!B767-1,"")</f>
        <v/>
      </c>
      <c r="C769" s="148" t="str">
        <f ca="1">IFERROR(Prices!C768/Prices!C767-1,"")</f>
        <v/>
      </c>
      <c r="D769" s="148" t="str">
        <f ca="1">IFERROR(Prices!D768/Prices!D767-1,"")</f>
        <v/>
      </c>
      <c r="E769" s="148" t="str">
        <f ca="1">IFERROR(Prices!E768/Prices!E767-1,"")</f>
        <v/>
      </c>
      <c r="F769" s="148" t="str">
        <f ca="1">IFERROR(Prices!F768/Prices!F767-1,"")</f>
        <v/>
      </c>
      <c r="G769" s="148" t="str">
        <f ca="1">IFERROR(Prices!G768/Prices!G767-1,"")</f>
        <v/>
      </c>
      <c r="H769" s="148" t="str">
        <f ca="1">IFERROR(Prices!H768/Prices!H767-1,"")</f>
        <v/>
      </c>
      <c r="I769" s="149" t="str">
        <f ca="1">IFERROR(Prices!I768/Prices!I767-1,"")</f>
        <v/>
      </c>
      <c r="J769" s="150">
        <f t="shared" ca="1" si="13"/>
        <v>0</v>
      </c>
      <c r="K769" s="112"/>
      <c r="L769" s="112"/>
      <c r="M769" s="112"/>
    </row>
    <row r="770" spans="1:13" x14ac:dyDescent="0.3">
      <c r="A770" s="147" t="str">
        <f ca="1">Prices!$A$769</f>
        <v/>
      </c>
      <c r="B770" s="148" t="str">
        <f ca="1">IFERROR(Prices!B769/Prices!B768-1,"")</f>
        <v/>
      </c>
      <c r="C770" s="148" t="str">
        <f ca="1">IFERROR(Prices!C769/Prices!C768-1,"")</f>
        <v/>
      </c>
      <c r="D770" s="148" t="str">
        <f ca="1">IFERROR(Prices!D769/Prices!D768-1,"")</f>
        <v/>
      </c>
      <c r="E770" s="148" t="str">
        <f ca="1">IFERROR(Prices!E769/Prices!E768-1,"")</f>
        <v/>
      </c>
      <c r="F770" s="148" t="str">
        <f ca="1">IFERROR(Prices!F769/Prices!F768-1,"")</f>
        <v/>
      </c>
      <c r="G770" s="148" t="str">
        <f ca="1">IFERROR(Prices!G769/Prices!G768-1,"")</f>
        <v/>
      </c>
      <c r="H770" s="148" t="str">
        <f ca="1">IFERROR(Prices!H769/Prices!H768-1,"")</f>
        <v/>
      </c>
      <c r="I770" s="149" t="str">
        <f ca="1">IFERROR(Prices!I769/Prices!I768-1,"")</f>
        <v/>
      </c>
      <c r="J770" s="150">
        <f t="shared" ca="1" si="13"/>
        <v>0</v>
      </c>
      <c r="K770" s="112"/>
      <c r="L770" s="112"/>
      <c r="M770" s="112"/>
    </row>
    <row r="771" spans="1:13" x14ac:dyDescent="0.3">
      <c r="A771" s="147" t="str">
        <f ca="1">Prices!$A$770</f>
        <v/>
      </c>
      <c r="B771" s="148" t="str">
        <f ca="1">IFERROR(Prices!B770/Prices!B769-1,"")</f>
        <v/>
      </c>
      <c r="C771" s="148" t="str">
        <f ca="1">IFERROR(Prices!C770/Prices!C769-1,"")</f>
        <v/>
      </c>
      <c r="D771" s="148" t="str">
        <f ca="1">IFERROR(Prices!D770/Prices!D769-1,"")</f>
        <v/>
      </c>
      <c r="E771" s="148" t="str">
        <f ca="1">IFERROR(Prices!E770/Prices!E769-1,"")</f>
        <v/>
      </c>
      <c r="F771" s="148" t="str">
        <f ca="1">IFERROR(Prices!F770/Prices!F769-1,"")</f>
        <v/>
      </c>
      <c r="G771" s="148" t="str">
        <f ca="1">IFERROR(Prices!G770/Prices!G769-1,"")</f>
        <v/>
      </c>
      <c r="H771" s="148" t="str">
        <f ca="1">IFERROR(Prices!H770/Prices!H769-1,"")</f>
        <v/>
      </c>
      <c r="I771" s="149" t="str">
        <f ca="1">IFERROR(Prices!I770/Prices!I769-1,"")</f>
        <v/>
      </c>
      <c r="J771" s="150">
        <f t="shared" ca="1" si="13"/>
        <v>0</v>
      </c>
      <c r="K771" s="112"/>
      <c r="L771" s="112"/>
      <c r="M771" s="112"/>
    </row>
    <row r="772" spans="1:13" x14ac:dyDescent="0.3">
      <c r="A772" s="147" t="str">
        <f ca="1">Prices!$A$771</f>
        <v/>
      </c>
      <c r="B772" s="148" t="str">
        <f ca="1">IFERROR(Prices!B771/Prices!B770-1,"")</f>
        <v/>
      </c>
      <c r="C772" s="148" t="str">
        <f ca="1">IFERROR(Prices!C771/Prices!C770-1,"")</f>
        <v/>
      </c>
      <c r="D772" s="148" t="str">
        <f ca="1">IFERROR(Prices!D771/Prices!D770-1,"")</f>
        <v/>
      </c>
      <c r="E772" s="148" t="str">
        <f ca="1">IFERROR(Prices!E771/Prices!E770-1,"")</f>
        <v/>
      </c>
      <c r="F772" s="148" t="str">
        <f ca="1">IFERROR(Prices!F771/Prices!F770-1,"")</f>
        <v/>
      </c>
      <c r="G772" s="148" t="str">
        <f ca="1">IFERROR(Prices!G771/Prices!G770-1,"")</f>
        <v/>
      </c>
      <c r="H772" s="148" t="str">
        <f ca="1">IFERROR(Prices!H771/Prices!H770-1,"")</f>
        <v/>
      </c>
      <c r="I772" s="149" t="str">
        <f ca="1">IFERROR(Prices!I771/Prices!I770-1,"")</f>
        <v/>
      </c>
      <c r="J772" s="150">
        <f t="shared" ca="1" si="13"/>
        <v>0</v>
      </c>
      <c r="K772" s="112"/>
      <c r="L772" s="112"/>
      <c r="M772" s="112"/>
    </row>
    <row r="773" spans="1:13" x14ac:dyDescent="0.3">
      <c r="A773" s="147" t="str">
        <f ca="1">Prices!$A$772</f>
        <v/>
      </c>
      <c r="B773" s="148" t="str">
        <f ca="1">IFERROR(Prices!B772/Prices!B771-1,"")</f>
        <v/>
      </c>
      <c r="C773" s="148" t="str">
        <f ca="1">IFERROR(Prices!C772/Prices!C771-1,"")</f>
        <v/>
      </c>
      <c r="D773" s="148" t="str">
        <f ca="1">IFERROR(Prices!D772/Prices!D771-1,"")</f>
        <v/>
      </c>
      <c r="E773" s="148" t="str">
        <f ca="1">IFERROR(Prices!E772/Prices!E771-1,"")</f>
        <v/>
      </c>
      <c r="F773" s="148" t="str">
        <f ca="1">IFERROR(Prices!F772/Prices!F771-1,"")</f>
        <v/>
      </c>
      <c r="G773" s="148" t="str">
        <f ca="1">IFERROR(Prices!G772/Prices!G771-1,"")</f>
        <v/>
      </c>
      <c r="H773" s="148" t="str">
        <f ca="1">IFERROR(Prices!H772/Prices!H771-1,"")</f>
        <v/>
      </c>
      <c r="I773" s="149" t="str">
        <f ca="1">IFERROR(Prices!I772/Prices!I771-1,"")</f>
        <v/>
      </c>
      <c r="J773" s="150">
        <f t="shared" ca="1" si="13"/>
        <v>0</v>
      </c>
      <c r="K773" s="112"/>
      <c r="L773" s="112"/>
      <c r="M773" s="112"/>
    </row>
    <row r="774" spans="1:13" x14ac:dyDescent="0.3">
      <c r="A774" s="147" t="str">
        <f ca="1">Prices!$A$773</f>
        <v/>
      </c>
      <c r="B774" s="148" t="str">
        <f ca="1">IFERROR(Prices!B773/Prices!B772-1,"")</f>
        <v/>
      </c>
      <c r="C774" s="148" t="str">
        <f ca="1">IFERROR(Prices!C773/Prices!C772-1,"")</f>
        <v/>
      </c>
      <c r="D774" s="148" t="str">
        <f ca="1">IFERROR(Prices!D773/Prices!D772-1,"")</f>
        <v/>
      </c>
      <c r="E774" s="148" t="str">
        <f ca="1">IFERROR(Prices!E773/Prices!E772-1,"")</f>
        <v/>
      </c>
      <c r="F774" s="148" t="str">
        <f ca="1">IFERROR(Prices!F773/Prices!F772-1,"")</f>
        <v/>
      </c>
      <c r="G774" s="148" t="str">
        <f ca="1">IFERROR(Prices!G773/Prices!G772-1,"")</f>
        <v/>
      </c>
      <c r="H774" s="148" t="str">
        <f ca="1">IFERROR(Prices!H773/Prices!H772-1,"")</f>
        <v/>
      </c>
      <c r="I774" s="149" t="str">
        <f ca="1">IFERROR(Prices!I773/Prices!I772-1,"")</f>
        <v/>
      </c>
      <c r="J774" s="150">
        <f t="shared" ca="1" si="13"/>
        <v>0</v>
      </c>
      <c r="K774" s="112"/>
      <c r="L774" s="112"/>
      <c r="M774" s="112"/>
    </row>
    <row r="775" spans="1:13" x14ac:dyDescent="0.3">
      <c r="A775" s="147" t="str">
        <f ca="1">Prices!$A$774</f>
        <v/>
      </c>
      <c r="B775" s="148" t="str">
        <f ca="1">IFERROR(Prices!B774/Prices!B773-1,"")</f>
        <v/>
      </c>
      <c r="C775" s="148" t="str">
        <f ca="1">IFERROR(Prices!C774/Prices!C773-1,"")</f>
        <v/>
      </c>
      <c r="D775" s="148" t="str">
        <f ca="1">IFERROR(Prices!D774/Prices!D773-1,"")</f>
        <v/>
      </c>
      <c r="E775" s="148" t="str">
        <f ca="1">IFERROR(Prices!E774/Prices!E773-1,"")</f>
        <v/>
      </c>
      <c r="F775" s="148" t="str">
        <f ca="1">IFERROR(Prices!F774/Prices!F773-1,"")</f>
        <v/>
      </c>
      <c r="G775" s="148" t="str">
        <f ca="1">IFERROR(Prices!G774/Prices!G773-1,"")</f>
        <v/>
      </c>
      <c r="H775" s="148" t="str">
        <f ca="1">IFERROR(Prices!H774/Prices!H773-1,"")</f>
        <v/>
      </c>
      <c r="I775" s="149" t="str">
        <f ca="1">IFERROR(Prices!I774/Prices!I773-1,"")</f>
        <v/>
      </c>
      <c r="J775" s="150">
        <f t="shared" ref="J775:J838" ca="1" si="14">IFERROR(SUMPRODUCT(Weights,$B775:$H775),"")</f>
        <v>0</v>
      </c>
      <c r="K775" s="112"/>
      <c r="L775" s="112"/>
      <c r="M775" s="112"/>
    </row>
    <row r="776" spans="1:13" x14ac:dyDescent="0.3">
      <c r="A776" s="147" t="str">
        <f ca="1">Prices!$A$775</f>
        <v/>
      </c>
      <c r="B776" s="148" t="str">
        <f ca="1">IFERROR(Prices!B775/Prices!B774-1,"")</f>
        <v/>
      </c>
      <c r="C776" s="148" t="str">
        <f ca="1">IFERROR(Prices!C775/Prices!C774-1,"")</f>
        <v/>
      </c>
      <c r="D776" s="148" t="str">
        <f ca="1">IFERROR(Prices!D775/Prices!D774-1,"")</f>
        <v/>
      </c>
      <c r="E776" s="148" t="str">
        <f ca="1">IFERROR(Prices!E775/Prices!E774-1,"")</f>
        <v/>
      </c>
      <c r="F776" s="148" t="str">
        <f ca="1">IFERROR(Prices!F775/Prices!F774-1,"")</f>
        <v/>
      </c>
      <c r="G776" s="148" t="str">
        <f ca="1">IFERROR(Prices!G775/Prices!G774-1,"")</f>
        <v/>
      </c>
      <c r="H776" s="148" t="str">
        <f ca="1">IFERROR(Prices!H775/Prices!H774-1,"")</f>
        <v/>
      </c>
      <c r="I776" s="149" t="str">
        <f ca="1">IFERROR(Prices!I775/Prices!I774-1,"")</f>
        <v/>
      </c>
      <c r="J776" s="150">
        <f t="shared" ca="1" si="14"/>
        <v>0</v>
      </c>
      <c r="K776" s="112"/>
      <c r="L776" s="112"/>
      <c r="M776" s="112"/>
    </row>
    <row r="777" spans="1:13" x14ac:dyDescent="0.3">
      <c r="A777" s="147" t="str">
        <f ca="1">Prices!$A$776</f>
        <v/>
      </c>
      <c r="B777" s="148" t="str">
        <f ca="1">IFERROR(Prices!B776/Prices!B775-1,"")</f>
        <v/>
      </c>
      <c r="C777" s="148" t="str">
        <f ca="1">IFERROR(Prices!C776/Prices!C775-1,"")</f>
        <v/>
      </c>
      <c r="D777" s="148" t="str">
        <f ca="1">IFERROR(Prices!D776/Prices!D775-1,"")</f>
        <v/>
      </c>
      <c r="E777" s="148" t="str">
        <f ca="1">IFERROR(Prices!E776/Prices!E775-1,"")</f>
        <v/>
      </c>
      <c r="F777" s="148" t="str">
        <f ca="1">IFERROR(Prices!F776/Prices!F775-1,"")</f>
        <v/>
      </c>
      <c r="G777" s="148" t="str">
        <f ca="1">IFERROR(Prices!G776/Prices!G775-1,"")</f>
        <v/>
      </c>
      <c r="H777" s="148" t="str">
        <f ca="1">IFERROR(Prices!H776/Prices!H775-1,"")</f>
        <v/>
      </c>
      <c r="I777" s="149" t="str">
        <f ca="1">IFERROR(Prices!I776/Prices!I775-1,"")</f>
        <v/>
      </c>
      <c r="J777" s="150">
        <f t="shared" ca="1" si="14"/>
        <v>0</v>
      </c>
      <c r="K777" s="112"/>
      <c r="L777" s="112"/>
      <c r="M777" s="112"/>
    </row>
    <row r="778" spans="1:13" x14ac:dyDescent="0.3">
      <c r="A778" s="147" t="str">
        <f ca="1">Prices!$A$777</f>
        <v/>
      </c>
      <c r="B778" s="148" t="str">
        <f ca="1">IFERROR(Prices!B777/Prices!B776-1,"")</f>
        <v/>
      </c>
      <c r="C778" s="148" t="str">
        <f ca="1">IFERROR(Prices!C777/Prices!C776-1,"")</f>
        <v/>
      </c>
      <c r="D778" s="148" t="str">
        <f ca="1">IFERROR(Prices!D777/Prices!D776-1,"")</f>
        <v/>
      </c>
      <c r="E778" s="148" t="str">
        <f ca="1">IFERROR(Prices!E777/Prices!E776-1,"")</f>
        <v/>
      </c>
      <c r="F778" s="148" t="str">
        <f ca="1">IFERROR(Prices!F777/Prices!F776-1,"")</f>
        <v/>
      </c>
      <c r="G778" s="148" t="str">
        <f ca="1">IFERROR(Prices!G777/Prices!G776-1,"")</f>
        <v/>
      </c>
      <c r="H778" s="148" t="str">
        <f ca="1">IFERROR(Prices!H777/Prices!H776-1,"")</f>
        <v/>
      </c>
      <c r="I778" s="149" t="str">
        <f ca="1">IFERROR(Prices!I777/Prices!I776-1,"")</f>
        <v/>
      </c>
      <c r="J778" s="150">
        <f t="shared" ca="1" si="14"/>
        <v>0</v>
      </c>
      <c r="K778" s="112"/>
      <c r="L778" s="112"/>
      <c r="M778" s="112"/>
    </row>
    <row r="779" spans="1:13" x14ac:dyDescent="0.3">
      <c r="A779" s="147" t="str">
        <f ca="1">Prices!$A$778</f>
        <v/>
      </c>
      <c r="B779" s="148" t="str">
        <f ca="1">IFERROR(Prices!B778/Prices!B777-1,"")</f>
        <v/>
      </c>
      <c r="C779" s="148" t="str">
        <f ca="1">IFERROR(Prices!C778/Prices!C777-1,"")</f>
        <v/>
      </c>
      <c r="D779" s="148" t="str">
        <f ca="1">IFERROR(Prices!D778/Prices!D777-1,"")</f>
        <v/>
      </c>
      <c r="E779" s="148" t="str">
        <f ca="1">IFERROR(Prices!E778/Prices!E777-1,"")</f>
        <v/>
      </c>
      <c r="F779" s="148" t="str">
        <f ca="1">IFERROR(Prices!F778/Prices!F777-1,"")</f>
        <v/>
      </c>
      <c r="G779" s="148" t="str">
        <f ca="1">IFERROR(Prices!G778/Prices!G777-1,"")</f>
        <v/>
      </c>
      <c r="H779" s="148" t="str">
        <f ca="1">IFERROR(Prices!H778/Prices!H777-1,"")</f>
        <v/>
      </c>
      <c r="I779" s="149" t="str">
        <f ca="1">IFERROR(Prices!I778/Prices!I777-1,"")</f>
        <v/>
      </c>
      <c r="J779" s="150">
        <f t="shared" ca="1" si="14"/>
        <v>0</v>
      </c>
      <c r="K779" s="112"/>
      <c r="L779" s="112"/>
      <c r="M779" s="112"/>
    </row>
    <row r="780" spans="1:13" x14ac:dyDescent="0.3">
      <c r="A780" s="147" t="str">
        <f ca="1">Prices!$A$779</f>
        <v/>
      </c>
      <c r="B780" s="148" t="str">
        <f ca="1">IFERROR(Prices!B779/Prices!B778-1,"")</f>
        <v/>
      </c>
      <c r="C780" s="148" t="str">
        <f ca="1">IFERROR(Prices!C779/Prices!C778-1,"")</f>
        <v/>
      </c>
      <c r="D780" s="148" t="str">
        <f ca="1">IFERROR(Prices!D779/Prices!D778-1,"")</f>
        <v/>
      </c>
      <c r="E780" s="148" t="str">
        <f ca="1">IFERROR(Prices!E779/Prices!E778-1,"")</f>
        <v/>
      </c>
      <c r="F780" s="148" t="str">
        <f ca="1">IFERROR(Prices!F779/Prices!F778-1,"")</f>
        <v/>
      </c>
      <c r="G780" s="148" t="str">
        <f ca="1">IFERROR(Prices!G779/Prices!G778-1,"")</f>
        <v/>
      </c>
      <c r="H780" s="148" t="str">
        <f ca="1">IFERROR(Prices!H779/Prices!H778-1,"")</f>
        <v/>
      </c>
      <c r="I780" s="149" t="str">
        <f ca="1">IFERROR(Prices!I779/Prices!I778-1,"")</f>
        <v/>
      </c>
      <c r="J780" s="150">
        <f t="shared" ca="1" si="14"/>
        <v>0</v>
      </c>
      <c r="K780" s="112"/>
      <c r="L780" s="112"/>
      <c r="M780" s="112"/>
    </row>
    <row r="781" spans="1:13" x14ac:dyDescent="0.3">
      <c r="A781" s="147" t="str">
        <f ca="1">Prices!$A$780</f>
        <v/>
      </c>
      <c r="B781" s="148" t="str">
        <f ca="1">IFERROR(Prices!B780/Prices!B779-1,"")</f>
        <v/>
      </c>
      <c r="C781" s="148" t="str">
        <f ca="1">IFERROR(Prices!C780/Prices!C779-1,"")</f>
        <v/>
      </c>
      <c r="D781" s="148" t="str">
        <f ca="1">IFERROR(Prices!D780/Prices!D779-1,"")</f>
        <v/>
      </c>
      <c r="E781" s="148" t="str">
        <f ca="1">IFERROR(Prices!E780/Prices!E779-1,"")</f>
        <v/>
      </c>
      <c r="F781" s="148" t="str">
        <f ca="1">IFERROR(Prices!F780/Prices!F779-1,"")</f>
        <v/>
      </c>
      <c r="G781" s="148" t="str">
        <f ca="1">IFERROR(Prices!G780/Prices!G779-1,"")</f>
        <v/>
      </c>
      <c r="H781" s="148" t="str">
        <f ca="1">IFERROR(Prices!H780/Prices!H779-1,"")</f>
        <v/>
      </c>
      <c r="I781" s="149" t="str">
        <f ca="1">IFERROR(Prices!I780/Prices!I779-1,"")</f>
        <v/>
      </c>
      <c r="J781" s="150">
        <f t="shared" ca="1" si="14"/>
        <v>0</v>
      </c>
      <c r="K781" s="112"/>
      <c r="L781" s="112"/>
      <c r="M781" s="112"/>
    </row>
    <row r="782" spans="1:13" x14ac:dyDescent="0.3">
      <c r="A782" s="147" t="str">
        <f ca="1">Prices!$A$781</f>
        <v/>
      </c>
      <c r="B782" s="148" t="str">
        <f ca="1">IFERROR(Prices!B781/Prices!B780-1,"")</f>
        <v/>
      </c>
      <c r="C782" s="148" t="str">
        <f ca="1">IFERROR(Prices!C781/Prices!C780-1,"")</f>
        <v/>
      </c>
      <c r="D782" s="148" t="str">
        <f ca="1">IFERROR(Prices!D781/Prices!D780-1,"")</f>
        <v/>
      </c>
      <c r="E782" s="148" t="str">
        <f ca="1">IFERROR(Prices!E781/Prices!E780-1,"")</f>
        <v/>
      </c>
      <c r="F782" s="148" t="str">
        <f ca="1">IFERROR(Prices!F781/Prices!F780-1,"")</f>
        <v/>
      </c>
      <c r="G782" s="148" t="str">
        <f ca="1">IFERROR(Prices!G781/Prices!G780-1,"")</f>
        <v/>
      </c>
      <c r="H782" s="148" t="str">
        <f ca="1">IFERROR(Prices!H781/Prices!H780-1,"")</f>
        <v/>
      </c>
      <c r="I782" s="149" t="str">
        <f ca="1">IFERROR(Prices!I781/Prices!I780-1,"")</f>
        <v/>
      </c>
      <c r="J782" s="150">
        <f t="shared" ca="1" si="14"/>
        <v>0</v>
      </c>
      <c r="K782" s="112"/>
      <c r="L782" s="112"/>
      <c r="M782" s="112"/>
    </row>
    <row r="783" spans="1:13" x14ac:dyDescent="0.3">
      <c r="A783" s="147" t="str">
        <f ca="1">Prices!$A$782</f>
        <v/>
      </c>
      <c r="B783" s="148" t="str">
        <f ca="1">IFERROR(Prices!B782/Prices!B781-1,"")</f>
        <v/>
      </c>
      <c r="C783" s="148" t="str">
        <f ca="1">IFERROR(Prices!C782/Prices!C781-1,"")</f>
        <v/>
      </c>
      <c r="D783" s="148" t="str">
        <f ca="1">IFERROR(Prices!D782/Prices!D781-1,"")</f>
        <v/>
      </c>
      <c r="E783" s="148" t="str">
        <f ca="1">IFERROR(Prices!E782/Prices!E781-1,"")</f>
        <v/>
      </c>
      <c r="F783" s="148" t="str">
        <f ca="1">IFERROR(Prices!F782/Prices!F781-1,"")</f>
        <v/>
      </c>
      <c r="G783" s="148" t="str">
        <f ca="1">IFERROR(Prices!G782/Prices!G781-1,"")</f>
        <v/>
      </c>
      <c r="H783" s="148" t="str">
        <f ca="1">IFERROR(Prices!H782/Prices!H781-1,"")</f>
        <v/>
      </c>
      <c r="I783" s="149" t="str">
        <f ca="1">IFERROR(Prices!I782/Prices!I781-1,"")</f>
        <v/>
      </c>
      <c r="J783" s="150">
        <f t="shared" ca="1" si="14"/>
        <v>0</v>
      </c>
      <c r="K783" s="112"/>
      <c r="L783" s="112"/>
      <c r="M783" s="112"/>
    </row>
    <row r="784" spans="1:13" x14ac:dyDescent="0.3">
      <c r="A784" s="147" t="str">
        <f ca="1">Prices!$A$783</f>
        <v/>
      </c>
      <c r="B784" s="148" t="str">
        <f ca="1">IFERROR(Prices!B783/Prices!B782-1,"")</f>
        <v/>
      </c>
      <c r="C784" s="148" t="str">
        <f ca="1">IFERROR(Prices!C783/Prices!C782-1,"")</f>
        <v/>
      </c>
      <c r="D784" s="148" t="str">
        <f ca="1">IFERROR(Prices!D783/Prices!D782-1,"")</f>
        <v/>
      </c>
      <c r="E784" s="148" t="str">
        <f ca="1">IFERROR(Prices!E783/Prices!E782-1,"")</f>
        <v/>
      </c>
      <c r="F784" s="148" t="str">
        <f ca="1">IFERROR(Prices!F783/Prices!F782-1,"")</f>
        <v/>
      </c>
      <c r="G784" s="148" t="str">
        <f ca="1">IFERROR(Prices!G783/Prices!G782-1,"")</f>
        <v/>
      </c>
      <c r="H784" s="148" t="str">
        <f ca="1">IFERROR(Prices!H783/Prices!H782-1,"")</f>
        <v/>
      </c>
      <c r="I784" s="149" t="str">
        <f ca="1">IFERROR(Prices!I783/Prices!I782-1,"")</f>
        <v/>
      </c>
      <c r="J784" s="150">
        <f t="shared" ca="1" si="14"/>
        <v>0</v>
      </c>
      <c r="K784" s="112"/>
      <c r="L784" s="112"/>
      <c r="M784" s="112"/>
    </row>
    <row r="785" spans="1:13" x14ac:dyDescent="0.3">
      <c r="A785" s="147" t="str">
        <f ca="1">Prices!$A$784</f>
        <v/>
      </c>
      <c r="B785" s="148" t="str">
        <f ca="1">IFERROR(Prices!B784/Prices!B783-1,"")</f>
        <v/>
      </c>
      <c r="C785" s="148" t="str">
        <f ca="1">IFERROR(Prices!C784/Prices!C783-1,"")</f>
        <v/>
      </c>
      <c r="D785" s="148" t="str">
        <f ca="1">IFERROR(Prices!D784/Prices!D783-1,"")</f>
        <v/>
      </c>
      <c r="E785" s="148" t="str">
        <f ca="1">IFERROR(Prices!E784/Prices!E783-1,"")</f>
        <v/>
      </c>
      <c r="F785" s="148" t="str">
        <f ca="1">IFERROR(Prices!F784/Prices!F783-1,"")</f>
        <v/>
      </c>
      <c r="G785" s="148" t="str">
        <f ca="1">IFERROR(Prices!G784/Prices!G783-1,"")</f>
        <v/>
      </c>
      <c r="H785" s="148" t="str">
        <f ca="1">IFERROR(Prices!H784/Prices!H783-1,"")</f>
        <v/>
      </c>
      <c r="I785" s="149" t="str">
        <f ca="1">IFERROR(Prices!I784/Prices!I783-1,"")</f>
        <v/>
      </c>
      <c r="J785" s="150">
        <f t="shared" ca="1" si="14"/>
        <v>0</v>
      </c>
      <c r="K785" s="112"/>
      <c r="L785" s="112"/>
      <c r="M785" s="112"/>
    </row>
    <row r="786" spans="1:13" x14ac:dyDescent="0.3">
      <c r="A786" s="147" t="str">
        <f ca="1">Prices!$A$785</f>
        <v/>
      </c>
      <c r="B786" s="148" t="str">
        <f ca="1">IFERROR(Prices!B785/Prices!B784-1,"")</f>
        <v/>
      </c>
      <c r="C786" s="148" t="str">
        <f ca="1">IFERROR(Prices!C785/Prices!C784-1,"")</f>
        <v/>
      </c>
      <c r="D786" s="148" t="str">
        <f ca="1">IFERROR(Prices!D785/Prices!D784-1,"")</f>
        <v/>
      </c>
      <c r="E786" s="148" t="str">
        <f ca="1">IFERROR(Prices!E785/Prices!E784-1,"")</f>
        <v/>
      </c>
      <c r="F786" s="148" t="str">
        <f ca="1">IFERROR(Prices!F785/Prices!F784-1,"")</f>
        <v/>
      </c>
      <c r="G786" s="148" t="str">
        <f ca="1">IFERROR(Prices!G785/Prices!G784-1,"")</f>
        <v/>
      </c>
      <c r="H786" s="148" t="str">
        <f ca="1">IFERROR(Prices!H785/Prices!H784-1,"")</f>
        <v/>
      </c>
      <c r="I786" s="149" t="str">
        <f ca="1">IFERROR(Prices!I785/Prices!I784-1,"")</f>
        <v/>
      </c>
      <c r="J786" s="150">
        <f t="shared" ca="1" si="14"/>
        <v>0</v>
      </c>
      <c r="K786" s="112"/>
      <c r="L786" s="112"/>
      <c r="M786" s="112"/>
    </row>
    <row r="787" spans="1:13" x14ac:dyDescent="0.3">
      <c r="A787" s="147" t="str">
        <f ca="1">Prices!$A$786</f>
        <v/>
      </c>
      <c r="B787" s="148" t="str">
        <f ca="1">IFERROR(Prices!B786/Prices!B785-1,"")</f>
        <v/>
      </c>
      <c r="C787" s="148" t="str">
        <f ca="1">IFERROR(Prices!C786/Prices!C785-1,"")</f>
        <v/>
      </c>
      <c r="D787" s="148" t="str">
        <f ca="1">IFERROR(Prices!D786/Prices!D785-1,"")</f>
        <v/>
      </c>
      <c r="E787" s="148" t="str">
        <f ca="1">IFERROR(Prices!E786/Prices!E785-1,"")</f>
        <v/>
      </c>
      <c r="F787" s="148" t="str">
        <f ca="1">IFERROR(Prices!F786/Prices!F785-1,"")</f>
        <v/>
      </c>
      <c r="G787" s="148" t="str">
        <f ca="1">IFERROR(Prices!G786/Prices!G785-1,"")</f>
        <v/>
      </c>
      <c r="H787" s="148" t="str">
        <f ca="1">IFERROR(Prices!H786/Prices!H785-1,"")</f>
        <v/>
      </c>
      <c r="I787" s="149" t="str">
        <f ca="1">IFERROR(Prices!I786/Prices!I785-1,"")</f>
        <v/>
      </c>
      <c r="J787" s="150">
        <f t="shared" ca="1" si="14"/>
        <v>0</v>
      </c>
      <c r="K787" s="112"/>
      <c r="L787" s="112"/>
      <c r="M787" s="112"/>
    </row>
    <row r="788" spans="1:13" x14ac:dyDescent="0.3">
      <c r="A788" s="147" t="str">
        <f ca="1">Prices!$A$787</f>
        <v/>
      </c>
      <c r="B788" s="148" t="str">
        <f ca="1">IFERROR(Prices!B787/Prices!B786-1,"")</f>
        <v/>
      </c>
      <c r="C788" s="148" t="str">
        <f ca="1">IFERROR(Prices!C787/Prices!C786-1,"")</f>
        <v/>
      </c>
      <c r="D788" s="148" t="str">
        <f ca="1">IFERROR(Prices!D787/Prices!D786-1,"")</f>
        <v/>
      </c>
      <c r="E788" s="148" t="str">
        <f ca="1">IFERROR(Prices!E787/Prices!E786-1,"")</f>
        <v/>
      </c>
      <c r="F788" s="148" t="str">
        <f ca="1">IFERROR(Prices!F787/Prices!F786-1,"")</f>
        <v/>
      </c>
      <c r="G788" s="148" t="str">
        <f ca="1">IFERROR(Prices!G787/Prices!G786-1,"")</f>
        <v/>
      </c>
      <c r="H788" s="148" t="str">
        <f ca="1">IFERROR(Prices!H787/Prices!H786-1,"")</f>
        <v/>
      </c>
      <c r="I788" s="149" t="str">
        <f ca="1">IFERROR(Prices!I787/Prices!I786-1,"")</f>
        <v/>
      </c>
      <c r="J788" s="150">
        <f t="shared" ca="1" si="14"/>
        <v>0</v>
      </c>
      <c r="K788" s="112"/>
      <c r="L788" s="112"/>
      <c r="M788" s="112"/>
    </row>
    <row r="789" spans="1:13" x14ac:dyDescent="0.3">
      <c r="A789" s="147" t="str">
        <f ca="1">Prices!$A$788</f>
        <v/>
      </c>
      <c r="B789" s="148" t="str">
        <f ca="1">IFERROR(Prices!B788/Prices!B787-1,"")</f>
        <v/>
      </c>
      <c r="C789" s="148" t="str">
        <f ca="1">IFERROR(Prices!C788/Prices!C787-1,"")</f>
        <v/>
      </c>
      <c r="D789" s="148" t="str">
        <f ca="1">IFERROR(Prices!D788/Prices!D787-1,"")</f>
        <v/>
      </c>
      <c r="E789" s="148" t="str">
        <f ca="1">IFERROR(Prices!E788/Prices!E787-1,"")</f>
        <v/>
      </c>
      <c r="F789" s="148" t="str">
        <f ca="1">IFERROR(Prices!F788/Prices!F787-1,"")</f>
        <v/>
      </c>
      <c r="G789" s="148" t="str">
        <f ca="1">IFERROR(Prices!G788/Prices!G787-1,"")</f>
        <v/>
      </c>
      <c r="H789" s="148" t="str">
        <f ca="1">IFERROR(Prices!H788/Prices!H787-1,"")</f>
        <v/>
      </c>
      <c r="I789" s="149" t="str">
        <f ca="1">IFERROR(Prices!I788/Prices!I787-1,"")</f>
        <v/>
      </c>
      <c r="J789" s="150">
        <f t="shared" ca="1" si="14"/>
        <v>0</v>
      </c>
      <c r="K789" s="112"/>
      <c r="L789" s="112"/>
      <c r="M789" s="112"/>
    </row>
    <row r="790" spans="1:13" x14ac:dyDescent="0.3">
      <c r="A790" s="147" t="str">
        <f ca="1">Prices!$A$789</f>
        <v/>
      </c>
      <c r="B790" s="148" t="str">
        <f ca="1">IFERROR(Prices!B789/Prices!B788-1,"")</f>
        <v/>
      </c>
      <c r="C790" s="148" t="str">
        <f ca="1">IFERROR(Prices!C789/Prices!C788-1,"")</f>
        <v/>
      </c>
      <c r="D790" s="148" t="str">
        <f ca="1">IFERROR(Prices!D789/Prices!D788-1,"")</f>
        <v/>
      </c>
      <c r="E790" s="148" t="str">
        <f ca="1">IFERROR(Prices!E789/Prices!E788-1,"")</f>
        <v/>
      </c>
      <c r="F790" s="148" t="str">
        <f ca="1">IFERROR(Prices!F789/Prices!F788-1,"")</f>
        <v/>
      </c>
      <c r="G790" s="148" t="str">
        <f ca="1">IFERROR(Prices!G789/Prices!G788-1,"")</f>
        <v/>
      </c>
      <c r="H790" s="148" t="str">
        <f ca="1">IFERROR(Prices!H789/Prices!H788-1,"")</f>
        <v/>
      </c>
      <c r="I790" s="149" t="str">
        <f ca="1">IFERROR(Prices!I789/Prices!I788-1,"")</f>
        <v/>
      </c>
      <c r="J790" s="150">
        <f t="shared" ca="1" si="14"/>
        <v>0</v>
      </c>
      <c r="K790" s="112"/>
      <c r="L790" s="112"/>
      <c r="M790" s="112"/>
    </row>
    <row r="791" spans="1:13" x14ac:dyDescent="0.3">
      <c r="A791" s="147" t="str">
        <f ca="1">Prices!$A$790</f>
        <v/>
      </c>
      <c r="B791" s="148" t="str">
        <f ca="1">IFERROR(Prices!B790/Prices!B789-1,"")</f>
        <v/>
      </c>
      <c r="C791" s="148" t="str">
        <f ca="1">IFERROR(Prices!C790/Prices!C789-1,"")</f>
        <v/>
      </c>
      <c r="D791" s="148" t="str">
        <f ca="1">IFERROR(Prices!D790/Prices!D789-1,"")</f>
        <v/>
      </c>
      <c r="E791" s="148" t="str">
        <f ca="1">IFERROR(Prices!E790/Prices!E789-1,"")</f>
        <v/>
      </c>
      <c r="F791" s="148" t="str">
        <f ca="1">IFERROR(Prices!F790/Prices!F789-1,"")</f>
        <v/>
      </c>
      <c r="G791" s="148" t="str">
        <f ca="1">IFERROR(Prices!G790/Prices!G789-1,"")</f>
        <v/>
      </c>
      <c r="H791" s="148" t="str">
        <f ca="1">IFERROR(Prices!H790/Prices!H789-1,"")</f>
        <v/>
      </c>
      <c r="I791" s="149" t="str">
        <f ca="1">IFERROR(Prices!I790/Prices!I789-1,"")</f>
        <v/>
      </c>
      <c r="J791" s="150">
        <f t="shared" ca="1" si="14"/>
        <v>0</v>
      </c>
      <c r="K791" s="112"/>
      <c r="L791" s="112"/>
      <c r="M791" s="112"/>
    </row>
    <row r="792" spans="1:13" x14ac:dyDescent="0.3">
      <c r="A792" s="147" t="str">
        <f ca="1">Prices!$A$791</f>
        <v/>
      </c>
      <c r="B792" s="148" t="str">
        <f ca="1">IFERROR(Prices!B791/Prices!B790-1,"")</f>
        <v/>
      </c>
      <c r="C792" s="148" t="str">
        <f ca="1">IFERROR(Prices!C791/Prices!C790-1,"")</f>
        <v/>
      </c>
      <c r="D792" s="148" t="str">
        <f ca="1">IFERROR(Prices!D791/Prices!D790-1,"")</f>
        <v/>
      </c>
      <c r="E792" s="148" t="str">
        <f ca="1">IFERROR(Prices!E791/Prices!E790-1,"")</f>
        <v/>
      </c>
      <c r="F792" s="148" t="str">
        <f ca="1">IFERROR(Prices!F791/Prices!F790-1,"")</f>
        <v/>
      </c>
      <c r="G792" s="148" t="str">
        <f ca="1">IFERROR(Prices!G791/Prices!G790-1,"")</f>
        <v/>
      </c>
      <c r="H792" s="148" t="str">
        <f ca="1">IFERROR(Prices!H791/Prices!H790-1,"")</f>
        <v/>
      </c>
      <c r="I792" s="149" t="str">
        <f ca="1">IFERROR(Prices!I791/Prices!I790-1,"")</f>
        <v/>
      </c>
      <c r="J792" s="150">
        <f t="shared" ca="1" si="14"/>
        <v>0</v>
      </c>
      <c r="K792" s="112"/>
      <c r="L792" s="112"/>
      <c r="M792" s="112"/>
    </row>
    <row r="793" spans="1:13" x14ac:dyDescent="0.3">
      <c r="A793" s="147" t="str">
        <f ca="1">Prices!$A$792</f>
        <v/>
      </c>
      <c r="B793" s="148" t="str">
        <f ca="1">IFERROR(Prices!B792/Prices!B791-1,"")</f>
        <v/>
      </c>
      <c r="C793" s="148" t="str">
        <f ca="1">IFERROR(Prices!C792/Prices!C791-1,"")</f>
        <v/>
      </c>
      <c r="D793" s="148" t="str">
        <f ca="1">IFERROR(Prices!D792/Prices!D791-1,"")</f>
        <v/>
      </c>
      <c r="E793" s="148" t="str">
        <f ca="1">IFERROR(Prices!E792/Prices!E791-1,"")</f>
        <v/>
      </c>
      <c r="F793" s="148" t="str">
        <f ca="1">IFERROR(Prices!F792/Prices!F791-1,"")</f>
        <v/>
      </c>
      <c r="G793" s="148" t="str">
        <f ca="1">IFERROR(Prices!G792/Prices!G791-1,"")</f>
        <v/>
      </c>
      <c r="H793" s="148" t="str">
        <f ca="1">IFERROR(Prices!H792/Prices!H791-1,"")</f>
        <v/>
      </c>
      <c r="I793" s="149" t="str">
        <f ca="1">IFERROR(Prices!I792/Prices!I791-1,"")</f>
        <v/>
      </c>
      <c r="J793" s="150">
        <f t="shared" ca="1" si="14"/>
        <v>0</v>
      </c>
      <c r="K793" s="112"/>
      <c r="L793" s="112"/>
      <c r="M793" s="112"/>
    </row>
    <row r="794" spans="1:13" x14ac:dyDescent="0.3">
      <c r="A794" s="147" t="str">
        <f ca="1">Prices!$A$793</f>
        <v/>
      </c>
      <c r="B794" s="148" t="str">
        <f ca="1">IFERROR(Prices!B793/Prices!B792-1,"")</f>
        <v/>
      </c>
      <c r="C794" s="148" t="str">
        <f ca="1">IFERROR(Prices!C793/Prices!C792-1,"")</f>
        <v/>
      </c>
      <c r="D794" s="148" t="str">
        <f ca="1">IFERROR(Prices!D793/Prices!D792-1,"")</f>
        <v/>
      </c>
      <c r="E794" s="148" t="str">
        <f ca="1">IFERROR(Prices!E793/Prices!E792-1,"")</f>
        <v/>
      </c>
      <c r="F794" s="148" t="str">
        <f ca="1">IFERROR(Prices!F793/Prices!F792-1,"")</f>
        <v/>
      </c>
      <c r="G794" s="148" t="str">
        <f ca="1">IFERROR(Prices!G793/Prices!G792-1,"")</f>
        <v/>
      </c>
      <c r="H794" s="148" t="str">
        <f ca="1">IFERROR(Prices!H793/Prices!H792-1,"")</f>
        <v/>
      </c>
      <c r="I794" s="149" t="str">
        <f ca="1">IFERROR(Prices!I793/Prices!I792-1,"")</f>
        <v/>
      </c>
      <c r="J794" s="150">
        <f t="shared" ca="1" si="14"/>
        <v>0</v>
      </c>
      <c r="K794" s="112"/>
      <c r="L794" s="112"/>
      <c r="M794" s="112"/>
    </row>
    <row r="795" spans="1:13" x14ac:dyDescent="0.3">
      <c r="A795" s="147" t="str">
        <f ca="1">Prices!$A$794</f>
        <v/>
      </c>
      <c r="B795" s="148" t="str">
        <f ca="1">IFERROR(Prices!B794/Prices!B793-1,"")</f>
        <v/>
      </c>
      <c r="C795" s="148" t="str">
        <f ca="1">IFERROR(Prices!C794/Prices!C793-1,"")</f>
        <v/>
      </c>
      <c r="D795" s="148" t="str">
        <f ca="1">IFERROR(Prices!D794/Prices!D793-1,"")</f>
        <v/>
      </c>
      <c r="E795" s="148" t="str">
        <f ca="1">IFERROR(Prices!E794/Prices!E793-1,"")</f>
        <v/>
      </c>
      <c r="F795" s="148" t="str">
        <f ca="1">IFERROR(Prices!F794/Prices!F793-1,"")</f>
        <v/>
      </c>
      <c r="G795" s="148" t="str">
        <f ca="1">IFERROR(Prices!G794/Prices!G793-1,"")</f>
        <v/>
      </c>
      <c r="H795" s="148" t="str">
        <f ca="1">IFERROR(Prices!H794/Prices!H793-1,"")</f>
        <v/>
      </c>
      <c r="I795" s="149" t="str">
        <f ca="1">IFERROR(Prices!I794/Prices!I793-1,"")</f>
        <v/>
      </c>
      <c r="J795" s="150">
        <f t="shared" ca="1" si="14"/>
        <v>0</v>
      </c>
      <c r="K795" s="112"/>
      <c r="L795" s="112"/>
      <c r="M795" s="112"/>
    </row>
    <row r="796" spans="1:13" x14ac:dyDescent="0.3">
      <c r="A796" s="147" t="str">
        <f ca="1">Prices!$A$795</f>
        <v/>
      </c>
      <c r="B796" s="148" t="str">
        <f ca="1">IFERROR(Prices!B795/Prices!B794-1,"")</f>
        <v/>
      </c>
      <c r="C796" s="148" t="str">
        <f ca="1">IFERROR(Prices!C795/Prices!C794-1,"")</f>
        <v/>
      </c>
      <c r="D796" s="148" t="str">
        <f ca="1">IFERROR(Prices!D795/Prices!D794-1,"")</f>
        <v/>
      </c>
      <c r="E796" s="148" t="str">
        <f ca="1">IFERROR(Prices!E795/Prices!E794-1,"")</f>
        <v/>
      </c>
      <c r="F796" s="148" t="str">
        <f ca="1">IFERROR(Prices!F795/Prices!F794-1,"")</f>
        <v/>
      </c>
      <c r="G796" s="148" t="str">
        <f ca="1">IFERROR(Prices!G795/Prices!G794-1,"")</f>
        <v/>
      </c>
      <c r="H796" s="148" t="str">
        <f ca="1">IFERROR(Prices!H795/Prices!H794-1,"")</f>
        <v/>
      </c>
      <c r="I796" s="149" t="str">
        <f ca="1">IFERROR(Prices!I795/Prices!I794-1,"")</f>
        <v/>
      </c>
      <c r="J796" s="150">
        <f t="shared" ca="1" si="14"/>
        <v>0</v>
      </c>
      <c r="K796" s="112"/>
      <c r="L796" s="112"/>
      <c r="M796" s="112"/>
    </row>
    <row r="797" spans="1:13" x14ac:dyDescent="0.3">
      <c r="A797" s="147" t="str">
        <f ca="1">Prices!$A$796</f>
        <v/>
      </c>
      <c r="B797" s="148" t="str">
        <f ca="1">IFERROR(Prices!B796/Prices!B795-1,"")</f>
        <v/>
      </c>
      <c r="C797" s="148" t="str">
        <f ca="1">IFERROR(Prices!C796/Prices!C795-1,"")</f>
        <v/>
      </c>
      <c r="D797" s="148" t="str">
        <f ca="1">IFERROR(Prices!D796/Prices!D795-1,"")</f>
        <v/>
      </c>
      <c r="E797" s="148" t="str">
        <f ca="1">IFERROR(Prices!E796/Prices!E795-1,"")</f>
        <v/>
      </c>
      <c r="F797" s="148" t="str">
        <f ca="1">IFERROR(Prices!F796/Prices!F795-1,"")</f>
        <v/>
      </c>
      <c r="G797" s="148" t="str">
        <f ca="1">IFERROR(Prices!G796/Prices!G795-1,"")</f>
        <v/>
      </c>
      <c r="H797" s="148" t="str">
        <f ca="1">IFERROR(Prices!H796/Prices!H795-1,"")</f>
        <v/>
      </c>
      <c r="I797" s="149" t="str">
        <f ca="1">IFERROR(Prices!I796/Prices!I795-1,"")</f>
        <v/>
      </c>
      <c r="J797" s="150">
        <f t="shared" ca="1" si="14"/>
        <v>0</v>
      </c>
      <c r="K797" s="112"/>
      <c r="L797" s="112"/>
      <c r="M797" s="112"/>
    </row>
    <row r="798" spans="1:13" x14ac:dyDescent="0.3">
      <c r="A798" s="147" t="str">
        <f ca="1">Prices!$A$797</f>
        <v/>
      </c>
      <c r="B798" s="148" t="str">
        <f ca="1">IFERROR(Prices!B797/Prices!B796-1,"")</f>
        <v/>
      </c>
      <c r="C798" s="148" t="str">
        <f ca="1">IFERROR(Prices!C797/Prices!C796-1,"")</f>
        <v/>
      </c>
      <c r="D798" s="148" t="str">
        <f ca="1">IFERROR(Prices!D797/Prices!D796-1,"")</f>
        <v/>
      </c>
      <c r="E798" s="148" t="str">
        <f ca="1">IFERROR(Prices!E797/Prices!E796-1,"")</f>
        <v/>
      </c>
      <c r="F798" s="148" t="str">
        <f ca="1">IFERROR(Prices!F797/Prices!F796-1,"")</f>
        <v/>
      </c>
      <c r="G798" s="148" t="str">
        <f ca="1">IFERROR(Prices!G797/Prices!G796-1,"")</f>
        <v/>
      </c>
      <c r="H798" s="148" t="str">
        <f ca="1">IFERROR(Prices!H797/Prices!H796-1,"")</f>
        <v/>
      </c>
      <c r="I798" s="149" t="str">
        <f ca="1">IFERROR(Prices!I797/Prices!I796-1,"")</f>
        <v/>
      </c>
      <c r="J798" s="150">
        <f t="shared" ca="1" si="14"/>
        <v>0</v>
      </c>
      <c r="K798" s="112"/>
      <c r="L798" s="112"/>
      <c r="M798" s="112"/>
    </row>
    <row r="799" spans="1:13" x14ac:dyDescent="0.3">
      <c r="A799" s="147" t="str">
        <f ca="1">Prices!$A$798</f>
        <v/>
      </c>
      <c r="B799" s="148" t="str">
        <f ca="1">IFERROR(Prices!B798/Prices!B797-1,"")</f>
        <v/>
      </c>
      <c r="C799" s="148" t="str">
        <f ca="1">IFERROR(Prices!C798/Prices!C797-1,"")</f>
        <v/>
      </c>
      <c r="D799" s="148" t="str">
        <f ca="1">IFERROR(Prices!D798/Prices!D797-1,"")</f>
        <v/>
      </c>
      <c r="E799" s="148" t="str">
        <f ca="1">IFERROR(Prices!E798/Prices!E797-1,"")</f>
        <v/>
      </c>
      <c r="F799" s="148" t="str">
        <f ca="1">IFERROR(Prices!F798/Prices!F797-1,"")</f>
        <v/>
      </c>
      <c r="G799" s="148" t="str">
        <f ca="1">IFERROR(Prices!G798/Prices!G797-1,"")</f>
        <v/>
      </c>
      <c r="H799" s="148" t="str">
        <f ca="1">IFERROR(Prices!H798/Prices!H797-1,"")</f>
        <v/>
      </c>
      <c r="I799" s="149" t="str">
        <f ca="1">IFERROR(Prices!I798/Prices!I797-1,"")</f>
        <v/>
      </c>
      <c r="J799" s="150">
        <f t="shared" ca="1" si="14"/>
        <v>0</v>
      </c>
      <c r="K799" s="112"/>
      <c r="L799" s="112"/>
      <c r="M799" s="112"/>
    </row>
    <row r="800" spans="1:13" x14ac:dyDescent="0.3">
      <c r="A800" s="147" t="str">
        <f ca="1">Prices!$A$799</f>
        <v/>
      </c>
      <c r="B800" s="148" t="str">
        <f ca="1">IFERROR(Prices!B799/Prices!B798-1,"")</f>
        <v/>
      </c>
      <c r="C800" s="148" t="str">
        <f ca="1">IFERROR(Prices!C799/Prices!C798-1,"")</f>
        <v/>
      </c>
      <c r="D800" s="148" t="str">
        <f ca="1">IFERROR(Prices!D799/Prices!D798-1,"")</f>
        <v/>
      </c>
      <c r="E800" s="148" t="str">
        <f ca="1">IFERROR(Prices!E799/Prices!E798-1,"")</f>
        <v/>
      </c>
      <c r="F800" s="148" t="str">
        <f ca="1">IFERROR(Prices!F799/Prices!F798-1,"")</f>
        <v/>
      </c>
      <c r="G800" s="148" t="str">
        <f ca="1">IFERROR(Prices!G799/Prices!G798-1,"")</f>
        <v/>
      </c>
      <c r="H800" s="148" t="str">
        <f ca="1">IFERROR(Prices!H799/Prices!H798-1,"")</f>
        <v/>
      </c>
      <c r="I800" s="149" t="str">
        <f ca="1">IFERROR(Prices!I799/Prices!I798-1,"")</f>
        <v/>
      </c>
      <c r="J800" s="150">
        <f t="shared" ca="1" si="14"/>
        <v>0</v>
      </c>
      <c r="K800" s="112"/>
      <c r="L800" s="112"/>
      <c r="M800" s="112"/>
    </row>
    <row r="801" spans="1:13" x14ac:dyDescent="0.3">
      <c r="A801" s="147" t="str">
        <f ca="1">Prices!$A$800</f>
        <v/>
      </c>
      <c r="B801" s="148" t="str">
        <f ca="1">IFERROR(Prices!B800/Prices!B799-1,"")</f>
        <v/>
      </c>
      <c r="C801" s="148" t="str">
        <f ca="1">IFERROR(Prices!C800/Prices!C799-1,"")</f>
        <v/>
      </c>
      <c r="D801" s="148" t="str">
        <f ca="1">IFERROR(Prices!D800/Prices!D799-1,"")</f>
        <v/>
      </c>
      <c r="E801" s="148" t="str">
        <f ca="1">IFERROR(Prices!E800/Prices!E799-1,"")</f>
        <v/>
      </c>
      <c r="F801" s="148" t="str">
        <f ca="1">IFERROR(Prices!F800/Prices!F799-1,"")</f>
        <v/>
      </c>
      <c r="G801" s="148" t="str">
        <f ca="1">IFERROR(Prices!G800/Prices!G799-1,"")</f>
        <v/>
      </c>
      <c r="H801" s="148" t="str">
        <f ca="1">IFERROR(Prices!H800/Prices!H799-1,"")</f>
        <v/>
      </c>
      <c r="I801" s="149" t="str">
        <f ca="1">IFERROR(Prices!I800/Prices!I799-1,"")</f>
        <v/>
      </c>
      <c r="J801" s="150">
        <f t="shared" ca="1" si="14"/>
        <v>0</v>
      </c>
      <c r="K801" s="112"/>
      <c r="L801" s="112"/>
      <c r="M801" s="112"/>
    </row>
    <row r="802" spans="1:13" x14ac:dyDescent="0.3">
      <c r="A802" s="147" t="str">
        <f ca="1">Prices!$A$801</f>
        <v/>
      </c>
      <c r="B802" s="148" t="str">
        <f ca="1">IFERROR(Prices!B801/Prices!B800-1,"")</f>
        <v/>
      </c>
      <c r="C802" s="148" t="str">
        <f ca="1">IFERROR(Prices!C801/Prices!C800-1,"")</f>
        <v/>
      </c>
      <c r="D802" s="148" t="str">
        <f ca="1">IFERROR(Prices!D801/Prices!D800-1,"")</f>
        <v/>
      </c>
      <c r="E802" s="148" t="str">
        <f ca="1">IFERROR(Prices!E801/Prices!E800-1,"")</f>
        <v/>
      </c>
      <c r="F802" s="148" t="str">
        <f ca="1">IFERROR(Prices!F801/Prices!F800-1,"")</f>
        <v/>
      </c>
      <c r="G802" s="148" t="str">
        <f ca="1">IFERROR(Prices!G801/Prices!G800-1,"")</f>
        <v/>
      </c>
      <c r="H802" s="148" t="str">
        <f ca="1">IFERROR(Prices!H801/Prices!H800-1,"")</f>
        <v/>
      </c>
      <c r="I802" s="149" t="str">
        <f ca="1">IFERROR(Prices!I801/Prices!I800-1,"")</f>
        <v/>
      </c>
      <c r="J802" s="150">
        <f t="shared" ca="1" si="14"/>
        <v>0</v>
      </c>
      <c r="K802" s="112"/>
      <c r="L802" s="112"/>
      <c r="M802" s="112"/>
    </row>
    <row r="803" spans="1:13" x14ac:dyDescent="0.3">
      <c r="A803" s="147" t="str">
        <f ca="1">Prices!$A$802</f>
        <v/>
      </c>
      <c r="B803" s="148" t="str">
        <f ca="1">IFERROR(Prices!B802/Prices!B801-1,"")</f>
        <v/>
      </c>
      <c r="C803" s="148" t="str">
        <f ca="1">IFERROR(Prices!C802/Prices!C801-1,"")</f>
        <v/>
      </c>
      <c r="D803" s="148" t="str">
        <f ca="1">IFERROR(Prices!D802/Prices!D801-1,"")</f>
        <v/>
      </c>
      <c r="E803" s="148" t="str">
        <f ca="1">IFERROR(Prices!E802/Prices!E801-1,"")</f>
        <v/>
      </c>
      <c r="F803" s="148" t="str">
        <f ca="1">IFERROR(Prices!F802/Prices!F801-1,"")</f>
        <v/>
      </c>
      <c r="G803" s="148" t="str">
        <f ca="1">IFERROR(Prices!G802/Prices!G801-1,"")</f>
        <v/>
      </c>
      <c r="H803" s="148" t="str">
        <f ca="1">IFERROR(Prices!H802/Prices!H801-1,"")</f>
        <v/>
      </c>
      <c r="I803" s="149" t="str">
        <f ca="1">IFERROR(Prices!I802/Prices!I801-1,"")</f>
        <v/>
      </c>
      <c r="J803" s="150">
        <f t="shared" ca="1" si="14"/>
        <v>0</v>
      </c>
      <c r="K803" s="112"/>
      <c r="L803" s="112"/>
      <c r="M803" s="112"/>
    </row>
    <row r="804" spans="1:13" x14ac:dyDescent="0.3">
      <c r="A804" s="147" t="str">
        <f ca="1">Prices!$A$803</f>
        <v/>
      </c>
      <c r="B804" s="148" t="str">
        <f ca="1">IFERROR(Prices!B803/Prices!B802-1,"")</f>
        <v/>
      </c>
      <c r="C804" s="148" t="str">
        <f ca="1">IFERROR(Prices!C803/Prices!C802-1,"")</f>
        <v/>
      </c>
      <c r="D804" s="148" t="str">
        <f ca="1">IFERROR(Prices!D803/Prices!D802-1,"")</f>
        <v/>
      </c>
      <c r="E804" s="148" t="str">
        <f ca="1">IFERROR(Prices!E803/Prices!E802-1,"")</f>
        <v/>
      </c>
      <c r="F804" s="148" t="str">
        <f ca="1">IFERROR(Prices!F803/Prices!F802-1,"")</f>
        <v/>
      </c>
      <c r="G804" s="148" t="str">
        <f ca="1">IFERROR(Prices!G803/Prices!G802-1,"")</f>
        <v/>
      </c>
      <c r="H804" s="148" t="str">
        <f ca="1">IFERROR(Prices!H803/Prices!H802-1,"")</f>
        <v/>
      </c>
      <c r="I804" s="149" t="str">
        <f ca="1">IFERROR(Prices!I803/Prices!I802-1,"")</f>
        <v/>
      </c>
      <c r="J804" s="150">
        <f t="shared" ca="1" si="14"/>
        <v>0</v>
      </c>
      <c r="K804" s="112"/>
      <c r="L804" s="112"/>
      <c r="M804" s="112"/>
    </row>
    <row r="805" spans="1:13" x14ac:dyDescent="0.3">
      <c r="A805" s="147" t="str">
        <f ca="1">Prices!$A$804</f>
        <v/>
      </c>
      <c r="B805" s="148" t="str">
        <f ca="1">IFERROR(Prices!B804/Prices!B803-1,"")</f>
        <v/>
      </c>
      <c r="C805" s="148" t="str">
        <f ca="1">IFERROR(Prices!C804/Prices!C803-1,"")</f>
        <v/>
      </c>
      <c r="D805" s="148" t="str">
        <f ca="1">IFERROR(Prices!D804/Prices!D803-1,"")</f>
        <v/>
      </c>
      <c r="E805" s="148" t="str">
        <f ca="1">IFERROR(Prices!E804/Prices!E803-1,"")</f>
        <v/>
      </c>
      <c r="F805" s="148" t="str">
        <f ca="1">IFERROR(Prices!F804/Prices!F803-1,"")</f>
        <v/>
      </c>
      <c r="G805" s="148" t="str">
        <f ca="1">IFERROR(Prices!G804/Prices!G803-1,"")</f>
        <v/>
      </c>
      <c r="H805" s="148" t="str">
        <f ca="1">IFERROR(Prices!H804/Prices!H803-1,"")</f>
        <v/>
      </c>
      <c r="I805" s="149" t="str">
        <f ca="1">IFERROR(Prices!I804/Prices!I803-1,"")</f>
        <v/>
      </c>
      <c r="J805" s="150">
        <f t="shared" ca="1" si="14"/>
        <v>0</v>
      </c>
      <c r="K805" s="112"/>
      <c r="L805" s="112"/>
      <c r="M805" s="112"/>
    </row>
    <row r="806" spans="1:13" x14ac:dyDescent="0.3">
      <c r="A806" s="147" t="str">
        <f ca="1">Prices!$A$805</f>
        <v/>
      </c>
      <c r="B806" s="148" t="str">
        <f ca="1">IFERROR(Prices!B805/Prices!B804-1,"")</f>
        <v/>
      </c>
      <c r="C806" s="148" t="str">
        <f ca="1">IFERROR(Prices!C805/Prices!C804-1,"")</f>
        <v/>
      </c>
      <c r="D806" s="148" t="str">
        <f ca="1">IFERROR(Prices!D805/Prices!D804-1,"")</f>
        <v/>
      </c>
      <c r="E806" s="148" t="str">
        <f ca="1">IFERROR(Prices!E805/Prices!E804-1,"")</f>
        <v/>
      </c>
      <c r="F806" s="148" t="str">
        <f ca="1">IFERROR(Prices!F805/Prices!F804-1,"")</f>
        <v/>
      </c>
      <c r="G806" s="148" t="str">
        <f ca="1">IFERROR(Prices!G805/Prices!G804-1,"")</f>
        <v/>
      </c>
      <c r="H806" s="148" t="str">
        <f ca="1">IFERROR(Prices!H805/Prices!H804-1,"")</f>
        <v/>
      </c>
      <c r="I806" s="149" t="str">
        <f ca="1">IFERROR(Prices!I805/Prices!I804-1,"")</f>
        <v/>
      </c>
      <c r="J806" s="150">
        <f t="shared" ca="1" si="14"/>
        <v>0</v>
      </c>
      <c r="K806" s="112"/>
      <c r="L806" s="112"/>
      <c r="M806" s="112"/>
    </row>
    <row r="807" spans="1:13" x14ac:dyDescent="0.3">
      <c r="A807" s="147" t="str">
        <f ca="1">Prices!$A$806</f>
        <v/>
      </c>
      <c r="B807" s="148" t="str">
        <f ca="1">IFERROR(Prices!B806/Prices!B805-1,"")</f>
        <v/>
      </c>
      <c r="C807" s="148" t="str">
        <f ca="1">IFERROR(Prices!C806/Prices!C805-1,"")</f>
        <v/>
      </c>
      <c r="D807" s="148" t="str">
        <f ca="1">IFERROR(Prices!D806/Prices!D805-1,"")</f>
        <v/>
      </c>
      <c r="E807" s="148" t="str">
        <f ca="1">IFERROR(Prices!E806/Prices!E805-1,"")</f>
        <v/>
      </c>
      <c r="F807" s="148" t="str">
        <f ca="1">IFERROR(Prices!F806/Prices!F805-1,"")</f>
        <v/>
      </c>
      <c r="G807" s="148" t="str">
        <f ca="1">IFERROR(Prices!G806/Prices!G805-1,"")</f>
        <v/>
      </c>
      <c r="H807" s="148" t="str">
        <f ca="1">IFERROR(Prices!H806/Prices!H805-1,"")</f>
        <v/>
      </c>
      <c r="I807" s="149" t="str">
        <f ca="1">IFERROR(Prices!I806/Prices!I805-1,"")</f>
        <v/>
      </c>
      <c r="J807" s="150">
        <f t="shared" ca="1" si="14"/>
        <v>0</v>
      </c>
      <c r="K807" s="112"/>
      <c r="L807" s="112"/>
      <c r="M807" s="112"/>
    </row>
    <row r="808" spans="1:13" x14ac:dyDescent="0.3">
      <c r="A808" s="147" t="str">
        <f ca="1">Prices!$A$807</f>
        <v/>
      </c>
      <c r="B808" s="148" t="str">
        <f ca="1">IFERROR(Prices!B807/Prices!B806-1,"")</f>
        <v/>
      </c>
      <c r="C808" s="148" t="str">
        <f ca="1">IFERROR(Prices!C807/Prices!C806-1,"")</f>
        <v/>
      </c>
      <c r="D808" s="148" t="str">
        <f ca="1">IFERROR(Prices!D807/Prices!D806-1,"")</f>
        <v/>
      </c>
      <c r="E808" s="148" t="str">
        <f ca="1">IFERROR(Prices!E807/Prices!E806-1,"")</f>
        <v/>
      </c>
      <c r="F808" s="148" t="str">
        <f ca="1">IFERROR(Prices!F807/Prices!F806-1,"")</f>
        <v/>
      </c>
      <c r="G808" s="148" t="str">
        <f ca="1">IFERROR(Prices!G807/Prices!G806-1,"")</f>
        <v/>
      </c>
      <c r="H808" s="148" t="str">
        <f ca="1">IFERROR(Prices!H807/Prices!H806-1,"")</f>
        <v/>
      </c>
      <c r="I808" s="149" t="str">
        <f ca="1">IFERROR(Prices!I807/Prices!I806-1,"")</f>
        <v/>
      </c>
      <c r="J808" s="150">
        <f t="shared" ca="1" si="14"/>
        <v>0</v>
      </c>
      <c r="K808" s="112"/>
      <c r="L808" s="112"/>
      <c r="M808" s="112"/>
    </row>
    <row r="809" spans="1:13" x14ac:dyDescent="0.3">
      <c r="A809" s="147" t="str">
        <f ca="1">Prices!$A$808</f>
        <v/>
      </c>
      <c r="B809" s="148" t="str">
        <f ca="1">IFERROR(Prices!B808/Prices!B807-1,"")</f>
        <v/>
      </c>
      <c r="C809" s="148" t="str">
        <f ca="1">IFERROR(Prices!C808/Prices!C807-1,"")</f>
        <v/>
      </c>
      <c r="D809" s="148" t="str">
        <f ca="1">IFERROR(Prices!D808/Prices!D807-1,"")</f>
        <v/>
      </c>
      <c r="E809" s="148" t="str">
        <f ca="1">IFERROR(Prices!E808/Prices!E807-1,"")</f>
        <v/>
      </c>
      <c r="F809" s="148" t="str">
        <f ca="1">IFERROR(Prices!F808/Prices!F807-1,"")</f>
        <v/>
      </c>
      <c r="G809" s="148" t="str">
        <f ca="1">IFERROR(Prices!G808/Prices!G807-1,"")</f>
        <v/>
      </c>
      <c r="H809" s="148" t="str">
        <f ca="1">IFERROR(Prices!H808/Prices!H807-1,"")</f>
        <v/>
      </c>
      <c r="I809" s="149" t="str">
        <f ca="1">IFERROR(Prices!I808/Prices!I807-1,"")</f>
        <v/>
      </c>
      <c r="J809" s="150">
        <f t="shared" ca="1" si="14"/>
        <v>0</v>
      </c>
      <c r="K809" s="112"/>
      <c r="L809" s="112"/>
      <c r="M809" s="112"/>
    </row>
    <row r="810" spans="1:13" x14ac:dyDescent="0.3">
      <c r="A810" s="147" t="str">
        <f ca="1">Prices!$A$809</f>
        <v/>
      </c>
      <c r="B810" s="148" t="str">
        <f ca="1">IFERROR(Prices!B809/Prices!B808-1,"")</f>
        <v/>
      </c>
      <c r="C810" s="148" t="str">
        <f ca="1">IFERROR(Prices!C809/Prices!C808-1,"")</f>
        <v/>
      </c>
      <c r="D810" s="148" t="str">
        <f ca="1">IFERROR(Prices!D809/Prices!D808-1,"")</f>
        <v/>
      </c>
      <c r="E810" s="148" t="str">
        <f ca="1">IFERROR(Prices!E809/Prices!E808-1,"")</f>
        <v/>
      </c>
      <c r="F810" s="148" t="str">
        <f ca="1">IFERROR(Prices!F809/Prices!F808-1,"")</f>
        <v/>
      </c>
      <c r="G810" s="148" t="str">
        <f ca="1">IFERROR(Prices!G809/Prices!G808-1,"")</f>
        <v/>
      </c>
      <c r="H810" s="148" t="str">
        <f ca="1">IFERROR(Prices!H809/Prices!H808-1,"")</f>
        <v/>
      </c>
      <c r="I810" s="149" t="str">
        <f ca="1">IFERROR(Prices!I809/Prices!I808-1,"")</f>
        <v/>
      </c>
      <c r="J810" s="150">
        <f t="shared" ca="1" si="14"/>
        <v>0</v>
      </c>
      <c r="K810" s="112"/>
      <c r="L810" s="112"/>
      <c r="M810" s="112"/>
    </row>
    <row r="811" spans="1:13" x14ac:dyDescent="0.3">
      <c r="A811" s="147" t="str">
        <f ca="1">Prices!$A$810</f>
        <v/>
      </c>
      <c r="B811" s="148" t="str">
        <f ca="1">IFERROR(Prices!B810/Prices!B809-1,"")</f>
        <v/>
      </c>
      <c r="C811" s="148" t="str">
        <f ca="1">IFERROR(Prices!C810/Prices!C809-1,"")</f>
        <v/>
      </c>
      <c r="D811" s="148" t="str">
        <f ca="1">IFERROR(Prices!D810/Prices!D809-1,"")</f>
        <v/>
      </c>
      <c r="E811" s="148" t="str">
        <f ca="1">IFERROR(Prices!E810/Prices!E809-1,"")</f>
        <v/>
      </c>
      <c r="F811" s="148" t="str">
        <f ca="1">IFERROR(Prices!F810/Prices!F809-1,"")</f>
        <v/>
      </c>
      <c r="G811" s="148" t="str">
        <f ca="1">IFERROR(Prices!G810/Prices!G809-1,"")</f>
        <v/>
      </c>
      <c r="H811" s="148" t="str">
        <f ca="1">IFERROR(Prices!H810/Prices!H809-1,"")</f>
        <v/>
      </c>
      <c r="I811" s="149" t="str">
        <f ca="1">IFERROR(Prices!I810/Prices!I809-1,"")</f>
        <v/>
      </c>
      <c r="J811" s="150">
        <f t="shared" ca="1" si="14"/>
        <v>0</v>
      </c>
      <c r="K811" s="112"/>
      <c r="L811" s="112"/>
      <c r="M811" s="112"/>
    </row>
    <row r="812" spans="1:13" x14ac:dyDescent="0.3">
      <c r="A812" s="147" t="str">
        <f ca="1">Prices!$A$811</f>
        <v/>
      </c>
      <c r="B812" s="148" t="str">
        <f ca="1">IFERROR(Prices!B811/Prices!B810-1,"")</f>
        <v/>
      </c>
      <c r="C812" s="148" t="str">
        <f ca="1">IFERROR(Prices!C811/Prices!C810-1,"")</f>
        <v/>
      </c>
      <c r="D812" s="148" t="str">
        <f ca="1">IFERROR(Prices!D811/Prices!D810-1,"")</f>
        <v/>
      </c>
      <c r="E812" s="148" t="str">
        <f ca="1">IFERROR(Prices!E811/Prices!E810-1,"")</f>
        <v/>
      </c>
      <c r="F812" s="148" t="str">
        <f ca="1">IFERROR(Prices!F811/Prices!F810-1,"")</f>
        <v/>
      </c>
      <c r="G812" s="148" t="str">
        <f ca="1">IFERROR(Prices!G811/Prices!G810-1,"")</f>
        <v/>
      </c>
      <c r="H812" s="148" t="str">
        <f ca="1">IFERROR(Prices!H811/Prices!H810-1,"")</f>
        <v/>
      </c>
      <c r="I812" s="149" t="str">
        <f ca="1">IFERROR(Prices!I811/Prices!I810-1,"")</f>
        <v/>
      </c>
      <c r="J812" s="150">
        <f t="shared" ca="1" si="14"/>
        <v>0</v>
      </c>
      <c r="K812" s="112"/>
      <c r="L812" s="112"/>
      <c r="M812" s="112"/>
    </row>
    <row r="813" spans="1:13" x14ac:dyDescent="0.3">
      <c r="A813" s="147" t="str">
        <f ca="1">Prices!$A$812</f>
        <v/>
      </c>
      <c r="B813" s="148" t="str">
        <f ca="1">IFERROR(Prices!B812/Prices!B811-1,"")</f>
        <v/>
      </c>
      <c r="C813" s="148" t="str">
        <f ca="1">IFERROR(Prices!C812/Prices!C811-1,"")</f>
        <v/>
      </c>
      <c r="D813" s="148" t="str">
        <f ca="1">IFERROR(Prices!D812/Prices!D811-1,"")</f>
        <v/>
      </c>
      <c r="E813" s="148" t="str">
        <f ca="1">IFERROR(Prices!E812/Prices!E811-1,"")</f>
        <v/>
      </c>
      <c r="F813" s="148" t="str">
        <f ca="1">IFERROR(Prices!F812/Prices!F811-1,"")</f>
        <v/>
      </c>
      <c r="G813" s="148" t="str">
        <f ca="1">IFERROR(Prices!G812/Prices!G811-1,"")</f>
        <v/>
      </c>
      <c r="H813" s="148" t="str">
        <f ca="1">IFERROR(Prices!H812/Prices!H811-1,"")</f>
        <v/>
      </c>
      <c r="I813" s="149" t="str">
        <f ca="1">IFERROR(Prices!I812/Prices!I811-1,"")</f>
        <v/>
      </c>
      <c r="J813" s="150">
        <f t="shared" ca="1" si="14"/>
        <v>0</v>
      </c>
      <c r="K813" s="112"/>
      <c r="L813" s="112"/>
      <c r="M813" s="112"/>
    </row>
    <row r="814" spans="1:13" x14ac:dyDescent="0.3">
      <c r="A814" s="147" t="str">
        <f ca="1">Prices!$A$813</f>
        <v/>
      </c>
      <c r="B814" s="148" t="str">
        <f ca="1">IFERROR(Prices!B813/Prices!B812-1,"")</f>
        <v/>
      </c>
      <c r="C814" s="148" t="str">
        <f ca="1">IFERROR(Prices!C813/Prices!C812-1,"")</f>
        <v/>
      </c>
      <c r="D814" s="148" t="str">
        <f ca="1">IFERROR(Prices!D813/Prices!D812-1,"")</f>
        <v/>
      </c>
      <c r="E814" s="148" t="str">
        <f ca="1">IFERROR(Prices!E813/Prices!E812-1,"")</f>
        <v/>
      </c>
      <c r="F814" s="148" t="str">
        <f ca="1">IFERROR(Prices!F813/Prices!F812-1,"")</f>
        <v/>
      </c>
      <c r="G814" s="148" t="str">
        <f ca="1">IFERROR(Prices!G813/Prices!G812-1,"")</f>
        <v/>
      </c>
      <c r="H814" s="148" t="str">
        <f ca="1">IFERROR(Prices!H813/Prices!H812-1,"")</f>
        <v/>
      </c>
      <c r="I814" s="149" t="str">
        <f ca="1">IFERROR(Prices!I813/Prices!I812-1,"")</f>
        <v/>
      </c>
      <c r="J814" s="150">
        <f t="shared" ca="1" si="14"/>
        <v>0</v>
      </c>
      <c r="K814" s="112"/>
      <c r="L814" s="112"/>
      <c r="M814" s="112"/>
    </row>
    <row r="815" spans="1:13" x14ac:dyDescent="0.3">
      <c r="A815" s="147" t="str">
        <f ca="1">Prices!$A$814</f>
        <v/>
      </c>
      <c r="B815" s="148" t="str">
        <f ca="1">IFERROR(Prices!B814/Prices!B813-1,"")</f>
        <v/>
      </c>
      <c r="C815" s="148" t="str">
        <f ca="1">IFERROR(Prices!C814/Prices!C813-1,"")</f>
        <v/>
      </c>
      <c r="D815" s="148" t="str">
        <f ca="1">IFERROR(Prices!D814/Prices!D813-1,"")</f>
        <v/>
      </c>
      <c r="E815" s="148" t="str">
        <f ca="1">IFERROR(Prices!E814/Prices!E813-1,"")</f>
        <v/>
      </c>
      <c r="F815" s="148" t="str">
        <f ca="1">IFERROR(Prices!F814/Prices!F813-1,"")</f>
        <v/>
      </c>
      <c r="G815" s="148" t="str">
        <f ca="1">IFERROR(Prices!G814/Prices!G813-1,"")</f>
        <v/>
      </c>
      <c r="H815" s="148" t="str">
        <f ca="1">IFERROR(Prices!H814/Prices!H813-1,"")</f>
        <v/>
      </c>
      <c r="I815" s="149" t="str">
        <f ca="1">IFERROR(Prices!I814/Prices!I813-1,"")</f>
        <v/>
      </c>
      <c r="J815" s="150">
        <f t="shared" ca="1" si="14"/>
        <v>0</v>
      </c>
      <c r="K815" s="112"/>
      <c r="L815" s="112"/>
      <c r="M815" s="112"/>
    </row>
    <row r="816" spans="1:13" x14ac:dyDescent="0.3">
      <c r="A816" s="147" t="str">
        <f ca="1">Prices!$A$815</f>
        <v/>
      </c>
      <c r="B816" s="148" t="str">
        <f ca="1">IFERROR(Prices!B815/Prices!B814-1,"")</f>
        <v/>
      </c>
      <c r="C816" s="148" t="str">
        <f ca="1">IFERROR(Prices!C815/Prices!C814-1,"")</f>
        <v/>
      </c>
      <c r="D816" s="148" t="str">
        <f ca="1">IFERROR(Prices!D815/Prices!D814-1,"")</f>
        <v/>
      </c>
      <c r="E816" s="148" t="str">
        <f ca="1">IFERROR(Prices!E815/Prices!E814-1,"")</f>
        <v/>
      </c>
      <c r="F816" s="148" t="str">
        <f ca="1">IFERROR(Prices!F815/Prices!F814-1,"")</f>
        <v/>
      </c>
      <c r="G816" s="148" t="str">
        <f ca="1">IFERROR(Prices!G815/Prices!G814-1,"")</f>
        <v/>
      </c>
      <c r="H816" s="148" t="str">
        <f ca="1">IFERROR(Prices!H815/Prices!H814-1,"")</f>
        <v/>
      </c>
      <c r="I816" s="149" t="str">
        <f ca="1">IFERROR(Prices!I815/Prices!I814-1,"")</f>
        <v/>
      </c>
      <c r="J816" s="150">
        <f t="shared" ca="1" si="14"/>
        <v>0</v>
      </c>
      <c r="K816" s="112"/>
      <c r="L816" s="112"/>
      <c r="M816" s="112"/>
    </row>
    <row r="817" spans="1:13" x14ac:dyDescent="0.3">
      <c r="A817" s="147" t="str">
        <f ca="1">Prices!$A$816</f>
        <v/>
      </c>
      <c r="B817" s="148" t="str">
        <f ca="1">IFERROR(Prices!B816/Prices!B815-1,"")</f>
        <v/>
      </c>
      <c r="C817" s="148" t="str">
        <f ca="1">IFERROR(Prices!C816/Prices!C815-1,"")</f>
        <v/>
      </c>
      <c r="D817" s="148" t="str">
        <f ca="1">IFERROR(Prices!D816/Prices!D815-1,"")</f>
        <v/>
      </c>
      <c r="E817" s="148" t="str">
        <f ca="1">IFERROR(Prices!E816/Prices!E815-1,"")</f>
        <v/>
      </c>
      <c r="F817" s="148" t="str">
        <f ca="1">IFERROR(Prices!F816/Prices!F815-1,"")</f>
        <v/>
      </c>
      <c r="G817" s="148" t="str">
        <f ca="1">IFERROR(Prices!G816/Prices!G815-1,"")</f>
        <v/>
      </c>
      <c r="H817" s="148" t="str">
        <f ca="1">IFERROR(Prices!H816/Prices!H815-1,"")</f>
        <v/>
      </c>
      <c r="I817" s="149" t="str">
        <f ca="1">IFERROR(Prices!I816/Prices!I815-1,"")</f>
        <v/>
      </c>
      <c r="J817" s="150">
        <f t="shared" ca="1" si="14"/>
        <v>0</v>
      </c>
      <c r="K817" s="112"/>
      <c r="L817" s="112"/>
      <c r="M817" s="112"/>
    </row>
    <row r="818" spans="1:13" x14ac:dyDescent="0.3">
      <c r="A818" s="147" t="str">
        <f ca="1">Prices!$A$817</f>
        <v/>
      </c>
      <c r="B818" s="148" t="str">
        <f ca="1">IFERROR(Prices!B817/Prices!B816-1,"")</f>
        <v/>
      </c>
      <c r="C818" s="148" t="str">
        <f ca="1">IFERROR(Prices!C817/Prices!C816-1,"")</f>
        <v/>
      </c>
      <c r="D818" s="148" t="str">
        <f ca="1">IFERROR(Prices!D817/Prices!D816-1,"")</f>
        <v/>
      </c>
      <c r="E818" s="148" t="str">
        <f ca="1">IFERROR(Prices!E817/Prices!E816-1,"")</f>
        <v/>
      </c>
      <c r="F818" s="148" t="str">
        <f ca="1">IFERROR(Prices!F817/Prices!F816-1,"")</f>
        <v/>
      </c>
      <c r="G818" s="148" t="str">
        <f ca="1">IFERROR(Prices!G817/Prices!G816-1,"")</f>
        <v/>
      </c>
      <c r="H818" s="148" t="str">
        <f ca="1">IFERROR(Prices!H817/Prices!H816-1,"")</f>
        <v/>
      </c>
      <c r="I818" s="149" t="str">
        <f ca="1">IFERROR(Prices!I817/Prices!I816-1,"")</f>
        <v/>
      </c>
      <c r="J818" s="150">
        <f t="shared" ca="1" si="14"/>
        <v>0</v>
      </c>
      <c r="K818" s="112"/>
      <c r="L818" s="112"/>
      <c r="M818" s="112"/>
    </row>
    <row r="819" spans="1:13" x14ac:dyDescent="0.3">
      <c r="A819" s="147" t="str">
        <f ca="1">Prices!$A$818</f>
        <v/>
      </c>
      <c r="B819" s="148" t="str">
        <f ca="1">IFERROR(Prices!B818/Prices!B817-1,"")</f>
        <v/>
      </c>
      <c r="C819" s="148" t="str">
        <f ca="1">IFERROR(Prices!C818/Prices!C817-1,"")</f>
        <v/>
      </c>
      <c r="D819" s="148" t="str">
        <f ca="1">IFERROR(Prices!D818/Prices!D817-1,"")</f>
        <v/>
      </c>
      <c r="E819" s="148" t="str">
        <f ca="1">IFERROR(Prices!E818/Prices!E817-1,"")</f>
        <v/>
      </c>
      <c r="F819" s="148" t="str">
        <f ca="1">IFERROR(Prices!F818/Prices!F817-1,"")</f>
        <v/>
      </c>
      <c r="G819" s="148" t="str">
        <f ca="1">IFERROR(Prices!G818/Prices!G817-1,"")</f>
        <v/>
      </c>
      <c r="H819" s="148" t="str">
        <f ca="1">IFERROR(Prices!H818/Prices!H817-1,"")</f>
        <v/>
      </c>
      <c r="I819" s="149" t="str">
        <f ca="1">IFERROR(Prices!I818/Prices!I817-1,"")</f>
        <v/>
      </c>
      <c r="J819" s="150">
        <f t="shared" ca="1" si="14"/>
        <v>0</v>
      </c>
      <c r="K819" s="112"/>
      <c r="L819" s="112"/>
      <c r="M819" s="112"/>
    </row>
    <row r="820" spans="1:13" x14ac:dyDescent="0.3">
      <c r="A820" s="147" t="str">
        <f ca="1">Prices!$A$819</f>
        <v/>
      </c>
      <c r="B820" s="148" t="str">
        <f ca="1">IFERROR(Prices!B819/Prices!B818-1,"")</f>
        <v/>
      </c>
      <c r="C820" s="148" t="str">
        <f ca="1">IFERROR(Prices!C819/Prices!C818-1,"")</f>
        <v/>
      </c>
      <c r="D820" s="148" t="str">
        <f ca="1">IFERROR(Prices!D819/Prices!D818-1,"")</f>
        <v/>
      </c>
      <c r="E820" s="148" t="str">
        <f ca="1">IFERROR(Prices!E819/Prices!E818-1,"")</f>
        <v/>
      </c>
      <c r="F820" s="148" t="str">
        <f ca="1">IFERROR(Prices!F819/Prices!F818-1,"")</f>
        <v/>
      </c>
      <c r="G820" s="148" t="str">
        <f ca="1">IFERROR(Prices!G819/Prices!G818-1,"")</f>
        <v/>
      </c>
      <c r="H820" s="148" t="str">
        <f ca="1">IFERROR(Prices!H819/Prices!H818-1,"")</f>
        <v/>
      </c>
      <c r="I820" s="149" t="str">
        <f ca="1">IFERROR(Prices!I819/Prices!I818-1,"")</f>
        <v/>
      </c>
      <c r="J820" s="150">
        <f t="shared" ca="1" si="14"/>
        <v>0</v>
      </c>
      <c r="K820" s="112"/>
      <c r="L820" s="112"/>
      <c r="M820" s="112"/>
    </row>
    <row r="821" spans="1:13" x14ac:dyDescent="0.3">
      <c r="A821" s="147" t="str">
        <f ca="1">Prices!$A$820</f>
        <v/>
      </c>
      <c r="B821" s="148" t="str">
        <f ca="1">IFERROR(Prices!B820/Prices!B819-1,"")</f>
        <v/>
      </c>
      <c r="C821" s="148" t="str">
        <f ca="1">IFERROR(Prices!C820/Prices!C819-1,"")</f>
        <v/>
      </c>
      <c r="D821" s="148" t="str">
        <f ca="1">IFERROR(Prices!D820/Prices!D819-1,"")</f>
        <v/>
      </c>
      <c r="E821" s="148" t="str">
        <f ca="1">IFERROR(Prices!E820/Prices!E819-1,"")</f>
        <v/>
      </c>
      <c r="F821" s="148" t="str">
        <f ca="1">IFERROR(Prices!F820/Prices!F819-1,"")</f>
        <v/>
      </c>
      <c r="G821" s="148" t="str">
        <f ca="1">IFERROR(Prices!G820/Prices!G819-1,"")</f>
        <v/>
      </c>
      <c r="H821" s="148" t="str">
        <f ca="1">IFERROR(Prices!H820/Prices!H819-1,"")</f>
        <v/>
      </c>
      <c r="I821" s="149" t="str">
        <f ca="1">IFERROR(Prices!I820/Prices!I819-1,"")</f>
        <v/>
      </c>
      <c r="J821" s="150">
        <f t="shared" ca="1" si="14"/>
        <v>0</v>
      </c>
      <c r="K821" s="112"/>
      <c r="L821" s="112"/>
      <c r="M821" s="112"/>
    </row>
    <row r="822" spans="1:13" x14ac:dyDescent="0.3">
      <c r="A822" s="147" t="str">
        <f ca="1">Prices!$A$821</f>
        <v/>
      </c>
      <c r="B822" s="148" t="str">
        <f ca="1">IFERROR(Prices!B821/Prices!B820-1,"")</f>
        <v/>
      </c>
      <c r="C822" s="148" t="str">
        <f ca="1">IFERROR(Prices!C821/Prices!C820-1,"")</f>
        <v/>
      </c>
      <c r="D822" s="148" t="str">
        <f ca="1">IFERROR(Prices!D821/Prices!D820-1,"")</f>
        <v/>
      </c>
      <c r="E822" s="148" t="str">
        <f ca="1">IFERROR(Prices!E821/Prices!E820-1,"")</f>
        <v/>
      </c>
      <c r="F822" s="148" t="str">
        <f ca="1">IFERROR(Prices!F821/Prices!F820-1,"")</f>
        <v/>
      </c>
      <c r="G822" s="148" t="str">
        <f ca="1">IFERROR(Prices!G821/Prices!G820-1,"")</f>
        <v/>
      </c>
      <c r="H822" s="148" t="str">
        <f ca="1">IFERROR(Prices!H821/Prices!H820-1,"")</f>
        <v/>
      </c>
      <c r="I822" s="149" t="str">
        <f ca="1">IFERROR(Prices!I821/Prices!I820-1,"")</f>
        <v/>
      </c>
      <c r="J822" s="150">
        <f t="shared" ca="1" si="14"/>
        <v>0</v>
      </c>
      <c r="K822" s="112"/>
      <c r="L822" s="112"/>
      <c r="M822" s="112"/>
    </row>
    <row r="823" spans="1:13" x14ac:dyDescent="0.3">
      <c r="A823" s="147" t="str">
        <f ca="1">Prices!$A$822</f>
        <v/>
      </c>
      <c r="B823" s="148" t="str">
        <f ca="1">IFERROR(Prices!B822/Prices!B821-1,"")</f>
        <v/>
      </c>
      <c r="C823" s="148" t="str">
        <f ca="1">IFERROR(Prices!C822/Prices!C821-1,"")</f>
        <v/>
      </c>
      <c r="D823" s="148" t="str">
        <f ca="1">IFERROR(Prices!D822/Prices!D821-1,"")</f>
        <v/>
      </c>
      <c r="E823" s="148" t="str">
        <f ca="1">IFERROR(Prices!E822/Prices!E821-1,"")</f>
        <v/>
      </c>
      <c r="F823" s="148" t="str">
        <f ca="1">IFERROR(Prices!F822/Prices!F821-1,"")</f>
        <v/>
      </c>
      <c r="G823" s="148" t="str">
        <f ca="1">IFERROR(Prices!G822/Prices!G821-1,"")</f>
        <v/>
      </c>
      <c r="H823" s="148" t="str">
        <f ca="1">IFERROR(Prices!H822/Prices!H821-1,"")</f>
        <v/>
      </c>
      <c r="I823" s="149" t="str">
        <f ca="1">IFERROR(Prices!I822/Prices!I821-1,"")</f>
        <v/>
      </c>
      <c r="J823" s="150">
        <f t="shared" ca="1" si="14"/>
        <v>0</v>
      </c>
      <c r="K823" s="112"/>
      <c r="L823" s="112"/>
      <c r="M823" s="112"/>
    </row>
    <row r="824" spans="1:13" x14ac:dyDescent="0.3">
      <c r="A824" s="147" t="str">
        <f ca="1">Prices!$A$823</f>
        <v/>
      </c>
      <c r="B824" s="148" t="str">
        <f ca="1">IFERROR(Prices!B823/Prices!B822-1,"")</f>
        <v/>
      </c>
      <c r="C824" s="148" t="str">
        <f ca="1">IFERROR(Prices!C823/Prices!C822-1,"")</f>
        <v/>
      </c>
      <c r="D824" s="148" t="str">
        <f ca="1">IFERROR(Prices!D823/Prices!D822-1,"")</f>
        <v/>
      </c>
      <c r="E824" s="148" t="str">
        <f ca="1">IFERROR(Prices!E823/Prices!E822-1,"")</f>
        <v/>
      </c>
      <c r="F824" s="148" t="str">
        <f ca="1">IFERROR(Prices!F823/Prices!F822-1,"")</f>
        <v/>
      </c>
      <c r="G824" s="148" t="str">
        <f ca="1">IFERROR(Prices!G823/Prices!G822-1,"")</f>
        <v/>
      </c>
      <c r="H824" s="148" t="str">
        <f ca="1">IFERROR(Prices!H823/Prices!H822-1,"")</f>
        <v/>
      </c>
      <c r="I824" s="149" t="str">
        <f ca="1">IFERROR(Prices!I823/Prices!I822-1,"")</f>
        <v/>
      </c>
      <c r="J824" s="150">
        <f t="shared" ca="1" si="14"/>
        <v>0</v>
      </c>
      <c r="K824" s="112"/>
      <c r="L824" s="112"/>
      <c r="M824" s="112"/>
    </row>
    <row r="825" spans="1:13" x14ac:dyDescent="0.3">
      <c r="A825" s="147" t="str">
        <f ca="1">Prices!$A$824</f>
        <v/>
      </c>
      <c r="B825" s="148" t="str">
        <f ca="1">IFERROR(Prices!B824/Prices!B823-1,"")</f>
        <v/>
      </c>
      <c r="C825" s="148" t="str">
        <f ca="1">IFERROR(Prices!C824/Prices!C823-1,"")</f>
        <v/>
      </c>
      <c r="D825" s="148" t="str">
        <f ca="1">IFERROR(Prices!D824/Prices!D823-1,"")</f>
        <v/>
      </c>
      <c r="E825" s="148" t="str">
        <f ca="1">IFERROR(Prices!E824/Prices!E823-1,"")</f>
        <v/>
      </c>
      <c r="F825" s="148" t="str">
        <f ca="1">IFERROR(Prices!F824/Prices!F823-1,"")</f>
        <v/>
      </c>
      <c r="G825" s="148" t="str">
        <f ca="1">IFERROR(Prices!G824/Prices!G823-1,"")</f>
        <v/>
      </c>
      <c r="H825" s="148" t="str">
        <f ca="1">IFERROR(Prices!H824/Prices!H823-1,"")</f>
        <v/>
      </c>
      <c r="I825" s="149" t="str">
        <f ca="1">IFERROR(Prices!I824/Prices!I823-1,"")</f>
        <v/>
      </c>
      <c r="J825" s="150">
        <f t="shared" ca="1" si="14"/>
        <v>0</v>
      </c>
      <c r="K825" s="112"/>
      <c r="L825" s="112"/>
      <c r="M825" s="112"/>
    </row>
    <row r="826" spans="1:13" x14ac:dyDescent="0.3">
      <c r="A826" s="147" t="str">
        <f ca="1">Prices!$A$825</f>
        <v/>
      </c>
      <c r="B826" s="148" t="str">
        <f ca="1">IFERROR(Prices!B825/Prices!B824-1,"")</f>
        <v/>
      </c>
      <c r="C826" s="148" t="str">
        <f ca="1">IFERROR(Prices!C825/Prices!C824-1,"")</f>
        <v/>
      </c>
      <c r="D826" s="148" t="str">
        <f ca="1">IFERROR(Prices!D825/Prices!D824-1,"")</f>
        <v/>
      </c>
      <c r="E826" s="148" t="str">
        <f ca="1">IFERROR(Prices!E825/Prices!E824-1,"")</f>
        <v/>
      </c>
      <c r="F826" s="148" t="str">
        <f ca="1">IFERROR(Prices!F825/Prices!F824-1,"")</f>
        <v/>
      </c>
      <c r="G826" s="148" t="str">
        <f ca="1">IFERROR(Prices!G825/Prices!G824-1,"")</f>
        <v/>
      </c>
      <c r="H826" s="148" t="str">
        <f ca="1">IFERROR(Prices!H825/Prices!H824-1,"")</f>
        <v/>
      </c>
      <c r="I826" s="149" t="str">
        <f ca="1">IFERROR(Prices!I825/Prices!I824-1,"")</f>
        <v/>
      </c>
      <c r="J826" s="150">
        <f t="shared" ca="1" si="14"/>
        <v>0</v>
      </c>
      <c r="K826" s="112"/>
      <c r="L826" s="112"/>
      <c r="M826" s="112"/>
    </row>
    <row r="827" spans="1:13" x14ac:dyDescent="0.3">
      <c r="A827" s="147" t="str">
        <f ca="1">Prices!$A$826</f>
        <v/>
      </c>
      <c r="B827" s="148" t="str">
        <f ca="1">IFERROR(Prices!B826/Prices!B825-1,"")</f>
        <v/>
      </c>
      <c r="C827" s="148" t="str">
        <f ca="1">IFERROR(Prices!C826/Prices!C825-1,"")</f>
        <v/>
      </c>
      <c r="D827" s="148" t="str">
        <f ca="1">IFERROR(Prices!D826/Prices!D825-1,"")</f>
        <v/>
      </c>
      <c r="E827" s="148" t="str">
        <f ca="1">IFERROR(Prices!E826/Prices!E825-1,"")</f>
        <v/>
      </c>
      <c r="F827" s="148" t="str">
        <f ca="1">IFERROR(Prices!F826/Prices!F825-1,"")</f>
        <v/>
      </c>
      <c r="G827" s="148" t="str">
        <f ca="1">IFERROR(Prices!G826/Prices!G825-1,"")</f>
        <v/>
      </c>
      <c r="H827" s="148" t="str">
        <f ca="1">IFERROR(Prices!H826/Prices!H825-1,"")</f>
        <v/>
      </c>
      <c r="I827" s="149" t="str">
        <f ca="1">IFERROR(Prices!I826/Prices!I825-1,"")</f>
        <v/>
      </c>
      <c r="J827" s="150">
        <f t="shared" ca="1" si="14"/>
        <v>0</v>
      </c>
      <c r="K827" s="112"/>
      <c r="L827" s="112"/>
      <c r="M827" s="112"/>
    </row>
    <row r="828" spans="1:13" x14ac:dyDescent="0.3">
      <c r="A828" s="147" t="str">
        <f ca="1">Prices!$A$827</f>
        <v/>
      </c>
      <c r="B828" s="148" t="str">
        <f ca="1">IFERROR(Prices!B827/Prices!B826-1,"")</f>
        <v/>
      </c>
      <c r="C828" s="148" t="str">
        <f ca="1">IFERROR(Prices!C827/Prices!C826-1,"")</f>
        <v/>
      </c>
      <c r="D828" s="148" t="str">
        <f ca="1">IFERROR(Prices!D827/Prices!D826-1,"")</f>
        <v/>
      </c>
      <c r="E828" s="148" t="str">
        <f ca="1">IFERROR(Prices!E827/Prices!E826-1,"")</f>
        <v/>
      </c>
      <c r="F828" s="148" t="str">
        <f ca="1">IFERROR(Prices!F827/Prices!F826-1,"")</f>
        <v/>
      </c>
      <c r="G828" s="148" t="str">
        <f ca="1">IFERROR(Prices!G827/Prices!G826-1,"")</f>
        <v/>
      </c>
      <c r="H828" s="148" t="str">
        <f ca="1">IFERROR(Prices!H827/Prices!H826-1,"")</f>
        <v/>
      </c>
      <c r="I828" s="149" t="str">
        <f ca="1">IFERROR(Prices!I827/Prices!I826-1,"")</f>
        <v/>
      </c>
      <c r="J828" s="150">
        <f t="shared" ca="1" si="14"/>
        <v>0</v>
      </c>
      <c r="K828" s="112"/>
      <c r="L828" s="112"/>
      <c r="M828" s="112"/>
    </row>
    <row r="829" spans="1:13" x14ac:dyDescent="0.3">
      <c r="A829" s="147" t="str">
        <f ca="1">Prices!$A$828</f>
        <v/>
      </c>
      <c r="B829" s="148" t="str">
        <f ca="1">IFERROR(Prices!B828/Prices!B827-1,"")</f>
        <v/>
      </c>
      <c r="C829" s="148" t="str">
        <f ca="1">IFERROR(Prices!C828/Prices!C827-1,"")</f>
        <v/>
      </c>
      <c r="D829" s="148" t="str">
        <f ca="1">IFERROR(Prices!D828/Prices!D827-1,"")</f>
        <v/>
      </c>
      <c r="E829" s="148" t="str">
        <f ca="1">IFERROR(Prices!E828/Prices!E827-1,"")</f>
        <v/>
      </c>
      <c r="F829" s="148" t="str">
        <f ca="1">IFERROR(Prices!F828/Prices!F827-1,"")</f>
        <v/>
      </c>
      <c r="G829" s="148" t="str">
        <f ca="1">IFERROR(Prices!G828/Prices!G827-1,"")</f>
        <v/>
      </c>
      <c r="H829" s="148" t="str">
        <f ca="1">IFERROR(Prices!H828/Prices!H827-1,"")</f>
        <v/>
      </c>
      <c r="I829" s="149" t="str">
        <f ca="1">IFERROR(Prices!I828/Prices!I827-1,"")</f>
        <v/>
      </c>
      <c r="J829" s="150">
        <f t="shared" ca="1" si="14"/>
        <v>0</v>
      </c>
      <c r="K829" s="112"/>
      <c r="L829" s="112"/>
      <c r="M829" s="112"/>
    </row>
    <row r="830" spans="1:13" x14ac:dyDescent="0.3">
      <c r="A830" s="147" t="str">
        <f ca="1">Prices!$A$829</f>
        <v/>
      </c>
      <c r="B830" s="148" t="str">
        <f ca="1">IFERROR(Prices!B829/Prices!B828-1,"")</f>
        <v/>
      </c>
      <c r="C830" s="148" t="str">
        <f ca="1">IFERROR(Prices!C829/Prices!C828-1,"")</f>
        <v/>
      </c>
      <c r="D830" s="148" t="str">
        <f ca="1">IFERROR(Prices!D829/Prices!D828-1,"")</f>
        <v/>
      </c>
      <c r="E830" s="148" t="str">
        <f ca="1">IFERROR(Prices!E829/Prices!E828-1,"")</f>
        <v/>
      </c>
      <c r="F830" s="148" t="str">
        <f ca="1">IFERROR(Prices!F829/Prices!F828-1,"")</f>
        <v/>
      </c>
      <c r="G830" s="148" t="str">
        <f ca="1">IFERROR(Prices!G829/Prices!G828-1,"")</f>
        <v/>
      </c>
      <c r="H830" s="148" t="str">
        <f ca="1">IFERROR(Prices!H829/Prices!H828-1,"")</f>
        <v/>
      </c>
      <c r="I830" s="149" t="str">
        <f ca="1">IFERROR(Prices!I829/Prices!I828-1,"")</f>
        <v/>
      </c>
      <c r="J830" s="150">
        <f t="shared" ca="1" si="14"/>
        <v>0</v>
      </c>
      <c r="K830" s="112"/>
      <c r="L830" s="112"/>
      <c r="M830" s="112"/>
    </row>
    <row r="831" spans="1:13" x14ac:dyDescent="0.3">
      <c r="A831" s="147" t="str">
        <f ca="1">Prices!$A$830</f>
        <v/>
      </c>
      <c r="B831" s="148" t="str">
        <f ca="1">IFERROR(Prices!B830/Prices!B829-1,"")</f>
        <v/>
      </c>
      <c r="C831" s="148" t="str">
        <f ca="1">IFERROR(Prices!C830/Prices!C829-1,"")</f>
        <v/>
      </c>
      <c r="D831" s="148" t="str">
        <f ca="1">IFERROR(Prices!D830/Prices!D829-1,"")</f>
        <v/>
      </c>
      <c r="E831" s="148" t="str">
        <f ca="1">IFERROR(Prices!E830/Prices!E829-1,"")</f>
        <v/>
      </c>
      <c r="F831" s="148" t="str">
        <f ca="1">IFERROR(Prices!F830/Prices!F829-1,"")</f>
        <v/>
      </c>
      <c r="G831" s="148" t="str">
        <f ca="1">IFERROR(Prices!G830/Prices!G829-1,"")</f>
        <v/>
      </c>
      <c r="H831" s="148" t="str">
        <f ca="1">IFERROR(Prices!H830/Prices!H829-1,"")</f>
        <v/>
      </c>
      <c r="I831" s="149" t="str">
        <f ca="1">IFERROR(Prices!I830/Prices!I829-1,"")</f>
        <v/>
      </c>
      <c r="J831" s="150">
        <f t="shared" ca="1" si="14"/>
        <v>0</v>
      </c>
      <c r="K831" s="112"/>
      <c r="L831" s="112"/>
      <c r="M831" s="112"/>
    </row>
    <row r="832" spans="1:13" x14ac:dyDescent="0.3">
      <c r="A832" s="147" t="str">
        <f ca="1">Prices!$A$831</f>
        <v/>
      </c>
      <c r="B832" s="148" t="str">
        <f ca="1">IFERROR(Prices!B831/Prices!B830-1,"")</f>
        <v/>
      </c>
      <c r="C832" s="148" t="str">
        <f ca="1">IFERROR(Prices!C831/Prices!C830-1,"")</f>
        <v/>
      </c>
      <c r="D832" s="148" t="str">
        <f ca="1">IFERROR(Prices!D831/Prices!D830-1,"")</f>
        <v/>
      </c>
      <c r="E832" s="148" t="str">
        <f ca="1">IFERROR(Prices!E831/Prices!E830-1,"")</f>
        <v/>
      </c>
      <c r="F832" s="148" t="str">
        <f ca="1">IFERROR(Prices!F831/Prices!F830-1,"")</f>
        <v/>
      </c>
      <c r="G832" s="148" t="str">
        <f ca="1">IFERROR(Prices!G831/Prices!G830-1,"")</f>
        <v/>
      </c>
      <c r="H832" s="148" t="str">
        <f ca="1">IFERROR(Prices!H831/Prices!H830-1,"")</f>
        <v/>
      </c>
      <c r="I832" s="149" t="str">
        <f ca="1">IFERROR(Prices!I831/Prices!I830-1,"")</f>
        <v/>
      </c>
      <c r="J832" s="150">
        <f t="shared" ca="1" si="14"/>
        <v>0</v>
      </c>
      <c r="K832" s="112"/>
      <c r="L832" s="112"/>
      <c r="M832" s="112"/>
    </row>
    <row r="833" spans="1:13" x14ac:dyDescent="0.3">
      <c r="A833" s="147" t="str">
        <f ca="1">Prices!$A$832</f>
        <v/>
      </c>
      <c r="B833" s="148" t="str">
        <f ca="1">IFERROR(Prices!B832/Prices!B831-1,"")</f>
        <v/>
      </c>
      <c r="C833" s="148" t="str">
        <f ca="1">IFERROR(Prices!C832/Prices!C831-1,"")</f>
        <v/>
      </c>
      <c r="D833" s="148" t="str">
        <f ca="1">IFERROR(Prices!D832/Prices!D831-1,"")</f>
        <v/>
      </c>
      <c r="E833" s="148" t="str">
        <f ca="1">IFERROR(Prices!E832/Prices!E831-1,"")</f>
        <v/>
      </c>
      <c r="F833" s="148" t="str">
        <f ca="1">IFERROR(Prices!F832/Prices!F831-1,"")</f>
        <v/>
      </c>
      <c r="G833" s="148" t="str">
        <f ca="1">IFERROR(Prices!G832/Prices!G831-1,"")</f>
        <v/>
      </c>
      <c r="H833" s="148" t="str">
        <f ca="1">IFERROR(Prices!H832/Prices!H831-1,"")</f>
        <v/>
      </c>
      <c r="I833" s="149" t="str">
        <f ca="1">IFERROR(Prices!I832/Prices!I831-1,"")</f>
        <v/>
      </c>
      <c r="J833" s="150">
        <f t="shared" ca="1" si="14"/>
        <v>0</v>
      </c>
      <c r="K833" s="112"/>
      <c r="L833" s="112"/>
      <c r="M833" s="112"/>
    </row>
    <row r="834" spans="1:13" x14ac:dyDescent="0.3">
      <c r="A834" s="147" t="str">
        <f ca="1">Prices!$A$833</f>
        <v/>
      </c>
      <c r="B834" s="148" t="str">
        <f ca="1">IFERROR(Prices!B833/Prices!B832-1,"")</f>
        <v/>
      </c>
      <c r="C834" s="148" t="str">
        <f ca="1">IFERROR(Prices!C833/Prices!C832-1,"")</f>
        <v/>
      </c>
      <c r="D834" s="148" t="str">
        <f ca="1">IFERROR(Prices!D833/Prices!D832-1,"")</f>
        <v/>
      </c>
      <c r="E834" s="148" t="str">
        <f ca="1">IFERROR(Prices!E833/Prices!E832-1,"")</f>
        <v/>
      </c>
      <c r="F834" s="148" t="str">
        <f ca="1">IFERROR(Prices!F833/Prices!F832-1,"")</f>
        <v/>
      </c>
      <c r="G834" s="148" t="str">
        <f ca="1">IFERROR(Prices!G833/Prices!G832-1,"")</f>
        <v/>
      </c>
      <c r="H834" s="148" t="str">
        <f ca="1">IFERROR(Prices!H833/Prices!H832-1,"")</f>
        <v/>
      </c>
      <c r="I834" s="149" t="str">
        <f ca="1">IFERROR(Prices!I833/Prices!I832-1,"")</f>
        <v/>
      </c>
      <c r="J834" s="150">
        <f t="shared" ca="1" si="14"/>
        <v>0</v>
      </c>
      <c r="K834" s="112"/>
      <c r="L834" s="112"/>
      <c r="M834" s="112"/>
    </row>
    <row r="835" spans="1:13" x14ac:dyDescent="0.3">
      <c r="A835" s="147" t="str">
        <f ca="1">Prices!$A$834</f>
        <v/>
      </c>
      <c r="B835" s="148" t="str">
        <f ca="1">IFERROR(Prices!B834/Prices!B833-1,"")</f>
        <v/>
      </c>
      <c r="C835" s="148" t="str">
        <f ca="1">IFERROR(Prices!C834/Prices!C833-1,"")</f>
        <v/>
      </c>
      <c r="D835" s="148" t="str">
        <f ca="1">IFERROR(Prices!D834/Prices!D833-1,"")</f>
        <v/>
      </c>
      <c r="E835" s="148" t="str">
        <f ca="1">IFERROR(Prices!E834/Prices!E833-1,"")</f>
        <v/>
      </c>
      <c r="F835" s="148" t="str">
        <f ca="1">IFERROR(Prices!F834/Prices!F833-1,"")</f>
        <v/>
      </c>
      <c r="G835" s="148" t="str">
        <f ca="1">IFERROR(Prices!G834/Prices!G833-1,"")</f>
        <v/>
      </c>
      <c r="H835" s="148" t="str">
        <f ca="1">IFERROR(Prices!H834/Prices!H833-1,"")</f>
        <v/>
      </c>
      <c r="I835" s="149" t="str">
        <f ca="1">IFERROR(Prices!I834/Prices!I833-1,"")</f>
        <v/>
      </c>
      <c r="J835" s="150">
        <f t="shared" ca="1" si="14"/>
        <v>0</v>
      </c>
      <c r="K835" s="112"/>
      <c r="L835" s="112"/>
      <c r="M835" s="112"/>
    </row>
    <row r="836" spans="1:13" x14ac:dyDescent="0.3">
      <c r="A836" s="147" t="str">
        <f ca="1">Prices!$A$835</f>
        <v/>
      </c>
      <c r="B836" s="148" t="str">
        <f ca="1">IFERROR(Prices!B835/Prices!B834-1,"")</f>
        <v/>
      </c>
      <c r="C836" s="148" t="str">
        <f ca="1">IFERROR(Prices!C835/Prices!C834-1,"")</f>
        <v/>
      </c>
      <c r="D836" s="148" t="str">
        <f ca="1">IFERROR(Prices!D835/Prices!D834-1,"")</f>
        <v/>
      </c>
      <c r="E836" s="148" t="str">
        <f ca="1">IFERROR(Prices!E835/Prices!E834-1,"")</f>
        <v/>
      </c>
      <c r="F836" s="148" t="str">
        <f ca="1">IFERROR(Prices!F835/Prices!F834-1,"")</f>
        <v/>
      </c>
      <c r="G836" s="148" t="str">
        <f ca="1">IFERROR(Prices!G835/Prices!G834-1,"")</f>
        <v/>
      </c>
      <c r="H836" s="148" t="str">
        <f ca="1">IFERROR(Prices!H835/Prices!H834-1,"")</f>
        <v/>
      </c>
      <c r="I836" s="149" t="str">
        <f ca="1">IFERROR(Prices!I835/Prices!I834-1,"")</f>
        <v/>
      </c>
      <c r="J836" s="150">
        <f t="shared" ca="1" si="14"/>
        <v>0</v>
      </c>
      <c r="K836" s="112"/>
      <c r="L836" s="112"/>
      <c r="M836" s="112"/>
    </row>
    <row r="837" spans="1:13" x14ac:dyDescent="0.3">
      <c r="A837" s="147" t="str">
        <f ca="1">Prices!$A$836</f>
        <v/>
      </c>
      <c r="B837" s="148" t="str">
        <f ca="1">IFERROR(Prices!B836/Prices!B835-1,"")</f>
        <v/>
      </c>
      <c r="C837" s="148" t="str">
        <f ca="1">IFERROR(Prices!C836/Prices!C835-1,"")</f>
        <v/>
      </c>
      <c r="D837" s="148" t="str">
        <f ca="1">IFERROR(Prices!D836/Prices!D835-1,"")</f>
        <v/>
      </c>
      <c r="E837" s="148" t="str">
        <f ca="1">IFERROR(Prices!E836/Prices!E835-1,"")</f>
        <v/>
      </c>
      <c r="F837" s="148" t="str">
        <f ca="1">IFERROR(Prices!F836/Prices!F835-1,"")</f>
        <v/>
      </c>
      <c r="G837" s="148" t="str">
        <f ca="1">IFERROR(Prices!G836/Prices!G835-1,"")</f>
        <v/>
      </c>
      <c r="H837" s="148" t="str">
        <f ca="1">IFERROR(Prices!H836/Prices!H835-1,"")</f>
        <v/>
      </c>
      <c r="I837" s="149" t="str">
        <f ca="1">IFERROR(Prices!I836/Prices!I835-1,"")</f>
        <v/>
      </c>
      <c r="J837" s="150">
        <f t="shared" ca="1" si="14"/>
        <v>0</v>
      </c>
      <c r="K837" s="112"/>
      <c r="L837" s="112"/>
      <c r="M837" s="112"/>
    </row>
    <row r="838" spans="1:13" x14ac:dyDescent="0.3">
      <c r="A838" s="147" t="str">
        <f ca="1">Prices!$A$837</f>
        <v/>
      </c>
      <c r="B838" s="148" t="str">
        <f ca="1">IFERROR(Prices!B837/Prices!B836-1,"")</f>
        <v/>
      </c>
      <c r="C838" s="148" t="str">
        <f ca="1">IFERROR(Prices!C837/Prices!C836-1,"")</f>
        <v/>
      </c>
      <c r="D838" s="148" t="str">
        <f ca="1">IFERROR(Prices!D837/Prices!D836-1,"")</f>
        <v/>
      </c>
      <c r="E838" s="148" t="str">
        <f ca="1">IFERROR(Prices!E837/Prices!E836-1,"")</f>
        <v/>
      </c>
      <c r="F838" s="148" t="str">
        <f ca="1">IFERROR(Prices!F837/Prices!F836-1,"")</f>
        <v/>
      </c>
      <c r="G838" s="148" t="str">
        <f ca="1">IFERROR(Prices!G837/Prices!G836-1,"")</f>
        <v/>
      </c>
      <c r="H838" s="148" t="str">
        <f ca="1">IFERROR(Prices!H837/Prices!H836-1,"")</f>
        <v/>
      </c>
      <c r="I838" s="149" t="str">
        <f ca="1">IFERROR(Prices!I837/Prices!I836-1,"")</f>
        <v/>
      </c>
      <c r="J838" s="150">
        <f t="shared" ca="1" si="14"/>
        <v>0</v>
      </c>
      <c r="K838" s="112"/>
      <c r="L838" s="112"/>
      <c r="M838" s="112"/>
    </row>
    <row r="839" spans="1:13" x14ac:dyDescent="0.3">
      <c r="A839" s="147" t="str">
        <f ca="1">Prices!$A$838</f>
        <v/>
      </c>
      <c r="B839" s="148" t="str">
        <f ca="1">IFERROR(Prices!B838/Prices!B837-1,"")</f>
        <v/>
      </c>
      <c r="C839" s="148" t="str">
        <f ca="1">IFERROR(Prices!C838/Prices!C837-1,"")</f>
        <v/>
      </c>
      <c r="D839" s="148" t="str">
        <f ca="1">IFERROR(Prices!D838/Prices!D837-1,"")</f>
        <v/>
      </c>
      <c r="E839" s="148" t="str">
        <f ca="1">IFERROR(Prices!E838/Prices!E837-1,"")</f>
        <v/>
      </c>
      <c r="F839" s="148" t="str">
        <f ca="1">IFERROR(Prices!F838/Prices!F837-1,"")</f>
        <v/>
      </c>
      <c r="G839" s="148" t="str">
        <f ca="1">IFERROR(Prices!G838/Prices!G837-1,"")</f>
        <v/>
      </c>
      <c r="H839" s="148" t="str">
        <f ca="1">IFERROR(Prices!H838/Prices!H837-1,"")</f>
        <v/>
      </c>
      <c r="I839" s="149" t="str">
        <f ca="1">IFERROR(Prices!I838/Prices!I837-1,"")</f>
        <v/>
      </c>
      <c r="J839" s="150">
        <f t="shared" ref="J839:J902" ca="1" si="15">IFERROR(SUMPRODUCT(Weights,$B839:$H839),"")</f>
        <v>0</v>
      </c>
      <c r="K839" s="112"/>
      <c r="L839" s="112"/>
      <c r="M839" s="112"/>
    </row>
    <row r="840" spans="1:13" x14ac:dyDescent="0.3">
      <c r="A840" s="147" t="str">
        <f ca="1">Prices!$A$839</f>
        <v/>
      </c>
      <c r="B840" s="148" t="str">
        <f ca="1">IFERROR(Prices!B839/Prices!B838-1,"")</f>
        <v/>
      </c>
      <c r="C840" s="148" t="str">
        <f ca="1">IFERROR(Prices!C839/Prices!C838-1,"")</f>
        <v/>
      </c>
      <c r="D840" s="148" t="str">
        <f ca="1">IFERROR(Prices!D839/Prices!D838-1,"")</f>
        <v/>
      </c>
      <c r="E840" s="148" t="str">
        <f ca="1">IFERROR(Prices!E839/Prices!E838-1,"")</f>
        <v/>
      </c>
      <c r="F840" s="148" t="str">
        <f ca="1">IFERROR(Prices!F839/Prices!F838-1,"")</f>
        <v/>
      </c>
      <c r="G840" s="148" t="str">
        <f ca="1">IFERROR(Prices!G839/Prices!G838-1,"")</f>
        <v/>
      </c>
      <c r="H840" s="148" t="str">
        <f ca="1">IFERROR(Prices!H839/Prices!H838-1,"")</f>
        <v/>
      </c>
      <c r="I840" s="149" t="str">
        <f ca="1">IFERROR(Prices!I839/Prices!I838-1,"")</f>
        <v/>
      </c>
      <c r="J840" s="150">
        <f t="shared" ca="1" si="15"/>
        <v>0</v>
      </c>
      <c r="K840" s="112"/>
      <c r="L840" s="112"/>
      <c r="M840" s="112"/>
    </row>
    <row r="841" spans="1:13" x14ac:dyDescent="0.3">
      <c r="A841" s="147" t="str">
        <f ca="1">Prices!$A$840</f>
        <v/>
      </c>
      <c r="B841" s="148" t="str">
        <f ca="1">IFERROR(Prices!B840/Prices!B839-1,"")</f>
        <v/>
      </c>
      <c r="C841" s="148" t="str">
        <f ca="1">IFERROR(Prices!C840/Prices!C839-1,"")</f>
        <v/>
      </c>
      <c r="D841" s="148" t="str">
        <f ca="1">IFERROR(Prices!D840/Prices!D839-1,"")</f>
        <v/>
      </c>
      <c r="E841" s="148" t="str">
        <f ca="1">IFERROR(Prices!E840/Prices!E839-1,"")</f>
        <v/>
      </c>
      <c r="F841" s="148" t="str">
        <f ca="1">IFERROR(Prices!F840/Prices!F839-1,"")</f>
        <v/>
      </c>
      <c r="G841" s="148" t="str">
        <f ca="1">IFERROR(Prices!G840/Prices!G839-1,"")</f>
        <v/>
      </c>
      <c r="H841" s="148" t="str">
        <f ca="1">IFERROR(Prices!H840/Prices!H839-1,"")</f>
        <v/>
      </c>
      <c r="I841" s="149" t="str">
        <f ca="1">IFERROR(Prices!I840/Prices!I839-1,"")</f>
        <v/>
      </c>
      <c r="J841" s="150">
        <f t="shared" ca="1" si="15"/>
        <v>0</v>
      </c>
      <c r="K841" s="112"/>
      <c r="L841" s="112"/>
      <c r="M841" s="112"/>
    </row>
    <row r="842" spans="1:13" x14ac:dyDescent="0.3">
      <c r="A842" s="147" t="str">
        <f ca="1">Prices!$A$841</f>
        <v/>
      </c>
      <c r="B842" s="148" t="str">
        <f ca="1">IFERROR(Prices!B841/Prices!B840-1,"")</f>
        <v/>
      </c>
      <c r="C842" s="148" t="str">
        <f ca="1">IFERROR(Prices!C841/Prices!C840-1,"")</f>
        <v/>
      </c>
      <c r="D842" s="148" t="str">
        <f ca="1">IFERROR(Prices!D841/Prices!D840-1,"")</f>
        <v/>
      </c>
      <c r="E842" s="148" t="str">
        <f ca="1">IFERROR(Prices!E841/Prices!E840-1,"")</f>
        <v/>
      </c>
      <c r="F842" s="148" t="str">
        <f ca="1">IFERROR(Prices!F841/Prices!F840-1,"")</f>
        <v/>
      </c>
      <c r="G842" s="148" t="str">
        <f ca="1">IFERROR(Prices!G841/Prices!G840-1,"")</f>
        <v/>
      </c>
      <c r="H842" s="148" t="str">
        <f ca="1">IFERROR(Prices!H841/Prices!H840-1,"")</f>
        <v/>
      </c>
      <c r="I842" s="149" t="str">
        <f ca="1">IFERROR(Prices!I841/Prices!I840-1,"")</f>
        <v/>
      </c>
      <c r="J842" s="150">
        <f t="shared" ca="1" si="15"/>
        <v>0</v>
      </c>
      <c r="K842" s="112"/>
      <c r="L842" s="112"/>
      <c r="M842" s="112"/>
    </row>
    <row r="843" spans="1:13" x14ac:dyDescent="0.3">
      <c r="A843" s="147" t="str">
        <f ca="1">Prices!$A$842</f>
        <v/>
      </c>
      <c r="B843" s="148" t="str">
        <f ca="1">IFERROR(Prices!B842/Prices!B841-1,"")</f>
        <v/>
      </c>
      <c r="C843" s="148" t="str">
        <f ca="1">IFERROR(Prices!C842/Prices!C841-1,"")</f>
        <v/>
      </c>
      <c r="D843" s="148" t="str">
        <f ca="1">IFERROR(Prices!D842/Prices!D841-1,"")</f>
        <v/>
      </c>
      <c r="E843" s="148" t="str">
        <f ca="1">IFERROR(Prices!E842/Prices!E841-1,"")</f>
        <v/>
      </c>
      <c r="F843" s="148" t="str">
        <f ca="1">IFERROR(Prices!F842/Prices!F841-1,"")</f>
        <v/>
      </c>
      <c r="G843" s="148" t="str">
        <f ca="1">IFERROR(Prices!G842/Prices!G841-1,"")</f>
        <v/>
      </c>
      <c r="H843" s="148" t="str">
        <f ca="1">IFERROR(Prices!H842/Prices!H841-1,"")</f>
        <v/>
      </c>
      <c r="I843" s="149" t="str">
        <f ca="1">IFERROR(Prices!I842/Prices!I841-1,"")</f>
        <v/>
      </c>
      <c r="J843" s="150">
        <f t="shared" ca="1" si="15"/>
        <v>0</v>
      </c>
      <c r="K843" s="112"/>
      <c r="L843" s="112"/>
      <c r="M843" s="112"/>
    </row>
    <row r="844" spans="1:13" x14ac:dyDescent="0.3">
      <c r="A844" s="147" t="str">
        <f ca="1">Prices!$A$843</f>
        <v/>
      </c>
      <c r="B844" s="148" t="str">
        <f ca="1">IFERROR(Prices!B843/Prices!B842-1,"")</f>
        <v/>
      </c>
      <c r="C844" s="148" t="str">
        <f ca="1">IFERROR(Prices!C843/Prices!C842-1,"")</f>
        <v/>
      </c>
      <c r="D844" s="148" t="str">
        <f ca="1">IFERROR(Prices!D843/Prices!D842-1,"")</f>
        <v/>
      </c>
      <c r="E844" s="148" t="str">
        <f ca="1">IFERROR(Prices!E843/Prices!E842-1,"")</f>
        <v/>
      </c>
      <c r="F844" s="148" t="str">
        <f ca="1">IFERROR(Prices!F843/Prices!F842-1,"")</f>
        <v/>
      </c>
      <c r="G844" s="148" t="str">
        <f ca="1">IFERROR(Prices!G843/Prices!G842-1,"")</f>
        <v/>
      </c>
      <c r="H844" s="148" t="str">
        <f ca="1">IFERROR(Prices!H843/Prices!H842-1,"")</f>
        <v/>
      </c>
      <c r="I844" s="149" t="str">
        <f ca="1">IFERROR(Prices!I843/Prices!I842-1,"")</f>
        <v/>
      </c>
      <c r="J844" s="150">
        <f t="shared" ca="1" si="15"/>
        <v>0</v>
      </c>
      <c r="K844" s="112"/>
      <c r="L844" s="112"/>
      <c r="M844" s="112"/>
    </row>
    <row r="845" spans="1:13" x14ac:dyDescent="0.3">
      <c r="A845" s="147" t="str">
        <f ca="1">Prices!$A$844</f>
        <v/>
      </c>
      <c r="B845" s="148" t="str">
        <f ca="1">IFERROR(Prices!B844/Prices!B843-1,"")</f>
        <v/>
      </c>
      <c r="C845" s="148" t="str">
        <f ca="1">IFERROR(Prices!C844/Prices!C843-1,"")</f>
        <v/>
      </c>
      <c r="D845" s="148" t="str">
        <f ca="1">IFERROR(Prices!D844/Prices!D843-1,"")</f>
        <v/>
      </c>
      <c r="E845" s="148" t="str">
        <f ca="1">IFERROR(Prices!E844/Prices!E843-1,"")</f>
        <v/>
      </c>
      <c r="F845" s="148" t="str">
        <f ca="1">IFERROR(Prices!F844/Prices!F843-1,"")</f>
        <v/>
      </c>
      <c r="G845" s="148" t="str">
        <f ca="1">IFERROR(Prices!G844/Prices!G843-1,"")</f>
        <v/>
      </c>
      <c r="H845" s="148" t="str">
        <f ca="1">IFERROR(Prices!H844/Prices!H843-1,"")</f>
        <v/>
      </c>
      <c r="I845" s="149" t="str">
        <f ca="1">IFERROR(Prices!I844/Prices!I843-1,"")</f>
        <v/>
      </c>
      <c r="J845" s="150">
        <f t="shared" ca="1" si="15"/>
        <v>0</v>
      </c>
      <c r="K845" s="112"/>
      <c r="L845" s="112"/>
      <c r="M845" s="112"/>
    </row>
    <row r="846" spans="1:13" x14ac:dyDescent="0.3">
      <c r="A846" s="147" t="str">
        <f ca="1">Prices!$A$845</f>
        <v/>
      </c>
      <c r="B846" s="148" t="str">
        <f ca="1">IFERROR(Prices!B845/Prices!B844-1,"")</f>
        <v/>
      </c>
      <c r="C846" s="148" t="str">
        <f ca="1">IFERROR(Prices!C845/Prices!C844-1,"")</f>
        <v/>
      </c>
      <c r="D846" s="148" t="str">
        <f ca="1">IFERROR(Prices!D845/Prices!D844-1,"")</f>
        <v/>
      </c>
      <c r="E846" s="148" t="str">
        <f ca="1">IFERROR(Prices!E845/Prices!E844-1,"")</f>
        <v/>
      </c>
      <c r="F846" s="148" t="str">
        <f ca="1">IFERROR(Prices!F845/Prices!F844-1,"")</f>
        <v/>
      </c>
      <c r="G846" s="148" t="str">
        <f ca="1">IFERROR(Prices!G845/Prices!G844-1,"")</f>
        <v/>
      </c>
      <c r="H846" s="148" t="str">
        <f ca="1">IFERROR(Prices!H845/Prices!H844-1,"")</f>
        <v/>
      </c>
      <c r="I846" s="149" t="str">
        <f ca="1">IFERROR(Prices!I845/Prices!I844-1,"")</f>
        <v/>
      </c>
      <c r="J846" s="150">
        <f t="shared" ca="1" si="15"/>
        <v>0</v>
      </c>
      <c r="K846" s="112"/>
      <c r="L846" s="112"/>
      <c r="M846" s="112"/>
    </row>
    <row r="847" spans="1:13" x14ac:dyDescent="0.3">
      <c r="A847" s="147" t="str">
        <f ca="1">Prices!$A$846</f>
        <v/>
      </c>
      <c r="B847" s="148" t="str">
        <f ca="1">IFERROR(Prices!B846/Prices!B845-1,"")</f>
        <v/>
      </c>
      <c r="C847" s="148" t="str">
        <f ca="1">IFERROR(Prices!C846/Prices!C845-1,"")</f>
        <v/>
      </c>
      <c r="D847" s="148" t="str">
        <f ca="1">IFERROR(Prices!D846/Prices!D845-1,"")</f>
        <v/>
      </c>
      <c r="E847" s="148" t="str">
        <f ca="1">IFERROR(Prices!E846/Prices!E845-1,"")</f>
        <v/>
      </c>
      <c r="F847" s="148" t="str">
        <f ca="1">IFERROR(Prices!F846/Prices!F845-1,"")</f>
        <v/>
      </c>
      <c r="G847" s="148" t="str">
        <f ca="1">IFERROR(Prices!G846/Prices!G845-1,"")</f>
        <v/>
      </c>
      <c r="H847" s="148" t="str">
        <f ca="1">IFERROR(Prices!H846/Prices!H845-1,"")</f>
        <v/>
      </c>
      <c r="I847" s="149" t="str">
        <f ca="1">IFERROR(Prices!I846/Prices!I845-1,"")</f>
        <v/>
      </c>
      <c r="J847" s="150">
        <f t="shared" ca="1" si="15"/>
        <v>0</v>
      </c>
      <c r="K847" s="112"/>
      <c r="L847" s="112"/>
      <c r="M847" s="112"/>
    </row>
    <row r="848" spans="1:13" x14ac:dyDescent="0.3">
      <c r="A848" s="147" t="str">
        <f ca="1">Prices!$A$847</f>
        <v/>
      </c>
      <c r="B848" s="148" t="str">
        <f ca="1">IFERROR(Prices!B847/Prices!B846-1,"")</f>
        <v/>
      </c>
      <c r="C848" s="148" t="str">
        <f ca="1">IFERROR(Prices!C847/Prices!C846-1,"")</f>
        <v/>
      </c>
      <c r="D848" s="148" t="str">
        <f ca="1">IFERROR(Prices!D847/Prices!D846-1,"")</f>
        <v/>
      </c>
      <c r="E848" s="148" t="str">
        <f ca="1">IFERROR(Prices!E847/Prices!E846-1,"")</f>
        <v/>
      </c>
      <c r="F848" s="148" t="str">
        <f ca="1">IFERROR(Prices!F847/Prices!F846-1,"")</f>
        <v/>
      </c>
      <c r="G848" s="148" t="str">
        <f ca="1">IFERROR(Prices!G847/Prices!G846-1,"")</f>
        <v/>
      </c>
      <c r="H848" s="148" t="str">
        <f ca="1">IFERROR(Prices!H847/Prices!H846-1,"")</f>
        <v/>
      </c>
      <c r="I848" s="149" t="str">
        <f ca="1">IFERROR(Prices!I847/Prices!I846-1,"")</f>
        <v/>
      </c>
      <c r="J848" s="150">
        <f t="shared" ca="1" si="15"/>
        <v>0</v>
      </c>
      <c r="K848" s="112"/>
      <c r="L848" s="112"/>
      <c r="M848" s="112"/>
    </row>
    <row r="849" spans="1:13" x14ac:dyDescent="0.3">
      <c r="A849" s="147" t="str">
        <f ca="1">Prices!$A$848</f>
        <v/>
      </c>
      <c r="B849" s="148" t="str">
        <f ca="1">IFERROR(Prices!B848/Prices!B847-1,"")</f>
        <v/>
      </c>
      <c r="C849" s="148" t="str">
        <f ca="1">IFERROR(Prices!C848/Prices!C847-1,"")</f>
        <v/>
      </c>
      <c r="D849" s="148" t="str">
        <f ca="1">IFERROR(Prices!D848/Prices!D847-1,"")</f>
        <v/>
      </c>
      <c r="E849" s="148" t="str">
        <f ca="1">IFERROR(Prices!E848/Prices!E847-1,"")</f>
        <v/>
      </c>
      <c r="F849" s="148" t="str">
        <f ca="1">IFERROR(Prices!F848/Prices!F847-1,"")</f>
        <v/>
      </c>
      <c r="G849" s="148" t="str">
        <f ca="1">IFERROR(Prices!G848/Prices!G847-1,"")</f>
        <v/>
      </c>
      <c r="H849" s="148" t="str">
        <f ca="1">IFERROR(Prices!H848/Prices!H847-1,"")</f>
        <v/>
      </c>
      <c r="I849" s="149" t="str">
        <f ca="1">IFERROR(Prices!I848/Prices!I847-1,"")</f>
        <v/>
      </c>
      <c r="J849" s="150">
        <f t="shared" ca="1" si="15"/>
        <v>0</v>
      </c>
      <c r="K849" s="112"/>
      <c r="L849" s="112"/>
      <c r="M849" s="112"/>
    </row>
    <row r="850" spans="1:13" x14ac:dyDescent="0.3">
      <c r="A850" s="147" t="str">
        <f ca="1">Prices!$A$849</f>
        <v/>
      </c>
      <c r="B850" s="148" t="str">
        <f ca="1">IFERROR(Prices!B849/Prices!B848-1,"")</f>
        <v/>
      </c>
      <c r="C850" s="148" t="str">
        <f ca="1">IFERROR(Prices!C849/Prices!C848-1,"")</f>
        <v/>
      </c>
      <c r="D850" s="148" t="str">
        <f ca="1">IFERROR(Prices!D849/Prices!D848-1,"")</f>
        <v/>
      </c>
      <c r="E850" s="148" t="str">
        <f ca="1">IFERROR(Prices!E849/Prices!E848-1,"")</f>
        <v/>
      </c>
      <c r="F850" s="148" t="str">
        <f ca="1">IFERROR(Prices!F849/Prices!F848-1,"")</f>
        <v/>
      </c>
      <c r="G850" s="148" t="str">
        <f ca="1">IFERROR(Prices!G849/Prices!G848-1,"")</f>
        <v/>
      </c>
      <c r="H850" s="148" t="str">
        <f ca="1">IFERROR(Prices!H849/Prices!H848-1,"")</f>
        <v/>
      </c>
      <c r="I850" s="149" t="str">
        <f ca="1">IFERROR(Prices!I849/Prices!I848-1,"")</f>
        <v/>
      </c>
      <c r="J850" s="150">
        <f t="shared" ca="1" si="15"/>
        <v>0</v>
      </c>
      <c r="K850" s="112"/>
      <c r="L850" s="112"/>
      <c r="M850" s="112"/>
    </row>
    <row r="851" spans="1:13" x14ac:dyDescent="0.3">
      <c r="A851" s="147" t="str">
        <f ca="1">Prices!$A$850</f>
        <v/>
      </c>
      <c r="B851" s="148" t="str">
        <f ca="1">IFERROR(Prices!B850/Prices!B849-1,"")</f>
        <v/>
      </c>
      <c r="C851" s="148" t="str">
        <f ca="1">IFERROR(Prices!C850/Prices!C849-1,"")</f>
        <v/>
      </c>
      <c r="D851" s="148" t="str">
        <f ca="1">IFERROR(Prices!D850/Prices!D849-1,"")</f>
        <v/>
      </c>
      <c r="E851" s="148" t="str">
        <f ca="1">IFERROR(Prices!E850/Prices!E849-1,"")</f>
        <v/>
      </c>
      <c r="F851" s="148" t="str">
        <f ca="1">IFERROR(Prices!F850/Prices!F849-1,"")</f>
        <v/>
      </c>
      <c r="G851" s="148" t="str">
        <f ca="1">IFERROR(Prices!G850/Prices!G849-1,"")</f>
        <v/>
      </c>
      <c r="H851" s="148" t="str">
        <f ca="1">IFERROR(Prices!H850/Prices!H849-1,"")</f>
        <v/>
      </c>
      <c r="I851" s="149" t="str">
        <f ca="1">IFERROR(Prices!I850/Prices!I849-1,"")</f>
        <v/>
      </c>
      <c r="J851" s="150">
        <f t="shared" ca="1" si="15"/>
        <v>0</v>
      </c>
      <c r="K851" s="112"/>
      <c r="L851" s="112"/>
      <c r="M851" s="112"/>
    </row>
    <row r="852" spans="1:13" x14ac:dyDescent="0.3">
      <c r="A852" s="147" t="str">
        <f ca="1">Prices!$A$851</f>
        <v/>
      </c>
      <c r="B852" s="148" t="str">
        <f ca="1">IFERROR(Prices!B851/Prices!B850-1,"")</f>
        <v/>
      </c>
      <c r="C852" s="148" t="str">
        <f ca="1">IFERROR(Prices!C851/Prices!C850-1,"")</f>
        <v/>
      </c>
      <c r="D852" s="148" t="str">
        <f ca="1">IFERROR(Prices!D851/Prices!D850-1,"")</f>
        <v/>
      </c>
      <c r="E852" s="148" t="str">
        <f ca="1">IFERROR(Prices!E851/Prices!E850-1,"")</f>
        <v/>
      </c>
      <c r="F852" s="148" t="str">
        <f ca="1">IFERROR(Prices!F851/Prices!F850-1,"")</f>
        <v/>
      </c>
      <c r="G852" s="148" t="str">
        <f ca="1">IFERROR(Prices!G851/Prices!G850-1,"")</f>
        <v/>
      </c>
      <c r="H852" s="148" t="str">
        <f ca="1">IFERROR(Prices!H851/Prices!H850-1,"")</f>
        <v/>
      </c>
      <c r="I852" s="149" t="str">
        <f ca="1">IFERROR(Prices!I851/Prices!I850-1,"")</f>
        <v/>
      </c>
      <c r="J852" s="150">
        <f t="shared" ca="1" si="15"/>
        <v>0</v>
      </c>
      <c r="K852" s="112"/>
      <c r="L852" s="112"/>
      <c r="M852" s="112"/>
    </row>
    <row r="853" spans="1:13" x14ac:dyDescent="0.3">
      <c r="A853" s="147" t="str">
        <f ca="1">Prices!$A$852</f>
        <v/>
      </c>
      <c r="B853" s="148" t="str">
        <f ca="1">IFERROR(Prices!B852/Prices!B851-1,"")</f>
        <v/>
      </c>
      <c r="C853" s="148" t="str">
        <f ca="1">IFERROR(Prices!C852/Prices!C851-1,"")</f>
        <v/>
      </c>
      <c r="D853" s="148" t="str">
        <f ca="1">IFERROR(Prices!D852/Prices!D851-1,"")</f>
        <v/>
      </c>
      <c r="E853" s="148" t="str">
        <f ca="1">IFERROR(Prices!E852/Prices!E851-1,"")</f>
        <v/>
      </c>
      <c r="F853" s="148" t="str">
        <f ca="1">IFERROR(Prices!F852/Prices!F851-1,"")</f>
        <v/>
      </c>
      <c r="G853" s="148" t="str">
        <f ca="1">IFERROR(Prices!G852/Prices!G851-1,"")</f>
        <v/>
      </c>
      <c r="H853" s="148" t="str">
        <f ca="1">IFERROR(Prices!H852/Prices!H851-1,"")</f>
        <v/>
      </c>
      <c r="I853" s="149" t="str">
        <f ca="1">IFERROR(Prices!I852/Prices!I851-1,"")</f>
        <v/>
      </c>
      <c r="J853" s="150">
        <f t="shared" ca="1" si="15"/>
        <v>0</v>
      </c>
      <c r="K853" s="112"/>
      <c r="L853" s="112"/>
      <c r="M853" s="112"/>
    </row>
    <row r="854" spans="1:13" x14ac:dyDescent="0.3">
      <c r="A854" s="147" t="str">
        <f ca="1">Prices!$A$853</f>
        <v/>
      </c>
      <c r="B854" s="148" t="str">
        <f ca="1">IFERROR(Prices!B853/Prices!B852-1,"")</f>
        <v/>
      </c>
      <c r="C854" s="148" t="str">
        <f ca="1">IFERROR(Prices!C853/Prices!C852-1,"")</f>
        <v/>
      </c>
      <c r="D854" s="148" t="str">
        <f ca="1">IFERROR(Prices!D853/Prices!D852-1,"")</f>
        <v/>
      </c>
      <c r="E854" s="148" t="str">
        <f ca="1">IFERROR(Prices!E853/Prices!E852-1,"")</f>
        <v/>
      </c>
      <c r="F854" s="148" t="str">
        <f ca="1">IFERROR(Prices!F853/Prices!F852-1,"")</f>
        <v/>
      </c>
      <c r="G854" s="148" t="str">
        <f ca="1">IFERROR(Prices!G853/Prices!G852-1,"")</f>
        <v/>
      </c>
      <c r="H854" s="148" t="str">
        <f ca="1">IFERROR(Prices!H853/Prices!H852-1,"")</f>
        <v/>
      </c>
      <c r="I854" s="149" t="str">
        <f ca="1">IFERROR(Prices!I853/Prices!I852-1,"")</f>
        <v/>
      </c>
      <c r="J854" s="150">
        <f t="shared" ca="1" si="15"/>
        <v>0</v>
      </c>
      <c r="K854" s="112"/>
      <c r="L854" s="112"/>
      <c r="M854" s="112"/>
    </row>
    <row r="855" spans="1:13" x14ac:dyDescent="0.3">
      <c r="A855" s="147" t="str">
        <f ca="1">Prices!$A$854</f>
        <v/>
      </c>
      <c r="B855" s="148" t="str">
        <f ca="1">IFERROR(Prices!B854/Prices!B853-1,"")</f>
        <v/>
      </c>
      <c r="C855" s="148" t="str">
        <f ca="1">IFERROR(Prices!C854/Prices!C853-1,"")</f>
        <v/>
      </c>
      <c r="D855" s="148" t="str">
        <f ca="1">IFERROR(Prices!D854/Prices!D853-1,"")</f>
        <v/>
      </c>
      <c r="E855" s="148" t="str">
        <f ca="1">IFERROR(Prices!E854/Prices!E853-1,"")</f>
        <v/>
      </c>
      <c r="F855" s="148" t="str">
        <f ca="1">IFERROR(Prices!F854/Prices!F853-1,"")</f>
        <v/>
      </c>
      <c r="G855" s="148" t="str">
        <f ca="1">IFERROR(Prices!G854/Prices!G853-1,"")</f>
        <v/>
      </c>
      <c r="H855" s="148" t="str">
        <f ca="1">IFERROR(Prices!H854/Prices!H853-1,"")</f>
        <v/>
      </c>
      <c r="I855" s="149" t="str">
        <f ca="1">IFERROR(Prices!I854/Prices!I853-1,"")</f>
        <v/>
      </c>
      <c r="J855" s="150">
        <f t="shared" ca="1" si="15"/>
        <v>0</v>
      </c>
      <c r="K855" s="112"/>
      <c r="L855" s="112"/>
      <c r="M855" s="112"/>
    </row>
    <row r="856" spans="1:13" x14ac:dyDescent="0.3">
      <c r="A856" s="147" t="str">
        <f ca="1">Prices!$A$855</f>
        <v/>
      </c>
      <c r="B856" s="148" t="str">
        <f ca="1">IFERROR(Prices!B855/Prices!B854-1,"")</f>
        <v/>
      </c>
      <c r="C856" s="148" t="str">
        <f ca="1">IFERROR(Prices!C855/Prices!C854-1,"")</f>
        <v/>
      </c>
      <c r="D856" s="148" t="str">
        <f ca="1">IFERROR(Prices!D855/Prices!D854-1,"")</f>
        <v/>
      </c>
      <c r="E856" s="148" t="str">
        <f ca="1">IFERROR(Prices!E855/Prices!E854-1,"")</f>
        <v/>
      </c>
      <c r="F856" s="148" t="str">
        <f ca="1">IFERROR(Prices!F855/Prices!F854-1,"")</f>
        <v/>
      </c>
      <c r="G856" s="148" t="str">
        <f ca="1">IFERROR(Prices!G855/Prices!G854-1,"")</f>
        <v/>
      </c>
      <c r="H856" s="148" t="str">
        <f ca="1">IFERROR(Prices!H855/Prices!H854-1,"")</f>
        <v/>
      </c>
      <c r="I856" s="149" t="str">
        <f ca="1">IFERROR(Prices!I855/Prices!I854-1,"")</f>
        <v/>
      </c>
      <c r="J856" s="150">
        <f t="shared" ca="1" si="15"/>
        <v>0</v>
      </c>
      <c r="K856" s="112"/>
      <c r="L856" s="112"/>
      <c r="M856" s="112"/>
    </row>
    <row r="857" spans="1:13" x14ac:dyDescent="0.3">
      <c r="A857" s="147" t="str">
        <f ca="1">Prices!$A$856</f>
        <v/>
      </c>
      <c r="B857" s="148" t="str">
        <f ca="1">IFERROR(Prices!B856/Prices!B855-1,"")</f>
        <v/>
      </c>
      <c r="C857" s="148" t="str">
        <f ca="1">IFERROR(Prices!C856/Prices!C855-1,"")</f>
        <v/>
      </c>
      <c r="D857" s="148" t="str">
        <f ca="1">IFERROR(Prices!D856/Prices!D855-1,"")</f>
        <v/>
      </c>
      <c r="E857" s="148" t="str">
        <f ca="1">IFERROR(Prices!E856/Prices!E855-1,"")</f>
        <v/>
      </c>
      <c r="F857" s="148" t="str">
        <f ca="1">IFERROR(Prices!F856/Prices!F855-1,"")</f>
        <v/>
      </c>
      <c r="G857" s="148" t="str">
        <f ca="1">IFERROR(Prices!G856/Prices!G855-1,"")</f>
        <v/>
      </c>
      <c r="H857" s="148" t="str">
        <f ca="1">IFERROR(Prices!H856/Prices!H855-1,"")</f>
        <v/>
      </c>
      <c r="I857" s="149" t="str">
        <f ca="1">IFERROR(Prices!I856/Prices!I855-1,"")</f>
        <v/>
      </c>
      <c r="J857" s="150">
        <f t="shared" ca="1" si="15"/>
        <v>0</v>
      </c>
      <c r="K857" s="112"/>
      <c r="L857" s="112"/>
      <c r="M857" s="112"/>
    </row>
    <row r="858" spans="1:13" x14ac:dyDescent="0.3">
      <c r="A858" s="147" t="str">
        <f ca="1">Prices!$A$857</f>
        <v/>
      </c>
      <c r="B858" s="148" t="str">
        <f ca="1">IFERROR(Prices!B857/Prices!B856-1,"")</f>
        <v/>
      </c>
      <c r="C858" s="148" t="str">
        <f ca="1">IFERROR(Prices!C857/Prices!C856-1,"")</f>
        <v/>
      </c>
      <c r="D858" s="148" t="str">
        <f ca="1">IFERROR(Prices!D857/Prices!D856-1,"")</f>
        <v/>
      </c>
      <c r="E858" s="148" t="str">
        <f ca="1">IFERROR(Prices!E857/Prices!E856-1,"")</f>
        <v/>
      </c>
      <c r="F858" s="148" t="str">
        <f ca="1">IFERROR(Prices!F857/Prices!F856-1,"")</f>
        <v/>
      </c>
      <c r="G858" s="148" t="str">
        <f ca="1">IFERROR(Prices!G857/Prices!G856-1,"")</f>
        <v/>
      </c>
      <c r="H858" s="148" t="str">
        <f ca="1">IFERROR(Prices!H857/Prices!H856-1,"")</f>
        <v/>
      </c>
      <c r="I858" s="149" t="str">
        <f ca="1">IFERROR(Prices!I857/Prices!I856-1,"")</f>
        <v/>
      </c>
      <c r="J858" s="150">
        <f t="shared" ca="1" si="15"/>
        <v>0</v>
      </c>
      <c r="K858" s="112"/>
      <c r="L858" s="112"/>
      <c r="M858" s="112"/>
    </row>
    <row r="859" spans="1:13" x14ac:dyDescent="0.3">
      <c r="A859" s="147" t="str">
        <f ca="1">Prices!$A$858</f>
        <v/>
      </c>
      <c r="B859" s="148" t="str">
        <f ca="1">IFERROR(Prices!B858/Prices!B857-1,"")</f>
        <v/>
      </c>
      <c r="C859" s="148" t="str">
        <f ca="1">IFERROR(Prices!C858/Prices!C857-1,"")</f>
        <v/>
      </c>
      <c r="D859" s="148" t="str">
        <f ca="1">IFERROR(Prices!D858/Prices!D857-1,"")</f>
        <v/>
      </c>
      <c r="E859" s="148" t="str">
        <f ca="1">IFERROR(Prices!E858/Prices!E857-1,"")</f>
        <v/>
      </c>
      <c r="F859" s="148" t="str">
        <f ca="1">IFERROR(Prices!F858/Prices!F857-1,"")</f>
        <v/>
      </c>
      <c r="G859" s="148" t="str">
        <f ca="1">IFERROR(Prices!G858/Prices!G857-1,"")</f>
        <v/>
      </c>
      <c r="H859" s="148" t="str">
        <f ca="1">IFERROR(Prices!H858/Prices!H857-1,"")</f>
        <v/>
      </c>
      <c r="I859" s="149" t="str">
        <f ca="1">IFERROR(Prices!I858/Prices!I857-1,"")</f>
        <v/>
      </c>
      <c r="J859" s="150">
        <f t="shared" ca="1" si="15"/>
        <v>0</v>
      </c>
      <c r="K859" s="112"/>
      <c r="L859" s="112"/>
      <c r="M859" s="112"/>
    </row>
    <row r="860" spans="1:13" x14ac:dyDescent="0.3">
      <c r="A860" s="147" t="str">
        <f ca="1">Prices!$A$859</f>
        <v/>
      </c>
      <c r="B860" s="148" t="str">
        <f ca="1">IFERROR(Prices!B859/Prices!B858-1,"")</f>
        <v/>
      </c>
      <c r="C860" s="148" t="str">
        <f ca="1">IFERROR(Prices!C859/Prices!C858-1,"")</f>
        <v/>
      </c>
      <c r="D860" s="148" t="str">
        <f ca="1">IFERROR(Prices!D859/Prices!D858-1,"")</f>
        <v/>
      </c>
      <c r="E860" s="148" t="str">
        <f ca="1">IFERROR(Prices!E859/Prices!E858-1,"")</f>
        <v/>
      </c>
      <c r="F860" s="148" t="str">
        <f ca="1">IFERROR(Prices!F859/Prices!F858-1,"")</f>
        <v/>
      </c>
      <c r="G860" s="148" t="str">
        <f ca="1">IFERROR(Prices!G859/Prices!G858-1,"")</f>
        <v/>
      </c>
      <c r="H860" s="148" t="str">
        <f ca="1">IFERROR(Prices!H859/Prices!H858-1,"")</f>
        <v/>
      </c>
      <c r="I860" s="149" t="str">
        <f ca="1">IFERROR(Prices!I859/Prices!I858-1,"")</f>
        <v/>
      </c>
      <c r="J860" s="150">
        <f t="shared" ca="1" si="15"/>
        <v>0</v>
      </c>
      <c r="K860" s="112"/>
      <c r="L860" s="112"/>
      <c r="M860" s="112"/>
    </row>
    <row r="861" spans="1:13" x14ac:dyDescent="0.3">
      <c r="A861" s="147" t="str">
        <f ca="1">Prices!$A$860</f>
        <v/>
      </c>
      <c r="B861" s="148" t="str">
        <f ca="1">IFERROR(Prices!B860/Prices!B859-1,"")</f>
        <v/>
      </c>
      <c r="C861" s="148" t="str">
        <f ca="1">IFERROR(Prices!C860/Prices!C859-1,"")</f>
        <v/>
      </c>
      <c r="D861" s="148" t="str">
        <f ca="1">IFERROR(Prices!D860/Prices!D859-1,"")</f>
        <v/>
      </c>
      <c r="E861" s="148" t="str">
        <f ca="1">IFERROR(Prices!E860/Prices!E859-1,"")</f>
        <v/>
      </c>
      <c r="F861" s="148" t="str">
        <f ca="1">IFERROR(Prices!F860/Prices!F859-1,"")</f>
        <v/>
      </c>
      <c r="G861" s="148" t="str">
        <f ca="1">IFERROR(Prices!G860/Prices!G859-1,"")</f>
        <v/>
      </c>
      <c r="H861" s="148" t="str">
        <f ca="1">IFERROR(Prices!H860/Prices!H859-1,"")</f>
        <v/>
      </c>
      <c r="I861" s="149" t="str">
        <f ca="1">IFERROR(Prices!I860/Prices!I859-1,"")</f>
        <v/>
      </c>
      <c r="J861" s="150">
        <f t="shared" ca="1" si="15"/>
        <v>0</v>
      </c>
      <c r="K861" s="112"/>
      <c r="L861" s="112"/>
      <c r="M861" s="112"/>
    </row>
    <row r="862" spans="1:13" x14ac:dyDescent="0.3">
      <c r="A862" s="147" t="str">
        <f ca="1">Prices!$A$861</f>
        <v/>
      </c>
      <c r="B862" s="148" t="str">
        <f ca="1">IFERROR(Prices!B861/Prices!B860-1,"")</f>
        <v/>
      </c>
      <c r="C862" s="148" t="str">
        <f ca="1">IFERROR(Prices!C861/Prices!C860-1,"")</f>
        <v/>
      </c>
      <c r="D862" s="148" t="str">
        <f ca="1">IFERROR(Prices!D861/Prices!D860-1,"")</f>
        <v/>
      </c>
      <c r="E862" s="148" t="str">
        <f ca="1">IFERROR(Prices!E861/Prices!E860-1,"")</f>
        <v/>
      </c>
      <c r="F862" s="148" t="str">
        <f ca="1">IFERROR(Prices!F861/Prices!F860-1,"")</f>
        <v/>
      </c>
      <c r="G862" s="148" t="str">
        <f ca="1">IFERROR(Prices!G861/Prices!G860-1,"")</f>
        <v/>
      </c>
      <c r="H862" s="148" t="str">
        <f ca="1">IFERROR(Prices!H861/Prices!H860-1,"")</f>
        <v/>
      </c>
      <c r="I862" s="149" t="str">
        <f ca="1">IFERROR(Prices!I861/Prices!I860-1,"")</f>
        <v/>
      </c>
      <c r="J862" s="150">
        <f t="shared" ca="1" si="15"/>
        <v>0</v>
      </c>
      <c r="K862" s="112"/>
      <c r="L862" s="112"/>
      <c r="M862" s="112"/>
    </row>
    <row r="863" spans="1:13" x14ac:dyDescent="0.3">
      <c r="A863" s="147" t="str">
        <f ca="1">Prices!$A$862</f>
        <v/>
      </c>
      <c r="B863" s="148" t="str">
        <f ca="1">IFERROR(Prices!B862/Prices!B861-1,"")</f>
        <v/>
      </c>
      <c r="C863" s="148" t="str">
        <f ca="1">IFERROR(Prices!C862/Prices!C861-1,"")</f>
        <v/>
      </c>
      <c r="D863" s="148" t="str">
        <f ca="1">IFERROR(Prices!D862/Prices!D861-1,"")</f>
        <v/>
      </c>
      <c r="E863" s="148" t="str">
        <f ca="1">IFERROR(Prices!E862/Prices!E861-1,"")</f>
        <v/>
      </c>
      <c r="F863" s="148" t="str">
        <f ca="1">IFERROR(Prices!F862/Prices!F861-1,"")</f>
        <v/>
      </c>
      <c r="G863" s="148" t="str">
        <f ca="1">IFERROR(Prices!G862/Prices!G861-1,"")</f>
        <v/>
      </c>
      <c r="H863" s="148" t="str">
        <f ca="1">IFERROR(Prices!H862/Prices!H861-1,"")</f>
        <v/>
      </c>
      <c r="I863" s="149" t="str">
        <f ca="1">IFERROR(Prices!I862/Prices!I861-1,"")</f>
        <v/>
      </c>
      <c r="J863" s="150">
        <f t="shared" ca="1" si="15"/>
        <v>0</v>
      </c>
      <c r="K863" s="112"/>
      <c r="L863" s="112"/>
      <c r="M863" s="112"/>
    </row>
    <row r="864" spans="1:13" x14ac:dyDescent="0.3">
      <c r="A864" s="147" t="str">
        <f ca="1">Prices!$A$863</f>
        <v/>
      </c>
      <c r="B864" s="148" t="str">
        <f ca="1">IFERROR(Prices!B863/Prices!B862-1,"")</f>
        <v/>
      </c>
      <c r="C864" s="148" t="str">
        <f ca="1">IFERROR(Prices!C863/Prices!C862-1,"")</f>
        <v/>
      </c>
      <c r="D864" s="148" t="str">
        <f ca="1">IFERROR(Prices!D863/Prices!D862-1,"")</f>
        <v/>
      </c>
      <c r="E864" s="148" t="str">
        <f ca="1">IFERROR(Prices!E863/Prices!E862-1,"")</f>
        <v/>
      </c>
      <c r="F864" s="148" t="str">
        <f ca="1">IFERROR(Prices!F863/Prices!F862-1,"")</f>
        <v/>
      </c>
      <c r="G864" s="148" t="str">
        <f ca="1">IFERROR(Prices!G863/Prices!G862-1,"")</f>
        <v/>
      </c>
      <c r="H864" s="148" t="str">
        <f ca="1">IFERROR(Prices!H863/Prices!H862-1,"")</f>
        <v/>
      </c>
      <c r="I864" s="149" t="str">
        <f ca="1">IFERROR(Prices!I863/Prices!I862-1,"")</f>
        <v/>
      </c>
      <c r="J864" s="150">
        <f t="shared" ca="1" si="15"/>
        <v>0</v>
      </c>
      <c r="K864" s="112"/>
      <c r="L864" s="112"/>
      <c r="M864" s="112"/>
    </row>
    <row r="865" spans="1:13" x14ac:dyDescent="0.3">
      <c r="A865" s="147" t="str">
        <f ca="1">Prices!$A$864</f>
        <v/>
      </c>
      <c r="B865" s="148" t="str">
        <f ca="1">IFERROR(Prices!B864/Prices!B863-1,"")</f>
        <v/>
      </c>
      <c r="C865" s="148" t="str">
        <f ca="1">IFERROR(Prices!C864/Prices!C863-1,"")</f>
        <v/>
      </c>
      <c r="D865" s="148" t="str">
        <f ca="1">IFERROR(Prices!D864/Prices!D863-1,"")</f>
        <v/>
      </c>
      <c r="E865" s="148" t="str">
        <f ca="1">IFERROR(Prices!E864/Prices!E863-1,"")</f>
        <v/>
      </c>
      <c r="F865" s="148" t="str">
        <f ca="1">IFERROR(Prices!F864/Prices!F863-1,"")</f>
        <v/>
      </c>
      <c r="G865" s="148" t="str">
        <f ca="1">IFERROR(Prices!G864/Prices!G863-1,"")</f>
        <v/>
      </c>
      <c r="H865" s="148" t="str">
        <f ca="1">IFERROR(Prices!H864/Prices!H863-1,"")</f>
        <v/>
      </c>
      <c r="I865" s="149" t="str">
        <f ca="1">IFERROR(Prices!I864/Prices!I863-1,"")</f>
        <v/>
      </c>
      <c r="J865" s="150">
        <f t="shared" ca="1" si="15"/>
        <v>0</v>
      </c>
      <c r="K865" s="112"/>
      <c r="L865" s="112"/>
      <c r="M865" s="112"/>
    </row>
    <row r="866" spans="1:13" x14ac:dyDescent="0.3">
      <c r="A866" s="147" t="str">
        <f ca="1">Prices!$A$865</f>
        <v/>
      </c>
      <c r="B866" s="148" t="str">
        <f ca="1">IFERROR(Prices!B865/Prices!B864-1,"")</f>
        <v/>
      </c>
      <c r="C866" s="148" t="str">
        <f ca="1">IFERROR(Prices!C865/Prices!C864-1,"")</f>
        <v/>
      </c>
      <c r="D866" s="148" t="str">
        <f ca="1">IFERROR(Prices!D865/Prices!D864-1,"")</f>
        <v/>
      </c>
      <c r="E866" s="148" t="str">
        <f ca="1">IFERROR(Prices!E865/Prices!E864-1,"")</f>
        <v/>
      </c>
      <c r="F866" s="148" t="str">
        <f ca="1">IFERROR(Prices!F865/Prices!F864-1,"")</f>
        <v/>
      </c>
      <c r="G866" s="148" t="str">
        <f ca="1">IFERROR(Prices!G865/Prices!G864-1,"")</f>
        <v/>
      </c>
      <c r="H866" s="148" t="str">
        <f ca="1">IFERROR(Prices!H865/Prices!H864-1,"")</f>
        <v/>
      </c>
      <c r="I866" s="149" t="str">
        <f ca="1">IFERROR(Prices!I865/Prices!I864-1,"")</f>
        <v/>
      </c>
      <c r="J866" s="150">
        <f t="shared" ca="1" si="15"/>
        <v>0</v>
      </c>
      <c r="K866" s="112"/>
      <c r="L866" s="112"/>
      <c r="M866" s="112"/>
    </row>
    <row r="867" spans="1:13" x14ac:dyDescent="0.3">
      <c r="A867" s="147" t="str">
        <f ca="1">Prices!$A$866</f>
        <v/>
      </c>
      <c r="B867" s="148" t="str">
        <f ca="1">IFERROR(Prices!B866/Prices!B865-1,"")</f>
        <v/>
      </c>
      <c r="C867" s="148" t="str">
        <f ca="1">IFERROR(Prices!C866/Prices!C865-1,"")</f>
        <v/>
      </c>
      <c r="D867" s="148" t="str">
        <f ca="1">IFERROR(Prices!D866/Prices!D865-1,"")</f>
        <v/>
      </c>
      <c r="E867" s="148" t="str">
        <f ca="1">IFERROR(Prices!E866/Prices!E865-1,"")</f>
        <v/>
      </c>
      <c r="F867" s="148" t="str">
        <f ca="1">IFERROR(Prices!F866/Prices!F865-1,"")</f>
        <v/>
      </c>
      <c r="G867" s="148" t="str">
        <f ca="1">IFERROR(Prices!G866/Prices!G865-1,"")</f>
        <v/>
      </c>
      <c r="H867" s="148" t="str">
        <f ca="1">IFERROR(Prices!H866/Prices!H865-1,"")</f>
        <v/>
      </c>
      <c r="I867" s="149" t="str">
        <f ca="1">IFERROR(Prices!I866/Prices!I865-1,"")</f>
        <v/>
      </c>
      <c r="J867" s="150">
        <f t="shared" ca="1" si="15"/>
        <v>0</v>
      </c>
      <c r="K867" s="112"/>
      <c r="L867" s="112"/>
      <c r="M867" s="112"/>
    </row>
    <row r="868" spans="1:13" x14ac:dyDescent="0.3">
      <c r="A868" s="147" t="str">
        <f ca="1">Prices!$A$867</f>
        <v/>
      </c>
      <c r="B868" s="148" t="str">
        <f ca="1">IFERROR(Prices!B867/Prices!B866-1,"")</f>
        <v/>
      </c>
      <c r="C868" s="148" t="str">
        <f ca="1">IFERROR(Prices!C867/Prices!C866-1,"")</f>
        <v/>
      </c>
      <c r="D868" s="148" t="str">
        <f ca="1">IFERROR(Prices!D867/Prices!D866-1,"")</f>
        <v/>
      </c>
      <c r="E868" s="148" t="str">
        <f ca="1">IFERROR(Prices!E867/Prices!E866-1,"")</f>
        <v/>
      </c>
      <c r="F868" s="148" t="str">
        <f ca="1">IFERROR(Prices!F867/Prices!F866-1,"")</f>
        <v/>
      </c>
      <c r="G868" s="148" t="str">
        <f ca="1">IFERROR(Prices!G867/Prices!G866-1,"")</f>
        <v/>
      </c>
      <c r="H868" s="148" t="str">
        <f ca="1">IFERROR(Prices!H867/Prices!H866-1,"")</f>
        <v/>
      </c>
      <c r="I868" s="149" t="str">
        <f ca="1">IFERROR(Prices!I867/Prices!I866-1,"")</f>
        <v/>
      </c>
      <c r="J868" s="150">
        <f t="shared" ca="1" si="15"/>
        <v>0</v>
      </c>
      <c r="K868" s="112"/>
      <c r="L868" s="112"/>
      <c r="M868" s="112"/>
    </row>
    <row r="869" spans="1:13" x14ac:dyDescent="0.3">
      <c r="A869" s="147" t="str">
        <f ca="1">Prices!$A$868</f>
        <v/>
      </c>
      <c r="B869" s="148" t="str">
        <f ca="1">IFERROR(Prices!B868/Prices!B867-1,"")</f>
        <v/>
      </c>
      <c r="C869" s="148" t="str">
        <f ca="1">IFERROR(Prices!C868/Prices!C867-1,"")</f>
        <v/>
      </c>
      <c r="D869" s="148" t="str">
        <f ca="1">IFERROR(Prices!D868/Prices!D867-1,"")</f>
        <v/>
      </c>
      <c r="E869" s="148" t="str">
        <f ca="1">IFERROR(Prices!E868/Prices!E867-1,"")</f>
        <v/>
      </c>
      <c r="F869" s="148" t="str">
        <f ca="1">IFERROR(Prices!F868/Prices!F867-1,"")</f>
        <v/>
      </c>
      <c r="G869" s="148" t="str">
        <f ca="1">IFERROR(Prices!G868/Prices!G867-1,"")</f>
        <v/>
      </c>
      <c r="H869" s="148" t="str">
        <f ca="1">IFERROR(Prices!H868/Prices!H867-1,"")</f>
        <v/>
      </c>
      <c r="I869" s="149" t="str">
        <f ca="1">IFERROR(Prices!I868/Prices!I867-1,"")</f>
        <v/>
      </c>
      <c r="J869" s="150">
        <f t="shared" ca="1" si="15"/>
        <v>0</v>
      </c>
      <c r="K869" s="112"/>
      <c r="L869" s="112"/>
      <c r="M869" s="112"/>
    </row>
    <row r="870" spans="1:13" x14ac:dyDescent="0.3">
      <c r="A870" s="147" t="str">
        <f ca="1">Prices!$A$869</f>
        <v/>
      </c>
      <c r="B870" s="148" t="str">
        <f ca="1">IFERROR(Prices!B869/Prices!B868-1,"")</f>
        <v/>
      </c>
      <c r="C870" s="148" t="str">
        <f ca="1">IFERROR(Prices!C869/Prices!C868-1,"")</f>
        <v/>
      </c>
      <c r="D870" s="148" t="str">
        <f ca="1">IFERROR(Prices!D869/Prices!D868-1,"")</f>
        <v/>
      </c>
      <c r="E870" s="148" t="str">
        <f ca="1">IFERROR(Prices!E869/Prices!E868-1,"")</f>
        <v/>
      </c>
      <c r="F870" s="148" t="str">
        <f ca="1">IFERROR(Prices!F869/Prices!F868-1,"")</f>
        <v/>
      </c>
      <c r="G870" s="148" t="str">
        <f ca="1">IFERROR(Prices!G869/Prices!G868-1,"")</f>
        <v/>
      </c>
      <c r="H870" s="148" t="str">
        <f ca="1">IFERROR(Prices!H869/Prices!H868-1,"")</f>
        <v/>
      </c>
      <c r="I870" s="149" t="str">
        <f ca="1">IFERROR(Prices!I869/Prices!I868-1,"")</f>
        <v/>
      </c>
      <c r="J870" s="150">
        <f t="shared" ca="1" si="15"/>
        <v>0</v>
      </c>
      <c r="K870" s="112"/>
      <c r="L870" s="112"/>
      <c r="M870" s="112"/>
    </row>
    <row r="871" spans="1:13" x14ac:dyDescent="0.3">
      <c r="A871" s="147" t="str">
        <f ca="1">Prices!$A$870</f>
        <v/>
      </c>
      <c r="B871" s="148" t="str">
        <f ca="1">IFERROR(Prices!B870/Prices!B869-1,"")</f>
        <v/>
      </c>
      <c r="C871" s="148" t="str">
        <f ca="1">IFERROR(Prices!C870/Prices!C869-1,"")</f>
        <v/>
      </c>
      <c r="D871" s="148" t="str">
        <f ca="1">IFERROR(Prices!D870/Prices!D869-1,"")</f>
        <v/>
      </c>
      <c r="E871" s="148" t="str">
        <f ca="1">IFERROR(Prices!E870/Prices!E869-1,"")</f>
        <v/>
      </c>
      <c r="F871" s="148" t="str">
        <f ca="1">IFERROR(Prices!F870/Prices!F869-1,"")</f>
        <v/>
      </c>
      <c r="G871" s="148" t="str">
        <f ca="1">IFERROR(Prices!G870/Prices!G869-1,"")</f>
        <v/>
      </c>
      <c r="H871" s="148" t="str">
        <f ca="1">IFERROR(Prices!H870/Prices!H869-1,"")</f>
        <v/>
      </c>
      <c r="I871" s="149" t="str">
        <f ca="1">IFERROR(Prices!I870/Prices!I869-1,"")</f>
        <v/>
      </c>
      <c r="J871" s="150">
        <f t="shared" ca="1" si="15"/>
        <v>0</v>
      </c>
      <c r="K871" s="112"/>
      <c r="L871" s="112"/>
      <c r="M871" s="112"/>
    </row>
    <row r="872" spans="1:13" x14ac:dyDescent="0.3">
      <c r="A872" s="147" t="str">
        <f ca="1">Prices!$A$871</f>
        <v/>
      </c>
      <c r="B872" s="148" t="str">
        <f ca="1">IFERROR(Prices!B871/Prices!B870-1,"")</f>
        <v/>
      </c>
      <c r="C872" s="148" t="str">
        <f ca="1">IFERROR(Prices!C871/Prices!C870-1,"")</f>
        <v/>
      </c>
      <c r="D872" s="148" t="str">
        <f ca="1">IFERROR(Prices!D871/Prices!D870-1,"")</f>
        <v/>
      </c>
      <c r="E872" s="148" t="str">
        <f ca="1">IFERROR(Prices!E871/Prices!E870-1,"")</f>
        <v/>
      </c>
      <c r="F872" s="148" t="str">
        <f ca="1">IFERROR(Prices!F871/Prices!F870-1,"")</f>
        <v/>
      </c>
      <c r="G872" s="148" t="str">
        <f ca="1">IFERROR(Prices!G871/Prices!G870-1,"")</f>
        <v/>
      </c>
      <c r="H872" s="148" t="str">
        <f ca="1">IFERROR(Prices!H871/Prices!H870-1,"")</f>
        <v/>
      </c>
      <c r="I872" s="149" t="str">
        <f ca="1">IFERROR(Prices!I871/Prices!I870-1,"")</f>
        <v/>
      </c>
      <c r="J872" s="150">
        <f t="shared" ca="1" si="15"/>
        <v>0</v>
      </c>
      <c r="K872" s="112"/>
      <c r="L872" s="112"/>
      <c r="M872" s="112"/>
    </row>
    <row r="873" spans="1:13" x14ac:dyDescent="0.3">
      <c r="A873" s="147" t="str">
        <f ca="1">Prices!$A$872</f>
        <v/>
      </c>
      <c r="B873" s="148" t="str">
        <f ca="1">IFERROR(Prices!B872/Prices!B871-1,"")</f>
        <v/>
      </c>
      <c r="C873" s="148" t="str">
        <f ca="1">IFERROR(Prices!C872/Prices!C871-1,"")</f>
        <v/>
      </c>
      <c r="D873" s="148" t="str">
        <f ca="1">IFERROR(Prices!D872/Prices!D871-1,"")</f>
        <v/>
      </c>
      <c r="E873" s="148" t="str">
        <f ca="1">IFERROR(Prices!E872/Prices!E871-1,"")</f>
        <v/>
      </c>
      <c r="F873" s="148" t="str">
        <f ca="1">IFERROR(Prices!F872/Prices!F871-1,"")</f>
        <v/>
      </c>
      <c r="G873" s="148" t="str">
        <f ca="1">IFERROR(Prices!G872/Prices!G871-1,"")</f>
        <v/>
      </c>
      <c r="H873" s="148" t="str">
        <f ca="1">IFERROR(Prices!H872/Prices!H871-1,"")</f>
        <v/>
      </c>
      <c r="I873" s="149" t="str">
        <f ca="1">IFERROR(Prices!I872/Prices!I871-1,"")</f>
        <v/>
      </c>
      <c r="J873" s="150">
        <f t="shared" ca="1" si="15"/>
        <v>0</v>
      </c>
      <c r="K873" s="112"/>
      <c r="L873" s="112"/>
      <c r="M873" s="112"/>
    </row>
    <row r="874" spans="1:13" x14ac:dyDescent="0.3">
      <c r="A874" s="147" t="str">
        <f ca="1">Prices!$A$873</f>
        <v/>
      </c>
      <c r="B874" s="148" t="str">
        <f ca="1">IFERROR(Prices!B873/Prices!B872-1,"")</f>
        <v/>
      </c>
      <c r="C874" s="148" t="str">
        <f ca="1">IFERROR(Prices!C873/Prices!C872-1,"")</f>
        <v/>
      </c>
      <c r="D874" s="148" t="str">
        <f ca="1">IFERROR(Prices!D873/Prices!D872-1,"")</f>
        <v/>
      </c>
      <c r="E874" s="148" t="str">
        <f ca="1">IFERROR(Prices!E873/Prices!E872-1,"")</f>
        <v/>
      </c>
      <c r="F874" s="148" t="str">
        <f ca="1">IFERROR(Prices!F873/Prices!F872-1,"")</f>
        <v/>
      </c>
      <c r="G874" s="148" t="str">
        <f ca="1">IFERROR(Prices!G873/Prices!G872-1,"")</f>
        <v/>
      </c>
      <c r="H874" s="148" t="str">
        <f ca="1">IFERROR(Prices!H873/Prices!H872-1,"")</f>
        <v/>
      </c>
      <c r="I874" s="149" t="str">
        <f ca="1">IFERROR(Prices!I873/Prices!I872-1,"")</f>
        <v/>
      </c>
      <c r="J874" s="150">
        <f t="shared" ca="1" si="15"/>
        <v>0</v>
      </c>
      <c r="K874" s="112"/>
      <c r="L874" s="112"/>
      <c r="M874" s="112"/>
    </row>
    <row r="875" spans="1:13" x14ac:dyDescent="0.3">
      <c r="A875" s="147" t="str">
        <f ca="1">Prices!$A$874</f>
        <v/>
      </c>
      <c r="B875" s="148" t="str">
        <f ca="1">IFERROR(Prices!B874/Prices!B873-1,"")</f>
        <v/>
      </c>
      <c r="C875" s="148" t="str">
        <f ca="1">IFERROR(Prices!C874/Prices!C873-1,"")</f>
        <v/>
      </c>
      <c r="D875" s="148" t="str">
        <f ca="1">IFERROR(Prices!D874/Prices!D873-1,"")</f>
        <v/>
      </c>
      <c r="E875" s="148" t="str">
        <f ca="1">IFERROR(Prices!E874/Prices!E873-1,"")</f>
        <v/>
      </c>
      <c r="F875" s="148" t="str">
        <f ca="1">IFERROR(Prices!F874/Prices!F873-1,"")</f>
        <v/>
      </c>
      <c r="G875" s="148" t="str">
        <f ca="1">IFERROR(Prices!G874/Prices!G873-1,"")</f>
        <v/>
      </c>
      <c r="H875" s="148" t="str">
        <f ca="1">IFERROR(Prices!H874/Prices!H873-1,"")</f>
        <v/>
      </c>
      <c r="I875" s="149" t="str">
        <f ca="1">IFERROR(Prices!I874/Prices!I873-1,"")</f>
        <v/>
      </c>
      <c r="J875" s="150">
        <f t="shared" ca="1" si="15"/>
        <v>0</v>
      </c>
      <c r="K875" s="112"/>
      <c r="L875" s="112"/>
      <c r="M875" s="112"/>
    </row>
    <row r="876" spans="1:13" x14ac:dyDescent="0.3">
      <c r="A876" s="147" t="str">
        <f ca="1">Prices!$A$875</f>
        <v/>
      </c>
      <c r="B876" s="148" t="str">
        <f ca="1">IFERROR(Prices!B875/Prices!B874-1,"")</f>
        <v/>
      </c>
      <c r="C876" s="148" t="str">
        <f ca="1">IFERROR(Prices!C875/Prices!C874-1,"")</f>
        <v/>
      </c>
      <c r="D876" s="148" t="str">
        <f ca="1">IFERROR(Prices!D875/Prices!D874-1,"")</f>
        <v/>
      </c>
      <c r="E876" s="148" t="str">
        <f ca="1">IFERROR(Prices!E875/Prices!E874-1,"")</f>
        <v/>
      </c>
      <c r="F876" s="148" t="str">
        <f ca="1">IFERROR(Prices!F875/Prices!F874-1,"")</f>
        <v/>
      </c>
      <c r="G876" s="148" t="str">
        <f ca="1">IFERROR(Prices!G875/Prices!G874-1,"")</f>
        <v/>
      </c>
      <c r="H876" s="148" t="str">
        <f ca="1">IFERROR(Prices!H875/Prices!H874-1,"")</f>
        <v/>
      </c>
      <c r="I876" s="149" t="str">
        <f ca="1">IFERROR(Prices!I875/Prices!I874-1,"")</f>
        <v/>
      </c>
      <c r="J876" s="150">
        <f t="shared" ca="1" si="15"/>
        <v>0</v>
      </c>
      <c r="K876" s="112"/>
      <c r="L876" s="112"/>
      <c r="M876" s="112"/>
    </row>
    <row r="877" spans="1:13" x14ac:dyDescent="0.3">
      <c r="A877" s="147" t="str">
        <f ca="1">Prices!$A$876</f>
        <v/>
      </c>
      <c r="B877" s="148" t="str">
        <f ca="1">IFERROR(Prices!B876/Prices!B875-1,"")</f>
        <v/>
      </c>
      <c r="C877" s="148" t="str">
        <f ca="1">IFERROR(Prices!C876/Prices!C875-1,"")</f>
        <v/>
      </c>
      <c r="D877" s="148" t="str">
        <f ca="1">IFERROR(Prices!D876/Prices!D875-1,"")</f>
        <v/>
      </c>
      <c r="E877" s="148" t="str">
        <f ca="1">IFERROR(Prices!E876/Prices!E875-1,"")</f>
        <v/>
      </c>
      <c r="F877" s="148" t="str">
        <f ca="1">IFERROR(Prices!F876/Prices!F875-1,"")</f>
        <v/>
      </c>
      <c r="G877" s="148" t="str">
        <f ca="1">IFERROR(Prices!G876/Prices!G875-1,"")</f>
        <v/>
      </c>
      <c r="H877" s="148" t="str">
        <f ca="1">IFERROR(Prices!H876/Prices!H875-1,"")</f>
        <v/>
      </c>
      <c r="I877" s="149" t="str">
        <f ca="1">IFERROR(Prices!I876/Prices!I875-1,"")</f>
        <v/>
      </c>
      <c r="J877" s="150">
        <f t="shared" ca="1" si="15"/>
        <v>0</v>
      </c>
      <c r="K877" s="112"/>
      <c r="L877" s="112"/>
      <c r="M877" s="112"/>
    </row>
    <row r="878" spans="1:13" x14ac:dyDescent="0.3">
      <c r="A878" s="147" t="str">
        <f ca="1">Prices!$A$877</f>
        <v/>
      </c>
      <c r="B878" s="148" t="str">
        <f ca="1">IFERROR(Prices!B877/Prices!B876-1,"")</f>
        <v/>
      </c>
      <c r="C878" s="148" t="str">
        <f ca="1">IFERROR(Prices!C877/Prices!C876-1,"")</f>
        <v/>
      </c>
      <c r="D878" s="148" t="str">
        <f ca="1">IFERROR(Prices!D877/Prices!D876-1,"")</f>
        <v/>
      </c>
      <c r="E878" s="148" t="str">
        <f ca="1">IFERROR(Prices!E877/Prices!E876-1,"")</f>
        <v/>
      </c>
      <c r="F878" s="148" t="str">
        <f ca="1">IFERROR(Prices!F877/Prices!F876-1,"")</f>
        <v/>
      </c>
      <c r="G878" s="148" t="str">
        <f ca="1">IFERROR(Prices!G877/Prices!G876-1,"")</f>
        <v/>
      </c>
      <c r="H878" s="148" t="str">
        <f ca="1">IFERROR(Prices!H877/Prices!H876-1,"")</f>
        <v/>
      </c>
      <c r="I878" s="149" t="str">
        <f ca="1">IFERROR(Prices!I877/Prices!I876-1,"")</f>
        <v/>
      </c>
      <c r="J878" s="150">
        <f t="shared" ca="1" si="15"/>
        <v>0</v>
      </c>
      <c r="K878" s="112"/>
      <c r="L878" s="112"/>
      <c r="M878" s="112"/>
    </row>
    <row r="879" spans="1:13" x14ac:dyDescent="0.3">
      <c r="A879" s="147" t="str">
        <f ca="1">Prices!$A$878</f>
        <v/>
      </c>
      <c r="B879" s="148" t="str">
        <f ca="1">IFERROR(Prices!B878/Prices!B877-1,"")</f>
        <v/>
      </c>
      <c r="C879" s="148" t="str">
        <f ca="1">IFERROR(Prices!C878/Prices!C877-1,"")</f>
        <v/>
      </c>
      <c r="D879" s="148" t="str">
        <f ca="1">IFERROR(Prices!D878/Prices!D877-1,"")</f>
        <v/>
      </c>
      <c r="E879" s="148" t="str">
        <f ca="1">IFERROR(Prices!E878/Prices!E877-1,"")</f>
        <v/>
      </c>
      <c r="F879" s="148" t="str">
        <f ca="1">IFERROR(Prices!F878/Prices!F877-1,"")</f>
        <v/>
      </c>
      <c r="G879" s="148" t="str">
        <f ca="1">IFERROR(Prices!G878/Prices!G877-1,"")</f>
        <v/>
      </c>
      <c r="H879" s="148" t="str">
        <f ca="1">IFERROR(Prices!H878/Prices!H877-1,"")</f>
        <v/>
      </c>
      <c r="I879" s="149" t="str">
        <f ca="1">IFERROR(Prices!I878/Prices!I877-1,"")</f>
        <v/>
      </c>
      <c r="J879" s="150">
        <f t="shared" ca="1" si="15"/>
        <v>0</v>
      </c>
      <c r="K879" s="112"/>
      <c r="L879" s="112"/>
      <c r="M879" s="112"/>
    </row>
    <row r="880" spans="1:13" x14ac:dyDescent="0.3">
      <c r="A880" s="147" t="str">
        <f ca="1">Prices!$A$879</f>
        <v/>
      </c>
      <c r="B880" s="148" t="str">
        <f ca="1">IFERROR(Prices!B879/Prices!B878-1,"")</f>
        <v/>
      </c>
      <c r="C880" s="148" t="str">
        <f ca="1">IFERROR(Prices!C879/Prices!C878-1,"")</f>
        <v/>
      </c>
      <c r="D880" s="148" t="str">
        <f ca="1">IFERROR(Prices!D879/Prices!D878-1,"")</f>
        <v/>
      </c>
      <c r="E880" s="148" t="str">
        <f ca="1">IFERROR(Prices!E879/Prices!E878-1,"")</f>
        <v/>
      </c>
      <c r="F880" s="148" t="str">
        <f ca="1">IFERROR(Prices!F879/Prices!F878-1,"")</f>
        <v/>
      </c>
      <c r="G880" s="148" t="str">
        <f ca="1">IFERROR(Prices!G879/Prices!G878-1,"")</f>
        <v/>
      </c>
      <c r="H880" s="148" t="str">
        <f ca="1">IFERROR(Prices!H879/Prices!H878-1,"")</f>
        <v/>
      </c>
      <c r="I880" s="149" t="str">
        <f ca="1">IFERROR(Prices!I879/Prices!I878-1,"")</f>
        <v/>
      </c>
      <c r="J880" s="150">
        <f t="shared" ca="1" si="15"/>
        <v>0</v>
      </c>
      <c r="K880" s="112"/>
      <c r="L880" s="112"/>
      <c r="M880" s="112"/>
    </row>
    <row r="881" spans="1:13" x14ac:dyDescent="0.3">
      <c r="A881" s="147" t="str">
        <f ca="1">Prices!$A$880</f>
        <v/>
      </c>
      <c r="B881" s="148" t="str">
        <f ca="1">IFERROR(Prices!B880/Prices!B879-1,"")</f>
        <v/>
      </c>
      <c r="C881" s="148" t="str">
        <f ca="1">IFERROR(Prices!C880/Prices!C879-1,"")</f>
        <v/>
      </c>
      <c r="D881" s="148" t="str">
        <f ca="1">IFERROR(Prices!D880/Prices!D879-1,"")</f>
        <v/>
      </c>
      <c r="E881" s="148" t="str">
        <f ca="1">IFERROR(Prices!E880/Prices!E879-1,"")</f>
        <v/>
      </c>
      <c r="F881" s="148" t="str">
        <f ca="1">IFERROR(Prices!F880/Prices!F879-1,"")</f>
        <v/>
      </c>
      <c r="G881" s="148" t="str">
        <f ca="1">IFERROR(Prices!G880/Prices!G879-1,"")</f>
        <v/>
      </c>
      <c r="H881" s="148" t="str">
        <f ca="1">IFERROR(Prices!H880/Prices!H879-1,"")</f>
        <v/>
      </c>
      <c r="I881" s="149" t="str">
        <f ca="1">IFERROR(Prices!I880/Prices!I879-1,"")</f>
        <v/>
      </c>
      <c r="J881" s="150">
        <f t="shared" ca="1" si="15"/>
        <v>0</v>
      </c>
      <c r="K881" s="112"/>
      <c r="L881" s="112"/>
      <c r="M881" s="112"/>
    </row>
    <row r="882" spans="1:13" x14ac:dyDescent="0.3">
      <c r="A882" s="147" t="str">
        <f ca="1">Prices!$A$881</f>
        <v/>
      </c>
      <c r="B882" s="148" t="str">
        <f ca="1">IFERROR(Prices!B881/Prices!B880-1,"")</f>
        <v/>
      </c>
      <c r="C882" s="148" t="str">
        <f ca="1">IFERROR(Prices!C881/Prices!C880-1,"")</f>
        <v/>
      </c>
      <c r="D882" s="148" t="str">
        <f ca="1">IFERROR(Prices!D881/Prices!D880-1,"")</f>
        <v/>
      </c>
      <c r="E882" s="148" t="str">
        <f ca="1">IFERROR(Prices!E881/Prices!E880-1,"")</f>
        <v/>
      </c>
      <c r="F882" s="148" t="str">
        <f ca="1">IFERROR(Prices!F881/Prices!F880-1,"")</f>
        <v/>
      </c>
      <c r="G882" s="148" t="str">
        <f ca="1">IFERROR(Prices!G881/Prices!G880-1,"")</f>
        <v/>
      </c>
      <c r="H882" s="148" t="str">
        <f ca="1">IFERROR(Prices!H881/Prices!H880-1,"")</f>
        <v/>
      </c>
      <c r="I882" s="149" t="str">
        <f ca="1">IFERROR(Prices!I881/Prices!I880-1,"")</f>
        <v/>
      </c>
      <c r="J882" s="150">
        <f t="shared" ca="1" si="15"/>
        <v>0</v>
      </c>
      <c r="K882" s="112"/>
      <c r="L882" s="112"/>
      <c r="M882" s="112"/>
    </row>
    <row r="883" spans="1:13" x14ac:dyDescent="0.3">
      <c r="A883" s="147" t="str">
        <f ca="1">Prices!$A$882</f>
        <v/>
      </c>
      <c r="B883" s="148" t="str">
        <f ca="1">IFERROR(Prices!B882/Prices!B881-1,"")</f>
        <v/>
      </c>
      <c r="C883" s="148" t="str">
        <f ca="1">IFERROR(Prices!C882/Prices!C881-1,"")</f>
        <v/>
      </c>
      <c r="D883" s="148" t="str">
        <f ca="1">IFERROR(Prices!D882/Prices!D881-1,"")</f>
        <v/>
      </c>
      <c r="E883" s="148" t="str">
        <f ca="1">IFERROR(Prices!E882/Prices!E881-1,"")</f>
        <v/>
      </c>
      <c r="F883" s="148" t="str">
        <f ca="1">IFERROR(Prices!F882/Prices!F881-1,"")</f>
        <v/>
      </c>
      <c r="G883" s="148" t="str">
        <f ca="1">IFERROR(Prices!G882/Prices!G881-1,"")</f>
        <v/>
      </c>
      <c r="H883" s="148" t="str">
        <f ca="1">IFERROR(Prices!H882/Prices!H881-1,"")</f>
        <v/>
      </c>
      <c r="I883" s="149" t="str">
        <f ca="1">IFERROR(Prices!I882/Prices!I881-1,"")</f>
        <v/>
      </c>
      <c r="J883" s="150">
        <f t="shared" ca="1" si="15"/>
        <v>0</v>
      </c>
      <c r="K883" s="112"/>
      <c r="L883" s="112"/>
      <c r="M883" s="112"/>
    </row>
    <row r="884" spans="1:13" x14ac:dyDescent="0.3">
      <c r="A884" s="147" t="str">
        <f ca="1">Prices!$A$883</f>
        <v/>
      </c>
      <c r="B884" s="148" t="str">
        <f ca="1">IFERROR(Prices!B883/Prices!B882-1,"")</f>
        <v/>
      </c>
      <c r="C884" s="148" t="str">
        <f ca="1">IFERROR(Prices!C883/Prices!C882-1,"")</f>
        <v/>
      </c>
      <c r="D884" s="148" t="str">
        <f ca="1">IFERROR(Prices!D883/Prices!D882-1,"")</f>
        <v/>
      </c>
      <c r="E884" s="148" t="str">
        <f ca="1">IFERROR(Prices!E883/Prices!E882-1,"")</f>
        <v/>
      </c>
      <c r="F884" s="148" t="str">
        <f ca="1">IFERROR(Prices!F883/Prices!F882-1,"")</f>
        <v/>
      </c>
      <c r="G884" s="148" t="str">
        <f ca="1">IFERROR(Prices!G883/Prices!G882-1,"")</f>
        <v/>
      </c>
      <c r="H884" s="148" t="str">
        <f ca="1">IFERROR(Prices!H883/Prices!H882-1,"")</f>
        <v/>
      </c>
      <c r="I884" s="149" t="str">
        <f ca="1">IFERROR(Prices!I883/Prices!I882-1,"")</f>
        <v/>
      </c>
      <c r="J884" s="150">
        <f t="shared" ca="1" si="15"/>
        <v>0</v>
      </c>
      <c r="K884" s="112"/>
      <c r="L884" s="112"/>
      <c r="M884" s="112"/>
    </row>
    <row r="885" spans="1:13" x14ac:dyDescent="0.3">
      <c r="A885" s="147" t="str">
        <f ca="1">Prices!$A$884</f>
        <v/>
      </c>
      <c r="B885" s="148" t="str">
        <f ca="1">IFERROR(Prices!B884/Prices!B883-1,"")</f>
        <v/>
      </c>
      <c r="C885" s="148" t="str">
        <f ca="1">IFERROR(Prices!C884/Prices!C883-1,"")</f>
        <v/>
      </c>
      <c r="D885" s="148" t="str">
        <f ca="1">IFERROR(Prices!D884/Prices!D883-1,"")</f>
        <v/>
      </c>
      <c r="E885" s="148" t="str">
        <f ca="1">IFERROR(Prices!E884/Prices!E883-1,"")</f>
        <v/>
      </c>
      <c r="F885" s="148" t="str">
        <f ca="1">IFERROR(Prices!F884/Prices!F883-1,"")</f>
        <v/>
      </c>
      <c r="G885" s="148" t="str">
        <f ca="1">IFERROR(Prices!G884/Prices!G883-1,"")</f>
        <v/>
      </c>
      <c r="H885" s="148" t="str">
        <f ca="1">IFERROR(Prices!H884/Prices!H883-1,"")</f>
        <v/>
      </c>
      <c r="I885" s="149" t="str">
        <f ca="1">IFERROR(Prices!I884/Prices!I883-1,"")</f>
        <v/>
      </c>
      <c r="J885" s="150">
        <f t="shared" ca="1" si="15"/>
        <v>0</v>
      </c>
      <c r="K885" s="112"/>
      <c r="L885" s="112"/>
      <c r="M885" s="112"/>
    </row>
    <row r="886" spans="1:13" x14ac:dyDescent="0.3">
      <c r="A886" s="147" t="str">
        <f ca="1">Prices!$A$885</f>
        <v/>
      </c>
      <c r="B886" s="148" t="str">
        <f ca="1">IFERROR(Prices!B885/Prices!B884-1,"")</f>
        <v/>
      </c>
      <c r="C886" s="148" t="str">
        <f ca="1">IFERROR(Prices!C885/Prices!C884-1,"")</f>
        <v/>
      </c>
      <c r="D886" s="148" t="str">
        <f ca="1">IFERROR(Prices!D885/Prices!D884-1,"")</f>
        <v/>
      </c>
      <c r="E886" s="148" t="str">
        <f ca="1">IFERROR(Prices!E885/Prices!E884-1,"")</f>
        <v/>
      </c>
      <c r="F886" s="148" t="str">
        <f ca="1">IFERROR(Prices!F885/Prices!F884-1,"")</f>
        <v/>
      </c>
      <c r="G886" s="148" t="str">
        <f ca="1">IFERROR(Prices!G885/Prices!G884-1,"")</f>
        <v/>
      </c>
      <c r="H886" s="148" t="str">
        <f ca="1">IFERROR(Prices!H885/Prices!H884-1,"")</f>
        <v/>
      </c>
      <c r="I886" s="149" t="str">
        <f ca="1">IFERROR(Prices!I885/Prices!I884-1,"")</f>
        <v/>
      </c>
      <c r="J886" s="150">
        <f t="shared" ca="1" si="15"/>
        <v>0</v>
      </c>
      <c r="K886" s="112"/>
      <c r="L886" s="112"/>
      <c r="M886" s="112"/>
    </row>
    <row r="887" spans="1:13" x14ac:dyDescent="0.3">
      <c r="A887" s="147" t="str">
        <f ca="1">Prices!$A$886</f>
        <v/>
      </c>
      <c r="B887" s="148" t="str">
        <f ca="1">IFERROR(Prices!B886/Prices!B885-1,"")</f>
        <v/>
      </c>
      <c r="C887" s="148" t="str">
        <f ca="1">IFERROR(Prices!C886/Prices!C885-1,"")</f>
        <v/>
      </c>
      <c r="D887" s="148" t="str">
        <f ca="1">IFERROR(Prices!D886/Prices!D885-1,"")</f>
        <v/>
      </c>
      <c r="E887" s="148" t="str">
        <f ca="1">IFERROR(Prices!E886/Prices!E885-1,"")</f>
        <v/>
      </c>
      <c r="F887" s="148" t="str">
        <f ca="1">IFERROR(Prices!F886/Prices!F885-1,"")</f>
        <v/>
      </c>
      <c r="G887" s="148" t="str">
        <f ca="1">IFERROR(Prices!G886/Prices!G885-1,"")</f>
        <v/>
      </c>
      <c r="H887" s="148" t="str">
        <f ca="1">IFERROR(Prices!H886/Prices!H885-1,"")</f>
        <v/>
      </c>
      <c r="I887" s="149" t="str">
        <f ca="1">IFERROR(Prices!I886/Prices!I885-1,"")</f>
        <v/>
      </c>
      <c r="J887" s="150">
        <f t="shared" ca="1" si="15"/>
        <v>0</v>
      </c>
      <c r="K887" s="112"/>
      <c r="L887" s="112"/>
      <c r="M887" s="112"/>
    </row>
    <row r="888" spans="1:13" x14ac:dyDescent="0.3">
      <c r="A888" s="147" t="str">
        <f ca="1">Prices!$A$887</f>
        <v/>
      </c>
      <c r="B888" s="148" t="str">
        <f ca="1">IFERROR(Prices!B887/Prices!B886-1,"")</f>
        <v/>
      </c>
      <c r="C888" s="148" t="str">
        <f ca="1">IFERROR(Prices!C887/Prices!C886-1,"")</f>
        <v/>
      </c>
      <c r="D888" s="148" t="str">
        <f ca="1">IFERROR(Prices!D887/Prices!D886-1,"")</f>
        <v/>
      </c>
      <c r="E888" s="148" t="str">
        <f ca="1">IFERROR(Prices!E887/Prices!E886-1,"")</f>
        <v/>
      </c>
      <c r="F888" s="148" t="str">
        <f ca="1">IFERROR(Prices!F887/Prices!F886-1,"")</f>
        <v/>
      </c>
      <c r="G888" s="148" t="str">
        <f ca="1">IFERROR(Prices!G887/Prices!G886-1,"")</f>
        <v/>
      </c>
      <c r="H888" s="148" t="str">
        <f ca="1">IFERROR(Prices!H887/Prices!H886-1,"")</f>
        <v/>
      </c>
      <c r="I888" s="149" t="str">
        <f ca="1">IFERROR(Prices!I887/Prices!I886-1,"")</f>
        <v/>
      </c>
      <c r="J888" s="150">
        <f t="shared" ca="1" si="15"/>
        <v>0</v>
      </c>
      <c r="K888" s="112"/>
      <c r="L888" s="112"/>
      <c r="M888" s="112"/>
    </row>
    <row r="889" spans="1:13" x14ac:dyDescent="0.3">
      <c r="A889" s="147" t="str">
        <f ca="1">Prices!$A$888</f>
        <v/>
      </c>
      <c r="B889" s="148" t="str">
        <f ca="1">IFERROR(Prices!B888/Prices!B887-1,"")</f>
        <v/>
      </c>
      <c r="C889" s="148" t="str">
        <f ca="1">IFERROR(Prices!C888/Prices!C887-1,"")</f>
        <v/>
      </c>
      <c r="D889" s="148" t="str">
        <f ca="1">IFERROR(Prices!D888/Prices!D887-1,"")</f>
        <v/>
      </c>
      <c r="E889" s="148" t="str">
        <f ca="1">IFERROR(Prices!E888/Prices!E887-1,"")</f>
        <v/>
      </c>
      <c r="F889" s="148" t="str">
        <f ca="1">IFERROR(Prices!F888/Prices!F887-1,"")</f>
        <v/>
      </c>
      <c r="G889" s="148" t="str">
        <f ca="1">IFERROR(Prices!G888/Prices!G887-1,"")</f>
        <v/>
      </c>
      <c r="H889" s="148" t="str">
        <f ca="1">IFERROR(Prices!H888/Prices!H887-1,"")</f>
        <v/>
      </c>
      <c r="I889" s="149" t="str">
        <f ca="1">IFERROR(Prices!I888/Prices!I887-1,"")</f>
        <v/>
      </c>
      <c r="J889" s="150">
        <f t="shared" ca="1" si="15"/>
        <v>0</v>
      </c>
      <c r="K889" s="112"/>
      <c r="L889" s="112"/>
      <c r="M889" s="112"/>
    </row>
    <row r="890" spans="1:13" x14ac:dyDescent="0.3">
      <c r="A890" s="147" t="str">
        <f ca="1">Prices!$A$889</f>
        <v/>
      </c>
      <c r="B890" s="148" t="str">
        <f ca="1">IFERROR(Prices!B889/Prices!B888-1,"")</f>
        <v/>
      </c>
      <c r="C890" s="148" t="str">
        <f ca="1">IFERROR(Prices!C889/Prices!C888-1,"")</f>
        <v/>
      </c>
      <c r="D890" s="148" t="str">
        <f ca="1">IFERROR(Prices!D889/Prices!D888-1,"")</f>
        <v/>
      </c>
      <c r="E890" s="148" t="str">
        <f ca="1">IFERROR(Prices!E889/Prices!E888-1,"")</f>
        <v/>
      </c>
      <c r="F890" s="148" t="str">
        <f ca="1">IFERROR(Prices!F889/Prices!F888-1,"")</f>
        <v/>
      </c>
      <c r="G890" s="148" t="str">
        <f ca="1">IFERROR(Prices!G889/Prices!G888-1,"")</f>
        <v/>
      </c>
      <c r="H890" s="148" t="str">
        <f ca="1">IFERROR(Prices!H889/Prices!H888-1,"")</f>
        <v/>
      </c>
      <c r="I890" s="149" t="str">
        <f ca="1">IFERROR(Prices!I889/Prices!I888-1,"")</f>
        <v/>
      </c>
      <c r="J890" s="150">
        <f t="shared" ca="1" si="15"/>
        <v>0</v>
      </c>
      <c r="K890" s="112"/>
      <c r="L890" s="112"/>
      <c r="M890" s="112"/>
    </row>
    <row r="891" spans="1:13" x14ac:dyDescent="0.3">
      <c r="A891" s="147" t="str">
        <f ca="1">Prices!$A$890</f>
        <v/>
      </c>
      <c r="B891" s="148" t="str">
        <f ca="1">IFERROR(Prices!B890/Prices!B889-1,"")</f>
        <v/>
      </c>
      <c r="C891" s="148" t="str">
        <f ca="1">IFERROR(Prices!C890/Prices!C889-1,"")</f>
        <v/>
      </c>
      <c r="D891" s="148" t="str">
        <f ca="1">IFERROR(Prices!D890/Prices!D889-1,"")</f>
        <v/>
      </c>
      <c r="E891" s="148" t="str">
        <f ca="1">IFERROR(Prices!E890/Prices!E889-1,"")</f>
        <v/>
      </c>
      <c r="F891" s="148" t="str">
        <f ca="1">IFERROR(Prices!F890/Prices!F889-1,"")</f>
        <v/>
      </c>
      <c r="G891" s="148" t="str">
        <f ca="1">IFERROR(Prices!G890/Prices!G889-1,"")</f>
        <v/>
      </c>
      <c r="H891" s="148" t="str">
        <f ca="1">IFERROR(Prices!H890/Prices!H889-1,"")</f>
        <v/>
      </c>
      <c r="I891" s="149" t="str">
        <f ca="1">IFERROR(Prices!I890/Prices!I889-1,"")</f>
        <v/>
      </c>
      <c r="J891" s="150">
        <f t="shared" ca="1" si="15"/>
        <v>0</v>
      </c>
      <c r="K891" s="112"/>
      <c r="L891" s="112"/>
      <c r="M891" s="112"/>
    </row>
    <row r="892" spans="1:13" x14ac:dyDescent="0.3">
      <c r="A892" s="147" t="str">
        <f ca="1">Prices!$A$891</f>
        <v/>
      </c>
      <c r="B892" s="148" t="str">
        <f ca="1">IFERROR(Prices!B891/Prices!B890-1,"")</f>
        <v/>
      </c>
      <c r="C892" s="148" t="str">
        <f ca="1">IFERROR(Prices!C891/Prices!C890-1,"")</f>
        <v/>
      </c>
      <c r="D892" s="148" t="str">
        <f ca="1">IFERROR(Prices!D891/Prices!D890-1,"")</f>
        <v/>
      </c>
      <c r="E892" s="148" t="str">
        <f ca="1">IFERROR(Prices!E891/Prices!E890-1,"")</f>
        <v/>
      </c>
      <c r="F892" s="148" t="str">
        <f ca="1">IFERROR(Prices!F891/Prices!F890-1,"")</f>
        <v/>
      </c>
      <c r="G892" s="148" t="str">
        <f ca="1">IFERROR(Prices!G891/Prices!G890-1,"")</f>
        <v/>
      </c>
      <c r="H892" s="148" t="str">
        <f ca="1">IFERROR(Prices!H891/Prices!H890-1,"")</f>
        <v/>
      </c>
      <c r="I892" s="149" t="str">
        <f ca="1">IFERROR(Prices!I891/Prices!I890-1,"")</f>
        <v/>
      </c>
      <c r="J892" s="150">
        <f t="shared" ca="1" si="15"/>
        <v>0</v>
      </c>
      <c r="K892" s="112"/>
      <c r="L892" s="112"/>
      <c r="M892" s="112"/>
    </row>
    <row r="893" spans="1:13" x14ac:dyDescent="0.3">
      <c r="A893" s="147" t="str">
        <f ca="1">Prices!$A$892</f>
        <v/>
      </c>
      <c r="B893" s="148" t="str">
        <f ca="1">IFERROR(Prices!B892/Prices!B891-1,"")</f>
        <v/>
      </c>
      <c r="C893" s="148" t="str">
        <f ca="1">IFERROR(Prices!C892/Prices!C891-1,"")</f>
        <v/>
      </c>
      <c r="D893" s="148" t="str">
        <f ca="1">IFERROR(Prices!D892/Prices!D891-1,"")</f>
        <v/>
      </c>
      <c r="E893" s="148" t="str">
        <f ca="1">IFERROR(Prices!E892/Prices!E891-1,"")</f>
        <v/>
      </c>
      <c r="F893" s="148" t="str">
        <f ca="1">IFERROR(Prices!F892/Prices!F891-1,"")</f>
        <v/>
      </c>
      <c r="G893" s="148" t="str">
        <f ca="1">IFERROR(Prices!G892/Prices!G891-1,"")</f>
        <v/>
      </c>
      <c r="H893" s="148" t="str">
        <f ca="1">IFERROR(Prices!H892/Prices!H891-1,"")</f>
        <v/>
      </c>
      <c r="I893" s="149" t="str">
        <f ca="1">IFERROR(Prices!I892/Prices!I891-1,"")</f>
        <v/>
      </c>
      <c r="J893" s="150">
        <f t="shared" ca="1" si="15"/>
        <v>0</v>
      </c>
      <c r="K893" s="112"/>
      <c r="L893" s="112"/>
      <c r="M893" s="112"/>
    </row>
    <row r="894" spans="1:13" x14ac:dyDescent="0.3">
      <c r="A894" s="147" t="str">
        <f ca="1">Prices!$A$893</f>
        <v/>
      </c>
      <c r="B894" s="148" t="str">
        <f ca="1">IFERROR(Prices!B893/Prices!B892-1,"")</f>
        <v/>
      </c>
      <c r="C894" s="148" t="str">
        <f ca="1">IFERROR(Prices!C893/Prices!C892-1,"")</f>
        <v/>
      </c>
      <c r="D894" s="148" t="str">
        <f ca="1">IFERROR(Prices!D893/Prices!D892-1,"")</f>
        <v/>
      </c>
      <c r="E894" s="148" t="str">
        <f ca="1">IFERROR(Prices!E893/Prices!E892-1,"")</f>
        <v/>
      </c>
      <c r="F894" s="148" t="str">
        <f ca="1">IFERROR(Prices!F893/Prices!F892-1,"")</f>
        <v/>
      </c>
      <c r="G894" s="148" t="str">
        <f ca="1">IFERROR(Prices!G893/Prices!G892-1,"")</f>
        <v/>
      </c>
      <c r="H894" s="148" t="str">
        <f ca="1">IFERROR(Prices!H893/Prices!H892-1,"")</f>
        <v/>
      </c>
      <c r="I894" s="149" t="str">
        <f ca="1">IFERROR(Prices!I893/Prices!I892-1,"")</f>
        <v/>
      </c>
      <c r="J894" s="150">
        <f t="shared" ca="1" si="15"/>
        <v>0</v>
      </c>
      <c r="K894" s="112"/>
      <c r="L894" s="112"/>
      <c r="M894" s="112"/>
    </row>
    <row r="895" spans="1:13" x14ac:dyDescent="0.3">
      <c r="A895" s="147" t="str">
        <f ca="1">Prices!$A$894</f>
        <v/>
      </c>
      <c r="B895" s="148" t="str">
        <f ca="1">IFERROR(Prices!B894/Prices!B893-1,"")</f>
        <v/>
      </c>
      <c r="C895" s="148" t="str">
        <f ca="1">IFERROR(Prices!C894/Prices!C893-1,"")</f>
        <v/>
      </c>
      <c r="D895" s="148" t="str">
        <f ca="1">IFERROR(Prices!D894/Prices!D893-1,"")</f>
        <v/>
      </c>
      <c r="E895" s="148" t="str">
        <f ca="1">IFERROR(Prices!E894/Prices!E893-1,"")</f>
        <v/>
      </c>
      <c r="F895" s="148" t="str">
        <f ca="1">IFERROR(Prices!F894/Prices!F893-1,"")</f>
        <v/>
      </c>
      <c r="G895" s="148" t="str">
        <f ca="1">IFERROR(Prices!G894/Prices!G893-1,"")</f>
        <v/>
      </c>
      <c r="H895" s="148" t="str">
        <f ca="1">IFERROR(Prices!H894/Prices!H893-1,"")</f>
        <v/>
      </c>
      <c r="I895" s="149" t="str">
        <f ca="1">IFERROR(Prices!I894/Prices!I893-1,"")</f>
        <v/>
      </c>
      <c r="J895" s="150">
        <f t="shared" ca="1" si="15"/>
        <v>0</v>
      </c>
      <c r="K895" s="112"/>
      <c r="L895" s="112"/>
      <c r="M895" s="112"/>
    </row>
    <row r="896" spans="1:13" x14ac:dyDescent="0.3">
      <c r="A896" s="147" t="str">
        <f ca="1">Prices!$A$895</f>
        <v/>
      </c>
      <c r="B896" s="148" t="str">
        <f ca="1">IFERROR(Prices!B895/Prices!B894-1,"")</f>
        <v/>
      </c>
      <c r="C896" s="148" t="str">
        <f ca="1">IFERROR(Prices!C895/Prices!C894-1,"")</f>
        <v/>
      </c>
      <c r="D896" s="148" t="str">
        <f ca="1">IFERROR(Prices!D895/Prices!D894-1,"")</f>
        <v/>
      </c>
      <c r="E896" s="148" t="str">
        <f ca="1">IFERROR(Prices!E895/Prices!E894-1,"")</f>
        <v/>
      </c>
      <c r="F896" s="148" t="str">
        <f ca="1">IFERROR(Prices!F895/Prices!F894-1,"")</f>
        <v/>
      </c>
      <c r="G896" s="148" t="str">
        <f ca="1">IFERROR(Prices!G895/Prices!G894-1,"")</f>
        <v/>
      </c>
      <c r="H896" s="148" t="str">
        <f ca="1">IFERROR(Prices!H895/Prices!H894-1,"")</f>
        <v/>
      </c>
      <c r="I896" s="149" t="str">
        <f ca="1">IFERROR(Prices!I895/Prices!I894-1,"")</f>
        <v/>
      </c>
      <c r="J896" s="150">
        <f t="shared" ca="1" si="15"/>
        <v>0</v>
      </c>
      <c r="K896" s="112"/>
      <c r="L896" s="112"/>
      <c r="M896" s="112"/>
    </row>
    <row r="897" spans="1:13" x14ac:dyDescent="0.3">
      <c r="A897" s="147" t="str">
        <f ca="1">Prices!$A$896</f>
        <v/>
      </c>
      <c r="B897" s="148" t="str">
        <f ca="1">IFERROR(Prices!B896/Prices!B895-1,"")</f>
        <v/>
      </c>
      <c r="C897" s="148" t="str">
        <f ca="1">IFERROR(Prices!C896/Prices!C895-1,"")</f>
        <v/>
      </c>
      <c r="D897" s="148" t="str">
        <f ca="1">IFERROR(Prices!D896/Prices!D895-1,"")</f>
        <v/>
      </c>
      <c r="E897" s="148" t="str">
        <f ca="1">IFERROR(Prices!E896/Prices!E895-1,"")</f>
        <v/>
      </c>
      <c r="F897" s="148" t="str">
        <f ca="1">IFERROR(Prices!F896/Prices!F895-1,"")</f>
        <v/>
      </c>
      <c r="G897" s="148" t="str">
        <f ca="1">IFERROR(Prices!G896/Prices!G895-1,"")</f>
        <v/>
      </c>
      <c r="H897" s="148" t="str">
        <f ca="1">IFERROR(Prices!H896/Prices!H895-1,"")</f>
        <v/>
      </c>
      <c r="I897" s="149" t="str">
        <f ca="1">IFERROR(Prices!I896/Prices!I895-1,"")</f>
        <v/>
      </c>
      <c r="J897" s="150">
        <f t="shared" ca="1" si="15"/>
        <v>0</v>
      </c>
      <c r="K897" s="112"/>
      <c r="L897" s="112"/>
      <c r="M897" s="112"/>
    </row>
    <row r="898" spans="1:13" x14ac:dyDescent="0.3">
      <c r="A898" s="147" t="str">
        <f ca="1">Prices!$A$897</f>
        <v/>
      </c>
      <c r="B898" s="148" t="str">
        <f ca="1">IFERROR(Prices!B897/Prices!B896-1,"")</f>
        <v/>
      </c>
      <c r="C898" s="148" t="str">
        <f ca="1">IFERROR(Prices!C897/Prices!C896-1,"")</f>
        <v/>
      </c>
      <c r="D898" s="148" t="str">
        <f ca="1">IFERROR(Prices!D897/Prices!D896-1,"")</f>
        <v/>
      </c>
      <c r="E898" s="148" t="str">
        <f ca="1">IFERROR(Prices!E897/Prices!E896-1,"")</f>
        <v/>
      </c>
      <c r="F898" s="148" t="str">
        <f ca="1">IFERROR(Prices!F897/Prices!F896-1,"")</f>
        <v/>
      </c>
      <c r="G898" s="148" t="str">
        <f ca="1">IFERROR(Prices!G897/Prices!G896-1,"")</f>
        <v/>
      </c>
      <c r="H898" s="148" t="str">
        <f ca="1">IFERROR(Prices!H897/Prices!H896-1,"")</f>
        <v/>
      </c>
      <c r="I898" s="149" t="str">
        <f ca="1">IFERROR(Prices!I897/Prices!I896-1,"")</f>
        <v/>
      </c>
      <c r="J898" s="150">
        <f t="shared" ca="1" si="15"/>
        <v>0</v>
      </c>
      <c r="K898" s="112"/>
      <c r="L898" s="112"/>
      <c r="M898" s="112"/>
    </row>
    <row r="899" spans="1:13" x14ac:dyDescent="0.3">
      <c r="A899" s="147" t="str">
        <f ca="1">Prices!$A$898</f>
        <v/>
      </c>
      <c r="B899" s="148" t="str">
        <f ca="1">IFERROR(Prices!B898/Prices!B897-1,"")</f>
        <v/>
      </c>
      <c r="C899" s="148" t="str">
        <f ca="1">IFERROR(Prices!C898/Prices!C897-1,"")</f>
        <v/>
      </c>
      <c r="D899" s="148" t="str">
        <f ca="1">IFERROR(Prices!D898/Prices!D897-1,"")</f>
        <v/>
      </c>
      <c r="E899" s="148" t="str">
        <f ca="1">IFERROR(Prices!E898/Prices!E897-1,"")</f>
        <v/>
      </c>
      <c r="F899" s="148" t="str">
        <f ca="1">IFERROR(Prices!F898/Prices!F897-1,"")</f>
        <v/>
      </c>
      <c r="G899" s="148" t="str">
        <f ca="1">IFERROR(Prices!G898/Prices!G897-1,"")</f>
        <v/>
      </c>
      <c r="H899" s="148" t="str">
        <f ca="1">IFERROR(Prices!H898/Prices!H897-1,"")</f>
        <v/>
      </c>
      <c r="I899" s="149" t="str">
        <f ca="1">IFERROR(Prices!I898/Prices!I897-1,"")</f>
        <v/>
      </c>
      <c r="J899" s="150">
        <f t="shared" ca="1" si="15"/>
        <v>0</v>
      </c>
      <c r="K899" s="112"/>
      <c r="L899" s="112"/>
      <c r="M899" s="112"/>
    </row>
    <row r="900" spans="1:13" x14ac:dyDescent="0.3">
      <c r="A900" s="147" t="str">
        <f ca="1">Prices!$A$899</f>
        <v/>
      </c>
      <c r="B900" s="148" t="str">
        <f ca="1">IFERROR(Prices!B899/Prices!B898-1,"")</f>
        <v/>
      </c>
      <c r="C900" s="148" t="str">
        <f ca="1">IFERROR(Prices!C899/Prices!C898-1,"")</f>
        <v/>
      </c>
      <c r="D900" s="148" t="str">
        <f ca="1">IFERROR(Prices!D899/Prices!D898-1,"")</f>
        <v/>
      </c>
      <c r="E900" s="148" t="str">
        <f ca="1">IFERROR(Prices!E899/Prices!E898-1,"")</f>
        <v/>
      </c>
      <c r="F900" s="148" t="str">
        <f ca="1">IFERROR(Prices!F899/Prices!F898-1,"")</f>
        <v/>
      </c>
      <c r="G900" s="148" t="str">
        <f ca="1">IFERROR(Prices!G899/Prices!G898-1,"")</f>
        <v/>
      </c>
      <c r="H900" s="148" t="str">
        <f ca="1">IFERROR(Prices!H899/Prices!H898-1,"")</f>
        <v/>
      </c>
      <c r="I900" s="149" t="str">
        <f ca="1">IFERROR(Prices!I899/Prices!I898-1,"")</f>
        <v/>
      </c>
      <c r="J900" s="150">
        <f t="shared" ca="1" si="15"/>
        <v>0</v>
      </c>
      <c r="K900" s="112"/>
      <c r="L900" s="112"/>
      <c r="M900" s="112"/>
    </row>
    <row r="901" spans="1:13" x14ac:dyDescent="0.3">
      <c r="A901" s="147" t="str">
        <f ca="1">Prices!$A$900</f>
        <v/>
      </c>
      <c r="B901" s="148" t="str">
        <f ca="1">IFERROR(Prices!B900/Prices!B899-1,"")</f>
        <v/>
      </c>
      <c r="C901" s="148" t="str">
        <f ca="1">IFERROR(Prices!C900/Prices!C899-1,"")</f>
        <v/>
      </c>
      <c r="D901" s="148" t="str">
        <f ca="1">IFERROR(Prices!D900/Prices!D899-1,"")</f>
        <v/>
      </c>
      <c r="E901" s="148" t="str">
        <f ca="1">IFERROR(Prices!E900/Prices!E899-1,"")</f>
        <v/>
      </c>
      <c r="F901" s="148" t="str">
        <f ca="1">IFERROR(Prices!F900/Prices!F899-1,"")</f>
        <v/>
      </c>
      <c r="G901" s="148" t="str">
        <f ca="1">IFERROR(Prices!G900/Prices!G899-1,"")</f>
        <v/>
      </c>
      <c r="H901" s="148" t="str">
        <f ca="1">IFERROR(Prices!H900/Prices!H899-1,"")</f>
        <v/>
      </c>
      <c r="I901" s="149" t="str">
        <f ca="1">IFERROR(Prices!I900/Prices!I899-1,"")</f>
        <v/>
      </c>
      <c r="J901" s="150">
        <f t="shared" ca="1" si="15"/>
        <v>0</v>
      </c>
      <c r="K901" s="112"/>
      <c r="L901" s="112"/>
      <c r="M901" s="112"/>
    </row>
    <row r="902" spans="1:13" x14ac:dyDescent="0.3">
      <c r="A902" s="147" t="str">
        <f ca="1">Prices!$A$901</f>
        <v/>
      </c>
      <c r="B902" s="148" t="str">
        <f ca="1">IFERROR(Prices!B901/Prices!B900-1,"")</f>
        <v/>
      </c>
      <c r="C902" s="148" t="str">
        <f ca="1">IFERROR(Prices!C901/Prices!C900-1,"")</f>
        <v/>
      </c>
      <c r="D902" s="148" t="str">
        <f ca="1">IFERROR(Prices!D901/Prices!D900-1,"")</f>
        <v/>
      </c>
      <c r="E902" s="148" t="str">
        <f ca="1">IFERROR(Prices!E901/Prices!E900-1,"")</f>
        <v/>
      </c>
      <c r="F902" s="148" t="str">
        <f ca="1">IFERROR(Prices!F901/Prices!F900-1,"")</f>
        <v/>
      </c>
      <c r="G902" s="148" t="str">
        <f ca="1">IFERROR(Prices!G901/Prices!G900-1,"")</f>
        <v/>
      </c>
      <c r="H902" s="148" t="str">
        <f ca="1">IFERROR(Prices!H901/Prices!H900-1,"")</f>
        <v/>
      </c>
      <c r="I902" s="149" t="str">
        <f ca="1">IFERROR(Prices!I901/Prices!I900-1,"")</f>
        <v/>
      </c>
      <c r="J902" s="150">
        <f t="shared" ca="1" si="15"/>
        <v>0</v>
      </c>
      <c r="K902" s="112"/>
      <c r="L902" s="112"/>
      <c r="M902" s="112"/>
    </row>
    <row r="903" spans="1:13" x14ac:dyDescent="0.3">
      <c r="A903" s="147" t="str">
        <f ca="1">Prices!$A$902</f>
        <v/>
      </c>
      <c r="B903" s="148" t="str">
        <f ca="1">IFERROR(Prices!B902/Prices!B901-1,"")</f>
        <v/>
      </c>
      <c r="C903" s="148" t="str">
        <f ca="1">IFERROR(Prices!C902/Prices!C901-1,"")</f>
        <v/>
      </c>
      <c r="D903" s="148" t="str">
        <f ca="1">IFERROR(Prices!D902/Prices!D901-1,"")</f>
        <v/>
      </c>
      <c r="E903" s="148" t="str">
        <f ca="1">IFERROR(Prices!E902/Prices!E901-1,"")</f>
        <v/>
      </c>
      <c r="F903" s="148" t="str">
        <f ca="1">IFERROR(Prices!F902/Prices!F901-1,"")</f>
        <v/>
      </c>
      <c r="G903" s="148" t="str">
        <f ca="1">IFERROR(Prices!G902/Prices!G901-1,"")</f>
        <v/>
      </c>
      <c r="H903" s="148" t="str">
        <f ca="1">IFERROR(Prices!H902/Prices!H901-1,"")</f>
        <v/>
      </c>
      <c r="I903" s="149" t="str">
        <f ca="1">IFERROR(Prices!I902/Prices!I901-1,"")</f>
        <v/>
      </c>
      <c r="J903" s="150">
        <f t="shared" ref="J903:J966" ca="1" si="16">IFERROR(SUMPRODUCT(Weights,$B903:$H903),"")</f>
        <v>0</v>
      </c>
      <c r="K903" s="112"/>
      <c r="L903" s="112"/>
      <c r="M903" s="112"/>
    </row>
    <row r="904" spans="1:13" x14ac:dyDescent="0.3">
      <c r="A904" s="147" t="str">
        <f ca="1">Prices!$A$903</f>
        <v/>
      </c>
      <c r="B904" s="148" t="str">
        <f ca="1">IFERROR(Prices!B903/Prices!B902-1,"")</f>
        <v/>
      </c>
      <c r="C904" s="148" t="str">
        <f ca="1">IFERROR(Prices!C903/Prices!C902-1,"")</f>
        <v/>
      </c>
      <c r="D904" s="148" t="str">
        <f ca="1">IFERROR(Prices!D903/Prices!D902-1,"")</f>
        <v/>
      </c>
      <c r="E904" s="148" t="str">
        <f ca="1">IFERROR(Prices!E903/Prices!E902-1,"")</f>
        <v/>
      </c>
      <c r="F904" s="148" t="str">
        <f ca="1">IFERROR(Prices!F903/Prices!F902-1,"")</f>
        <v/>
      </c>
      <c r="G904" s="148" t="str">
        <f ca="1">IFERROR(Prices!G903/Prices!G902-1,"")</f>
        <v/>
      </c>
      <c r="H904" s="148" t="str">
        <f ca="1">IFERROR(Prices!H903/Prices!H902-1,"")</f>
        <v/>
      </c>
      <c r="I904" s="149" t="str">
        <f ca="1">IFERROR(Prices!I903/Prices!I902-1,"")</f>
        <v/>
      </c>
      <c r="J904" s="150">
        <f t="shared" ca="1" si="16"/>
        <v>0</v>
      </c>
      <c r="K904" s="112"/>
      <c r="L904" s="112"/>
      <c r="M904" s="112"/>
    </row>
    <row r="905" spans="1:13" x14ac:dyDescent="0.3">
      <c r="A905" s="147" t="str">
        <f ca="1">Prices!$A$904</f>
        <v/>
      </c>
      <c r="B905" s="148" t="str">
        <f ca="1">IFERROR(Prices!B904/Prices!B903-1,"")</f>
        <v/>
      </c>
      <c r="C905" s="148" t="str">
        <f ca="1">IFERROR(Prices!C904/Prices!C903-1,"")</f>
        <v/>
      </c>
      <c r="D905" s="148" t="str">
        <f ca="1">IFERROR(Prices!D904/Prices!D903-1,"")</f>
        <v/>
      </c>
      <c r="E905" s="148" t="str">
        <f ca="1">IFERROR(Prices!E904/Prices!E903-1,"")</f>
        <v/>
      </c>
      <c r="F905" s="148" t="str">
        <f ca="1">IFERROR(Prices!F904/Prices!F903-1,"")</f>
        <v/>
      </c>
      <c r="G905" s="148" t="str">
        <f ca="1">IFERROR(Prices!G904/Prices!G903-1,"")</f>
        <v/>
      </c>
      <c r="H905" s="148" t="str">
        <f ca="1">IFERROR(Prices!H904/Prices!H903-1,"")</f>
        <v/>
      </c>
      <c r="I905" s="149" t="str">
        <f ca="1">IFERROR(Prices!I904/Prices!I903-1,"")</f>
        <v/>
      </c>
      <c r="J905" s="150">
        <f t="shared" ca="1" si="16"/>
        <v>0</v>
      </c>
      <c r="K905" s="112"/>
      <c r="L905" s="112"/>
      <c r="M905" s="112"/>
    </row>
    <row r="906" spans="1:13" x14ac:dyDescent="0.3">
      <c r="A906" s="147" t="str">
        <f ca="1">Prices!$A$905</f>
        <v/>
      </c>
      <c r="B906" s="148" t="str">
        <f ca="1">IFERROR(Prices!B905/Prices!B904-1,"")</f>
        <v/>
      </c>
      <c r="C906" s="148" t="str">
        <f ca="1">IFERROR(Prices!C905/Prices!C904-1,"")</f>
        <v/>
      </c>
      <c r="D906" s="148" t="str">
        <f ca="1">IFERROR(Prices!D905/Prices!D904-1,"")</f>
        <v/>
      </c>
      <c r="E906" s="148" t="str">
        <f ca="1">IFERROR(Prices!E905/Prices!E904-1,"")</f>
        <v/>
      </c>
      <c r="F906" s="148" t="str">
        <f ca="1">IFERROR(Prices!F905/Prices!F904-1,"")</f>
        <v/>
      </c>
      <c r="G906" s="148" t="str">
        <f ca="1">IFERROR(Prices!G905/Prices!G904-1,"")</f>
        <v/>
      </c>
      <c r="H906" s="148" t="str">
        <f ca="1">IFERROR(Prices!H905/Prices!H904-1,"")</f>
        <v/>
      </c>
      <c r="I906" s="149" t="str">
        <f ca="1">IFERROR(Prices!I905/Prices!I904-1,"")</f>
        <v/>
      </c>
      <c r="J906" s="150">
        <f t="shared" ca="1" si="16"/>
        <v>0</v>
      </c>
      <c r="K906" s="112"/>
      <c r="L906" s="112"/>
      <c r="M906" s="112"/>
    </row>
    <row r="907" spans="1:13" x14ac:dyDescent="0.3">
      <c r="A907" s="147" t="str">
        <f ca="1">Prices!$A$906</f>
        <v/>
      </c>
      <c r="B907" s="148" t="str">
        <f ca="1">IFERROR(Prices!B906/Prices!B905-1,"")</f>
        <v/>
      </c>
      <c r="C907" s="148" t="str">
        <f ca="1">IFERROR(Prices!C906/Prices!C905-1,"")</f>
        <v/>
      </c>
      <c r="D907" s="148" t="str">
        <f ca="1">IFERROR(Prices!D906/Prices!D905-1,"")</f>
        <v/>
      </c>
      <c r="E907" s="148" t="str">
        <f ca="1">IFERROR(Prices!E906/Prices!E905-1,"")</f>
        <v/>
      </c>
      <c r="F907" s="148" t="str">
        <f ca="1">IFERROR(Prices!F906/Prices!F905-1,"")</f>
        <v/>
      </c>
      <c r="G907" s="148" t="str">
        <f ca="1">IFERROR(Prices!G906/Prices!G905-1,"")</f>
        <v/>
      </c>
      <c r="H907" s="148" t="str">
        <f ca="1">IFERROR(Prices!H906/Prices!H905-1,"")</f>
        <v/>
      </c>
      <c r="I907" s="149" t="str">
        <f ca="1">IFERROR(Prices!I906/Prices!I905-1,"")</f>
        <v/>
      </c>
      <c r="J907" s="150">
        <f t="shared" ca="1" si="16"/>
        <v>0</v>
      </c>
      <c r="K907" s="112"/>
      <c r="L907" s="112"/>
      <c r="M907" s="112"/>
    </row>
    <row r="908" spans="1:13" x14ac:dyDescent="0.3">
      <c r="A908" s="147" t="str">
        <f ca="1">Prices!$A$907</f>
        <v/>
      </c>
      <c r="B908" s="148" t="str">
        <f ca="1">IFERROR(Prices!B907/Prices!B906-1,"")</f>
        <v/>
      </c>
      <c r="C908" s="148" t="str">
        <f ca="1">IFERROR(Prices!C907/Prices!C906-1,"")</f>
        <v/>
      </c>
      <c r="D908" s="148" t="str">
        <f ca="1">IFERROR(Prices!D907/Prices!D906-1,"")</f>
        <v/>
      </c>
      <c r="E908" s="148" t="str">
        <f ca="1">IFERROR(Prices!E907/Prices!E906-1,"")</f>
        <v/>
      </c>
      <c r="F908" s="148" t="str">
        <f ca="1">IFERROR(Prices!F907/Prices!F906-1,"")</f>
        <v/>
      </c>
      <c r="G908" s="148" t="str">
        <f ca="1">IFERROR(Prices!G907/Prices!G906-1,"")</f>
        <v/>
      </c>
      <c r="H908" s="148" t="str">
        <f ca="1">IFERROR(Prices!H907/Prices!H906-1,"")</f>
        <v/>
      </c>
      <c r="I908" s="149" t="str">
        <f ca="1">IFERROR(Prices!I907/Prices!I906-1,"")</f>
        <v/>
      </c>
      <c r="J908" s="150">
        <f t="shared" ca="1" si="16"/>
        <v>0</v>
      </c>
      <c r="K908" s="112"/>
      <c r="L908" s="112"/>
      <c r="M908" s="112"/>
    </row>
    <row r="909" spans="1:13" x14ac:dyDescent="0.3">
      <c r="A909" s="147" t="str">
        <f ca="1">Prices!$A$908</f>
        <v/>
      </c>
      <c r="B909" s="148" t="str">
        <f ca="1">IFERROR(Prices!B908/Prices!B907-1,"")</f>
        <v/>
      </c>
      <c r="C909" s="148" t="str">
        <f ca="1">IFERROR(Prices!C908/Prices!C907-1,"")</f>
        <v/>
      </c>
      <c r="D909" s="148" t="str">
        <f ca="1">IFERROR(Prices!D908/Prices!D907-1,"")</f>
        <v/>
      </c>
      <c r="E909" s="148" t="str">
        <f ca="1">IFERROR(Prices!E908/Prices!E907-1,"")</f>
        <v/>
      </c>
      <c r="F909" s="148" t="str">
        <f ca="1">IFERROR(Prices!F908/Prices!F907-1,"")</f>
        <v/>
      </c>
      <c r="G909" s="148" t="str">
        <f ca="1">IFERROR(Prices!G908/Prices!G907-1,"")</f>
        <v/>
      </c>
      <c r="H909" s="148" t="str">
        <f ca="1">IFERROR(Prices!H908/Prices!H907-1,"")</f>
        <v/>
      </c>
      <c r="I909" s="149" t="str">
        <f ca="1">IFERROR(Prices!I908/Prices!I907-1,"")</f>
        <v/>
      </c>
      <c r="J909" s="150">
        <f t="shared" ca="1" si="16"/>
        <v>0</v>
      </c>
      <c r="K909" s="112"/>
      <c r="L909" s="112"/>
      <c r="M909" s="112"/>
    </row>
    <row r="910" spans="1:13" x14ac:dyDescent="0.3">
      <c r="A910" s="147" t="str">
        <f ca="1">Prices!$A$909</f>
        <v/>
      </c>
      <c r="B910" s="148" t="str">
        <f ca="1">IFERROR(Prices!B909/Prices!B908-1,"")</f>
        <v/>
      </c>
      <c r="C910" s="148" t="str">
        <f ca="1">IFERROR(Prices!C909/Prices!C908-1,"")</f>
        <v/>
      </c>
      <c r="D910" s="148" t="str">
        <f ca="1">IFERROR(Prices!D909/Prices!D908-1,"")</f>
        <v/>
      </c>
      <c r="E910" s="148" t="str">
        <f ca="1">IFERROR(Prices!E909/Prices!E908-1,"")</f>
        <v/>
      </c>
      <c r="F910" s="148" t="str">
        <f ca="1">IFERROR(Prices!F909/Prices!F908-1,"")</f>
        <v/>
      </c>
      <c r="G910" s="148" t="str">
        <f ca="1">IFERROR(Prices!G909/Prices!G908-1,"")</f>
        <v/>
      </c>
      <c r="H910" s="148" t="str">
        <f ca="1">IFERROR(Prices!H909/Prices!H908-1,"")</f>
        <v/>
      </c>
      <c r="I910" s="149" t="str">
        <f ca="1">IFERROR(Prices!I909/Prices!I908-1,"")</f>
        <v/>
      </c>
      <c r="J910" s="150">
        <f t="shared" ca="1" si="16"/>
        <v>0</v>
      </c>
      <c r="K910" s="112"/>
      <c r="L910" s="112"/>
      <c r="M910" s="112"/>
    </row>
    <row r="911" spans="1:13" x14ac:dyDescent="0.3">
      <c r="A911" s="147" t="str">
        <f ca="1">Prices!$A$910</f>
        <v/>
      </c>
      <c r="B911" s="148" t="str">
        <f ca="1">IFERROR(Prices!B910/Prices!B909-1,"")</f>
        <v/>
      </c>
      <c r="C911" s="148" t="str">
        <f ca="1">IFERROR(Prices!C910/Prices!C909-1,"")</f>
        <v/>
      </c>
      <c r="D911" s="148" t="str">
        <f ca="1">IFERROR(Prices!D910/Prices!D909-1,"")</f>
        <v/>
      </c>
      <c r="E911" s="148" t="str">
        <f ca="1">IFERROR(Prices!E910/Prices!E909-1,"")</f>
        <v/>
      </c>
      <c r="F911" s="148" t="str">
        <f ca="1">IFERROR(Prices!F910/Prices!F909-1,"")</f>
        <v/>
      </c>
      <c r="G911" s="148" t="str">
        <f ca="1">IFERROR(Prices!G910/Prices!G909-1,"")</f>
        <v/>
      </c>
      <c r="H911" s="148" t="str">
        <f ca="1">IFERROR(Prices!H910/Prices!H909-1,"")</f>
        <v/>
      </c>
      <c r="I911" s="149" t="str">
        <f ca="1">IFERROR(Prices!I910/Prices!I909-1,"")</f>
        <v/>
      </c>
      <c r="J911" s="150">
        <f t="shared" ca="1" si="16"/>
        <v>0</v>
      </c>
      <c r="K911" s="112"/>
      <c r="L911" s="112"/>
      <c r="M911" s="112"/>
    </row>
    <row r="912" spans="1:13" x14ac:dyDescent="0.3">
      <c r="A912" s="147" t="str">
        <f ca="1">Prices!$A$911</f>
        <v/>
      </c>
      <c r="B912" s="148" t="str">
        <f ca="1">IFERROR(Prices!B911/Prices!B910-1,"")</f>
        <v/>
      </c>
      <c r="C912" s="148" t="str">
        <f ca="1">IFERROR(Prices!C911/Prices!C910-1,"")</f>
        <v/>
      </c>
      <c r="D912" s="148" t="str">
        <f ca="1">IFERROR(Prices!D911/Prices!D910-1,"")</f>
        <v/>
      </c>
      <c r="E912" s="148" t="str">
        <f ca="1">IFERROR(Prices!E911/Prices!E910-1,"")</f>
        <v/>
      </c>
      <c r="F912" s="148" t="str">
        <f ca="1">IFERROR(Prices!F911/Prices!F910-1,"")</f>
        <v/>
      </c>
      <c r="G912" s="148" t="str">
        <f ca="1">IFERROR(Prices!G911/Prices!G910-1,"")</f>
        <v/>
      </c>
      <c r="H912" s="148" t="str">
        <f ca="1">IFERROR(Prices!H911/Prices!H910-1,"")</f>
        <v/>
      </c>
      <c r="I912" s="149" t="str">
        <f ca="1">IFERROR(Prices!I911/Prices!I910-1,"")</f>
        <v/>
      </c>
      <c r="J912" s="150">
        <f t="shared" ca="1" si="16"/>
        <v>0</v>
      </c>
      <c r="K912" s="112"/>
      <c r="L912" s="112"/>
      <c r="M912" s="112"/>
    </row>
    <row r="913" spans="1:13" x14ac:dyDescent="0.3">
      <c r="A913" s="147" t="str">
        <f ca="1">Prices!$A$912</f>
        <v/>
      </c>
      <c r="B913" s="148" t="str">
        <f ca="1">IFERROR(Prices!B912/Prices!B911-1,"")</f>
        <v/>
      </c>
      <c r="C913" s="148" t="str">
        <f ca="1">IFERROR(Prices!C912/Prices!C911-1,"")</f>
        <v/>
      </c>
      <c r="D913" s="148" t="str">
        <f ca="1">IFERROR(Prices!D912/Prices!D911-1,"")</f>
        <v/>
      </c>
      <c r="E913" s="148" t="str">
        <f ca="1">IFERROR(Prices!E912/Prices!E911-1,"")</f>
        <v/>
      </c>
      <c r="F913" s="148" t="str">
        <f ca="1">IFERROR(Prices!F912/Prices!F911-1,"")</f>
        <v/>
      </c>
      <c r="G913" s="148" t="str">
        <f ca="1">IFERROR(Prices!G912/Prices!G911-1,"")</f>
        <v/>
      </c>
      <c r="H913" s="148" t="str">
        <f ca="1">IFERROR(Prices!H912/Prices!H911-1,"")</f>
        <v/>
      </c>
      <c r="I913" s="149" t="str">
        <f ca="1">IFERROR(Prices!I912/Prices!I911-1,"")</f>
        <v/>
      </c>
      <c r="J913" s="150">
        <f t="shared" ca="1" si="16"/>
        <v>0</v>
      </c>
      <c r="K913" s="112"/>
      <c r="L913" s="112"/>
      <c r="M913" s="112"/>
    </row>
    <row r="914" spans="1:13" x14ac:dyDescent="0.3">
      <c r="A914" s="147" t="str">
        <f ca="1">Prices!$A$913</f>
        <v/>
      </c>
      <c r="B914" s="148" t="str">
        <f ca="1">IFERROR(Prices!B913/Prices!B912-1,"")</f>
        <v/>
      </c>
      <c r="C914" s="148" t="str">
        <f ca="1">IFERROR(Prices!C913/Prices!C912-1,"")</f>
        <v/>
      </c>
      <c r="D914" s="148" t="str">
        <f ca="1">IFERROR(Prices!D913/Prices!D912-1,"")</f>
        <v/>
      </c>
      <c r="E914" s="148" t="str">
        <f ca="1">IFERROR(Prices!E913/Prices!E912-1,"")</f>
        <v/>
      </c>
      <c r="F914" s="148" t="str">
        <f ca="1">IFERROR(Prices!F913/Prices!F912-1,"")</f>
        <v/>
      </c>
      <c r="G914" s="148" t="str">
        <f ca="1">IFERROR(Prices!G913/Prices!G912-1,"")</f>
        <v/>
      </c>
      <c r="H914" s="148" t="str">
        <f ca="1">IFERROR(Prices!H913/Prices!H912-1,"")</f>
        <v/>
      </c>
      <c r="I914" s="149" t="str">
        <f ca="1">IFERROR(Prices!I913/Prices!I912-1,"")</f>
        <v/>
      </c>
      <c r="J914" s="150">
        <f t="shared" ca="1" si="16"/>
        <v>0</v>
      </c>
      <c r="K914" s="112"/>
      <c r="L914" s="112"/>
      <c r="M914" s="112"/>
    </row>
    <row r="915" spans="1:13" x14ac:dyDescent="0.3">
      <c r="A915" s="147" t="str">
        <f ca="1">Prices!$A$914</f>
        <v/>
      </c>
      <c r="B915" s="148" t="str">
        <f ca="1">IFERROR(Prices!B914/Prices!B913-1,"")</f>
        <v/>
      </c>
      <c r="C915" s="148" t="str">
        <f ca="1">IFERROR(Prices!C914/Prices!C913-1,"")</f>
        <v/>
      </c>
      <c r="D915" s="148" t="str">
        <f ca="1">IFERROR(Prices!D914/Prices!D913-1,"")</f>
        <v/>
      </c>
      <c r="E915" s="148" t="str">
        <f ca="1">IFERROR(Prices!E914/Prices!E913-1,"")</f>
        <v/>
      </c>
      <c r="F915" s="148" t="str">
        <f ca="1">IFERROR(Prices!F914/Prices!F913-1,"")</f>
        <v/>
      </c>
      <c r="G915" s="148" t="str">
        <f ca="1">IFERROR(Prices!G914/Prices!G913-1,"")</f>
        <v/>
      </c>
      <c r="H915" s="148" t="str">
        <f ca="1">IFERROR(Prices!H914/Prices!H913-1,"")</f>
        <v/>
      </c>
      <c r="I915" s="149" t="str">
        <f ca="1">IFERROR(Prices!I914/Prices!I913-1,"")</f>
        <v/>
      </c>
      <c r="J915" s="150">
        <f t="shared" ca="1" si="16"/>
        <v>0</v>
      </c>
      <c r="K915" s="112"/>
      <c r="L915" s="112"/>
      <c r="M915" s="112"/>
    </row>
    <row r="916" spans="1:13" x14ac:dyDescent="0.3">
      <c r="A916" s="147" t="str">
        <f ca="1">Prices!$A$915</f>
        <v/>
      </c>
      <c r="B916" s="148" t="str">
        <f ca="1">IFERROR(Prices!B915/Prices!B914-1,"")</f>
        <v/>
      </c>
      <c r="C916" s="148" t="str">
        <f ca="1">IFERROR(Prices!C915/Prices!C914-1,"")</f>
        <v/>
      </c>
      <c r="D916" s="148" t="str">
        <f ca="1">IFERROR(Prices!D915/Prices!D914-1,"")</f>
        <v/>
      </c>
      <c r="E916" s="148" t="str">
        <f ca="1">IFERROR(Prices!E915/Prices!E914-1,"")</f>
        <v/>
      </c>
      <c r="F916" s="148" t="str">
        <f ca="1">IFERROR(Prices!F915/Prices!F914-1,"")</f>
        <v/>
      </c>
      <c r="G916" s="148" t="str">
        <f ca="1">IFERROR(Prices!G915/Prices!G914-1,"")</f>
        <v/>
      </c>
      <c r="H916" s="148" t="str">
        <f ca="1">IFERROR(Prices!H915/Prices!H914-1,"")</f>
        <v/>
      </c>
      <c r="I916" s="149" t="str">
        <f ca="1">IFERROR(Prices!I915/Prices!I914-1,"")</f>
        <v/>
      </c>
      <c r="J916" s="150">
        <f t="shared" ca="1" si="16"/>
        <v>0</v>
      </c>
      <c r="K916" s="112"/>
      <c r="L916" s="112"/>
      <c r="M916" s="112"/>
    </row>
    <row r="917" spans="1:13" x14ac:dyDescent="0.3">
      <c r="A917" s="147" t="str">
        <f ca="1">Prices!$A$916</f>
        <v/>
      </c>
      <c r="B917" s="148" t="str">
        <f ca="1">IFERROR(Prices!B916/Prices!B915-1,"")</f>
        <v/>
      </c>
      <c r="C917" s="148" t="str">
        <f ca="1">IFERROR(Prices!C916/Prices!C915-1,"")</f>
        <v/>
      </c>
      <c r="D917" s="148" t="str">
        <f ca="1">IFERROR(Prices!D916/Prices!D915-1,"")</f>
        <v/>
      </c>
      <c r="E917" s="148" t="str">
        <f ca="1">IFERROR(Prices!E916/Prices!E915-1,"")</f>
        <v/>
      </c>
      <c r="F917" s="148" t="str">
        <f ca="1">IFERROR(Prices!F916/Prices!F915-1,"")</f>
        <v/>
      </c>
      <c r="G917" s="148" t="str">
        <f ca="1">IFERROR(Prices!G916/Prices!G915-1,"")</f>
        <v/>
      </c>
      <c r="H917" s="148" t="str">
        <f ca="1">IFERROR(Prices!H916/Prices!H915-1,"")</f>
        <v/>
      </c>
      <c r="I917" s="149" t="str">
        <f ca="1">IFERROR(Prices!I916/Prices!I915-1,"")</f>
        <v/>
      </c>
      <c r="J917" s="150">
        <f t="shared" ca="1" si="16"/>
        <v>0</v>
      </c>
      <c r="K917" s="112"/>
      <c r="L917" s="112"/>
      <c r="M917" s="112"/>
    </row>
    <row r="918" spans="1:13" x14ac:dyDescent="0.3">
      <c r="A918" s="147" t="str">
        <f ca="1">Prices!$A$917</f>
        <v/>
      </c>
      <c r="B918" s="148" t="str">
        <f ca="1">IFERROR(Prices!B917/Prices!B916-1,"")</f>
        <v/>
      </c>
      <c r="C918" s="148" t="str">
        <f ca="1">IFERROR(Prices!C917/Prices!C916-1,"")</f>
        <v/>
      </c>
      <c r="D918" s="148" t="str">
        <f ca="1">IFERROR(Prices!D917/Prices!D916-1,"")</f>
        <v/>
      </c>
      <c r="E918" s="148" t="str">
        <f ca="1">IFERROR(Prices!E917/Prices!E916-1,"")</f>
        <v/>
      </c>
      <c r="F918" s="148" t="str">
        <f ca="1">IFERROR(Prices!F917/Prices!F916-1,"")</f>
        <v/>
      </c>
      <c r="G918" s="148" t="str">
        <f ca="1">IFERROR(Prices!G917/Prices!G916-1,"")</f>
        <v/>
      </c>
      <c r="H918" s="148" t="str">
        <f ca="1">IFERROR(Prices!H917/Prices!H916-1,"")</f>
        <v/>
      </c>
      <c r="I918" s="149" t="str">
        <f ca="1">IFERROR(Prices!I917/Prices!I916-1,"")</f>
        <v/>
      </c>
      <c r="J918" s="150">
        <f t="shared" ca="1" si="16"/>
        <v>0</v>
      </c>
      <c r="K918" s="112"/>
      <c r="L918" s="112"/>
      <c r="M918" s="112"/>
    </row>
    <row r="919" spans="1:13" x14ac:dyDescent="0.3">
      <c r="A919" s="147" t="str">
        <f ca="1">Prices!$A$918</f>
        <v/>
      </c>
      <c r="B919" s="148" t="str">
        <f ca="1">IFERROR(Prices!B918/Prices!B917-1,"")</f>
        <v/>
      </c>
      <c r="C919" s="148" t="str">
        <f ca="1">IFERROR(Prices!C918/Prices!C917-1,"")</f>
        <v/>
      </c>
      <c r="D919" s="148" t="str">
        <f ca="1">IFERROR(Prices!D918/Prices!D917-1,"")</f>
        <v/>
      </c>
      <c r="E919" s="148" t="str">
        <f ca="1">IFERROR(Prices!E918/Prices!E917-1,"")</f>
        <v/>
      </c>
      <c r="F919" s="148" t="str">
        <f ca="1">IFERROR(Prices!F918/Prices!F917-1,"")</f>
        <v/>
      </c>
      <c r="G919" s="148" t="str">
        <f ca="1">IFERROR(Prices!G918/Prices!G917-1,"")</f>
        <v/>
      </c>
      <c r="H919" s="148" t="str">
        <f ca="1">IFERROR(Prices!H918/Prices!H917-1,"")</f>
        <v/>
      </c>
      <c r="I919" s="149" t="str">
        <f ca="1">IFERROR(Prices!I918/Prices!I917-1,"")</f>
        <v/>
      </c>
      <c r="J919" s="150">
        <f t="shared" ca="1" si="16"/>
        <v>0</v>
      </c>
      <c r="K919" s="112"/>
      <c r="L919" s="112"/>
      <c r="M919" s="112"/>
    </row>
    <row r="920" spans="1:13" x14ac:dyDescent="0.3">
      <c r="A920" s="147" t="str">
        <f ca="1">Prices!$A$919</f>
        <v/>
      </c>
      <c r="B920" s="148" t="str">
        <f ca="1">IFERROR(Prices!B919/Prices!B918-1,"")</f>
        <v/>
      </c>
      <c r="C920" s="148" t="str">
        <f ca="1">IFERROR(Prices!C919/Prices!C918-1,"")</f>
        <v/>
      </c>
      <c r="D920" s="148" t="str">
        <f ca="1">IFERROR(Prices!D919/Prices!D918-1,"")</f>
        <v/>
      </c>
      <c r="E920" s="148" t="str">
        <f ca="1">IFERROR(Prices!E919/Prices!E918-1,"")</f>
        <v/>
      </c>
      <c r="F920" s="148" t="str">
        <f ca="1">IFERROR(Prices!F919/Prices!F918-1,"")</f>
        <v/>
      </c>
      <c r="G920" s="148" t="str">
        <f ca="1">IFERROR(Prices!G919/Prices!G918-1,"")</f>
        <v/>
      </c>
      <c r="H920" s="148" t="str">
        <f ca="1">IFERROR(Prices!H919/Prices!H918-1,"")</f>
        <v/>
      </c>
      <c r="I920" s="149" t="str">
        <f ca="1">IFERROR(Prices!I919/Prices!I918-1,"")</f>
        <v/>
      </c>
      <c r="J920" s="150">
        <f t="shared" ca="1" si="16"/>
        <v>0</v>
      </c>
      <c r="K920" s="112"/>
      <c r="L920" s="112"/>
      <c r="M920" s="112"/>
    </row>
    <row r="921" spans="1:13" x14ac:dyDescent="0.3">
      <c r="A921" s="147" t="str">
        <f ca="1">Prices!$A$920</f>
        <v/>
      </c>
      <c r="B921" s="148" t="str">
        <f ca="1">IFERROR(Prices!B920/Prices!B919-1,"")</f>
        <v/>
      </c>
      <c r="C921" s="148" t="str">
        <f ca="1">IFERROR(Prices!C920/Prices!C919-1,"")</f>
        <v/>
      </c>
      <c r="D921" s="148" t="str">
        <f ca="1">IFERROR(Prices!D920/Prices!D919-1,"")</f>
        <v/>
      </c>
      <c r="E921" s="148" t="str">
        <f ca="1">IFERROR(Prices!E920/Prices!E919-1,"")</f>
        <v/>
      </c>
      <c r="F921" s="148" t="str">
        <f ca="1">IFERROR(Prices!F920/Prices!F919-1,"")</f>
        <v/>
      </c>
      <c r="G921" s="148" t="str">
        <f ca="1">IFERROR(Prices!G920/Prices!G919-1,"")</f>
        <v/>
      </c>
      <c r="H921" s="148" t="str">
        <f ca="1">IFERROR(Prices!H920/Prices!H919-1,"")</f>
        <v/>
      </c>
      <c r="I921" s="149" t="str">
        <f ca="1">IFERROR(Prices!I920/Prices!I919-1,"")</f>
        <v/>
      </c>
      <c r="J921" s="150">
        <f t="shared" ca="1" si="16"/>
        <v>0</v>
      </c>
      <c r="K921" s="112"/>
      <c r="L921" s="112"/>
      <c r="M921" s="112"/>
    </row>
    <row r="922" spans="1:13" x14ac:dyDescent="0.3">
      <c r="A922" s="147" t="str">
        <f ca="1">Prices!$A$921</f>
        <v/>
      </c>
      <c r="B922" s="148" t="str">
        <f ca="1">IFERROR(Prices!B921/Prices!B920-1,"")</f>
        <v/>
      </c>
      <c r="C922" s="148" t="str">
        <f ca="1">IFERROR(Prices!C921/Prices!C920-1,"")</f>
        <v/>
      </c>
      <c r="D922" s="148" t="str">
        <f ca="1">IFERROR(Prices!D921/Prices!D920-1,"")</f>
        <v/>
      </c>
      <c r="E922" s="148" t="str">
        <f ca="1">IFERROR(Prices!E921/Prices!E920-1,"")</f>
        <v/>
      </c>
      <c r="F922" s="148" t="str">
        <f ca="1">IFERROR(Prices!F921/Prices!F920-1,"")</f>
        <v/>
      </c>
      <c r="G922" s="148" t="str">
        <f ca="1">IFERROR(Prices!G921/Prices!G920-1,"")</f>
        <v/>
      </c>
      <c r="H922" s="148" t="str">
        <f ca="1">IFERROR(Prices!H921/Prices!H920-1,"")</f>
        <v/>
      </c>
      <c r="I922" s="149" t="str">
        <f ca="1">IFERROR(Prices!I921/Prices!I920-1,"")</f>
        <v/>
      </c>
      <c r="J922" s="150">
        <f t="shared" ca="1" si="16"/>
        <v>0</v>
      </c>
      <c r="K922" s="112"/>
      <c r="L922" s="112"/>
      <c r="M922" s="112"/>
    </row>
    <row r="923" spans="1:13" x14ac:dyDescent="0.3">
      <c r="A923" s="147" t="str">
        <f ca="1">Prices!$A$922</f>
        <v/>
      </c>
      <c r="B923" s="148" t="str">
        <f ca="1">IFERROR(Prices!B922/Prices!B921-1,"")</f>
        <v/>
      </c>
      <c r="C923" s="148" t="str">
        <f ca="1">IFERROR(Prices!C922/Prices!C921-1,"")</f>
        <v/>
      </c>
      <c r="D923" s="148" t="str">
        <f ca="1">IFERROR(Prices!D922/Prices!D921-1,"")</f>
        <v/>
      </c>
      <c r="E923" s="148" t="str">
        <f ca="1">IFERROR(Prices!E922/Prices!E921-1,"")</f>
        <v/>
      </c>
      <c r="F923" s="148" t="str">
        <f ca="1">IFERROR(Prices!F922/Prices!F921-1,"")</f>
        <v/>
      </c>
      <c r="G923" s="148" t="str">
        <f ca="1">IFERROR(Prices!G922/Prices!G921-1,"")</f>
        <v/>
      </c>
      <c r="H923" s="148" t="str">
        <f ca="1">IFERROR(Prices!H922/Prices!H921-1,"")</f>
        <v/>
      </c>
      <c r="I923" s="149" t="str">
        <f ca="1">IFERROR(Prices!I922/Prices!I921-1,"")</f>
        <v/>
      </c>
      <c r="J923" s="150">
        <f t="shared" ca="1" si="16"/>
        <v>0</v>
      </c>
      <c r="K923" s="112"/>
      <c r="L923" s="112"/>
      <c r="M923" s="112"/>
    </row>
    <row r="924" spans="1:13" x14ac:dyDescent="0.3">
      <c r="A924" s="147" t="str">
        <f ca="1">Prices!$A$923</f>
        <v/>
      </c>
      <c r="B924" s="148" t="str">
        <f ca="1">IFERROR(Prices!B923/Prices!B922-1,"")</f>
        <v/>
      </c>
      <c r="C924" s="148" t="str">
        <f ca="1">IFERROR(Prices!C923/Prices!C922-1,"")</f>
        <v/>
      </c>
      <c r="D924" s="148" t="str">
        <f ca="1">IFERROR(Prices!D923/Prices!D922-1,"")</f>
        <v/>
      </c>
      <c r="E924" s="148" t="str">
        <f ca="1">IFERROR(Prices!E923/Prices!E922-1,"")</f>
        <v/>
      </c>
      <c r="F924" s="148" t="str">
        <f ca="1">IFERROR(Prices!F923/Prices!F922-1,"")</f>
        <v/>
      </c>
      <c r="G924" s="148" t="str">
        <f ca="1">IFERROR(Prices!G923/Prices!G922-1,"")</f>
        <v/>
      </c>
      <c r="H924" s="148" t="str">
        <f ca="1">IFERROR(Prices!H923/Prices!H922-1,"")</f>
        <v/>
      </c>
      <c r="I924" s="149" t="str">
        <f ca="1">IFERROR(Prices!I923/Prices!I922-1,"")</f>
        <v/>
      </c>
      <c r="J924" s="150">
        <f t="shared" ca="1" si="16"/>
        <v>0</v>
      </c>
      <c r="K924" s="112"/>
      <c r="L924" s="112"/>
      <c r="M924" s="112"/>
    </row>
    <row r="925" spans="1:13" x14ac:dyDescent="0.3">
      <c r="A925" s="147" t="str">
        <f ca="1">Prices!$A$924</f>
        <v/>
      </c>
      <c r="B925" s="148" t="str">
        <f ca="1">IFERROR(Prices!B924/Prices!B923-1,"")</f>
        <v/>
      </c>
      <c r="C925" s="148" t="str">
        <f ca="1">IFERROR(Prices!C924/Prices!C923-1,"")</f>
        <v/>
      </c>
      <c r="D925" s="148" t="str">
        <f ca="1">IFERROR(Prices!D924/Prices!D923-1,"")</f>
        <v/>
      </c>
      <c r="E925" s="148" t="str">
        <f ca="1">IFERROR(Prices!E924/Prices!E923-1,"")</f>
        <v/>
      </c>
      <c r="F925" s="148" t="str">
        <f ca="1">IFERROR(Prices!F924/Prices!F923-1,"")</f>
        <v/>
      </c>
      <c r="G925" s="148" t="str">
        <f ca="1">IFERROR(Prices!G924/Prices!G923-1,"")</f>
        <v/>
      </c>
      <c r="H925" s="148" t="str">
        <f ca="1">IFERROR(Prices!H924/Prices!H923-1,"")</f>
        <v/>
      </c>
      <c r="I925" s="149" t="str">
        <f ca="1">IFERROR(Prices!I924/Prices!I923-1,"")</f>
        <v/>
      </c>
      <c r="J925" s="150">
        <f t="shared" ca="1" si="16"/>
        <v>0</v>
      </c>
      <c r="K925" s="112"/>
      <c r="L925" s="112"/>
      <c r="M925" s="112"/>
    </row>
    <row r="926" spans="1:13" x14ac:dyDescent="0.3">
      <c r="A926" s="147" t="str">
        <f ca="1">Prices!$A$925</f>
        <v/>
      </c>
      <c r="B926" s="148" t="str">
        <f ca="1">IFERROR(Prices!B925/Prices!B924-1,"")</f>
        <v/>
      </c>
      <c r="C926" s="148" t="str">
        <f ca="1">IFERROR(Prices!C925/Prices!C924-1,"")</f>
        <v/>
      </c>
      <c r="D926" s="148" t="str">
        <f ca="1">IFERROR(Prices!D925/Prices!D924-1,"")</f>
        <v/>
      </c>
      <c r="E926" s="148" t="str">
        <f ca="1">IFERROR(Prices!E925/Prices!E924-1,"")</f>
        <v/>
      </c>
      <c r="F926" s="148" t="str">
        <f ca="1">IFERROR(Prices!F925/Prices!F924-1,"")</f>
        <v/>
      </c>
      <c r="G926" s="148" t="str">
        <f ca="1">IFERROR(Prices!G925/Prices!G924-1,"")</f>
        <v/>
      </c>
      <c r="H926" s="148" t="str">
        <f ca="1">IFERROR(Prices!H925/Prices!H924-1,"")</f>
        <v/>
      </c>
      <c r="I926" s="149" t="str">
        <f ca="1">IFERROR(Prices!I925/Prices!I924-1,"")</f>
        <v/>
      </c>
      <c r="J926" s="150">
        <f t="shared" ca="1" si="16"/>
        <v>0</v>
      </c>
      <c r="K926" s="112"/>
      <c r="L926" s="112"/>
      <c r="M926" s="112"/>
    </row>
    <row r="927" spans="1:13" x14ac:dyDescent="0.3">
      <c r="A927" s="147" t="str">
        <f ca="1">Prices!$A$926</f>
        <v/>
      </c>
      <c r="B927" s="148" t="str">
        <f ca="1">IFERROR(Prices!B926/Prices!B925-1,"")</f>
        <v/>
      </c>
      <c r="C927" s="148" t="str">
        <f ca="1">IFERROR(Prices!C926/Prices!C925-1,"")</f>
        <v/>
      </c>
      <c r="D927" s="148" t="str">
        <f ca="1">IFERROR(Prices!D926/Prices!D925-1,"")</f>
        <v/>
      </c>
      <c r="E927" s="148" t="str">
        <f ca="1">IFERROR(Prices!E926/Prices!E925-1,"")</f>
        <v/>
      </c>
      <c r="F927" s="148" t="str">
        <f ca="1">IFERROR(Prices!F926/Prices!F925-1,"")</f>
        <v/>
      </c>
      <c r="G927" s="148" t="str">
        <f ca="1">IFERROR(Prices!G926/Prices!G925-1,"")</f>
        <v/>
      </c>
      <c r="H927" s="148" t="str">
        <f ca="1">IFERROR(Prices!H926/Prices!H925-1,"")</f>
        <v/>
      </c>
      <c r="I927" s="149" t="str">
        <f ca="1">IFERROR(Prices!I926/Prices!I925-1,"")</f>
        <v/>
      </c>
      <c r="J927" s="150">
        <f t="shared" ca="1" si="16"/>
        <v>0</v>
      </c>
      <c r="K927" s="112"/>
      <c r="L927" s="112"/>
      <c r="M927" s="112"/>
    </row>
    <row r="928" spans="1:13" x14ac:dyDescent="0.3">
      <c r="A928" s="147" t="str">
        <f ca="1">Prices!$A$927</f>
        <v/>
      </c>
      <c r="B928" s="148" t="str">
        <f ca="1">IFERROR(Prices!B927/Prices!B926-1,"")</f>
        <v/>
      </c>
      <c r="C928" s="148" t="str">
        <f ca="1">IFERROR(Prices!C927/Prices!C926-1,"")</f>
        <v/>
      </c>
      <c r="D928" s="148" t="str">
        <f ca="1">IFERROR(Prices!D927/Prices!D926-1,"")</f>
        <v/>
      </c>
      <c r="E928" s="148" t="str">
        <f ca="1">IFERROR(Prices!E927/Prices!E926-1,"")</f>
        <v/>
      </c>
      <c r="F928" s="148" t="str">
        <f ca="1">IFERROR(Prices!F927/Prices!F926-1,"")</f>
        <v/>
      </c>
      <c r="G928" s="148" t="str">
        <f ca="1">IFERROR(Prices!G927/Prices!G926-1,"")</f>
        <v/>
      </c>
      <c r="H928" s="148" t="str">
        <f ca="1">IFERROR(Prices!H927/Prices!H926-1,"")</f>
        <v/>
      </c>
      <c r="I928" s="149" t="str">
        <f ca="1">IFERROR(Prices!I927/Prices!I926-1,"")</f>
        <v/>
      </c>
      <c r="J928" s="150">
        <f t="shared" ca="1" si="16"/>
        <v>0</v>
      </c>
      <c r="K928" s="112"/>
      <c r="L928" s="112"/>
      <c r="M928" s="112"/>
    </row>
    <row r="929" spans="1:13" x14ac:dyDescent="0.3">
      <c r="A929" s="147" t="str">
        <f ca="1">Prices!$A$928</f>
        <v/>
      </c>
      <c r="B929" s="148" t="str">
        <f ca="1">IFERROR(Prices!B928/Prices!B927-1,"")</f>
        <v/>
      </c>
      <c r="C929" s="148" t="str">
        <f ca="1">IFERROR(Prices!C928/Prices!C927-1,"")</f>
        <v/>
      </c>
      <c r="D929" s="148" t="str">
        <f ca="1">IFERROR(Prices!D928/Prices!D927-1,"")</f>
        <v/>
      </c>
      <c r="E929" s="148" t="str">
        <f ca="1">IFERROR(Prices!E928/Prices!E927-1,"")</f>
        <v/>
      </c>
      <c r="F929" s="148" t="str">
        <f ca="1">IFERROR(Prices!F928/Prices!F927-1,"")</f>
        <v/>
      </c>
      <c r="G929" s="148" t="str">
        <f ca="1">IFERROR(Prices!G928/Prices!G927-1,"")</f>
        <v/>
      </c>
      <c r="H929" s="148" t="str">
        <f ca="1">IFERROR(Prices!H928/Prices!H927-1,"")</f>
        <v/>
      </c>
      <c r="I929" s="149" t="str">
        <f ca="1">IFERROR(Prices!I928/Prices!I927-1,"")</f>
        <v/>
      </c>
      <c r="J929" s="150">
        <f t="shared" ca="1" si="16"/>
        <v>0</v>
      </c>
      <c r="K929" s="112"/>
      <c r="L929" s="112"/>
      <c r="M929" s="112"/>
    </row>
    <row r="930" spans="1:13" x14ac:dyDescent="0.3">
      <c r="A930" s="147" t="str">
        <f ca="1">Prices!$A$929</f>
        <v/>
      </c>
      <c r="B930" s="148" t="str">
        <f ca="1">IFERROR(Prices!B929/Prices!B928-1,"")</f>
        <v/>
      </c>
      <c r="C930" s="148" t="str">
        <f ca="1">IFERROR(Prices!C929/Prices!C928-1,"")</f>
        <v/>
      </c>
      <c r="D930" s="148" t="str">
        <f ca="1">IFERROR(Prices!D929/Prices!D928-1,"")</f>
        <v/>
      </c>
      <c r="E930" s="148" t="str">
        <f ca="1">IFERROR(Prices!E929/Prices!E928-1,"")</f>
        <v/>
      </c>
      <c r="F930" s="148" t="str">
        <f ca="1">IFERROR(Prices!F929/Prices!F928-1,"")</f>
        <v/>
      </c>
      <c r="G930" s="148" t="str">
        <f ca="1">IFERROR(Prices!G929/Prices!G928-1,"")</f>
        <v/>
      </c>
      <c r="H930" s="148" t="str">
        <f ca="1">IFERROR(Prices!H929/Prices!H928-1,"")</f>
        <v/>
      </c>
      <c r="I930" s="149" t="str">
        <f ca="1">IFERROR(Prices!I929/Prices!I928-1,"")</f>
        <v/>
      </c>
      <c r="J930" s="150">
        <f t="shared" ca="1" si="16"/>
        <v>0</v>
      </c>
      <c r="K930" s="112"/>
      <c r="L930" s="112"/>
      <c r="M930" s="112"/>
    </row>
    <row r="931" spans="1:13" x14ac:dyDescent="0.3">
      <c r="A931" s="147" t="str">
        <f ca="1">Prices!$A$930</f>
        <v/>
      </c>
      <c r="B931" s="148" t="str">
        <f ca="1">IFERROR(Prices!B930/Prices!B929-1,"")</f>
        <v/>
      </c>
      <c r="C931" s="148" t="str">
        <f ca="1">IFERROR(Prices!C930/Prices!C929-1,"")</f>
        <v/>
      </c>
      <c r="D931" s="148" t="str">
        <f ca="1">IFERROR(Prices!D930/Prices!D929-1,"")</f>
        <v/>
      </c>
      <c r="E931" s="148" t="str">
        <f ca="1">IFERROR(Prices!E930/Prices!E929-1,"")</f>
        <v/>
      </c>
      <c r="F931" s="148" t="str">
        <f ca="1">IFERROR(Prices!F930/Prices!F929-1,"")</f>
        <v/>
      </c>
      <c r="G931" s="148" t="str">
        <f ca="1">IFERROR(Prices!G930/Prices!G929-1,"")</f>
        <v/>
      </c>
      <c r="H931" s="148" t="str">
        <f ca="1">IFERROR(Prices!H930/Prices!H929-1,"")</f>
        <v/>
      </c>
      <c r="I931" s="149" t="str">
        <f ca="1">IFERROR(Prices!I930/Prices!I929-1,"")</f>
        <v/>
      </c>
      <c r="J931" s="150">
        <f t="shared" ca="1" si="16"/>
        <v>0</v>
      </c>
      <c r="K931" s="112"/>
      <c r="L931" s="112"/>
      <c r="M931" s="112"/>
    </row>
    <row r="932" spans="1:13" x14ac:dyDescent="0.3">
      <c r="A932" s="147" t="str">
        <f ca="1">Prices!$A$931</f>
        <v/>
      </c>
      <c r="B932" s="148" t="str">
        <f ca="1">IFERROR(Prices!B931/Prices!B930-1,"")</f>
        <v/>
      </c>
      <c r="C932" s="148" t="str">
        <f ca="1">IFERROR(Prices!C931/Prices!C930-1,"")</f>
        <v/>
      </c>
      <c r="D932" s="148" t="str">
        <f ca="1">IFERROR(Prices!D931/Prices!D930-1,"")</f>
        <v/>
      </c>
      <c r="E932" s="148" t="str">
        <f ca="1">IFERROR(Prices!E931/Prices!E930-1,"")</f>
        <v/>
      </c>
      <c r="F932" s="148" t="str">
        <f ca="1">IFERROR(Prices!F931/Prices!F930-1,"")</f>
        <v/>
      </c>
      <c r="G932" s="148" t="str">
        <f ca="1">IFERROR(Prices!G931/Prices!G930-1,"")</f>
        <v/>
      </c>
      <c r="H932" s="148" t="str">
        <f ca="1">IFERROR(Prices!H931/Prices!H930-1,"")</f>
        <v/>
      </c>
      <c r="I932" s="149" t="str">
        <f ca="1">IFERROR(Prices!I931/Prices!I930-1,"")</f>
        <v/>
      </c>
      <c r="J932" s="150">
        <f t="shared" ca="1" si="16"/>
        <v>0</v>
      </c>
      <c r="K932" s="112"/>
      <c r="L932" s="112"/>
      <c r="M932" s="112"/>
    </row>
    <row r="933" spans="1:13" x14ac:dyDescent="0.3">
      <c r="A933" s="147" t="str">
        <f ca="1">Prices!$A$932</f>
        <v/>
      </c>
      <c r="B933" s="148" t="str">
        <f ca="1">IFERROR(Prices!B932/Prices!B931-1,"")</f>
        <v/>
      </c>
      <c r="C933" s="148" t="str">
        <f ca="1">IFERROR(Prices!C932/Prices!C931-1,"")</f>
        <v/>
      </c>
      <c r="D933" s="148" t="str">
        <f ca="1">IFERROR(Prices!D932/Prices!D931-1,"")</f>
        <v/>
      </c>
      <c r="E933" s="148" t="str">
        <f ca="1">IFERROR(Prices!E932/Prices!E931-1,"")</f>
        <v/>
      </c>
      <c r="F933" s="148" t="str">
        <f ca="1">IFERROR(Prices!F932/Prices!F931-1,"")</f>
        <v/>
      </c>
      <c r="G933" s="148" t="str">
        <f ca="1">IFERROR(Prices!G932/Prices!G931-1,"")</f>
        <v/>
      </c>
      <c r="H933" s="148" t="str">
        <f ca="1">IFERROR(Prices!H932/Prices!H931-1,"")</f>
        <v/>
      </c>
      <c r="I933" s="149" t="str">
        <f ca="1">IFERROR(Prices!I932/Prices!I931-1,"")</f>
        <v/>
      </c>
      <c r="J933" s="150">
        <f t="shared" ca="1" si="16"/>
        <v>0</v>
      </c>
      <c r="K933" s="112"/>
      <c r="L933" s="112"/>
      <c r="M933" s="112"/>
    </row>
    <row r="934" spans="1:13" x14ac:dyDescent="0.3">
      <c r="A934" s="147" t="str">
        <f ca="1">Prices!$A$933</f>
        <v/>
      </c>
      <c r="B934" s="148" t="str">
        <f ca="1">IFERROR(Prices!B933/Prices!B932-1,"")</f>
        <v/>
      </c>
      <c r="C934" s="148" t="str">
        <f ca="1">IFERROR(Prices!C933/Prices!C932-1,"")</f>
        <v/>
      </c>
      <c r="D934" s="148" t="str">
        <f ca="1">IFERROR(Prices!D933/Prices!D932-1,"")</f>
        <v/>
      </c>
      <c r="E934" s="148" t="str">
        <f ca="1">IFERROR(Prices!E933/Prices!E932-1,"")</f>
        <v/>
      </c>
      <c r="F934" s="148" t="str">
        <f ca="1">IFERROR(Prices!F933/Prices!F932-1,"")</f>
        <v/>
      </c>
      <c r="G934" s="148" t="str">
        <f ca="1">IFERROR(Prices!G933/Prices!G932-1,"")</f>
        <v/>
      </c>
      <c r="H934" s="148" t="str">
        <f ca="1">IFERROR(Prices!H933/Prices!H932-1,"")</f>
        <v/>
      </c>
      <c r="I934" s="149" t="str">
        <f ca="1">IFERROR(Prices!I933/Prices!I932-1,"")</f>
        <v/>
      </c>
      <c r="J934" s="150">
        <f t="shared" ca="1" si="16"/>
        <v>0</v>
      </c>
      <c r="K934" s="112"/>
      <c r="L934" s="112"/>
      <c r="M934" s="112"/>
    </row>
    <row r="935" spans="1:13" x14ac:dyDescent="0.3">
      <c r="A935" s="147" t="str">
        <f ca="1">Prices!$A$934</f>
        <v/>
      </c>
      <c r="B935" s="148" t="str">
        <f ca="1">IFERROR(Prices!B934/Prices!B933-1,"")</f>
        <v/>
      </c>
      <c r="C935" s="148" t="str">
        <f ca="1">IFERROR(Prices!C934/Prices!C933-1,"")</f>
        <v/>
      </c>
      <c r="D935" s="148" t="str">
        <f ca="1">IFERROR(Prices!D934/Prices!D933-1,"")</f>
        <v/>
      </c>
      <c r="E935" s="148" t="str">
        <f ca="1">IFERROR(Prices!E934/Prices!E933-1,"")</f>
        <v/>
      </c>
      <c r="F935" s="148" t="str">
        <f ca="1">IFERROR(Prices!F934/Prices!F933-1,"")</f>
        <v/>
      </c>
      <c r="G935" s="148" t="str">
        <f ca="1">IFERROR(Prices!G934/Prices!G933-1,"")</f>
        <v/>
      </c>
      <c r="H935" s="148" t="str">
        <f ca="1">IFERROR(Prices!H934/Prices!H933-1,"")</f>
        <v/>
      </c>
      <c r="I935" s="149" t="str">
        <f ca="1">IFERROR(Prices!I934/Prices!I933-1,"")</f>
        <v/>
      </c>
      <c r="J935" s="150">
        <f t="shared" ca="1" si="16"/>
        <v>0</v>
      </c>
      <c r="K935" s="112"/>
      <c r="L935" s="112"/>
      <c r="M935" s="112"/>
    </row>
    <row r="936" spans="1:13" x14ac:dyDescent="0.3">
      <c r="A936" s="147" t="str">
        <f ca="1">Prices!$A$935</f>
        <v/>
      </c>
      <c r="B936" s="148" t="str">
        <f ca="1">IFERROR(Prices!B935/Prices!B934-1,"")</f>
        <v/>
      </c>
      <c r="C936" s="148" t="str">
        <f ca="1">IFERROR(Prices!C935/Prices!C934-1,"")</f>
        <v/>
      </c>
      <c r="D936" s="148" t="str">
        <f ca="1">IFERROR(Prices!D935/Prices!D934-1,"")</f>
        <v/>
      </c>
      <c r="E936" s="148" t="str">
        <f ca="1">IFERROR(Prices!E935/Prices!E934-1,"")</f>
        <v/>
      </c>
      <c r="F936" s="148" t="str">
        <f ca="1">IFERROR(Prices!F935/Prices!F934-1,"")</f>
        <v/>
      </c>
      <c r="G936" s="148" t="str">
        <f ca="1">IFERROR(Prices!G935/Prices!G934-1,"")</f>
        <v/>
      </c>
      <c r="H936" s="148" t="str">
        <f ca="1">IFERROR(Prices!H935/Prices!H934-1,"")</f>
        <v/>
      </c>
      <c r="I936" s="149" t="str">
        <f ca="1">IFERROR(Prices!I935/Prices!I934-1,"")</f>
        <v/>
      </c>
      <c r="J936" s="150">
        <f t="shared" ca="1" si="16"/>
        <v>0</v>
      </c>
      <c r="K936" s="112"/>
      <c r="L936" s="112"/>
      <c r="M936" s="112"/>
    </row>
    <row r="937" spans="1:13" x14ac:dyDescent="0.3">
      <c r="A937" s="147" t="str">
        <f ca="1">Prices!$A$936</f>
        <v/>
      </c>
      <c r="B937" s="148" t="str">
        <f ca="1">IFERROR(Prices!B936/Prices!B935-1,"")</f>
        <v/>
      </c>
      <c r="C937" s="148" t="str">
        <f ca="1">IFERROR(Prices!C936/Prices!C935-1,"")</f>
        <v/>
      </c>
      <c r="D937" s="148" t="str">
        <f ca="1">IFERROR(Prices!D936/Prices!D935-1,"")</f>
        <v/>
      </c>
      <c r="E937" s="148" t="str">
        <f ca="1">IFERROR(Prices!E936/Prices!E935-1,"")</f>
        <v/>
      </c>
      <c r="F937" s="148" t="str">
        <f ca="1">IFERROR(Prices!F936/Prices!F935-1,"")</f>
        <v/>
      </c>
      <c r="G937" s="148" t="str">
        <f ca="1">IFERROR(Prices!G936/Prices!G935-1,"")</f>
        <v/>
      </c>
      <c r="H937" s="148" t="str">
        <f ca="1">IFERROR(Prices!H936/Prices!H935-1,"")</f>
        <v/>
      </c>
      <c r="I937" s="149" t="str">
        <f ca="1">IFERROR(Prices!I936/Prices!I935-1,"")</f>
        <v/>
      </c>
      <c r="J937" s="150">
        <f t="shared" ca="1" si="16"/>
        <v>0</v>
      </c>
      <c r="K937" s="112"/>
      <c r="L937" s="112"/>
      <c r="M937" s="112"/>
    </row>
    <row r="938" spans="1:13" x14ac:dyDescent="0.3">
      <c r="A938" s="147" t="str">
        <f ca="1">Prices!$A$937</f>
        <v/>
      </c>
      <c r="B938" s="148" t="str">
        <f ca="1">IFERROR(Prices!B937/Prices!B936-1,"")</f>
        <v/>
      </c>
      <c r="C938" s="148" t="str">
        <f ca="1">IFERROR(Prices!C937/Prices!C936-1,"")</f>
        <v/>
      </c>
      <c r="D938" s="148" t="str">
        <f ca="1">IFERROR(Prices!D937/Prices!D936-1,"")</f>
        <v/>
      </c>
      <c r="E938" s="148" t="str">
        <f ca="1">IFERROR(Prices!E937/Prices!E936-1,"")</f>
        <v/>
      </c>
      <c r="F938" s="148" t="str">
        <f ca="1">IFERROR(Prices!F937/Prices!F936-1,"")</f>
        <v/>
      </c>
      <c r="G938" s="148" t="str">
        <f ca="1">IFERROR(Prices!G937/Prices!G936-1,"")</f>
        <v/>
      </c>
      <c r="H938" s="148" t="str">
        <f ca="1">IFERROR(Prices!H937/Prices!H936-1,"")</f>
        <v/>
      </c>
      <c r="I938" s="149" t="str">
        <f ca="1">IFERROR(Prices!I937/Prices!I936-1,"")</f>
        <v/>
      </c>
      <c r="J938" s="150">
        <f t="shared" ca="1" si="16"/>
        <v>0</v>
      </c>
      <c r="K938" s="112"/>
      <c r="L938" s="112"/>
      <c r="M938" s="112"/>
    </row>
    <row r="939" spans="1:13" x14ac:dyDescent="0.3">
      <c r="A939" s="147" t="str">
        <f ca="1">Prices!$A$938</f>
        <v/>
      </c>
      <c r="B939" s="148" t="str">
        <f ca="1">IFERROR(Prices!B938/Prices!B937-1,"")</f>
        <v/>
      </c>
      <c r="C939" s="148" t="str">
        <f ca="1">IFERROR(Prices!C938/Prices!C937-1,"")</f>
        <v/>
      </c>
      <c r="D939" s="148" t="str">
        <f ca="1">IFERROR(Prices!D938/Prices!D937-1,"")</f>
        <v/>
      </c>
      <c r="E939" s="148" t="str">
        <f ca="1">IFERROR(Prices!E938/Prices!E937-1,"")</f>
        <v/>
      </c>
      <c r="F939" s="148" t="str">
        <f ca="1">IFERROR(Prices!F938/Prices!F937-1,"")</f>
        <v/>
      </c>
      <c r="G939" s="148" t="str">
        <f ca="1">IFERROR(Prices!G938/Prices!G937-1,"")</f>
        <v/>
      </c>
      <c r="H939" s="148" t="str">
        <f ca="1">IFERROR(Prices!H938/Prices!H937-1,"")</f>
        <v/>
      </c>
      <c r="I939" s="149" t="str">
        <f ca="1">IFERROR(Prices!I938/Prices!I937-1,"")</f>
        <v/>
      </c>
      <c r="J939" s="150">
        <f t="shared" ca="1" si="16"/>
        <v>0</v>
      </c>
      <c r="K939" s="112"/>
      <c r="L939" s="112"/>
      <c r="M939" s="112"/>
    </row>
    <row r="940" spans="1:13" x14ac:dyDescent="0.3">
      <c r="A940" s="147" t="str">
        <f ca="1">Prices!$A$939</f>
        <v/>
      </c>
      <c r="B940" s="148" t="str">
        <f ca="1">IFERROR(Prices!B939/Prices!B938-1,"")</f>
        <v/>
      </c>
      <c r="C940" s="148" t="str">
        <f ca="1">IFERROR(Prices!C939/Prices!C938-1,"")</f>
        <v/>
      </c>
      <c r="D940" s="148" t="str">
        <f ca="1">IFERROR(Prices!D939/Prices!D938-1,"")</f>
        <v/>
      </c>
      <c r="E940" s="148" t="str">
        <f ca="1">IFERROR(Prices!E939/Prices!E938-1,"")</f>
        <v/>
      </c>
      <c r="F940" s="148" t="str">
        <f ca="1">IFERROR(Prices!F939/Prices!F938-1,"")</f>
        <v/>
      </c>
      <c r="G940" s="148" t="str">
        <f ca="1">IFERROR(Prices!G939/Prices!G938-1,"")</f>
        <v/>
      </c>
      <c r="H940" s="148" t="str">
        <f ca="1">IFERROR(Prices!H939/Prices!H938-1,"")</f>
        <v/>
      </c>
      <c r="I940" s="149" t="str">
        <f ca="1">IFERROR(Prices!I939/Prices!I938-1,"")</f>
        <v/>
      </c>
      <c r="J940" s="150">
        <f t="shared" ca="1" si="16"/>
        <v>0</v>
      </c>
      <c r="K940" s="112"/>
      <c r="L940" s="112"/>
      <c r="M940" s="112"/>
    </row>
    <row r="941" spans="1:13" x14ac:dyDescent="0.3">
      <c r="A941" s="147" t="str">
        <f ca="1">Prices!$A$940</f>
        <v/>
      </c>
      <c r="B941" s="148" t="str">
        <f ca="1">IFERROR(Prices!B940/Prices!B939-1,"")</f>
        <v/>
      </c>
      <c r="C941" s="148" t="str">
        <f ca="1">IFERROR(Prices!C940/Prices!C939-1,"")</f>
        <v/>
      </c>
      <c r="D941" s="148" t="str">
        <f ca="1">IFERROR(Prices!D940/Prices!D939-1,"")</f>
        <v/>
      </c>
      <c r="E941" s="148" t="str">
        <f ca="1">IFERROR(Prices!E940/Prices!E939-1,"")</f>
        <v/>
      </c>
      <c r="F941" s="148" t="str">
        <f ca="1">IFERROR(Prices!F940/Prices!F939-1,"")</f>
        <v/>
      </c>
      <c r="G941" s="148" t="str">
        <f ca="1">IFERROR(Prices!G940/Prices!G939-1,"")</f>
        <v/>
      </c>
      <c r="H941" s="148" t="str">
        <f ca="1">IFERROR(Prices!H940/Prices!H939-1,"")</f>
        <v/>
      </c>
      <c r="I941" s="149" t="str">
        <f ca="1">IFERROR(Prices!I940/Prices!I939-1,"")</f>
        <v/>
      </c>
      <c r="J941" s="150">
        <f t="shared" ca="1" si="16"/>
        <v>0</v>
      </c>
      <c r="K941" s="112"/>
      <c r="L941" s="112"/>
      <c r="M941" s="112"/>
    </row>
    <row r="942" spans="1:13" x14ac:dyDescent="0.3">
      <c r="A942" s="147" t="str">
        <f ca="1">Prices!$A$941</f>
        <v/>
      </c>
      <c r="B942" s="148" t="str">
        <f ca="1">IFERROR(Prices!B941/Prices!B940-1,"")</f>
        <v/>
      </c>
      <c r="C942" s="148" t="str">
        <f ca="1">IFERROR(Prices!C941/Prices!C940-1,"")</f>
        <v/>
      </c>
      <c r="D942" s="148" t="str">
        <f ca="1">IFERROR(Prices!D941/Prices!D940-1,"")</f>
        <v/>
      </c>
      <c r="E942" s="148" t="str">
        <f ca="1">IFERROR(Prices!E941/Prices!E940-1,"")</f>
        <v/>
      </c>
      <c r="F942" s="148" t="str">
        <f ca="1">IFERROR(Prices!F941/Prices!F940-1,"")</f>
        <v/>
      </c>
      <c r="G942" s="148" t="str">
        <f ca="1">IFERROR(Prices!G941/Prices!G940-1,"")</f>
        <v/>
      </c>
      <c r="H942" s="148" t="str">
        <f ca="1">IFERROR(Prices!H941/Prices!H940-1,"")</f>
        <v/>
      </c>
      <c r="I942" s="149" t="str">
        <f ca="1">IFERROR(Prices!I941/Prices!I940-1,"")</f>
        <v/>
      </c>
      <c r="J942" s="150">
        <f t="shared" ca="1" si="16"/>
        <v>0</v>
      </c>
      <c r="K942" s="112"/>
      <c r="L942" s="112"/>
      <c r="M942" s="112"/>
    </row>
    <row r="943" spans="1:13" x14ac:dyDescent="0.3">
      <c r="A943" s="147" t="str">
        <f ca="1">Prices!$A$942</f>
        <v/>
      </c>
      <c r="B943" s="148" t="str">
        <f ca="1">IFERROR(Prices!B942/Prices!B941-1,"")</f>
        <v/>
      </c>
      <c r="C943" s="148" t="str">
        <f ca="1">IFERROR(Prices!C942/Prices!C941-1,"")</f>
        <v/>
      </c>
      <c r="D943" s="148" t="str">
        <f ca="1">IFERROR(Prices!D942/Prices!D941-1,"")</f>
        <v/>
      </c>
      <c r="E943" s="148" t="str">
        <f ca="1">IFERROR(Prices!E942/Prices!E941-1,"")</f>
        <v/>
      </c>
      <c r="F943" s="148" t="str">
        <f ca="1">IFERROR(Prices!F942/Prices!F941-1,"")</f>
        <v/>
      </c>
      <c r="G943" s="148" t="str">
        <f ca="1">IFERROR(Prices!G942/Prices!G941-1,"")</f>
        <v/>
      </c>
      <c r="H943" s="148" t="str">
        <f ca="1">IFERROR(Prices!H942/Prices!H941-1,"")</f>
        <v/>
      </c>
      <c r="I943" s="149" t="str">
        <f ca="1">IFERROR(Prices!I942/Prices!I941-1,"")</f>
        <v/>
      </c>
      <c r="J943" s="150">
        <f t="shared" ca="1" si="16"/>
        <v>0</v>
      </c>
      <c r="K943" s="112"/>
      <c r="L943" s="112"/>
      <c r="M943" s="112"/>
    </row>
    <row r="944" spans="1:13" x14ac:dyDescent="0.3">
      <c r="A944" s="147" t="str">
        <f ca="1">Prices!$A$943</f>
        <v/>
      </c>
      <c r="B944" s="148" t="str">
        <f ca="1">IFERROR(Prices!B943/Prices!B942-1,"")</f>
        <v/>
      </c>
      <c r="C944" s="148" t="str">
        <f ca="1">IFERROR(Prices!C943/Prices!C942-1,"")</f>
        <v/>
      </c>
      <c r="D944" s="148" t="str">
        <f ca="1">IFERROR(Prices!D943/Prices!D942-1,"")</f>
        <v/>
      </c>
      <c r="E944" s="148" t="str">
        <f ca="1">IFERROR(Prices!E943/Prices!E942-1,"")</f>
        <v/>
      </c>
      <c r="F944" s="148" t="str">
        <f ca="1">IFERROR(Prices!F943/Prices!F942-1,"")</f>
        <v/>
      </c>
      <c r="G944" s="148" t="str">
        <f ca="1">IFERROR(Prices!G943/Prices!G942-1,"")</f>
        <v/>
      </c>
      <c r="H944" s="148" t="str">
        <f ca="1">IFERROR(Prices!H943/Prices!H942-1,"")</f>
        <v/>
      </c>
      <c r="I944" s="149" t="str">
        <f ca="1">IFERROR(Prices!I943/Prices!I942-1,"")</f>
        <v/>
      </c>
      <c r="J944" s="150">
        <f t="shared" ca="1" si="16"/>
        <v>0</v>
      </c>
      <c r="K944" s="112"/>
      <c r="L944" s="112"/>
      <c r="M944" s="112"/>
    </row>
    <row r="945" spans="1:13" x14ac:dyDescent="0.3">
      <c r="A945" s="147" t="str">
        <f ca="1">Prices!$A$944</f>
        <v/>
      </c>
      <c r="B945" s="148" t="str">
        <f ca="1">IFERROR(Prices!B944/Prices!B943-1,"")</f>
        <v/>
      </c>
      <c r="C945" s="148" t="str">
        <f ca="1">IFERROR(Prices!C944/Prices!C943-1,"")</f>
        <v/>
      </c>
      <c r="D945" s="148" t="str">
        <f ca="1">IFERROR(Prices!D944/Prices!D943-1,"")</f>
        <v/>
      </c>
      <c r="E945" s="148" t="str">
        <f ca="1">IFERROR(Prices!E944/Prices!E943-1,"")</f>
        <v/>
      </c>
      <c r="F945" s="148" t="str">
        <f ca="1">IFERROR(Prices!F944/Prices!F943-1,"")</f>
        <v/>
      </c>
      <c r="G945" s="148" t="str">
        <f ca="1">IFERROR(Prices!G944/Prices!G943-1,"")</f>
        <v/>
      </c>
      <c r="H945" s="148" t="str">
        <f ca="1">IFERROR(Prices!H944/Prices!H943-1,"")</f>
        <v/>
      </c>
      <c r="I945" s="149" t="str">
        <f ca="1">IFERROR(Prices!I944/Prices!I943-1,"")</f>
        <v/>
      </c>
      <c r="J945" s="150">
        <f t="shared" ca="1" si="16"/>
        <v>0</v>
      </c>
      <c r="K945" s="112"/>
      <c r="L945" s="112"/>
      <c r="M945" s="112"/>
    </row>
    <row r="946" spans="1:13" x14ac:dyDescent="0.3">
      <c r="A946" s="147" t="str">
        <f ca="1">Prices!$A$945</f>
        <v/>
      </c>
      <c r="B946" s="148" t="str">
        <f ca="1">IFERROR(Prices!B945/Prices!B944-1,"")</f>
        <v/>
      </c>
      <c r="C946" s="148" t="str">
        <f ca="1">IFERROR(Prices!C945/Prices!C944-1,"")</f>
        <v/>
      </c>
      <c r="D946" s="148" t="str">
        <f ca="1">IFERROR(Prices!D945/Prices!D944-1,"")</f>
        <v/>
      </c>
      <c r="E946" s="148" t="str">
        <f ca="1">IFERROR(Prices!E945/Prices!E944-1,"")</f>
        <v/>
      </c>
      <c r="F946" s="148" t="str">
        <f ca="1">IFERROR(Prices!F945/Prices!F944-1,"")</f>
        <v/>
      </c>
      <c r="G946" s="148" t="str">
        <f ca="1">IFERROR(Prices!G945/Prices!G944-1,"")</f>
        <v/>
      </c>
      <c r="H946" s="148" t="str">
        <f ca="1">IFERROR(Prices!H945/Prices!H944-1,"")</f>
        <v/>
      </c>
      <c r="I946" s="149" t="str">
        <f ca="1">IFERROR(Prices!I945/Prices!I944-1,"")</f>
        <v/>
      </c>
      <c r="J946" s="150">
        <f t="shared" ca="1" si="16"/>
        <v>0</v>
      </c>
      <c r="K946" s="112"/>
      <c r="L946" s="112"/>
      <c r="M946" s="112"/>
    </row>
    <row r="947" spans="1:13" x14ac:dyDescent="0.3">
      <c r="A947" s="147" t="str">
        <f ca="1">Prices!$A$946</f>
        <v/>
      </c>
      <c r="B947" s="148" t="str">
        <f ca="1">IFERROR(Prices!B946/Prices!B945-1,"")</f>
        <v/>
      </c>
      <c r="C947" s="148" t="str">
        <f ca="1">IFERROR(Prices!C946/Prices!C945-1,"")</f>
        <v/>
      </c>
      <c r="D947" s="148" t="str">
        <f ca="1">IFERROR(Prices!D946/Prices!D945-1,"")</f>
        <v/>
      </c>
      <c r="E947" s="148" t="str">
        <f ca="1">IFERROR(Prices!E946/Prices!E945-1,"")</f>
        <v/>
      </c>
      <c r="F947" s="148" t="str">
        <f ca="1">IFERROR(Prices!F946/Prices!F945-1,"")</f>
        <v/>
      </c>
      <c r="G947" s="148" t="str">
        <f ca="1">IFERROR(Prices!G946/Prices!G945-1,"")</f>
        <v/>
      </c>
      <c r="H947" s="148" t="str">
        <f ca="1">IFERROR(Prices!H946/Prices!H945-1,"")</f>
        <v/>
      </c>
      <c r="I947" s="149" t="str">
        <f ca="1">IFERROR(Prices!I946/Prices!I945-1,"")</f>
        <v/>
      </c>
      <c r="J947" s="150">
        <f t="shared" ca="1" si="16"/>
        <v>0</v>
      </c>
      <c r="K947" s="112"/>
      <c r="L947" s="112"/>
      <c r="M947" s="112"/>
    </row>
    <row r="948" spans="1:13" x14ac:dyDescent="0.3">
      <c r="A948" s="147" t="str">
        <f ca="1">Prices!$A$947</f>
        <v/>
      </c>
      <c r="B948" s="148" t="str">
        <f ca="1">IFERROR(Prices!B947/Prices!B946-1,"")</f>
        <v/>
      </c>
      <c r="C948" s="148" t="str">
        <f ca="1">IFERROR(Prices!C947/Prices!C946-1,"")</f>
        <v/>
      </c>
      <c r="D948" s="148" t="str">
        <f ca="1">IFERROR(Prices!D947/Prices!D946-1,"")</f>
        <v/>
      </c>
      <c r="E948" s="148" t="str">
        <f ca="1">IFERROR(Prices!E947/Prices!E946-1,"")</f>
        <v/>
      </c>
      <c r="F948" s="148" t="str">
        <f ca="1">IFERROR(Prices!F947/Prices!F946-1,"")</f>
        <v/>
      </c>
      <c r="G948" s="148" t="str">
        <f ca="1">IFERROR(Prices!G947/Prices!G946-1,"")</f>
        <v/>
      </c>
      <c r="H948" s="148" t="str">
        <f ca="1">IFERROR(Prices!H947/Prices!H946-1,"")</f>
        <v/>
      </c>
      <c r="I948" s="149" t="str">
        <f ca="1">IFERROR(Prices!I947/Prices!I946-1,"")</f>
        <v/>
      </c>
      <c r="J948" s="150">
        <f t="shared" ca="1" si="16"/>
        <v>0</v>
      </c>
      <c r="K948" s="112"/>
      <c r="L948" s="112"/>
      <c r="M948" s="112"/>
    </row>
    <row r="949" spans="1:13" x14ac:dyDescent="0.3">
      <c r="A949" s="147" t="str">
        <f ca="1">Prices!$A$948</f>
        <v/>
      </c>
      <c r="B949" s="148" t="str">
        <f ca="1">IFERROR(Prices!B948/Prices!B947-1,"")</f>
        <v/>
      </c>
      <c r="C949" s="148" t="str">
        <f ca="1">IFERROR(Prices!C948/Prices!C947-1,"")</f>
        <v/>
      </c>
      <c r="D949" s="148" t="str">
        <f ca="1">IFERROR(Prices!D948/Prices!D947-1,"")</f>
        <v/>
      </c>
      <c r="E949" s="148" t="str">
        <f ca="1">IFERROR(Prices!E948/Prices!E947-1,"")</f>
        <v/>
      </c>
      <c r="F949" s="148" t="str">
        <f ca="1">IFERROR(Prices!F948/Prices!F947-1,"")</f>
        <v/>
      </c>
      <c r="G949" s="148" t="str">
        <f ca="1">IFERROR(Prices!G948/Prices!G947-1,"")</f>
        <v/>
      </c>
      <c r="H949" s="148" t="str">
        <f ca="1">IFERROR(Prices!H948/Prices!H947-1,"")</f>
        <v/>
      </c>
      <c r="I949" s="149" t="str">
        <f ca="1">IFERROR(Prices!I948/Prices!I947-1,"")</f>
        <v/>
      </c>
      <c r="J949" s="150">
        <f t="shared" ca="1" si="16"/>
        <v>0</v>
      </c>
      <c r="K949" s="112"/>
      <c r="L949" s="112"/>
      <c r="M949" s="112"/>
    </row>
    <row r="950" spans="1:13" x14ac:dyDescent="0.3">
      <c r="A950" s="147" t="str">
        <f ca="1">Prices!$A$949</f>
        <v/>
      </c>
      <c r="B950" s="148" t="str">
        <f ca="1">IFERROR(Prices!B949/Prices!B948-1,"")</f>
        <v/>
      </c>
      <c r="C950" s="148" t="str">
        <f ca="1">IFERROR(Prices!C949/Prices!C948-1,"")</f>
        <v/>
      </c>
      <c r="D950" s="148" t="str">
        <f ca="1">IFERROR(Prices!D949/Prices!D948-1,"")</f>
        <v/>
      </c>
      <c r="E950" s="148" t="str">
        <f ca="1">IFERROR(Prices!E949/Prices!E948-1,"")</f>
        <v/>
      </c>
      <c r="F950" s="148" t="str">
        <f ca="1">IFERROR(Prices!F949/Prices!F948-1,"")</f>
        <v/>
      </c>
      <c r="G950" s="148" t="str">
        <f ca="1">IFERROR(Prices!G949/Prices!G948-1,"")</f>
        <v/>
      </c>
      <c r="H950" s="148" t="str">
        <f ca="1">IFERROR(Prices!H949/Prices!H948-1,"")</f>
        <v/>
      </c>
      <c r="I950" s="149" t="str">
        <f ca="1">IFERROR(Prices!I949/Prices!I948-1,"")</f>
        <v/>
      </c>
      <c r="J950" s="150">
        <f t="shared" ca="1" si="16"/>
        <v>0</v>
      </c>
      <c r="K950" s="112"/>
      <c r="L950" s="112"/>
      <c r="M950" s="112"/>
    </row>
    <row r="951" spans="1:13" x14ac:dyDescent="0.3">
      <c r="A951" s="147" t="str">
        <f ca="1">Prices!$A$950</f>
        <v/>
      </c>
      <c r="B951" s="148" t="str">
        <f ca="1">IFERROR(Prices!B950/Prices!B949-1,"")</f>
        <v/>
      </c>
      <c r="C951" s="148" t="str">
        <f ca="1">IFERROR(Prices!C950/Prices!C949-1,"")</f>
        <v/>
      </c>
      <c r="D951" s="148" t="str">
        <f ca="1">IFERROR(Prices!D950/Prices!D949-1,"")</f>
        <v/>
      </c>
      <c r="E951" s="148" t="str">
        <f ca="1">IFERROR(Prices!E950/Prices!E949-1,"")</f>
        <v/>
      </c>
      <c r="F951" s="148" t="str">
        <f ca="1">IFERROR(Prices!F950/Prices!F949-1,"")</f>
        <v/>
      </c>
      <c r="G951" s="148" t="str">
        <f ca="1">IFERROR(Prices!G950/Prices!G949-1,"")</f>
        <v/>
      </c>
      <c r="H951" s="148" t="str">
        <f ca="1">IFERROR(Prices!H950/Prices!H949-1,"")</f>
        <v/>
      </c>
      <c r="I951" s="149" t="str">
        <f ca="1">IFERROR(Prices!I950/Prices!I949-1,"")</f>
        <v/>
      </c>
      <c r="J951" s="150">
        <f t="shared" ca="1" si="16"/>
        <v>0</v>
      </c>
      <c r="K951" s="112"/>
      <c r="L951" s="112"/>
      <c r="M951" s="112"/>
    </row>
    <row r="952" spans="1:13" x14ac:dyDescent="0.3">
      <c r="A952" s="147" t="str">
        <f ca="1">Prices!$A$951</f>
        <v/>
      </c>
      <c r="B952" s="148" t="str">
        <f ca="1">IFERROR(Prices!B951/Prices!B950-1,"")</f>
        <v/>
      </c>
      <c r="C952" s="148" t="str">
        <f ca="1">IFERROR(Prices!C951/Prices!C950-1,"")</f>
        <v/>
      </c>
      <c r="D952" s="148" t="str">
        <f ca="1">IFERROR(Prices!D951/Prices!D950-1,"")</f>
        <v/>
      </c>
      <c r="E952" s="148" t="str">
        <f ca="1">IFERROR(Prices!E951/Prices!E950-1,"")</f>
        <v/>
      </c>
      <c r="F952" s="148" t="str">
        <f ca="1">IFERROR(Prices!F951/Prices!F950-1,"")</f>
        <v/>
      </c>
      <c r="G952" s="148" t="str">
        <f ca="1">IFERROR(Prices!G951/Prices!G950-1,"")</f>
        <v/>
      </c>
      <c r="H952" s="148" t="str">
        <f ca="1">IFERROR(Prices!H951/Prices!H950-1,"")</f>
        <v/>
      </c>
      <c r="I952" s="149" t="str">
        <f ca="1">IFERROR(Prices!I951/Prices!I950-1,"")</f>
        <v/>
      </c>
      <c r="J952" s="150">
        <f t="shared" ca="1" si="16"/>
        <v>0</v>
      </c>
      <c r="K952" s="112"/>
      <c r="L952" s="112"/>
      <c r="M952" s="112"/>
    </row>
    <row r="953" spans="1:13" x14ac:dyDescent="0.3">
      <c r="A953" s="147" t="str">
        <f ca="1">Prices!$A$952</f>
        <v/>
      </c>
      <c r="B953" s="148" t="str">
        <f ca="1">IFERROR(Prices!B952/Prices!B951-1,"")</f>
        <v/>
      </c>
      <c r="C953" s="148" t="str">
        <f ca="1">IFERROR(Prices!C952/Prices!C951-1,"")</f>
        <v/>
      </c>
      <c r="D953" s="148" t="str">
        <f ca="1">IFERROR(Prices!D952/Prices!D951-1,"")</f>
        <v/>
      </c>
      <c r="E953" s="148" t="str">
        <f ca="1">IFERROR(Prices!E952/Prices!E951-1,"")</f>
        <v/>
      </c>
      <c r="F953" s="148" t="str">
        <f ca="1">IFERROR(Prices!F952/Prices!F951-1,"")</f>
        <v/>
      </c>
      <c r="G953" s="148" t="str">
        <f ca="1">IFERROR(Prices!G952/Prices!G951-1,"")</f>
        <v/>
      </c>
      <c r="H953" s="148" t="str">
        <f ca="1">IFERROR(Prices!H952/Prices!H951-1,"")</f>
        <v/>
      </c>
      <c r="I953" s="149" t="str">
        <f ca="1">IFERROR(Prices!I952/Prices!I951-1,"")</f>
        <v/>
      </c>
      <c r="J953" s="150">
        <f t="shared" ca="1" si="16"/>
        <v>0</v>
      </c>
      <c r="K953" s="112"/>
      <c r="L953" s="112"/>
      <c r="M953" s="112"/>
    </row>
    <row r="954" spans="1:13" x14ac:dyDescent="0.3">
      <c r="A954" s="147" t="str">
        <f ca="1">Prices!$A$953</f>
        <v/>
      </c>
      <c r="B954" s="148" t="str">
        <f ca="1">IFERROR(Prices!B953/Prices!B952-1,"")</f>
        <v/>
      </c>
      <c r="C954" s="148" t="str">
        <f ca="1">IFERROR(Prices!C953/Prices!C952-1,"")</f>
        <v/>
      </c>
      <c r="D954" s="148" t="str">
        <f ca="1">IFERROR(Prices!D953/Prices!D952-1,"")</f>
        <v/>
      </c>
      <c r="E954" s="148" t="str">
        <f ca="1">IFERROR(Prices!E953/Prices!E952-1,"")</f>
        <v/>
      </c>
      <c r="F954" s="148" t="str">
        <f ca="1">IFERROR(Prices!F953/Prices!F952-1,"")</f>
        <v/>
      </c>
      <c r="G954" s="148" t="str">
        <f ca="1">IFERROR(Prices!G953/Prices!G952-1,"")</f>
        <v/>
      </c>
      <c r="H954" s="148" t="str">
        <f ca="1">IFERROR(Prices!H953/Prices!H952-1,"")</f>
        <v/>
      </c>
      <c r="I954" s="149" t="str">
        <f ca="1">IFERROR(Prices!I953/Prices!I952-1,"")</f>
        <v/>
      </c>
      <c r="J954" s="150">
        <f t="shared" ca="1" si="16"/>
        <v>0</v>
      </c>
      <c r="K954" s="112"/>
      <c r="L954" s="112"/>
      <c r="M954" s="112"/>
    </row>
    <row r="955" spans="1:13" x14ac:dyDescent="0.3">
      <c r="A955" s="147" t="str">
        <f ca="1">Prices!$A$954</f>
        <v/>
      </c>
      <c r="B955" s="148" t="str">
        <f ca="1">IFERROR(Prices!B954/Prices!B953-1,"")</f>
        <v/>
      </c>
      <c r="C955" s="148" t="str">
        <f ca="1">IFERROR(Prices!C954/Prices!C953-1,"")</f>
        <v/>
      </c>
      <c r="D955" s="148" t="str">
        <f ca="1">IFERROR(Prices!D954/Prices!D953-1,"")</f>
        <v/>
      </c>
      <c r="E955" s="148" t="str">
        <f ca="1">IFERROR(Prices!E954/Prices!E953-1,"")</f>
        <v/>
      </c>
      <c r="F955" s="148" t="str">
        <f ca="1">IFERROR(Prices!F954/Prices!F953-1,"")</f>
        <v/>
      </c>
      <c r="G955" s="148" t="str">
        <f ca="1">IFERROR(Prices!G954/Prices!G953-1,"")</f>
        <v/>
      </c>
      <c r="H955" s="148" t="str">
        <f ca="1">IFERROR(Prices!H954/Prices!H953-1,"")</f>
        <v/>
      </c>
      <c r="I955" s="149" t="str">
        <f ca="1">IFERROR(Prices!I954/Prices!I953-1,"")</f>
        <v/>
      </c>
      <c r="J955" s="150">
        <f t="shared" ca="1" si="16"/>
        <v>0</v>
      </c>
      <c r="K955" s="112"/>
      <c r="L955" s="112"/>
      <c r="M955" s="112"/>
    </row>
    <row r="956" spans="1:13" x14ac:dyDescent="0.3">
      <c r="A956" s="147" t="str">
        <f ca="1">Prices!$A$955</f>
        <v/>
      </c>
      <c r="B956" s="148" t="str">
        <f ca="1">IFERROR(Prices!B955/Prices!B954-1,"")</f>
        <v/>
      </c>
      <c r="C956" s="148" t="str">
        <f ca="1">IFERROR(Prices!C955/Prices!C954-1,"")</f>
        <v/>
      </c>
      <c r="D956" s="148" t="str">
        <f ca="1">IFERROR(Prices!D955/Prices!D954-1,"")</f>
        <v/>
      </c>
      <c r="E956" s="148" t="str">
        <f ca="1">IFERROR(Prices!E955/Prices!E954-1,"")</f>
        <v/>
      </c>
      <c r="F956" s="148" t="str">
        <f ca="1">IFERROR(Prices!F955/Prices!F954-1,"")</f>
        <v/>
      </c>
      <c r="G956" s="148" t="str">
        <f ca="1">IFERROR(Prices!G955/Prices!G954-1,"")</f>
        <v/>
      </c>
      <c r="H956" s="148" t="str">
        <f ca="1">IFERROR(Prices!H955/Prices!H954-1,"")</f>
        <v/>
      </c>
      <c r="I956" s="149" t="str">
        <f ca="1">IFERROR(Prices!I955/Prices!I954-1,"")</f>
        <v/>
      </c>
      <c r="J956" s="150">
        <f t="shared" ca="1" si="16"/>
        <v>0</v>
      </c>
      <c r="K956" s="112"/>
      <c r="L956" s="112"/>
      <c r="M956" s="112"/>
    </row>
    <row r="957" spans="1:13" x14ac:dyDescent="0.3">
      <c r="A957" s="147" t="str">
        <f ca="1">Prices!$A$956</f>
        <v/>
      </c>
      <c r="B957" s="148" t="str">
        <f ca="1">IFERROR(Prices!B956/Prices!B955-1,"")</f>
        <v/>
      </c>
      <c r="C957" s="148" t="str">
        <f ca="1">IFERROR(Prices!C956/Prices!C955-1,"")</f>
        <v/>
      </c>
      <c r="D957" s="148" t="str">
        <f ca="1">IFERROR(Prices!D956/Prices!D955-1,"")</f>
        <v/>
      </c>
      <c r="E957" s="148" t="str">
        <f ca="1">IFERROR(Prices!E956/Prices!E955-1,"")</f>
        <v/>
      </c>
      <c r="F957" s="148" t="str">
        <f ca="1">IFERROR(Prices!F956/Prices!F955-1,"")</f>
        <v/>
      </c>
      <c r="G957" s="148" t="str">
        <f ca="1">IFERROR(Prices!G956/Prices!G955-1,"")</f>
        <v/>
      </c>
      <c r="H957" s="148" t="str">
        <f ca="1">IFERROR(Prices!H956/Prices!H955-1,"")</f>
        <v/>
      </c>
      <c r="I957" s="149" t="str">
        <f ca="1">IFERROR(Prices!I956/Prices!I955-1,"")</f>
        <v/>
      </c>
      <c r="J957" s="150">
        <f t="shared" ca="1" si="16"/>
        <v>0</v>
      </c>
      <c r="K957" s="112"/>
      <c r="L957" s="112"/>
      <c r="M957" s="112"/>
    </row>
    <row r="958" spans="1:13" x14ac:dyDescent="0.3">
      <c r="A958" s="147" t="str">
        <f ca="1">Prices!$A$957</f>
        <v/>
      </c>
      <c r="B958" s="148" t="str">
        <f ca="1">IFERROR(Prices!B957/Prices!B956-1,"")</f>
        <v/>
      </c>
      <c r="C958" s="148" t="str">
        <f ca="1">IFERROR(Prices!C957/Prices!C956-1,"")</f>
        <v/>
      </c>
      <c r="D958" s="148" t="str">
        <f ca="1">IFERROR(Prices!D957/Prices!D956-1,"")</f>
        <v/>
      </c>
      <c r="E958" s="148" t="str">
        <f ca="1">IFERROR(Prices!E957/Prices!E956-1,"")</f>
        <v/>
      </c>
      <c r="F958" s="148" t="str">
        <f ca="1">IFERROR(Prices!F957/Prices!F956-1,"")</f>
        <v/>
      </c>
      <c r="G958" s="148" t="str">
        <f ca="1">IFERROR(Prices!G957/Prices!G956-1,"")</f>
        <v/>
      </c>
      <c r="H958" s="148" t="str">
        <f ca="1">IFERROR(Prices!H957/Prices!H956-1,"")</f>
        <v/>
      </c>
      <c r="I958" s="149" t="str">
        <f ca="1">IFERROR(Prices!I957/Prices!I956-1,"")</f>
        <v/>
      </c>
      <c r="J958" s="150">
        <f t="shared" ca="1" si="16"/>
        <v>0</v>
      </c>
      <c r="K958" s="112"/>
      <c r="L958" s="112"/>
      <c r="M958" s="112"/>
    </row>
    <row r="959" spans="1:13" x14ac:dyDescent="0.3">
      <c r="A959" s="147" t="str">
        <f ca="1">Prices!$A$958</f>
        <v/>
      </c>
      <c r="B959" s="148" t="str">
        <f ca="1">IFERROR(Prices!B958/Prices!B957-1,"")</f>
        <v/>
      </c>
      <c r="C959" s="148" t="str">
        <f ca="1">IFERROR(Prices!C958/Prices!C957-1,"")</f>
        <v/>
      </c>
      <c r="D959" s="148" t="str">
        <f ca="1">IFERROR(Prices!D958/Prices!D957-1,"")</f>
        <v/>
      </c>
      <c r="E959" s="148" t="str">
        <f ca="1">IFERROR(Prices!E958/Prices!E957-1,"")</f>
        <v/>
      </c>
      <c r="F959" s="148" t="str">
        <f ca="1">IFERROR(Prices!F958/Prices!F957-1,"")</f>
        <v/>
      </c>
      <c r="G959" s="148" t="str">
        <f ca="1">IFERROR(Prices!G958/Prices!G957-1,"")</f>
        <v/>
      </c>
      <c r="H959" s="148" t="str">
        <f ca="1">IFERROR(Prices!H958/Prices!H957-1,"")</f>
        <v/>
      </c>
      <c r="I959" s="149" t="str">
        <f ca="1">IFERROR(Prices!I958/Prices!I957-1,"")</f>
        <v/>
      </c>
      <c r="J959" s="150">
        <f t="shared" ca="1" si="16"/>
        <v>0</v>
      </c>
      <c r="K959" s="112"/>
      <c r="L959" s="112"/>
      <c r="M959" s="112"/>
    </row>
    <row r="960" spans="1:13" x14ac:dyDescent="0.3">
      <c r="A960" s="147" t="str">
        <f ca="1">Prices!$A$959</f>
        <v/>
      </c>
      <c r="B960" s="148" t="str">
        <f ca="1">IFERROR(Prices!B959/Prices!B958-1,"")</f>
        <v/>
      </c>
      <c r="C960" s="148" t="str">
        <f ca="1">IFERROR(Prices!C959/Prices!C958-1,"")</f>
        <v/>
      </c>
      <c r="D960" s="148" t="str">
        <f ca="1">IFERROR(Prices!D959/Prices!D958-1,"")</f>
        <v/>
      </c>
      <c r="E960" s="148" t="str">
        <f ca="1">IFERROR(Prices!E959/Prices!E958-1,"")</f>
        <v/>
      </c>
      <c r="F960" s="148" t="str">
        <f ca="1">IFERROR(Prices!F959/Prices!F958-1,"")</f>
        <v/>
      </c>
      <c r="G960" s="148" t="str">
        <f ca="1">IFERROR(Prices!G959/Prices!G958-1,"")</f>
        <v/>
      </c>
      <c r="H960" s="148" t="str">
        <f ca="1">IFERROR(Prices!H959/Prices!H958-1,"")</f>
        <v/>
      </c>
      <c r="I960" s="149" t="str">
        <f ca="1">IFERROR(Prices!I959/Prices!I958-1,"")</f>
        <v/>
      </c>
      <c r="J960" s="150">
        <f t="shared" ca="1" si="16"/>
        <v>0</v>
      </c>
      <c r="K960" s="112"/>
      <c r="L960" s="112"/>
      <c r="M960" s="112"/>
    </row>
    <row r="961" spans="1:13" x14ac:dyDescent="0.3">
      <c r="A961" s="147" t="str">
        <f ca="1">Prices!$A$960</f>
        <v/>
      </c>
      <c r="B961" s="148" t="str">
        <f ca="1">IFERROR(Prices!B960/Prices!B959-1,"")</f>
        <v/>
      </c>
      <c r="C961" s="148" t="str">
        <f ca="1">IFERROR(Prices!C960/Prices!C959-1,"")</f>
        <v/>
      </c>
      <c r="D961" s="148" t="str">
        <f ca="1">IFERROR(Prices!D960/Prices!D959-1,"")</f>
        <v/>
      </c>
      <c r="E961" s="148" t="str">
        <f ca="1">IFERROR(Prices!E960/Prices!E959-1,"")</f>
        <v/>
      </c>
      <c r="F961" s="148" t="str">
        <f ca="1">IFERROR(Prices!F960/Prices!F959-1,"")</f>
        <v/>
      </c>
      <c r="G961" s="148" t="str">
        <f ca="1">IFERROR(Prices!G960/Prices!G959-1,"")</f>
        <v/>
      </c>
      <c r="H961" s="148" t="str">
        <f ca="1">IFERROR(Prices!H960/Prices!H959-1,"")</f>
        <v/>
      </c>
      <c r="I961" s="149" t="str">
        <f ca="1">IFERROR(Prices!I960/Prices!I959-1,"")</f>
        <v/>
      </c>
      <c r="J961" s="150">
        <f t="shared" ca="1" si="16"/>
        <v>0</v>
      </c>
      <c r="K961" s="112"/>
      <c r="L961" s="112"/>
      <c r="M961" s="112"/>
    </row>
    <row r="962" spans="1:13" x14ac:dyDescent="0.3">
      <c r="A962" s="147" t="str">
        <f ca="1">Prices!$A$961</f>
        <v/>
      </c>
      <c r="B962" s="148" t="str">
        <f ca="1">IFERROR(Prices!B961/Prices!B960-1,"")</f>
        <v/>
      </c>
      <c r="C962" s="148" t="str">
        <f ca="1">IFERROR(Prices!C961/Prices!C960-1,"")</f>
        <v/>
      </c>
      <c r="D962" s="148" t="str">
        <f ca="1">IFERROR(Prices!D961/Prices!D960-1,"")</f>
        <v/>
      </c>
      <c r="E962" s="148" t="str">
        <f ca="1">IFERROR(Prices!E961/Prices!E960-1,"")</f>
        <v/>
      </c>
      <c r="F962" s="148" t="str">
        <f ca="1">IFERROR(Prices!F961/Prices!F960-1,"")</f>
        <v/>
      </c>
      <c r="G962" s="148" t="str">
        <f ca="1">IFERROR(Prices!G961/Prices!G960-1,"")</f>
        <v/>
      </c>
      <c r="H962" s="148" t="str">
        <f ca="1">IFERROR(Prices!H961/Prices!H960-1,"")</f>
        <v/>
      </c>
      <c r="I962" s="149" t="str">
        <f ca="1">IFERROR(Prices!I961/Prices!I960-1,"")</f>
        <v/>
      </c>
      <c r="J962" s="150">
        <f t="shared" ca="1" si="16"/>
        <v>0</v>
      </c>
      <c r="K962" s="112"/>
      <c r="L962" s="112"/>
      <c r="M962" s="112"/>
    </row>
    <row r="963" spans="1:13" x14ac:dyDescent="0.3">
      <c r="A963" s="147" t="str">
        <f ca="1">Prices!$A$962</f>
        <v/>
      </c>
      <c r="B963" s="148" t="str">
        <f ca="1">IFERROR(Prices!B962/Prices!B961-1,"")</f>
        <v/>
      </c>
      <c r="C963" s="148" t="str">
        <f ca="1">IFERROR(Prices!C962/Prices!C961-1,"")</f>
        <v/>
      </c>
      <c r="D963" s="148" t="str">
        <f ca="1">IFERROR(Prices!D962/Prices!D961-1,"")</f>
        <v/>
      </c>
      <c r="E963" s="148" t="str">
        <f ca="1">IFERROR(Prices!E962/Prices!E961-1,"")</f>
        <v/>
      </c>
      <c r="F963" s="148" t="str">
        <f ca="1">IFERROR(Prices!F962/Prices!F961-1,"")</f>
        <v/>
      </c>
      <c r="G963" s="148" t="str">
        <f ca="1">IFERROR(Prices!G962/Prices!G961-1,"")</f>
        <v/>
      </c>
      <c r="H963" s="148" t="str">
        <f ca="1">IFERROR(Prices!H962/Prices!H961-1,"")</f>
        <v/>
      </c>
      <c r="I963" s="149" t="str">
        <f ca="1">IFERROR(Prices!I962/Prices!I961-1,"")</f>
        <v/>
      </c>
      <c r="J963" s="150">
        <f t="shared" ca="1" si="16"/>
        <v>0</v>
      </c>
      <c r="K963" s="112"/>
      <c r="L963" s="112"/>
      <c r="M963" s="112"/>
    </row>
    <row r="964" spans="1:13" x14ac:dyDescent="0.3">
      <c r="A964" s="147" t="str">
        <f ca="1">Prices!$A$963</f>
        <v/>
      </c>
      <c r="B964" s="148" t="str">
        <f ca="1">IFERROR(Prices!B963/Prices!B962-1,"")</f>
        <v/>
      </c>
      <c r="C964" s="148" t="str">
        <f ca="1">IFERROR(Prices!C963/Prices!C962-1,"")</f>
        <v/>
      </c>
      <c r="D964" s="148" t="str">
        <f ca="1">IFERROR(Prices!D963/Prices!D962-1,"")</f>
        <v/>
      </c>
      <c r="E964" s="148" t="str">
        <f ca="1">IFERROR(Prices!E963/Prices!E962-1,"")</f>
        <v/>
      </c>
      <c r="F964" s="148" t="str">
        <f ca="1">IFERROR(Prices!F963/Prices!F962-1,"")</f>
        <v/>
      </c>
      <c r="G964" s="148" t="str">
        <f ca="1">IFERROR(Prices!G963/Prices!G962-1,"")</f>
        <v/>
      </c>
      <c r="H964" s="148" t="str">
        <f ca="1">IFERROR(Prices!H963/Prices!H962-1,"")</f>
        <v/>
      </c>
      <c r="I964" s="149" t="str">
        <f ca="1">IFERROR(Prices!I963/Prices!I962-1,"")</f>
        <v/>
      </c>
      <c r="J964" s="150">
        <f t="shared" ca="1" si="16"/>
        <v>0</v>
      </c>
      <c r="K964" s="112"/>
      <c r="L964" s="112"/>
      <c r="M964" s="112"/>
    </row>
    <row r="965" spans="1:13" x14ac:dyDescent="0.3">
      <c r="A965" s="147" t="str">
        <f ca="1">Prices!$A$964</f>
        <v/>
      </c>
      <c r="B965" s="148" t="str">
        <f ca="1">IFERROR(Prices!B964/Prices!B963-1,"")</f>
        <v/>
      </c>
      <c r="C965" s="148" t="str">
        <f ca="1">IFERROR(Prices!C964/Prices!C963-1,"")</f>
        <v/>
      </c>
      <c r="D965" s="148" t="str">
        <f ca="1">IFERROR(Prices!D964/Prices!D963-1,"")</f>
        <v/>
      </c>
      <c r="E965" s="148" t="str">
        <f ca="1">IFERROR(Prices!E964/Prices!E963-1,"")</f>
        <v/>
      </c>
      <c r="F965" s="148" t="str">
        <f ca="1">IFERROR(Prices!F964/Prices!F963-1,"")</f>
        <v/>
      </c>
      <c r="G965" s="148" t="str">
        <f ca="1">IFERROR(Prices!G964/Prices!G963-1,"")</f>
        <v/>
      </c>
      <c r="H965" s="148" t="str">
        <f ca="1">IFERROR(Prices!H964/Prices!H963-1,"")</f>
        <v/>
      </c>
      <c r="I965" s="149" t="str">
        <f ca="1">IFERROR(Prices!I964/Prices!I963-1,"")</f>
        <v/>
      </c>
      <c r="J965" s="150">
        <f t="shared" ca="1" si="16"/>
        <v>0</v>
      </c>
      <c r="K965" s="112"/>
      <c r="L965" s="112"/>
      <c r="M965" s="112"/>
    </row>
    <row r="966" spans="1:13" x14ac:dyDescent="0.3">
      <c r="A966" s="147" t="str">
        <f ca="1">Prices!$A$965</f>
        <v/>
      </c>
      <c r="B966" s="148" t="str">
        <f ca="1">IFERROR(Prices!B965/Prices!B964-1,"")</f>
        <v/>
      </c>
      <c r="C966" s="148" t="str">
        <f ca="1">IFERROR(Prices!C965/Prices!C964-1,"")</f>
        <v/>
      </c>
      <c r="D966" s="148" t="str">
        <f ca="1">IFERROR(Prices!D965/Prices!D964-1,"")</f>
        <v/>
      </c>
      <c r="E966" s="148" t="str">
        <f ca="1">IFERROR(Prices!E965/Prices!E964-1,"")</f>
        <v/>
      </c>
      <c r="F966" s="148" t="str">
        <f ca="1">IFERROR(Prices!F965/Prices!F964-1,"")</f>
        <v/>
      </c>
      <c r="G966" s="148" t="str">
        <f ca="1">IFERROR(Prices!G965/Prices!G964-1,"")</f>
        <v/>
      </c>
      <c r="H966" s="148" t="str">
        <f ca="1">IFERROR(Prices!H965/Prices!H964-1,"")</f>
        <v/>
      </c>
      <c r="I966" s="149" t="str">
        <f ca="1">IFERROR(Prices!I965/Prices!I964-1,"")</f>
        <v/>
      </c>
      <c r="J966" s="150">
        <f t="shared" ca="1" si="16"/>
        <v>0</v>
      </c>
      <c r="K966" s="112"/>
      <c r="L966" s="112"/>
      <c r="M966" s="112"/>
    </row>
    <row r="967" spans="1:13" x14ac:dyDescent="0.3">
      <c r="A967" s="147" t="str">
        <f ca="1">Prices!$A$966</f>
        <v/>
      </c>
      <c r="B967" s="148" t="str">
        <f ca="1">IFERROR(Prices!B966/Prices!B965-1,"")</f>
        <v/>
      </c>
      <c r="C967" s="148" t="str">
        <f ca="1">IFERROR(Prices!C966/Prices!C965-1,"")</f>
        <v/>
      </c>
      <c r="D967" s="148" t="str">
        <f ca="1">IFERROR(Prices!D966/Prices!D965-1,"")</f>
        <v/>
      </c>
      <c r="E967" s="148" t="str">
        <f ca="1">IFERROR(Prices!E966/Prices!E965-1,"")</f>
        <v/>
      </c>
      <c r="F967" s="148" t="str">
        <f ca="1">IFERROR(Prices!F966/Prices!F965-1,"")</f>
        <v/>
      </c>
      <c r="G967" s="148" t="str">
        <f ca="1">IFERROR(Prices!G966/Prices!G965-1,"")</f>
        <v/>
      </c>
      <c r="H967" s="148" t="str">
        <f ca="1">IFERROR(Prices!H966/Prices!H965-1,"")</f>
        <v/>
      </c>
      <c r="I967" s="149" t="str">
        <f ca="1">IFERROR(Prices!I966/Prices!I965-1,"")</f>
        <v/>
      </c>
      <c r="J967" s="150">
        <f t="shared" ref="J967:J1000" ca="1" si="17">IFERROR(SUMPRODUCT(Weights,$B967:$H967),"")</f>
        <v>0</v>
      </c>
      <c r="K967" s="112"/>
      <c r="L967" s="112"/>
      <c r="M967" s="112"/>
    </row>
    <row r="968" spans="1:13" x14ac:dyDescent="0.3">
      <c r="A968" s="147" t="str">
        <f ca="1">Prices!$A$967</f>
        <v/>
      </c>
      <c r="B968" s="148" t="str">
        <f ca="1">IFERROR(Prices!B967/Prices!B966-1,"")</f>
        <v/>
      </c>
      <c r="C968" s="148" t="str">
        <f ca="1">IFERROR(Prices!C967/Prices!C966-1,"")</f>
        <v/>
      </c>
      <c r="D968" s="148" t="str">
        <f ca="1">IFERROR(Prices!D967/Prices!D966-1,"")</f>
        <v/>
      </c>
      <c r="E968" s="148" t="str">
        <f ca="1">IFERROR(Prices!E967/Prices!E966-1,"")</f>
        <v/>
      </c>
      <c r="F968" s="148" t="str">
        <f ca="1">IFERROR(Prices!F967/Prices!F966-1,"")</f>
        <v/>
      </c>
      <c r="G968" s="148" t="str">
        <f ca="1">IFERROR(Prices!G967/Prices!G966-1,"")</f>
        <v/>
      </c>
      <c r="H968" s="148" t="str">
        <f ca="1">IFERROR(Prices!H967/Prices!H966-1,"")</f>
        <v/>
      </c>
      <c r="I968" s="149" t="str">
        <f ca="1">IFERROR(Prices!I967/Prices!I966-1,"")</f>
        <v/>
      </c>
      <c r="J968" s="150">
        <f t="shared" ca="1" si="17"/>
        <v>0</v>
      </c>
      <c r="K968" s="112"/>
      <c r="L968" s="112"/>
      <c r="M968" s="112"/>
    </row>
    <row r="969" spans="1:13" x14ac:dyDescent="0.3">
      <c r="A969" s="147" t="str">
        <f ca="1">Prices!$A$968</f>
        <v/>
      </c>
      <c r="B969" s="148" t="str">
        <f ca="1">IFERROR(Prices!B968/Prices!B967-1,"")</f>
        <v/>
      </c>
      <c r="C969" s="148" t="str">
        <f ca="1">IFERROR(Prices!C968/Prices!C967-1,"")</f>
        <v/>
      </c>
      <c r="D969" s="148" t="str">
        <f ca="1">IFERROR(Prices!D968/Prices!D967-1,"")</f>
        <v/>
      </c>
      <c r="E969" s="148" t="str">
        <f ca="1">IFERROR(Prices!E968/Prices!E967-1,"")</f>
        <v/>
      </c>
      <c r="F969" s="148" t="str">
        <f ca="1">IFERROR(Prices!F968/Prices!F967-1,"")</f>
        <v/>
      </c>
      <c r="G969" s="148" t="str">
        <f ca="1">IFERROR(Prices!G968/Prices!G967-1,"")</f>
        <v/>
      </c>
      <c r="H969" s="148" t="str">
        <f ca="1">IFERROR(Prices!H968/Prices!H967-1,"")</f>
        <v/>
      </c>
      <c r="I969" s="149" t="str">
        <f ca="1">IFERROR(Prices!I968/Prices!I967-1,"")</f>
        <v/>
      </c>
      <c r="J969" s="150">
        <f t="shared" ca="1" si="17"/>
        <v>0</v>
      </c>
      <c r="K969" s="112"/>
      <c r="L969" s="112"/>
      <c r="M969" s="112"/>
    </row>
    <row r="970" spans="1:13" x14ac:dyDescent="0.3">
      <c r="A970" s="147" t="str">
        <f ca="1">Prices!$A$969</f>
        <v/>
      </c>
      <c r="B970" s="148" t="str">
        <f ca="1">IFERROR(Prices!B969/Prices!B968-1,"")</f>
        <v/>
      </c>
      <c r="C970" s="148" t="str">
        <f ca="1">IFERROR(Prices!C969/Prices!C968-1,"")</f>
        <v/>
      </c>
      <c r="D970" s="148" t="str">
        <f ca="1">IFERROR(Prices!D969/Prices!D968-1,"")</f>
        <v/>
      </c>
      <c r="E970" s="148" t="str">
        <f ca="1">IFERROR(Prices!E969/Prices!E968-1,"")</f>
        <v/>
      </c>
      <c r="F970" s="148" t="str">
        <f ca="1">IFERROR(Prices!F969/Prices!F968-1,"")</f>
        <v/>
      </c>
      <c r="G970" s="148" t="str">
        <f ca="1">IFERROR(Prices!G969/Prices!G968-1,"")</f>
        <v/>
      </c>
      <c r="H970" s="148" t="str">
        <f ca="1">IFERROR(Prices!H969/Prices!H968-1,"")</f>
        <v/>
      </c>
      <c r="I970" s="149" t="str">
        <f ca="1">IFERROR(Prices!I969/Prices!I968-1,"")</f>
        <v/>
      </c>
      <c r="J970" s="150">
        <f t="shared" ca="1" si="17"/>
        <v>0</v>
      </c>
      <c r="K970" s="112"/>
      <c r="L970" s="112"/>
      <c r="M970" s="112"/>
    </row>
    <row r="971" spans="1:13" x14ac:dyDescent="0.3">
      <c r="A971" s="147" t="str">
        <f ca="1">Prices!$A$970</f>
        <v/>
      </c>
      <c r="B971" s="148" t="str">
        <f ca="1">IFERROR(Prices!B970/Prices!B969-1,"")</f>
        <v/>
      </c>
      <c r="C971" s="148" t="str">
        <f ca="1">IFERROR(Prices!C970/Prices!C969-1,"")</f>
        <v/>
      </c>
      <c r="D971" s="148" t="str">
        <f ca="1">IFERROR(Prices!D970/Prices!D969-1,"")</f>
        <v/>
      </c>
      <c r="E971" s="148" t="str">
        <f ca="1">IFERROR(Prices!E970/Prices!E969-1,"")</f>
        <v/>
      </c>
      <c r="F971" s="148" t="str">
        <f ca="1">IFERROR(Prices!F970/Prices!F969-1,"")</f>
        <v/>
      </c>
      <c r="G971" s="148" t="str">
        <f ca="1">IFERROR(Prices!G970/Prices!G969-1,"")</f>
        <v/>
      </c>
      <c r="H971" s="148" t="str">
        <f ca="1">IFERROR(Prices!H970/Prices!H969-1,"")</f>
        <v/>
      </c>
      <c r="I971" s="149" t="str">
        <f ca="1">IFERROR(Prices!I970/Prices!I969-1,"")</f>
        <v/>
      </c>
      <c r="J971" s="150">
        <f t="shared" ca="1" si="17"/>
        <v>0</v>
      </c>
      <c r="K971" s="112"/>
      <c r="L971" s="112"/>
      <c r="M971" s="112"/>
    </row>
    <row r="972" spans="1:13" x14ac:dyDescent="0.3">
      <c r="A972" s="147" t="str">
        <f ca="1">Prices!$A$971</f>
        <v/>
      </c>
      <c r="B972" s="148" t="str">
        <f ca="1">IFERROR(Prices!B971/Prices!B970-1,"")</f>
        <v/>
      </c>
      <c r="C972" s="148" t="str">
        <f ca="1">IFERROR(Prices!C971/Prices!C970-1,"")</f>
        <v/>
      </c>
      <c r="D972" s="148" t="str">
        <f ca="1">IFERROR(Prices!D971/Prices!D970-1,"")</f>
        <v/>
      </c>
      <c r="E972" s="148" t="str">
        <f ca="1">IFERROR(Prices!E971/Prices!E970-1,"")</f>
        <v/>
      </c>
      <c r="F972" s="148" t="str">
        <f ca="1">IFERROR(Prices!F971/Prices!F970-1,"")</f>
        <v/>
      </c>
      <c r="G972" s="148" t="str">
        <f ca="1">IFERROR(Prices!G971/Prices!G970-1,"")</f>
        <v/>
      </c>
      <c r="H972" s="148" t="str">
        <f ca="1">IFERROR(Prices!H971/Prices!H970-1,"")</f>
        <v/>
      </c>
      <c r="I972" s="149" t="str">
        <f ca="1">IFERROR(Prices!I971/Prices!I970-1,"")</f>
        <v/>
      </c>
      <c r="J972" s="150">
        <f t="shared" ca="1" si="17"/>
        <v>0</v>
      </c>
      <c r="K972" s="112"/>
      <c r="L972" s="112"/>
      <c r="M972" s="112"/>
    </row>
    <row r="973" spans="1:13" x14ac:dyDescent="0.3">
      <c r="A973" s="147" t="str">
        <f ca="1">Prices!$A$972</f>
        <v/>
      </c>
      <c r="B973" s="148" t="str">
        <f ca="1">IFERROR(Prices!B972/Prices!B971-1,"")</f>
        <v/>
      </c>
      <c r="C973" s="148" t="str">
        <f ca="1">IFERROR(Prices!C972/Prices!C971-1,"")</f>
        <v/>
      </c>
      <c r="D973" s="148" t="str">
        <f ca="1">IFERROR(Prices!D972/Prices!D971-1,"")</f>
        <v/>
      </c>
      <c r="E973" s="148" t="str">
        <f ca="1">IFERROR(Prices!E972/Prices!E971-1,"")</f>
        <v/>
      </c>
      <c r="F973" s="148" t="str">
        <f ca="1">IFERROR(Prices!F972/Prices!F971-1,"")</f>
        <v/>
      </c>
      <c r="G973" s="148" t="str">
        <f ca="1">IFERROR(Prices!G972/Prices!G971-1,"")</f>
        <v/>
      </c>
      <c r="H973" s="148" t="str">
        <f ca="1">IFERROR(Prices!H972/Prices!H971-1,"")</f>
        <v/>
      </c>
      <c r="I973" s="149" t="str">
        <f ca="1">IFERROR(Prices!I972/Prices!I971-1,"")</f>
        <v/>
      </c>
      <c r="J973" s="150">
        <f t="shared" ca="1" si="17"/>
        <v>0</v>
      </c>
      <c r="K973" s="112"/>
      <c r="L973" s="112"/>
      <c r="M973" s="112"/>
    </row>
    <row r="974" spans="1:13" x14ac:dyDescent="0.3">
      <c r="A974" s="147" t="str">
        <f ca="1">Prices!$A$973</f>
        <v/>
      </c>
      <c r="B974" s="148" t="str">
        <f ca="1">IFERROR(Prices!B973/Prices!B972-1,"")</f>
        <v/>
      </c>
      <c r="C974" s="148" t="str">
        <f ca="1">IFERROR(Prices!C973/Prices!C972-1,"")</f>
        <v/>
      </c>
      <c r="D974" s="148" t="str">
        <f ca="1">IFERROR(Prices!D973/Prices!D972-1,"")</f>
        <v/>
      </c>
      <c r="E974" s="148" t="str">
        <f ca="1">IFERROR(Prices!E973/Prices!E972-1,"")</f>
        <v/>
      </c>
      <c r="F974" s="148" t="str">
        <f ca="1">IFERROR(Prices!F973/Prices!F972-1,"")</f>
        <v/>
      </c>
      <c r="G974" s="148" t="str">
        <f ca="1">IFERROR(Prices!G973/Prices!G972-1,"")</f>
        <v/>
      </c>
      <c r="H974" s="148" t="str">
        <f ca="1">IFERROR(Prices!H973/Prices!H972-1,"")</f>
        <v/>
      </c>
      <c r="I974" s="149" t="str">
        <f ca="1">IFERROR(Prices!I973/Prices!I972-1,"")</f>
        <v/>
      </c>
      <c r="J974" s="150">
        <f t="shared" ca="1" si="17"/>
        <v>0</v>
      </c>
      <c r="K974" s="112"/>
      <c r="L974" s="112"/>
      <c r="M974" s="112"/>
    </row>
    <row r="975" spans="1:13" x14ac:dyDescent="0.3">
      <c r="A975" s="147" t="str">
        <f ca="1">Prices!$A$974</f>
        <v/>
      </c>
      <c r="B975" s="148" t="str">
        <f ca="1">IFERROR(Prices!B974/Prices!B973-1,"")</f>
        <v/>
      </c>
      <c r="C975" s="148" t="str">
        <f ca="1">IFERROR(Prices!C974/Prices!C973-1,"")</f>
        <v/>
      </c>
      <c r="D975" s="148" t="str">
        <f ca="1">IFERROR(Prices!D974/Prices!D973-1,"")</f>
        <v/>
      </c>
      <c r="E975" s="148" t="str">
        <f ca="1">IFERROR(Prices!E974/Prices!E973-1,"")</f>
        <v/>
      </c>
      <c r="F975" s="148" t="str">
        <f ca="1">IFERROR(Prices!F974/Prices!F973-1,"")</f>
        <v/>
      </c>
      <c r="G975" s="148" t="str">
        <f ca="1">IFERROR(Prices!G974/Prices!G973-1,"")</f>
        <v/>
      </c>
      <c r="H975" s="148" t="str">
        <f ca="1">IFERROR(Prices!H974/Prices!H973-1,"")</f>
        <v/>
      </c>
      <c r="I975" s="149" t="str">
        <f ca="1">IFERROR(Prices!I974/Prices!I973-1,"")</f>
        <v/>
      </c>
      <c r="J975" s="150">
        <f t="shared" ca="1" si="17"/>
        <v>0</v>
      </c>
      <c r="K975" s="112"/>
      <c r="L975" s="112"/>
      <c r="M975" s="112"/>
    </row>
    <row r="976" spans="1:13" x14ac:dyDescent="0.3">
      <c r="A976" s="147" t="str">
        <f ca="1">Prices!$A$975</f>
        <v/>
      </c>
      <c r="B976" s="148" t="str">
        <f ca="1">IFERROR(Prices!B975/Prices!B974-1,"")</f>
        <v/>
      </c>
      <c r="C976" s="148" t="str">
        <f ca="1">IFERROR(Prices!C975/Prices!C974-1,"")</f>
        <v/>
      </c>
      <c r="D976" s="148" t="str">
        <f ca="1">IFERROR(Prices!D975/Prices!D974-1,"")</f>
        <v/>
      </c>
      <c r="E976" s="148" t="str">
        <f ca="1">IFERROR(Prices!E975/Prices!E974-1,"")</f>
        <v/>
      </c>
      <c r="F976" s="148" t="str">
        <f ca="1">IFERROR(Prices!F975/Prices!F974-1,"")</f>
        <v/>
      </c>
      <c r="G976" s="148" t="str">
        <f ca="1">IFERROR(Prices!G975/Prices!G974-1,"")</f>
        <v/>
      </c>
      <c r="H976" s="148" t="str">
        <f ca="1">IFERROR(Prices!H975/Prices!H974-1,"")</f>
        <v/>
      </c>
      <c r="I976" s="149" t="str">
        <f ca="1">IFERROR(Prices!I975/Prices!I974-1,"")</f>
        <v/>
      </c>
      <c r="J976" s="150">
        <f t="shared" ca="1" si="17"/>
        <v>0</v>
      </c>
      <c r="K976" s="112"/>
      <c r="L976" s="112"/>
      <c r="M976" s="112"/>
    </row>
    <row r="977" spans="1:13" x14ac:dyDescent="0.3">
      <c r="A977" s="147" t="str">
        <f ca="1">Prices!$A$976</f>
        <v/>
      </c>
      <c r="B977" s="148" t="str">
        <f ca="1">IFERROR(Prices!B976/Prices!B975-1,"")</f>
        <v/>
      </c>
      <c r="C977" s="148" t="str">
        <f ca="1">IFERROR(Prices!C976/Prices!C975-1,"")</f>
        <v/>
      </c>
      <c r="D977" s="148" t="str">
        <f ca="1">IFERROR(Prices!D976/Prices!D975-1,"")</f>
        <v/>
      </c>
      <c r="E977" s="148" t="str">
        <f ca="1">IFERROR(Prices!E976/Prices!E975-1,"")</f>
        <v/>
      </c>
      <c r="F977" s="148" t="str">
        <f ca="1">IFERROR(Prices!F976/Prices!F975-1,"")</f>
        <v/>
      </c>
      <c r="G977" s="148" t="str">
        <f ca="1">IFERROR(Prices!G976/Prices!G975-1,"")</f>
        <v/>
      </c>
      <c r="H977" s="148" t="str">
        <f ca="1">IFERROR(Prices!H976/Prices!H975-1,"")</f>
        <v/>
      </c>
      <c r="I977" s="149" t="str">
        <f ca="1">IFERROR(Prices!I976/Prices!I975-1,"")</f>
        <v/>
      </c>
      <c r="J977" s="150">
        <f t="shared" ca="1" si="17"/>
        <v>0</v>
      </c>
      <c r="K977" s="112"/>
      <c r="L977" s="112"/>
      <c r="M977" s="112"/>
    </row>
    <row r="978" spans="1:13" x14ac:dyDescent="0.3">
      <c r="A978" s="147" t="str">
        <f ca="1">Prices!$A$977</f>
        <v/>
      </c>
      <c r="B978" s="148" t="str">
        <f ca="1">IFERROR(Prices!B977/Prices!B976-1,"")</f>
        <v/>
      </c>
      <c r="C978" s="148" t="str">
        <f ca="1">IFERROR(Prices!C977/Prices!C976-1,"")</f>
        <v/>
      </c>
      <c r="D978" s="148" t="str">
        <f ca="1">IFERROR(Prices!D977/Prices!D976-1,"")</f>
        <v/>
      </c>
      <c r="E978" s="148" t="str">
        <f ca="1">IFERROR(Prices!E977/Prices!E976-1,"")</f>
        <v/>
      </c>
      <c r="F978" s="148" t="str">
        <f ca="1">IFERROR(Prices!F977/Prices!F976-1,"")</f>
        <v/>
      </c>
      <c r="G978" s="148" t="str">
        <f ca="1">IFERROR(Prices!G977/Prices!G976-1,"")</f>
        <v/>
      </c>
      <c r="H978" s="148" t="str">
        <f ca="1">IFERROR(Prices!H977/Prices!H976-1,"")</f>
        <v/>
      </c>
      <c r="I978" s="149" t="str">
        <f ca="1">IFERROR(Prices!I977/Prices!I976-1,"")</f>
        <v/>
      </c>
      <c r="J978" s="150">
        <f t="shared" ca="1" si="17"/>
        <v>0</v>
      </c>
      <c r="K978" s="112"/>
      <c r="L978" s="112"/>
      <c r="M978" s="112"/>
    </row>
    <row r="979" spans="1:13" x14ac:dyDescent="0.3">
      <c r="A979" s="147" t="str">
        <f ca="1">Prices!$A$978</f>
        <v/>
      </c>
      <c r="B979" s="148" t="str">
        <f ca="1">IFERROR(Prices!B978/Prices!B977-1,"")</f>
        <v/>
      </c>
      <c r="C979" s="148" t="str">
        <f ca="1">IFERROR(Prices!C978/Prices!C977-1,"")</f>
        <v/>
      </c>
      <c r="D979" s="148" t="str">
        <f ca="1">IFERROR(Prices!D978/Prices!D977-1,"")</f>
        <v/>
      </c>
      <c r="E979" s="148" t="str">
        <f ca="1">IFERROR(Prices!E978/Prices!E977-1,"")</f>
        <v/>
      </c>
      <c r="F979" s="148" t="str">
        <f ca="1">IFERROR(Prices!F978/Prices!F977-1,"")</f>
        <v/>
      </c>
      <c r="G979" s="148" t="str">
        <f ca="1">IFERROR(Prices!G978/Prices!G977-1,"")</f>
        <v/>
      </c>
      <c r="H979" s="148" t="str">
        <f ca="1">IFERROR(Prices!H978/Prices!H977-1,"")</f>
        <v/>
      </c>
      <c r="I979" s="149" t="str">
        <f ca="1">IFERROR(Prices!I978/Prices!I977-1,"")</f>
        <v/>
      </c>
      <c r="J979" s="150">
        <f t="shared" ca="1" si="17"/>
        <v>0</v>
      </c>
      <c r="K979" s="112"/>
      <c r="L979" s="112"/>
      <c r="M979" s="112"/>
    </row>
    <row r="980" spans="1:13" x14ac:dyDescent="0.3">
      <c r="A980" s="147" t="str">
        <f ca="1">Prices!$A$979</f>
        <v/>
      </c>
      <c r="B980" s="148" t="str">
        <f ca="1">IFERROR(Prices!B979/Prices!B978-1,"")</f>
        <v/>
      </c>
      <c r="C980" s="148" t="str">
        <f ca="1">IFERROR(Prices!C979/Prices!C978-1,"")</f>
        <v/>
      </c>
      <c r="D980" s="148" t="str">
        <f ca="1">IFERROR(Prices!D979/Prices!D978-1,"")</f>
        <v/>
      </c>
      <c r="E980" s="148" t="str">
        <f ca="1">IFERROR(Prices!E979/Prices!E978-1,"")</f>
        <v/>
      </c>
      <c r="F980" s="148" t="str">
        <f ca="1">IFERROR(Prices!F979/Prices!F978-1,"")</f>
        <v/>
      </c>
      <c r="G980" s="148" t="str">
        <f ca="1">IFERROR(Prices!G979/Prices!G978-1,"")</f>
        <v/>
      </c>
      <c r="H980" s="148" t="str">
        <f ca="1">IFERROR(Prices!H979/Prices!H978-1,"")</f>
        <v/>
      </c>
      <c r="I980" s="149" t="str">
        <f ca="1">IFERROR(Prices!I979/Prices!I978-1,"")</f>
        <v/>
      </c>
      <c r="J980" s="150">
        <f t="shared" ca="1" si="17"/>
        <v>0</v>
      </c>
      <c r="K980" s="112"/>
      <c r="L980" s="112"/>
      <c r="M980" s="112"/>
    </row>
    <row r="981" spans="1:13" x14ac:dyDescent="0.3">
      <c r="A981" s="147" t="str">
        <f ca="1">Prices!$A$980</f>
        <v/>
      </c>
      <c r="B981" s="148" t="str">
        <f ca="1">IFERROR(Prices!B980/Prices!B979-1,"")</f>
        <v/>
      </c>
      <c r="C981" s="148" t="str">
        <f ca="1">IFERROR(Prices!C980/Prices!C979-1,"")</f>
        <v/>
      </c>
      <c r="D981" s="148" t="str">
        <f ca="1">IFERROR(Prices!D980/Prices!D979-1,"")</f>
        <v/>
      </c>
      <c r="E981" s="148" t="str">
        <f ca="1">IFERROR(Prices!E980/Prices!E979-1,"")</f>
        <v/>
      </c>
      <c r="F981" s="148" t="str">
        <f ca="1">IFERROR(Prices!F980/Prices!F979-1,"")</f>
        <v/>
      </c>
      <c r="G981" s="148" t="str">
        <f ca="1">IFERROR(Prices!G980/Prices!G979-1,"")</f>
        <v/>
      </c>
      <c r="H981" s="148" t="str">
        <f ca="1">IFERROR(Prices!H980/Prices!H979-1,"")</f>
        <v/>
      </c>
      <c r="I981" s="149" t="str">
        <f ca="1">IFERROR(Prices!I980/Prices!I979-1,"")</f>
        <v/>
      </c>
      <c r="J981" s="150">
        <f t="shared" ca="1" si="17"/>
        <v>0</v>
      </c>
      <c r="K981" s="112"/>
      <c r="L981" s="112"/>
      <c r="M981" s="112"/>
    </row>
    <row r="982" spans="1:13" x14ac:dyDescent="0.3">
      <c r="A982" s="147" t="str">
        <f ca="1">Prices!$A$981</f>
        <v/>
      </c>
      <c r="B982" s="148" t="str">
        <f ca="1">IFERROR(Prices!B981/Prices!B980-1,"")</f>
        <v/>
      </c>
      <c r="C982" s="148" t="str">
        <f ca="1">IFERROR(Prices!C981/Prices!C980-1,"")</f>
        <v/>
      </c>
      <c r="D982" s="148" t="str">
        <f ca="1">IFERROR(Prices!D981/Prices!D980-1,"")</f>
        <v/>
      </c>
      <c r="E982" s="148" t="str">
        <f ca="1">IFERROR(Prices!E981/Prices!E980-1,"")</f>
        <v/>
      </c>
      <c r="F982" s="148" t="str">
        <f ca="1">IFERROR(Prices!F981/Prices!F980-1,"")</f>
        <v/>
      </c>
      <c r="G982" s="148" t="str">
        <f ca="1">IFERROR(Prices!G981/Prices!G980-1,"")</f>
        <v/>
      </c>
      <c r="H982" s="148" t="str">
        <f ca="1">IFERROR(Prices!H981/Prices!H980-1,"")</f>
        <v/>
      </c>
      <c r="I982" s="149" t="str">
        <f ca="1">IFERROR(Prices!I981/Prices!I980-1,"")</f>
        <v/>
      </c>
      <c r="J982" s="150">
        <f t="shared" ca="1" si="17"/>
        <v>0</v>
      </c>
      <c r="K982" s="112"/>
      <c r="L982" s="112"/>
      <c r="M982" s="112"/>
    </row>
    <row r="983" spans="1:13" x14ac:dyDescent="0.3">
      <c r="A983" s="147" t="str">
        <f ca="1">Prices!$A$982</f>
        <v/>
      </c>
      <c r="B983" s="148" t="str">
        <f ca="1">IFERROR(Prices!B982/Prices!B981-1,"")</f>
        <v/>
      </c>
      <c r="C983" s="148" t="str">
        <f ca="1">IFERROR(Prices!C982/Prices!C981-1,"")</f>
        <v/>
      </c>
      <c r="D983" s="148" t="str">
        <f ca="1">IFERROR(Prices!D982/Prices!D981-1,"")</f>
        <v/>
      </c>
      <c r="E983" s="148" t="str">
        <f ca="1">IFERROR(Prices!E982/Prices!E981-1,"")</f>
        <v/>
      </c>
      <c r="F983" s="148" t="str">
        <f ca="1">IFERROR(Prices!F982/Prices!F981-1,"")</f>
        <v/>
      </c>
      <c r="G983" s="148" t="str">
        <f ca="1">IFERROR(Prices!G982/Prices!G981-1,"")</f>
        <v/>
      </c>
      <c r="H983" s="148" t="str">
        <f ca="1">IFERROR(Prices!H982/Prices!H981-1,"")</f>
        <v/>
      </c>
      <c r="I983" s="149" t="str">
        <f ca="1">IFERROR(Prices!I982/Prices!I981-1,"")</f>
        <v/>
      </c>
      <c r="J983" s="150">
        <f t="shared" ca="1" si="17"/>
        <v>0</v>
      </c>
      <c r="K983" s="112"/>
      <c r="L983" s="112"/>
      <c r="M983" s="112"/>
    </row>
    <row r="984" spans="1:13" x14ac:dyDescent="0.3">
      <c r="A984" s="147" t="str">
        <f ca="1">Prices!$A$983</f>
        <v/>
      </c>
      <c r="B984" s="148" t="str">
        <f ca="1">IFERROR(Prices!B983/Prices!B982-1,"")</f>
        <v/>
      </c>
      <c r="C984" s="148" t="str">
        <f ca="1">IFERROR(Prices!C983/Prices!C982-1,"")</f>
        <v/>
      </c>
      <c r="D984" s="148" t="str">
        <f ca="1">IFERROR(Prices!D983/Prices!D982-1,"")</f>
        <v/>
      </c>
      <c r="E984" s="148" t="str">
        <f ca="1">IFERROR(Prices!E983/Prices!E982-1,"")</f>
        <v/>
      </c>
      <c r="F984" s="148" t="str">
        <f ca="1">IFERROR(Prices!F983/Prices!F982-1,"")</f>
        <v/>
      </c>
      <c r="G984" s="148" t="str">
        <f ca="1">IFERROR(Prices!G983/Prices!G982-1,"")</f>
        <v/>
      </c>
      <c r="H984" s="148" t="str">
        <f ca="1">IFERROR(Prices!H983/Prices!H982-1,"")</f>
        <v/>
      </c>
      <c r="I984" s="149" t="str">
        <f ca="1">IFERROR(Prices!I983/Prices!I982-1,"")</f>
        <v/>
      </c>
      <c r="J984" s="150">
        <f t="shared" ca="1" si="17"/>
        <v>0</v>
      </c>
      <c r="K984" s="112"/>
      <c r="L984" s="112"/>
      <c r="M984" s="112"/>
    </row>
    <row r="985" spans="1:13" x14ac:dyDescent="0.3">
      <c r="A985" s="147" t="str">
        <f ca="1">Prices!$A$984</f>
        <v/>
      </c>
      <c r="B985" s="148" t="str">
        <f ca="1">IFERROR(Prices!B984/Prices!B983-1,"")</f>
        <v/>
      </c>
      <c r="C985" s="148" t="str">
        <f ca="1">IFERROR(Prices!C984/Prices!C983-1,"")</f>
        <v/>
      </c>
      <c r="D985" s="148" t="str">
        <f ca="1">IFERROR(Prices!D984/Prices!D983-1,"")</f>
        <v/>
      </c>
      <c r="E985" s="148" t="str">
        <f ca="1">IFERROR(Prices!E984/Prices!E983-1,"")</f>
        <v/>
      </c>
      <c r="F985" s="148" t="str">
        <f ca="1">IFERROR(Prices!F984/Prices!F983-1,"")</f>
        <v/>
      </c>
      <c r="G985" s="148" t="str">
        <f ca="1">IFERROR(Prices!G984/Prices!G983-1,"")</f>
        <v/>
      </c>
      <c r="H985" s="148" t="str">
        <f ca="1">IFERROR(Prices!H984/Prices!H983-1,"")</f>
        <v/>
      </c>
      <c r="I985" s="149" t="str">
        <f ca="1">IFERROR(Prices!I984/Prices!I983-1,"")</f>
        <v/>
      </c>
      <c r="J985" s="150">
        <f t="shared" ca="1" si="17"/>
        <v>0</v>
      </c>
      <c r="K985" s="112"/>
      <c r="L985" s="112"/>
      <c r="M985" s="112"/>
    </row>
    <row r="986" spans="1:13" x14ac:dyDescent="0.3">
      <c r="A986" s="147" t="str">
        <f ca="1">Prices!$A$985</f>
        <v/>
      </c>
      <c r="B986" s="148" t="str">
        <f ca="1">IFERROR(Prices!B985/Prices!B984-1,"")</f>
        <v/>
      </c>
      <c r="C986" s="148" t="str">
        <f ca="1">IFERROR(Prices!C985/Prices!C984-1,"")</f>
        <v/>
      </c>
      <c r="D986" s="148" t="str">
        <f ca="1">IFERROR(Prices!D985/Prices!D984-1,"")</f>
        <v/>
      </c>
      <c r="E986" s="148" t="str">
        <f ca="1">IFERROR(Prices!E985/Prices!E984-1,"")</f>
        <v/>
      </c>
      <c r="F986" s="148" t="str">
        <f ca="1">IFERROR(Prices!F985/Prices!F984-1,"")</f>
        <v/>
      </c>
      <c r="G986" s="148" t="str">
        <f ca="1">IFERROR(Prices!G985/Prices!G984-1,"")</f>
        <v/>
      </c>
      <c r="H986" s="148" t="str">
        <f ca="1">IFERROR(Prices!H985/Prices!H984-1,"")</f>
        <v/>
      </c>
      <c r="I986" s="149" t="str">
        <f ca="1">IFERROR(Prices!I985/Prices!I984-1,"")</f>
        <v/>
      </c>
      <c r="J986" s="150">
        <f t="shared" ca="1" si="17"/>
        <v>0</v>
      </c>
      <c r="K986" s="112"/>
      <c r="L986" s="112"/>
      <c r="M986" s="112"/>
    </row>
    <row r="987" spans="1:13" x14ac:dyDescent="0.3">
      <c r="A987" s="147" t="str">
        <f ca="1">Prices!$A$986</f>
        <v/>
      </c>
      <c r="B987" s="148" t="str">
        <f ca="1">IFERROR(Prices!B986/Prices!B985-1,"")</f>
        <v/>
      </c>
      <c r="C987" s="148" t="str">
        <f ca="1">IFERROR(Prices!C986/Prices!C985-1,"")</f>
        <v/>
      </c>
      <c r="D987" s="148" t="str">
        <f ca="1">IFERROR(Prices!D986/Prices!D985-1,"")</f>
        <v/>
      </c>
      <c r="E987" s="148" t="str">
        <f ca="1">IFERROR(Prices!E986/Prices!E985-1,"")</f>
        <v/>
      </c>
      <c r="F987" s="148" t="str">
        <f ca="1">IFERROR(Prices!F986/Prices!F985-1,"")</f>
        <v/>
      </c>
      <c r="G987" s="148" t="str">
        <f ca="1">IFERROR(Prices!G986/Prices!G985-1,"")</f>
        <v/>
      </c>
      <c r="H987" s="148" t="str">
        <f ca="1">IFERROR(Prices!H986/Prices!H985-1,"")</f>
        <v/>
      </c>
      <c r="I987" s="149" t="str">
        <f ca="1">IFERROR(Prices!I986/Prices!I985-1,"")</f>
        <v/>
      </c>
      <c r="J987" s="150">
        <f t="shared" ca="1" si="17"/>
        <v>0</v>
      </c>
      <c r="K987" s="112"/>
      <c r="L987" s="112"/>
      <c r="M987" s="112"/>
    </row>
    <row r="988" spans="1:13" x14ac:dyDescent="0.3">
      <c r="A988" s="147" t="str">
        <f ca="1">Prices!$A$987</f>
        <v/>
      </c>
      <c r="B988" s="148" t="str">
        <f ca="1">IFERROR(Prices!B987/Prices!B986-1,"")</f>
        <v/>
      </c>
      <c r="C988" s="148" t="str">
        <f ca="1">IFERROR(Prices!C987/Prices!C986-1,"")</f>
        <v/>
      </c>
      <c r="D988" s="148" t="str">
        <f ca="1">IFERROR(Prices!D987/Prices!D986-1,"")</f>
        <v/>
      </c>
      <c r="E988" s="148" t="str">
        <f ca="1">IFERROR(Prices!E987/Prices!E986-1,"")</f>
        <v/>
      </c>
      <c r="F988" s="148" t="str">
        <f ca="1">IFERROR(Prices!F987/Prices!F986-1,"")</f>
        <v/>
      </c>
      <c r="G988" s="148" t="str">
        <f ca="1">IFERROR(Prices!G987/Prices!G986-1,"")</f>
        <v/>
      </c>
      <c r="H988" s="148" t="str">
        <f ca="1">IFERROR(Prices!H987/Prices!H986-1,"")</f>
        <v/>
      </c>
      <c r="I988" s="149" t="str">
        <f ca="1">IFERROR(Prices!I987/Prices!I986-1,"")</f>
        <v/>
      </c>
      <c r="J988" s="150">
        <f t="shared" ca="1" si="17"/>
        <v>0</v>
      </c>
      <c r="K988" s="112"/>
      <c r="L988" s="112"/>
      <c r="M988" s="112"/>
    </row>
    <row r="989" spans="1:13" x14ac:dyDescent="0.3">
      <c r="A989" s="147" t="str">
        <f ca="1">Prices!$A$988</f>
        <v/>
      </c>
      <c r="B989" s="148" t="str">
        <f ca="1">IFERROR(Prices!B988/Prices!B987-1,"")</f>
        <v/>
      </c>
      <c r="C989" s="148" t="str">
        <f ca="1">IFERROR(Prices!C988/Prices!C987-1,"")</f>
        <v/>
      </c>
      <c r="D989" s="148" t="str">
        <f ca="1">IFERROR(Prices!D988/Prices!D987-1,"")</f>
        <v/>
      </c>
      <c r="E989" s="148" t="str">
        <f ca="1">IFERROR(Prices!E988/Prices!E987-1,"")</f>
        <v/>
      </c>
      <c r="F989" s="148" t="str">
        <f ca="1">IFERROR(Prices!F988/Prices!F987-1,"")</f>
        <v/>
      </c>
      <c r="G989" s="148" t="str">
        <f ca="1">IFERROR(Prices!G988/Prices!G987-1,"")</f>
        <v/>
      </c>
      <c r="H989" s="148" t="str">
        <f ca="1">IFERROR(Prices!H988/Prices!H987-1,"")</f>
        <v/>
      </c>
      <c r="I989" s="149" t="str">
        <f ca="1">IFERROR(Prices!I988/Prices!I987-1,"")</f>
        <v/>
      </c>
      <c r="J989" s="150">
        <f t="shared" ca="1" si="17"/>
        <v>0</v>
      </c>
      <c r="K989" s="112"/>
      <c r="L989" s="112"/>
      <c r="M989" s="112"/>
    </row>
    <row r="990" spans="1:13" x14ac:dyDescent="0.3">
      <c r="A990" s="147" t="str">
        <f ca="1">Prices!$A$989</f>
        <v/>
      </c>
      <c r="B990" s="148" t="str">
        <f ca="1">IFERROR(Prices!B989/Prices!B988-1,"")</f>
        <v/>
      </c>
      <c r="C990" s="148" t="str">
        <f ca="1">IFERROR(Prices!C989/Prices!C988-1,"")</f>
        <v/>
      </c>
      <c r="D990" s="148" t="str">
        <f ca="1">IFERROR(Prices!D989/Prices!D988-1,"")</f>
        <v/>
      </c>
      <c r="E990" s="148" t="str">
        <f ca="1">IFERROR(Prices!E989/Prices!E988-1,"")</f>
        <v/>
      </c>
      <c r="F990" s="148" t="str">
        <f ca="1">IFERROR(Prices!F989/Prices!F988-1,"")</f>
        <v/>
      </c>
      <c r="G990" s="148" t="str">
        <f ca="1">IFERROR(Prices!G989/Prices!G988-1,"")</f>
        <v/>
      </c>
      <c r="H990" s="148" t="str">
        <f ca="1">IFERROR(Prices!H989/Prices!H988-1,"")</f>
        <v/>
      </c>
      <c r="I990" s="149" t="str">
        <f ca="1">IFERROR(Prices!I989/Prices!I988-1,"")</f>
        <v/>
      </c>
      <c r="J990" s="150">
        <f t="shared" ca="1" si="17"/>
        <v>0</v>
      </c>
      <c r="K990" s="112"/>
      <c r="L990" s="112"/>
      <c r="M990" s="112"/>
    </row>
    <row r="991" spans="1:13" x14ac:dyDescent="0.3">
      <c r="A991" s="147" t="str">
        <f ca="1">Prices!$A$990</f>
        <v/>
      </c>
      <c r="B991" s="148" t="str">
        <f ca="1">IFERROR(Prices!B990/Prices!B989-1,"")</f>
        <v/>
      </c>
      <c r="C991" s="148" t="str">
        <f ca="1">IFERROR(Prices!C990/Prices!C989-1,"")</f>
        <v/>
      </c>
      <c r="D991" s="148" t="str">
        <f ca="1">IFERROR(Prices!D990/Prices!D989-1,"")</f>
        <v/>
      </c>
      <c r="E991" s="148" t="str">
        <f ca="1">IFERROR(Prices!E990/Prices!E989-1,"")</f>
        <v/>
      </c>
      <c r="F991" s="148" t="str">
        <f ca="1">IFERROR(Prices!F990/Prices!F989-1,"")</f>
        <v/>
      </c>
      <c r="G991" s="148" t="str">
        <f ca="1">IFERROR(Prices!G990/Prices!G989-1,"")</f>
        <v/>
      </c>
      <c r="H991" s="148" t="str">
        <f ca="1">IFERROR(Prices!H990/Prices!H989-1,"")</f>
        <v/>
      </c>
      <c r="I991" s="149" t="str">
        <f ca="1">IFERROR(Prices!I990/Prices!I989-1,"")</f>
        <v/>
      </c>
      <c r="J991" s="150">
        <f t="shared" ca="1" si="17"/>
        <v>0</v>
      </c>
      <c r="K991" s="112"/>
      <c r="L991" s="112"/>
      <c r="M991" s="112"/>
    </row>
    <row r="992" spans="1:13" x14ac:dyDescent="0.3">
      <c r="A992" s="147" t="str">
        <f ca="1">Prices!$A$991</f>
        <v/>
      </c>
      <c r="B992" s="148" t="str">
        <f ca="1">IFERROR(Prices!B991/Prices!B990-1,"")</f>
        <v/>
      </c>
      <c r="C992" s="148" t="str">
        <f ca="1">IFERROR(Prices!C991/Prices!C990-1,"")</f>
        <v/>
      </c>
      <c r="D992" s="148" t="str">
        <f ca="1">IFERROR(Prices!D991/Prices!D990-1,"")</f>
        <v/>
      </c>
      <c r="E992" s="148" t="str">
        <f ca="1">IFERROR(Prices!E991/Prices!E990-1,"")</f>
        <v/>
      </c>
      <c r="F992" s="148" t="str">
        <f ca="1">IFERROR(Prices!F991/Prices!F990-1,"")</f>
        <v/>
      </c>
      <c r="G992" s="148" t="str">
        <f ca="1">IFERROR(Prices!G991/Prices!G990-1,"")</f>
        <v/>
      </c>
      <c r="H992" s="148" t="str">
        <f ca="1">IFERROR(Prices!H991/Prices!H990-1,"")</f>
        <v/>
      </c>
      <c r="I992" s="149" t="str">
        <f ca="1">IFERROR(Prices!I991/Prices!I990-1,"")</f>
        <v/>
      </c>
      <c r="J992" s="150">
        <f t="shared" ca="1" si="17"/>
        <v>0</v>
      </c>
      <c r="K992" s="112"/>
      <c r="L992" s="112"/>
      <c r="M992" s="112"/>
    </row>
    <row r="993" spans="1:13" x14ac:dyDescent="0.3">
      <c r="A993" s="147" t="str">
        <f ca="1">Prices!$A$992</f>
        <v/>
      </c>
      <c r="B993" s="148" t="str">
        <f ca="1">IFERROR(Prices!B992/Prices!B991-1,"")</f>
        <v/>
      </c>
      <c r="C993" s="148" t="str">
        <f ca="1">IFERROR(Prices!C992/Prices!C991-1,"")</f>
        <v/>
      </c>
      <c r="D993" s="148" t="str">
        <f ca="1">IFERROR(Prices!D992/Prices!D991-1,"")</f>
        <v/>
      </c>
      <c r="E993" s="148" t="str">
        <f ca="1">IFERROR(Prices!E992/Prices!E991-1,"")</f>
        <v/>
      </c>
      <c r="F993" s="148" t="str">
        <f ca="1">IFERROR(Prices!F992/Prices!F991-1,"")</f>
        <v/>
      </c>
      <c r="G993" s="148" t="str">
        <f ca="1">IFERROR(Prices!G992/Prices!G991-1,"")</f>
        <v/>
      </c>
      <c r="H993" s="148" t="str">
        <f ca="1">IFERROR(Prices!H992/Prices!H991-1,"")</f>
        <v/>
      </c>
      <c r="I993" s="149" t="str">
        <f ca="1">IFERROR(Prices!I992/Prices!I991-1,"")</f>
        <v/>
      </c>
      <c r="J993" s="150">
        <f t="shared" ca="1" si="17"/>
        <v>0</v>
      </c>
      <c r="K993" s="112"/>
      <c r="L993" s="112"/>
      <c r="M993" s="112"/>
    </row>
    <row r="994" spans="1:13" x14ac:dyDescent="0.3">
      <c r="A994" s="147" t="str">
        <f ca="1">Prices!$A$993</f>
        <v/>
      </c>
      <c r="B994" s="148" t="str">
        <f ca="1">IFERROR(Prices!B993/Prices!B992-1,"")</f>
        <v/>
      </c>
      <c r="C994" s="148" t="str">
        <f ca="1">IFERROR(Prices!C993/Prices!C992-1,"")</f>
        <v/>
      </c>
      <c r="D994" s="148" t="str">
        <f ca="1">IFERROR(Prices!D993/Prices!D992-1,"")</f>
        <v/>
      </c>
      <c r="E994" s="148" t="str">
        <f ca="1">IFERROR(Prices!E993/Prices!E992-1,"")</f>
        <v/>
      </c>
      <c r="F994" s="148" t="str">
        <f ca="1">IFERROR(Prices!F993/Prices!F992-1,"")</f>
        <v/>
      </c>
      <c r="G994" s="148" t="str">
        <f ca="1">IFERROR(Prices!G993/Prices!G992-1,"")</f>
        <v/>
      </c>
      <c r="H994" s="148" t="str">
        <f ca="1">IFERROR(Prices!H993/Prices!H992-1,"")</f>
        <v/>
      </c>
      <c r="I994" s="149" t="str">
        <f ca="1">IFERROR(Prices!I993/Prices!I992-1,"")</f>
        <v/>
      </c>
      <c r="J994" s="150">
        <f t="shared" ca="1" si="17"/>
        <v>0</v>
      </c>
      <c r="K994" s="112"/>
      <c r="L994" s="112"/>
      <c r="M994" s="112"/>
    </row>
    <row r="995" spans="1:13" x14ac:dyDescent="0.3">
      <c r="A995" s="147" t="str">
        <f ca="1">Prices!$A$994</f>
        <v/>
      </c>
      <c r="B995" s="148" t="str">
        <f ca="1">IFERROR(Prices!B994/Prices!B993-1,"")</f>
        <v/>
      </c>
      <c r="C995" s="148" t="str">
        <f ca="1">IFERROR(Prices!C994/Prices!C993-1,"")</f>
        <v/>
      </c>
      <c r="D995" s="148" t="str">
        <f ca="1">IFERROR(Prices!D994/Prices!D993-1,"")</f>
        <v/>
      </c>
      <c r="E995" s="148" t="str">
        <f ca="1">IFERROR(Prices!E994/Prices!E993-1,"")</f>
        <v/>
      </c>
      <c r="F995" s="148" t="str">
        <f ca="1">IFERROR(Prices!F994/Prices!F993-1,"")</f>
        <v/>
      </c>
      <c r="G995" s="148" t="str">
        <f ca="1">IFERROR(Prices!G994/Prices!G993-1,"")</f>
        <v/>
      </c>
      <c r="H995" s="148" t="str">
        <f ca="1">IFERROR(Prices!H994/Prices!H993-1,"")</f>
        <v/>
      </c>
      <c r="I995" s="149" t="str">
        <f ca="1">IFERROR(Prices!I994/Prices!I993-1,"")</f>
        <v/>
      </c>
      <c r="J995" s="150">
        <f t="shared" ca="1" si="17"/>
        <v>0</v>
      </c>
      <c r="K995" s="112"/>
      <c r="L995" s="112"/>
      <c r="M995" s="112"/>
    </row>
    <row r="996" spans="1:13" x14ac:dyDescent="0.3">
      <c r="A996" s="147" t="str">
        <f ca="1">Prices!$A$995</f>
        <v/>
      </c>
      <c r="B996" s="148" t="str">
        <f ca="1">IFERROR(Prices!B995/Prices!B994-1,"")</f>
        <v/>
      </c>
      <c r="C996" s="148" t="str">
        <f ca="1">IFERROR(Prices!C995/Prices!C994-1,"")</f>
        <v/>
      </c>
      <c r="D996" s="148" t="str">
        <f ca="1">IFERROR(Prices!D995/Prices!D994-1,"")</f>
        <v/>
      </c>
      <c r="E996" s="148" t="str">
        <f ca="1">IFERROR(Prices!E995/Prices!E994-1,"")</f>
        <v/>
      </c>
      <c r="F996" s="148" t="str">
        <f ca="1">IFERROR(Prices!F995/Prices!F994-1,"")</f>
        <v/>
      </c>
      <c r="G996" s="148" t="str">
        <f ca="1">IFERROR(Prices!G995/Prices!G994-1,"")</f>
        <v/>
      </c>
      <c r="H996" s="148" t="str">
        <f ca="1">IFERROR(Prices!H995/Prices!H994-1,"")</f>
        <v/>
      </c>
      <c r="I996" s="149" t="str">
        <f ca="1">IFERROR(Prices!I995/Prices!I994-1,"")</f>
        <v/>
      </c>
      <c r="J996" s="150">
        <f t="shared" ca="1" si="17"/>
        <v>0</v>
      </c>
      <c r="K996" s="112"/>
      <c r="L996" s="112"/>
      <c r="M996" s="112"/>
    </row>
    <row r="997" spans="1:13" x14ac:dyDescent="0.3">
      <c r="A997" s="147" t="str">
        <f ca="1">Prices!$A$996</f>
        <v/>
      </c>
      <c r="B997" s="148" t="str">
        <f ca="1">IFERROR(Prices!B996/Prices!B995-1,"")</f>
        <v/>
      </c>
      <c r="C997" s="148" t="str">
        <f ca="1">IFERROR(Prices!C996/Prices!C995-1,"")</f>
        <v/>
      </c>
      <c r="D997" s="148" t="str">
        <f ca="1">IFERROR(Prices!D996/Prices!D995-1,"")</f>
        <v/>
      </c>
      <c r="E997" s="148" t="str">
        <f ca="1">IFERROR(Prices!E996/Prices!E995-1,"")</f>
        <v/>
      </c>
      <c r="F997" s="148" t="str">
        <f ca="1">IFERROR(Prices!F996/Prices!F995-1,"")</f>
        <v/>
      </c>
      <c r="G997" s="148" t="str">
        <f ca="1">IFERROR(Prices!G996/Prices!G995-1,"")</f>
        <v/>
      </c>
      <c r="H997" s="148" t="str">
        <f ca="1">IFERROR(Prices!H996/Prices!H995-1,"")</f>
        <v/>
      </c>
      <c r="I997" s="149" t="str">
        <f ca="1">IFERROR(Prices!I996/Prices!I995-1,"")</f>
        <v/>
      </c>
      <c r="J997" s="150">
        <f t="shared" ca="1" si="17"/>
        <v>0</v>
      </c>
      <c r="K997" s="112"/>
      <c r="L997" s="112"/>
      <c r="M997" s="112"/>
    </row>
    <row r="998" spans="1:13" x14ac:dyDescent="0.3">
      <c r="A998" s="147" t="str">
        <f ca="1">Prices!$A$997</f>
        <v/>
      </c>
      <c r="B998" s="148" t="str">
        <f ca="1">IFERROR(Prices!B997/Prices!B996-1,"")</f>
        <v/>
      </c>
      <c r="C998" s="148" t="str">
        <f ca="1">IFERROR(Prices!C997/Prices!C996-1,"")</f>
        <v/>
      </c>
      <c r="D998" s="148" t="str">
        <f ca="1">IFERROR(Prices!D997/Prices!D996-1,"")</f>
        <v/>
      </c>
      <c r="E998" s="148" t="str">
        <f ca="1">IFERROR(Prices!E997/Prices!E996-1,"")</f>
        <v/>
      </c>
      <c r="F998" s="148" t="str">
        <f ca="1">IFERROR(Prices!F997/Prices!F996-1,"")</f>
        <v/>
      </c>
      <c r="G998" s="148" t="str">
        <f ca="1">IFERROR(Prices!G997/Prices!G996-1,"")</f>
        <v/>
      </c>
      <c r="H998" s="148" t="str">
        <f ca="1">IFERROR(Prices!H997/Prices!H996-1,"")</f>
        <v/>
      </c>
      <c r="I998" s="149" t="str">
        <f ca="1">IFERROR(Prices!I997/Prices!I996-1,"")</f>
        <v/>
      </c>
      <c r="J998" s="150">
        <f t="shared" ca="1" si="17"/>
        <v>0</v>
      </c>
      <c r="K998" s="112"/>
      <c r="L998" s="112"/>
      <c r="M998" s="112"/>
    </row>
    <row r="999" spans="1:13" x14ac:dyDescent="0.3">
      <c r="A999" s="147" t="str">
        <f ca="1">Prices!$A$998</f>
        <v/>
      </c>
      <c r="B999" s="148" t="str">
        <f ca="1">IFERROR(Prices!B998/Prices!B997-1,"")</f>
        <v/>
      </c>
      <c r="C999" s="148" t="str">
        <f ca="1">IFERROR(Prices!C998/Prices!C997-1,"")</f>
        <v/>
      </c>
      <c r="D999" s="148" t="str">
        <f ca="1">IFERROR(Prices!D998/Prices!D997-1,"")</f>
        <v/>
      </c>
      <c r="E999" s="148" t="str">
        <f ca="1">IFERROR(Prices!E998/Prices!E997-1,"")</f>
        <v/>
      </c>
      <c r="F999" s="148" t="str">
        <f ca="1">IFERROR(Prices!F998/Prices!F997-1,"")</f>
        <v/>
      </c>
      <c r="G999" s="148" t="str">
        <f ca="1">IFERROR(Prices!G998/Prices!G997-1,"")</f>
        <v/>
      </c>
      <c r="H999" s="148" t="str">
        <f ca="1">IFERROR(Prices!H998/Prices!H997-1,"")</f>
        <v/>
      </c>
      <c r="I999" s="149" t="str">
        <f ca="1">IFERROR(Prices!I998/Prices!I997-1,"")</f>
        <v/>
      </c>
      <c r="J999" s="150">
        <f t="shared" ca="1" si="17"/>
        <v>0</v>
      </c>
      <c r="K999" s="112"/>
      <c r="L999" s="112"/>
      <c r="M999" s="112"/>
    </row>
    <row r="1000" spans="1:13" x14ac:dyDescent="0.3">
      <c r="A1000" s="147" t="str">
        <f ca="1">Prices!$A$999</f>
        <v/>
      </c>
      <c r="B1000" s="148" t="str">
        <f ca="1">IFERROR(Prices!B999/Prices!B998-1,"")</f>
        <v/>
      </c>
      <c r="C1000" s="148" t="str">
        <f ca="1">IFERROR(Prices!C999/Prices!C998-1,"")</f>
        <v/>
      </c>
      <c r="D1000" s="148" t="str">
        <f ca="1">IFERROR(Prices!D999/Prices!D998-1,"")</f>
        <v/>
      </c>
      <c r="E1000" s="148" t="str">
        <f ca="1">IFERROR(Prices!E999/Prices!E998-1,"")</f>
        <v/>
      </c>
      <c r="F1000" s="148" t="str">
        <f ca="1">IFERROR(Prices!F999/Prices!F998-1,"")</f>
        <v/>
      </c>
      <c r="G1000" s="148" t="str">
        <f ca="1">IFERROR(Prices!G999/Prices!G998-1,"")</f>
        <v/>
      </c>
      <c r="H1000" s="148" t="str">
        <f ca="1">IFERROR(Prices!H999/Prices!H998-1,"")</f>
        <v/>
      </c>
      <c r="I1000" s="149" t="str">
        <f ca="1">IFERROR(Prices!I999/Prices!I998-1,"")</f>
        <v/>
      </c>
      <c r="J1000" s="150">
        <f t="shared" ca="1" si="17"/>
        <v>0</v>
      </c>
      <c r="K1000" s="112"/>
      <c r="L1000" s="112"/>
      <c r="M1000" s="112"/>
    </row>
    <row r="1001" spans="1:13" x14ac:dyDescent="0.3">
      <c r="A1001" s="246" t="s">
        <v>254</v>
      </c>
      <c r="B1001" s="246"/>
      <c r="C1001" s="246"/>
      <c r="D1001" s="246"/>
      <c r="E1001" s="246"/>
      <c r="F1001" s="246"/>
      <c r="G1001" s="246"/>
      <c r="H1001" s="246"/>
      <c r="I1001" s="246"/>
      <c r="J1001" s="246"/>
    </row>
    <row r="1002" spans="1:13" x14ac:dyDescent="0.3">
      <c r="A1002" s="127" t="s">
        <v>255</v>
      </c>
      <c r="B1002" s="127">
        <f ca="1">AVERAGE(RelRet)</f>
        <v>-6.8895330228276464E-4</v>
      </c>
      <c r="C1002" s="127">
        <f ca="1">AVERAGE(AirRet)</f>
        <v>1.5662489364998656E-3</v>
      </c>
      <c r="D1002" s="127">
        <f ca="1">AVERAGE(HdfRet)</f>
        <v>-1.1655070000019978E-3</v>
      </c>
      <c r="E1002" s="127">
        <f ca="1">AVERAGE(LtRet)</f>
        <v>1.6254779665995623E-3</v>
      </c>
      <c r="F1002" s="127">
        <f ca="1">AVERAGE(CipRet)</f>
        <v>-1.3343796645782279E-3</v>
      </c>
      <c r="G1002" s="127">
        <f ca="1">AVERAGE(MarRet)</f>
        <v>9.0180635048366206E-4</v>
      </c>
      <c r="H1002" s="127">
        <f ca="1">AVERAGE(HclRet)</f>
        <v>-2.4901645330348042E-3</v>
      </c>
      <c r="I1002" s="127">
        <f ca="1">AVERAGE(BenchRet)</f>
        <v>-2.8069112445888191E-4</v>
      </c>
      <c r="J1002" s="127">
        <f ca="1">AVERAGE(PortRet)</f>
        <v>-1.4680465939089724E-4</v>
      </c>
    </row>
    <row r="1003" spans="1:13" x14ac:dyDescent="0.3">
      <c r="A1003" s="127" t="s">
        <v>256</v>
      </c>
      <c r="B1003" s="127">
        <f ca="1">_xlfn.STDEV.S(RelRet)</f>
        <v>2.9738495154242196E-2</v>
      </c>
      <c r="C1003" s="127">
        <f ca="1">_xlfn.STDEV.S(AirRet)</f>
        <v>2.6743737881380278E-2</v>
      </c>
      <c r="D1003" s="127">
        <f ca="1">_xlfn.STDEV.S(HdfRet)</f>
        <v>2.6042953715800052E-2</v>
      </c>
      <c r="E1003" s="127">
        <f ca="1">_xlfn.STDEV.S(LtRet)</f>
        <v>3.5984863277089441E-2</v>
      </c>
      <c r="F1003" s="127">
        <f ca="1">_xlfn.STDEV.S(CipRet)</f>
        <v>2.5993200761721739E-2</v>
      </c>
      <c r="G1003" s="127">
        <f ca="1">_xlfn.STDEV.S(MarRet)</f>
        <v>3.3791048055604907E-2</v>
      </c>
      <c r="H1003" s="127">
        <f ca="1">_xlfn.STDEV.S(HclRet)</f>
        <v>3.9590711489895347E-2</v>
      </c>
      <c r="I1003" s="127">
        <f ca="1">_xlfn.STDEV.S(BenchRet)</f>
        <v>1.8883573951430359E-2</v>
      </c>
      <c r="J1003" s="127">
        <f ca="1">_xlfn.STDEV.S(PortRet)</f>
        <v>1.9667496891032161E-2</v>
      </c>
    </row>
    <row r="1004" spans="1:13" x14ac:dyDescent="0.3">
      <c r="A1004" s="127" t="s">
        <v>257</v>
      </c>
      <c r="B1004" s="127">
        <f ca="1">AVERAGE(RelRet)*WeeksPerYear</f>
        <v>-3.5825571718703764E-2</v>
      </c>
      <c r="C1004" s="127">
        <f ca="1">AVERAGE(AirRet)*WeeksPerYear</f>
        <v>8.1444944697993016E-2</v>
      </c>
      <c r="D1004" s="127">
        <f ca="1">AVERAGE(HdfRet)*WeeksPerYear</f>
        <v>-6.0606364000103885E-2</v>
      </c>
      <c r="E1004" s="127">
        <f ca="1">AVERAGE(LtRet)*WeeksPerYear</f>
        <v>8.452485426317724E-2</v>
      </c>
      <c r="F1004" s="127">
        <f ca="1">AVERAGE(CipRet)*WeeksPerYear</f>
        <v>-6.9387742558067844E-2</v>
      </c>
      <c r="G1004" s="127">
        <f ca="1">AVERAGE(MarRet)*WeeksPerYear</f>
        <v>4.6893930225150426E-2</v>
      </c>
      <c r="H1004" s="127">
        <f ca="1">AVERAGE(HclRet)*WeeksPerYear</f>
        <v>-0.12948855571780982</v>
      </c>
      <c r="I1004" s="127">
        <f ca="1">AVERAGE(BenchRet)*WeeksPerYear</f>
        <v>-1.459593847186186E-2</v>
      </c>
      <c r="J1004" s="127">
        <f ca="1">AVERAGE(PortRet)*WeeksPerYear</f>
        <v>-7.6338422883266569E-3</v>
      </c>
    </row>
    <row r="1005" spans="1:13" x14ac:dyDescent="0.3">
      <c r="A1005" s="127" t="s">
        <v>258</v>
      </c>
      <c r="B1005" s="127">
        <f ca="1">_xlfn.STDEV.S(RelRet)*SQRT(WeeksPerYear)</f>
        <v>0.21444733826751522</v>
      </c>
      <c r="C1005" s="127">
        <f ca="1">_xlfn.STDEV.S(AirRet)*SQRT(WeeksPerYear)</f>
        <v>0.19285183645777051</v>
      </c>
      <c r="D1005" s="127">
        <f ca="1">_xlfn.STDEV.S(HdfRet)*SQRT(WeeksPerYear)</f>
        <v>0.18779840997370503</v>
      </c>
      <c r="E1005" s="127">
        <f ca="1">_xlfn.STDEV.S(LtRet)*SQRT(WeeksPerYear)</f>
        <v>0.25949053937221417</v>
      </c>
      <c r="F1005" s="127">
        <f ca="1">_xlfn.STDEV.S(CipRet)*SQRT(WeeksPerYear)</f>
        <v>0.1874396363196347</v>
      </c>
      <c r="G1005" s="127">
        <f ca="1">_xlfn.STDEV.S(MarRet)*SQRT(WeeksPerYear)</f>
        <v>0.24367071283230243</v>
      </c>
      <c r="H1005" s="127">
        <f ca="1">_xlfn.STDEV.S(HclRet)*SQRT(WeeksPerYear)</f>
        <v>0.28549268061783795</v>
      </c>
      <c r="I1005" s="127">
        <f ca="1">_xlfn.STDEV.S(BenchRet)*SQRT(WeeksPerYear)</f>
        <v>0.13617138829179659</v>
      </c>
      <c r="J1005" s="127">
        <f ca="1">_xlfn.STDEV.S(PortRet)*SQRT(WeeksPerYear)</f>
        <v>0.1418243370012901</v>
      </c>
    </row>
    <row r="1006" spans="1:13" x14ac:dyDescent="0.3">
      <c r="A1006" s="127" t="s">
        <v>259</v>
      </c>
      <c r="B1006" s="127">
        <f ca="1">SLOPE(RelRet,BenchRet)</f>
        <v>0.20147550171893297</v>
      </c>
      <c r="C1006" s="127">
        <f ca="1">SLOPE(AirRet,BenchRet)</f>
        <v>0.21867351308207619</v>
      </c>
      <c r="D1006" s="127">
        <f ca="1">SLOPE(HdfRet,BenchRet)</f>
        <v>0.23044952639196511</v>
      </c>
      <c r="E1006" s="127">
        <f ca="1">SLOPE(LtRet,BenchRet)</f>
        <v>0.56640664283814868</v>
      </c>
      <c r="F1006" s="127">
        <f ca="1">SLOPE(CipRet,BenchRet)</f>
        <v>7.2294599543887048E-2</v>
      </c>
      <c r="G1006" s="127">
        <f ca="1">SLOPE(MarRet,BenchRet)</f>
        <v>0.31007668617353729</v>
      </c>
      <c r="H1006" s="127">
        <f ca="1">SLOPE(HclRet,BenchRet)</f>
        <v>0.46327060699245975</v>
      </c>
      <c r="I1006" s="127">
        <f ca="1">SLOPE(BenchRet,BenchRet)</f>
        <v>1</v>
      </c>
      <c r="J1006" s="127">
        <f ca="1">SLOPE(PortRet,BenchRet)</f>
        <v>0.28058366022921394</v>
      </c>
    </row>
    <row r="1007" spans="1:13" x14ac:dyDescent="0.3">
      <c r="A1007" s="127" t="s">
        <v>260</v>
      </c>
      <c r="B1007" s="127">
        <f ca="1">CORREL(RelRet,BenchRet)</f>
        <v>0.1279344336819371</v>
      </c>
      <c r="C1007" s="127">
        <f ca="1">CORREL(AirRet,BenchRet)</f>
        <v>0.15440390097374607</v>
      </c>
      <c r="D1007" s="127">
        <f ca="1">CORREL(HdfRet,BenchRet)</f>
        <v>0.167097431465872</v>
      </c>
      <c r="E1007" s="127">
        <f ca="1">CORREL(LtRet,BenchRet)</f>
        <v>0.29723002264191695</v>
      </c>
      <c r="F1007" s="127">
        <f ca="1">CORREL(CipRet,BenchRet)</f>
        <v>5.2520673744282945E-2</v>
      </c>
      <c r="G1007" s="127">
        <f ca="1">CORREL(MarRet,BenchRet)</f>
        <v>0.17328127924109263</v>
      </c>
      <c r="H1007" s="127">
        <f ca="1">CORREL(HclRet,BenchRet)</f>
        <v>0.2209660912231631</v>
      </c>
      <c r="I1007" s="127">
        <f ca="1">CORREL(BenchRet,BenchRet)</f>
        <v>1</v>
      </c>
      <c r="J1007" s="127">
        <f ca="1">CORREL(PortRet,BenchRet)</f>
        <v>0.26939993059906386</v>
      </c>
    </row>
    <row r="1008" spans="1:13" x14ac:dyDescent="0.3">
      <c r="A1008" s="127" t="s">
        <v>261</v>
      </c>
      <c r="B1008" s="127">
        <f ca="1">COUNTIF(RelRet,"&gt;0")/COUNT(RelRet)</f>
        <v>0.50961538461538458</v>
      </c>
      <c r="C1008" s="127">
        <f ca="1">COUNTIF(AirRet,"&gt;0")/COUNT(AirRet)</f>
        <v>0.50961538461538458</v>
      </c>
      <c r="D1008" s="127">
        <f ca="1">COUNTIF(HdfRet,"&gt;0")/COUNT(HdfRet)</f>
        <v>0.46153846153846156</v>
      </c>
      <c r="E1008" s="127">
        <f ca="1">COUNTIF(LtRet,"&gt;0")/COUNT(LtRet)</f>
        <v>0.52884615384615385</v>
      </c>
      <c r="F1008" s="127">
        <f ca="1">COUNTIF(CipRet,"&gt;0")/COUNT(CipRet)</f>
        <v>0.47115384615384615</v>
      </c>
      <c r="G1008" s="127">
        <f ca="1">COUNTIF(MarRet,"&gt;0")/COUNT(MarRet)</f>
        <v>0.47115384615384615</v>
      </c>
      <c r="H1008" s="127">
        <f ca="1">COUNTIF(HclRet,"&gt;0")/COUNT(HclRet)</f>
        <v>0.48076923076923078</v>
      </c>
      <c r="I1008" s="127">
        <f ca="1">COUNTIF(BenchRet,"&gt;0")/COUNT(BenchRet)</f>
        <v>0.5</v>
      </c>
      <c r="J1008" s="127">
        <f ca="1">COUNTIF(PortRet,"&gt;0")/COUNT(PortRet)</f>
        <v>0.49038461538461536</v>
      </c>
    </row>
  </sheetData>
  <mergeCells count="3">
    <mergeCell ref="A1001:J1001"/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0"/>
  <sheetViews>
    <sheetView showGridLines="0" topLeftCell="A94" zoomScaleNormal="100" workbookViewId="0">
      <selection activeCell="G36" sqref="G36"/>
    </sheetView>
  </sheetViews>
  <sheetFormatPr defaultColWidth="8.6640625" defaultRowHeight="14.4" x14ac:dyDescent="0.3"/>
  <cols>
    <col min="1" max="1" width="40" customWidth="1"/>
    <col min="2" max="4" width="15" customWidth="1"/>
    <col min="5" max="5" width="13" customWidth="1"/>
    <col min="6" max="6" width="14" customWidth="1"/>
    <col min="7" max="7" width="13" customWidth="1"/>
    <col min="8" max="8" width="15" customWidth="1"/>
    <col min="9" max="9" width="2" customWidth="1"/>
    <col min="10" max="10" width="34" customWidth="1"/>
    <col min="11" max="11" width="54" customWidth="1"/>
  </cols>
  <sheetData>
    <row r="1" spans="1:13" ht="24" customHeight="1" x14ac:dyDescent="0.3">
      <c r="A1" s="232" t="s">
        <v>262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3"/>
      <c r="M1" s="3"/>
    </row>
    <row r="2" spans="1:13" ht="13.5" customHeight="1" x14ac:dyDescent="0.3">
      <c r="A2" s="231" t="s">
        <v>263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3"/>
      <c r="M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6.5" customHeight="1" x14ac:dyDescent="0.3">
      <c r="A4" s="214" t="s">
        <v>264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3"/>
      <c r="M4" s="3"/>
    </row>
    <row r="5" spans="1:13" ht="27.75" customHeight="1" x14ac:dyDescent="0.3">
      <c r="A5" s="1" t="s">
        <v>265</v>
      </c>
      <c r="B5" s="1" t="s">
        <v>251</v>
      </c>
      <c r="C5" s="1" t="s">
        <v>17</v>
      </c>
      <c r="D5" s="1" t="s">
        <v>266</v>
      </c>
      <c r="E5" s="1"/>
      <c r="F5" s="1"/>
      <c r="G5" s="1"/>
      <c r="H5" s="1"/>
      <c r="I5" s="1"/>
      <c r="J5" s="1" t="s">
        <v>267</v>
      </c>
      <c r="K5" s="1" t="s">
        <v>268</v>
      </c>
      <c r="L5" s="3"/>
      <c r="M5" s="3"/>
    </row>
    <row r="6" spans="1:13" x14ac:dyDescent="0.3">
      <c r="A6" s="5" t="s">
        <v>269</v>
      </c>
      <c r="B6" s="44">
        <f ca="1">COUNT(PortRet)</f>
        <v>104</v>
      </c>
      <c r="C6" s="13">
        <f ca="1">COUNT(BenchRet)</f>
        <v>104</v>
      </c>
      <c r="D6" s="45" t="s">
        <v>270</v>
      </c>
      <c r="E6" s="3"/>
      <c r="F6" s="3"/>
      <c r="G6" s="3"/>
      <c r="H6" s="3"/>
      <c r="I6" s="3"/>
      <c r="J6" s="46" t="s">
        <v>271</v>
      </c>
      <c r="K6" s="12" t="s">
        <v>272</v>
      </c>
      <c r="L6" s="3"/>
      <c r="M6" s="3"/>
    </row>
    <row r="7" spans="1:13" x14ac:dyDescent="0.3">
      <c r="A7" s="5" t="s">
        <v>255</v>
      </c>
      <c r="B7" s="47">
        <f ca="1">AVERAGE(PortRet)</f>
        <v>-1.4680465939089724E-4</v>
      </c>
      <c r="C7" s="42">
        <f ca="1">AVERAGE(BenchRet)</f>
        <v>-2.8069112445888191E-4</v>
      </c>
      <c r="D7" s="42">
        <f t="shared" ref="D7:D15" ca="1" si="0">B7-C7</f>
        <v>1.3388646506798466E-4</v>
      </c>
      <c r="E7" s="3"/>
      <c r="F7" s="3"/>
      <c r="G7" s="3"/>
      <c r="H7" s="3"/>
      <c r="I7" s="3"/>
      <c r="J7" s="46" t="s">
        <v>273</v>
      </c>
      <c r="K7" s="12" t="s">
        <v>274</v>
      </c>
      <c r="L7" s="3"/>
      <c r="M7" s="3"/>
    </row>
    <row r="8" spans="1:13" x14ac:dyDescent="0.3">
      <c r="A8" s="5" t="s">
        <v>275</v>
      </c>
      <c r="B8" s="47">
        <f ca="1">_xlfn.STDEV.S(PortRet)</f>
        <v>1.9667496891032161E-2</v>
      </c>
      <c r="C8" s="42">
        <f ca="1">_xlfn.STDEV.S(BenchRet)</f>
        <v>1.8883573951430359E-2</v>
      </c>
      <c r="D8" s="42">
        <f t="shared" ca="1" si="0"/>
        <v>7.8392293960180201E-4</v>
      </c>
      <c r="E8" s="3"/>
      <c r="F8" s="3"/>
      <c r="G8" s="3"/>
      <c r="H8" s="3"/>
      <c r="I8" s="3"/>
      <c r="J8" s="46" t="s">
        <v>276</v>
      </c>
      <c r="K8" s="12" t="s">
        <v>277</v>
      </c>
      <c r="L8" s="3"/>
      <c r="M8" s="3"/>
    </row>
    <row r="9" spans="1:13" x14ac:dyDescent="0.3">
      <c r="A9" s="22" t="s">
        <v>278</v>
      </c>
      <c r="B9" s="47">
        <f ca="1">AVERAGE(PortRet)*WeeksPerYear</f>
        <v>-7.6338422883266569E-3</v>
      </c>
      <c r="C9" s="42">
        <f ca="1">AVERAGE(BenchRet)*WeeksPerYear</f>
        <v>-1.459593847186186E-2</v>
      </c>
      <c r="D9" s="42">
        <f t="shared" ca="1" si="0"/>
        <v>6.9620961835352027E-3</v>
      </c>
      <c r="E9" s="3"/>
      <c r="F9" s="3"/>
      <c r="G9" s="3"/>
      <c r="H9" s="3"/>
      <c r="I9" s="3"/>
      <c r="J9" s="46" t="s">
        <v>279</v>
      </c>
      <c r="K9" s="12" t="s">
        <v>280</v>
      </c>
      <c r="L9" s="3"/>
      <c r="M9" s="3"/>
    </row>
    <row r="10" spans="1:13" x14ac:dyDescent="0.3">
      <c r="A10" s="22" t="s">
        <v>281</v>
      </c>
      <c r="B10" s="47">
        <f ca="1">_xlfn.STDEV.S(PortRet)*SQRT(WeeksPerYear)</f>
        <v>0.1418243370012901</v>
      </c>
      <c r="C10" s="42">
        <f ca="1">_xlfn.STDEV.S(BenchRet)*SQRT(WeeksPerYear)</f>
        <v>0.13617138829179659</v>
      </c>
      <c r="D10" s="42">
        <f t="shared" ca="1" si="0"/>
        <v>5.6529487094935105E-3</v>
      </c>
      <c r="E10" s="3"/>
      <c r="F10" s="3"/>
      <c r="G10" s="3"/>
      <c r="H10" s="3"/>
      <c r="I10" s="3"/>
      <c r="J10" s="46" t="s">
        <v>282</v>
      </c>
      <c r="K10" s="12" t="s">
        <v>283</v>
      </c>
      <c r="L10" s="3"/>
      <c r="M10" s="3"/>
    </row>
    <row r="11" spans="1:13" x14ac:dyDescent="0.3">
      <c r="A11" s="5" t="s">
        <v>284</v>
      </c>
      <c r="B11" s="47">
        <f ca="1">Drawdown!$B$1011</f>
        <v>-3.4623975052780587E-2</v>
      </c>
      <c r="C11" s="42">
        <f ca="1">Drawdown!$C$1011</f>
        <v>-4.6408061383032662E-2</v>
      </c>
      <c r="D11" s="42">
        <f t="shared" ca="1" si="0"/>
        <v>1.1784086330252075E-2</v>
      </c>
      <c r="E11" s="3"/>
      <c r="F11" s="3"/>
      <c r="G11" s="3"/>
      <c r="H11" s="3"/>
      <c r="I11" s="3"/>
      <c r="J11" s="46" t="s">
        <v>285</v>
      </c>
      <c r="K11" s="12" t="s">
        <v>286</v>
      </c>
      <c r="L11" s="3"/>
      <c r="M11" s="3"/>
    </row>
    <row r="12" spans="1:13" x14ac:dyDescent="0.3">
      <c r="A12" s="5" t="s">
        <v>287</v>
      </c>
      <c r="B12" s="48">
        <f ca="1">Drawdown!$B$1010</f>
        <v>96.537602494721938</v>
      </c>
      <c r="C12" s="41">
        <f ca="1">Drawdown!$C$1010</f>
        <v>95.359193861696738</v>
      </c>
      <c r="D12" s="41">
        <f t="shared" ca="1" si="0"/>
        <v>1.1784086330251995</v>
      </c>
      <c r="E12" s="3"/>
      <c r="F12" s="3"/>
      <c r="G12" s="3"/>
      <c r="H12" s="3"/>
      <c r="I12" s="3"/>
      <c r="J12" s="46" t="s">
        <v>288</v>
      </c>
      <c r="K12" s="12" t="s">
        <v>289</v>
      </c>
      <c r="L12" s="3"/>
      <c r="M12" s="3"/>
    </row>
    <row r="13" spans="1:13" x14ac:dyDescent="0.3">
      <c r="A13" s="5" t="s">
        <v>290</v>
      </c>
      <c r="B13" s="47">
        <f ca="1">MAX(PortRet)</f>
        <v>5.4554696808246164E-2</v>
      </c>
      <c r="C13" s="42">
        <f ca="1">MAX(BenchRet)</f>
        <v>5.265645045682299E-2</v>
      </c>
      <c r="D13" s="42">
        <f t="shared" ca="1" si="0"/>
        <v>1.8982463514231745E-3</v>
      </c>
      <c r="E13" s="3"/>
      <c r="F13" s="3"/>
      <c r="G13" s="3"/>
      <c r="H13" s="3"/>
      <c r="I13" s="3"/>
      <c r="J13" s="46" t="s">
        <v>291</v>
      </c>
      <c r="K13" s="12" t="s">
        <v>292</v>
      </c>
      <c r="L13" s="3"/>
      <c r="M13" s="3"/>
    </row>
    <row r="14" spans="1:13" x14ac:dyDescent="0.3">
      <c r="A14" s="5" t="s">
        <v>293</v>
      </c>
      <c r="B14" s="47">
        <f ca="1">MIN(PortRet)</f>
        <v>-5.8302103969896858E-2</v>
      </c>
      <c r="C14" s="42">
        <f ca="1">MIN(BenchRet)</f>
        <v>-4.3344239251897676E-2</v>
      </c>
      <c r="D14" s="42">
        <f t="shared" ca="1" si="0"/>
        <v>-1.4957864717999182E-2</v>
      </c>
      <c r="E14" s="3"/>
      <c r="F14" s="3"/>
      <c r="G14" s="3"/>
      <c r="H14" s="3"/>
      <c r="I14" s="3"/>
      <c r="J14" s="46" t="s">
        <v>294</v>
      </c>
      <c r="K14" s="12" t="s">
        <v>295</v>
      </c>
      <c r="L14" s="3"/>
      <c r="M14" s="3"/>
    </row>
    <row r="15" spans="1:13" x14ac:dyDescent="0.3">
      <c r="A15" s="5" t="s">
        <v>261</v>
      </c>
      <c r="B15" s="49">
        <f ca="1">COUNTIF(PortRet,"&gt;0")/COUNT(PortRet)</f>
        <v>0.49038461538461536</v>
      </c>
      <c r="C15" s="50">
        <f ca="1">COUNTIF(BenchRet,"&gt;0")/COUNT(BenchRet)</f>
        <v>0.5</v>
      </c>
      <c r="D15" s="50">
        <f t="shared" ca="1" si="0"/>
        <v>-9.6153846153846367E-3</v>
      </c>
      <c r="E15" s="3"/>
      <c r="F15" s="3"/>
      <c r="G15" s="3"/>
      <c r="H15" s="3"/>
      <c r="I15" s="3"/>
      <c r="J15" s="46" t="s">
        <v>296</v>
      </c>
      <c r="K15" s="12" t="s">
        <v>297</v>
      </c>
      <c r="L15" s="3"/>
      <c r="M15" s="3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6.5" customHeight="1" x14ac:dyDescent="0.3">
      <c r="A17" s="214" t="s">
        <v>298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3"/>
      <c r="M17" s="3"/>
    </row>
    <row r="18" spans="1:13" ht="27.75" customHeight="1" x14ac:dyDescent="0.3">
      <c r="A18" s="1" t="s">
        <v>265</v>
      </c>
      <c r="B18" s="1" t="s">
        <v>251</v>
      </c>
      <c r="C18" s="1" t="s">
        <v>17</v>
      </c>
      <c r="D18" s="1" t="s">
        <v>266</v>
      </c>
      <c r="E18" s="1"/>
      <c r="F18" s="1"/>
      <c r="G18" s="1"/>
      <c r="H18" s="1"/>
      <c r="I18" s="1"/>
      <c r="J18" s="1" t="s">
        <v>267</v>
      </c>
      <c r="K18" s="1" t="s">
        <v>268</v>
      </c>
      <c r="L18" s="3"/>
      <c r="M18" s="3"/>
    </row>
    <row r="19" spans="1:13" x14ac:dyDescent="0.3">
      <c r="A19" s="5" t="s">
        <v>134</v>
      </c>
      <c r="B19" s="34">
        <f>RiskFree</f>
        <v>6.9500000000000006E-2</v>
      </c>
      <c r="C19" s="36">
        <f>RiskFree</f>
        <v>6.9500000000000006E-2</v>
      </c>
      <c r="D19" s="45" t="s">
        <v>270</v>
      </c>
      <c r="E19" s="3"/>
      <c r="F19" s="3"/>
      <c r="G19" s="3"/>
      <c r="H19" s="3"/>
      <c r="I19" s="3"/>
      <c r="J19" s="46" t="s">
        <v>299</v>
      </c>
      <c r="K19" s="12" t="s">
        <v>300</v>
      </c>
      <c r="L19" s="3"/>
      <c r="M19" s="3"/>
    </row>
    <row r="20" spans="1:13" x14ac:dyDescent="0.3">
      <c r="A20" s="5" t="s">
        <v>301</v>
      </c>
      <c r="B20" s="47">
        <f ca="1">B9-RiskFree</f>
        <v>-7.7133842288326662E-2</v>
      </c>
      <c r="C20" s="42">
        <f ca="1">C9-RiskFree</f>
        <v>-8.4095938471861864E-2</v>
      </c>
      <c r="D20" s="42">
        <f ca="1">B20-C20</f>
        <v>6.9620961835352019E-3</v>
      </c>
      <c r="E20" s="3"/>
      <c r="F20" s="3"/>
      <c r="G20" s="3"/>
      <c r="H20" s="3"/>
      <c r="I20" s="3"/>
      <c r="J20" s="46" t="s">
        <v>302</v>
      </c>
      <c r="K20" s="12" t="s">
        <v>303</v>
      </c>
      <c r="L20" s="3"/>
      <c r="M20" s="3"/>
    </row>
    <row r="21" spans="1:13" x14ac:dyDescent="0.3">
      <c r="A21" s="22" t="s">
        <v>304</v>
      </c>
      <c r="B21" s="51">
        <f ca="1">IFERROR((B9-RiskFree)/B10,"n.m.")</f>
        <v>-0.54386887271417328</v>
      </c>
      <c r="C21" s="52">
        <f ca="1">IFERROR((C9-RiskFree)/C10,"n.m.")</f>
        <v>-0.61757421677787272</v>
      </c>
      <c r="D21" s="52">
        <f ca="1">B21-C21</f>
        <v>7.3705344063699441E-2</v>
      </c>
      <c r="E21" s="3"/>
      <c r="F21" s="3"/>
      <c r="G21" s="3"/>
      <c r="H21" s="3"/>
      <c r="I21" s="3"/>
      <c r="J21" s="46" t="s">
        <v>305</v>
      </c>
      <c r="K21" s="12" t="s">
        <v>306</v>
      </c>
      <c r="L21" s="3"/>
      <c r="M21" s="3"/>
    </row>
    <row r="22" spans="1:13" x14ac:dyDescent="0.3">
      <c r="A22" s="5" t="s">
        <v>307</v>
      </c>
      <c r="B22" s="47">
        <f ca="1">SQRT(SUMPRODUCT((PortRet&lt;0)*(PortRet^2))/(COUNT(PortRet)-1))*SQRT(WeeksPerYear)</f>
        <v>0.10233381676762482</v>
      </c>
      <c r="C22" s="42">
        <f ca="1">SQRT(SUMPRODUCT((BenchRet&lt;0)*(BenchRet^2))/(COUNT(BenchRet)-1))*SQRT(WeeksPerYear)</f>
        <v>9.3637086478462833E-2</v>
      </c>
      <c r="D22" s="42">
        <f ca="1">B22-C22</f>
        <v>8.6967302891619858E-3</v>
      </c>
      <c r="E22" s="3"/>
      <c r="F22" s="3"/>
      <c r="G22" s="3"/>
      <c r="H22" s="3"/>
      <c r="I22" s="3"/>
      <c r="J22" s="46" t="s">
        <v>308</v>
      </c>
      <c r="K22" s="12" t="s">
        <v>309</v>
      </c>
      <c r="L22" s="3"/>
      <c r="M22" s="3"/>
    </row>
    <row r="23" spans="1:13" x14ac:dyDescent="0.3">
      <c r="A23" s="5" t="s">
        <v>310</v>
      </c>
      <c r="B23" s="51">
        <f ca="1">IFERROR((B9-RiskFree)/B22,"n.m.")</f>
        <v>-0.75374734105226271</v>
      </c>
      <c r="C23" s="52">
        <f ca="1">IFERROR((C9-RiskFree)/C22,"n.m.")</f>
        <v>-0.8981050311855282</v>
      </c>
      <c r="D23" s="52">
        <f ca="1">B23-C23</f>
        <v>0.14435769013326549</v>
      </c>
      <c r="E23" s="3"/>
      <c r="F23" s="3"/>
      <c r="G23" s="3"/>
      <c r="H23" s="3"/>
      <c r="I23" s="3"/>
      <c r="J23" s="46" t="s">
        <v>311</v>
      </c>
      <c r="K23" s="12" t="s">
        <v>312</v>
      </c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6.5" customHeight="1" x14ac:dyDescent="0.3">
      <c r="A25" s="214" t="s">
        <v>313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3"/>
      <c r="M25" s="3"/>
    </row>
    <row r="26" spans="1:13" ht="27.75" customHeight="1" x14ac:dyDescent="0.3">
      <c r="A26" s="1" t="s">
        <v>265</v>
      </c>
      <c r="B26" s="1" t="s">
        <v>251</v>
      </c>
      <c r="C26" s="1" t="s">
        <v>17</v>
      </c>
      <c r="D26" s="1" t="s">
        <v>266</v>
      </c>
      <c r="E26" s="1"/>
      <c r="F26" s="1"/>
      <c r="G26" s="1"/>
      <c r="H26" s="1"/>
      <c r="I26" s="1"/>
      <c r="J26" s="1" t="s">
        <v>267</v>
      </c>
      <c r="K26" s="1" t="s">
        <v>268</v>
      </c>
      <c r="L26" s="3"/>
      <c r="M26" s="3"/>
    </row>
    <row r="27" spans="1:13" x14ac:dyDescent="0.3">
      <c r="A27" s="22" t="s">
        <v>314</v>
      </c>
      <c r="B27" s="51">
        <f ca="1">SLOPE(PortRet,BenchRet)</f>
        <v>0.28058366022921394</v>
      </c>
      <c r="C27" s="52">
        <v>1</v>
      </c>
      <c r="D27" s="45" t="s">
        <v>270</v>
      </c>
      <c r="E27" s="3"/>
      <c r="F27" s="3"/>
      <c r="G27" s="3"/>
      <c r="H27" s="3"/>
      <c r="I27" s="3"/>
      <c r="J27" s="46" t="s">
        <v>315</v>
      </c>
      <c r="K27" s="12" t="s">
        <v>316</v>
      </c>
      <c r="L27" s="3"/>
      <c r="M27" s="3"/>
    </row>
    <row r="28" spans="1:13" x14ac:dyDescent="0.3">
      <c r="A28" s="5" t="s">
        <v>260</v>
      </c>
      <c r="B28" s="51">
        <f ca="1">CORREL(PortRet,BenchRet)</f>
        <v>0.26939993059906386</v>
      </c>
      <c r="C28" s="52">
        <v>1</v>
      </c>
      <c r="D28" s="45" t="s">
        <v>270</v>
      </c>
      <c r="E28" s="3"/>
      <c r="F28" s="3"/>
      <c r="G28" s="3"/>
      <c r="H28" s="3"/>
      <c r="I28" s="3"/>
      <c r="J28" s="46" t="s">
        <v>317</v>
      </c>
      <c r="K28" s="12" t="s">
        <v>318</v>
      </c>
      <c r="L28" s="3"/>
      <c r="M28" s="3"/>
    </row>
    <row r="29" spans="1:13" x14ac:dyDescent="0.3">
      <c r="A29" s="5" t="s">
        <v>319</v>
      </c>
      <c r="B29" s="49">
        <f ca="1">RSQ(PortRet,BenchRet)</f>
        <v>7.2576322606780458E-2</v>
      </c>
      <c r="C29" s="50">
        <v>1</v>
      </c>
      <c r="D29" s="45" t="s">
        <v>270</v>
      </c>
      <c r="E29" s="3"/>
      <c r="F29" s="3"/>
      <c r="G29" s="3"/>
      <c r="H29" s="3"/>
      <c r="I29" s="3"/>
      <c r="J29" s="46" t="s">
        <v>320</v>
      </c>
      <c r="K29" s="12" t="s">
        <v>321</v>
      </c>
      <c r="L29" s="3"/>
      <c r="M29" s="3"/>
    </row>
    <row r="30" spans="1:13" x14ac:dyDescent="0.3">
      <c r="A30" s="5" t="s">
        <v>322</v>
      </c>
      <c r="B30" s="47">
        <f ca="1">INTERCEPT(PortRet,BenchRet)</f>
        <v>-6.8047316296370315E-5</v>
      </c>
      <c r="C30" s="42" t="s">
        <v>270</v>
      </c>
      <c r="D30" s="45" t="s">
        <v>270</v>
      </c>
      <c r="E30" s="3"/>
      <c r="F30" s="3"/>
      <c r="G30" s="3"/>
      <c r="H30" s="3"/>
      <c r="I30" s="3"/>
      <c r="J30" s="46" t="s">
        <v>323</v>
      </c>
      <c r="K30" s="12" t="s">
        <v>324</v>
      </c>
      <c r="L30" s="3"/>
      <c r="M30" s="3"/>
    </row>
    <row r="31" spans="1:13" x14ac:dyDescent="0.3">
      <c r="A31" s="5" t="s">
        <v>325</v>
      </c>
      <c r="B31" s="47">
        <f ca="1">B9-C9</f>
        <v>6.9620961835352027E-3</v>
      </c>
      <c r="C31" s="42" t="s">
        <v>270</v>
      </c>
      <c r="D31" s="45" t="s">
        <v>270</v>
      </c>
      <c r="E31" s="3"/>
      <c r="F31" s="3"/>
      <c r="G31" s="3"/>
      <c r="H31" s="3"/>
      <c r="I31" s="3"/>
      <c r="J31" s="46" t="s">
        <v>326</v>
      </c>
      <c r="K31" s="12" t="s">
        <v>327</v>
      </c>
      <c r="L31" s="3"/>
      <c r="M31" s="3"/>
    </row>
    <row r="32" spans="1:13" x14ac:dyDescent="0.3">
      <c r="A32" s="5" t="s">
        <v>328</v>
      </c>
      <c r="B32" s="47">
        <f ca="1">RiskFree+B27*(C9-RiskFree)</f>
        <v>4.5904053773154235E-2</v>
      </c>
      <c r="C32" s="42" t="s">
        <v>270</v>
      </c>
      <c r="D32" s="45" t="s">
        <v>270</v>
      </c>
      <c r="E32" s="3"/>
      <c r="F32" s="3"/>
      <c r="G32" s="3"/>
      <c r="H32" s="3"/>
      <c r="I32" s="3"/>
      <c r="J32" s="46" t="s">
        <v>329</v>
      </c>
      <c r="K32" s="12" t="s">
        <v>330</v>
      </c>
      <c r="L32" s="3"/>
      <c r="M32" s="3"/>
    </row>
    <row r="33" spans="1:13" x14ac:dyDescent="0.3">
      <c r="A33" s="22" t="s">
        <v>331</v>
      </c>
      <c r="B33" s="47">
        <f ca="1">B9-(RiskFree+B27*(C9-RiskFree))</f>
        <v>-5.3537896061480891E-2</v>
      </c>
      <c r="C33" s="42" t="s">
        <v>270</v>
      </c>
      <c r="D33" s="45" t="s">
        <v>270</v>
      </c>
      <c r="E33" s="3"/>
      <c r="F33" s="3"/>
      <c r="G33" s="3"/>
      <c r="H33" s="3"/>
      <c r="I33" s="3"/>
      <c r="J33" s="46" t="s">
        <v>332</v>
      </c>
      <c r="K33" s="12" t="s">
        <v>333</v>
      </c>
      <c r="L33" s="3"/>
      <c r="M33" s="3"/>
    </row>
    <row r="34" spans="1:13" x14ac:dyDescent="0.3">
      <c r="A34" s="5" t="s">
        <v>334</v>
      </c>
      <c r="B34" s="51">
        <f ca="1">IFERROR((B9-RiskFree)/B27,"n.m.")</f>
        <v>-0.27490496854062924</v>
      </c>
      <c r="C34" s="52">
        <f ca="1">IFERROR((C9-RiskFree)/1,"n.m.")</f>
        <v>-8.4095938471861864E-2</v>
      </c>
      <c r="D34" s="45" t="s">
        <v>270</v>
      </c>
      <c r="E34" s="3"/>
      <c r="F34" s="3"/>
      <c r="G34" s="3"/>
      <c r="H34" s="3"/>
      <c r="I34" s="3"/>
      <c r="J34" s="46" t="s">
        <v>335</v>
      </c>
      <c r="K34" s="12" t="s">
        <v>336</v>
      </c>
      <c r="L34" s="3"/>
      <c r="M34" s="3"/>
    </row>
    <row r="35" spans="1:13" x14ac:dyDescent="0.3">
      <c r="A35" s="22" t="s">
        <v>337</v>
      </c>
      <c r="B35" s="47">
        <f ca="1">Drawdown!$B$1004</f>
        <v>-0.17991189250061801</v>
      </c>
      <c r="C35" s="42">
        <f ca="1">Drawdown!$C$1004</f>
        <v>-0.14928973284085856</v>
      </c>
      <c r="D35" s="42">
        <f ca="1">B35-C35</f>
        <v>-3.0622159659759451E-2</v>
      </c>
      <c r="E35" s="3"/>
      <c r="F35" s="3"/>
      <c r="G35" s="3"/>
      <c r="H35" s="3"/>
      <c r="I35" s="3"/>
      <c r="J35" s="46" t="s">
        <v>338</v>
      </c>
      <c r="K35" s="12" t="s">
        <v>339</v>
      </c>
      <c r="L35" s="3"/>
      <c r="M35" s="3"/>
    </row>
    <row r="36" spans="1:13" x14ac:dyDescent="0.3">
      <c r="A36" s="5" t="s">
        <v>340</v>
      </c>
      <c r="B36" s="49">
        <f ca="1">IFERROR(AVERAGEIF(BenchRet,"&gt;0",PortRet)/AVERAGEIF(BenchRet,"&gt;0",BenchRet),"n.m.")</f>
        <v>0.19929122564280932</v>
      </c>
      <c r="C36" s="50" t="s">
        <v>270</v>
      </c>
      <c r="D36" s="45" t="s">
        <v>270</v>
      </c>
      <c r="E36" s="3"/>
      <c r="F36" s="3"/>
      <c r="G36" s="3"/>
      <c r="H36" s="3"/>
      <c r="I36" s="3"/>
      <c r="J36" s="46" t="s">
        <v>341</v>
      </c>
      <c r="K36" s="12" t="s">
        <v>342</v>
      </c>
      <c r="L36" s="3"/>
      <c r="M36" s="3"/>
    </row>
    <row r="37" spans="1:13" x14ac:dyDescent="0.3">
      <c r="A37" s="5" t="s">
        <v>343</v>
      </c>
      <c r="B37" s="49">
        <f ca="1">IFERROR(AVERAGEIF(BenchRet,"&lt;0",PortRet)/AVERAGEIF(BenchRet,"&lt;0",BenchRet),"n.m.")</f>
        <v>0.211436395848838</v>
      </c>
      <c r="C37" s="50" t="s">
        <v>270</v>
      </c>
      <c r="D37" s="45" t="s">
        <v>270</v>
      </c>
      <c r="E37" s="3"/>
      <c r="F37" s="3"/>
      <c r="G37" s="3"/>
      <c r="H37" s="3"/>
      <c r="I37" s="3"/>
      <c r="J37" s="46" t="s">
        <v>344</v>
      </c>
      <c r="K37" s="12" t="s">
        <v>345</v>
      </c>
      <c r="L37" s="3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6.5" customHeight="1" x14ac:dyDescent="0.3">
      <c r="A39" s="214" t="s">
        <v>346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3"/>
      <c r="M39" s="3"/>
    </row>
    <row r="40" spans="1:13" ht="27.75" customHeight="1" x14ac:dyDescent="0.3">
      <c r="A40" s="1" t="s">
        <v>347</v>
      </c>
      <c r="B40" s="1" t="s">
        <v>37</v>
      </c>
      <c r="C40" s="1" t="s">
        <v>191</v>
      </c>
      <c r="D40" s="1" t="s">
        <v>348</v>
      </c>
      <c r="E40" s="1" t="s">
        <v>349</v>
      </c>
      <c r="F40" s="1" t="s">
        <v>350</v>
      </c>
      <c r="G40" s="1" t="s">
        <v>351</v>
      </c>
      <c r="H40" s="1" t="s">
        <v>352</v>
      </c>
      <c r="I40" s="3"/>
      <c r="J40" s="3"/>
      <c r="K40" s="3"/>
      <c r="L40" s="3"/>
      <c r="M40" s="3"/>
    </row>
    <row r="41" spans="1:13" x14ac:dyDescent="0.3">
      <c r="A41" s="24" t="s">
        <v>10</v>
      </c>
      <c r="B41" s="53">
        <f>Holdings!$E$7</f>
        <v>0.23</v>
      </c>
      <c r="C41" s="54">
        <f ca="1">Returns!B$1004</f>
        <v>-3.5825571718703764E-2</v>
      </c>
      <c r="D41" s="54">
        <f ca="1">Returns!B$1005</f>
        <v>0.21444733826751522</v>
      </c>
      <c r="E41" s="52">
        <f ca="1">SLOPE(RelRet,BenchRet)</f>
        <v>0.20147550171893297</v>
      </c>
      <c r="F41" s="52">
        <f ca="1">CORREL(RelRet,BenchRet)</f>
        <v>0.1279344336819371</v>
      </c>
      <c r="G41" s="52">
        <f t="shared" ref="G41:G47" ca="1" si="1">IFERROR(($C41-RiskFree)/$D41,"n.m.")</f>
        <v>-0.49114888797227207</v>
      </c>
      <c r="H41" s="54">
        <f ca="1">Holdings!$G$7</f>
        <v>-0.11077158135981668</v>
      </c>
      <c r="I41" s="3"/>
      <c r="J41" s="3"/>
      <c r="K41" s="3"/>
      <c r="L41" s="3"/>
      <c r="M41" s="3"/>
    </row>
    <row r="42" spans="1:13" x14ac:dyDescent="0.3">
      <c r="A42" s="24" t="s">
        <v>11</v>
      </c>
      <c r="B42" s="53">
        <f>Holdings!$E$8</f>
        <v>0.15</v>
      </c>
      <c r="C42" s="54">
        <f ca="1">Returns!C$1004</f>
        <v>8.1444944697993016E-2</v>
      </c>
      <c r="D42" s="54">
        <f ca="1">Returns!C$1005</f>
        <v>0.19285183645777051</v>
      </c>
      <c r="E42" s="52">
        <f ca="1">SLOPE(AirRet,BenchRet)</f>
        <v>0.21867351308207619</v>
      </c>
      <c r="F42" s="52">
        <f ca="1">CORREL(AirRet,BenchRet)</f>
        <v>0.15440390097374607</v>
      </c>
      <c r="G42" s="52">
        <f t="shared" ca="1" si="1"/>
        <v>6.1938454501617557E-2</v>
      </c>
      <c r="H42" s="54">
        <f ca="1">Holdings!$G$8</f>
        <v>0.13432653186087062</v>
      </c>
      <c r="I42" s="3"/>
      <c r="J42" s="3"/>
      <c r="K42" s="3"/>
      <c r="L42" s="3"/>
      <c r="M42" s="3"/>
    </row>
    <row r="43" spans="1:13" x14ac:dyDescent="0.3">
      <c r="A43" s="24" t="s">
        <v>12</v>
      </c>
      <c r="B43" s="53">
        <f>Holdings!$E$9</f>
        <v>0.15</v>
      </c>
      <c r="C43" s="54">
        <f ca="1">Returns!D$1004</f>
        <v>-6.0606364000103885E-2</v>
      </c>
      <c r="D43" s="54">
        <f ca="1">Returns!D$1005</f>
        <v>0.18779840997370503</v>
      </c>
      <c r="E43" s="52">
        <f ca="1">SLOPE(HdfRet,BenchRet)</f>
        <v>0.23044952639196511</v>
      </c>
      <c r="F43" s="52">
        <f ca="1">CORREL(HdfRet,BenchRet)</f>
        <v>0.167097431465872</v>
      </c>
      <c r="G43" s="52">
        <f t="shared" ca="1" si="1"/>
        <v>-0.69279800621486087</v>
      </c>
      <c r="H43" s="54">
        <f ca="1">Holdings!$G$9</f>
        <v>-0.14491258491300862</v>
      </c>
      <c r="I43" s="3"/>
      <c r="J43" s="3"/>
      <c r="K43" s="3"/>
      <c r="L43" s="3"/>
      <c r="M43" s="3"/>
    </row>
    <row r="44" spans="1:13" x14ac:dyDescent="0.3">
      <c r="A44" s="24" t="s">
        <v>13</v>
      </c>
      <c r="B44" s="53">
        <f>Holdings!$E$10</f>
        <v>0.14000000000000001</v>
      </c>
      <c r="C44" s="54">
        <f ca="1">Returns!E$1004</f>
        <v>8.452485426317724E-2</v>
      </c>
      <c r="D44" s="54">
        <f ca="1">Returns!E$1005</f>
        <v>0.25949053937221417</v>
      </c>
      <c r="E44" s="52">
        <f ca="1">SLOPE(LtRet,BenchRet)</f>
        <v>0.56640664283814868</v>
      </c>
      <c r="F44" s="52">
        <f ca="1">CORREL(LtRet,BenchRet)</f>
        <v>0.29723002264191695</v>
      </c>
      <c r="G44" s="52">
        <f t="shared" ca="1" si="1"/>
        <v>5.7901356633374326E-2</v>
      </c>
      <c r="H44" s="54">
        <f ca="1">Holdings!$G$10</f>
        <v>0.10683642402435645</v>
      </c>
      <c r="I44" s="3"/>
      <c r="J44" s="3"/>
      <c r="K44" s="3"/>
      <c r="L44" s="3"/>
      <c r="M44" s="3"/>
    </row>
    <row r="45" spans="1:13" x14ac:dyDescent="0.3">
      <c r="A45" s="24" t="s">
        <v>14</v>
      </c>
      <c r="B45" s="53">
        <f>Holdings!$E$11</f>
        <v>0.12</v>
      </c>
      <c r="C45" s="54">
        <f ca="1">Returns!F$1004</f>
        <v>-6.9387742558067844E-2</v>
      </c>
      <c r="D45" s="54">
        <f ca="1">Returns!F$1005</f>
        <v>0.1874396363196347</v>
      </c>
      <c r="E45" s="52">
        <f ca="1">SLOPE(CipRet,BenchRet)</f>
        <v>7.2294599543887048E-2</v>
      </c>
      <c r="F45" s="52">
        <f ca="1">CORREL(CipRet,BenchRet)</f>
        <v>5.2520673744282945E-2</v>
      </c>
      <c r="G45" s="52">
        <f t="shared" ca="1" si="1"/>
        <v>-0.74097317560532983</v>
      </c>
      <c r="H45" s="54">
        <f ca="1">Holdings!$G$11</f>
        <v>-0.15948665421461716</v>
      </c>
      <c r="I45" s="3"/>
      <c r="J45" s="3"/>
      <c r="K45" s="3"/>
      <c r="L45" s="3"/>
      <c r="M45" s="3"/>
    </row>
    <row r="46" spans="1:13" x14ac:dyDescent="0.3">
      <c r="A46" s="24" t="s">
        <v>15</v>
      </c>
      <c r="B46" s="53">
        <f>Holdings!$E$12</f>
        <v>0.12</v>
      </c>
      <c r="C46" s="54">
        <f ca="1">Returns!G$1004</f>
        <v>4.6893930225150426E-2</v>
      </c>
      <c r="D46" s="54">
        <f ca="1">Returns!G$1005</f>
        <v>0.24367071283230243</v>
      </c>
      <c r="E46" s="52">
        <f ca="1">SLOPE(MarRet,BenchRet)</f>
        <v>0.31007668617353729</v>
      </c>
      <c r="F46" s="52">
        <f ca="1">CORREL(MarRet,BenchRet)</f>
        <v>0.17328127924109263</v>
      </c>
      <c r="G46" s="52">
        <f t="shared" ca="1" si="1"/>
        <v>-9.2773027632612498E-2</v>
      </c>
      <c r="H46" s="54">
        <f ca="1">Holdings!$G$12</f>
        <v>3.6046459700959321E-2</v>
      </c>
      <c r="I46" s="3"/>
      <c r="J46" s="3"/>
      <c r="K46" s="3"/>
      <c r="L46" s="3"/>
      <c r="M46" s="3"/>
    </row>
    <row r="47" spans="1:13" x14ac:dyDescent="0.3">
      <c r="A47" s="24" t="s">
        <v>16</v>
      </c>
      <c r="B47" s="53">
        <f>Holdings!$E$13</f>
        <v>0.09</v>
      </c>
      <c r="C47" s="54">
        <f ca="1">Returns!H$1004</f>
        <v>-0.12948855571780982</v>
      </c>
      <c r="D47" s="54">
        <f ca="1">Returns!H$1005</f>
        <v>0.28549268061783795</v>
      </c>
      <c r="E47" s="52">
        <f ca="1">SLOPE(HclRet,BenchRet)</f>
        <v>0.46327060699245975</v>
      </c>
      <c r="F47" s="52">
        <f ca="1">CORREL(HclRet,BenchRet)</f>
        <v>0.2209660912231631</v>
      </c>
      <c r="G47" s="52">
        <f t="shared" ca="1" si="1"/>
        <v>-0.69700055107254044</v>
      </c>
      <c r="H47" s="54">
        <f ca="1">Holdings!$G$13</f>
        <v>-0.28998684970187261</v>
      </c>
      <c r="I47" s="3"/>
      <c r="J47" s="3"/>
      <c r="K47" s="3"/>
      <c r="L47" s="3"/>
      <c r="M47" s="3"/>
    </row>
    <row r="48" spans="1:13" x14ac:dyDescent="0.3">
      <c r="A48" s="37" t="s">
        <v>353</v>
      </c>
      <c r="B48" s="29">
        <f>SUM(B41:B47)</f>
        <v>1</v>
      </c>
      <c r="C48" s="32">
        <f ca="1">B9</f>
        <v>-7.6338422883266569E-3</v>
      </c>
      <c r="D48" s="32">
        <f ca="1">B10</f>
        <v>0.1418243370012901</v>
      </c>
      <c r="E48" s="55">
        <f ca="1">B27</f>
        <v>0.28058366022921394</v>
      </c>
      <c r="F48" s="55">
        <f ca="1">B28</f>
        <v>0.26939993059906386</v>
      </c>
      <c r="G48" s="55">
        <f ca="1">B21</f>
        <v>-0.54386887271417328</v>
      </c>
      <c r="H48" s="32">
        <f ca="1">B11</f>
        <v>-3.4623975052780587E-2</v>
      </c>
      <c r="I48" s="3"/>
      <c r="J48" s="3"/>
      <c r="K48" s="3"/>
      <c r="L48" s="3"/>
      <c r="M48" s="3"/>
    </row>
    <row r="49" spans="1:1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6.5" customHeight="1" x14ac:dyDescent="0.3">
      <c r="A50" s="214" t="s">
        <v>354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3"/>
      <c r="M50" s="3"/>
    </row>
    <row r="51" spans="1:13" ht="30" customHeight="1" x14ac:dyDescent="0.3">
      <c r="A51" s="213" t="str">
        <f ca="1">"BETA — The portfolio's beta of "&amp;TEXT(B27,"0.00")&amp;" means that for a 1% move in the NIFTY 50, the portfolio moved about "&amp;TEXT(B27,"0.00")&amp;"% on average. "&amp;IF(B27&gt;1.05,"Beta above 1.0 indicates a MORE market-sensitive (aggressive) book — outperformance in a rising market is expected and is not, on its own, evidence of skill.",IF(B27&lt;0.95,"Beta below 1.0 indicates a DEFENSIVE book — it should lag a rising market and cushion a falling one.","Beta of approximately 1.0 indicates MARKET-LIKE exposure — the portfolio carries essentially the same systematic risk as the index, so any return difference is not explained by leverage on market direction."))</f>
        <v>BETA — The portfolio's beta of 0.28 means that for a 1% move in the NIFTY 50, the portfolio moved about 0.28% on average. Beta below 1.0 indicates a DEFENSIVE book — it should lag a rising market and cushion a falling one.</v>
      </c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3"/>
      <c r="M51" s="3"/>
    </row>
    <row r="52" spans="1:13" ht="30" customHeight="1" x14ac:dyDescent="0.3">
      <c r="A52" s="213" t="str">
        <f ca="1">"ALPHA — Jensen's alpha of "&amp;TEXT(B33,"0.00%")&amp;" p.a. is the return earned above the CAPM benchmark of "&amp;TEXT(B32,"0.00%")&amp;" implied by a beta of "&amp;TEXT(B27,"0.00")&amp;". Raw excess return vs the index was "&amp;TEXT(B31,"0.00%")&amp;". "&amp;IF(B33&gt;0,"Alpha is POSITIVE: the portfolio delivered more than its market exposure alone would predict.","Alpha is NEGATIVE: the portfolio delivered less than its market exposure alone would predict.")&amp;" Note that alpha and raw excess return are close here precisely because beta is near 1.0."</f>
        <v>ALPHA — Jensen's alpha of -5.35% p.a. is the return earned above the CAPM benchmark of 4.59% implied by a beta of 0.28. Raw excess return vs the index was 0.70%. Alpha is NEGATIVE: the portfolio delivered less than its market exposure alone would predict. Note that alpha and raw excess return are close here precisely because beta is near 1.0.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3"/>
      <c r="M52" s="3"/>
    </row>
    <row r="53" spans="1:13" ht="30" customHeight="1" x14ac:dyDescent="0.3">
      <c r="A53" s="213" t="str">
        <f ca="1">"SHARPE — Portfolio Sharpe of "&amp;TEXT(B21,"0.00")&amp;" vs NIFTY 50 "&amp;TEXT(C21,"0.00")&amp;". "&amp;IF(B21&gt;C21,"The portfolio produced a BETTER return per unit of total risk than the index.","The portfolio produced a WORSE return per unit of total risk than the index.")&amp;IF(B21&lt;0," Both figures are negative because the annualised return sits below the "&amp;TEXT(RiskFree,"0.00%")&amp;" risk-free rate — over this window, government bonds outperformed equity on a risk-adjusted basis. A negative Sharpe should be read as a ranking, not a ratio: less negative is better.","")</f>
        <v>SHARPE — Portfolio Sharpe of -0.54 vs NIFTY 50 -0.62. The portfolio produced a BETTER return per unit of total risk than the index. Both figures are negative because the annualised return sits below the 6.95% risk-free rate — over this window, government bonds outperformed equity on a risk-adjusted basis. A negative Sharpe should be read as a ranking, not a ratio: less negative is better.</v>
      </c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3"/>
      <c r="M53" s="3"/>
    </row>
    <row r="54" spans="1:13" ht="30" customHeight="1" x14ac:dyDescent="0.3">
      <c r="A54" s="213" t="str">
        <f ca="1">"RISK — Annualised volatility of "&amp;TEXT(B10,"0.00%")&amp;" vs the index at "&amp;TEXT(C10,"0.00%")&amp;"; maximum drawdown "&amp;TEXT(B35,"0.00%")&amp;" vs "&amp;TEXT(C35,"0.00%")&amp;". Upside capture "&amp;TEXT(B36,"0.0%")&amp;" and downside capture "&amp;TEXT(B37,"0.0%")&amp;" — "&amp;IF(B36&gt;B37,"the portfolio captured more of the index's up-weeks than its down-weeks, the asymmetry a manager wants.","the portfolio suffered more of the index's down-weeks than it captured of its up-weeks — an unfavourable asymmetry.")</f>
        <v>RISK — Annualised volatility of 14.18% vs the index at 13.62%; maximum drawdown -17.99% vs -14.93%. Upside capture 19.9% and downside capture 21.1% — the portfolio suffered more of the index's down-weeks than it captured of its up-weeks — an unfavourable asymmetry.</v>
      </c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3"/>
      <c r="M54" s="3"/>
    </row>
    <row r="55" spans="1:13" ht="30" customHeight="1" x14ac:dyDescent="0.3">
      <c r="A55" s="213" t="str">
        <f ca="1">"MARKET DEPENDENCE — R² of "&amp;TEXT(B29,"0.0%")&amp;" means roughly "&amp;TEXT(B29,"0%")&amp;_xlfn._LONGTEXT(" of the portfolio's weekly variance is explained by NIFTY 50 movement; the remainder is stock-specific. A single-country, long-only equity book of seven large caps will always be dominated by market beta — which is exactly why alpha, not raw return, is th","e honest scorecard.")</f>
        <v>MARKET DEPENDENCE — R² of 7.3% means roughly 7% of the portfolio's weekly variance is explained by NIFTY 50 movement; the remainder is stock-specific. A single-country, long-only equity book of seven large caps will always be dominated by market beta — which is exactly why alpha, not raw return, is the honest scorecard.</v>
      </c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3"/>
      <c r="M55" s="3"/>
    </row>
    <row r="56" spans="1: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</sheetData>
  <mergeCells count="12">
    <mergeCell ref="A53:K53"/>
    <mergeCell ref="A50:K50"/>
    <mergeCell ref="A4:K4"/>
    <mergeCell ref="A54:K54"/>
    <mergeCell ref="A55:K55"/>
    <mergeCell ref="A39:K39"/>
    <mergeCell ref="A25:K25"/>
    <mergeCell ref="A2:K2"/>
    <mergeCell ref="A51:K51"/>
    <mergeCell ref="A52:K52"/>
    <mergeCell ref="A1:K1"/>
    <mergeCell ref="A17:K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0"/>
  <sheetViews>
    <sheetView showGridLines="0" topLeftCell="A70" workbookViewId="0">
      <selection activeCell="I6" sqref="I6"/>
    </sheetView>
  </sheetViews>
  <sheetFormatPr defaultColWidth="8.6640625" defaultRowHeight="14.4" x14ac:dyDescent="0.3"/>
  <cols>
    <col min="1" max="1" width="30" customWidth="1"/>
    <col min="2" max="9" width="15" customWidth="1"/>
    <col min="10" max="11" width="30" customWidth="1"/>
    <col min="12" max="12" width="22" customWidth="1"/>
  </cols>
  <sheetData>
    <row r="1" spans="1:13" ht="24" customHeight="1" x14ac:dyDescent="0.3">
      <c r="A1" s="232" t="s">
        <v>355</v>
      </c>
      <c r="B1" s="156"/>
      <c r="C1" s="156"/>
      <c r="D1" s="156"/>
      <c r="E1" s="156"/>
      <c r="F1" s="156"/>
      <c r="G1" s="156"/>
      <c r="H1" s="156"/>
      <c r="I1" s="156"/>
      <c r="J1" s="3"/>
      <c r="K1" s="3"/>
      <c r="L1" s="3"/>
      <c r="M1" s="3"/>
    </row>
    <row r="2" spans="1:13" ht="13.5" customHeight="1" x14ac:dyDescent="0.3">
      <c r="A2" s="231" t="s">
        <v>356</v>
      </c>
      <c r="B2" s="156"/>
      <c r="C2" s="156"/>
      <c r="D2" s="156"/>
      <c r="E2" s="156"/>
      <c r="F2" s="156"/>
      <c r="G2" s="156"/>
      <c r="H2" s="156"/>
      <c r="I2" s="156"/>
      <c r="J2" s="3"/>
      <c r="K2" s="3"/>
      <c r="L2" s="3"/>
      <c r="M2" s="3"/>
    </row>
    <row r="3" spans="1:13" x14ac:dyDescent="0.3">
      <c r="A3" s="56" t="s">
        <v>357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6.5" customHeight="1" x14ac:dyDescent="0.3">
      <c r="A5" s="214" t="s">
        <v>358</v>
      </c>
      <c r="B5" s="156"/>
      <c r="C5" s="156"/>
      <c r="D5" s="156"/>
      <c r="E5" s="156"/>
      <c r="F5" s="156"/>
      <c r="G5" s="156"/>
      <c r="H5" s="156"/>
      <c r="I5" s="156"/>
      <c r="J5" s="3"/>
      <c r="K5" s="3"/>
      <c r="L5" s="3"/>
      <c r="M5" s="3"/>
    </row>
    <row r="6" spans="1:13" ht="30" customHeight="1" x14ac:dyDescent="0.3">
      <c r="A6" s="7"/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3"/>
      <c r="J6" s="3"/>
      <c r="K6" s="3"/>
      <c r="L6" s="3"/>
      <c r="M6" s="3"/>
    </row>
    <row r="7" spans="1:13" x14ac:dyDescent="0.3">
      <c r="A7" s="57" t="s">
        <v>10</v>
      </c>
      <c r="B7" s="114">
        <f ca="1">CORREL(RelRet,RelRet)</f>
        <v>1</v>
      </c>
      <c r="C7" s="114">
        <f ca="1">CORREL(RelRet,AirRet)</f>
        <v>0.39814713709419636</v>
      </c>
      <c r="D7" s="114">
        <f ca="1">CORREL(RelRet,HdfRet)</f>
        <v>0.39330991060742465</v>
      </c>
      <c r="E7" s="114">
        <f ca="1">CORREL(RelRet,LtRet)</f>
        <v>0.42911332161365057</v>
      </c>
      <c r="F7" s="114">
        <f ca="1">CORREL(RelRet,CipRet)</f>
        <v>0.19182906544793354</v>
      </c>
      <c r="G7" s="114">
        <f ca="1">CORREL(RelRet,MarRet)</f>
        <v>0.41736088460372872</v>
      </c>
      <c r="H7" s="114">
        <f ca="1">CORREL(RelRet,HclRet)</f>
        <v>0.21879103830136123</v>
      </c>
      <c r="I7" s="3"/>
      <c r="J7" s="3"/>
      <c r="K7" s="3"/>
      <c r="L7" s="3"/>
      <c r="M7" s="3"/>
    </row>
    <row r="8" spans="1:13" x14ac:dyDescent="0.3">
      <c r="A8" s="57" t="s">
        <v>11</v>
      </c>
      <c r="B8" s="114">
        <f ca="1">CORREL(AirRet,RelRet)</f>
        <v>0.39814713709419636</v>
      </c>
      <c r="C8" s="114">
        <f ca="1">CORREL(AirRet,AirRet)</f>
        <v>1</v>
      </c>
      <c r="D8" s="114">
        <f ca="1">CORREL(AirRet,HdfRet)</f>
        <v>0.39908704849454363</v>
      </c>
      <c r="E8" s="114">
        <f ca="1">CORREL(AirRet,LtRet)</f>
        <v>0.33335130835297272</v>
      </c>
      <c r="F8" s="114">
        <f ca="1">CORREL(AirRet,CipRet)</f>
        <v>0.22807050544452712</v>
      </c>
      <c r="G8" s="114">
        <f ca="1">CORREL(AirRet,MarRet)</f>
        <v>0.34271125746479353</v>
      </c>
      <c r="H8" s="114">
        <f ca="1">CORREL(AirRet,HclRet)</f>
        <v>0.24743998863619182</v>
      </c>
      <c r="I8" s="3"/>
      <c r="J8" s="3"/>
      <c r="K8" s="3"/>
      <c r="L8" s="3"/>
      <c r="M8" s="3"/>
    </row>
    <row r="9" spans="1:13" x14ac:dyDescent="0.3">
      <c r="A9" s="57" t="s">
        <v>12</v>
      </c>
      <c r="B9" s="114">
        <f ca="1">CORREL(HdfRet,RelRet)</f>
        <v>0.39330991060742465</v>
      </c>
      <c r="C9" s="114">
        <f ca="1">CORREL(HdfRet,AirRet)</f>
        <v>0.39908704849454363</v>
      </c>
      <c r="D9" s="114">
        <f ca="1">CORREL(HdfRet,HdfRet)</f>
        <v>1</v>
      </c>
      <c r="E9" s="114">
        <f ca="1">CORREL(HdfRet,LtRet)</f>
        <v>0.42568372135354943</v>
      </c>
      <c r="F9" s="114">
        <f ca="1">CORREL(HdfRet,CipRet)</f>
        <v>0.24527870287517381</v>
      </c>
      <c r="G9" s="114">
        <f ca="1">CORREL(HdfRet,MarRet)</f>
        <v>0.32132267277966131</v>
      </c>
      <c r="H9" s="114">
        <f ca="1">CORREL(HdfRet,HclRet)</f>
        <v>0.14603491832963389</v>
      </c>
      <c r="I9" s="3"/>
      <c r="J9" s="3"/>
      <c r="K9" s="3"/>
      <c r="L9" s="3"/>
      <c r="M9" s="3"/>
    </row>
    <row r="10" spans="1:13" x14ac:dyDescent="0.3">
      <c r="A10" s="57" t="s">
        <v>13</v>
      </c>
      <c r="B10" s="114">
        <f ca="1">CORREL(LtRet,RelRet)</f>
        <v>0.42911332161365057</v>
      </c>
      <c r="C10" s="114">
        <f ca="1">CORREL(LtRet,AirRet)</f>
        <v>0.33335130835297272</v>
      </c>
      <c r="D10" s="114">
        <f ca="1">CORREL(LtRet,HdfRet)</f>
        <v>0.42568372135354943</v>
      </c>
      <c r="E10" s="114">
        <f ca="1">CORREL(LtRet,LtRet)</f>
        <v>0.99999999999999978</v>
      </c>
      <c r="F10" s="114">
        <f ca="1">CORREL(LtRet,CipRet)</f>
        <v>0.22740707421938569</v>
      </c>
      <c r="G10" s="114">
        <f ca="1">CORREL(LtRet,MarRet)</f>
        <v>0.37306294593451916</v>
      </c>
      <c r="H10" s="114">
        <f ca="1">CORREL(LtRet,HclRet)</f>
        <v>0.22900743275501198</v>
      </c>
      <c r="I10" s="3"/>
      <c r="J10" s="3"/>
      <c r="K10" s="3"/>
      <c r="L10" s="3"/>
      <c r="M10" s="3"/>
    </row>
    <row r="11" spans="1:13" x14ac:dyDescent="0.3">
      <c r="A11" s="57" t="s">
        <v>14</v>
      </c>
      <c r="B11" s="114">
        <f ca="1">CORREL(CipRet,RelRet)</f>
        <v>0.19182906544793354</v>
      </c>
      <c r="C11" s="114">
        <f ca="1">CORREL(CipRet,AirRet)</f>
        <v>0.22807050544452712</v>
      </c>
      <c r="D11" s="114">
        <f ca="1">CORREL(CipRet,HdfRet)</f>
        <v>0.24527870287517381</v>
      </c>
      <c r="E11" s="114">
        <f ca="1">CORREL(CipRet,LtRet)</f>
        <v>0.22740707421938569</v>
      </c>
      <c r="F11" s="114">
        <f ca="1">CORREL(CipRet,CipRet)</f>
        <v>0.99999999999999989</v>
      </c>
      <c r="G11" s="114">
        <f ca="1">CORREL(CipRet,MarRet)</f>
        <v>0.30138072257200194</v>
      </c>
      <c r="H11" s="114">
        <f ca="1">CORREL(CipRet,HclRet)</f>
        <v>-4.4990875352997242E-2</v>
      </c>
      <c r="I11" s="3"/>
      <c r="J11" s="3"/>
      <c r="K11" s="3"/>
      <c r="L11" s="3"/>
      <c r="M11" s="3"/>
    </row>
    <row r="12" spans="1:13" x14ac:dyDescent="0.3">
      <c r="A12" s="57" t="s">
        <v>15</v>
      </c>
      <c r="B12" s="114">
        <f ca="1">CORREL(MarRet,RelRet)</f>
        <v>0.41736088460372872</v>
      </c>
      <c r="C12" s="114">
        <f ca="1">CORREL(MarRet,AirRet)</f>
        <v>0.34271125746479353</v>
      </c>
      <c r="D12" s="114">
        <f ca="1">CORREL(MarRet,HdfRet)</f>
        <v>0.32132267277966131</v>
      </c>
      <c r="E12" s="114">
        <f ca="1">CORREL(MarRet,LtRet)</f>
        <v>0.37306294593451916</v>
      </c>
      <c r="F12" s="114">
        <f ca="1">CORREL(MarRet,CipRet)</f>
        <v>0.30138072257200194</v>
      </c>
      <c r="G12" s="114">
        <f ca="1">CORREL(MarRet,MarRet)</f>
        <v>0.99999999999999978</v>
      </c>
      <c r="H12" s="114">
        <f ca="1">CORREL(MarRet,HclRet)</f>
        <v>0.20278158613504191</v>
      </c>
      <c r="I12" s="3"/>
      <c r="J12" s="3"/>
      <c r="K12" s="3"/>
      <c r="L12" s="3"/>
      <c r="M12" s="3"/>
    </row>
    <row r="13" spans="1:13" x14ac:dyDescent="0.3">
      <c r="A13" s="57" t="s">
        <v>16</v>
      </c>
      <c r="B13" s="114">
        <f ca="1">CORREL(HclRet,RelRet)</f>
        <v>0.21879103830136123</v>
      </c>
      <c r="C13" s="114">
        <f ca="1">CORREL(HclRet,AirRet)</f>
        <v>0.24743998863619182</v>
      </c>
      <c r="D13" s="114">
        <f ca="1">CORREL(HclRet,HdfRet)</f>
        <v>0.14603491832963389</v>
      </c>
      <c r="E13" s="114">
        <f ca="1">CORREL(HclRet,LtRet)</f>
        <v>0.22900743275501198</v>
      </c>
      <c r="F13" s="114">
        <f ca="1">CORREL(HclRet,CipRet)</f>
        <v>-4.4990875352997242E-2</v>
      </c>
      <c r="G13" s="114">
        <f ca="1">CORREL(HclRet,MarRet)</f>
        <v>0.20278158613504191</v>
      </c>
      <c r="H13" s="114">
        <f ca="1">CORREL(HclRet,HclRet)</f>
        <v>1</v>
      </c>
      <c r="I13" s="3"/>
      <c r="J13" s="3"/>
      <c r="K13" s="3"/>
      <c r="L13" s="3"/>
      <c r="M13" s="3"/>
    </row>
    <row r="14" spans="1:13" x14ac:dyDescent="0.3">
      <c r="A14" s="56" t="s">
        <v>359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6.5" customHeight="1" x14ac:dyDescent="0.3">
      <c r="A15" s="214" t="s">
        <v>360</v>
      </c>
      <c r="B15" s="156"/>
      <c r="C15" s="156"/>
      <c r="D15" s="156"/>
      <c r="E15" s="156"/>
      <c r="F15" s="156"/>
      <c r="G15" s="156"/>
      <c r="H15" s="156"/>
      <c r="I15" s="156"/>
      <c r="J15" s="3"/>
      <c r="K15" s="3"/>
      <c r="L15" s="3"/>
      <c r="M15" s="3"/>
    </row>
    <row r="16" spans="1:13" ht="18" customHeight="1" x14ac:dyDescent="0.3">
      <c r="A16" s="1" t="s">
        <v>361</v>
      </c>
      <c r="B16" s="223" t="s">
        <v>362</v>
      </c>
      <c r="C16" s="224"/>
      <c r="D16" s="223" t="s">
        <v>363</v>
      </c>
      <c r="E16" s="224"/>
      <c r="F16" s="1" t="s">
        <v>66</v>
      </c>
      <c r="G16" s="223" t="s">
        <v>165</v>
      </c>
      <c r="H16" s="224"/>
      <c r="I16" s="223" t="s">
        <v>167</v>
      </c>
      <c r="J16" s="212"/>
      <c r="K16" s="212"/>
      <c r="L16" s="224"/>
      <c r="M16" s="3"/>
    </row>
    <row r="17" spans="1:13" x14ac:dyDescent="0.3">
      <c r="A17" s="58">
        <f t="shared" ref="A17:A37" ca="1" si="0">RANK($F17,$F$17:$F$37,0)</f>
        <v>5</v>
      </c>
      <c r="B17" s="249" t="s">
        <v>10</v>
      </c>
      <c r="C17" s="224"/>
      <c r="D17" s="249" t="s">
        <v>11</v>
      </c>
      <c r="E17" s="224"/>
      <c r="F17" s="52">
        <f ca="1">CORREL(RelRet,AirRet)</f>
        <v>0.39814713709419636</v>
      </c>
      <c r="G17" s="251" t="str">
        <f ca="1">IF($F17&gt;THR80,"&gt; 0.80   Poor diversification",IF($F17&gt;THR50,"0.50 – 0.80   Moderate / high",IF($F17&gt;THR30,"0.30 – 0.50   Moderate","&lt; 0.30   Strong diversification")))</f>
        <v>&gt; 0.80   Poor diversification</v>
      </c>
      <c r="H17" s="224"/>
      <c r="I17" s="248" t="str">
        <f ca="1">IF($F17&gt;THR80,"Pair behaves close to one bet — review for redundancy",IF($F17&gt;THR50,"Meaningful shared risk driver — monitor combined weight",IF($F17&gt;THR30,"Some shared exposure; still adds diversification","Largely independent return drivers — diversifying")))</f>
        <v>Pair behaves close to one bet — review for redundancy</v>
      </c>
      <c r="J17" s="212"/>
      <c r="K17" s="212"/>
      <c r="L17" s="224"/>
      <c r="M17" s="3"/>
    </row>
    <row r="18" spans="1:13" x14ac:dyDescent="0.3">
      <c r="A18" s="58">
        <f t="shared" ca="1" si="0"/>
        <v>6</v>
      </c>
      <c r="B18" s="249" t="s">
        <v>10</v>
      </c>
      <c r="C18" s="224"/>
      <c r="D18" s="249" t="s">
        <v>12</v>
      </c>
      <c r="E18" s="224"/>
      <c r="F18" s="52">
        <f ca="1">CORREL(RelRet,HdfRet)</f>
        <v>0.39330991060742465</v>
      </c>
      <c r="G18" s="251" t="str">
        <f ca="1">IF($F18&gt;THR80,"&gt; 0.80   Poor diversification",IF($F18&gt;THR50,"0.50 – 0.80   Moderate / high",IF($F18&gt;THR30,"0.30 – 0.50   Moderate","&lt; 0.30   Strong diversification")))</f>
        <v>&gt; 0.80   Poor diversification</v>
      </c>
      <c r="H18" s="224"/>
      <c r="I18" s="248" t="str">
        <f ca="1">IF($F18&gt;THR80,"Pair behaves close to one bet — review for redundancy",IF($F18&gt;THR50,"Meaningful shared risk driver — monitor combined weight",IF($F18&gt;THR30,"Some shared exposure; still adds diversification","Largely independent return drivers — diversifying")))</f>
        <v>Pair behaves close to one bet — review for redundancy</v>
      </c>
      <c r="J18" s="212"/>
      <c r="K18" s="212"/>
      <c r="L18" s="224"/>
      <c r="M18" s="3"/>
    </row>
    <row r="19" spans="1:13" x14ac:dyDescent="0.3">
      <c r="A19" s="58">
        <f t="shared" ca="1" si="0"/>
        <v>1</v>
      </c>
      <c r="B19" s="249" t="s">
        <v>10</v>
      </c>
      <c r="C19" s="224"/>
      <c r="D19" s="249" t="s">
        <v>13</v>
      </c>
      <c r="E19" s="224"/>
      <c r="F19" s="52">
        <f ca="1">CORREL(RelRet,LtRet)</f>
        <v>0.42911332161365057</v>
      </c>
      <c r="G19" s="251" t="str">
        <f ca="1">IF($F19&gt;THR80,"&gt; 0.80   Poor diversification",IF($F19&gt;THR50,"0.50 – 0.80   Moderate / high",IF($F19&gt;THR30,"0.30 – 0.50   Moderate","&lt; 0.30   Strong diversification")))</f>
        <v>&gt; 0.80   Poor diversification</v>
      </c>
      <c r="H19" s="224"/>
      <c r="I19" s="248" t="str">
        <f ca="1">IF($F19&gt;THR80,"Pair behaves close to one bet — review for redundancy",IF($F19&gt;THR50,"Meaningful shared risk driver — monitor combined weight",IF($F19&gt;THR30,"Some shared exposure; still adds diversification","Largely independent return drivers — diversifying")))</f>
        <v>Pair behaves close to one bet — review for redundancy</v>
      </c>
      <c r="J19" s="212"/>
      <c r="K19" s="212"/>
      <c r="L19" s="224"/>
      <c r="M19" s="3"/>
    </row>
    <row r="20" spans="1:13" x14ac:dyDescent="0.3">
      <c r="A20" s="58">
        <f t="shared" ca="1" si="0"/>
        <v>19</v>
      </c>
      <c r="B20" s="249" t="s">
        <v>10</v>
      </c>
      <c r="C20" s="224"/>
      <c r="D20" s="249" t="s">
        <v>14</v>
      </c>
      <c r="E20" s="224"/>
      <c r="F20" s="52">
        <f ca="1">CORREL(RelRet,CipRet)</f>
        <v>0.19182906544793354</v>
      </c>
      <c r="G20" s="251" t="str">
        <f ca="1">IF($F20&gt;THR80,"&gt; 0.80   Poor diversification",IF($F20&gt;THR50,"0.50 – 0.80   Moderate / high",IF($F20&gt;THR30,"0.30 – 0.50   Moderate","&lt; 0.30   Strong diversification")))</f>
        <v>&gt; 0.80   Poor diversification</v>
      </c>
      <c r="H20" s="224"/>
      <c r="I20" s="248" t="str">
        <f ca="1">IF($F20&gt;THR80,"Pair behaves close to one bet — review for redundancy",IF($F20&gt;THR50,"Meaningful shared risk driver — monitor combined weight",IF($F20&gt;THR30,"Some shared exposure; still adds diversification","Largely independent return drivers — diversifying")))</f>
        <v>Pair behaves close to one bet — review for redundancy</v>
      </c>
      <c r="J20" s="212"/>
      <c r="K20" s="212"/>
      <c r="L20" s="224"/>
      <c r="M20" s="3"/>
    </row>
    <row r="21" spans="1:13" x14ac:dyDescent="0.3">
      <c r="A21" s="58">
        <f t="shared" ca="1" si="0"/>
        <v>3</v>
      </c>
      <c r="B21" s="249" t="s">
        <v>10</v>
      </c>
      <c r="C21" s="224"/>
      <c r="D21" s="249" t="s">
        <v>15</v>
      </c>
      <c r="E21" s="224"/>
      <c r="F21" s="52">
        <f ca="1">CORREL(RelRet,MarRet)</f>
        <v>0.41736088460372872</v>
      </c>
      <c r="G21" s="251" t="str">
        <f ca="1">IF($F21&gt;THR80,"&gt; 0.80   Poor diversification",IF($F21&gt;THR50,"0.50 – 0.80   Moderate / high",IF($F21&gt;THR30,"0.30 – 0.50   Moderate","&lt; 0.30   Strong diversification")))</f>
        <v>&gt; 0.80   Poor diversification</v>
      </c>
      <c r="H21" s="224"/>
      <c r="I21" s="248" t="str">
        <f ca="1">IF($F21&gt;THR80,"Pair behaves close to one bet — review for redundancy",IF($F21&gt;THR50,"Meaningful shared risk driver — monitor combined weight",IF($F21&gt;THR30,"Some shared exposure; still adds diversification","Largely independent return drivers — diversifying")))</f>
        <v>Pair behaves close to one bet — review for redundancy</v>
      </c>
      <c r="J21" s="212"/>
      <c r="K21" s="212"/>
      <c r="L21" s="224"/>
      <c r="M21" s="3"/>
    </row>
    <row r="22" spans="1:13" x14ac:dyDescent="0.3">
      <c r="A22" s="58">
        <f t="shared" ca="1" si="0"/>
        <v>17</v>
      </c>
      <c r="B22" s="249" t="s">
        <v>10</v>
      </c>
      <c r="C22" s="224"/>
      <c r="D22" s="249" t="s">
        <v>16</v>
      </c>
      <c r="E22" s="224"/>
      <c r="F22" s="52">
        <f ca="1">CORREL(RelRet,HclRet)</f>
        <v>0.21879103830136123</v>
      </c>
      <c r="G22" s="251" t="str">
        <f ca="1">IF($F22&gt;THR80,"&gt; 0.80   Poor diversification",IF($F22&gt;THR50,"0.50 – 0.80   Moderate / high",IF($F22&gt;THR30,"0.30 – 0.50   Moderate","&lt; 0.30   Strong diversification")))</f>
        <v>&gt; 0.80   Poor diversification</v>
      </c>
      <c r="H22" s="224"/>
      <c r="I22" s="248" t="str">
        <f ca="1">IF($F22&gt;THR80,"Pair behaves close to one bet — review for redundancy",IF($F22&gt;THR50,"Meaningful shared risk driver — monitor combined weight",IF($F22&gt;THR30,"Some shared exposure; still adds diversification","Largely independent return drivers — diversifying")))</f>
        <v>Pair behaves close to one bet — review for redundancy</v>
      </c>
      <c r="J22" s="212"/>
      <c r="K22" s="212"/>
      <c r="L22" s="224"/>
      <c r="M22" s="3"/>
    </row>
    <row r="23" spans="1:13" x14ac:dyDescent="0.3">
      <c r="A23" s="58">
        <f t="shared" ca="1" si="0"/>
        <v>4</v>
      </c>
      <c r="B23" s="249" t="s">
        <v>11</v>
      </c>
      <c r="C23" s="224"/>
      <c r="D23" s="249" t="s">
        <v>12</v>
      </c>
      <c r="E23" s="224"/>
      <c r="F23" s="52">
        <f ca="1">CORREL(AirRet,HdfRet)</f>
        <v>0.39908704849454363</v>
      </c>
      <c r="G23" s="251" t="str">
        <f ca="1">IF($F23&gt;THR80,"&gt; 0.80   Poor diversification",IF($F23&gt;THR50,"0.50 – 0.80   Moderate / high",IF($F23&gt;THR30,"0.30 – 0.50   Moderate","&lt; 0.30   Strong diversification")))</f>
        <v>&gt; 0.80   Poor diversification</v>
      </c>
      <c r="H23" s="224"/>
      <c r="I23" s="248" t="str">
        <f ca="1">IF($F23&gt;THR80,"Pair behaves close to one bet — review for redundancy",IF($F23&gt;THR50,"Meaningful shared risk driver — monitor combined weight",IF($F23&gt;THR30,"Some shared exposure; still adds diversification","Largely independent return drivers — diversifying")))</f>
        <v>Pair behaves close to one bet — review for redundancy</v>
      </c>
      <c r="J23" s="212"/>
      <c r="K23" s="212"/>
      <c r="L23" s="224"/>
      <c r="M23" s="3"/>
    </row>
    <row r="24" spans="1:13" x14ac:dyDescent="0.3">
      <c r="A24" s="58">
        <f t="shared" ca="1" si="0"/>
        <v>9</v>
      </c>
      <c r="B24" s="249" t="s">
        <v>11</v>
      </c>
      <c r="C24" s="224"/>
      <c r="D24" s="249" t="s">
        <v>13</v>
      </c>
      <c r="E24" s="224"/>
      <c r="F24" s="52">
        <f ca="1">CORREL(AirRet,LtRet)</f>
        <v>0.33335130835297272</v>
      </c>
      <c r="G24" s="251" t="str">
        <f ca="1">IF($F24&gt;THR80,"&gt; 0.80   Poor diversification",IF($F24&gt;THR50,"0.50 – 0.80   Moderate / high",IF($F24&gt;THR30,"0.30 – 0.50   Moderate","&lt; 0.30   Strong diversification")))</f>
        <v>&gt; 0.80   Poor diversification</v>
      </c>
      <c r="H24" s="224"/>
      <c r="I24" s="248" t="str">
        <f ca="1">IF($F24&gt;THR80,"Pair behaves close to one bet — review for redundancy",IF($F24&gt;THR50,"Meaningful shared risk driver — monitor combined weight",IF($F24&gt;THR30,"Some shared exposure; still adds diversification","Largely independent return drivers — diversifying")))</f>
        <v>Pair behaves close to one bet — review for redundancy</v>
      </c>
      <c r="J24" s="212"/>
      <c r="K24" s="212"/>
      <c r="L24" s="224"/>
      <c r="M24" s="3"/>
    </row>
    <row r="25" spans="1:13" x14ac:dyDescent="0.3">
      <c r="A25" s="58">
        <f t="shared" ca="1" si="0"/>
        <v>15</v>
      </c>
      <c r="B25" s="249" t="s">
        <v>11</v>
      </c>
      <c r="C25" s="224"/>
      <c r="D25" s="249" t="s">
        <v>14</v>
      </c>
      <c r="E25" s="224"/>
      <c r="F25" s="52">
        <f ca="1">CORREL(AirRet,CipRet)</f>
        <v>0.22807050544452712</v>
      </c>
      <c r="G25" s="251" t="str">
        <f ca="1">IF($F25&gt;THR80,"&gt; 0.80   Poor diversification",IF($F25&gt;THR50,"0.50 – 0.80   Moderate / high",IF($F25&gt;THR30,"0.30 – 0.50   Moderate","&lt; 0.30   Strong diversification")))</f>
        <v>&gt; 0.80   Poor diversification</v>
      </c>
      <c r="H25" s="224"/>
      <c r="I25" s="248" t="str">
        <f ca="1">IF($F25&gt;THR80,"Pair behaves close to one bet — review for redundancy",IF($F25&gt;THR50,"Meaningful shared risk driver — monitor combined weight",IF($F25&gt;THR30,"Some shared exposure; still adds diversification","Largely independent return drivers — diversifying")))</f>
        <v>Pair behaves close to one bet — review for redundancy</v>
      </c>
      <c r="J25" s="212"/>
      <c r="K25" s="212"/>
      <c r="L25" s="224"/>
      <c r="M25" s="3"/>
    </row>
    <row r="26" spans="1:13" x14ac:dyDescent="0.3">
      <c r="A26" s="58">
        <f t="shared" ca="1" si="0"/>
        <v>8</v>
      </c>
      <c r="B26" s="249" t="s">
        <v>11</v>
      </c>
      <c r="C26" s="224"/>
      <c r="D26" s="249" t="s">
        <v>15</v>
      </c>
      <c r="E26" s="224"/>
      <c r="F26" s="52">
        <f ca="1">CORREL(AirRet,MarRet)</f>
        <v>0.34271125746479353</v>
      </c>
      <c r="G26" s="251" t="str">
        <f ca="1">IF($F26&gt;THR80,"&gt; 0.80   Poor diversification",IF($F26&gt;THR50,"0.50 – 0.80   Moderate / high",IF($F26&gt;THR30,"0.30 – 0.50   Moderate","&lt; 0.30   Strong diversification")))</f>
        <v>&gt; 0.80   Poor diversification</v>
      </c>
      <c r="H26" s="224"/>
      <c r="I26" s="248" t="str">
        <f ca="1">IF($F26&gt;THR80,"Pair behaves close to one bet — review for redundancy",IF($F26&gt;THR50,"Meaningful shared risk driver — monitor combined weight",IF($F26&gt;THR30,"Some shared exposure; still adds diversification","Largely independent return drivers — diversifying")))</f>
        <v>Pair behaves close to one bet — review for redundancy</v>
      </c>
      <c r="J26" s="212"/>
      <c r="K26" s="212"/>
      <c r="L26" s="224"/>
      <c r="M26" s="3"/>
    </row>
    <row r="27" spans="1:13" x14ac:dyDescent="0.3">
      <c r="A27" s="58">
        <f t="shared" ca="1" si="0"/>
        <v>12</v>
      </c>
      <c r="B27" s="249" t="s">
        <v>11</v>
      </c>
      <c r="C27" s="224"/>
      <c r="D27" s="249" t="s">
        <v>16</v>
      </c>
      <c r="E27" s="224"/>
      <c r="F27" s="52">
        <f ca="1">CORREL(AirRet,HclRet)</f>
        <v>0.24743998863619182</v>
      </c>
      <c r="G27" s="251" t="str">
        <f ca="1">IF($F27&gt;THR80,"&gt; 0.80   Poor diversification",IF($F27&gt;THR50,"0.50 – 0.80   Moderate / high",IF($F27&gt;THR30,"0.30 – 0.50   Moderate","&lt; 0.30   Strong diversification")))</f>
        <v>&gt; 0.80   Poor diversification</v>
      </c>
      <c r="H27" s="224"/>
      <c r="I27" s="248" t="str">
        <f ca="1">IF($F27&gt;THR80,"Pair behaves close to one bet — review for redundancy",IF($F27&gt;THR50,"Meaningful shared risk driver — monitor combined weight",IF($F27&gt;THR30,"Some shared exposure; still adds diversification","Largely independent return drivers — diversifying")))</f>
        <v>Pair behaves close to one bet — review for redundancy</v>
      </c>
      <c r="J27" s="212"/>
      <c r="K27" s="212"/>
      <c r="L27" s="224"/>
      <c r="M27" s="3"/>
    </row>
    <row r="28" spans="1:13" x14ac:dyDescent="0.3">
      <c r="A28" s="58">
        <f t="shared" ca="1" si="0"/>
        <v>2</v>
      </c>
      <c r="B28" s="249" t="s">
        <v>12</v>
      </c>
      <c r="C28" s="224"/>
      <c r="D28" s="249" t="s">
        <v>13</v>
      </c>
      <c r="E28" s="224"/>
      <c r="F28" s="52">
        <f ca="1">CORREL(HdfRet,LtRet)</f>
        <v>0.42568372135354943</v>
      </c>
      <c r="G28" s="251" t="str">
        <f ca="1">IF($F28&gt;THR80,"&gt; 0.80   Poor diversification",IF($F28&gt;THR50,"0.50 – 0.80   Moderate / high",IF($F28&gt;THR30,"0.30 – 0.50   Moderate","&lt; 0.30   Strong diversification")))</f>
        <v>&gt; 0.80   Poor diversification</v>
      </c>
      <c r="H28" s="224"/>
      <c r="I28" s="248" t="str">
        <f ca="1">IF($F28&gt;THR80,"Pair behaves close to one bet — review for redundancy",IF($F28&gt;THR50,"Meaningful shared risk driver — monitor combined weight",IF($F28&gt;THR30,"Some shared exposure; still adds diversification","Largely independent return drivers — diversifying")))</f>
        <v>Pair behaves close to one bet — review for redundancy</v>
      </c>
      <c r="J28" s="212"/>
      <c r="K28" s="212"/>
      <c r="L28" s="224"/>
      <c r="M28" s="3"/>
    </row>
    <row r="29" spans="1:13" x14ac:dyDescent="0.3">
      <c r="A29" s="58">
        <f t="shared" ca="1" si="0"/>
        <v>13</v>
      </c>
      <c r="B29" s="249" t="s">
        <v>12</v>
      </c>
      <c r="C29" s="224"/>
      <c r="D29" s="249" t="s">
        <v>14</v>
      </c>
      <c r="E29" s="224"/>
      <c r="F29" s="52">
        <f ca="1">CORREL(HdfRet,CipRet)</f>
        <v>0.24527870287517381</v>
      </c>
      <c r="G29" s="251" t="str">
        <f ca="1">IF($F29&gt;THR80,"&gt; 0.80   Poor diversification",IF($F29&gt;THR50,"0.50 – 0.80   Moderate / high",IF($F29&gt;THR30,"0.30 – 0.50   Moderate","&lt; 0.30   Strong diversification")))</f>
        <v>&gt; 0.80   Poor diversification</v>
      </c>
      <c r="H29" s="224"/>
      <c r="I29" s="248" t="str">
        <f ca="1">IF($F29&gt;THR80,"Pair behaves close to one bet — review for redundancy",IF($F29&gt;THR50,"Meaningful shared risk driver — monitor combined weight",IF($F29&gt;THR30,"Some shared exposure; still adds diversification","Largely independent return drivers — diversifying")))</f>
        <v>Pair behaves close to one bet — review for redundancy</v>
      </c>
      <c r="J29" s="212"/>
      <c r="K29" s="212"/>
      <c r="L29" s="224"/>
      <c r="M29" s="3"/>
    </row>
    <row r="30" spans="1:13" x14ac:dyDescent="0.3">
      <c r="A30" s="58">
        <f t="shared" ca="1" si="0"/>
        <v>10</v>
      </c>
      <c r="B30" s="249" t="s">
        <v>12</v>
      </c>
      <c r="C30" s="224"/>
      <c r="D30" s="249" t="s">
        <v>15</v>
      </c>
      <c r="E30" s="224"/>
      <c r="F30" s="52">
        <f ca="1">CORREL(HdfRet,MarRet)</f>
        <v>0.32132267277966131</v>
      </c>
      <c r="G30" s="251" t="str">
        <f ca="1">IF($F30&gt;THR80,"&gt; 0.80   Poor diversification",IF($F30&gt;THR50,"0.50 – 0.80   Moderate / high",IF($F30&gt;THR30,"0.30 – 0.50   Moderate","&lt; 0.30   Strong diversification")))</f>
        <v>&gt; 0.80   Poor diversification</v>
      </c>
      <c r="H30" s="224"/>
      <c r="I30" s="248" t="str">
        <f ca="1">IF($F30&gt;THR80,"Pair behaves close to one bet — review for redundancy",IF($F30&gt;THR50,"Meaningful shared risk driver — monitor combined weight",IF($F30&gt;THR30,"Some shared exposure; still adds diversification","Largely independent return drivers — diversifying")))</f>
        <v>Pair behaves close to one bet — review for redundancy</v>
      </c>
      <c r="J30" s="212"/>
      <c r="K30" s="212"/>
      <c r="L30" s="224"/>
      <c r="M30" s="3"/>
    </row>
    <row r="31" spans="1:13" x14ac:dyDescent="0.3">
      <c r="A31" s="58">
        <f t="shared" ca="1" si="0"/>
        <v>20</v>
      </c>
      <c r="B31" s="249" t="s">
        <v>12</v>
      </c>
      <c r="C31" s="224"/>
      <c r="D31" s="249" t="s">
        <v>16</v>
      </c>
      <c r="E31" s="224"/>
      <c r="F31" s="52">
        <f ca="1">CORREL(HdfRet,HclRet)</f>
        <v>0.14603491832963389</v>
      </c>
      <c r="G31" s="251" t="str">
        <f ca="1">IF($F31&gt;THR80,"&gt; 0.80   Poor diversification",IF($F31&gt;THR50,"0.50 – 0.80   Moderate / high",IF($F31&gt;THR30,"0.30 – 0.50   Moderate","&lt; 0.30   Strong diversification")))</f>
        <v>&gt; 0.80   Poor diversification</v>
      </c>
      <c r="H31" s="224"/>
      <c r="I31" s="248" t="str">
        <f ca="1">IF($F31&gt;THR80,"Pair behaves close to one bet — review for redundancy",IF($F31&gt;THR50,"Meaningful shared risk driver — monitor combined weight",IF($F31&gt;THR30,"Some shared exposure; still adds diversification","Largely independent return drivers — diversifying")))</f>
        <v>Pair behaves close to one bet — review for redundancy</v>
      </c>
      <c r="J31" s="212"/>
      <c r="K31" s="212"/>
      <c r="L31" s="224"/>
      <c r="M31" s="3"/>
    </row>
    <row r="32" spans="1:13" x14ac:dyDescent="0.3">
      <c r="A32" s="58">
        <f t="shared" ca="1" si="0"/>
        <v>16</v>
      </c>
      <c r="B32" s="249" t="s">
        <v>13</v>
      </c>
      <c r="C32" s="224"/>
      <c r="D32" s="249" t="s">
        <v>14</v>
      </c>
      <c r="E32" s="224"/>
      <c r="F32" s="52">
        <f ca="1">CORREL(LtRet,CipRet)</f>
        <v>0.22740707421938569</v>
      </c>
      <c r="G32" s="251" t="str">
        <f ca="1">IF($F32&gt;THR80,"&gt; 0.80   Poor diversification",IF($F32&gt;THR50,"0.50 – 0.80   Moderate / high",IF($F32&gt;THR30,"0.30 – 0.50   Moderate","&lt; 0.30   Strong diversification")))</f>
        <v>&gt; 0.80   Poor diversification</v>
      </c>
      <c r="H32" s="224"/>
      <c r="I32" s="248" t="str">
        <f ca="1">IF($F32&gt;THR80,"Pair behaves close to one bet — review for redundancy",IF($F32&gt;THR50,"Meaningful shared risk driver — monitor combined weight",IF($F32&gt;THR30,"Some shared exposure; still adds diversification","Largely independent return drivers — diversifying")))</f>
        <v>Pair behaves close to one bet — review for redundancy</v>
      </c>
      <c r="J32" s="212"/>
      <c r="K32" s="212"/>
      <c r="L32" s="224"/>
      <c r="M32" s="3"/>
    </row>
    <row r="33" spans="1:13" x14ac:dyDescent="0.3">
      <c r="A33" s="58">
        <f t="shared" ca="1" si="0"/>
        <v>7</v>
      </c>
      <c r="B33" s="249" t="s">
        <v>13</v>
      </c>
      <c r="C33" s="224"/>
      <c r="D33" s="249" t="s">
        <v>15</v>
      </c>
      <c r="E33" s="224"/>
      <c r="F33" s="52">
        <f ca="1">CORREL(LtRet,MarRet)</f>
        <v>0.37306294593451916</v>
      </c>
      <c r="G33" s="251" t="str">
        <f ca="1">IF($F33&gt;THR80,"&gt; 0.80   Poor diversification",IF($F33&gt;THR50,"0.50 – 0.80   Moderate / high",IF($F33&gt;THR30,"0.30 – 0.50   Moderate","&lt; 0.30   Strong diversification")))</f>
        <v>&gt; 0.80   Poor diversification</v>
      </c>
      <c r="H33" s="224"/>
      <c r="I33" s="248" t="str">
        <f ca="1">IF($F33&gt;THR80,"Pair behaves close to one bet — review for redundancy",IF($F33&gt;THR50,"Meaningful shared risk driver — monitor combined weight",IF($F33&gt;THR30,"Some shared exposure; still adds diversification","Largely independent return drivers — diversifying")))</f>
        <v>Pair behaves close to one bet — review for redundancy</v>
      </c>
      <c r="J33" s="212"/>
      <c r="K33" s="212"/>
      <c r="L33" s="224"/>
      <c r="M33" s="3"/>
    </row>
    <row r="34" spans="1:13" x14ac:dyDescent="0.3">
      <c r="A34" s="58">
        <f t="shared" ca="1" si="0"/>
        <v>14</v>
      </c>
      <c r="B34" s="249" t="s">
        <v>13</v>
      </c>
      <c r="C34" s="224"/>
      <c r="D34" s="249" t="s">
        <v>16</v>
      </c>
      <c r="E34" s="224"/>
      <c r="F34" s="52">
        <f ca="1">CORREL(LtRet,HclRet)</f>
        <v>0.22900743275501198</v>
      </c>
      <c r="G34" s="251" t="str">
        <f ca="1">IF($F34&gt;THR80,"&gt; 0.80   Poor diversification",IF($F34&gt;THR50,"0.50 – 0.80   Moderate / high",IF($F34&gt;THR30,"0.30 – 0.50   Moderate","&lt; 0.30   Strong diversification")))</f>
        <v>&gt; 0.80   Poor diversification</v>
      </c>
      <c r="H34" s="224"/>
      <c r="I34" s="248" t="str">
        <f ca="1">IF($F34&gt;THR80,"Pair behaves close to one bet — review for redundancy",IF($F34&gt;THR50,"Meaningful shared risk driver — monitor combined weight",IF($F34&gt;THR30,"Some shared exposure; still adds diversification","Largely independent return drivers — diversifying")))</f>
        <v>Pair behaves close to one bet — review for redundancy</v>
      </c>
      <c r="J34" s="212"/>
      <c r="K34" s="212"/>
      <c r="L34" s="224"/>
      <c r="M34" s="3"/>
    </row>
    <row r="35" spans="1:13" x14ac:dyDescent="0.3">
      <c r="A35" s="58">
        <f t="shared" ca="1" si="0"/>
        <v>11</v>
      </c>
      <c r="B35" s="249" t="s">
        <v>14</v>
      </c>
      <c r="C35" s="224"/>
      <c r="D35" s="249" t="s">
        <v>15</v>
      </c>
      <c r="E35" s="224"/>
      <c r="F35" s="52">
        <f ca="1">CORREL(CipRet,MarRet)</f>
        <v>0.30138072257200194</v>
      </c>
      <c r="G35" s="251" t="str">
        <f ca="1">IF($F35&gt;THR80,"&gt; 0.80   Poor diversification",IF($F35&gt;THR50,"0.50 – 0.80   Moderate / high",IF($F35&gt;THR30,"0.30 – 0.50   Moderate","&lt; 0.30   Strong diversification")))</f>
        <v>&gt; 0.80   Poor diversification</v>
      </c>
      <c r="H35" s="224"/>
      <c r="I35" s="248" t="str">
        <f ca="1">IF($F35&gt;THR80,"Pair behaves close to one bet — review for redundancy",IF($F35&gt;THR50,"Meaningful shared risk driver — monitor combined weight",IF($F35&gt;THR30,"Some shared exposure; still adds diversification","Largely independent return drivers — diversifying")))</f>
        <v>Pair behaves close to one bet — review for redundancy</v>
      </c>
      <c r="J35" s="212"/>
      <c r="K35" s="212"/>
      <c r="L35" s="224"/>
      <c r="M35" s="3"/>
    </row>
    <row r="36" spans="1:13" x14ac:dyDescent="0.3">
      <c r="A36" s="58">
        <f t="shared" ca="1" si="0"/>
        <v>21</v>
      </c>
      <c r="B36" s="249" t="s">
        <v>14</v>
      </c>
      <c r="C36" s="224"/>
      <c r="D36" s="249" t="s">
        <v>16</v>
      </c>
      <c r="E36" s="224"/>
      <c r="F36" s="52">
        <f ca="1">CORREL(CipRet,HclRet)</f>
        <v>-4.4990875352997242E-2</v>
      </c>
      <c r="G36" s="251" t="str">
        <f ca="1">IF($F36&gt;THR80,"&gt; 0.80   Poor diversification",IF($F36&gt;THR50,"0.50 – 0.80   Moderate / high",IF($F36&gt;THR30,"0.30 – 0.50   Moderate","&lt; 0.30   Strong diversification")))</f>
        <v>&lt; 0.30   Strong diversification</v>
      </c>
      <c r="H36" s="224"/>
      <c r="I36" s="248" t="str">
        <f ca="1">IF($F36&gt;THR80,"Pair behaves close to one bet — review for redundancy",IF($F36&gt;THR50,"Meaningful shared risk driver — monitor combined weight",IF($F36&gt;THR30,"Some shared exposure; still adds diversification","Largely independent return drivers — diversifying")))</f>
        <v>Largely independent return drivers — diversifying</v>
      </c>
      <c r="J36" s="212"/>
      <c r="K36" s="212"/>
      <c r="L36" s="224"/>
      <c r="M36" s="3"/>
    </row>
    <row r="37" spans="1:13" x14ac:dyDescent="0.3">
      <c r="A37" s="58">
        <f t="shared" ca="1" si="0"/>
        <v>18</v>
      </c>
      <c r="B37" s="249" t="s">
        <v>15</v>
      </c>
      <c r="C37" s="224"/>
      <c r="D37" s="249" t="s">
        <v>16</v>
      </c>
      <c r="E37" s="224"/>
      <c r="F37" s="52">
        <f ca="1">CORREL(MarRet,HclRet)</f>
        <v>0.20278158613504191</v>
      </c>
      <c r="G37" s="251" t="str">
        <f ca="1">IF($F37&gt;THR80,"&gt; 0.80   Poor diversification",IF($F37&gt;THR50,"0.50 – 0.80   Moderate / high",IF($F37&gt;THR30,"0.30 – 0.50   Moderate","&lt; 0.30   Strong diversification")))</f>
        <v>&gt; 0.80   Poor diversification</v>
      </c>
      <c r="H37" s="224"/>
      <c r="I37" s="248" t="str">
        <f ca="1">IF($F37&gt;THR80,"Pair behaves close to one bet — review for redundancy",IF($F37&gt;THR50,"Meaningful shared risk driver — monitor combined weight",IF($F37&gt;THR30,"Some shared exposure; still adds diversification","Largely independent return drivers — diversifying")))</f>
        <v>Pair behaves close to one bet — review for redundancy</v>
      </c>
      <c r="J37" s="212"/>
      <c r="K37" s="212"/>
      <c r="L37" s="224"/>
      <c r="M37" s="3"/>
    </row>
    <row r="38" spans="1:1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6.5" customHeight="1" x14ac:dyDescent="0.3">
      <c r="A39" s="214" t="s">
        <v>364</v>
      </c>
      <c r="B39" s="156"/>
      <c r="C39" s="156"/>
      <c r="D39" s="156"/>
      <c r="E39" s="156"/>
      <c r="F39" s="156"/>
      <c r="G39" s="156"/>
      <c r="H39" s="156"/>
      <c r="I39" s="156"/>
      <c r="J39" s="3"/>
      <c r="K39" s="3"/>
      <c r="L39" s="3"/>
      <c r="M39" s="3"/>
    </row>
    <row r="40" spans="1:13" ht="27.75" customHeight="1" x14ac:dyDescent="0.3">
      <c r="A40" s="1" t="s">
        <v>365</v>
      </c>
      <c r="B40" s="1" t="s">
        <v>108</v>
      </c>
      <c r="C40" s="223" t="s">
        <v>366</v>
      </c>
      <c r="D40" s="212"/>
      <c r="E40" s="212"/>
      <c r="F40" s="212"/>
      <c r="G40" s="212"/>
      <c r="H40" s="212"/>
      <c r="I40" s="212"/>
      <c r="J40" s="212"/>
      <c r="K40" s="212"/>
      <c r="L40" s="224"/>
      <c r="M40" s="3"/>
    </row>
    <row r="41" spans="1:13" x14ac:dyDescent="0.3">
      <c r="A41" s="5" t="s">
        <v>367</v>
      </c>
      <c r="B41" s="51">
        <f ca="1">MAX($F$17:$F$37)</f>
        <v>0.42911332161365057</v>
      </c>
      <c r="C41" s="250" t="str">
        <f ca="1">"Most correlated pair: "&amp;INDEX($B$17:$B$37,MATCH(MAX($F$17:$F$37),$F$17:$F$37,0))&amp;" / "&amp;INDEX($D$17:$D$37,MATCH(MAX($F$17:$F$37),$F$17:$F$37,0))&amp;" at ρ = "&amp;TEXT(MAX($F$17:$F$37),"0.00")&amp;". "&amp;IF(MAX($F$17:$F$37)&gt;THR80,"Above the 0.80 redundancy threshold — the pair is effectively one bet.",IF(MAX($F$17:$F$37)&gt;THR50,"Meaningful shared risk driver, but below the 0.80 redundancy threshold.","Even the most correlated pair sits below 0.50 — no redundant holding in the book."))</f>
        <v>Most correlated pair: Reliance Industries / Larsen &amp; Toubro at ρ = 0.43. Above the 0.80 redundancy threshold — the pair is effectively one bet.</v>
      </c>
      <c r="D41" s="212"/>
      <c r="E41" s="212"/>
      <c r="F41" s="212"/>
      <c r="G41" s="212"/>
      <c r="H41" s="212"/>
      <c r="I41" s="212"/>
      <c r="J41" s="212"/>
      <c r="K41" s="212"/>
      <c r="L41" s="224"/>
      <c r="M41" s="3"/>
    </row>
    <row r="42" spans="1:13" x14ac:dyDescent="0.3">
      <c r="A42" s="5" t="s">
        <v>368</v>
      </c>
      <c r="B42" s="51">
        <f ca="1">MIN($F$17:$F$37)</f>
        <v>-4.4990875352997242E-2</v>
      </c>
      <c r="C42" s="250" t="str">
        <f ca="1">"Least correlated pair: "&amp;INDEX($B$17:$B$37,MATCH(MIN($F$17:$F$37),$F$17:$F$37,0))&amp;" / "&amp;INDEX($D$17:$D$37,MATCH(MIN($F$17:$F$37),$F$17:$F$37,0))&amp;" at ρ = "&amp;TEXT(MIN($F$17:$F$37),"0.00")&amp;" — the strongest diversifying relationship in the portfolio."</f>
        <v>Least correlated pair: Cipla / HCL Technologies at ρ = -0.04 — the strongest diversifying relationship in the portfolio.</v>
      </c>
      <c r="D42" s="212"/>
      <c r="E42" s="212"/>
      <c r="F42" s="212"/>
      <c r="G42" s="212"/>
      <c r="H42" s="212"/>
      <c r="I42" s="212"/>
      <c r="J42" s="212"/>
      <c r="K42" s="212"/>
      <c r="L42" s="224"/>
      <c r="M42" s="3"/>
    </row>
    <row r="43" spans="1:13" x14ac:dyDescent="0.3">
      <c r="A43" s="5" t="s">
        <v>369</v>
      </c>
      <c r="B43" s="51">
        <f ca="1">AVERAGE($F$17:$F$37)</f>
        <v>0.28696096988868125</v>
      </c>
      <c r="C43" s="250" t="str">
        <f>"Mean of all 21 unique pairs. Values below 0.40 indicate genuinely different return drivers across the book; values approaching 0.70+ would mean the sector labels are more diversified than the underlying risk."</f>
        <v>Mean of all 21 unique pairs. Values below 0.40 indicate genuinely different return drivers across the book; values approaching 0.70+ would mean the sector labels are more diversified than the underlying risk.</v>
      </c>
      <c r="D43" s="212"/>
      <c r="E43" s="212"/>
      <c r="F43" s="212"/>
      <c r="G43" s="212"/>
      <c r="H43" s="212"/>
      <c r="I43" s="212"/>
      <c r="J43" s="212"/>
      <c r="K43" s="212"/>
      <c r="L43" s="224"/>
      <c r="M43" s="3"/>
    </row>
    <row r="44" spans="1:13" x14ac:dyDescent="0.3">
      <c r="A44" s="5" t="s">
        <v>370</v>
      </c>
      <c r="B44" s="44">
        <f ca="1">COUNTIF($F$17:$F$37,"&gt;"&amp;THR80)</f>
        <v>0</v>
      </c>
      <c r="C44" s="250" t="str">
        <f ca="1">IF(COUNTIF($F$17:$F$37,"&gt;"&amp;THR80)=0,"No pair breaches the 0.80 redundancy threshold — no holding is a duplicate of another.","Review flagged pairs: overlapping exposure is consuming weight without adding diversification.")</f>
        <v>No pair breaches the 0.80 redundancy threshold — no holding is a duplicate of another.</v>
      </c>
      <c r="D44" s="212"/>
      <c r="E44" s="212"/>
      <c r="F44" s="212"/>
      <c r="G44" s="212"/>
      <c r="H44" s="212"/>
      <c r="I44" s="212"/>
      <c r="J44" s="212"/>
      <c r="K44" s="212"/>
      <c r="L44" s="224"/>
      <c r="M44" s="3"/>
    </row>
    <row r="45" spans="1:13" ht="15" customHeight="1" x14ac:dyDescent="0.3">
      <c r="A45" s="5" t="s">
        <v>371</v>
      </c>
      <c r="B45" s="44">
        <f ca="1">COUNTIFS($F$17:$F$37,"&gt;"&amp;THR50,$F$17:$F$37,"&lt;="&amp;THR80)</f>
        <v>0</v>
      </c>
      <c r="C45" s="250" t="s">
        <v>372</v>
      </c>
      <c r="D45" s="212"/>
      <c r="E45" s="212"/>
      <c r="F45" s="212"/>
      <c r="G45" s="212"/>
      <c r="H45" s="212"/>
      <c r="I45" s="212"/>
      <c r="J45" s="212"/>
      <c r="K45" s="212"/>
      <c r="L45" s="224"/>
      <c r="M45" s="3"/>
    </row>
    <row r="46" spans="1:13" ht="15" customHeight="1" x14ac:dyDescent="0.3">
      <c r="A46" s="5" t="s">
        <v>373</v>
      </c>
      <c r="B46" s="44">
        <f ca="1">COUNTIF($F$17:$F$37,"&lt;"&amp;THR30)</f>
        <v>0</v>
      </c>
      <c r="C46" s="250" t="s">
        <v>374</v>
      </c>
      <c r="D46" s="212"/>
      <c r="E46" s="212"/>
      <c r="F46" s="212"/>
      <c r="G46" s="212"/>
      <c r="H46" s="212"/>
      <c r="I46" s="212"/>
      <c r="J46" s="212"/>
      <c r="K46" s="212"/>
      <c r="L46" s="224"/>
      <c r="M46" s="3"/>
    </row>
    <row r="47" spans="1:1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</sheetData>
  <mergeCells count="100">
    <mergeCell ref="A2:I2"/>
    <mergeCell ref="G18:H18"/>
    <mergeCell ref="G21:H21"/>
    <mergeCell ref="D20:E20"/>
    <mergeCell ref="B22:C22"/>
    <mergeCell ref="D22:E22"/>
    <mergeCell ref="G16:H16"/>
    <mergeCell ref="A15:I15"/>
    <mergeCell ref="C42:L42"/>
    <mergeCell ref="G34:H34"/>
    <mergeCell ref="I26:L26"/>
    <mergeCell ref="I16:L16"/>
    <mergeCell ref="I25:L25"/>
    <mergeCell ref="A39:I39"/>
    <mergeCell ref="B24:C24"/>
    <mergeCell ref="G20:H20"/>
    <mergeCell ref="D24:E24"/>
    <mergeCell ref="B33:C33"/>
    <mergeCell ref="I18:L18"/>
    <mergeCell ref="D33:E33"/>
    <mergeCell ref="B32:C32"/>
    <mergeCell ref="B26:C26"/>
    <mergeCell ref="G22:H22"/>
    <mergeCell ref="B37:C37"/>
    <mergeCell ref="C46:L46"/>
    <mergeCell ref="D26:E26"/>
    <mergeCell ref="B35:C35"/>
    <mergeCell ref="D35:E35"/>
    <mergeCell ref="B16:C16"/>
    <mergeCell ref="B25:C25"/>
    <mergeCell ref="D19:E19"/>
    <mergeCell ref="D34:E34"/>
    <mergeCell ref="I20:L20"/>
    <mergeCell ref="I29:L29"/>
    <mergeCell ref="B27:C27"/>
    <mergeCell ref="B18:C18"/>
    <mergeCell ref="I31:L31"/>
    <mergeCell ref="B29:C29"/>
    <mergeCell ref="G24:H24"/>
    <mergeCell ref="G33:H33"/>
    <mergeCell ref="D29:E29"/>
    <mergeCell ref="G25:H25"/>
    <mergeCell ref="D23:E23"/>
    <mergeCell ref="G37:H37"/>
    <mergeCell ref="D16:E16"/>
    <mergeCell ref="D36:E36"/>
    <mergeCell ref="D31:E31"/>
    <mergeCell ref="G23:H23"/>
    <mergeCell ref="G19:H19"/>
    <mergeCell ref="D32:E32"/>
    <mergeCell ref="G28:H28"/>
    <mergeCell ref="G17:H17"/>
    <mergeCell ref="A1:I1"/>
    <mergeCell ref="I24:L24"/>
    <mergeCell ref="I33:L33"/>
    <mergeCell ref="I17:L17"/>
    <mergeCell ref="I35:L35"/>
    <mergeCell ref="I19:L19"/>
    <mergeCell ref="A5:I5"/>
    <mergeCell ref="D27:E27"/>
    <mergeCell ref="I30:L30"/>
    <mergeCell ref="B17:C17"/>
    <mergeCell ref="D17:E17"/>
    <mergeCell ref="B19:C19"/>
    <mergeCell ref="B34:C34"/>
    <mergeCell ref="B28:C28"/>
    <mergeCell ref="D28:E28"/>
    <mergeCell ref="D25:E25"/>
    <mergeCell ref="I36:L36"/>
    <mergeCell ref="C41:L41"/>
    <mergeCell ref="B30:C30"/>
    <mergeCell ref="D30:E30"/>
    <mergeCell ref="I21:L21"/>
    <mergeCell ref="G32:H32"/>
    <mergeCell ref="D37:E37"/>
    <mergeCell ref="I32:L32"/>
    <mergeCell ref="G26:H26"/>
    <mergeCell ref="G35:H35"/>
    <mergeCell ref="I37:L37"/>
    <mergeCell ref="B31:C31"/>
    <mergeCell ref="B21:C21"/>
    <mergeCell ref="D21:E21"/>
    <mergeCell ref="I34:L34"/>
    <mergeCell ref="B23:C23"/>
    <mergeCell ref="I27:L27"/>
    <mergeCell ref="B20:C20"/>
    <mergeCell ref="C45:L45"/>
    <mergeCell ref="G30:H30"/>
    <mergeCell ref="D18:E18"/>
    <mergeCell ref="C44:L44"/>
    <mergeCell ref="G29:H29"/>
    <mergeCell ref="I22:L22"/>
    <mergeCell ref="I28:L28"/>
    <mergeCell ref="C40:L40"/>
    <mergeCell ref="B36:C36"/>
    <mergeCell ref="G31:H31"/>
    <mergeCell ref="C43:L43"/>
    <mergeCell ref="I23:L23"/>
    <mergeCell ref="G27:H27"/>
    <mergeCell ref="G36:H36"/>
  </mergeCells>
  <conditionalFormatting sqref="B7:H13">
    <cfRule type="colorScale" priority="2">
      <colorScale>
        <cfvo type="num" val="-0.2"/>
        <cfvo type="num" val="0.4"/>
        <cfvo type="num" val="1"/>
        <color rgb="FF1F5C4D"/>
        <color rgb="FF17253F"/>
        <color rgb="FF6B2C2C"/>
      </colorScale>
    </cfRule>
  </conditionalFormatting>
  <conditionalFormatting sqref="F17:F37">
    <cfRule type="colorScale" priority="3">
      <colorScale>
        <cfvo type="num" val="-0.2"/>
        <cfvo type="num" val="0.4"/>
        <cfvo type="num" val="1"/>
        <color rgb="FF1F5C4D"/>
        <color rgb="FF17253F"/>
        <color rgb="FF6B2C2C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11"/>
  <sheetViews>
    <sheetView showGridLines="0" topLeftCell="A133" workbookViewId="0">
      <selection activeCell="D154" sqref="D154"/>
    </sheetView>
  </sheetViews>
  <sheetFormatPr defaultColWidth="8.6640625" defaultRowHeight="14.4" x14ac:dyDescent="0.3"/>
  <cols>
    <col min="1" max="1" width="34" customWidth="1"/>
    <col min="2" max="4" width="14" customWidth="1"/>
    <col min="5" max="5" width="52" customWidth="1"/>
    <col min="6" max="6" width="12" customWidth="1"/>
    <col min="7" max="8" width="13" customWidth="1"/>
    <col min="9" max="9" width="12" customWidth="1"/>
    <col min="10" max="10" width="8" customWidth="1"/>
    <col min="20" max="20" width="13" customWidth="1"/>
    <col min="21" max="21" width="20.33203125" customWidth="1"/>
    <col min="23" max="23" width="46.33203125" customWidth="1"/>
    <col min="24" max="24" width="20.33203125" customWidth="1"/>
  </cols>
  <sheetData>
    <row r="1" spans="1:21" ht="24" customHeight="1" x14ac:dyDescent="0.3">
      <c r="A1" s="232" t="s">
        <v>375</v>
      </c>
      <c r="B1" s="156"/>
      <c r="C1" s="156"/>
      <c r="D1" s="156"/>
      <c r="E1" s="156"/>
      <c r="F1" s="156"/>
      <c r="G1" s="156"/>
      <c r="H1" s="156"/>
      <c r="I1" s="156"/>
      <c r="J1" s="3"/>
      <c r="K1" s="3"/>
    </row>
    <row r="2" spans="1:21" ht="13.5" customHeight="1" x14ac:dyDescent="0.3">
      <c r="A2" s="231" t="s">
        <v>376</v>
      </c>
      <c r="B2" s="156"/>
      <c r="C2" s="156"/>
      <c r="D2" s="156"/>
      <c r="E2" s="156"/>
      <c r="F2" s="156"/>
      <c r="G2" s="156"/>
      <c r="H2" s="156"/>
      <c r="I2" s="156"/>
      <c r="J2" s="3"/>
      <c r="K2" s="3"/>
    </row>
    <row r="3" spans="1:21" x14ac:dyDescent="0.3">
      <c r="A3" s="56" t="s">
        <v>377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2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21" x14ac:dyDescent="0.3">
      <c r="A5" s="3"/>
      <c r="B5" s="252" t="s">
        <v>378</v>
      </c>
      <c r="C5" s="253"/>
      <c r="D5" s="253"/>
      <c r="E5" s="253"/>
      <c r="F5" s="254" t="s">
        <v>379</v>
      </c>
      <c r="G5" s="255"/>
      <c r="H5" s="255"/>
      <c r="I5" s="255"/>
      <c r="J5" s="3"/>
      <c r="K5" s="3"/>
      <c r="T5" t="s">
        <v>500</v>
      </c>
    </row>
    <row r="6" spans="1:21" ht="27.75" customHeight="1" x14ac:dyDescent="0.3">
      <c r="A6" s="1" t="s">
        <v>9</v>
      </c>
      <c r="B6" s="1" t="s">
        <v>380</v>
      </c>
      <c r="C6" s="1" t="s">
        <v>381</v>
      </c>
      <c r="D6" s="1" t="s">
        <v>382</v>
      </c>
      <c r="E6" s="1" t="s">
        <v>68</v>
      </c>
      <c r="F6" s="1" t="s">
        <v>380</v>
      </c>
      <c r="G6" s="1" t="s">
        <v>381</v>
      </c>
      <c r="H6" s="1" t="s">
        <v>382</v>
      </c>
      <c r="I6" s="1" t="s">
        <v>68</v>
      </c>
      <c r="J6" s="59" t="s">
        <v>383</v>
      </c>
      <c r="K6" s="3"/>
      <c r="L6" s="115" t="s">
        <v>491</v>
      </c>
      <c r="M6" s="115" t="s">
        <v>251</v>
      </c>
      <c r="N6" s="115" t="s">
        <v>17</v>
      </c>
      <c r="P6" s="115" t="s">
        <v>491</v>
      </c>
      <c r="Q6" s="115" t="s">
        <v>251</v>
      </c>
      <c r="R6" s="115" t="s">
        <v>17</v>
      </c>
      <c r="T6" s="115" t="s">
        <v>491</v>
      </c>
      <c r="U6" s="115" t="s">
        <v>501</v>
      </c>
    </row>
    <row r="7" spans="1:21" x14ac:dyDescent="0.3">
      <c r="A7" s="10">
        <f ca="1">Prices!$A$4</f>
        <v>45544</v>
      </c>
      <c r="B7" s="11" t="s">
        <v>270</v>
      </c>
      <c r="C7" s="60">
        <f>IndexBase</f>
        <v>100</v>
      </c>
      <c r="D7" s="60">
        <f>$C$7</f>
        <v>100</v>
      </c>
      <c r="E7" s="26">
        <v>0</v>
      </c>
      <c r="F7" s="11" t="s">
        <v>270</v>
      </c>
      <c r="G7" s="60">
        <f>IndexBase</f>
        <v>100</v>
      </c>
      <c r="H7" s="60">
        <f>$G$7</f>
        <v>100</v>
      </c>
      <c r="I7" s="26">
        <v>0</v>
      </c>
      <c r="J7" s="59" t="str">
        <f ca="1">TEXT($A$7,"mmm-yy")</f>
        <v>Sep-24</v>
      </c>
      <c r="K7" s="3"/>
      <c r="L7" t="str">
        <f t="shared" ref="L7:L70" ca="1" si="0">$J7</f>
        <v>Sep-24</v>
      </c>
      <c r="M7" s="132">
        <f t="shared" ref="M7:M70" si="1">$C7</f>
        <v>100</v>
      </c>
      <c r="N7" s="132">
        <f t="shared" ref="N7:N70" si="2">$G7</f>
        <v>100</v>
      </c>
      <c r="P7" t="str">
        <f t="shared" ref="P7:P70" ca="1" si="3">$J7</f>
        <v>Sep-24</v>
      </c>
      <c r="Q7" s="133">
        <f t="shared" ref="Q7:Q70" si="4">$E7</f>
        <v>0</v>
      </c>
      <c r="R7" s="133">
        <f t="shared" ref="R7:R70" si="5">$I7</f>
        <v>0</v>
      </c>
      <c r="T7" t="str">
        <f t="shared" ref="T7:T70" ca="1" si="6">$J7</f>
        <v>Sep-24</v>
      </c>
      <c r="U7" s="134">
        <f t="shared" ref="U7:U70" ca="1" si="7">IF($A7="","",NotionalValue*$C7/IndexBase)</f>
        <v>1000000</v>
      </c>
    </row>
    <row r="8" spans="1:21" x14ac:dyDescent="0.3">
      <c r="A8" s="10">
        <f ca="1">Returns!$A$6</f>
        <v>45551</v>
      </c>
      <c r="B8" s="27">
        <f ca="1">IF($A8="","",Returns!$J$6)</f>
        <v>2.172354871294413E-2</v>
      </c>
      <c r="C8" s="60">
        <f t="shared" ref="C8:C71" ca="1" si="8">IF($A8="","",C7*(1+$B8))</f>
        <v>102.17235487129442</v>
      </c>
      <c r="D8" s="60">
        <f ca="1">IF($A8="","",MAX($C$7:C8))</f>
        <v>102.17235487129442</v>
      </c>
      <c r="E8" s="26">
        <f t="shared" ref="E8:E71" ca="1" si="9">IF($A8="","",$C8/$D8-1)</f>
        <v>0</v>
      </c>
      <c r="F8" s="27">
        <f ca="1">IF($A8="","",Returns!$I$6)</f>
        <v>1.7939622494318908E-2</v>
      </c>
      <c r="G8" s="60">
        <f t="shared" ref="G8:G71" ca="1" si="10">IF($A8="","",G7*(1+$F8))</f>
        <v>101.79396224943189</v>
      </c>
      <c r="H8" s="60">
        <f ca="1">IF($A8="","",MAX($G$7:G8))</f>
        <v>101.79396224943189</v>
      </c>
      <c r="I8" s="26">
        <f t="shared" ref="I8:I71" ca="1" si="11">IF($A8="","",$G8/$H8-1)</f>
        <v>0</v>
      </c>
      <c r="J8" s="59" t="str">
        <f t="shared" ref="J8:J71" ca="1" si="12">IF($A8="","",TEXT($A8,"mmm-yy"))</f>
        <v>Sep-24</v>
      </c>
      <c r="K8" s="3"/>
      <c r="L8" t="str">
        <f t="shared" ca="1" si="0"/>
        <v>Sep-24</v>
      </c>
      <c r="M8" s="132">
        <f t="shared" ca="1" si="1"/>
        <v>102.17235487129442</v>
      </c>
      <c r="N8" s="132">
        <f t="shared" ca="1" si="2"/>
        <v>101.79396224943189</v>
      </c>
      <c r="P8" t="str">
        <f t="shared" ca="1" si="3"/>
        <v>Sep-24</v>
      </c>
      <c r="Q8" s="133">
        <f t="shared" ca="1" si="4"/>
        <v>0</v>
      </c>
      <c r="R8" s="133">
        <f t="shared" ca="1" si="5"/>
        <v>0</v>
      </c>
      <c r="T8" t="str">
        <f t="shared" ca="1" si="6"/>
        <v>Sep-24</v>
      </c>
      <c r="U8" s="134">
        <f t="shared" ca="1" si="7"/>
        <v>1021723.5487129443</v>
      </c>
    </row>
    <row r="9" spans="1:21" x14ac:dyDescent="0.3">
      <c r="A9" s="10">
        <f ca="1">Returns!$A$7</f>
        <v>45558</v>
      </c>
      <c r="B9" s="27">
        <f ca="1">IF($A9="","",Returns!$J$7)</f>
        <v>1.9295337152416971E-2</v>
      </c>
      <c r="C9" s="60">
        <f t="shared" ca="1" si="8"/>
        <v>104.14380490619243</v>
      </c>
      <c r="D9" s="60">
        <f ca="1">IF($A9="","",MAX($C$7:C9))</f>
        <v>104.14380490619243</v>
      </c>
      <c r="E9" s="26">
        <f t="shared" ca="1" si="9"/>
        <v>0</v>
      </c>
      <c r="F9" s="27">
        <f ca="1">IF($A9="","",Returns!$I$7)</f>
        <v>2.1876231102575527E-2</v>
      </c>
      <c r="G9" s="60">
        <f t="shared" ca="1" si="10"/>
        <v>104.0208304924473</v>
      </c>
      <c r="H9" s="60">
        <f ca="1">IF($A9="","",MAX($G$7:G9))</f>
        <v>104.0208304924473</v>
      </c>
      <c r="I9" s="26">
        <f t="shared" ca="1" si="11"/>
        <v>0</v>
      </c>
      <c r="J9" s="59" t="str">
        <f t="shared" ca="1" si="12"/>
        <v>Sep-24</v>
      </c>
      <c r="K9" s="3"/>
      <c r="L9" t="str">
        <f t="shared" ca="1" si="0"/>
        <v>Sep-24</v>
      </c>
      <c r="M9" s="132">
        <f t="shared" ca="1" si="1"/>
        <v>104.14380490619243</v>
      </c>
      <c r="N9" s="132">
        <f t="shared" ca="1" si="2"/>
        <v>104.0208304924473</v>
      </c>
      <c r="P9" t="str">
        <f t="shared" ca="1" si="3"/>
        <v>Sep-24</v>
      </c>
      <c r="Q9" s="133">
        <f t="shared" ca="1" si="4"/>
        <v>0</v>
      </c>
      <c r="R9" s="133">
        <f t="shared" ca="1" si="5"/>
        <v>0</v>
      </c>
      <c r="T9" t="str">
        <f t="shared" ca="1" si="6"/>
        <v>Sep-24</v>
      </c>
      <c r="U9" s="134">
        <f t="shared" ca="1" si="7"/>
        <v>1041438.0490619242</v>
      </c>
    </row>
    <row r="10" spans="1:21" x14ac:dyDescent="0.3">
      <c r="A10" s="10">
        <f ca="1">Returns!$A$8</f>
        <v>45565</v>
      </c>
      <c r="B10" s="27">
        <f ca="1">IF($A10="","",Returns!$J$8)</f>
        <v>-5.8302103969896858E-2</v>
      </c>
      <c r="C10" s="60">
        <f t="shared" ca="1" si="8"/>
        <v>98.072001964730944</v>
      </c>
      <c r="D10" s="60">
        <f ca="1">IF($A10="","",MAX($C$7:C10))</f>
        <v>104.14380490619243</v>
      </c>
      <c r="E10" s="26">
        <f t="shared" ca="1" si="9"/>
        <v>-5.8302103969896879E-2</v>
      </c>
      <c r="F10" s="27">
        <f ca="1">IF($A10="","",Returns!$I$8)</f>
        <v>-4.9424002811879753E-3</v>
      </c>
      <c r="G10" s="60">
        <f t="shared" ca="1" si="10"/>
        <v>103.50671791057202</v>
      </c>
      <c r="H10" s="60">
        <f ca="1">IF($A10="","",MAX($G$7:G10))</f>
        <v>104.0208304924473</v>
      </c>
      <c r="I10" s="26">
        <f t="shared" ca="1" si="11"/>
        <v>-4.9424002811879753E-3</v>
      </c>
      <c r="J10" s="59" t="str">
        <f t="shared" ca="1" si="12"/>
        <v>Sep-24</v>
      </c>
      <c r="K10" s="3"/>
      <c r="L10" t="str">
        <f t="shared" ca="1" si="0"/>
        <v>Sep-24</v>
      </c>
      <c r="M10" s="132">
        <f t="shared" ca="1" si="1"/>
        <v>98.072001964730944</v>
      </c>
      <c r="N10" s="132">
        <f t="shared" ca="1" si="2"/>
        <v>103.50671791057202</v>
      </c>
      <c r="P10" t="str">
        <f t="shared" ca="1" si="3"/>
        <v>Sep-24</v>
      </c>
      <c r="Q10" s="133">
        <f t="shared" ca="1" si="4"/>
        <v>-5.8302103969896879E-2</v>
      </c>
      <c r="R10" s="133">
        <f t="shared" ca="1" si="5"/>
        <v>-4.9424002811879753E-3</v>
      </c>
      <c r="T10" t="str">
        <f t="shared" ca="1" si="6"/>
        <v>Sep-24</v>
      </c>
      <c r="U10" s="134">
        <f t="shared" ca="1" si="7"/>
        <v>980720.01964730944</v>
      </c>
    </row>
    <row r="11" spans="1:21" x14ac:dyDescent="0.3">
      <c r="A11" s="10">
        <f ca="1">Returns!$A$9</f>
        <v>45572</v>
      </c>
      <c r="B11" s="27">
        <f ca="1">IF($A11="","",Returns!$J$9)</f>
        <v>3.5836357894099865E-3</v>
      </c>
      <c r="C11" s="60">
        <f t="shared" ca="1" si="8"/>
        <v>98.423456300910829</v>
      </c>
      <c r="D11" s="60">
        <f ca="1">IF($A11="","",MAX($C$7:C11))</f>
        <v>104.14380490619243</v>
      </c>
      <c r="E11" s="26">
        <f t="shared" ca="1" si="9"/>
        <v>-5.492740168687138E-2</v>
      </c>
      <c r="F11" s="27">
        <f ca="1">IF($A11="","",Returns!$I$9)</f>
        <v>-3.9328407423144141E-2</v>
      </c>
      <c r="G11" s="60">
        <f t="shared" ca="1" si="10"/>
        <v>99.435963537552595</v>
      </c>
      <c r="H11" s="60">
        <f ca="1">IF($A11="","",MAX($G$7:G11))</f>
        <v>104.0208304924473</v>
      </c>
      <c r="I11" s="26">
        <f t="shared" ca="1" si="11"/>
        <v>-4.4076430972425307E-2</v>
      </c>
      <c r="J11" s="59" t="str">
        <f t="shared" ca="1" si="12"/>
        <v>Oct-24</v>
      </c>
      <c r="K11" s="3"/>
      <c r="L11" t="str">
        <f t="shared" ca="1" si="0"/>
        <v>Oct-24</v>
      </c>
      <c r="M11" s="132">
        <f t="shared" ca="1" si="1"/>
        <v>98.423456300910829</v>
      </c>
      <c r="N11" s="132">
        <f t="shared" ca="1" si="2"/>
        <v>99.435963537552595</v>
      </c>
      <c r="P11" t="str">
        <f t="shared" ca="1" si="3"/>
        <v>Oct-24</v>
      </c>
      <c r="Q11" s="133">
        <f t="shared" ca="1" si="4"/>
        <v>-5.492740168687138E-2</v>
      </c>
      <c r="R11" s="133">
        <f t="shared" ca="1" si="5"/>
        <v>-4.4076430972425307E-2</v>
      </c>
      <c r="T11" t="str">
        <f t="shared" ca="1" si="6"/>
        <v>Oct-24</v>
      </c>
      <c r="U11" s="134">
        <f t="shared" ca="1" si="7"/>
        <v>984234.5630091083</v>
      </c>
    </row>
    <row r="12" spans="1:21" x14ac:dyDescent="0.3">
      <c r="A12" s="10">
        <f ca="1">Returns!$A$10</f>
        <v>45579</v>
      </c>
      <c r="B12" s="27">
        <f ca="1">IF($A12="","",Returns!$J$10)</f>
        <v>-2.4325909901184409E-3</v>
      </c>
      <c r="C12" s="60">
        <f t="shared" ca="1" si="8"/>
        <v>98.184032287896926</v>
      </c>
      <c r="D12" s="60">
        <f ca="1">IF($A12="","",MAX($C$7:C12))</f>
        <v>104.14380490619243</v>
      </c>
      <c r="E12" s="26">
        <f t="shared" ca="1" si="9"/>
        <v>-5.7226376774535681E-2</v>
      </c>
      <c r="F12" s="27">
        <f ca="1">IF($A12="","",Returns!$I$10)</f>
        <v>1.3397425718117084E-2</v>
      </c>
      <c r="G12" s="60">
        <f t="shared" ca="1" si="10"/>
        <v>100.76814947275635</v>
      </c>
      <c r="H12" s="60">
        <f ca="1">IF($A12="","",MAX($G$7:G12))</f>
        <v>104.0208304924473</v>
      </c>
      <c r="I12" s="26">
        <f t="shared" ca="1" si="11"/>
        <v>-3.1269515964181038E-2</v>
      </c>
      <c r="J12" s="59" t="str">
        <f t="shared" ca="1" si="12"/>
        <v>Oct-24</v>
      </c>
      <c r="K12" s="3"/>
      <c r="L12" t="str">
        <f t="shared" ca="1" si="0"/>
        <v>Oct-24</v>
      </c>
      <c r="M12" s="132">
        <f t="shared" ca="1" si="1"/>
        <v>98.184032287896926</v>
      </c>
      <c r="N12" s="132">
        <f t="shared" ca="1" si="2"/>
        <v>100.76814947275635</v>
      </c>
      <c r="P12" t="str">
        <f t="shared" ca="1" si="3"/>
        <v>Oct-24</v>
      </c>
      <c r="Q12" s="133">
        <f t="shared" ca="1" si="4"/>
        <v>-5.7226376774535681E-2</v>
      </c>
      <c r="R12" s="133">
        <f t="shared" ca="1" si="5"/>
        <v>-3.1269515964181038E-2</v>
      </c>
      <c r="T12" t="str">
        <f t="shared" ca="1" si="6"/>
        <v>Oct-24</v>
      </c>
      <c r="U12" s="134">
        <f t="shared" ca="1" si="7"/>
        <v>981840.32287896937</v>
      </c>
    </row>
    <row r="13" spans="1:21" x14ac:dyDescent="0.3">
      <c r="A13" s="10">
        <f ca="1">Returns!$A$11</f>
        <v>45586</v>
      </c>
      <c r="B13" s="27">
        <f ca="1">IF($A13="","",Returns!$J$11)</f>
        <v>-2.4431010936306324E-2</v>
      </c>
      <c r="C13" s="60">
        <f t="shared" ca="1" si="8"/>
        <v>95.785297121300673</v>
      </c>
      <c r="D13" s="60">
        <f ca="1">IF($A13="","",MAX($C$7:C13))</f>
        <v>104.14380490619243</v>
      </c>
      <c r="E13" s="26">
        <f t="shared" ca="1" si="9"/>
        <v>-8.0259289474018058E-2</v>
      </c>
      <c r="F13" s="27">
        <f ca="1">IF($A13="","",Returns!$I$11)</f>
        <v>-1.3803339315736407E-2</v>
      </c>
      <c r="G13" s="60">
        <f t="shared" ca="1" si="10"/>
        <v>99.377212513365052</v>
      </c>
      <c r="H13" s="60">
        <f ca="1">IF($A13="","",MAX($G$7:G13))</f>
        <v>104.0208304924473</v>
      </c>
      <c r="I13" s="26">
        <f t="shared" ca="1" si="11"/>
        <v>-4.4641231540824999E-2</v>
      </c>
      <c r="J13" s="59" t="str">
        <f t="shared" ca="1" si="12"/>
        <v>Oct-24</v>
      </c>
      <c r="K13" s="3"/>
      <c r="L13" t="str">
        <f t="shared" ca="1" si="0"/>
        <v>Oct-24</v>
      </c>
      <c r="M13" s="132">
        <f t="shared" ca="1" si="1"/>
        <v>95.785297121300673</v>
      </c>
      <c r="N13" s="132">
        <f t="shared" ca="1" si="2"/>
        <v>99.377212513365052</v>
      </c>
      <c r="P13" t="str">
        <f t="shared" ca="1" si="3"/>
        <v>Oct-24</v>
      </c>
      <c r="Q13" s="133">
        <f t="shared" ca="1" si="4"/>
        <v>-8.0259289474018058E-2</v>
      </c>
      <c r="R13" s="133">
        <f t="shared" ca="1" si="5"/>
        <v>-4.4641231540824999E-2</v>
      </c>
      <c r="T13" t="str">
        <f t="shared" ca="1" si="6"/>
        <v>Oct-24</v>
      </c>
      <c r="U13" s="134">
        <f t="shared" ca="1" si="7"/>
        <v>957852.97121300665</v>
      </c>
    </row>
    <row r="14" spans="1:21" x14ac:dyDescent="0.3">
      <c r="A14" s="10">
        <f ca="1">Returns!$A$12</f>
        <v>45593</v>
      </c>
      <c r="B14" s="27">
        <f ca="1">IF($A14="","",Returns!$J$12)</f>
        <v>6.4912391000878254E-3</v>
      </c>
      <c r="C14" s="60">
        <f t="shared" ca="1" si="8"/>
        <v>96.407062387187977</v>
      </c>
      <c r="D14" s="60">
        <f ca="1">IF($A14="","",MAX($C$7:C14))</f>
        <v>104.14380490619243</v>
      </c>
      <c r="E14" s="26">
        <f t="shared" ca="1" si="9"/>
        <v>-7.4289032611909334E-2</v>
      </c>
      <c r="F14" s="27">
        <f ca="1">IF($A14="","",Returns!$I$12)</f>
        <v>-1.78341246238648E-2</v>
      </c>
      <c r="G14" s="60">
        <f t="shared" ca="1" si="10"/>
        <v>97.604906920629404</v>
      </c>
      <c r="H14" s="60">
        <f ca="1">IF($A14="","",MAX($G$7:G14))</f>
        <v>104.0208304924473</v>
      </c>
      <c r="I14" s="26">
        <f t="shared" ca="1" si="11"/>
        <v>-6.1679218878027964E-2</v>
      </c>
      <c r="J14" s="59" t="str">
        <f t="shared" ca="1" si="12"/>
        <v>Oct-24</v>
      </c>
      <c r="K14" s="3"/>
      <c r="L14" t="str">
        <f t="shared" ca="1" si="0"/>
        <v>Oct-24</v>
      </c>
      <c r="M14" s="132">
        <f t="shared" ca="1" si="1"/>
        <v>96.407062387187977</v>
      </c>
      <c r="N14" s="132">
        <f t="shared" ca="1" si="2"/>
        <v>97.604906920629404</v>
      </c>
      <c r="P14" t="str">
        <f t="shared" ca="1" si="3"/>
        <v>Oct-24</v>
      </c>
      <c r="Q14" s="133">
        <f t="shared" ca="1" si="4"/>
        <v>-7.4289032611909334E-2</v>
      </c>
      <c r="R14" s="133">
        <f t="shared" ca="1" si="5"/>
        <v>-6.1679218878027964E-2</v>
      </c>
      <c r="T14" t="str">
        <f t="shared" ca="1" si="6"/>
        <v>Oct-24</v>
      </c>
      <c r="U14" s="134">
        <f t="shared" ca="1" si="7"/>
        <v>964070.62387187977</v>
      </c>
    </row>
    <row r="15" spans="1:21" x14ac:dyDescent="0.3">
      <c r="A15" s="10">
        <f ca="1">Returns!$A$13</f>
        <v>45600</v>
      </c>
      <c r="B15" s="27">
        <f ca="1">IF($A15="","",Returns!$J$13)</f>
        <v>-2.2311124897330618E-3</v>
      </c>
      <c r="C15" s="60">
        <f t="shared" ca="1" si="8"/>
        <v>96.191967386197447</v>
      </c>
      <c r="D15" s="60">
        <f ca="1">IF($A15="","",MAX($C$7:C15))</f>
        <v>104.14380490619243</v>
      </c>
      <c r="E15" s="26">
        <f t="shared" ca="1" si="9"/>
        <v>-7.6354397913131811E-2</v>
      </c>
      <c r="F15" s="27">
        <f ca="1">IF($A15="","",Returns!$I$13)</f>
        <v>-1.4125422446234048E-2</v>
      </c>
      <c r="G15" s="60">
        <f t="shared" ca="1" si="10"/>
        <v>96.226196377550167</v>
      </c>
      <c r="H15" s="60">
        <f ca="1">IF($A15="","",MAX($G$7:G15))</f>
        <v>104.0208304924473</v>
      </c>
      <c r="I15" s="26">
        <f t="shared" ca="1" si="11"/>
        <v>-7.4933396301456012E-2</v>
      </c>
      <c r="J15" s="59" t="str">
        <f t="shared" ca="1" si="12"/>
        <v>Nov-24</v>
      </c>
      <c r="K15" s="3"/>
      <c r="L15" t="str">
        <f t="shared" ca="1" si="0"/>
        <v>Nov-24</v>
      </c>
      <c r="M15" s="132">
        <f t="shared" ca="1" si="1"/>
        <v>96.191967386197447</v>
      </c>
      <c r="N15" s="132">
        <f t="shared" ca="1" si="2"/>
        <v>96.226196377550167</v>
      </c>
      <c r="P15" t="str">
        <f t="shared" ca="1" si="3"/>
        <v>Nov-24</v>
      </c>
      <c r="Q15" s="133">
        <f t="shared" ca="1" si="4"/>
        <v>-7.6354397913131811E-2</v>
      </c>
      <c r="R15" s="133">
        <f t="shared" ca="1" si="5"/>
        <v>-7.4933396301456012E-2</v>
      </c>
      <c r="T15" t="str">
        <f t="shared" ca="1" si="6"/>
        <v>Nov-24</v>
      </c>
      <c r="U15" s="134">
        <f t="shared" ca="1" si="7"/>
        <v>961919.6738619745</v>
      </c>
    </row>
    <row r="16" spans="1:21" x14ac:dyDescent="0.3">
      <c r="A16" s="10">
        <f ca="1">Returns!$A$14</f>
        <v>45607</v>
      </c>
      <c r="B16" s="27">
        <f ca="1">IF($A16="","",Returns!$J$14)</f>
        <v>-2.4247542684699253E-2</v>
      </c>
      <c r="C16" s="60">
        <f t="shared" ca="1" si="8"/>
        <v>93.85954855107542</v>
      </c>
      <c r="D16" s="60">
        <f ca="1">IF($A16="","",MAX($C$7:C16))</f>
        <v>104.14380490619243</v>
      </c>
      <c r="E16" s="26">
        <f t="shared" ca="1" si="9"/>
        <v>-9.8750534075267904E-2</v>
      </c>
      <c r="F16" s="27">
        <f ca="1">IF($A16="","",Returns!$I$14)</f>
        <v>6.0824774071213117E-3</v>
      </c>
      <c r="G16" s="60">
        <f t="shared" ca="1" si="10"/>
        <v>96.811490042989831</v>
      </c>
      <c r="H16" s="60">
        <f ca="1">IF($A16="","",MAX($G$7:G16))</f>
        <v>104.0208304924473</v>
      </c>
      <c r="I16" s="26">
        <f t="shared" ca="1" si="11"/>
        <v>-6.9306699584377185E-2</v>
      </c>
      <c r="J16" s="59" t="str">
        <f t="shared" ca="1" si="12"/>
        <v>Nov-24</v>
      </c>
      <c r="K16" s="3"/>
      <c r="L16" t="str">
        <f t="shared" ca="1" si="0"/>
        <v>Nov-24</v>
      </c>
      <c r="M16" s="132">
        <f t="shared" ca="1" si="1"/>
        <v>93.85954855107542</v>
      </c>
      <c r="N16" s="132">
        <f t="shared" ca="1" si="2"/>
        <v>96.811490042989831</v>
      </c>
      <c r="P16" t="str">
        <f t="shared" ca="1" si="3"/>
        <v>Nov-24</v>
      </c>
      <c r="Q16" s="133">
        <f t="shared" ca="1" si="4"/>
        <v>-9.8750534075267904E-2</v>
      </c>
      <c r="R16" s="133">
        <f t="shared" ca="1" si="5"/>
        <v>-6.9306699584377185E-2</v>
      </c>
      <c r="T16" t="str">
        <f t="shared" ca="1" si="6"/>
        <v>Nov-24</v>
      </c>
      <c r="U16" s="134">
        <f t="shared" ca="1" si="7"/>
        <v>938595.48551075417</v>
      </c>
    </row>
    <row r="17" spans="1:21" x14ac:dyDescent="0.3">
      <c r="A17" s="10">
        <f ca="1">Returns!$A$15</f>
        <v>45614</v>
      </c>
      <c r="B17" s="27">
        <f ca="1">IF($A17="","",Returns!$J$15)</f>
        <v>1.0647048240772939E-2</v>
      </c>
      <c r="C17" s="60">
        <f t="shared" ca="1" si="8"/>
        <v>94.858875692355895</v>
      </c>
      <c r="D17" s="60">
        <f ca="1">IF($A17="","",MAX($C$7:C17))</f>
        <v>104.14380490619243</v>
      </c>
      <c r="E17" s="26">
        <f t="shared" ca="1" si="9"/>
        <v>-8.9154887534596439E-2</v>
      </c>
      <c r="F17" s="27">
        <f ca="1">IF($A17="","",Returns!$I$15)</f>
        <v>-2.8478167196937743E-2</v>
      </c>
      <c r="G17" s="60">
        <f t="shared" ca="1" si="10"/>
        <v>94.054476242960888</v>
      </c>
      <c r="H17" s="60">
        <f ca="1">IF($A17="","",MAX($G$7:G17))</f>
        <v>104.0208304924473</v>
      </c>
      <c r="I17" s="26">
        <f t="shared" ca="1" si="11"/>
        <v>-9.5811139002683232E-2</v>
      </c>
      <c r="J17" s="59" t="str">
        <f t="shared" ca="1" si="12"/>
        <v>Nov-24</v>
      </c>
      <c r="K17" s="3"/>
      <c r="L17" t="str">
        <f t="shared" ca="1" si="0"/>
        <v>Nov-24</v>
      </c>
      <c r="M17" s="132">
        <f t="shared" ca="1" si="1"/>
        <v>94.858875692355895</v>
      </c>
      <c r="N17" s="132">
        <f t="shared" ca="1" si="2"/>
        <v>94.054476242960888</v>
      </c>
      <c r="P17" t="str">
        <f t="shared" ca="1" si="3"/>
        <v>Nov-24</v>
      </c>
      <c r="Q17" s="133">
        <f t="shared" ca="1" si="4"/>
        <v>-8.9154887534596439E-2</v>
      </c>
      <c r="R17" s="133">
        <f t="shared" ca="1" si="5"/>
        <v>-9.5811139002683232E-2</v>
      </c>
      <c r="T17" t="str">
        <f t="shared" ca="1" si="6"/>
        <v>Nov-24</v>
      </c>
      <c r="U17" s="134">
        <f t="shared" ca="1" si="7"/>
        <v>948588.75692355901</v>
      </c>
    </row>
    <row r="18" spans="1:21" x14ac:dyDescent="0.3">
      <c r="A18" s="10">
        <f ca="1">Returns!$A$16</f>
        <v>45621</v>
      </c>
      <c r="B18" s="27">
        <f ca="1">IF($A18="","",Returns!$J$16)</f>
        <v>2.1002937129024127E-2</v>
      </c>
      <c r="C18" s="60">
        <f t="shared" ca="1" si="8"/>
        <v>96.85119069465236</v>
      </c>
      <c r="D18" s="60">
        <f ca="1">IF($A18="","",MAX($C$7:C18))</f>
        <v>104.14380490619243</v>
      </c>
      <c r="E18" s="26">
        <f t="shared" ca="1" si="9"/>
        <v>-7.0024464903206574E-2</v>
      </c>
      <c r="F18" s="27">
        <f ca="1">IF($A18="","",Returns!$I$16)</f>
        <v>3.2749472741708141E-2</v>
      </c>
      <c r="G18" s="60">
        <f t="shared" ca="1" si="10"/>
        <v>97.134710748915367</v>
      </c>
      <c r="H18" s="60">
        <f ca="1">IF($A18="","",MAX($G$7:G18))</f>
        <v>104.0208304924473</v>
      </c>
      <c r="I18" s="26">
        <f t="shared" ca="1" si="11"/>
        <v>-6.619943054609545E-2</v>
      </c>
      <c r="J18" s="59" t="str">
        <f t="shared" ca="1" si="12"/>
        <v>Nov-24</v>
      </c>
      <c r="K18" s="3"/>
      <c r="L18" t="str">
        <f t="shared" ca="1" si="0"/>
        <v>Nov-24</v>
      </c>
      <c r="M18" s="132">
        <f t="shared" ca="1" si="1"/>
        <v>96.85119069465236</v>
      </c>
      <c r="N18" s="132">
        <f t="shared" ca="1" si="2"/>
        <v>97.134710748915367</v>
      </c>
      <c r="P18" t="str">
        <f t="shared" ca="1" si="3"/>
        <v>Nov-24</v>
      </c>
      <c r="Q18" s="133">
        <f t="shared" ca="1" si="4"/>
        <v>-7.0024464903206574E-2</v>
      </c>
      <c r="R18" s="133">
        <f t="shared" ca="1" si="5"/>
        <v>-6.619943054609545E-2</v>
      </c>
      <c r="T18" t="str">
        <f t="shared" ca="1" si="6"/>
        <v>Nov-24</v>
      </c>
      <c r="U18" s="134">
        <f t="shared" ca="1" si="7"/>
        <v>968511.90694652358</v>
      </c>
    </row>
    <row r="19" spans="1:21" x14ac:dyDescent="0.3">
      <c r="A19" s="10">
        <f ca="1">Returns!$A$17</f>
        <v>45628</v>
      </c>
      <c r="B19" s="27">
        <f ca="1">IF($A19="","",Returns!$J$17)</f>
        <v>1.2927436439887679E-2</v>
      </c>
      <c r="C19" s="60">
        <f t="shared" ca="1" si="8"/>
        <v>98.103228306484922</v>
      </c>
      <c r="D19" s="60">
        <f ca="1">IF($A19="","",MAX($C$7:C19))</f>
        <v>104.14380490619243</v>
      </c>
      <c r="E19" s="26">
        <f t="shared" ca="1" si="9"/>
        <v>-5.8002265282592225E-2</v>
      </c>
      <c r="F19" s="27">
        <f ca="1">IF($A19="","",Returns!$I$17)</f>
        <v>2.2355962889666348E-3</v>
      </c>
      <c r="G19" s="60">
        <f t="shared" ca="1" si="10"/>
        <v>97.351864747795489</v>
      </c>
      <c r="H19" s="60">
        <f ca="1">IF($A19="","",MAX($G$7:G19))</f>
        <v>104.0208304924473</v>
      </c>
      <c r="I19" s="26">
        <f t="shared" ca="1" si="11"/>
        <v>-6.4111829458389447E-2</v>
      </c>
      <c r="J19" s="59" t="str">
        <f t="shared" ca="1" si="12"/>
        <v>Dec-24</v>
      </c>
      <c r="K19" s="3"/>
      <c r="L19" t="str">
        <f t="shared" ca="1" si="0"/>
        <v>Dec-24</v>
      </c>
      <c r="M19" s="132">
        <f t="shared" ca="1" si="1"/>
        <v>98.103228306484922</v>
      </c>
      <c r="N19" s="132">
        <f t="shared" ca="1" si="2"/>
        <v>97.351864747795489</v>
      </c>
      <c r="P19" t="str">
        <f t="shared" ca="1" si="3"/>
        <v>Dec-24</v>
      </c>
      <c r="Q19" s="133">
        <f t="shared" ca="1" si="4"/>
        <v>-5.8002265282592225E-2</v>
      </c>
      <c r="R19" s="133">
        <f t="shared" ca="1" si="5"/>
        <v>-6.4111829458389447E-2</v>
      </c>
      <c r="T19" t="str">
        <f t="shared" ca="1" si="6"/>
        <v>Dec-24</v>
      </c>
      <c r="U19" s="134">
        <f t="shared" ca="1" si="7"/>
        <v>981032.28306484921</v>
      </c>
    </row>
    <row r="20" spans="1:21" x14ac:dyDescent="0.3">
      <c r="A20" s="10">
        <f ca="1">Returns!$A$18</f>
        <v>45635</v>
      </c>
      <c r="B20" s="27">
        <f ca="1">IF($A20="","",Returns!$J$18)</f>
        <v>2.3414089464156244E-3</v>
      </c>
      <c r="C20" s="60">
        <f t="shared" ca="1" si="8"/>
        <v>98.332928082913966</v>
      </c>
      <c r="D20" s="60">
        <f ca="1">IF($A20="","",MAX($C$7:C20))</f>
        <v>104.14380490619243</v>
      </c>
      <c r="E20" s="26">
        <f t="shared" ca="1" si="9"/>
        <v>-5.5796663359021781E-2</v>
      </c>
      <c r="F20" s="27">
        <f ca="1">IF($A20="","",Returns!$I$18)</f>
        <v>1.4127059703421097E-2</v>
      </c>
      <c r="G20" s="60">
        <f t="shared" ca="1" si="10"/>
        <v>98.727160353326965</v>
      </c>
      <c r="H20" s="60">
        <f ca="1">IF($A20="","",MAX($G$7:G20))</f>
        <v>104.0208304924473</v>
      </c>
      <c r="I20" s="26">
        <f t="shared" ca="1" si="11"/>
        <v>-5.0890481397422582E-2</v>
      </c>
      <c r="J20" s="59" t="str">
        <f t="shared" ca="1" si="12"/>
        <v>Dec-24</v>
      </c>
      <c r="K20" s="3"/>
      <c r="L20" t="str">
        <f t="shared" ca="1" si="0"/>
        <v>Dec-24</v>
      </c>
      <c r="M20" s="132">
        <f t="shared" ca="1" si="1"/>
        <v>98.332928082913966</v>
      </c>
      <c r="N20" s="132">
        <f t="shared" ca="1" si="2"/>
        <v>98.727160353326965</v>
      </c>
      <c r="P20" t="str">
        <f t="shared" ca="1" si="3"/>
        <v>Dec-24</v>
      </c>
      <c r="Q20" s="133">
        <f t="shared" ca="1" si="4"/>
        <v>-5.5796663359021781E-2</v>
      </c>
      <c r="R20" s="133">
        <f t="shared" ca="1" si="5"/>
        <v>-5.0890481397422582E-2</v>
      </c>
      <c r="T20" t="str">
        <f t="shared" ca="1" si="6"/>
        <v>Dec-24</v>
      </c>
      <c r="U20" s="134">
        <f t="shared" ca="1" si="7"/>
        <v>983329.28082913964</v>
      </c>
    </row>
    <row r="21" spans="1:21" x14ac:dyDescent="0.3">
      <c r="A21" s="10">
        <f ca="1">Returns!$A$19</f>
        <v>45642</v>
      </c>
      <c r="B21" s="27">
        <f ca="1">IF($A21="","",Returns!$J$19)</f>
        <v>-4.327559290478044E-2</v>
      </c>
      <c r="C21" s="60">
        <f t="shared" ca="1" si="8"/>
        <v>94.07751231806273</v>
      </c>
      <c r="D21" s="60">
        <f ca="1">IF($A21="","",MAX($C$7:C21))</f>
        <v>104.14380490619243</v>
      </c>
      <c r="E21" s="26">
        <f t="shared" ca="1" si="9"/>
        <v>-9.6657622574832125E-2</v>
      </c>
      <c r="F21" s="27">
        <f ca="1">IF($A21="","",Returns!$I$19)</f>
        <v>2.0004874284089702E-3</v>
      </c>
      <c r="G21" s="60">
        <f t="shared" ca="1" si="10"/>
        <v>98.924662796456317</v>
      </c>
      <c r="H21" s="60">
        <f ca="1">IF($A21="","",MAX($G$7:G21))</f>
        <v>104.0208304924473</v>
      </c>
      <c r="I21" s="26">
        <f t="shared" ca="1" si="11"/>
        <v>-4.8991799737274744E-2</v>
      </c>
      <c r="J21" s="59" t="str">
        <f t="shared" ca="1" si="12"/>
        <v>Dec-24</v>
      </c>
      <c r="K21" s="3"/>
      <c r="L21" t="str">
        <f t="shared" ca="1" si="0"/>
        <v>Dec-24</v>
      </c>
      <c r="M21" s="132">
        <f t="shared" ca="1" si="1"/>
        <v>94.07751231806273</v>
      </c>
      <c r="N21" s="132">
        <f t="shared" ca="1" si="2"/>
        <v>98.924662796456317</v>
      </c>
      <c r="P21" t="str">
        <f t="shared" ca="1" si="3"/>
        <v>Dec-24</v>
      </c>
      <c r="Q21" s="133">
        <f t="shared" ca="1" si="4"/>
        <v>-9.6657622574832125E-2</v>
      </c>
      <c r="R21" s="133">
        <f t="shared" ca="1" si="5"/>
        <v>-4.8991799737274744E-2</v>
      </c>
      <c r="T21" t="str">
        <f t="shared" ca="1" si="6"/>
        <v>Dec-24</v>
      </c>
      <c r="U21" s="134">
        <f t="shared" ca="1" si="7"/>
        <v>940775.12318062736</v>
      </c>
    </row>
    <row r="22" spans="1:21" x14ac:dyDescent="0.3">
      <c r="A22" s="10">
        <f ca="1">Returns!$A$20</f>
        <v>45649</v>
      </c>
      <c r="B22" s="27">
        <f ca="1">IF($A22="","",Returns!$J$20)</f>
        <v>8.8446670948861203E-3</v>
      </c>
      <c r="C22" s="60">
        <f t="shared" ca="1" si="8"/>
        <v>94.909596595631044</v>
      </c>
      <c r="D22" s="60">
        <f ca="1">IF($A22="","",MAX($C$7:C22))</f>
        <v>104.14380490619243</v>
      </c>
      <c r="E22" s="26">
        <f t="shared" ca="1" si="9"/>
        <v>-8.8667859973803553E-2</v>
      </c>
      <c r="F22" s="27">
        <f ca="1">IF($A22="","",Returns!$I$20)</f>
        <v>-3.7084137758049307E-2</v>
      </c>
      <c r="G22" s="60">
        <f t="shared" ca="1" si="10"/>
        <v>95.256126973643958</v>
      </c>
      <c r="H22" s="60">
        <f ca="1">IF($A22="","",MAX($G$7:G22))</f>
        <v>104.0208304924473</v>
      </c>
      <c r="I22" s="26">
        <f t="shared" ca="1" si="11"/>
        <v>-8.4259118844852265E-2</v>
      </c>
      <c r="J22" s="59" t="str">
        <f t="shared" ca="1" si="12"/>
        <v>Dec-24</v>
      </c>
      <c r="K22" s="3"/>
      <c r="L22" t="str">
        <f t="shared" ca="1" si="0"/>
        <v>Dec-24</v>
      </c>
      <c r="M22" s="132">
        <f t="shared" ca="1" si="1"/>
        <v>94.909596595631044</v>
      </c>
      <c r="N22" s="132">
        <f t="shared" ca="1" si="2"/>
        <v>95.256126973643958</v>
      </c>
      <c r="P22" t="str">
        <f t="shared" ca="1" si="3"/>
        <v>Dec-24</v>
      </c>
      <c r="Q22" s="133">
        <f t="shared" ca="1" si="4"/>
        <v>-8.8667859973803553E-2</v>
      </c>
      <c r="R22" s="133">
        <f t="shared" ca="1" si="5"/>
        <v>-8.4259118844852265E-2</v>
      </c>
      <c r="T22" t="str">
        <f t="shared" ca="1" si="6"/>
        <v>Dec-24</v>
      </c>
      <c r="U22" s="134">
        <f t="shared" ca="1" si="7"/>
        <v>949095.96595631051</v>
      </c>
    </row>
    <row r="23" spans="1:21" x14ac:dyDescent="0.3">
      <c r="A23" s="10">
        <f ca="1">Returns!$A$21</f>
        <v>45656</v>
      </c>
      <c r="B23" s="27">
        <f ca="1">IF($A23="","",Returns!$J$21)</f>
        <v>1.7357678981656244E-2</v>
      </c>
      <c r="C23" s="60">
        <f t="shared" ca="1" si="8"/>
        <v>96.557006905616504</v>
      </c>
      <c r="D23" s="60">
        <f ca="1">IF($A23="","",MAX($C$7:C23))</f>
        <v>104.14380490619243</v>
      </c>
      <c r="E23" s="26">
        <f t="shared" ca="1" si="9"/>
        <v>-7.2849249241562997E-2</v>
      </c>
      <c r="F23" s="27">
        <f ca="1">IF($A23="","",Returns!$I$21)</f>
        <v>-4.5698132984962614E-3</v>
      </c>
      <c r="G23" s="60">
        <f t="shared" ca="1" si="10"/>
        <v>94.820824257836549</v>
      </c>
      <c r="H23" s="60">
        <f ca="1">IF($A23="","",MAX($G$7:G23))</f>
        <v>104.0208304924473</v>
      </c>
      <c r="I23" s="26">
        <f t="shared" ca="1" si="11"/>
        <v>-8.8443883701531778E-2</v>
      </c>
      <c r="J23" s="59" t="str">
        <f t="shared" ca="1" si="12"/>
        <v>Dec-24</v>
      </c>
      <c r="K23" s="3"/>
      <c r="L23" t="str">
        <f t="shared" ca="1" si="0"/>
        <v>Dec-24</v>
      </c>
      <c r="M23" s="132">
        <f t="shared" ca="1" si="1"/>
        <v>96.557006905616504</v>
      </c>
      <c r="N23" s="132">
        <f t="shared" ca="1" si="2"/>
        <v>94.820824257836549</v>
      </c>
      <c r="P23" t="str">
        <f t="shared" ca="1" si="3"/>
        <v>Dec-24</v>
      </c>
      <c r="Q23" s="133">
        <f t="shared" ca="1" si="4"/>
        <v>-7.2849249241562997E-2</v>
      </c>
      <c r="R23" s="133">
        <f t="shared" ca="1" si="5"/>
        <v>-8.8443883701531778E-2</v>
      </c>
      <c r="T23" t="str">
        <f t="shared" ca="1" si="6"/>
        <v>Dec-24</v>
      </c>
      <c r="U23" s="134">
        <f t="shared" ca="1" si="7"/>
        <v>965570.06905616506</v>
      </c>
    </row>
    <row r="24" spans="1:21" x14ac:dyDescent="0.3">
      <c r="A24" s="10">
        <f ca="1">Returns!$A$22</f>
        <v>45663</v>
      </c>
      <c r="B24" s="27">
        <f ca="1">IF($A24="","",Returns!$J$22)</f>
        <v>-1.6941419431707922E-2</v>
      </c>
      <c r="C24" s="60">
        <f t="shared" ca="1" si="8"/>
        <v>94.921194152558144</v>
      </c>
      <c r="D24" s="60">
        <f ca="1">IF($A24="","",MAX($C$7:C24))</f>
        <v>104.14380490619243</v>
      </c>
      <c r="E24" s="26">
        <f t="shared" ca="1" si="9"/>
        <v>-8.8556498986584464E-2</v>
      </c>
      <c r="F24" s="27">
        <f ca="1">IF($A24="","",Returns!$I$22)</f>
        <v>-1.2201197255387042E-3</v>
      </c>
      <c r="G24" s="60">
        <f t="shared" ca="1" si="10"/>
        <v>94.705131499767717</v>
      </c>
      <c r="H24" s="60">
        <f ca="1">IF($A24="","",MAX($G$7:G24))</f>
        <v>104.0208304924473</v>
      </c>
      <c r="I24" s="26">
        <f t="shared" ca="1" si="11"/>
        <v>-8.9556091299963003E-2</v>
      </c>
      <c r="J24" s="59" t="str">
        <f t="shared" ca="1" si="12"/>
        <v>Jan-25</v>
      </c>
      <c r="K24" s="3"/>
      <c r="L24" t="str">
        <f t="shared" ca="1" si="0"/>
        <v>Jan-25</v>
      </c>
      <c r="M24" s="132">
        <f t="shared" ca="1" si="1"/>
        <v>94.921194152558144</v>
      </c>
      <c r="N24" s="132">
        <f t="shared" ca="1" si="2"/>
        <v>94.705131499767717</v>
      </c>
      <c r="P24" t="str">
        <f t="shared" ca="1" si="3"/>
        <v>Jan-25</v>
      </c>
      <c r="Q24" s="133">
        <f t="shared" ca="1" si="4"/>
        <v>-8.8556498986584464E-2</v>
      </c>
      <c r="R24" s="133">
        <f t="shared" ca="1" si="5"/>
        <v>-8.9556091299963003E-2</v>
      </c>
      <c r="T24" t="str">
        <f t="shared" ca="1" si="6"/>
        <v>Jan-25</v>
      </c>
      <c r="U24" s="134">
        <f t="shared" ca="1" si="7"/>
        <v>949211.94152558153</v>
      </c>
    </row>
    <row r="25" spans="1:21" x14ac:dyDescent="0.3">
      <c r="A25" s="10">
        <f ca="1">Returns!$A$23</f>
        <v>45670</v>
      </c>
      <c r="B25" s="27">
        <f ca="1">IF($A25="","",Returns!$J$23)</f>
        <v>5.7652559104861816E-3</v>
      </c>
      <c r="C25" s="60">
        <f t="shared" ca="1" si="8"/>
        <v>95.468439128176584</v>
      </c>
      <c r="D25" s="60">
        <f ca="1">IF($A25="","",MAX($C$7:C25))</f>
        <v>104.14380490619243</v>
      </c>
      <c r="E25" s="26">
        <f t="shared" ca="1" si="9"/>
        <v>-8.3301793955292691E-2</v>
      </c>
      <c r="F25" s="27">
        <f ca="1">IF($A25="","",Returns!$I$23)</f>
        <v>-2.2446664237395497E-2</v>
      </c>
      <c r="G25" s="60">
        <f t="shared" ca="1" si="10"/>
        <v>92.579317211434045</v>
      </c>
      <c r="H25" s="60">
        <f ca="1">IF($A25="","",MAX($G$7:G25))</f>
        <v>104.0208304924473</v>
      </c>
      <c r="I25" s="26">
        <f t="shared" ca="1" si="11"/>
        <v>-0.10999252002553472</v>
      </c>
      <c r="J25" s="59" t="str">
        <f t="shared" ca="1" si="12"/>
        <v>Jan-25</v>
      </c>
      <c r="K25" s="3"/>
      <c r="L25" t="str">
        <f t="shared" ca="1" si="0"/>
        <v>Jan-25</v>
      </c>
      <c r="M25" s="132">
        <f t="shared" ca="1" si="1"/>
        <v>95.468439128176584</v>
      </c>
      <c r="N25" s="132">
        <f t="shared" ca="1" si="2"/>
        <v>92.579317211434045</v>
      </c>
      <c r="P25" t="str">
        <f t="shared" ca="1" si="3"/>
        <v>Jan-25</v>
      </c>
      <c r="Q25" s="133">
        <f t="shared" ca="1" si="4"/>
        <v>-8.3301793955292691E-2</v>
      </c>
      <c r="R25" s="133">
        <f t="shared" ca="1" si="5"/>
        <v>-0.10999252002553472</v>
      </c>
      <c r="T25" t="str">
        <f t="shared" ca="1" si="6"/>
        <v>Jan-25</v>
      </c>
      <c r="U25" s="134">
        <f t="shared" ca="1" si="7"/>
        <v>954684.39128176589</v>
      </c>
    </row>
    <row r="26" spans="1:21" x14ac:dyDescent="0.3">
      <c r="A26" s="10">
        <f ca="1">Returns!$A$24</f>
        <v>45677</v>
      </c>
      <c r="B26" s="27">
        <f ca="1">IF($A26="","",Returns!$J$24)</f>
        <v>-1.5478964581627718E-2</v>
      </c>
      <c r="C26" s="60">
        <f t="shared" ca="1" si="8"/>
        <v>93.990686540248262</v>
      </c>
      <c r="D26" s="60">
        <f ca="1">IF($A26="","",MAX($C$7:C26))</f>
        <v>104.14380490619243</v>
      </c>
      <c r="E26" s="26">
        <f t="shared" ca="1" si="9"/>
        <v>-9.7491333018700388E-2</v>
      </c>
      <c r="F26" s="27">
        <f ca="1">IF($A26="","",Returns!$I$24)</f>
        <v>1.121031579848597E-2</v>
      </c>
      <c r="G26" s="60">
        <f t="shared" ca="1" si="10"/>
        <v>93.61716059378243</v>
      </c>
      <c r="H26" s="60">
        <f ca="1">IF($A26="","",MAX($G$7:G26))</f>
        <v>104.0208304924473</v>
      </c>
      <c r="I26" s="26">
        <f t="shared" ca="1" si="11"/>
        <v>-0.10001525511200626</v>
      </c>
      <c r="J26" s="59" t="str">
        <f t="shared" ca="1" si="12"/>
        <v>Jan-25</v>
      </c>
      <c r="K26" s="3"/>
      <c r="L26" t="str">
        <f t="shared" ca="1" si="0"/>
        <v>Jan-25</v>
      </c>
      <c r="M26" s="132">
        <f t="shared" ca="1" si="1"/>
        <v>93.990686540248262</v>
      </c>
      <c r="N26" s="132">
        <f t="shared" ca="1" si="2"/>
        <v>93.61716059378243</v>
      </c>
      <c r="P26" t="str">
        <f t="shared" ca="1" si="3"/>
        <v>Jan-25</v>
      </c>
      <c r="Q26" s="133">
        <f t="shared" ca="1" si="4"/>
        <v>-9.7491333018700388E-2</v>
      </c>
      <c r="R26" s="133">
        <f t="shared" ca="1" si="5"/>
        <v>-0.10001525511200626</v>
      </c>
      <c r="T26" t="str">
        <f t="shared" ca="1" si="6"/>
        <v>Jan-25</v>
      </c>
      <c r="U26" s="134">
        <f t="shared" ca="1" si="7"/>
        <v>939906.86540248257</v>
      </c>
    </row>
    <row r="27" spans="1:21" x14ac:dyDescent="0.3">
      <c r="A27" s="10">
        <f ca="1">Returns!$A$25</f>
        <v>45684</v>
      </c>
      <c r="B27" s="27">
        <f ca="1">IF($A27="","",Returns!$J$25)</f>
        <v>1.1658455482760961E-2</v>
      </c>
      <c r="C27" s="60">
        <f t="shared" ca="1" si="8"/>
        <v>95.086472775071897</v>
      </c>
      <c r="D27" s="60">
        <f ca="1">IF($A27="","",MAX($C$7:C27))</f>
        <v>104.14380490619243</v>
      </c>
      <c r="E27" s="26">
        <f t="shared" ca="1" si="9"/>
        <v>-8.6969475901892856E-2</v>
      </c>
      <c r="F27" s="27">
        <f ca="1">IF($A27="","",Returns!$I$25)</f>
        <v>-2.2086319595412296E-2</v>
      </c>
      <c r="G27" s="60">
        <f t="shared" ca="1" si="10"/>
        <v>91.549502065293112</v>
      </c>
      <c r="H27" s="60">
        <f ca="1">IF($A27="","",MAX($G$7:G27))</f>
        <v>104.0208304924473</v>
      </c>
      <c r="I27" s="26">
        <f t="shared" ca="1" si="11"/>
        <v>-0.11989260581859806</v>
      </c>
      <c r="J27" s="59" t="str">
        <f t="shared" ca="1" si="12"/>
        <v>Jan-25</v>
      </c>
      <c r="K27" s="3"/>
      <c r="L27" t="str">
        <f t="shared" ca="1" si="0"/>
        <v>Jan-25</v>
      </c>
      <c r="M27" s="132">
        <f t="shared" ca="1" si="1"/>
        <v>95.086472775071897</v>
      </c>
      <c r="N27" s="132">
        <f t="shared" ca="1" si="2"/>
        <v>91.549502065293112</v>
      </c>
      <c r="P27" t="str">
        <f t="shared" ca="1" si="3"/>
        <v>Jan-25</v>
      </c>
      <c r="Q27" s="133">
        <f t="shared" ca="1" si="4"/>
        <v>-8.6969475901892856E-2</v>
      </c>
      <c r="R27" s="133">
        <f t="shared" ca="1" si="5"/>
        <v>-0.11989260581859806</v>
      </c>
      <c r="T27" t="str">
        <f t="shared" ca="1" si="6"/>
        <v>Jan-25</v>
      </c>
      <c r="U27" s="134">
        <f t="shared" ca="1" si="7"/>
        <v>950864.72775071906</v>
      </c>
    </row>
    <row r="28" spans="1:21" x14ac:dyDescent="0.3">
      <c r="A28" s="10">
        <f ca="1">Returns!$A$26</f>
        <v>45691</v>
      </c>
      <c r="B28" s="27">
        <f ca="1">IF($A28="","",Returns!$J$26)</f>
        <v>1.0189601097502596E-2</v>
      </c>
      <c r="C28" s="60">
        <f t="shared" ca="1" si="8"/>
        <v>96.055366002418424</v>
      </c>
      <c r="D28" s="60">
        <f ca="1">IF($A28="","",MAX($C$7:C28))</f>
        <v>104.14380490619243</v>
      </c>
      <c r="E28" s="26">
        <f t="shared" ca="1" si="9"/>
        <v>-7.7666059071489379E-2</v>
      </c>
      <c r="F28" s="27">
        <f ca="1">IF($A28="","",Returns!$I$26)</f>
        <v>2.3299175901150937E-2</v>
      </c>
      <c r="G28" s="60">
        <f t="shared" ca="1" si="10"/>
        <v>93.682530017575161</v>
      </c>
      <c r="H28" s="60">
        <f ca="1">IF($A28="","",MAX($G$7:G28))</f>
        <v>104.0208304924473</v>
      </c>
      <c r="I28" s="26">
        <f t="shared" ca="1" si="11"/>
        <v>-9.9386828829661988E-2</v>
      </c>
      <c r="J28" s="59" t="str">
        <f t="shared" ca="1" si="12"/>
        <v>Feb-25</v>
      </c>
      <c r="K28" s="3"/>
      <c r="L28" t="str">
        <f t="shared" ca="1" si="0"/>
        <v>Feb-25</v>
      </c>
      <c r="M28" s="132">
        <f t="shared" ca="1" si="1"/>
        <v>96.055366002418424</v>
      </c>
      <c r="N28" s="132">
        <f t="shared" ca="1" si="2"/>
        <v>93.682530017575161</v>
      </c>
      <c r="P28" t="str">
        <f t="shared" ca="1" si="3"/>
        <v>Feb-25</v>
      </c>
      <c r="Q28" s="133">
        <f t="shared" ca="1" si="4"/>
        <v>-7.7666059071489379E-2</v>
      </c>
      <c r="R28" s="133">
        <f t="shared" ca="1" si="5"/>
        <v>-9.9386828829661988E-2</v>
      </c>
      <c r="T28" t="str">
        <f t="shared" ca="1" si="6"/>
        <v>Feb-25</v>
      </c>
      <c r="U28" s="134">
        <f t="shared" ca="1" si="7"/>
        <v>960553.66002418427</v>
      </c>
    </row>
    <row r="29" spans="1:21" x14ac:dyDescent="0.3">
      <c r="A29" s="10">
        <f ca="1">Returns!$A$27</f>
        <v>45698</v>
      </c>
      <c r="B29" s="27">
        <f ca="1">IF($A29="","",Returns!$J$27)</f>
        <v>-1.8008464458580849E-2</v>
      </c>
      <c r="C29" s="60">
        <f t="shared" ca="1" si="8"/>
        <v>94.325556357707896</v>
      </c>
      <c r="D29" s="60">
        <f ca="1">IF($A29="","",MAX($C$7:C29))</f>
        <v>104.14380490619243</v>
      </c>
      <c r="E29" s="26">
        <f t="shared" ca="1" si="9"/>
        <v>-9.4275877065643221E-2</v>
      </c>
      <c r="F29" s="27">
        <f ca="1">IF($A29="","",Returns!$I$27)</f>
        <v>8.7961917113310584E-4</v>
      </c>
      <c r="G29" s="60">
        <f t="shared" ca="1" si="10"/>
        <v>93.764934966978871</v>
      </c>
      <c r="H29" s="60">
        <f ca="1">IF($A29="","",MAX($G$7:G29))</f>
        <v>104.0208304924473</v>
      </c>
      <c r="I29" s="26">
        <f t="shared" ca="1" si="11"/>
        <v>-9.8594632218525602E-2</v>
      </c>
      <c r="J29" s="59" t="str">
        <f t="shared" ca="1" si="12"/>
        <v>Feb-25</v>
      </c>
      <c r="K29" s="3"/>
      <c r="L29" t="str">
        <f t="shared" ca="1" si="0"/>
        <v>Feb-25</v>
      </c>
      <c r="M29" s="132">
        <f t="shared" ca="1" si="1"/>
        <v>94.325556357707896</v>
      </c>
      <c r="N29" s="132">
        <f t="shared" ca="1" si="2"/>
        <v>93.764934966978871</v>
      </c>
      <c r="P29" t="str">
        <f t="shared" ca="1" si="3"/>
        <v>Feb-25</v>
      </c>
      <c r="Q29" s="133">
        <f t="shared" ca="1" si="4"/>
        <v>-9.4275877065643221E-2</v>
      </c>
      <c r="R29" s="133">
        <f t="shared" ca="1" si="5"/>
        <v>-9.8594632218525602E-2</v>
      </c>
      <c r="T29" t="str">
        <f t="shared" ca="1" si="6"/>
        <v>Feb-25</v>
      </c>
      <c r="U29" s="134">
        <f t="shared" ca="1" si="7"/>
        <v>943255.56357707898</v>
      </c>
    </row>
    <row r="30" spans="1:21" x14ac:dyDescent="0.3">
      <c r="A30" s="10">
        <f ca="1">Returns!$A$28</f>
        <v>45705</v>
      </c>
      <c r="B30" s="27">
        <f ca="1">IF($A30="","",Returns!$J$28)</f>
        <v>-4.1871477898263038E-3</v>
      </c>
      <c r="C30" s="60">
        <f t="shared" ca="1" si="8"/>
        <v>93.930601312880583</v>
      </c>
      <c r="D30" s="60">
        <f ca="1">IF($A30="","",MAX($C$7:C30))</f>
        <v>104.14380490619243</v>
      </c>
      <c r="E30" s="26">
        <f t="shared" ca="1" si="9"/>
        <v>-9.8068277825180239E-2</v>
      </c>
      <c r="F30" s="27">
        <f ca="1">IF($A30="","",Returns!$I$28)</f>
        <v>-1.8052640385038399E-2</v>
      </c>
      <c r="G30" s="60">
        <f t="shared" ca="1" si="10"/>
        <v>92.072230315293496</v>
      </c>
      <c r="H30" s="60">
        <f ca="1">IF($A30="","",MAX($G$7:G30))</f>
        <v>104.0208304924473</v>
      </c>
      <c r="I30" s="26">
        <f t="shared" ca="1" si="11"/>
        <v>-0.11486737916422773</v>
      </c>
      <c r="J30" s="59" t="str">
        <f t="shared" ca="1" si="12"/>
        <v>Feb-25</v>
      </c>
      <c r="K30" s="3"/>
      <c r="L30" t="str">
        <f t="shared" ca="1" si="0"/>
        <v>Feb-25</v>
      </c>
      <c r="M30" s="132">
        <f t="shared" ca="1" si="1"/>
        <v>93.930601312880583</v>
      </c>
      <c r="N30" s="132">
        <f t="shared" ca="1" si="2"/>
        <v>92.072230315293496</v>
      </c>
      <c r="P30" t="str">
        <f t="shared" ca="1" si="3"/>
        <v>Feb-25</v>
      </c>
      <c r="Q30" s="133">
        <f t="shared" ca="1" si="4"/>
        <v>-9.8068277825180239E-2</v>
      </c>
      <c r="R30" s="133">
        <f t="shared" ca="1" si="5"/>
        <v>-0.11486737916422773</v>
      </c>
      <c r="T30" t="str">
        <f t="shared" ca="1" si="6"/>
        <v>Feb-25</v>
      </c>
      <c r="U30" s="134">
        <f t="shared" ca="1" si="7"/>
        <v>939306.01312880579</v>
      </c>
    </row>
    <row r="31" spans="1:21" x14ac:dyDescent="0.3">
      <c r="A31" s="10">
        <f ca="1">Returns!$A$29</f>
        <v>45712</v>
      </c>
      <c r="B31" s="27">
        <f ca="1">IF($A31="","",Returns!$J$29)</f>
        <v>-3.0298649415231013E-2</v>
      </c>
      <c r="C31" s="60">
        <f t="shared" ca="1" si="8"/>
        <v>91.084630954339787</v>
      </c>
      <c r="D31" s="60">
        <f ca="1">IF($A31="","",MAX($C$7:C31))</f>
        <v>104.14380490619243</v>
      </c>
      <c r="E31" s="26">
        <f t="shared" ca="1" si="9"/>
        <v>-0.1253955908718305</v>
      </c>
      <c r="F31" s="27">
        <f ca="1">IF($A31="","",Returns!$I$29)</f>
        <v>-1.7689862175787829E-2</v>
      </c>
      <c r="G31" s="60">
        <f t="shared" ca="1" si="10"/>
        <v>90.44348525079856</v>
      </c>
      <c r="H31" s="60">
        <f ca="1">IF($A31="","",MAX($G$7:G31))</f>
        <v>104.0208304924473</v>
      </c>
      <c r="I31" s="26">
        <f t="shared" ca="1" si="11"/>
        <v>-0.13052525323410646</v>
      </c>
      <c r="J31" s="59" t="str">
        <f t="shared" ca="1" si="12"/>
        <v>Feb-25</v>
      </c>
      <c r="K31" s="3"/>
      <c r="L31" t="str">
        <f t="shared" ca="1" si="0"/>
        <v>Feb-25</v>
      </c>
      <c r="M31" s="132">
        <f t="shared" ca="1" si="1"/>
        <v>91.084630954339787</v>
      </c>
      <c r="N31" s="132">
        <f t="shared" ca="1" si="2"/>
        <v>90.44348525079856</v>
      </c>
      <c r="P31" t="str">
        <f t="shared" ca="1" si="3"/>
        <v>Feb-25</v>
      </c>
      <c r="Q31" s="133">
        <f t="shared" ca="1" si="4"/>
        <v>-0.1253955908718305</v>
      </c>
      <c r="R31" s="133">
        <f t="shared" ca="1" si="5"/>
        <v>-0.13052525323410646</v>
      </c>
      <c r="T31" t="str">
        <f t="shared" ca="1" si="6"/>
        <v>Feb-25</v>
      </c>
      <c r="U31" s="134">
        <f t="shared" ca="1" si="7"/>
        <v>910846.30954339786</v>
      </c>
    </row>
    <row r="32" spans="1:21" x14ac:dyDescent="0.3">
      <c r="A32" s="10">
        <f ca="1">Returns!$A$30</f>
        <v>45719</v>
      </c>
      <c r="B32" s="27">
        <f ca="1">IF($A32="","",Returns!$J$30)</f>
        <v>1.5683004759210497E-2</v>
      </c>
      <c r="C32" s="60">
        <f t="shared" ca="1" si="8"/>
        <v>92.513111655087627</v>
      </c>
      <c r="D32" s="60">
        <f ca="1">IF($A32="","",MAX($C$7:C32))</f>
        <v>104.14380490619243</v>
      </c>
      <c r="E32" s="26">
        <f t="shared" ca="1" si="9"/>
        <v>-0.11167916576104697</v>
      </c>
      <c r="F32" s="27">
        <f ca="1">IF($A32="","",Returns!$I$30)</f>
        <v>-1.9245426317719749E-2</v>
      </c>
      <c r="G32" s="60">
        <f t="shared" ca="1" si="10"/>
        <v>88.702861819486543</v>
      </c>
      <c r="H32" s="60">
        <f ca="1">IF($A32="","",MAX($G$7:G32))</f>
        <v>104.0208304924473</v>
      </c>
      <c r="I32" s="26">
        <f t="shared" ca="1" si="11"/>
        <v>-0.1472586654081075</v>
      </c>
      <c r="J32" s="59" t="str">
        <f t="shared" ca="1" si="12"/>
        <v>Mar-25</v>
      </c>
      <c r="K32" s="3"/>
      <c r="L32" t="str">
        <f t="shared" ca="1" si="0"/>
        <v>Mar-25</v>
      </c>
      <c r="M32" s="132">
        <f t="shared" ca="1" si="1"/>
        <v>92.513111655087627</v>
      </c>
      <c r="N32" s="132">
        <f t="shared" ca="1" si="2"/>
        <v>88.702861819486543</v>
      </c>
      <c r="P32" t="str">
        <f t="shared" ca="1" si="3"/>
        <v>Mar-25</v>
      </c>
      <c r="Q32" s="133">
        <f t="shared" ca="1" si="4"/>
        <v>-0.11167916576104697</v>
      </c>
      <c r="R32" s="133">
        <f t="shared" ca="1" si="5"/>
        <v>-0.1472586654081075</v>
      </c>
      <c r="T32" t="str">
        <f t="shared" ca="1" si="6"/>
        <v>Mar-25</v>
      </c>
      <c r="U32" s="134">
        <f t="shared" ca="1" si="7"/>
        <v>925131.11655087618</v>
      </c>
    </row>
    <row r="33" spans="1:21" x14ac:dyDescent="0.3">
      <c r="A33" s="10">
        <f ca="1">Returns!$A$31</f>
        <v>45726</v>
      </c>
      <c r="B33" s="27">
        <f ca="1">IF($A33="","",Returns!$J$31)</f>
        <v>-3.7232605605149829E-3</v>
      </c>
      <c r="C33" s="60">
        <f t="shared" ca="1" si="8"/>
        <v>92.168661235131722</v>
      </c>
      <c r="D33" s="60">
        <f ca="1">IF($A33="","",MAX($C$7:C33))</f>
        <v>104.14380490619243</v>
      </c>
      <c r="E33" s="26">
        <f t="shared" ca="1" si="9"/>
        <v>-0.11498661568825264</v>
      </c>
      <c r="F33" s="27">
        <f ca="1">IF($A33="","",Returns!$I$31)</f>
        <v>1.5416400517011652E-2</v>
      </c>
      <c r="G33" s="60">
        <f t="shared" ca="1" si="10"/>
        <v>90.070340664300886</v>
      </c>
      <c r="H33" s="60">
        <f ca="1">IF($A33="","",MAX($G$7:G33))</f>
        <v>104.0208304924473</v>
      </c>
      <c r="I33" s="26">
        <f t="shared" ca="1" si="11"/>
        <v>-0.13411246345662786</v>
      </c>
      <c r="J33" s="59" t="str">
        <f t="shared" ca="1" si="12"/>
        <v>Mar-25</v>
      </c>
      <c r="K33" s="3"/>
      <c r="L33" t="str">
        <f t="shared" ca="1" si="0"/>
        <v>Mar-25</v>
      </c>
      <c r="M33" s="132">
        <f t="shared" ca="1" si="1"/>
        <v>92.168661235131722</v>
      </c>
      <c r="N33" s="132">
        <f t="shared" ca="1" si="2"/>
        <v>90.070340664300886</v>
      </c>
      <c r="P33" t="str">
        <f t="shared" ca="1" si="3"/>
        <v>Mar-25</v>
      </c>
      <c r="Q33" s="133">
        <f t="shared" ca="1" si="4"/>
        <v>-0.11498661568825264</v>
      </c>
      <c r="R33" s="133">
        <f t="shared" ca="1" si="5"/>
        <v>-0.13411246345662786</v>
      </c>
      <c r="T33" t="str">
        <f t="shared" ca="1" si="6"/>
        <v>Mar-25</v>
      </c>
      <c r="U33" s="134">
        <f t="shared" ca="1" si="7"/>
        <v>921686.61235131731</v>
      </c>
    </row>
    <row r="34" spans="1:21" x14ac:dyDescent="0.3">
      <c r="A34" s="10">
        <f ca="1">Returns!$A$32</f>
        <v>45733</v>
      </c>
      <c r="B34" s="27">
        <f ca="1">IF($A34="","",Returns!$J$32)</f>
        <v>3.870413903861146E-2</v>
      </c>
      <c r="C34" s="60">
        <f t="shared" ca="1" si="8"/>
        <v>95.735969914578931</v>
      </c>
      <c r="D34" s="60">
        <f ca="1">IF($A34="","",MAX($C$7:C34))</f>
        <v>104.14380490619243</v>
      </c>
      <c r="E34" s="26">
        <f t="shared" ca="1" si="9"/>
        <v>-8.0732934610818763E-2</v>
      </c>
      <c r="F34" s="27">
        <f ca="1">IF($A34="","",Returns!$I$32)</f>
        <v>2.1571046274877492E-3</v>
      </c>
      <c r="G34" s="60">
        <f t="shared" ca="1" si="10"/>
        <v>90.264631812947243</v>
      </c>
      <c r="H34" s="60">
        <f ca="1">IF($A34="","",MAX($G$7:G34))</f>
        <v>104.0208304924473</v>
      </c>
      <c r="I34" s="26">
        <f t="shared" ca="1" si="11"/>
        <v>-0.13224465344466618</v>
      </c>
      <c r="J34" s="59" t="str">
        <f t="shared" ca="1" si="12"/>
        <v>Mar-25</v>
      </c>
      <c r="K34" s="3"/>
      <c r="L34" t="str">
        <f t="shared" ca="1" si="0"/>
        <v>Mar-25</v>
      </c>
      <c r="M34" s="132">
        <f t="shared" ca="1" si="1"/>
        <v>95.735969914578931</v>
      </c>
      <c r="N34" s="132">
        <f t="shared" ca="1" si="2"/>
        <v>90.264631812947243</v>
      </c>
      <c r="P34" t="str">
        <f t="shared" ca="1" si="3"/>
        <v>Mar-25</v>
      </c>
      <c r="Q34" s="133">
        <f t="shared" ca="1" si="4"/>
        <v>-8.0732934610818763E-2</v>
      </c>
      <c r="R34" s="133">
        <f t="shared" ca="1" si="5"/>
        <v>-0.13224465344466618</v>
      </c>
      <c r="T34" t="str">
        <f t="shared" ca="1" si="6"/>
        <v>Mar-25</v>
      </c>
      <c r="U34" s="134">
        <f t="shared" ca="1" si="7"/>
        <v>957359.69914578926</v>
      </c>
    </row>
    <row r="35" spans="1:21" x14ac:dyDescent="0.3">
      <c r="A35" s="10">
        <f ca="1">Returns!$A$33</f>
        <v>45740</v>
      </c>
      <c r="B35" s="27">
        <f ca="1">IF($A35="","",Returns!$J$33)</f>
        <v>1.3638739049066473E-3</v>
      </c>
      <c r="C35" s="60">
        <f t="shared" ca="1" si="8"/>
        <v>95.866541705706354</v>
      </c>
      <c r="D35" s="60">
        <f ca="1">IF($A35="","",MAX($C$7:C35))</f>
        <v>104.14380490619243</v>
      </c>
      <c r="E35" s="26">
        <f t="shared" ca="1" si="9"/>
        <v>-7.9479170248694331E-2</v>
      </c>
      <c r="F35" s="27">
        <f ca="1">IF($A35="","",Returns!$I$33)</f>
        <v>5.1073454073415903E-2</v>
      </c>
      <c r="G35" s="60">
        <f t="shared" ca="1" si="10"/>
        <v>94.874758340299607</v>
      </c>
      <c r="H35" s="60">
        <f ca="1">IF($A35="","",MAX($G$7:G35))</f>
        <v>104.0208304924473</v>
      </c>
      <c r="I35" s="26">
        <f t="shared" ca="1" si="11"/>
        <v>-8.7925390605411158E-2</v>
      </c>
      <c r="J35" s="59" t="str">
        <f t="shared" ca="1" si="12"/>
        <v>Mar-25</v>
      </c>
      <c r="K35" s="3"/>
      <c r="L35" t="str">
        <f t="shared" ca="1" si="0"/>
        <v>Mar-25</v>
      </c>
      <c r="M35" s="132">
        <f t="shared" ca="1" si="1"/>
        <v>95.866541705706354</v>
      </c>
      <c r="N35" s="132">
        <f t="shared" ca="1" si="2"/>
        <v>94.874758340299607</v>
      </c>
      <c r="P35" t="str">
        <f t="shared" ca="1" si="3"/>
        <v>Mar-25</v>
      </c>
      <c r="Q35" s="133">
        <f t="shared" ca="1" si="4"/>
        <v>-7.9479170248694331E-2</v>
      </c>
      <c r="R35" s="133">
        <f t="shared" ca="1" si="5"/>
        <v>-8.7925390605411158E-2</v>
      </c>
      <c r="T35" t="str">
        <f t="shared" ca="1" si="6"/>
        <v>Mar-25</v>
      </c>
      <c r="U35" s="134">
        <f t="shared" ca="1" si="7"/>
        <v>958665.41705706355</v>
      </c>
    </row>
    <row r="36" spans="1:21" x14ac:dyDescent="0.3">
      <c r="A36" s="10">
        <f ca="1">Returns!$A$34</f>
        <v>45747</v>
      </c>
      <c r="B36" s="27">
        <f ca="1">IF($A36="","",Returns!$J$34)</f>
        <v>0</v>
      </c>
      <c r="C36" s="60">
        <f t="shared" ca="1" si="8"/>
        <v>95.866541705706354</v>
      </c>
      <c r="D36" s="60">
        <f ca="1">IF($A36="","",MAX($C$7:C36))</f>
        <v>104.14380490619243</v>
      </c>
      <c r="E36" s="26">
        <f t="shared" ca="1" si="9"/>
        <v>-7.9479170248694331E-2</v>
      </c>
      <c r="F36" s="27">
        <f ca="1">IF($A36="","",Returns!$I$34)</f>
        <v>-2.08235315970553E-2</v>
      </c>
      <c r="G36" s="60">
        <f t="shared" ca="1" si="10"/>
        <v>92.899130812237388</v>
      </c>
      <c r="H36" s="60">
        <f ca="1">IF($A36="","",MAX($G$7:G36))</f>
        <v>104.0208304924473</v>
      </c>
      <c r="I36" s="26">
        <f t="shared" ca="1" si="11"/>
        <v>-0.1069180050530113</v>
      </c>
      <c r="J36" s="59" t="str">
        <f t="shared" ca="1" si="12"/>
        <v>Mar-25</v>
      </c>
      <c r="K36" s="3"/>
      <c r="L36" t="str">
        <f t="shared" ca="1" si="0"/>
        <v>Mar-25</v>
      </c>
      <c r="M36" s="132">
        <f t="shared" ca="1" si="1"/>
        <v>95.866541705706354</v>
      </c>
      <c r="N36" s="132">
        <f t="shared" ca="1" si="2"/>
        <v>92.899130812237388</v>
      </c>
      <c r="P36" t="str">
        <f t="shared" ca="1" si="3"/>
        <v>Mar-25</v>
      </c>
      <c r="Q36" s="133">
        <f t="shared" ca="1" si="4"/>
        <v>-7.9479170248694331E-2</v>
      </c>
      <c r="R36" s="133">
        <f t="shared" ca="1" si="5"/>
        <v>-0.1069180050530113</v>
      </c>
      <c r="T36" t="str">
        <f t="shared" ca="1" si="6"/>
        <v>Mar-25</v>
      </c>
      <c r="U36" s="134">
        <f t="shared" ca="1" si="7"/>
        <v>958665.41705706355</v>
      </c>
    </row>
    <row r="37" spans="1:21" x14ac:dyDescent="0.3">
      <c r="A37" s="10">
        <f ca="1">Returns!$A$35</f>
        <v>45754</v>
      </c>
      <c r="B37" s="27">
        <f ca="1">IF($A37="","",Returns!$J$35)</f>
        <v>-3.3845174581262724E-2</v>
      </c>
      <c r="C37" s="60">
        <f t="shared" ca="1" si="8"/>
        <v>92.621921865174826</v>
      </c>
      <c r="D37" s="60">
        <f ca="1">IF($A37="","",MAX($C$7:C37))</f>
        <v>104.14380490619243</v>
      </c>
      <c r="E37" s="26">
        <f t="shared" ca="1" si="9"/>
        <v>-0.11063435843731606</v>
      </c>
      <c r="F37" s="27">
        <f ca="1">IF($A37="","",Returns!$I$35)</f>
        <v>-4.3344239251897676E-2</v>
      </c>
      <c r="G37" s="60">
        <f t="shared" ca="1" si="10"/>
        <v>88.872488660018433</v>
      </c>
      <c r="H37" s="60">
        <f ca="1">IF($A37="","",MAX($G$7:G37))</f>
        <v>104.0208304924473</v>
      </c>
      <c r="I37" s="26">
        <f t="shared" ca="1" si="11"/>
        <v>-0.14562796471355566</v>
      </c>
      <c r="J37" s="59" t="str">
        <f t="shared" ca="1" si="12"/>
        <v>Apr-25</v>
      </c>
      <c r="K37" s="3"/>
      <c r="L37" t="str">
        <f t="shared" ca="1" si="0"/>
        <v>Apr-25</v>
      </c>
      <c r="M37" s="132">
        <f t="shared" ca="1" si="1"/>
        <v>92.621921865174826</v>
      </c>
      <c r="N37" s="132">
        <f t="shared" ca="1" si="2"/>
        <v>88.872488660018433</v>
      </c>
      <c r="P37" t="str">
        <f t="shared" ca="1" si="3"/>
        <v>Apr-25</v>
      </c>
      <c r="Q37" s="133">
        <f t="shared" ca="1" si="4"/>
        <v>-0.11063435843731606</v>
      </c>
      <c r="R37" s="133">
        <f t="shared" ca="1" si="5"/>
        <v>-0.14562796471355566</v>
      </c>
      <c r="T37" t="str">
        <f t="shared" ca="1" si="6"/>
        <v>Apr-25</v>
      </c>
      <c r="U37" s="134">
        <f t="shared" ca="1" si="7"/>
        <v>926219.21865174826</v>
      </c>
    </row>
    <row r="38" spans="1:21" x14ac:dyDescent="0.3">
      <c r="A38" s="10">
        <f ca="1">Returns!$A$36</f>
        <v>45761</v>
      </c>
      <c r="B38" s="27">
        <f ca="1">IF($A38="","",Returns!$J$36)</f>
        <v>0</v>
      </c>
      <c r="C38" s="60">
        <f t="shared" ca="1" si="8"/>
        <v>92.621921865174826</v>
      </c>
      <c r="D38" s="60">
        <f ca="1">IF($A38="","",MAX($C$7:C38))</f>
        <v>104.14380490619243</v>
      </c>
      <c r="E38" s="26">
        <f t="shared" ca="1" si="9"/>
        <v>-0.11063435843731606</v>
      </c>
      <c r="F38" s="27">
        <f ca="1">IF($A38="","",Returns!$I$36)</f>
        <v>5.265645045682299E-2</v>
      </c>
      <c r="G38" s="60">
        <f t="shared" ca="1" si="10"/>
        <v>93.552198456119257</v>
      </c>
      <c r="H38" s="60">
        <f ca="1">IF($A38="","",MAX($G$7:G38))</f>
        <v>104.0208304924473</v>
      </c>
      <c r="I38" s="26">
        <f t="shared" ca="1" si="11"/>
        <v>-0.10063976596579993</v>
      </c>
      <c r="J38" s="59" t="str">
        <f t="shared" ca="1" si="12"/>
        <v>Apr-25</v>
      </c>
      <c r="K38" s="3"/>
      <c r="L38" t="str">
        <f t="shared" ca="1" si="0"/>
        <v>Apr-25</v>
      </c>
      <c r="M38" s="132">
        <f t="shared" ca="1" si="1"/>
        <v>92.621921865174826</v>
      </c>
      <c r="N38" s="132">
        <f t="shared" ca="1" si="2"/>
        <v>93.552198456119257</v>
      </c>
      <c r="P38" t="str">
        <f t="shared" ca="1" si="3"/>
        <v>Apr-25</v>
      </c>
      <c r="Q38" s="133">
        <f t="shared" ca="1" si="4"/>
        <v>-0.11063435843731606</v>
      </c>
      <c r="R38" s="133">
        <f t="shared" ca="1" si="5"/>
        <v>-0.10063976596579993</v>
      </c>
      <c r="T38" t="str">
        <f t="shared" ca="1" si="6"/>
        <v>Apr-25</v>
      </c>
      <c r="U38" s="134">
        <f t="shared" ca="1" si="7"/>
        <v>926219.21865174826</v>
      </c>
    </row>
    <row r="39" spans="1:21" x14ac:dyDescent="0.3">
      <c r="A39" s="10">
        <f ca="1">Returns!$A$37</f>
        <v>45768</v>
      </c>
      <c r="B39" s="27">
        <f ca="1">IF($A39="","",Returns!$J$37)</f>
        <v>5.4554696808246164E-2</v>
      </c>
      <c r="C39" s="60">
        <f t="shared" ca="1" si="8"/>
        <v>97.674882730326516</v>
      </c>
      <c r="D39" s="60">
        <f ca="1">IF($A39="","",MAX($C$7:C39))</f>
        <v>104.14380490619243</v>
      </c>
      <c r="E39" s="26">
        <f t="shared" ca="1" si="9"/>
        <v>-6.2115285510192297E-2</v>
      </c>
      <c r="F39" s="27">
        <f ca="1">IF($A39="","",Returns!$I$37)</f>
        <v>3.4164145363053455E-2</v>
      </c>
      <c r="G39" s="60">
        <f t="shared" ca="1" si="10"/>
        <v>96.748329363207347</v>
      </c>
      <c r="H39" s="60">
        <f ca="1">IF($A39="","",MAX($G$7:G39))</f>
        <v>104.0208304924473</v>
      </c>
      <c r="I39" s="26">
        <f t="shared" ca="1" si="11"/>
        <v>-6.9913892196505678E-2</v>
      </c>
      <c r="J39" s="59" t="str">
        <f t="shared" ca="1" si="12"/>
        <v>Apr-25</v>
      </c>
      <c r="K39" s="3"/>
      <c r="L39" t="str">
        <f t="shared" ca="1" si="0"/>
        <v>Apr-25</v>
      </c>
      <c r="M39" s="132">
        <f t="shared" ca="1" si="1"/>
        <v>97.674882730326516</v>
      </c>
      <c r="N39" s="132">
        <f t="shared" ca="1" si="2"/>
        <v>96.748329363207347</v>
      </c>
      <c r="P39" t="str">
        <f t="shared" ca="1" si="3"/>
        <v>Apr-25</v>
      </c>
      <c r="Q39" s="133">
        <f t="shared" ca="1" si="4"/>
        <v>-6.2115285510192297E-2</v>
      </c>
      <c r="R39" s="133">
        <f t="shared" ca="1" si="5"/>
        <v>-6.9913892196505678E-2</v>
      </c>
      <c r="T39" t="str">
        <f t="shared" ca="1" si="6"/>
        <v>Apr-25</v>
      </c>
      <c r="U39" s="134">
        <f t="shared" ca="1" si="7"/>
        <v>976748.82730326522</v>
      </c>
    </row>
    <row r="40" spans="1:21" x14ac:dyDescent="0.3">
      <c r="A40" s="10">
        <f ca="1">Returns!$A$38</f>
        <v>45775</v>
      </c>
      <c r="B40" s="27">
        <f ca="1">IF($A40="","",Returns!$J$38)</f>
        <v>3.5136356184061496E-2</v>
      </c>
      <c r="C40" s="60">
        <f t="shared" ca="1" si="8"/>
        <v>101.1068222001757</v>
      </c>
      <c r="D40" s="60">
        <f ca="1">IF($A40="","",MAX($C$7:C40))</f>
        <v>104.14380490619243</v>
      </c>
      <c r="E40" s="26">
        <f t="shared" ca="1" si="9"/>
        <v>-2.9161434122291663E-2</v>
      </c>
      <c r="F40" s="27">
        <f ca="1">IF($A40="","",Returns!$I$38)</f>
        <v>8.4122107963533477E-3</v>
      </c>
      <c r="G40" s="60">
        <f t="shared" ca="1" si="10"/>
        <v>97.562196704005672</v>
      </c>
      <c r="H40" s="60">
        <f ca="1">IF($A40="","",MAX($G$7:G40))</f>
        <v>104.0208304924473</v>
      </c>
      <c r="I40" s="26">
        <f t="shared" ca="1" si="11"/>
        <v>-6.2089811798902828E-2</v>
      </c>
      <c r="J40" s="59" t="str">
        <f t="shared" ca="1" si="12"/>
        <v>Apr-25</v>
      </c>
      <c r="K40" s="3"/>
      <c r="L40" t="str">
        <f t="shared" ca="1" si="0"/>
        <v>Apr-25</v>
      </c>
      <c r="M40" s="132">
        <f t="shared" ca="1" si="1"/>
        <v>101.1068222001757</v>
      </c>
      <c r="N40" s="132">
        <f t="shared" ca="1" si="2"/>
        <v>97.562196704005672</v>
      </c>
      <c r="P40" t="str">
        <f t="shared" ca="1" si="3"/>
        <v>Apr-25</v>
      </c>
      <c r="Q40" s="133">
        <f t="shared" ca="1" si="4"/>
        <v>-2.9161434122291663E-2</v>
      </c>
      <c r="R40" s="133">
        <f t="shared" ca="1" si="5"/>
        <v>-6.2089811798902828E-2</v>
      </c>
      <c r="T40" t="str">
        <f t="shared" ca="1" si="6"/>
        <v>Apr-25</v>
      </c>
      <c r="U40" s="134">
        <f t="shared" ca="1" si="7"/>
        <v>1011068.222001757</v>
      </c>
    </row>
    <row r="41" spans="1:21" x14ac:dyDescent="0.3">
      <c r="A41" s="10">
        <f ca="1">Returns!$A$39</f>
        <v>45782</v>
      </c>
      <c r="B41" s="27">
        <f ca="1">IF($A41="","",Returns!$J$39)</f>
        <v>-1.1046687455767821E-2</v>
      </c>
      <c r="C41" s="60">
        <f t="shared" ca="1" si="8"/>
        <v>99.989926735684463</v>
      </c>
      <c r="D41" s="60">
        <f ca="1">IF($A41="","",MAX($C$7:C41))</f>
        <v>104.14380490619243</v>
      </c>
      <c r="E41" s="26">
        <f t="shared" ca="1" si="9"/>
        <v>-3.9885984329548707E-2</v>
      </c>
      <c r="F41" s="27">
        <f ca="1">IF($A41="","",Returns!$I$39)</f>
        <v>5.4524689407484672E-3</v>
      </c>
      <c r="G41" s="60">
        <f t="shared" ca="1" si="10"/>
        <v>98.094151551325453</v>
      </c>
      <c r="H41" s="60">
        <f ca="1">IF($A41="","",MAX($G$7:G41))</f>
        <v>104.0208304924473</v>
      </c>
      <c r="I41" s="26">
        <f t="shared" ca="1" si="11"/>
        <v>-5.6975885628524847E-2</v>
      </c>
      <c r="J41" s="59" t="str">
        <f t="shared" ca="1" si="12"/>
        <v>May-25</v>
      </c>
      <c r="K41" s="3"/>
      <c r="L41" t="str">
        <f t="shared" ca="1" si="0"/>
        <v>May-25</v>
      </c>
      <c r="M41" s="132">
        <f t="shared" ca="1" si="1"/>
        <v>99.989926735684463</v>
      </c>
      <c r="N41" s="132">
        <f t="shared" ca="1" si="2"/>
        <v>98.094151551325453</v>
      </c>
      <c r="P41" t="str">
        <f t="shared" ca="1" si="3"/>
        <v>May-25</v>
      </c>
      <c r="Q41" s="133">
        <f t="shared" ca="1" si="4"/>
        <v>-3.9885984329548707E-2</v>
      </c>
      <c r="R41" s="133">
        <f t="shared" ca="1" si="5"/>
        <v>-5.6975885628524847E-2</v>
      </c>
      <c r="T41" t="str">
        <f t="shared" ca="1" si="6"/>
        <v>May-25</v>
      </c>
      <c r="U41" s="134">
        <f t="shared" ca="1" si="7"/>
        <v>999899.26735684474</v>
      </c>
    </row>
    <row r="42" spans="1:21" x14ac:dyDescent="0.3">
      <c r="A42" s="10">
        <f ca="1">Returns!$A$40</f>
        <v>45789</v>
      </c>
      <c r="B42" s="27">
        <f ca="1">IF($A42="","",Returns!$J$40)</f>
        <v>3.4645358308664838E-2</v>
      </c>
      <c r="C42" s="60">
        <f t="shared" ca="1" si="8"/>
        <v>103.45411357469939</v>
      </c>
      <c r="D42" s="60">
        <f ca="1">IF($A42="","",MAX($C$7:C42))</f>
        <v>104.14380490619243</v>
      </c>
      <c r="E42" s="26">
        <f t="shared" ca="1" si="9"/>
        <v>-6.6224902394749208E-3</v>
      </c>
      <c r="F42" s="27">
        <f ca="1">IF($A42="","",Returns!$I$40)</f>
        <v>1.8950409965291737E-2</v>
      </c>
      <c r="G42" s="60">
        <f t="shared" ca="1" si="10"/>
        <v>99.953075938420525</v>
      </c>
      <c r="H42" s="60">
        <f ca="1">IF($A42="","",MAX($G$7:G42))</f>
        <v>104.0208304924473</v>
      </c>
      <c r="I42" s="26">
        <f t="shared" ca="1" si="11"/>
        <v>-3.9105192054029292E-2</v>
      </c>
      <c r="J42" s="59" t="str">
        <f t="shared" ca="1" si="12"/>
        <v>May-25</v>
      </c>
      <c r="K42" s="3"/>
      <c r="L42" t="str">
        <f t="shared" ca="1" si="0"/>
        <v>May-25</v>
      </c>
      <c r="M42" s="132">
        <f t="shared" ca="1" si="1"/>
        <v>103.45411357469939</v>
      </c>
      <c r="N42" s="132">
        <f t="shared" ca="1" si="2"/>
        <v>99.953075938420525</v>
      </c>
      <c r="P42" t="str">
        <f t="shared" ca="1" si="3"/>
        <v>May-25</v>
      </c>
      <c r="Q42" s="133">
        <f t="shared" ca="1" si="4"/>
        <v>-6.6224902394749208E-3</v>
      </c>
      <c r="R42" s="133">
        <f t="shared" ca="1" si="5"/>
        <v>-3.9105192054029292E-2</v>
      </c>
      <c r="T42" t="str">
        <f t="shared" ca="1" si="6"/>
        <v>May-25</v>
      </c>
      <c r="U42" s="134">
        <f t="shared" ca="1" si="7"/>
        <v>1034541.1357469938</v>
      </c>
    </row>
    <row r="43" spans="1:21" x14ac:dyDescent="0.3">
      <c r="A43" s="10">
        <f ca="1">Returns!$A$41</f>
        <v>45796</v>
      </c>
      <c r="B43" s="27">
        <f ca="1">IF($A43="","",Returns!$J$41)</f>
        <v>-1.037810263871719E-2</v>
      </c>
      <c r="C43" s="60">
        <f t="shared" ca="1" si="8"/>
        <v>102.38045616562366</v>
      </c>
      <c r="D43" s="60">
        <f ca="1">IF($A43="","",MAX($C$7:C43))</f>
        <v>104.14380490619243</v>
      </c>
      <c r="E43" s="26">
        <f t="shared" ca="1" si="9"/>
        <v>-1.6931863994762875E-2</v>
      </c>
      <c r="F43" s="27">
        <f ca="1">IF($A43="","",Returns!$I$41)</f>
        <v>8.325075387225489E-4</v>
      </c>
      <c r="G43" s="60">
        <f t="shared" ca="1" si="10"/>
        <v>100.03628762765777</v>
      </c>
      <c r="H43" s="60">
        <f ca="1">IF($A43="","",MAX($G$7:G43))</f>
        <v>104.0208304924473</v>
      </c>
      <c r="I43" s="26">
        <f t="shared" ca="1" si="11"/>
        <v>-3.8305239882494901E-2</v>
      </c>
      <c r="J43" s="59" t="str">
        <f t="shared" ca="1" si="12"/>
        <v>May-25</v>
      </c>
      <c r="K43" s="3"/>
      <c r="L43" t="str">
        <f t="shared" ca="1" si="0"/>
        <v>May-25</v>
      </c>
      <c r="M43" s="132">
        <f t="shared" ca="1" si="1"/>
        <v>102.38045616562366</v>
      </c>
      <c r="N43" s="132">
        <f t="shared" ca="1" si="2"/>
        <v>100.03628762765777</v>
      </c>
      <c r="P43" t="str">
        <f t="shared" ca="1" si="3"/>
        <v>May-25</v>
      </c>
      <c r="Q43" s="133">
        <f t="shared" ca="1" si="4"/>
        <v>-1.6931863994762875E-2</v>
      </c>
      <c r="R43" s="133">
        <f t="shared" ca="1" si="5"/>
        <v>-3.8305239882494901E-2</v>
      </c>
      <c r="T43" t="str">
        <f t="shared" ca="1" si="6"/>
        <v>May-25</v>
      </c>
      <c r="U43" s="134">
        <f t="shared" ca="1" si="7"/>
        <v>1023804.5616562365</v>
      </c>
    </row>
    <row r="44" spans="1:21" x14ac:dyDescent="0.3">
      <c r="A44" s="10">
        <f ca="1">Returns!$A$42</f>
        <v>45803</v>
      </c>
      <c r="B44" s="27">
        <f ca="1">IF($A44="","",Returns!$J$42)</f>
        <v>1.4359557011984104E-3</v>
      </c>
      <c r="C44" s="60">
        <f t="shared" ca="1" si="8"/>
        <v>102.52746996534599</v>
      </c>
      <c r="D44" s="60">
        <f ca="1">IF($A44="","",MAX($C$7:C44))</f>
        <v>104.14380490619243</v>
      </c>
      <c r="E44" s="26">
        <f t="shared" ca="1" si="9"/>
        <v>-1.5520221700199621E-2</v>
      </c>
      <c r="F44" s="27">
        <f ca="1">IF($A44="","",Returns!$I$42)</f>
        <v>2.2329191744172583E-3</v>
      </c>
      <c r="G44" s="60">
        <f t="shared" ca="1" si="10"/>
        <v>100.25966057243909</v>
      </c>
      <c r="H44" s="60">
        <f ca="1">IF($A44="","",MAX($G$7:G44))</f>
        <v>104.0208304924473</v>
      </c>
      <c r="I44" s="26">
        <f t="shared" ca="1" si="11"/>
        <v>-3.6157853212691937E-2</v>
      </c>
      <c r="J44" s="59" t="str">
        <f t="shared" ca="1" si="12"/>
        <v>May-25</v>
      </c>
      <c r="K44" s="3"/>
      <c r="L44" t="str">
        <f t="shared" ca="1" si="0"/>
        <v>May-25</v>
      </c>
      <c r="M44" s="132">
        <f t="shared" ca="1" si="1"/>
        <v>102.52746996534599</v>
      </c>
      <c r="N44" s="132">
        <f t="shared" ca="1" si="2"/>
        <v>100.25966057243909</v>
      </c>
      <c r="P44" t="str">
        <f t="shared" ca="1" si="3"/>
        <v>May-25</v>
      </c>
      <c r="Q44" s="133">
        <f t="shared" ca="1" si="4"/>
        <v>-1.5520221700199621E-2</v>
      </c>
      <c r="R44" s="133">
        <f t="shared" ca="1" si="5"/>
        <v>-3.6157853212691937E-2</v>
      </c>
      <c r="T44" t="str">
        <f t="shared" ca="1" si="6"/>
        <v>May-25</v>
      </c>
      <c r="U44" s="134">
        <f t="shared" ca="1" si="7"/>
        <v>1025274.6996534599</v>
      </c>
    </row>
    <row r="45" spans="1:21" x14ac:dyDescent="0.3">
      <c r="A45" s="10">
        <f ca="1">Returns!$A$43</f>
        <v>45810</v>
      </c>
      <c r="B45" s="27">
        <f ca="1">IF($A45="","",Returns!$J$43)</f>
        <v>1.1285776119075762E-2</v>
      </c>
      <c r="C45" s="60">
        <f t="shared" ca="1" si="8"/>
        <v>103.68457203743013</v>
      </c>
      <c r="D45" s="60">
        <f ca="1">IF($A45="","",MAX($C$7:C45))</f>
        <v>104.14380490619243</v>
      </c>
      <c r="E45" s="26">
        <f t="shared" ca="1" si="9"/>
        <v>-4.4096033285508929E-3</v>
      </c>
      <c r="F45" s="27">
        <f ca="1">IF($A45="","",Returns!$I$43)</f>
        <v>-1.1381507522817857E-2</v>
      </c>
      <c r="G45" s="60">
        <f t="shared" ca="1" si="10"/>
        <v>99.118554491398712</v>
      </c>
      <c r="H45" s="60">
        <f ca="1">IF($A45="","",MAX($G$7:G45))</f>
        <v>104.0208304924473</v>
      </c>
      <c r="I45" s="26">
        <f t="shared" ca="1" si="11"/>
        <v>-4.7127829857160464E-2</v>
      </c>
      <c r="J45" s="59" t="str">
        <f t="shared" ca="1" si="12"/>
        <v>Jun-25</v>
      </c>
      <c r="K45" s="3"/>
      <c r="L45" t="str">
        <f t="shared" ca="1" si="0"/>
        <v>Jun-25</v>
      </c>
      <c r="M45" s="132">
        <f t="shared" ca="1" si="1"/>
        <v>103.68457203743013</v>
      </c>
      <c r="N45" s="132">
        <f t="shared" ca="1" si="2"/>
        <v>99.118554491398712</v>
      </c>
      <c r="P45" t="str">
        <f t="shared" ca="1" si="3"/>
        <v>Jun-25</v>
      </c>
      <c r="Q45" s="133">
        <f t="shared" ca="1" si="4"/>
        <v>-4.4096033285508929E-3</v>
      </c>
      <c r="R45" s="133">
        <f t="shared" ca="1" si="5"/>
        <v>-4.7127829857160464E-2</v>
      </c>
      <c r="T45" t="str">
        <f t="shared" ca="1" si="6"/>
        <v>Jun-25</v>
      </c>
      <c r="U45" s="134">
        <f t="shared" ca="1" si="7"/>
        <v>1036845.7203743012</v>
      </c>
    </row>
    <row r="46" spans="1:21" x14ac:dyDescent="0.3">
      <c r="A46" s="10">
        <f ca="1">Returns!$A$44</f>
        <v>45817</v>
      </c>
      <c r="B46" s="27">
        <f ca="1">IF($A46="","",Returns!$J$44)</f>
        <v>-9.420542832925323E-3</v>
      </c>
      <c r="C46" s="60">
        <f t="shared" ca="1" si="8"/>
        <v>102.70780708543798</v>
      </c>
      <c r="D46" s="60">
        <f ca="1">IF($A46="","",MAX($C$7:C46))</f>
        <v>104.14380490619243</v>
      </c>
      <c r="E46" s="26">
        <f t="shared" ca="1" si="9"/>
        <v>-1.378860530444348E-2</v>
      </c>
      <c r="F46" s="27">
        <f ca="1">IF($A46="","",Returns!$I$44)</f>
        <v>1.5641294331942168E-2</v>
      </c>
      <c r="G46" s="60">
        <f t="shared" ca="1" si="10"/>
        <v>100.66889697595532</v>
      </c>
      <c r="H46" s="60">
        <f ca="1">IF($A46="","",MAX($G$7:G46))</f>
        <v>104.0208304924473</v>
      </c>
      <c r="I46" s="26">
        <f t="shared" ca="1" si="11"/>
        <v>-3.2223675783239925E-2</v>
      </c>
      <c r="J46" s="59" t="str">
        <f t="shared" ca="1" si="12"/>
        <v>Jun-25</v>
      </c>
      <c r="K46" s="3"/>
      <c r="L46" t="str">
        <f t="shared" ca="1" si="0"/>
        <v>Jun-25</v>
      </c>
      <c r="M46" s="132">
        <f t="shared" ca="1" si="1"/>
        <v>102.70780708543798</v>
      </c>
      <c r="N46" s="132">
        <f t="shared" ca="1" si="2"/>
        <v>100.66889697595532</v>
      </c>
      <c r="P46" t="str">
        <f t="shared" ca="1" si="3"/>
        <v>Jun-25</v>
      </c>
      <c r="Q46" s="133">
        <f t="shared" ca="1" si="4"/>
        <v>-1.378860530444348E-2</v>
      </c>
      <c r="R46" s="133">
        <f t="shared" ca="1" si="5"/>
        <v>-3.2223675783239925E-2</v>
      </c>
      <c r="T46" t="str">
        <f t="shared" ca="1" si="6"/>
        <v>Jun-25</v>
      </c>
      <c r="U46" s="134">
        <f t="shared" ca="1" si="7"/>
        <v>1027078.0708543798</v>
      </c>
    </row>
    <row r="47" spans="1:21" x14ac:dyDescent="0.3">
      <c r="A47" s="10">
        <f ca="1">Returns!$A$45</f>
        <v>45824</v>
      </c>
      <c r="B47" s="27">
        <f ca="1">IF($A47="","",Returns!$J$45)</f>
        <v>2.6246935283796909E-2</v>
      </c>
      <c r="C47" s="60">
        <f t="shared" ca="1" si="8"/>
        <v>105.40357225115017</v>
      </c>
      <c r="D47" s="60">
        <f ca="1">IF($A47="","",MAX($C$7:C47))</f>
        <v>105.40357225115017</v>
      </c>
      <c r="E47" s="26">
        <f t="shared" ca="1" si="9"/>
        <v>0</v>
      </c>
      <c r="F47" s="27">
        <f ca="1">IF($A47="","",Returns!$I$45)</f>
        <v>-6.2422011387679444E-3</v>
      </c>
      <c r="G47" s="60">
        <f t="shared" ca="1" si="10"/>
        <v>100.0405014726135</v>
      </c>
      <c r="H47" s="60">
        <f ca="1">IF($A47="","",MAX($G$7:G47))</f>
        <v>104.0208304924473</v>
      </c>
      <c r="I47" s="26">
        <f t="shared" ca="1" si="11"/>
        <v>-3.8264730256338475E-2</v>
      </c>
      <c r="J47" s="59" t="str">
        <f t="shared" ca="1" si="12"/>
        <v>Jun-25</v>
      </c>
      <c r="K47" s="3"/>
      <c r="L47" t="str">
        <f t="shared" ca="1" si="0"/>
        <v>Jun-25</v>
      </c>
      <c r="M47" s="132">
        <f t="shared" ca="1" si="1"/>
        <v>105.40357225115017</v>
      </c>
      <c r="N47" s="132">
        <f t="shared" ca="1" si="2"/>
        <v>100.0405014726135</v>
      </c>
      <c r="P47" t="str">
        <f t="shared" ca="1" si="3"/>
        <v>Jun-25</v>
      </c>
      <c r="Q47" s="133">
        <f t="shared" ca="1" si="4"/>
        <v>0</v>
      </c>
      <c r="R47" s="133">
        <f t="shared" ca="1" si="5"/>
        <v>-3.8264730256338475E-2</v>
      </c>
      <c r="T47" t="str">
        <f t="shared" ca="1" si="6"/>
        <v>Jun-25</v>
      </c>
      <c r="U47" s="134">
        <f t="shared" ca="1" si="7"/>
        <v>1054035.7225115015</v>
      </c>
    </row>
    <row r="48" spans="1:21" x14ac:dyDescent="0.3">
      <c r="A48" s="10">
        <f ca="1">Returns!$A$46</f>
        <v>45831</v>
      </c>
      <c r="B48" s="27">
        <f ca="1">IF($A48="","",Returns!$J$46)</f>
        <v>1.7169228515119612E-2</v>
      </c>
      <c r="C48" s="60">
        <f t="shared" ca="1" si="8"/>
        <v>107.21327026944009</v>
      </c>
      <c r="D48" s="60">
        <f ca="1">IF($A48="","",MAX($C$7:C48))</f>
        <v>107.21327026944009</v>
      </c>
      <c r="E48" s="26">
        <f t="shared" ca="1" si="9"/>
        <v>0</v>
      </c>
      <c r="F48" s="27">
        <f ca="1">IF($A48="","",Returns!$I$46)</f>
        <v>1.0181945613612076E-3</v>
      </c>
      <c r="G48" s="60">
        <f t="shared" ca="1" si="10"/>
        <v>100.14236216712877</v>
      </c>
      <c r="H48" s="60">
        <f ca="1">IF($A48="","",MAX($G$7:G48))</f>
        <v>104.0208304924473</v>
      </c>
      <c r="I48" s="26">
        <f t="shared" ca="1" si="11"/>
        <v>-3.7285496635216187E-2</v>
      </c>
      <c r="J48" s="59" t="str">
        <f t="shared" ca="1" si="12"/>
        <v>Jun-25</v>
      </c>
      <c r="K48" s="3"/>
      <c r="L48" t="str">
        <f t="shared" ca="1" si="0"/>
        <v>Jun-25</v>
      </c>
      <c r="M48" s="132">
        <f t="shared" ca="1" si="1"/>
        <v>107.21327026944009</v>
      </c>
      <c r="N48" s="132">
        <f t="shared" ca="1" si="2"/>
        <v>100.14236216712877</v>
      </c>
      <c r="P48" t="str">
        <f t="shared" ca="1" si="3"/>
        <v>Jun-25</v>
      </c>
      <c r="Q48" s="133">
        <f t="shared" ca="1" si="4"/>
        <v>0</v>
      </c>
      <c r="R48" s="133">
        <f t="shared" ca="1" si="5"/>
        <v>-3.7285496635216187E-2</v>
      </c>
      <c r="T48" t="str">
        <f t="shared" ca="1" si="6"/>
        <v>Jun-25</v>
      </c>
      <c r="U48" s="134">
        <f t="shared" ca="1" si="7"/>
        <v>1072132.7026944009</v>
      </c>
    </row>
    <row r="49" spans="1:21" x14ac:dyDescent="0.3">
      <c r="A49" s="10">
        <f ca="1">Returns!$A$47</f>
        <v>45838</v>
      </c>
      <c r="B49" s="27">
        <f ca="1">IF($A49="","",Returns!$J$47)</f>
        <v>-3.0070596809198226E-3</v>
      </c>
      <c r="C49" s="60">
        <f t="shared" ca="1" si="8"/>
        <v>106.89087356715329</v>
      </c>
      <c r="D49" s="60">
        <f ca="1">IF($A49="","",MAX($C$7:C49))</f>
        <v>107.21327026944009</v>
      </c>
      <c r="E49" s="26">
        <f t="shared" ca="1" si="9"/>
        <v>-3.0070596809198546E-3</v>
      </c>
      <c r="F49" s="27">
        <f ca="1">IF($A49="","",Returns!$I$47)</f>
        <v>2.1830552825273131E-2</v>
      </c>
      <c r="G49" s="60">
        <f t="shared" ca="1" si="10"/>
        <v>102.3285252944659</v>
      </c>
      <c r="H49" s="60">
        <f ca="1">IF($A49="","",MAX($G$7:G49))</f>
        <v>104.0208304924473</v>
      </c>
      <c r="I49" s="26">
        <f t="shared" ca="1" si="11"/>
        <v>-1.6268906813854622E-2</v>
      </c>
      <c r="J49" s="59" t="str">
        <f t="shared" ca="1" si="12"/>
        <v>Jun-25</v>
      </c>
      <c r="K49" s="3"/>
      <c r="L49" t="str">
        <f t="shared" ca="1" si="0"/>
        <v>Jun-25</v>
      </c>
      <c r="M49" s="132">
        <f t="shared" ca="1" si="1"/>
        <v>106.89087356715329</v>
      </c>
      <c r="N49" s="132">
        <f t="shared" ca="1" si="2"/>
        <v>102.3285252944659</v>
      </c>
      <c r="P49" t="str">
        <f t="shared" ca="1" si="3"/>
        <v>Jun-25</v>
      </c>
      <c r="Q49" s="133">
        <f t="shared" ca="1" si="4"/>
        <v>-3.0070596809198546E-3</v>
      </c>
      <c r="R49" s="133">
        <f t="shared" ca="1" si="5"/>
        <v>-1.6268906813854622E-2</v>
      </c>
      <c r="T49" t="str">
        <f t="shared" ca="1" si="6"/>
        <v>Jun-25</v>
      </c>
      <c r="U49" s="134">
        <f t="shared" ca="1" si="7"/>
        <v>1068908.7356715328</v>
      </c>
    </row>
    <row r="50" spans="1:21" x14ac:dyDescent="0.3">
      <c r="A50" s="10">
        <f ca="1">Returns!$A$48</f>
        <v>45845</v>
      </c>
      <c r="B50" s="27">
        <f ca="1">IF($A50="","",Returns!$J$48)</f>
        <v>-2.1941370634226829E-2</v>
      </c>
      <c r="C50" s="60">
        <f t="shared" ca="1" si="8"/>
        <v>104.5455412928001</v>
      </c>
      <c r="D50" s="60">
        <f ca="1">IF($A50="","",MAX($C$7:C50))</f>
        <v>107.21327026944009</v>
      </c>
      <c r="E50" s="26">
        <f t="shared" ca="1" si="9"/>
        <v>-2.488245130416844E-2</v>
      </c>
      <c r="F50" s="27">
        <f ca="1">IF($A50="","",Returns!$I$48)</f>
        <v>-2.184813616507908E-3</v>
      </c>
      <c r="G50" s="60">
        <f t="shared" ca="1" si="10"/>
        <v>102.10495653904538</v>
      </c>
      <c r="H50" s="60">
        <f ca="1">IF($A50="","",MAX($G$7:G50))</f>
        <v>104.0208304924473</v>
      </c>
      <c r="I50" s="26">
        <f t="shared" ca="1" si="11"/>
        <v>-1.8418175901230072E-2</v>
      </c>
      <c r="J50" s="59" t="str">
        <f t="shared" ca="1" si="12"/>
        <v>Jul-25</v>
      </c>
      <c r="K50" s="3"/>
      <c r="L50" t="str">
        <f t="shared" ca="1" si="0"/>
        <v>Jul-25</v>
      </c>
      <c r="M50" s="132">
        <f t="shared" ca="1" si="1"/>
        <v>104.5455412928001</v>
      </c>
      <c r="N50" s="132">
        <f t="shared" ca="1" si="2"/>
        <v>102.10495653904538</v>
      </c>
      <c r="P50" t="str">
        <f t="shared" ca="1" si="3"/>
        <v>Jul-25</v>
      </c>
      <c r="Q50" s="133">
        <f t="shared" ca="1" si="4"/>
        <v>-2.488245130416844E-2</v>
      </c>
      <c r="R50" s="133">
        <f t="shared" ca="1" si="5"/>
        <v>-1.8418175901230072E-2</v>
      </c>
      <c r="T50" t="str">
        <f t="shared" ca="1" si="6"/>
        <v>Jul-25</v>
      </c>
      <c r="U50" s="134">
        <f t="shared" ca="1" si="7"/>
        <v>1045455.412928001</v>
      </c>
    </row>
    <row r="51" spans="1:21" x14ac:dyDescent="0.3">
      <c r="A51" s="10">
        <f ca="1">Returns!$A$49</f>
        <v>45852</v>
      </c>
      <c r="B51" s="27">
        <f ca="1">IF($A51="","",Returns!$J$49)</f>
        <v>-1.6184697884331269E-2</v>
      </c>
      <c r="C51" s="60">
        <f t="shared" ca="1" si="8"/>
        <v>102.85350329182225</v>
      </c>
      <c r="D51" s="60">
        <f ca="1">IF($A51="","",MAX($C$7:C51))</f>
        <v>107.21327026944009</v>
      </c>
      <c r="E51" s="26">
        <f t="shared" ca="1" si="9"/>
        <v>-4.0664434231520108E-2</v>
      </c>
      <c r="F51" s="27">
        <f ca="1">IF($A51="","",Returns!$I$49)</f>
        <v>-1.4885335327372573E-2</v>
      </c>
      <c r="G51" s="60">
        <f t="shared" ca="1" si="10"/>
        <v>100.58509002237489</v>
      </c>
      <c r="H51" s="60">
        <f ca="1">IF($A51="","",MAX($G$7:G51))</f>
        <v>104.0208304924473</v>
      </c>
      <c r="I51" s="26">
        <f t="shared" ca="1" si="11"/>
        <v>-3.3029350504194199E-2</v>
      </c>
      <c r="J51" s="59" t="str">
        <f t="shared" ca="1" si="12"/>
        <v>Jul-25</v>
      </c>
      <c r="K51" s="3"/>
      <c r="L51" t="str">
        <f t="shared" ca="1" si="0"/>
        <v>Jul-25</v>
      </c>
      <c r="M51" s="132">
        <f t="shared" ca="1" si="1"/>
        <v>102.85350329182225</v>
      </c>
      <c r="N51" s="132">
        <f t="shared" ca="1" si="2"/>
        <v>100.58509002237489</v>
      </c>
      <c r="P51" t="str">
        <f t="shared" ca="1" si="3"/>
        <v>Jul-25</v>
      </c>
      <c r="Q51" s="133">
        <f t="shared" ca="1" si="4"/>
        <v>-4.0664434231520108E-2</v>
      </c>
      <c r="R51" s="133">
        <f t="shared" ca="1" si="5"/>
        <v>-3.3029350504194199E-2</v>
      </c>
      <c r="T51" t="str">
        <f t="shared" ca="1" si="6"/>
        <v>Jul-25</v>
      </c>
      <c r="U51" s="134">
        <f t="shared" ca="1" si="7"/>
        <v>1028535.0329182226</v>
      </c>
    </row>
    <row r="52" spans="1:21" x14ac:dyDescent="0.3">
      <c r="A52" s="10">
        <f ca="1">Returns!$A$50</f>
        <v>45859</v>
      </c>
      <c r="B52" s="27">
        <f ca="1">IF($A52="","",Returns!$J$50)</f>
        <v>-6.6025011724422881E-3</v>
      </c>
      <c r="C52" s="60">
        <f t="shared" ca="1" si="8"/>
        <v>102.17441291574819</v>
      </c>
      <c r="D52" s="60">
        <f ca="1">IF($A52="","",MAX($C$7:C52))</f>
        <v>107.21327026944009</v>
      </c>
      <c r="E52" s="26">
        <f t="shared" ca="1" si="9"/>
        <v>-4.6998448429272144E-2</v>
      </c>
      <c r="F52" s="27">
        <f ca="1">IF($A52="","",Returns!$I$50)</f>
        <v>3.3483521201849165E-4</v>
      </c>
      <c r="G52" s="60">
        <f t="shared" ca="1" si="10"/>
        <v>100.61876945231843</v>
      </c>
      <c r="H52" s="60">
        <f ca="1">IF($A52="","",MAX($G$7:G52))</f>
        <v>104.0208304924473</v>
      </c>
      <c r="I52" s="26">
        <f t="shared" ca="1" si="11"/>
        <v>-3.2705574681754612E-2</v>
      </c>
      <c r="J52" s="59" t="str">
        <f t="shared" ca="1" si="12"/>
        <v>Jul-25</v>
      </c>
      <c r="K52" s="3"/>
      <c r="L52" t="str">
        <f t="shared" ca="1" si="0"/>
        <v>Jul-25</v>
      </c>
      <c r="M52" s="132">
        <f t="shared" ca="1" si="1"/>
        <v>102.17441291574819</v>
      </c>
      <c r="N52" s="132">
        <f t="shared" ca="1" si="2"/>
        <v>100.61876945231843</v>
      </c>
      <c r="P52" t="str">
        <f t="shared" ca="1" si="3"/>
        <v>Jul-25</v>
      </c>
      <c r="Q52" s="133">
        <f t="shared" ca="1" si="4"/>
        <v>-4.6998448429272144E-2</v>
      </c>
      <c r="R52" s="133">
        <f t="shared" ca="1" si="5"/>
        <v>-3.2705574681754612E-2</v>
      </c>
      <c r="T52" t="str">
        <f t="shared" ca="1" si="6"/>
        <v>Jul-25</v>
      </c>
      <c r="U52" s="134">
        <f t="shared" ca="1" si="7"/>
        <v>1021744.1291574819</v>
      </c>
    </row>
    <row r="53" spans="1:21" x14ac:dyDescent="0.3">
      <c r="A53" s="10">
        <f ca="1">Returns!$A$51</f>
        <v>45866</v>
      </c>
      <c r="B53" s="27">
        <f ca="1">IF($A53="","",Returns!$J$51)</f>
        <v>-2.9776015911633803E-3</v>
      </c>
      <c r="C53" s="60">
        <f t="shared" ca="1" si="8"/>
        <v>101.87017822127407</v>
      </c>
      <c r="D53" s="60">
        <f ca="1">IF($A53="","",MAX($C$7:C53))</f>
        <v>107.21327026944009</v>
      </c>
      <c r="E53" s="26">
        <f t="shared" ca="1" si="9"/>
        <v>-4.9836107365610283E-2</v>
      </c>
      <c r="F53" s="27">
        <f ca="1">IF($A53="","",Returns!$I$51)</f>
        <v>-1.633269860485842E-2</v>
      </c>
      <c r="G53" s="60">
        <f t="shared" ca="1" si="10"/>
        <v>98.975393416861976</v>
      </c>
      <c r="H53" s="60">
        <f ca="1">IF($A53="","",MAX($G$7:G53))</f>
        <v>104.0208304924473</v>
      </c>
      <c r="I53" s="26">
        <f t="shared" ca="1" si="11"/>
        <v>-4.8504102992637299E-2</v>
      </c>
      <c r="J53" s="59" t="str">
        <f t="shared" ca="1" si="12"/>
        <v>Jul-25</v>
      </c>
      <c r="K53" s="3"/>
      <c r="L53" t="str">
        <f t="shared" ca="1" si="0"/>
        <v>Jul-25</v>
      </c>
      <c r="M53" s="132">
        <f t="shared" ca="1" si="1"/>
        <v>101.87017822127407</v>
      </c>
      <c r="N53" s="132">
        <f t="shared" ca="1" si="2"/>
        <v>98.975393416861976</v>
      </c>
      <c r="P53" t="str">
        <f t="shared" ca="1" si="3"/>
        <v>Jul-25</v>
      </c>
      <c r="Q53" s="133">
        <f t="shared" ca="1" si="4"/>
        <v>-4.9836107365610283E-2</v>
      </c>
      <c r="R53" s="133">
        <f t="shared" ca="1" si="5"/>
        <v>-4.8504102992637299E-2</v>
      </c>
      <c r="T53" t="str">
        <f t="shared" ca="1" si="6"/>
        <v>Jul-25</v>
      </c>
      <c r="U53" s="134">
        <f t="shared" ca="1" si="7"/>
        <v>1018701.7822127407</v>
      </c>
    </row>
    <row r="54" spans="1:21" x14ac:dyDescent="0.3">
      <c r="A54" s="10">
        <f ca="1">Returns!$A$52</f>
        <v>45873</v>
      </c>
      <c r="B54" s="27">
        <f ca="1">IF($A54="","",Returns!$J$52)</f>
        <v>-5.4762404317212519E-3</v>
      </c>
      <c r="C54" s="60">
        <f t="shared" ca="1" si="8"/>
        <v>101.31231263251209</v>
      </c>
      <c r="D54" s="60">
        <f ca="1">IF($A54="","",MAX($C$7:C54))</f>
        <v>107.21327026944009</v>
      </c>
      <c r="E54" s="26">
        <f t="shared" ca="1" si="9"/>
        <v>-5.5039433291216411E-2</v>
      </c>
      <c r="F54" s="27">
        <f ca="1">IF($A54="","",Returns!$I$52)</f>
        <v>1.6956273358201823E-3</v>
      </c>
      <c r="G54" s="60">
        <f t="shared" ca="1" si="10"/>
        <v>99.143218799513164</v>
      </c>
      <c r="H54" s="60">
        <f ca="1">IF($A54="","",MAX($G$7:G54))</f>
        <v>104.0208304924473</v>
      </c>
      <c r="I54" s="26">
        <f t="shared" ca="1" si="11"/>
        <v>-4.6890720539750852E-2</v>
      </c>
      <c r="J54" s="59" t="str">
        <f t="shared" ca="1" si="12"/>
        <v>Aug-25</v>
      </c>
      <c r="K54" s="3"/>
      <c r="L54" t="str">
        <f t="shared" ca="1" si="0"/>
        <v>Aug-25</v>
      </c>
      <c r="M54" s="132">
        <f t="shared" ca="1" si="1"/>
        <v>101.31231263251209</v>
      </c>
      <c r="N54" s="132">
        <f t="shared" ca="1" si="2"/>
        <v>99.143218799513164</v>
      </c>
      <c r="P54" t="str">
        <f t="shared" ca="1" si="3"/>
        <v>Aug-25</v>
      </c>
      <c r="Q54" s="133">
        <f t="shared" ca="1" si="4"/>
        <v>-5.5039433291216411E-2</v>
      </c>
      <c r="R54" s="133">
        <f t="shared" ca="1" si="5"/>
        <v>-4.6890720539750852E-2</v>
      </c>
      <c r="T54" t="str">
        <f t="shared" ca="1" si="6"/>
        <v>Aug-25</v>
      </c>
      <c r="U54" s="134">
        <f t="shared" ca="1" si="7"/>
        <v>1013123.1263251209</v>
      </c>
    </row>
    <row r="55" spans="1:21" x14ac:dyDescent="0.3">
      <c r="A55" s="10">
        <f ca="1">Returns!$A$53</f>
        <v>45880</v>
      </c>
      <c r="B55" s="27">
        <f ca="1">IF($A55="","",Returns!$J$53)</f>
        <v>1.6709485356757571E-2</v>
      </c>
      <c r="C55" s="60">
        <f t="shared" ca="1" si="8"/>
        <v>103.00518923690429</v>
      </c>
      <c r="D55" s="60">
        <f ca="1">IF($A55="","",MAX($C$7:C55))</f>
        <v>107.21327026944009</v>
      </c>
      <c r="E55" s="26">
        <f t="shared" ca="1" si="9"/>
        <v>-3.9249628539082648E-2</v>
      </c>
      <c r="F55" s="27">
        <f ca="1">IF($A55="","",Returns!$I$53)</f>
        <v>-5.5697371348252256E-3</v>
      </c>
      <c r="G55" s="60">
        <f t="shared" ca="1" si="10"/>
        <v>98.59101713209941</v>
      </c>
      <c r="H55" s="60">
        <f ca="1">IF($A55="","",MAX($G$7:G55))</f>
        <v>104.0208304924473</v>
      </c>
      <c r="I55" s="26">
        <f t="shared" ca="1" si="11"/>
        <v>-5.2199288687107104E-2</v>
      </c>
      <c r="J55" s="59" t="str">
        <f t="shared" ca="1" si="12"/>
        <v>Aug-25</v>
      </c>
      <c r="K55" s="3"/>
      <c r="L55" t="str">
        <f t="shared" ca="1" si="0"/>
        <v>Aug-25</v>
      </c>
      <c r="M55" s="132">
        <f t="shared" ca="1" si="1"/>
        <v>103.00518923690429</v>
      </c>
      <c r="N55" s="132">
        <f t="shared" ca="1" si="2"/>
        <v>98.59101713209941</v>
      </c>
      <c r="P55" t="str">
        <f t="shared" ca="1" si="3"/>
        <v>Aug-25</v>
      </c>
      <c r="Q55" s="133">
        <f t="shared" ca="1" si="4"/>
        <v>-3.9249628539082648E-2</v>
      </c>
      <c r="R55" s="133">
        <f t="shared" ca="1" si="5"/>
        <v>-5.2199288687107104E-2</v>
      </c>
      <c r="T55" t="str">
        <f t="shared" ca="1" si="6"/>
        <v>Aug-25</v>
      </c>
      <c r="U55" s="134">
        <f t="shared" ca="1" si="7"/>
        <v>1030051.892369043</v>
      </c>
    </row>
    <row r="56" spans="1:21" x14ac:dyDescent="0.3">
      <c r="A56" s="10">
        <f ca="1">Returns!$A$54</f>
        <v>45887</v>
      </c>
      <c r="B56" s="27">
        <f ca="1">IF($A56="","",Returns!$J$54)</f>
        <v>1.9499312218958335E-2</v>
      </c>
      <c r="C56" s="60">
        <f t="shared" ca="1" si="8"/>
        <v>105.01371958200758</v>
      </c>
      <c r="D56" s="60">
        <f ca="1">IF($A56="","",MAX($C$7:C56))</f>
        <v>107.21327026944009</v>
      </c>
      <c r="E56" s="26">
        <f t="shared" ca="1" si="9"/>
        <v>-2.051565708148595E-2</v>
      </c>
      <c r="F56" s="27">
        <f ca="1">IF($A56="","",Returns!$I$54)</f>
        <v>1.1873005270447434E-2</v>
      </c>
      <c r="G56" s="60">
        <f t="shared" ca="1" si="10"/>
        <v>99.761588798127605</v>
      </c>
      <c r="H56" s="60">
        <f ca="1">IF($A56="","",MAX($G$7:G56))</f>
        <v>104.0208304924473</v>
      </c>
      <c r="I56" s="26">
        <f t="shared" ca="1" si="11"/>
        <v>-4.0946045846355306E-2</v>
      </c>
      <c r="J56" s="59" t="str">
        <f t="shared" ca="1" si="12"/>
        <v>Aug-25</v>
      </c>
      <c r="K56" s="3"/>
      <c r="L56" t="str">
        <f t="shared" ca="1" si="0"/>
        <v>Aug-25</v>
      </c>
      <c r="M56" s="132">
        <f t="shared" ca="1" si="1"/>
        <v>105.01371958200758</v>
      </c>
      <c r="N56" s="132">
        <f t="shared" ca="1" si="2"/>
        <v>99.761588798127605</v>
      </c>
      <c r="P56" t="str">
        <f t="shared" ca="1" si="3"/>
        <v>Aug-25</v>
      </c>
      <c r="Q56" s="133">
        <f t="shared" ca="1" si="4"/>
        <v>-2.051565708148595E-2</v>
      </c>
      <c r="R56" s="133">
        <f t="shared" ca="1" si="5"/>
        <v>-4.0946045846355306E-2</v>
      </c>
      <c r="T56" t="str">
        <f t="shared" ca="1" si="6"/>
        <v>Aug-25</v>
      </c>
      <c r="U56" s="134">
        <f t="shared" ca="1" si="7"/>
        <v>1050137.1958200759</v>
      </c>
    </row>
    <row r="57" spans="1:21" x14ac:dyDescent="0.3">
      <c r="A57" s="10">
        <f ca="1">Returns!$A$55</f>
        <v>45894</v>
      </c>
      <c r="B57" s="27">
        <f ca="1">IF($A57="","",Returns!$J$55)</f>
        <v>-1.3690835510655877E-2</v>
      </c>
      <c r="C57" s="60">
        <f t="shared" ca="1" si="8"/>
        <v>103.57599402084817</v>
      </c>
      <c r="D57" s="60">
        <f ca="1">IF($A57="","",MAX($C$7:C57))</f>
        <v>107.21327026944009</v>
      </c>
      <c r="E57" s="26">
        <f t="shared" ca="1" si="9"/>
        <v>-3.3925616105646261E-2</v>
      </c>
      <c r="F57" s="27">
        <f ca="1">IF($A57="","",Returns!$I$55)</f>
        <v>3.6499966475616041E-3</v>
      </c>
      <c r="G57" s="60">
        <f t="shared" ca="1" si="10"/>
        <v>100.12571826279618</v>
      </c>
      <c r="H57" s="60">
        <f ca="1">IF($A57="","",MAX($G$7:G57))</f>
        <v>104.0208304924473</v>
      </c>
      <c r="I57" s="26">
        <f t="shared" ca="1" si="11"/>
        <v>-3.7445502128863772E-2</v>
      </c>
      <c r="J57" s="59" t="str">
        <f t="shared" ca="1" si="12"/>
        <v>Aug-25</v>
      </c>
      <c r="K57" s="3"/>
      <c r="L57" t="str">
        <f t="shared" ca="1" si="0"/>
        <v>Aug-25</v>
      </c>
      <c r="M57" s="132">
        <f t="shared" ca="1" si="1"/>
        <v>103.57599402084817</v>
      </c>
      <c r="N57" s="132">
        <f t="shared" ca="1" si="2"/>
        <v>100.12571826279618</v>
      </c>
      <c r="P57" t="str">
        <f t="shared" ca="1" si="3"/>
        <v>Aug-25</v>
      </c>
      <c r="Q57" s="133">
        <f t="shared" ca="1" si="4"/>
        <v>-3.3925616105646261E-2</v>
      </c>
      <c r="R57" s="133">
        <f t="shared" ca="1" si="5"/>
        <v>-3.7445502128863772E-2</v>
      </c>
      <c r="T57" t="str">
        <f t="shared" ca="1" si="6"/>
        <v>Aug-25</v>
      </c>
      <c r="U57" s="134">
        <f t="shared" ca="1" si="7"/>
        <v>1035759.9402084817</v>
      </c>
    </row>
    <row r="58" spans="1:21" x14ac:dyDescent="0.3">
      <c r="A58" s="10">
        <f ca="1">Returns!$A$56</f>
        <v>45901</v>
      </c>
      <c r="B58" s="27">
        <f ca="1">IF($A58="","",Returns!$J$56)</f>
        <v>-5.3907876484530787E-4</v>
      </c>
      <c r="C58" s="60">
        <f t="shared" ca="1" si="8"/>
        <v>103.52015840192379</v>
      </c>
      <c r="D58" s="60">
        <f ca="1">IF($A58="","",MAX($C$7:C58))</f>
        <v>107.21327026944009</v>
      </c>
      <c r="E58" s="26">
        <f t="shared" ca="1" si="9"/>
        <v>-3.4446406291264609E-2</v>
      </c>
      <c r="F58" s="27">
        <f ca="1">IF($A58="","",Returns!$I$56)</f>
        <v>-1.3725674870583071E-2</v>
      </c>
      <c r="G58" s="60">
        <f t="shared" ca="1" si="10"/>
        <v>98.751425207737441</v>
      </c>
      <c r="H58" s="60">
        <f ca="1">IF($A58="","",MAX($G$7:G58))</f>
        <v>104.0208304924473</v>
      </c>
      <c r="I58" s="26">
        <f t="shared" ca="1" si="11"/>
        <v>-5.065721221186037E-2</v>
      </c>
      <c r="J58" s="59" t="str">
        <f t="shared" ca="1" si="12"/>
        <v>Sep-25</v>
      </c>
      <c r="K58" s="3"/>
      <c r="L58" t="str">
        <f t="shared" ca="1" si="0"/>
        <v>Sep-25</v>
      </c>
      <c r="M58" s="132">
        <f t="shared" ca="1" si="1"/>
        <v>103.52015840192379</v>
      </c>
      <c r="N58" s="132">
        <f t="shared" ca="1" si="2"/>
        <v>98.751425207737441</v>
      </c>
      <c r="P58" t="str">
        <f t="shared" ca="1" si="3"/>
        <v>Sep-25</v>
      </c>
      <c r="Q58" s="133">
        <f t="shared" ca="1" si="4"/>
        <v>-3.4446406291264609E-2</v>
      </c>
      <c r="R58" s="133">
        <f t="shared" ca="1" si="5"/>
        <v>-5.065721221186037E-2</v>
      </c>
      <c r="T58" t="str">
        <f t="shared" ca="1" si="6"/>
        <v>Sep-25</v>
      </c>
      <c r="U58" s="134">
        <f t="shared" ca="1" si="7"/>
        <v>1035201.5840192379</v>
      </c>
    </row>
    <row r="59" spans="1:21" x14ac:dyDescent="0.3">
      <c r="A59" s="10">
        <f ca="1">Returns!$A$57</f>
        <v>45908</v>
      </c>
      <c r="B59" s="27">
        <f ca="1">IF($A59="","",Returns!$J$57)</f>
        <v>1.3721646766554107E-2</v>
      </c>
      <c r="C59" s="60">
        <f t="shared" ca="1" si="8"/>
        <v>104.94062544873273</v>
      </c>
      <c r="D59" s="60">
        <f ca="1">IF($A59="","",MAX($C$7:C59))</f>
        <v>107.21327026944009</v>
      </c>
      <c r="E59" s="26">
        <f t="shared" ca="1" si="9"/>
        <v>-2.1197420944216283E-2</v>
      </c>
      <c r="F59" s="27">
        <f ca="1">IF($A59="","",Returns!$I$57)</f>
        <v>6.0141849326769137E-3</v>
      </c>
      <c r="G59" s="60">
        <f t="shared" ca="1" si="10"/>
        <v>99.345334541302194</v>
      </c>
      <c r="H59" s="60">
        <f ca="1">IF($A59="","",MAX($G$7:G59))</f>
        <v>104.0208304924473</v>
      </c>
      <c r="I59" s="26">
        <f t="shared" ca="1" si="11"/>
        <v>-4.494768912159941E-2</v>
      </c>
      <c r="J59" s="59" t="str">
        <f t="shared" ca="1" si="12"/>
        <v>Sep-25</v>
      </c>
      <c r="K59" s="3"/>
      <c r="L59" t="str">
        <f t="shared" ca="1" si="0"/>
        <v>Sep-25</v>
      </c>
      <c r="M59" s="132">
        <f t="shared" ca="1" si="1"/>
        <v>104.94062544873273</v>
      </c>
      <c r="N59" s="132">
        <f t="shared" ca="1" si="2"/>
        <v>99.345334541302194</v>
      </c>
      <c r="P59" t="str">
        <f t="shared" ca="1" si="3"/>
        <v>Sep-25</v>
      </c>
      <c r="Q59" s="133">
        <f t="shared" ca="1" si="4"/>
        <v>-2.1197420944216283E-2</v>
      </c>
      <c r="R59" s="133">
        <f t="shared" ca="1" si="5"/>
        <v>-4.494768912159941E-2</v>
      </c>
      <c r="T59" t="str">
        <f t="shared" ca="1" si="6"/>
        <v>Sep-25</v>
      </c>
      <c r="U59" s="134">
        <f t="shared" ca="1" si="7"/>
        <v>1049406.2544873273</v>
      </c>
    </row>
    <row r="60" spans="1:21" x14ac:dyDescent="0.3">
      <c r="A60" s="10">
        <f ca="1">Returns!$A$58</f>
        <v>45915</v>
      </c>
      <c r="B60" s="27">
        <f ca="1">IF($A60="","",Returns!$J$58)</f>
        <v>1.4760048258128931E-2</v>
      </c>
      <c r="C60" s="60">
        <f t="shared" ca="1" si="8"/>
        <v>106.48955414459427</v>
      </c>
      <c r="D60" s="60">
        <f ca="1">IF($A60="","",MAX($C$7:C60))</f>
        <v>107.21327026944009</v>
      </c>
      <c r="E60" s="26">
        <f t="shared" ca="1" si="9"/>
        <v>-6.7502476421719138E-3</v>
      </c>
      <c r="F60" s="27">
        <f ca="1">IF($A60="","",Returns!$I$58)</f>
        <v>1.195039078425153E-2</v>
      </c>
      <c r="G60" s="60">
        <f t="shared" ca="1" si="10"/>
        <v>100.53255011166296</v>
      </c>
      <c r="H60" s="60">
        <f ca="1">IF($A60="","",MAX($G$7:G60))</f>
        <v>104.0208304924473</v>
      </c>
      <c r="I60" s="26">
        <f t="shared" ca="1" si="11"/>
        <v>-3.3534440787200026E-2</v>
      </c>
      <c r="J60" s="59" t="str">
        <f t="shared" ca="1" si="12"/>
        <v>Sep-25</v>
      </c>
      <c r="K60" s="3"/>
      <c r="L60" t="str">
        <f t="shared" ca="1" si="0"/>
        <v>Sep-25</v>
      </c>
      <c r="M60" s="132">
        <f t="shared" ca="1" si="1"/>
        <v>106.48955414459427</v>
      </c>
      <c r="N60" s="132">
        <f t="shared" ca="1" si="2"/>
        <v>100.53255011166296</v>
      </c>
      <c r="P60" t="str">
        <f t="shared" ca="1" si="3"/>
        <v>Sep-25</v>
      </c>
      <c r="Q60" s="133">
        <f t="shared" ca="1" si="4"/>
        <v>-6.7502476421719138E-3</v>
      </c>
      <c r="R60" s="133">
        <f t="shared" ca="1" si="5"/>
        <v>-3.3534440787200026E-2</v>
      </c>
      <c r="T60" t="str">
        <f t="shared" ca="1" si="6"/>
        <v>Sep-25</v>
      </c>
      <c r="U60" s="134">
        <f t="shared" ca="1" si="7"/>
        <v>1064895.5414459426</v>
      </c>
    </row>
    <row r="61" spans="1:21" x14ac:dyDescent="0.3">
      <c r="A61" s="10">
        <f ca="1">Returns!$A$59</f>
        <v>45922</v>
      </c>
      <c r="B61" s="27">
        <f ca="1">IF($A61="","",Returns!$J$59)</f>
        <v>-1.6747730486575456E-2</v>
      </c>
      <c r="C61" s="60">
        <f t="shared" ca="1" si="8"/>
        <v>104.70609579214502</v>
      </c>
      <c r="D61" s="60">
        <f ca="1">IF($A61="","",MAX($C$7:C61))</f>
        <v>107.21327026944009</v>
      </c>
      <c r="E61" s="26">
        <f t="shared" ca="1" si="9"/>
        <v>-2.3384926800518513E-2</v>
      </c>
      <c r="F61" s="27">
        <f ca="1">IF($A61="","",Returns!$I$59)</f>
        <v>5.3113140736227304E-3</v>
      </c>
      <c r="G61" s="60">
        <f t="shared" ca="1" si="10"/>
        <v>101.06651005992822</v>
      </c>
      <c r="H61" s="60">
        <f ca="1">IF($A61="","",MAX($G$7:G61))</f>
        <v>104.0208304924473</v>
      </c>
      <c r="I61" s="26">
        <f t="shared" ca="1" si="11"/>
        <v>-2.84012386608814E-2</v>
      </c>
      <c r="J61" s="59" t="str">
        <f t="shared" ca="1" si="12"/>
        <v>Sep-25</v>
      </c>
      <c r="K61" s="3"/>
      <c r="L61" t="str">
        <f t="shared" ca="1" si="0"/>
        <v>Sep-25</v>
      </c>
      <c r="M61" s="132">
        <f t="shared" ca="1" si="1"/>
        <v>104.70609579214502</v>
      </c>
      <c r="N61" s="132">
        <f t="shared" ca="1" si="2"/>
        <v>101.06651005992822</v>
      </c>
      <c r="P61" t="str">
        <f t="shared" ca="1" si="3"/>
        <v>Sep-25</v>
      </c>
      <c r="Q61" s="133">
        <f t="shared" ca="1" si="4"/>
        <v>-2.3384926800518513E-2</v>
      </c>
      <c r="R61" s="133">
        <f t="shared" ca="1" si="5"/>
        <v>-2.84012386608814E-2</v>
      </c>
      <c r="T61" t="str">
        <f t="shared" ca="1" si="6"/>
        <v>Sep-25</v>
      </c>
      <c r="U61" s="134">
        <f t="shared" ca="1" si="7"/>
        <v>1047060.9579214501</v>
      </c>
    </row>
    <row r="62" spans="1:21" x14ac:dyDescent="0.3">
      <c r="A62" s="10">
        <f ca="1">Returns!$A$60</f>
        <v>45929</v>
      </c>
      <c r="B62" s="27">
        <f ca="1">IF($A62="","",Returns!$J$60)</f>
        <v>-2.791087391799413E-3</v>
      </c>
      <c r="C62" s="60">
        <f t="shared" ca="1" si="8"/>
        <v>104.41385192833502</v>
      </c>
      <c r="D62" s="60">
        <f ca="1">IF($A62="","",MAX($C$7:C62))</f>
        <v>107.21327026944009</v>
      </c>
      <c r="E62" s="26">
        <f t="shared" ca="1" si="9"/>
        <v>-2.6110744817966935E-2</v>
      </c>
      <c r="F62" s="27">
        <f ca="1">IF($A62="","",Returns!$I$60)</f>
        <v>-2.2515726809016035E-2</v>
      </c>
      <c r="G62" s="60">
        <f t="shared" ca="1" si="10"/>
        <v>98.790924129878206</v>
      </c>
      <c r="H62" s="60">
        <f ca="1">IF($A62="","",MAX($G$7:G62))</f>
        <v>104.0208304924473</v>
      </c>
      <c r="I62" s="26">
        <f t="shared" ca="1" si="11"/>
        <v>-5.0277490939171332E-2</v>
      </c>
      <c r="J62" s="59" t="str">
        <f t="shared" ca="1" si="12"/>
        <v>Sep-25</v>
      </c>
      <c r="K62" s="3"/>
      <c r="L62" t="str">
        <f t="shared" ca="1" si="0"/>
        <v>Sep-25</v>
      </c>
      <c r="M62" s="132">
        <f t="shared" ca="1" si="1"/>
        <v>104.41385192833502</v>
      </c>
      <c r="N62" s="132">
        <f t="shared" ca="1" si="2"/>
        <v>98.790924129878206</v>
      </c>
      <c r="P62" t="str">
        <f t="shared" ca="1" si="3"/>
        <v>Sep-25</v>
      </c>
      <c r="Q62" s="133">
        <f t="shared" ca="1" si="4"/>
        <v>-2.6110744817966935E-2</v>
      </c>
      <c r="R62" s="133">
        <f t="shared" ca="1" si="5"/>
        <v>-5.0277490939171332E-2</v>
      </c>
      <c r="T62" t="str">
        <f t="shared" ca="1" si="6"/>
        <v>Sep-25</v>
      </c>
      <c r="U62" s="134">
        <f t="shared" ca="1" si="7"/>
        <v>1044138.5192833502</v>
      </c>
    </row>
    <row r="63" spans="1:21" x14ac:dyDescent="0.3">
      <c r="A63" s="10">
        <f ca="1">Returns!$A$61</f>
        <v>45936</v>
      </c>
      <c r="B63" s="27">
        <f ca="1">IF($A63="","",Returns!$J$61)</f>
        <v>2.4419607091792868E-2</v>
      </c>
      <c r="C63" s="60">
        <f t="shared" ca="1" si="8"/>
        <v>106.96359716736559</v>
      </c>
      <c r="D63" s="60">
        <f ca="1">IF($A63="","",MAX($C$7:C63))</f>
        <v>107.21327026944009</v>
      </c>
      <c r="E63" s="26">
        <f t="shared" ca="1" si="9"/>
        <v>-2.328751855502964E-3</v>
      </c>
      <c r="F63" s="27">
        <f ca="1">IF($A63="","",Returns!$I$61)</f>
        <v>1.7972469666185154E-2</v>
      </c>
      <c r="G63" s="60">
        <f t="shared" ca="1" si="10"/>
        <v>100.56644101709684</v>
      </c>
      <c r="H63" s="60">
        <f ca="1">IF($A63="","",MAX($G$7:G63))</f>
        <v>104.0208304924473</v>
      </c>
      <c r="I63" s="26">
        <f t="shared" ca="1" si="11"/>
        <v>-3.320863195378243E-2</v>
      </c>
      <c r="J63" s="59" t="str">
        <f t="shared" ca="1" si="12"/>
        <v>Oct-25</v>
      </c>
      <c r="K63" s="3"/>
      <c r="L63" t="str">
        <f t="shared" ca="1" si="0"/>
        <v>Oct-25</v>
      </c>
      <c r="M63" s="132">
        <f t="shared" ca="1" si="1"/>
        <v>106.96359716736559</v>
      </c>
      <c r="N63" s="132">
        <f t="shared" ca="1" si="2"/>
        <v>100.56644101709684</v>
      </c>
      <c r="P63" t="str">
        <f t="shared" ca="1" si="3"/>
        <v>Oct-25</v>
      </c>
      <c r="Q63" s="133">
        <f t="shared" ca="1" si="4"/>
        <v>-2.328751855502964E-3</v>
      </c>
      <c r="R63" s="133">
        <f t="shared" ca="1" si="5"/>
        <v>-3.320863195378243E-2</v>
      </c>
      <c r="T63" t="str">
        <f t="shared" ca="1" si="6"/>
        <v>Oct-25</v>
      </c>
      <c r="U63" s="134">
        <f t="shared" ca="1" si="7"/>
        <v>1069635.971673656</v>
      </c>
    </row>
    <row r="64" spans="1:21" x14ac:dyDescent="0.3">
      <c r="A64" s="10">
        <f ca="1">Returns!$A$62</f>
        <v>45943</v>
      </c>
      <c r="B64" s="27">
        <f ca="1">IF($A64="","",Returns!$J$62)</f>
        <v>1.8435936221820048E-2</v>
      </c>
      <c r="C64" s="60">
        <f t="shared" ca="1" si="8"/>
        <v>108.9355712227996</v>
      </c>
      <c r="D64" s="60">
        <f ca="1">IF($A64="","",MAX($C$7:C64))</f>
        <v>108.9355712227996</v>
      </c>
      <c r="E64" s="26">
        <f t="shared" ca="1" si="9"/>
        <v>0</v>
      </c>
      <c r="F64" s="27">
        <f ca="1">IF($A64="","",Returns!$I$62)</f>
        <v>5.969427614556988E-3</v>
      </c>
      <c r="G64" s="60">
        <f t="shared" ca="1" si="10"/>
        <v>101.16676510720201</v>
      </c>
      <c r="H64" s="60">
        <f ca="1">IF($A64="","",MAX($G$7:G64))</f>
        <v>104.0208304924473</v>
      </c>
      <c r="I64" s="26">
        <f t="shared" ca="1" si="11"/>
        <v>-2.7437440863851914E-2</v>
      </c>
      <c r="J64" s="59" t="str">
        <f t="shared" ca="1" si="12"/>
        <v>Oct-25</v>
      </c>
      <c r="K64" s="3"/>
      <c r="L64" t="str">
        <f t="shared" ca="1" si="0"/>
        <v>Oct-25</v>
      </c>
      <c r="M64" s="132">
        <f t="shared" ca="1" si="1"/>
        <v>108.9355712227996</v>
      </c>
      <c r="N64" s="132">
        <f t="shared" ca="1" si="2"/>
        <v>101.16676510720201</v>
      </c>
      <c r="P64" t="str">
        <f t="shared" ca="1" si="3"/>
        <v>Oct-25</v>
      </c>
      <c r="Q64" s="133">
        <f t="shared" ca="1" si="4"/>
        <v>0</v>
      </c>
      <c r="R64" s="133">
        <f t="shared" ca="1" si="5"/>
        <v>-2.7437440863851914E-2</v>
      </c>
      <c r="T64" t="str">
        <f t="shared" ca="1" si="6"/>
        <v>Oct-25</v>
      </c>
      <c r="U64" s="134">
        <f t="shared" ca="1" si="7"/>
        <v>1089355.712227996</v>
      </c>
    </row>
    <row r="65" spans="1:21" x14ac:dyDescent="0.3">
      <c r="A65" s="10">
        <f ca="1">Returns!$A$63</f>
        <v>45950</v>
      </c>
      <c r="B65" s="27">
        <f ca="1">IF($A65="","",Returns!$J$63)</f>
        <v>1.0025459678832373E-2</v>
      </c>
      <c r="C65" s="60">
        <f t="shared" ca="1" si="8"/>
        <v>110.02770039968433</v>
      </c>
      <c r="D65" s="60">
        <f ca="1">IF($A65="","",MAX($C$7:C65))</f>
        <v>110.02770039968433</v>
      </c>
      <c r="E65" s="26">
        <f t="shared" ca="1" si="9"/>
        <v>0</v>
      </c>
      <c r="F65" s="27">
        <f ca="1">IF($A65="","",Returns!$I$63)</f>
        <v>2.4410046667017182E-2</v>
      </c>
      <c r="G65" s="60">
        <f t="shared" ca="1" si="10"/>
        <v>103.63625056461997</v>
      </c>
      <c r="H65" s="60">
        <f ca="1">IF($A65="","",MAX($G$7:G65))</f>
        <v>104.0208304924473</v>
      </c>
      <c r="I65" s="26">
        <f t="shared" ca="1" si="11"/>
        <v>-3.6971434087449406E-3</v>
      </c>
      <c r="J65" s="59" t="str">
        <f t="shared" ca="1" si="12"/>
        <v>Oct-25</v>
      </c>
      <c r="K65" s="3"/>
      <c r="L65" t="str">
        <f t="shared" ca="1" si="0"/>
        <v>Oct-25</v>
      </c>
      <c r="M65" s="132">
        <f t="shared" ca="1" si="1"/>
        <v>110.02770039968433</v>
      </c>
      <c r="N65" s="132">
        <f t="shared" ca="1" si="2"/>
        <v>103.63625056461997</v>
      </c>
      <c r="P65" t="str">
        <f t="shared" ca="1" si="3"/>
        <v>Oct-25</v>
      </c>
      <c r="Q65" s="133">
        <f t="shared" ca="1" si="4"/>
        <v>0</v>
      </c>
      <c r="R65" s="133">
        <f t="shared" ca="1" si="5"/>
        <v>-3.6971434087449406E-3</v>
      </c>
      <c r="T65" t="str">
        <f t="shared" ca="1" si="6"/>
        <v>Oct-25</v>
      </c>
      <c r="U65" s="134">
        <f t="shared" ca="1" si="7"/>
        <v>1100277.0039968435</v>
      </c>
    </row>
    <row r="66" spans="1:21" x14ac:dyDescent="0.3">
      <c r="A66" s="10">
        <f ca="1">Returns!$A$64</f>
        <v>45957</v>
      </c>
      <c r="B66" s="27">
        <f ca="1">IF($A66="","",Returns!$J$64)</f>
        <v>4.8732901359942451E-3</v>
      </c>
      <c r="C66" s="60">
        <f t="shared" ca="1" si="8"/>
        <v>110.56389730672825</v>
      </c>
      <c r="D66" s="60">
        <f ca="1">IF($A66="","",MAX($C$7:C66))</f>
        <v>110.56389730672825</v>
      </c>
      <c r="E66" s="26">
        <f t="shared" ca="1" si="9"/>
        <v>0</v>
      </c>
      <c r="F66" s="27">
        <f ca="1">IF($A66="","",Returns!$I$64)</f>
        <v>4.7556272655358001E-3</v>
      </c>
      <c r="G66" s="60">
        <f t="shared" ca="1" si="10"/>
        <v>104.12910594350298</v>
      </c>
      <c r="H66" s="60">
        <f ca="1">IF($A66="","",MAX($G$7:G66))</f>
        <v>104.12910594350298</v>
      </c>
      <c r="I66" s="26">
        <f t="shared" ca="1" si="11"/>
        <v>0</v>
      </c>
      <c r="J66" s="59" t="str">
        <f t="shared" ca="1" si="12"/>
        <v>Oct-25</v>
      </c>
      <c r="K66" s="3"/>
      <c r="L66" t="str">
        <f t="shared" ca="1" si="0"/>
        <v>Oct-25</v>
      </c>
      <c r="M66" s="132">
        <f t="shared" ca="1" si="1"/>
        <v>110.56389730672825</v>
      </c>
      <c r="N66" s="132">
        <f t="shared" ca="1" si="2"/>
        <v>104.12910594350298</v>
      </c>
      <c r="P66" t="str">
        <f t="shared" ca="1" si="3"/>
        <v>Oct-25</v>
      </c>
      <c r="Q66" s="133">
        <f t="shared" ca="1" si="4"/>
        <v>0</v>
      </c>
      <c r="R66" s="133">
        <f t="shared" ca="1" si="5"/>
        <v>0</v>
      </c>
      <c r="T66" t="str">
        <f t="shared" ca="1" si="6"/>
        <v>Oct-25</v>
      </c>
      <c r="U66" s="134">
        <f t="shared" ca="1" si="7"/>
        <v>1105638.9730672825</v>
      </c>
    </row>
    <row r="67" spans="1:21" x14ac:dyDescent="0.3">
      <c r="A67" s="10">
        <f ca="1">Returns!$A$65</f>
        <v>45964</v>
      </c>
      <c r="B67" s="27">
        <f ca="1">IF($A67="","",Returns!$J$65)</f>
        <v>-1.7693940017564306E-2</v>
      </c>
      <c r="C67" s="60">
        <f t="shared" ca="1" si="8"/>
        <v>108.60758633967487</v>
      </c>
      <c r="D67" s="60">
        <f ca="1">IF($A67="","",MAX($C$7:C67))</f>
        <v>110.56389730672825</v>
      </c>
      <c r="E67" s="26">
        <f t="shared" ca="1" si="9"/>
        <v>-1.7693940017564302E-2</v>
      </c>
      <c r="F67" s="27">
        <f ca="1">IF($A67="","",Returns!$I$65)</f>
        <v>-7.8063920302184897E-3</v>
      </c>
      <c r="G67" s="60">
        <f t="shared" ca="1" si="10"/>
        <v>103.31623332075183</v>
      </c>
      <c r="H67" s="60">
        <f ca="1">IF($A67="","",MAX($G$7:G67))</f>
        <v>104.12910594350298</v>
      </c>
      <c r="I67" s="26">
        <f t="shared" ca="1" si="11"/>
        <v>-7.8063920302184897E-3</v>
      </c>
      <c r="J67" s="59" t="str">
        <f t="shared" ca="1" si="12"/>
        <v>Nov-25</v>
      </c>
      <c r="K67" s="3"/>
      <c r="L67" t="str">
        <f t="shared" ca="1" si="0"/>
        <v>Nov-25</v>
      </c>
      <c r="M67" s="132">
        <f t="shared" ca="1" si="1"/>
        <v>108.60758633967487</v>
      </c>
      <c r="N67" s="132">
        <f t="shared" ca="1" si="2"/>
        <v>103.31623332075183</v>
      </c>
      <c r="P67" t="str">
        <f t="shared" ca="1" si="3"/>
        <v>Nov-25</v>
      </c>
      <c r="Q67" s="133">
        <f t="shared" ca="1" si="4"/>
        <v>-1.7693940017564302E-2</v>
      </c>
      <c r="R67" s="133">
        <f t="shared" ca="1" si="5"/>
        <v>-7.8063920302184897E-3</v>
      </c>
      <c r="T67" t="str">
        <f t="shared" ca="1" si="6"/>
        <v>Nov-25</v>
      </c>
      <c r="U67" s="134">
        <f t="shared" ca="1" si="7"/>
        <v>1086075.8633967487</v>
      </c>
    </row>
    <row r="68" spans="1:21" x14ac:dyDescent="0.3">
      <c r="A68" s="10">
        <f ca="1">Returns!$A$66</f>
        <v>45971</v>
      </c>
      <c r="B68" s="27">
        <f ca="1">IF($A68="","",Returns!$J$66)</f>
        <v>2.7917877111492143E-2</v>
      </c>
      <c r="C68" s="60">
        <f t="shared" ca="1" si="8"/>
        <v>111.63967958848167</v>
      </c>
      <c r="D68" s="60">
        <f ca="1">IF($A68="","",MAX($C$7:C68))</f>
        <v>111.63967958848167</v>
      </c>
      <c r="E68" s="26">
        <f t="shared" ca="1" si="9"/>
        <v>0</v>
      </c>
      <c r="F68" s="27">
        <f ca="1">IF($A68="","",Returns!$I$66)</f>
        <v>-7.3360026109037246E-3</v>
      </c>
      <c r="G68" s="60">
        <f t="shared" ca="1" si="10"/>
        <v>102.55830516336206</v>
      </c>
      <c r="H68" s="60">
        <f ca="1">IF($A68="","",MAX($G$7:G68))</f>
        <v>104.12910594350298</v>
      </c>
      <c r="I68" s="26">
        <f t="shared" ca="1" si="11"/>
        <v>-1.5085126928806813E-2</v>
      </c>
      <c r="J68" s="59" t="str">
        <f t="shared" ca="1" si="12"/>
        <v>Nov-25</v>
      </c>
      <c r="K68" s="3"/>
      <c r="L68" t="str">
        <f t="shared" ca="1" si="0"/>
        <v>Nov-25</v>
      </c>
      <c r="M68" s="132">
        <f t="shared" ca="1" si="1"/>
        <v>111.63967958848167</v>
      </c>
      <c r="N68" s="132">
        <f t="shared" ca="1" si="2"/>
        <v>102.55830516336206</v>
      </c>
      <c r="P68" t="str">
        <f t="shared" ca="1" si="3"/>
        <v>Nov-25</v>
      </c>
      <c r="Q68" s="133">
        <f t="shared" ca="1" si="4"/>
        <v>0</v>
      </c>
      <c r="R68" s="133">
        <f t="shared" ca="1" si="5"/>
        <v>-1.5085126928806813E-2</v>
      </c>
      <c r="T68" t="str">
        <f t="shared" ca="1" si="6"/>
        <v>Nov-25</v>
      </c>
      <c r="U68" s="134">
        <f t="shared" ca="1" si="7"/>
        <v>1116396.7958848167</v>
      </c>
    </row>
    <row r="69" spans="1:21" x14ac:dyDescent="0.3">
      <c r="A69" s="10">
        <f ca="1">Returns!$A$67</f>
        <v>45978</v>
      </c>
      <c r="B69" s="27">
        <f ca="1">IF($A69="","",Returns!$J$67)</f>
        <v>1.2027213763844389E-2</v>
      </c>
      <c r="C69" s="60">
        <f t="shared" ca="1" si="8"/>
        <v>112.98239387941943</v>
      </c>
      <c r="D69" s="60">
        <f ca="1">IF($A69="","",MAX($C$7:C69))</f>
        <v>112.98239387941943</v>
      </c>
      <c r="E69" s="26">
        <f t="shared" ca="1" si="9"/>
        <v>0</v>
      </c>
      <c r="F69" s="27">
        <f ca="1">IF($A69="","",Returns!$I$67)</f>
        <v>1.7169531819258399E-2</v>
      </c>
      <c r="G69" s="60">
        <f t="shared" ca="1" si="10"/>
        <v>104.31918324719362</v>
      </c>
      <c r="H69" s="60">
        <f ca="1">IF($A69="","",MAX($G$7:G69))</f>
        <v>104.31918324719362</v>
      </c>
      <c r="I69" s="26">
        <f t="shared" ca="1" si="11"/>
        <v>0</v>
      </c>
      <c r="J69" s="59" t="str">
        <f t="shared" ca="1" si="12"/>
        <v>Nov-25</v>
      </c>
      <c r="K69" s="3"/>
      <c r="L69" t="str">
        <f t="shared" ca="1" si="0"/>
        <v>Nov-25</v>
      </c>
      <c r="M69" s="132">
        <f t="shared" ca="1" si="1"/>
        <v>112.98239387941943</v>
      </c>
      <c r="N69" s="132">
        <f t="shared" ca="1" si="2"/>
        <v>104.31918324719362</v>
      </c>
      <c r="P69" t="str">
        <f t="shared" ca="1" si="3"/>
        <v>Nov-25</v>
      </c>
      <c r="Q69" s="133">
        <f t="shared" ca="1" si="4"/>
        <v>0</v>
      </c>
      <c r="R69" s="133">
        <f t="shared" ca="1" si="5"/>
        <v>0</v>
      </c>
      <c r="T69" t="str">
        <f t="shared" ca="1" si="6"/>
        <v>Nov-25</v>
      </c>
      <c r="U69" s="134">
        <f t="shared" ca="1" si="7"/>
        <v>1129823.9387941943</v>
      </c>
    </row>
    <row r="70" spans="1:21" x14ac:dyDescent="0.3">
      <c r="A70" s="10">
        <f ca="1">Returns!$A$68</f>
        <v>45985</v>
      </c>
      <c r="B70" s="27">
        <f ca="1">IF($A70="","",Returns!$J$68)</f>
        <v>3.7366786738261722E-3</v>
      </c>
      <c r="C70" s="60">
        <f t="shared" ca="1" si="8"/>
        <v>113.4045727811465</v>
      </c>
      <c r="D70" s="60">
        <f ca="1">IF($A70="","",MAX($C$7:C70))</f>
        <v>113.4045727811465</v>
      </c>
      <c r="E70" s="26">
        <f t="shared" ca="1" si="9"/>
        <v>0</v>
      </c>
      <c r="F70" s="27">
        <f ca="1">IF($A70="","",Returns!$I$68)</f>
        <v>-2.0738971712799259E-3</v>
      </c>
      <c r="G70" s="60">
        <f t="shared" ca="1" si="10"/>
        <v>104.10283598814704</v>
      </c>
      <c r="H70" s="60">
        <f ca="1">IF($A70="","",MAX($G$7:G70))</f>
        <v>104.31918324719362</v>
      </c>
      <c r="I70" s="26">
        <f t="shared" ca="1" si="11"/>
        <v>-2.0738971712799259E-3</v>
      </c>
      <c r="J70" s="59" t="str">
        <f t="shared" ca="1" si="12"/>
        <v>Nov-25</v>
      </c>
      <c r="K70" s="3"/>
      <c r="L70" t="str">
        <f t="shared" ca="1" si="0"/>
        <v>Nov-25</v>
      </c>
      <c r="M70" s="132">
        <f t="shared" ca="1" si="1"/>
        <v>113.4045727811465</v>
      </c>
      <c r="N70" s="132">
        <f t="shared" ca="1" si="2"/>
        <v>104.10283598814704</v>
      </c>
      <c r="P70" t="str">
        <f t="shared" ca="1" si="3"/>
        <v>Nov-25</v>
      </c>
      <c r="Q70" s="133">
        <f t="shared" ca="1" si="4"/>
        <v>0</v>
      </c>
      <c r="R70" s="133">
        <f t="shared" ca="1" si="5"/>
        <v>-2.0738971712799259E-3</v>
      </c>
      <c r="T70" t="str">
        <f t="shared" ca="1" si="6"/>
        <v>Nov-25</v>
      </c>
      <c r="U70" s="134">
        <f t="shared" ca="1" si="7"/>
        <v>1134045.727811465</v>
      </c>
    </row>
    <row r="71" spans="1:21" x14ac:dyDescent="0.3">
      <c r="A71" s="10">
        <f ca="1">Returns!$A$69</f>
        <v>45992</v>
      </c>
      <c r="B71" s="27">
        <f ca="1">IF($A71="","",Returns!$J$69)</f>
        <v>1.6491334128580781E-4</v>
      </c>
      <c r="C71" s="60">
        <f t="shared" ca="1" si="8"/>
        <v>113.42327470816092</v>
      </c>
      <c r="D71" s="60">
        <f ca="1">IF($A71="","",MAX($C$7:C71))</f>
        <v>113.42327470816092</v>
      </c>
      <c r="E71" s="26">
        <f t="shared" ca="1" si="9"/>
        <v>0</v>
      </c>
      <c r="F71" s="27">
        <f ca="1">IF($A71="","",Returns!$I$69)</f>
        <v>8.3302837111653982E-3</v>
      </c>
      <c r="G71" s="60">
        <f t="shared" ca="1" si="10"/>
        <v>104.97004214706521</v>
      </c>
      <c r="H71" s="60">
        <f ca="1">IF($A71="","",MAX($G$7:G71))</f>
        <v>104.97004214706521</v>
      </c>
      <c r="I71" s="26">
        <f t="shared" ca="1" si="11"/>
        <v>0</v>
      </c>
      <c r="J71" s="59" t="str">
        <f t="shared" ca="1" si="12"/>
        <v>Dec-25</v>
      </c>
      <c r="K71" s="3"/>
      <c r="L71" t="str">
        <f t="shared" ref="L71:L134" ca="1" si="13">$J71</f>
        <v>Dec-25</v>
      </c>
      <c r="M71" s="132">
        <f t="shared" ref="M71:M134" ca="1" si="14">$C71</f>
        <v>113.42327470816092</v>
      </c>
      <c r="N71" s="132">
        <f t="shared" ref="N71:N134" ca="1" si="15">$G71</f>
        <v>104.97004214706521</v>
      </c>
      <c r="P71" t="str">
        <f t="shared" ref="P71:P134" ca="1" si="16">$J71</f>
        <v>Dec-25</v>
      </c>
      <c r="Q71" s="133">
        <f t="shared" ref="Q71:Q134" ca="1" si="17">$E71</f>
        <v>0</v>
      </c>
      <c r="R71" s="133">
        <f t="shared" ref="R71:R134" ca="1" si="18">$I71</f>
        <v>0</v>
      </c>
      <c r="T71" t="str">
        <f t="shared" ref="T71:T134" ca="1" si="19">$J71</f>
        <v>Dec-25</v>
      </c>
      <c r="U71" s="134">
        <f t="shared" ref="U71:U134" ca="1" si="20">IF($A71="","",NotionalValue*$C71/IndexBase)</f>
        <v>1134232.7470816092</v>
      </c>
    </row>
    <row r="72" spans="1:21" x14ac:dyDescent="0.3">
      <c r="A72" s="10">
        <f ca="1">Returns!$A$70</f>
        <v>45999</v>
      </c>
      <c r="B72" s="27">
        <f ca="1">IF($A72="","",Returns!$J$70)</f>
        <v>2.5190182187317988E-3</v>
      </c>
      <c r="C72" s="60">
        <f t="shared" ref="C72:C135" ca="1" si="21">IF($A72="","",C71*(1+$B72))</f>
        <v>113.70899000357899</v>
      </c>
      <c r="D72" s="60">
        <f ca="1">IF($A72="","",MAX($C$7:C72))</f>
        <v>113.70899000357899</v>
      </c>
      <c r="E72" s="26">
        <f t="shared" ref="E72:E135" ca="1" si="22">IF($A72="","",$C72/$D72-1)</f>
        <v>0</v>
      </c>
      <c r="F72" s="27">
        <f ca="1">IF($A72="","",Returns!$I$70)</f>
        <v>-8.2213200672378584E-3</v>
      </c>
      <c r="G72" s="60">
        <f t="shared" ref="G72:G135" ca="1" si="23">IF($A72="","",G71*(1+$F72))</f>
        <v>104.10704983310275</v>
      </c>
      <c r="H72" s="60">
        <f ca="1">IF($A72="","",MAX($G$7:G72))</f>
        <v>104.97004214706521</v>
      </c>
      <c r="I72" s="26">
        <f t="shared" ref="I72:I135" ca="1" si="24">IF($A72="","",$G72/$H72-1)</f>
        <v>-8.2213200672377473E-3</v>
      </c>
      <c r="J72" s="59" t="str">
        <f t="shared" ref="J72:J135" ca="1" si="25">IF($A72="","",TEXT($A72,"mmm-yy"))</f>
        <v>Dec-25</v>
      </c>
      <c r="K72" s="3"/>
      <c r="L72" t="str">
        <f t="shared" ca="1" si="13"/>
        <v>Dec-25</v>
      </c>
      <c r="M72" s="132">
        <f t="shared" ca="1" si="14"/>
        <v>113.70899000357899</v>
      </c>
      <c r="N72" s="132">
        <f t="shared" ca="1" si="15"/>
        <v>104.10704983310275</v>
      </c>
      <c r="P72" t="str">
        <f t="shared" ca="1" si="16"/>
        <v>Dec-25</v>
      </c>
      <c r="Q72" s="133">
        <f t="shared" ca="1" si="17"/>
        <v>0</v>
      </c>
      <c r="R72" s="133">
        <f t="shared" ca="1" si="18"/>
        <v>-8.2213200672377473E-3</v>
      </c>
      <c r="T72" t="str">
        <f t="shared" ca="1" si="19"/>
        <v>Dec-25</v>
      </c>
      <c r="U72" s="134">
        <f t="shared" ca="1" si="20"/>
        <v>1137089.9000357899</v>
      </c>
    </row>
    <row r="73" spans="1:21" x14ac:dyDescent="0.3">
      <c r="A73" s="10">
        <f ca="1">Returns!$A$71</f>
        <v>46006</v>
      </c>
      <c r="B73" s="27">
        <f ca="1">IF($A73="","",Returns!$J$71)</f>
        <v>-2.5814956904060492E-3</v>
      </c>
      <c r="C73" s="60">
        <f t="shared" ca="1" si="21"/>
        <v>113.41545073592434</v>
      </c>
      <c r="D73" s="60">
        <f ca="1">IF($A73="","",MAX($C$7:C73))</f>
        <v>113.70899000357899</v>
      </c>
      <c r="E73" s="26">
        <f t="shared" ca="1" si="22"/>
        <v>-2.5814956904058883E-3</v>
      </c>
      <c r="F73" s="27">
        <f ca="1">IF($A73="","",Returns!$I$71)</f>
        <v>2.5712089301359597E-3</v>
      </c>
      <c r="G73" s="60">
        <f t="shared" ca="1" si="23"/>
        <v>104.37473080932374</v>
      </c>
      <c r="H73" s="60">
        <f ca="1">IF($A73="","",MAX($G$7:G73))</f>
        <v>104.97004214706521</v>
      </c>
      <c r="I73" s="26">
        <f t="shared" ca="1" si="24"/>
        <v>-5.6712498686761759E-3</v>
      </c>
      <c r="J73" s="59" t="str">
        <f t="shared" ca="1" si="25"/>
        <v>Dec-25</v>
      </c>
      <c r="K73" s="3"/>
      <c r="L73" t="str">
        <f t="shared" ca="1" si="13"/>
        <v>Dec-25</v>
      </c>
      <c r="M73" s="132">
        <f t="shared" ca="1" si="14"/>
        <v>113.41545073592434</v>
      </c>
      <c r="N73" s="132">
        <f t="shared" ca="1" si="15"/>
        <v>104.37473080932374</v>
      </c>
      <c r="P73" t="str">
        <f t="shared" ca="1" si="16"/>
        <v>Dec-25</v>
      </c>
      <c r="Q73" s="133">
        <f t="shared" ca="1" si="17"/>
        <v>-2.5814956904058883E-3</v>
      </c>
      <c r="R73" s="133">
        <f t="shared" ca="1" si="18"/>
        <v>-5.6712498686761759E-3</v>
      </c>
      <c r="T73" t="str">
        <f t="shared" ca="1" si="19"/>
        <v>Dec-25</v>
      </c>
      <c r="U73" s="134">
        <f t="shared" ca="1" si="20"/>
        <v>1134154.5073592432</v>
      </c>
    </row>
    <row r="74" spans="1:21" x14ac:dyDescent="0.3">
      <c r="A74" s="10">
        <f ca="1">Returns!$A$72</f>
        <v>46013</v>
      </c>
      <c r="B74" s="27">
        <f ca="1">IF($A74="","",Returns!$J$72)</f>
        <v>1.2540187569457636E-3</v>
      </c>
      <c r="C74" s="60">
        <f t="shared" ca="1" si="21"/>
        <v>113.55767583847465</v>
      </c>
      <c r="D74" s="60">
        <f ca="1">IF($A74="","",MAX($C$7:C74))</f>
        <v>113.70899000357899</v>
      </c>
      <c r="E74" s="26">
        <f t="shared" ca="1" si="22"/>
        <v>-1.3307141774768771E-3</v>
      </c>
      <c r="F74" s="27">
        <f ca="1">IF($A74="","",Returns!$I$72)</f>
        <v>5.5749003938021513E-3</v>
      </c>
      <c r="G74" s="60">
        <f t="shared" ca="1" si="23"/>
        <v>104.95660953721563</v>
      </c>
      <c r="H74" s="60">
        <f ca="1">IF($A74="","",MAX($G$7:G74))</f>
        <v>104.97004214706521</v>
      </c>
      <c r="I74" s="26">
        <f t="shared" ca="1" si="24"/>
        <v>-1.2796612800025642E-4</v>
      </c>
      <c r="J74" s="59" t="str">
        <f t="shared" ca="1" si="25"/>
        <v>Dec-25</v>
      </c>
      <c r="K74" s="3"/>
      <c r="L74" t="str">
        <f t="shared" ca="1" si="13"/>
        <v>Dec-25</v>
      </c>
      <c r="M74" s="132">
        <f t="shared" ca="1" si="14"/>
        <v>113.55767583847465</v>
      </c>
      <c r="N74" s="132">
        <f t="shared" ca="1" si="15"/>
        <v>104.95660953721563</v>
      </c>
      <c r="P74" t="str">
        <f t="shared" ca="1" si="16"/>
        <v>Dec-25</v>
      </c>
      <c r="Q74" s="133">
        <f t="shared" ca="1" si="17"/>
        <v>-1.3307141774768771E-3</v>
      </c>
      <c r="R74" s="133">
        <f t="shared" ca="1" si="18"/>
        <v>-1.2796612800025642E-4</v>
      </c>
      <c r="T74" t="str">
        <f t="shared" ca="1" si="19"/>
        <v>Dec-25</v>
      </c>
      <c r="U74" s="134">
        <f t="shared" ca="1" si="20"/>
        <v>1135576.7583847465</v>
      </c>
    </row>
    <row r="75" spans="1:21" x14ac:dyDescent="0.3">
      <c r="A75" s="10">
        <f ca="1">Returns!$A$73</f>
        <v>46020</v>
      </c>
      <c r="B75" s="27">
        <f ca="1">IF($A75="","",Returns!$J$73)</f>
        <v>1.2355604398829998E-2</v>
      </c>
      <c r="C75" s="60">
        <f t="shared" ca="1" si="21"/>
        <v>114.96074955758542</v>
      </c>
      <c r="D75" s="60">
        <f ca="1">IF($A75="","",MAX($C$7:C75))</f>
        <v>114.96074955758542</v>
      </c>
      <c r="E75" s="26">
        <f t="shared" ca="1" si="22"/>
        <v>0</v>
      </c>
      <c r="F75" s="27">
        <f ca="1">IF($A75="","",Returns!$I$73)</f>
        <v>-8.7993755946242924E-3</v>
      </c>
      <c r="G75" s="60">
        <f t="shared" ca="1" si="23"/>
        <v>104.03305690875933</v>
      </c>
      <c r="H75" s="60">
        <f ca="1">IF($A75="","",MAX($G$7:G75))</f>
        <v>104.97004214706521</v>
      </c>
      <c r="I75" s="26">
        <f t="shared" ca="1" si="24"/>
        <v>-8.9262157006009257E-3</v>
      </c>
      <c r="J75" s="59" t="str">
        <f t="shared" ca="1" si="25"/>
        <v>Dec-25</v>
      </c>
      <c r="K75" s="3"/>
      <c r="L75" t="str">
        <f t="shared" ca="1" si="13"/>
        <v>Dec-25</v>
      </c>
      <c r="M75" s="132">
        <f t="shared" ca="1" si="14"/>
        <v>114.96074955758542</v>
      </c>
      <c r="N75" s="132">
        <f t="shared" ca="1" si="15"/>
        <v>104.03305690875933</v>
      </c>
      <c r="P75" t="str">
        <f t="shared" ca="1" si="16"/>
        <v>Dec-25</v>
      </c>
      <c r="Q75" s="133">
        <f t="shared" ca="1" si="17"/>
        <v>0</v>
      </c>
      <c r="R75" s="133">
        <f t="shared" ca="1" si="18"/>
        <v>-8.9262157006009257E-3</v>
      </c>
      <c r="T75" t="str">
        <f t="shared" ca="1" si="19"/>
        <v>Dec-25</v>
      </c>
      <c r="U75" s="134">
        <f t="shared" ca="1" si="20"/>
        <v>1149607.4955758541</v>
      </c>
    </row>
    <row r="76" spans="1:21" x14ac:dyDescent="0.3">
      <c r="A76" s="10">
        <f ca="1">Returns!$A$74</f>
        <v>46027</v>
      </c>
      <c r="B76" s="27">
        <f ca="1">IF($A76="","",Returns!$J$74)</f>
        <v>-4.2290657064082762E-2</v>
      </c>
      <c r="C76" s="60">
        <f t="shared" ca="1" si="21"/>
        <v>110.09898392221567</v>
      </c>
      <c r="D76" s="60">
        <f ca="1">IF($A76="","",MAX($C$7:C76))</f>
        <v>114.96074955758542</v>
      </c>
      <c r="E76" s="26">
        <f t="shared" ca="1" si="22"/>
        <v>-4.2290657064082748E-2</v>
      </c>
      <c r="F76" s="27">
        <f ca="1">IF($A76="","",Returns!$I$74)</f>
        <v>1.1880348025632426E-2</v>
      </c>
      <c r="G76" s="60">
        <f t="shared" ca="1" si="23"/>
        <v>105.26900583100581</v>
      </c>
      <c r="H76" s="60">
        <f ca="1">IF($A76="","",MAX($G$7:G76))</f>
        <v>105.26900583100581</v>
      </c>
      <c r="I76" s="26">
        <f t="shared" ca="1" si="24"/>
        <v>0</v>
      </c>
      <c r="J76" s="59" t="str">
        <f t="shared" ca="1" si="25"/>
        <v>Jan-26</v>
      </c>
      <c r="K76" s="3"/>
      <c r="L76" t="str">
        <f t="shared" ca="1" si="13"/>
        <v>Jan-26</v>
      </c>
      <c r="M76" s="132">
        <f t="shared" ca="1" si="14"/>
        <v>110.09898392221567</v>
      </c>
      <c r="N76" s="132">
        <f t="shared" ca="1" si="15"/>
        <v>105.26900583100581</v>
      </c>
      <c r="P76" t="str">
        <f t="shared" ca="1" si="16"/>
        <v>Jan-26</v>
      </c>
      <c r="Q76" s="133">
        <f t="shared" ca="1" si="17"/>
        <v>-4.2290657064082748E-2</v>
      </c>
      <c r="R76" s="133">
        <f t="shared" ca="1" si="18"/>
        <v>0</v>
      </c>
      <c r="T76" t="str">
        <f t="shared" ca="1" si="19"/>
        <v>Jan-26</v>
      </c>
      <c r="U76" s="134">
        <f t="shared" ca="1" si="20"/>
        <v>1100989.8392221567</v>
      </c>
    </row>
    <row r="77" spans="1:21" x14ac:dyDescent="0.3">
      <c r="A77" s="10">
        <f ca="1">Returns!$A$75</f>
        <v>46034</v>
      </c>
      <c r="B77" s="27">
        <f ca="1">IF($A77="","",Returns!$J$75)</f>
        <v>-1.890725643892166E-2</v>
      </c>
      <c r="C77" s="60">
        <f t="shared" ca="1" si="21"/>
        <v>108.01731419953362</v>
      </c>
      <c r="D77" s="60">
        <f ca="1">IF($A77="","",MAX($C$7:C77))</f>
        <v>114.96074955758542</v>
      </c>
      <c r="E77" s="26">
        <f t="shared" ca="1" si="22"/>
        <v>-6.0398313204923393E-2</v>
      </c>
      <c r="F77" s="27">
        <f ca="1">IF($A77="","",Returns!$I$75)</f>
        <v>-1.7525543234102825E-2</v>
      </c>
      <c r="G77" s="60">
        <f t="shared" ca="1" si="23"/>
        <v>103.4241093181035</v>
      </c>
      <c r="H77" s="60">
        <f ca="1">IF($A77="","",MAX($G$7:G77))</f>
        <v>105.26900583100581</v>
      </c>
      <c r="I77" s="26">
        <f t="shared" ca="1" si="24"/>
        <v>-1.7525543234102825E-2</v>
      </c>
      <c r="J77" s="59" t="str">
        <f t="shared" ca="1" si="25"/>
        <v>Jan-26</v>
      </c>
      <c r="K77" s="3"/>
      <c r="L77" t="str">
        <f t="shared" ca="1" si="13"/>
        <v>Jan-26</v>
      </c>
      <c r="M77" s="132">
        <f t="shared" ca="1" si="14"/>
        <v>108.01731419953362</v>
      </c>
      <c r="N77" s="132">
        <f t="shared" ca="1" si="15"/>
        <v>103.4241093181035</v>
      </c>
      <c r="P77" t="str">
        <f t="shared" ca="1" si="16"/>
        <v>Jan-26</v>
      </c>
      <c r="Q77" s="133">
        <f t="shared" ca="1" si="17"/>
        <v>-6.0398313204923393E-2</v>
      </c>
      <c r="R77" s="133">
        <f t="shared" ca="1" si="18"/>
        <v>-1.7525543234102825E-2</v>
      </c>
      <c r="T77" t="str">
        <f t="shared" ca="1" si="19"/>
        <v>Jan-26</v>
      </c>
      <c r="U77" s="134">
        <f t="shared" ca="1" si="20"/>
        <v>1080173.1419953362</v>
      </c>
    </row>
    <row r="78" spans="1:21" x14ac:dyDescent="0.3">
      <c r="A78" s="10">
        <f ca="1">Returns!$A$76</f>
        <v>46041</v>
      </c>
      <c r="B78" s="27">
        <f ca="1">IF($A78="","",Returns!$J$76)</f>
        <v>-2.9747714087267455E-2</v>
      </c>
      <c r="C78" s="60">
        <f t="shared" ca="1" si="21"/>
        <v>104.80404602025135</v>
      </c>
      <c r="D78" s="60">
        <f ca="1">IF($A78="","",MAX($C$7:C78))</f>
        <v>114.96074955758542</v>
      </c>
      <c r="E78" s="26">
        <f t="shared" ca="1" si="22"/>
        <v>-8.8349315539617557E-2</v>
      </c>
      <c r="F78" s="27">
        <f ca="1">IF($A78="","",Returns!$I$76)</f>
        <v>-7.9390467327768999E-3</v>
      </c>
      <c r="G78" s="60">
        <f t="shared" ca="1" si="23"/>
        <v>102.60302048093125</v>
      </c>
      <c r="H78" s="60">
        <f ca="1">IF($A78="","",MAX($G$7:G78))</f>
        <v>105.26900583100581</v>
      </c>
      <c r="I78" s="26">
        <f t="shared" ca="1" si="24"/>
        <v>-2.5325453860126856E-2</v>
      </c>
      <c r="J78" s="59" t="str">
        <f t="shared" ca="1" si="25"/>
        <v>Jan-26</v>
      </c>
      <c r="K78" s="3"/>
      <c r="L78" t="str">
        <f t="shared" ca="1" si="13"/>
        <v>Jan-26</v>
      </c>
      <c r="M78" s="132">
        <f t="shared" ca="1" si="14"/>
        <v>104.80404602025135</v>
      </c>
      <c r="N78" s="132">
        <f t="shared" ca="1" si="15"/>
        <v>102.60302048093125</v>
      </c>
      <c r="P78" t="str">
        <f t="shared" ca="1" si="16"/>
        <v>Jan-26</v>
      </c>
      <c r="Q78" s="133">
        <f t="shared" ca="1" si="17"/>
        <v>-8.8349315539617557E-2</v>
      </c>
      <c r="R78" s="133">
        <f t="shared" ca="1" si="18"/>
        <v>-2.5325453860126856E-2</v>
      </c>
      <c r="T78" t="str">
        <f t="shared" ca="1" si="19"/>
        <v>Jan-26</v>
      </c>
      <c r="U78" s="134">
        <f t="shared" ca="1" si="20"/>
        <v>1048040.4602025135</v>
      </c>
    </row>
    <row r="79" spans="1:21" x14ac:dyDescent="0.3">
      <c r="A79" s="10">
        <f ca="1">Returns!$A$77</f>
        <v>46048</v>
      </c>
      <c r="B79" s="27">
        <f ca="1">IF($A79="","",Returns!$J$77)</f>
        <v>0</v>
      </c>
      <c r="C79" s="60">
        <f t="shared" ca="1" si="21"/>
        <v>104.80404602025135</v>
      </c>
      <c r="D79" s="60">
        <f ca="1">IF($A79="","",MAX($C$7:C79))</f>
        <v>114.96074955758542</v>
      </c>
      <c r="E79" s="26">
        <f t="shared" ca="1" si="22"/>
        <v>-8.8349315539617557E-2</v>
      </c>
      <c r="F79" s="27">
        <f ca="1">IF($A79="","",Returns!$I$77)</f>
        <v>-1.6028594687420572E-2</v>
      </c>
      <c r="G79" s="60">
        <f t="shared" ca="1" si="23"/>
        <v>100.9584382519373</v>
      </c>
      <c r="H79" s="60">
        <f ca="1">IF($A79="","",MAX($G$7:G79))</f>
        <v>105.26900583100581</v>
      </c>
      <c r="I79" s="26">
        <f t="shared" ca="1" si="24"/>
        <v>-4.094811711234847E-2</v>
      </c>
      <c r="J79" s="59" t="str">
        <f t="shared" ca="1" si="25"/>
        <v>Jan-26</v>
      </c>
      <c r="K79" s="3"/>
      <c r="L79" t="str">
        <f t="shared" ca="1" si="13"/>
        <v>Jan-26</v>
      </c>
      <c r="M79" s="132">
        <f t="shared" ca="1" si="14"/>
        <v>104.80404602025135</v>
      </c>
      <c r="N79" s="132">
        <f t="shared" ca="1" si="15"/>
        <v>100.9584382519373</v>
      </c>
      <c r="P79" t="str">
        <f t="shared" ca="1" si="16"/>
        <v>Jan-26</v>
      </c>
      <c r="Q79" s="133">
        <f t="shared" ca="1" si="17"/>
        <v>-8.8349315539617557E-2</v>
      </c>
      <c r="R79" s="133">
        <f t="shared" ca="1" si="18"/>
        <v>-4.094811711234847E-2</v>
      </c>
      <c r="T79" t="str">
        <f t="shared" ca="1" si="19"/>
        <v>Jan-26</v>
      </c>
      <c r="U79" s="134">
        <f t="shared" ca="1" si="20"/>
        <v>1048040.4602025135</v>
      </c>
    </row>
    <row r="80" spans="1:21" x14ac:dyDescent="0.3">
      <c r="A80" s="10">
        <f ca="1">Returns!$A$78</f>
        <v>46055</v>
      </c>
      <c r="B80" s="27">
        <f ca="1">IF($A80="","",Returns!$J$78)</f>
        <v>2.274878225170331E-2</v>
      </c>
      <c r="C80" s="60">
        <f t="shared" ca="1" si="21"/>
        <v>107.18821044226355</v>
      </c>
      <c r="D80" s="60">
        <f ca="1">IF($A80="","",MAX($C$7:C80))</f>
        <v>114.96074955758542</v>
      </c>
      <c r="E80" s="26">
        <f t="shared" ca="1" si="22"/>
        <v>-6.761037262921199E-2</v>
      </c>
      <c r="F80" s="27">
        <f ca="1">IF($A80="","",Returns!$I$78)</f>
        <v>-3.4557543733205742E-3</v>
      </c>
      <c r="G80" s="60">
        <f t="shared" ca="1" si="23"/>
        <v>100.60955068742454</v>
      </c>
      <c r="H80" s="60">
        <f ca="1">IF($A80="","",MAX($G$7:G80))</f>
        <v>105.26900583100581</v>
      </c>
      <c r="I80" s="26">
        <f t="shared" ca="1" si="24"/>
        <v>-4.4262364850878866E-2</v>
      </c>
      <c r="J80" s="59" t="str">
        <f t="shared" ca="1" si="25"/>
        <v>Feb-26</v>
      </c>
      <c r="K80" s="3"/>
      <c r="L80" t="str">
        <f t="shared" ca="1" si="13"/>
        <v>Feb-26</v>
      </c>
      <c r="M80" s="132">
        <f t="shared" ca="1" si="14"/>
        <v>107.18821044226355</v>
      </c>
      <c r="N80" s="132">
        <f t="shared" ca="1" si="15"/>
        <v>100.60955068742454</v>
      </c>
      <c r="P80" t="str">
        <f t="shared" ca="1" si="16"/>
        <v>Feb-26</v>
      </c>
      <c r="Q80" s="133">
        <f t="shared" ca="1" si="17"/>
        <v>-6.761037262921199E-2</v>
      </c>
      <c r="R80" s="133">
        <f t="shared" ca="1" si="18"/>
        <v>-4.4262364850878866E-2</v>
      </c>
      <c r="T80" t="str">
        <f t="shared" ca="1" si="19"/>
        <v>Feb-26</v>
      </c>
      <c r="U80" s="134">
        <f t="shared" ca="1" si="20"/>
        <v>1071882.1044226356</v>
      </c>
    </row>
    <row r="81" spans="1:21" x14ac:dyDescent="0.3">
      <c r="A81" s="10">
        <f ca="1">Returns!$A$79</f>
        <v>46062</v>
      </c>
      <c r="B81" s="27">
        <f ca="1">IF($A81="","",Returns!$J$79)</f>
        <v>-1.5480042145772888E-2</v>
      </c>
      <c r="C81" s="60">
        <f t="shared" ca="1" si="21"/>
        <v>105.52893242708734</v>
      </c>
      <c r="D81" s="60">
        <f ca="1">IF($A81="","",MAX($C$7:C81))</f>
        <v>114.96074955758542</v>
      </c>
      <c r="E81" s="26">
        <f t="shared" ca="1" si="22"/>
        <v>-8.204380335719319E-2</v>
      </c>
      <c r="F81" s="27">
        <f ca="1">IF($A81="","",Returns!$I$79)</f>
        <v>3.1046235650641796E-2</v>
      </c>
      <c r="G81" s="60">
        <f t="shared" ca="1" si="23"/>
        <v>103.73309850677151</v>
      </c>
      <c r="H81" s="60">
        <f ca="1">IF($A81="","",MAX($G$7:G81))</f>
        <v>105.26900583100581</v>
      </c>
      <c r="I81" s="26">
        <f t="shared" ca="1" si="24"/>
        <v>-1.4590309009852143E-2</v>
      </c>
      <c r="J81" s="59" t="str">
        <f t="shared" ca="1" si="25"/>
        <v>Feb-26</v>
      </c>
      <c r="K81" s="3"/>
      <c r="L81" t="str">
        <f t="shared" ca="1" si="13"/>
        <v>Feb-26</v>
      </c>
      <c r="M81" s="132">
        <f t="shared" ca="1" si="14"/>
        <v>105.52893242708734</v>
      </c>
      <c r="N81" s="132">
        <f t="shared" ca="1" si="15"/>
        <v>103.73309850677151</v>
      </c>
      <c r="P81" t="str">
        <f t="shared" ca="1" si="16"/>
        <v>Feb-26</v>
      </c>
      <c r="Q81" s="133">
        <f t="shared" ca="1" si="17"/>
        <v>-8.204380335719319E-2</v>
      </c>
      <c r="R81" s="133">
        <f t="shared" ca="1" si="18"/>
        <v>-1.4590309009852143E-2</v>
      </c>
      <c r="T81" t="str">
        <f t="shared" ca="1" si="19"/>
        <v>Feb-26</v>
      </c>
      <c r="U81" s="134">
        <f t="shared" ca="1" si="20"/>
        <v>1055289.3242708733</v>
      </c>
    </row>
    <row r="82" spans="1:21" x14ac:dyDescent="0.3">
      <c r="A82" s="10">
        <f ca="1">Returns!$A$80</f>
        <v>46069</v>
      </c>
      <c r="B82" s="27">
        <f ca="1">IF($A82="","",Returns!$J$80)</f>
        <v>3.8382645277093138E-3</v>
      </c>
      <c r="C82" s="60">
        <f t="shared" ca="1" si="21"/>
        <v>105.93398038506926</v>
      </c>
      <c r="D82" s="60">
        <f ca="1">IF($A82="","",MAX($C$7:C82))</f>
        <v>114.96074955758542</v>
      </c>
      <c r="E82" s="26">
        <f t="shared" ca="1" si="22"/>
        <v>-7.8520444649628152E-2</v>
      </c>
      <c r="F82" s="27">
        <f ca="1">IF($A82="","",Returns!$I$80)</f>
        <v>-7.1345202505153082E-3</v>
      </c>
      <c r="G82" s="60">
        <f t="shared" ca="1" si="23"/>
        <v>102.99301261482626</v>
      </c>
      <c r="H82" s="60">
        <f ca="1">IF($A82="","",MAX($G$7:G82))</f>
        <v>105.26900583100581</v>
      </c>
      <c r="I82" s="26">
        <f t="shared" ca="1" si="24"/>
        <v>-2.1620734405275344E-2</v>
      </c>
      <c r="J82" s="59" t="str">
        <f t="shared" ca="1" si="25"/>
        <v>Feb-26</v>
      </c>
      <c r="K82" s="3"/>
      <c r="L82" t="str">
        <f t="shared" ca="1" si="13"/>
        <v>Feb-26</v>
      </c>
      <c r="M82" s="132">
        <f t="shared" ca="1" si="14"/>
        <v>105.93398038506926</v>
      </c>
      <c r="N82" s="132">
        <f t="shared" ca="1" si="15"/>
        <v>102.99301261482626</v>
      </c>
      <c r="P82" t="str">
        <f t="shared" ca="1" si="16"/>
        <v>Feb-26</v>
      </c>
      <c r="Q82" s="133">
        <f t="shared" ca="1" si="17"/>
        <v>-7.8520444649628152E-2</v>
      </c>
      <c r="R82" s="133">
        <f t="shared" ca="1" si="18"/>
        <v>-2.1620734405275344E-2</v>
      </c>
      <c r="T82" t="str">
        <f t="shared" ca="1" si="19"/>
        <v>Feb-26</v>
      </c>
      <c r="U82" s="134">
        <f t="shared" ca="1" si="20"/>
        <v>1059339.8038506927</v>
      </c>
    </row>
    <row r="83" spans="1:21" x14ac:dyDescent="0.3">
      <c r="A83" s="10">
        <f ca="1">Returns!$A$81</f>
        <v>46076</v>
      </c>
      <c r="B83" s="27">
        <f ca="1">IF($A83="","",Returns!$J$81)</f>
        <v>-2.2103393516809421E-2</v>
      </c>
      <c r="C83" s="60">
        <f t="shared" ca="1" si="21"/>
        <v>103.59247992981611</v>
      </c>
      <c r="D83" s="60">
        <f ca="1">IF($A83="","",MAX($C$7:C83))</f>
        <v>114.96074955758542</v>
      </c>
      <c r="E83" s="26">
        <f t="shared" ca="1" si="22"/>
        <v>-9.8888269879232049E-2</v>
      </c>
      <c r="F83" s="27">
        <f ca="1">IF($A83="","",Returns!$I$81)</f>
        <v>1.1778333706475852E-3</v>
      </c>
      <c r="G83" s="60">
        <f t="shared" ca="1" si="23"/>
        <v>103.11432122202753</v>
      </c>
      <c r="H83" s="60">
        <f ca="1">IF($A83="","",MAX($G$7:G83))</f>
        <v>105.26900583100581</v>
      </c>
      <c r="I83" s="26">
        <f t="shared" ca="1" si="24"/>
        <v>-2.0468366657108161E-2</v>
      </c>
      <c r="J83" s="59" t="str">
        <f t="shared" ca="1" si="25"/>
        <v>Feb-26</v>
      </c>
      <c r="K83" s="3"/>
      <c r="L83" t="str">
        <f t="shared" ca="1" si="13"/>
        <v>Feb-26</v>
      </c>
      <c r="M83" s="132">
        <f t="shared" ca="1" si="14"/>
        <v>103.59247992981611</v>
      </c>
      <c r="N83" s="132">
        <f t="shared" ca="1" si="15"/>
        <v>103.11432122202753</v>
      </c>
      <c r="P83" t="str">
        <f t="shared" ca="1" si="16"/>
        <v>Feb-26</v>
      </c>
      <c r="Q83" s="133">
        <f t="shared" ca="1" si="17"/>
        <v>-9.8888269879232049E-2</v>
      </c>
      <c r="R83" s="133">
        <f t="shared" ca="1" si="18"/>
        <v>-2.0468366657108161E-2</v>
      </c>
      <c r="T83" t="str">
        <f t="shared" ca="1" si="19"/>
        <v>Feb-26</v>
      </c>
      <c r="U83" s="134">
        <f t="shared" ca="1" si="20"/>
        <v>1035924.7992981612</v>
      </c>
    </row>
    <row r="84" spans="1:21" x14ac:dyDescent="0.3">
      <c r="A84" s="10">
        <f ca="1">Returns!$A$82</f>
        <v>46083</v>
      </c>
      <c r="B84" s="27">
        <f ca="1">IF($A84="","",Returns!$J$82)</f>
        <v>-2.4956912977215338E-2</v>
      </c>
      <c r="C84" s="60">
        <f t="shared" ca="1" si="21"/>
        <v>101.00713142311376</v>
      </c>
      <c r="D84" s="60">
        <f ca="1">IF($A84="","",MAX($C$7:C84))</f>
        <v>114.96074955758542</v>
      </c>
      <c r="E84" s="26">
        <f t="shared" ca="1" si="22"/>
        <v>-0.12137723691060398</v>
      </c>
      <c r="F84" s="27">
        <f ca="1">IF($A84="","",Returns!$I$82)</f>
        <v>-3.2952233549177423E-2</v>
      </c>
      <c r="G84" s="60">
        <f t="shared" ca="1" si="23"/>
        <v>99.716474026854371</v>
      </c>
      <c r="H84" s="60">
        <f ca="1">IF($A84="","",MAX($G$7:G84))</f>
        <v>105.26900583100581</v>
      </c>
      <c r="I84" s="26">
        <f t="shared" ca="1" si="24"/>
        <v>-5.2746121807830448E-2</v>
      </c>
      <c r="J84" s="59" t="str">
        <f t="shared" ca="1" si="25"/>
        <v>Mar-26</v>
      </c>
      <c r="K84" s="3"/>
      <c r="L84" t="str">
        <f t="shared" ca="1" si="13"/>
        <v>Mar-26</v>
      </c>
      <c r="M84" s="132">
        <f t="shared" ca="1" si="14"/>
        <v>101.00713142311376</v>
      </c>
      <c r="N84" s="132">
        <f t="shared" ca="1" si="15"/>
        <v>99.716474026854371</v>
      </c>
      <c r="P84" t="str">
        <f t="shared" ca="1" si="16"/>
        <v>Mar-26</v>
      </c>
      <c r="Q84" s="133">
        <f t="shared" ca="1" si="17"/>
        <v>-0.12137723691060398</v>
      </c>
      <c r="R84" s="133">
        <f t="shared" ca="1" si="18"/>
        <v>-5.2746121807830448E-2</v>
      </c>
      <c r="T84" t="str">
        <f t="shared" ca="1" si="19"/>
        <v>Mar-26</v>
      </c>
      <c r="U84" s="134">
        <f t="shared" ca="1" si="20"/>
        <v>1010071.3142311376</v>
      </c>
    </row>
    <row r="85" spans="1:21" x14ac:dyDescent="0.3">
      <c r="A85" s="10">
        <f ca="1">Returns!$A$83</f>
        <v>46090</v>
      </c>
      <c r="B85" s="27">
        <f ca="1">IF($A85="","",Returns!$J$83)</f>
        <v>-5.0420400715880075E-2</v>
      </c>
      <c r="C85" s="60">
        <f t="shared" ca="1" si="21"/>
        <v>95.914311381598807</v>
      </c>
      <c r="D85" s="60">
        <f ca="1">IF($A85="","",MAX($C$7:C85))</f>
        <v>114.96074955758542</v>
      </c>
      <c r="E85" s="26">
        <f t="shared" ca="1" si="22"/>
        <v>-0.16567774870366503</v>
      </c>
      <c r="F85" s="27">
        <f ca="1">IF($A85="","",Returns!$I$83)</f>
        <v>-3.3686904604249834E-2</v>
      </c>
      <c r="G85" s="60">
        <f t="shared" ca="1" si="23"/>
        <v>96.357334678839578</v>
      </c>
      <c r="H85" s="60">
        <f ca="1">IF($A85="","",MAX($G$7:G85))</f>
        <v>105.26900583100581</v>
      </c>
      <c r="I85" s="26">
        <f t="shared" ca="1" si="24"/>
        <v>-8.4656172838495691E-2</v>
      </c>
      <c r="J85" s="59" t="str">
        <f t="shared" ca="1" si="25"/>
        <v>Mar-26</v>
      </c>
      <c r="K85" s="3"/>
      <c r="L85" t="str">
        <f t="shared" ca="1" si="13"/>
        <v>Mar-26</v>
      </c>
      <c r="M85" s="132">
        <f t="shared" ca="1" si="14"/>
        <v>95.914311381598807</v>
      </c>
      <c r="N85" s="132">
        <f t="shared" ca="1" si="15"/>
        <v>96.357334678839578</v>
      </c>
      <c r="P85" t="str">
        <f t="shared" ca="1" si="16"/>
        <v>Mar-26</v>
      </c>
      <c r="Q85" s="133">
        <f t="shared" ca="1" si="17"/>
        <v>-0.16567774870366503</v>
      </c>
      <c r="R85" s="133">
        <f t="shared" ca="1" si="18"/>
        <v>-8.4656172838495691E-2</v>
      </c>
      <c r="T85" t="str">
        <f t="shared" ca="1" si="19"/>
        <v>Mar-26</v>
      </c>
      <c r="U85" s="134">
        <f t="shared" ca="1" si="20"/>
        <v>959143.11381598795</v>
      </c>
    </row>
    <row r="86" spans="1:21" x14ac:dyDescent="0.3">
      <c r="A86" s="10">
        <f ca="1">Returns!$A$84</f>
        <v>46097</v>
      </c>
      <c r="B86" s="27">
        <f ca="1">IF($A86="","",Returns!$J$84)</f>
        <v>-2.3785189452325724E-3</v>
      </c>
      <c r="C86" s="60">
        <f t="shared" ca="1" si="21"/>
        <v>95.686177374858744</v>
      </c>
      <c r="D86" s="60">
        <f ca="1">IF($A86="","",MAX($C$7:C86))</f>
        <v>114.96074955758542</v>
      </c>
      <c r="E86" s="26">
        <f t="shared" ca="1" si="22"/>
        <v>-0.16766219998480236</v>
      </c>
      <c r="F86" s="27">
        <f ca="1">IF($A86="","",Returns!$I$84)</f>
        <v>-2.5771961514382324E-2</v>
      </c>
      <c r="G86" s="60">
        <f t="shared" ca="1" si="23"/>
        <v>93.874017157868067</v>
      </c>
      <c r="H86" s="60">
        <f ca="1">IF($A86="","",MAX($G$7:G86))</f>
        <v>105.26900583100581</v>
      </c>
      <c r="I86" s="26">
        <f t="shared" ca="1" si="24"/>
        <v>-0.10824637872452936</v>
      </c>
      <c r="J86" s="59" t="str">
        <f t="shared" ca="1" si="25"/>
        <v>Mar-26</v>
      </c>
      <c r="K86" s="3"/>
      <c r="L86" t="str">
        <f t="shared" ca="1" si="13"/>
        <v>Mar-26</v>
      </c>
      <c r="M86" s="132">
        <f t="shared" ca="1" si="14"/>
        <v>95.686177374858744</v>
      </c>
      <c r="N86" s="132">
        <f t="shared" ca="1" si="15"/>
        <v>93.874017157868067</v>
      </c>
      <c r="P86" t="str">
        <f t="shared" ca="1" si="16"/>
        <v>Mar-26</v>
      </c>
      <c r="Q86" s="133">
        <f t="shared" ca="1" si="17"/>
        <v>-0.16766219998480236</v>
      </c>
      <c r="R86" s="133">
        <f t="shared" ca="1" si="18"/>
        <v>-0.10824637872452936</v>
      </c>
      <c r="T86" t="str">
        <f t="shared" ca="1" si="19"/>
        <v>Mar-26</v>
      </c>
      <c r="U86" s="134">
        <f t="shared" ca="1" si="20"/>
        <v>956861.77374858735</v>
      </c>
    </row>
    <row r="87" spans="1:21" x14ac:dyDescent="0.3">
      <c r="A87" s="10">
        <f ca="1">Returns!$A$85</f>
        <v>46104</v>
      </c>
      <c r="B87" s="27">
        <f ca="1">IF($A87="","",Returns!$J$85)</f>
        <v>-1.1644513970686228E-2</v>
      </c>
      <c r="C87" s="60">
        <f t="shared" ca="1" si="21"/>
        <v>94.571958345615641</v>
      </c>
      <c r="D87" s="60">
        <f ca="1">IF($A87="","",MAX($C$7:C87))</f>
        <v>114.96074955758542</v>
      </c>
      <c r="E87" s="26">
        <f t="shared" ca="1" si="22"/>
        <v>-0.17735436912540958</v>
      </c>
      <c r="F87" s="27">
        <f ca="1">IF($A87="","",Returns!$I$85)</f>
        <v>-3.8282627076855591E-2</v>
      </c>
      <c r="G87" s="60">
        <f t="shared" ca="1" si="23"/>
        <v>90.280273166807063</v>
      </c>
      <c r="H87" s="60">
        <f ca="1">IF($A87="","",MAX($G$7:G87))</f>
        <v>105.26900583100581</v>
      </c>
      <c r="I87" s="26">
        <f t="shared" ca="1" si="24"/>
        <v>-0.14238505005225366</v>
      </c>
      <c r="J87" s="59" t="str">
        <f t="shared" ca="1" si="25"/>
        <v>Mar-26</v>
      </c>
      <c r="K87" s="3"/>
      <c r="L87" t="str">
        <f t="shared" ca="1" si="13"/>
        <v>Mar-26</v>
      </c>
      <c r="M87" s="132">
        <f t="shared" ca="1" si="14"/>
        <v>94.571958345615641</v>
      </c>
      <c r="N87" s="132">
        <f t="shared" ca="1" si="15"/>
        <v>90.280273166807063</v>
      </c>
      <c r="P87" t="str">
        <f t="shared" ca="1" si="16"/>
        <v>Mar-26</v>
      </c>
      <c r="Q87" s="133">
        <f t="shared" ca="1" si="17"/>
        <v>-0.17735436912540958</v>
      </c>
      <c r="R87" s="133">
        <f t="shared" ca="1" si="18"/>
        <v>-0.14238505005225366</v>
      </c>
      <c r="T87" t="str">
        <f t="shared" ca="1" si="19"/>
        <v>Mar-26</v>
      </c>
      <c r="U87" s="134">
        <f t="shared" ca="1" si="20"/>
        <v>945719.58345615643</v>
      </c>
    </row>
    <row r="88" spans="1:21" x14ac:dyDescent="0.3">
      <c r="A88" s="10">
        <f ca="1">Returns!$A$86</f>
        <v>46111</v>
      </c>
      <c r="B88" s="27">
        <f ca="1">IF($A88="","",Returns!$J$86)</f>
        <v>-3.1089004538799587E-3</v>
      </c>
      <c r="C88" s="60">
        <f t="shared" ca="1" si="21"/>
        <v>94.277943541390641</v>
      </c>
      <c r="D88" s="60">
        <f ca="1">IF($A88="","",MAX($C$7:C88))</f>
        <v>114.96074955758542</v>
      </c>
      <c r="E88" s="26">
        <f t="shared" ca="1" si="22"/>
        <v>-0.17991189250061801</v>
      </c>
      <c r="F88" s="27">
        <f ca="1">IF($A88="","",Returns!$I$86)</f>
        <v>-8.0510289483941566E-3</v>
      </c>
      <c r="G88" s="60">
        <f t="shared" ca="1" si="23"/>
        <v>89.553424074072169</v>
      </c>
      <c r="H88" s="60">
        <f ca="1">IF($A88="","",MAX($G$7:G88))</f>
        <v>105.26900583100581</v>
      </c>
      <c r="I88" s="26">
        <f t="shared" ca="1" si="24"/>
        <v>-0.14928973284085856</v>
      </c>
      <c r="J88" s="59" t="str">
        <f t="shared" ca="1" si="25"/>
        <v>Mar-26</v>
      </c>
      <c r="K88" s="3"/>
      <c r="L88" t="str">
        <f t="shared" ca="1" si="13"/>
        <v>Mar-26</v>
      </c>
      <c r="M88" s="132">
        <f t="shared" ca="1" si="14"/>
        <v>94.277943541390641</v>
      </c>
      <c r="N88" s="132">
        <f t="shared" ca="1" si="15"/>
        <v>89.553424074072169</v>
      </c>
      <c r="P88" t="str">
        <f t="shared" ca="1" si="16"/>
        <v>Mar-26</v>
      </c>
      <c r="Q88" s="133">
        <f t="shared" ca="1" si="17"/>
        <v>-0.17991189250061801</v>
      </c>
      <c r="R88" s="133">
        <f t="shared" ca="1" si="18"/>
        <v>-0.14928973284085856</v>
      </c>
      <c r="T88" t="str">
        <f t="shared" ca="1" si="19"/>
        <v>Mar-26</v>
      </c>
      <c r="U88" s="134">
        <f t="shared" ca="1" si="20"/>
        <v>942779.43541390647</v>
      </c>
    </row>
    <row r="89" spans="1:21" x14ac:dyDescent="0.3">
      <c r="A89" s="10">
        <f ca="1">Returns!$A$87</f>
        <v>46118</v>
      </c>
      <c r="B89" s="27">
        <f ca="1">IF($A89="","",Returns!$J$87)</f>
        <v>4.9102788856759977E-2</v>
      </c>
      <c r="C89" s="60">
        <f t="shared" ca="1" si="21"/>
        <v>98.907253496953075</v>
      </c>
      <c r="D89" s="60">
        <f ca="1">IF($A89="","",MAX($C$7:C89))</f>
        <v>114.96074955758542</v>
      </c>
      <c r="E89" s="26">
        <f t="shared" ca="1" si="22"/>
        <v>-0.139643279314136</v>
      </c>
      <c r="F89" s="27">
        <f ca="1">IF($A89="","",Returns!$I$87)</f>
        <v>2.8518122385300826E-2</v>
      </c>
      <c r="G89" s="60">
        <f t="shared" ca="1" si="23"/>
        <v>92.107319581839306</v>
      </c>
      <c r="H89" s="60">
        <f ca="1">IF($A89="","",MAX($G$7:G89))</f>
        <v>105.26900583100581</v>
      </c>
      <c r="I89" s="26">
        <f t="shared" ca="1" si="24"/>
        <v>-0.12502907332758229</v>
      </c>
      <c r="J89" s="59" t="str">
        <f t="shared" ca="1" si="25"/>
        <v>Apr-26</v>
      </c>
      <c r="K89" s="3"/>
      <c r="L89" t="str">
        <f t="shared" ca="1" si="13"/>
        <v>Apr-26</v>
      </c>
      <c r="M89" s="132">
        <f t="shared" ca="1" si="14"/>
        <v>98.907253496953075</v>
      </c>
      <c r="N89" s="132">
        <f t="shared" ca="1" si="15"/>
        <v>92.107319581839306</v>
      </c>
      <c r="P89" t="str">
        <f t="shared" ca="1" si="16"/>
        <v>Apr-26</v>
      </c>
      <c r="Q89" s="133">
        <f t="shared" ca="1" si="17"/>
        <v>-0.139643279314136</v>
      </c>
      <c r="R89" s="133">
        <f t="shared" ca="1" si="18"/>
        <v>-0.12502907332758229</v>
      </c>
      <c r="T89" t="str">
        <f t="shared" ca="1" si="19"/>
        <v>Apr-26</v>
      </c>
      <c r="U89" s="134">
        <f t="shared" ca="1" si="20"/>
        <v>989072.53496953065</v>
      </c>
    </row>
    <row r="90" spans="1:21" x14ac:dyDescent="0.3">
      <c r="A90" s="10">
        <f ca="1">Returns!$A$88</f>
        <v>46125</v>
      </c>
      <c r="B90" s="27">
        <f ca="1">IF($A90="","",Returns!$J$88)</f>
        <v>1.8682937216473318E-3</v>
      </c>
      <c r="C90" s="60">
        <f t="shared" ca="1" si="21"/>
        <v>99.092041297686819</v>
      </c>
      <c r="D90" s="60">
        <f ca="1">IF($A90="","",MAX($C$7:C90))</f>
        <v>114.96074955758542</v>
      </c>
      <c r="E90" s="26">
        <f t="shared" ca="1" si="22"/>
        <v>-0.13803588025450153</v>
      </c>
      <c r="F90" s="27">
        <f ca="1">IF($A90="","",Returns!$I$88)</f>
        <v>3.8069961386914652E-2</v>
      </c>
      <c r="G90" s="60">
        <f t="shared" ca="1" si="23"/>
        <v>95.613841681772129</v>
      </c>
      <c r="H90" s="60">
        <f ca="1">IF($A90="","",MAX($G$7:G90))</f>
        <v>105.26900583100581</v>
      </c>
      <c r="I90" s="26">
        <f t="shared" ca="1" si="24"/>
        <v>-9.1718963934490416E-2</v>
      </c>
      <c r="J90" s="59" t="str">
        <f t="shared" ca="1" si="25"/>
        <v>Apr-26</v>
      </c>
      <c r="K90" s="3"/>
      <c r="L90" t="str">
        <f t="shared" ca="1" si="13"/>
        <v>Apr-26</v>
      </c>
      <c r="M90" s="132">
        <f t="shared" ca="1" si="14"/>
        <v>99.092041297686819</v>
      </c>
      <c r="N90" s="132">
        <f t="shared" ca="1" si="15"/>
        <v>95.613841681772129</v>
      </c>
      <c r="P90" t="str">
        <f t="shared" ca="1" si="16"/>
        <v>Apr-26</v>
      </c>
      <c r="Q90" s="133">
        <f t="shared" ca="1" si="17"/>
        <v>-0.13803588025450153</v>
      </c>
      <c r="R90" s="133">
        <f t="shared" ca="1" si="18"/>
        <v>-9.1718963934490416E-2</v>
      </c>
      <c r="T90" t="str">
        <f t="shared" ca="1" si="19"/>
        <v>Apr-26</v>
      </c>
      <c r="U90" s="134">
        <f t="shared" ca="1" si="20"/>
        <v>990920.4129768681</v>
      </c>
    </row>
    <row r="91" spans="1:21" x14ac:dyDescent="0.3">
      <c r="A91" s="10">
        <f ca="1">Returns!$A$89</f>
        <v>46132</v>
      </c>
      <c r="B91" s="27">
        <f ca="1">IF($A91="","",Returns!$J$89)</f>
        <v>-2.7808343483779051E-2</v>
      </c>
      <c r="C91" s="60">
        <f t="shared" ca="1" si="21"/>
        <v>96.336455776771928</v>
      </c>
      <c r="D91" s="60">
        <f ca="1">IF($A91="","",MAX($C$7:C91))</f>
        <v>114.96074955758542</v>
      </c>
      <c r="E91" s="26">
        <f t="shared" ca="1" si="22"/>
        <v>-0.1620056745670776</v>
      </c>
      <c r="F91" s="27">
        <f ca="1">IF($A91="","",Returns!$I$89)</f>
        <v>2.190189472204529E-2</v>
      </c>
      <c r="G91" s="60">
        <f t="shared" ca="1" si="23"/>
        <v>97.707965976256602</v>
      </c>
      <c r="H91" s="60">
        <f ca="1">IF($A91="","",MAX($G$7:G91))</f>
        <v>105.26900583100581</v>
      </c>
      <c r="I91" s="26">
        <f t="shared" ca="1" si="24"/>
        <v>-7.1825888304553498E-2</v>
      </c>
      <c r="J91" s="59" t="str">
        <f t="shared" ca="1" si="25"/>
        <v>Apr-26</v>
      </c>
      <c r="K91" s="3"/>
      <c r="L91" t="str">
        <f t="shared" ca="1" si="13"/>
        <v>Apr-26</v>
      </c>
      <c r="M91" s="132">
        <f t="shared" ca="1" si="14"/>
        <v>96.336455776771928</v>
      </c>
      <c r="N91" s="132">
        <f t="shared" ca="1" si="15"/>
        <v>97.707965976256602</v>
      </c>
      <c r="P91" t="str">
        <f t="shared" ca="1" si="16"/>
        <v>Apr-26</v>
      </c>
      <c r="Q91" s="133">
        <f t="shared" ca="1" si="17"/>
        <v>-0.1620056745670776</v>
      </c>
      <c r="R91" s="133">
        <f t="shared" ca="1" si="18"/>
        <v>-7.1825888304553498E-2</v>
      </c>
      <c r="T91" t="str">
        <f t="shared" ca="1" si="19"/>
        <v>Apr-26</v>
      </c>
      <c r="U91" s="134">
        <f t="shared" ca="1" si="20"/>
        <v>963364.55776771938</v>
      </c>
    </row>
    <row r="92" spans="1:21" x14ac:dyDescent="0.3">
      <c r="A92" s="10">
        <f ca="1">Returns!$A$90</f>
        <v>46139</v>
      </c>
      <c r="B92" s="27">
        <f ca="1">IF($A92="","",Returns!$J$90)</f>
        <v>2.4787279349254294E-2</v>
      </c>
      <c r="C92" s="60">
        <f t="shared" ca="1" si="21"/>
        <v>98.724374417627857</v>
      </c>
      <c r="D92" s="60">
        <f ca="1">IF($A92="","",MAX($C$7:C92))</f>
        <v>114.96074955758542</v>
      </c>
      <c r="E92" s="26">
        <f t="shared" ca="1" si="22"/>
        <v>-0.14123407512948183</v>
      </c>
      <c r="F92" s="27">
        <f ca="1">IF($A92="","",Returns!$I$90)</f>
        <v>-1.1169795627233525E-2</v>
      </c>
      <c r="G92" s="60">
        <f t="shared" ca="1" si="23"/>
        <v>96.616587965149122</v>
      </c>
      <c r="H92" s="60">
        <f ca="1">IF($A92="","",MAX($G$7:G92))</f>
        <v>105.26900583100581</v>
      </c>
      <c r="I92" s="26">
        <f t="shared" ca="1" si="24"/>
        <v>-8.2193403438680646E-2</v>
      </c>
      <c r="J92" s="59" t="str">
        <f t="shared" ca="1" si="25"/>
        <v>Apr-26</v>
      </c>
      <c r="K92" s="3"/>
      <c r="L92" t="str">
        <f t="shared" ca="1" si="13"/>
        <v>Apr-26</v>
      </c>
      <c r="M92" s="132">
        <f t="shared" ca="1" si="14"/>
        <v>98.724374417627857</v>
      </c>
      <c r="N92" s="132">
        <f t="shared" ca="1" si="15"/>
        <v>96.616587965149122</v>
      </c>
      <c r="P92" t="str">
        <f t="shared" ca="1" si="16"/>
        <v>Apr-26</v>
      </c>
      <c r="Q92" s="133">
        <f t="shared" ca="1" si="17"/>
        <v>-0.14123407512948183</v>
      </c>
      <c r="R92" s="133">
        <f t="shared" ca="1" si="18"/>
        <v>-8.2193403438680646E-2</v>
      </c>
      <c r="T92" t="str">
        <f t="shared" ca="1" si="19"/>
        <v>Apr-26</v>
      </c>
      <c r="U92" s="134">
        <f t="shared" ca="1" si="20"/>
        <v>987243.74417627859</v>
      </c>
    </row>
    <row r="93" spans="1:21" x14ac:dyDescent="0.3">
      <c r="A93" s="10">
        <f ca="1">Returns!$A$91</f>
        <v>46146</v>
      </c>
      <c r="B93" s="27">
        <f ca="1">IF($A93="","",Returns!$J$91)</f>
        <v>4.0381716195274512E-3</v>
      </c>
      <c r="C93" s="60">
        <f t="shared" ca="1" si="21"/>
        <v>99.123040384556731</v>
      </c>
      <c r="D93" s="60">
        <f ca="1">IF($A93="","",MAX($C$7:C93))</f>
        <v>114.96074955758542</v>
      </c>
      <c r="E93" s="26">
        <f t="shared" ca="1" si="22"/>
        <v>-0.13776623094385232</v>
      </c>
      <c r="F93" s="27">
        <f ca="1">IF($A93="","",Returns!$I$91)</f>
        <v>1.1041337568062914E-3</v>
      </c>
      <c r="G93" s="60">
        <f t="shared" ca="1" si="23"/>
        <v>96.723265601388889</v>
      </c>
      <c r="H93" s="60">
        <f ca="1">IF($A93="","",MAX($G$7:G93))</f>
        <v>105.26900583100581</v>
      </c>
      <c r="I93" s="26">
        <f t="shared" ca="1" si="24"/>
        <v>-8.1180022193197865E-2</v>
      </c>
      <c r="J93" s="59" t="str">
        <f t="shared" ca="1" si="25"/>
        <v>May-26</v>
      </c>
      <c r="K93" s="3"/>
      <c r="L93" t="str">
        <f t="shared" ca="1" si="13"/>
        <v>May-26</v>
      </c>
      <c r="M93" s="132">
        <f t="shared" ca="1" si="14"/>
        <v>99.123040384556731</v>
      </c>
      <c r="N93" s="132">
        <f t="shared" ca="1" si="15"/>
        <v>96.723265601388889</v>
      </c>
      <c r="P93" t="str">
        <f t="shared" ca="1" si="16"/>
        <v>May-26</v>
      </c>
      <c r="Q93" s="133">
        <f t="shared" ca="1" si="17"/>
        <v>-0.13776623094385232</v>
      </c>
      <c r="R93" s="133">
        <f t="shared" ca="1" si="18"/>
        <v>-8.1180022193197865E-2</v>
      </c>
      <c r="T93" t="str">
        <f t="shared" ca="1" si="19"/>
        <v>May-26</v>
      </c>
      <c r="U93" s="134">
        <f t="shared" ca="1" si="20"/>
        <v>991230.40384556726</v>
      </c>
    </row>
    <row r="94" spans="1:21" x14ac:dyDescent="0.3">
      <c r="A94" s="10">
        <f ca="1">Returns!$A$92</f>
        <v>46153</v>
      </c>
      <c r="B94" s="27">
        <f ca="1">IF($A94="","",Returns!$J$92)</f>
        <v>-1.6683110764752901E-2</v>
      </c>
      <c r="C94" s="60">
        <f t="shared" ca="1" si="21"/>
        <v>97.469359722482096</v>
      </c>
      <c r="D94" s="60">
        <f ca="1">IF($A94="","",MAX($C$7:C94))</f>
        <v>114.96074955758542</v>
      </c>
      <c r="E94" s="26">
        <f t="shared" ca="1" si="22"/>
        <v>-0.15215097241812647</v>
      </c>
      <c r="F94" s="27">
        <f ca="1">IF($A94="","",Returns!$I$92)</f>
        <v>-1.2581259076585583E-2</v>
      </c>
      <c r="G94" s="60">
        <f t="shared" ca="1" si="23"/>
        <v>95.506365138124423</v>
      </c>
      <c r="H94" s="60">
        <f ca="1">IF($A94="","",MAX($G$7:G94))</f>
        <v>105.26900583100581</v>
      </c>
      <c r="I94" s="26">
        <f t="shared" ca="1" si="24"/>
        <v>-9.273993437872774E-2</v>
      </c>
      <c r="J94" s="59" t="str">
        <f t="shared" ca="1" si="25"/>
        <v>May-26</v>
      </c>
      <c r="K94" s="3"/>
      <c r="L94" t="str">
        <f t="shared" ca="1" si="13"/>
        <v>May-26</v>
      </c>
      <c r="M94" s="132">
        <f t="shared" ca="1" si="14"/>
        <v>97.469359722482096</v>
      </c>
      <c r="N94" s="132">
        <f t="shared" ca="1" si="15"/>
        <v>95.506365138124423</v>
      </c>
      <c r="P94" t="str">
        <f t="shared" ca="1" si="16"/>
        <v>May-26</v>
      </c>
      <c r="Q94" s="133">
        <f t="shared" ca="1" si="17"/>
        <v>-0.15215097241812647</v>
      </c>
      <c r="R94" s="133">
        <f t="shared" ca="1" si="18"/>
        <v>-9.273993437872774E-2</v>
      </c>
      <c r="T94" t="str">
        <f t="shared" ca="1" si="19"/>
        <v>May-26</v>
      </c>
      <c r="U94" s="134">
        <f t="shared" ca="1" si="20"/>
        <v>974693.59722482099</v>
      </c>
    </row>
    <row r="95" spans="1:21" x14ac:dyDescent="0.3">
      <c r="A95" s="10">
        <f ca="1">Returns!$A$93</f>
        <v>46160</v>
      </c>
      <c r="B95" s="27">
        <f ca="1">IF($A95="","",Returns!$J$93)</f>
        <v>-1.4535262267617701E-3</v>
      </c>
      <c r="C95" s="60">
        <f t="shared" ca="1" si="21"/>
        <v>97.327685451819789</v>
      </c>
      <c r="D95" s="60">
        <f ca="1">IF($A95="","",MAX($C$7:C95))</f>
        <v>114.96074955758542</v>
      </c>
      <c r="E95" s="26">
        <f t="shared" ca="1" si="22"/>
        <v>-0.15338334321605118</v>
      </c>
      <c r="F95" s="27">
        <f ca="1">IF($A95="","",Returns!$I$93)</f>
        <v>-6.9659656634586398E-3</v>
      </c>
      <c r="G95" s="60">
        <f t="shared" ca="1" si="23"/>
        <v>94.841071077930508</v>
      </c>
      <c r="H95" s="60">
        <f ca="1">IF($A95="","",MAX($G$7:G95))</f>
        <v>105.26900583100581</v>
      </c>
      <c r="I95" s="26">
        <f t="shared" ca="1" si="24"/>
        <v>-9.9059876843672789E-2</v>
      </c>
      <c r="J95" s="59" t="str">
        <f t="shared" ca="1" si="25"/>
        <v>May-26</v>
      </c>
      <c r="K95" s="3"/>
      <c r="L95" t="str">
        <f t="shared" ca="1" si="13"/>
        <v>May-26</v>
      </c>
      <c r="M95" s="132">
        <f t="shared" ca="1" si="14"/>
        <v>97.327685451819789</v>
      </c>
      <c r="N95" s="132">
        <f t="shared" ca="1" si="15"/>
        <v>94.841071077930508</v>
      </c>
      <c r="P95" t="str">
        <f t="shared" ca="1" si="16"/>
        <v>May-26</v>
      </c>
      <c r="Q95" s="133">
        <f t="shared" ca="1" si="17"/>
        <v>-0.15338334321605118</v>
      </c>
      <c r="R95" s="133">
        <f t="shared" ca="1" si="18"/>
        <v>-9.9059876843672789E-2</v>
      </c>
      <c r="T95" t="str">
        <f t="shared" ca="1" si="19"/>
        <v>May-26</v>
      </c>
      <c r="U95" s="134">
        <f t="shared" ca="1" si="20"/>
        <v>973276.85451819794</v>
      </c>
    </row>
    <row r="96" spans="1:21" x14ac:dyDescent="0.3">
      <c r="A96" s="10">
        <f ca="1">Returns!$A$94</f>
        <v>46167</v>
      </c>
      <c r="B96" s="27">
        <f ca="1">IF($A96="","",Returns!$J$94)</f>
        <v>-5.082038160955816E-3</v>
      </c>
      <c r="C96" s="60">
        <f t="shared" ca="1" si="21"/>
        <v>96.833062440236134</v>
      </c>
      <c r="D96" s="60">
        <f ca="1">IF($A96="","",MAX($C$7:C96))</f>
        <v>114.96074955758542</v>
      </c>
      <c r="E96" s="26">
        <f t="shared" ca="1" si="22"/>
        <v>-0.15768588137352801</v>
      </c>
      <c r="F96" s="27">
        <f ca="1">IF($A96="","",Returns!$I$94)</f>
        <v>1.6141683708028598E-2</v>
      </c>
      <c r="G96" s="60">
        <f t="shared" ca="1" si="23"/>
        <v>96.371965649801126</v>
      </c>
      <c r="H96" s="60">
        <f ca="1">IF($A96="","",MAX($G$7:G96))</f>
        <v>105.26900583100581</v>
      </c>
      <c r="I96" s="26">
        <f t="shared" ca="1" si="24"/>
        <v>-8.4517186335810957E-2</v>
      </c>
      <c r="J96" s="59" t="str">
        <f t="shared" ca="1" si="25"/>
        <v>May-26</v>
      </c>
      <c r="K96" s="3"/>
      <c r="L96" t="str">
        <f t="shared" ca="1" si="13"/>
        <v>May-26</v>
      </c>
      <c r="M96" s="132">
        <f t="shared" ca="1" si="14"/>
        <v>96.833062440236134</v>
      </c>
      <c r="N96" s="132">
        <f t="shared" ca="1" si="15"/>
        <v>96.371965649801126</v>
      </c>
      <c r="P96" t="str">
        <f t="shared" ca="1" si="16"/>
        <v>May-26</v>
      </c>
      <c r="Q96" s="133">
        <f t="shared" ca="1" si="17"/>
        <v>-0.15768588137352801</v>
      </c>
      <c r="R96" s="133">
        <f t="shared" ca="1" si="18"/>
        <v>-8.4517186335810957E-2</v>
      </c>
      <c r="T96" t="str">
        <f t="shared" ca="1" si="19"/>
        <v>May-26</v>
      </c>
      <c r="U96" s="134">
        <f t="shared" ca="1" si="20"/>
        <v>968330.62440236134</v>
      </c>
    </row>
    <row r="97" spans="1:21" x14ac:dyDescent="0.3">
      <c r="A97" s="10">
        <f ca="1">Returns!$A$95</f>
        <v>46174</v>
      </c>
      <c r="B97" s="27">
        <f ca="1">IF($A97="","",Returns!$J$95)</f>
        <v>-1.4404731022372622E-2</v>
      </c>
      <c r="C97" s="60">
        <f t="shared" ca="1" si="21"/>
        <v>95.438208221711918</v>
      </c>
      <c r="D97" s="60">
        <f ca="1">IF($A97="","",MAX($C$7:C97))</f>
        <v>114.96074955758542</v>
      </c>
      <c r="E97" s="26">
        <f t="shared" ca="1" si="22"/>
        <v>-0.16981918968868925</v>
      </c>
      <c r="F97" s="27">
        <f ca="1">IF($A97="","",Returns!$I$95)</f>
        <v>-2.701014204058283E-2</v>
      </c>
      <c r="G97" s="60">
        <f t="shared" ca="1" si="23"/>
        <v>93.768945168869834</v>
      </c>
      <c r="H97" s="60">
        <f ca="1">IF($A97="","",MAX($G$7:G97))</f>
        <v>105.26900583100581</v>
      </c>
      <c r="I97" s="26">
        <f t="shared" ca="1" si="24"/>
        <v>-0.10924450716859302</v>
      </c>
      <c r="J97" s="59" t="str">
        <f t="shared" ca="1" si="25"/>
        <v>Jun-26</v>
      </c>
      <c r="K97" s="3"/>
      <c r="L97" t="str">
        <f t="shared" ca="1" si="13"/>
        <v>Jun-26</v>
      </c>
      <c r="M97" s="132">
        <f t="shared" ca="1" si="14"/>
        <v>95.438208221711918</v>
      </c>
      <c r="N97" s="132">
        <f t="shared" ca="1" si="15"/>
        <v>93.768945168869834</v>
      </c>
      <c r="P97" t="str">
        <f t="shared" ca="1" si="16"/>
        <v>Jun-26</v>
      </c>
      <c r="Q97" s="133">
        <f t="shared" ca="1" si="17"/>
        <v>-0.16981918968868925</v>
      </c>
      <c r="R97" s="133">
        <f t="shared" ca="1" si="18"/>
        <v>-0.10924450716859302</v>
      </c>
      <c r="T97" t="str">
        <f t="shared" ca="1" si="19"/>
        <v>Jun-26</v>
      </c>
      <c r="U97" s="134">
        <f t="shared" ca="1" si="20"/>
        <v>954382.08221711917</v>
      </c>
    </row>
    <row r="98" spans="1:21" x14ac:dyDescent="0.3">
      <c r="A98" s="10">
        <f ca="1">Returns!$A$96</f>
        <v>46181</v>
      </c>
      <c r="B98" s="27">
        <f ca="1">IF($A98="","",Returns!$J$96)</f>
        <v>9.2582136676796212E-3</v>
      </c>
      <c r="C98" s="60">
        <f t="shared" ca="1" si="21"/>
        <v>96.32179554548901</v>
      </c>
      <c r="D98" s="60">
        <f ca="1">IF($A98="","",MAX($C$7:C98))</f>
        <v>114.96074955758542</v>
      </c>
      <c r="E98" s="26">
        <f t="shared" ca="1" si="22"/>
        <v>-0.16213319836401985</v>
      </c>
      <c r="F98" s="27">
        <f ca="1">IF($A98="","",Returns!$I$96)</f>
        <v>-1.1102256109749131E-2</v>
      </c>
      <c r="G98" s="60">
        <f t="shared" ca="1" si="23"/>
        <v>92.727898324464022</v>
      </c>
      <c r="H98" s="60">
        <f ca="1">IF($A98="","",MAX($G$7:G98))</f>
        <v>105.26900583100581</v>
      </c>
      <c r="I98" s="26">
        <f t="shared" ca="1" si="24"/>
        <v>-0.11913390278117308</v>
      </c>
      <c r="J98" s="59" t="str">
        <f t="shared" ca="1" si="25"/>
        <v>Jun-26</v>
      </c>
      <c r="K98" s="3"/>
      <c r="L98" t="str">
        <f t="shared" ca="1" si="13"/>
        <v>Jun-26</v>
      </c>
      <c r="M98" s="132">
        <f t="shared" ca="1" si="14"/>
        <v>96.32179554548901</v>
      </c>
      <c r="N98" s="132">
        <f t="shared" ca="1" si="15"/>
        <v>92.727898324464022</v>
      </c>
      <c r="P98" t="str">
        <f t="shared" ca="1" si="16"/>
        <v>Jun-26</v>
      </c>
      <c r="Q98" s="133">
        <f t="shared" ca="1" si="17"/>
        <v>-0.16213319836401985</v>
      </c>
      <c r="R98" s="133">
        <f t="shared" ca="1" si="18"/>
        <v>-0.11913390278117308</v>
      </c>
      <c r="T98" t="str">
        <f t="shared" ca="1" si="19"/>
        <v>Jun-26</v>
      </c>
      <c r="U98" s="134">
        <f t="shared" ca="1" si="20"/>
        <v>963217.95545489015</v>
      </c>
    </row>
    <row r="99" spans="1:21" x14ac:dyDescent="0.3">
      <c r="A99" s="10">
        <f ca="1">Returns!$A$97</f>
        <v>46188</v>
      </c>
      <c r="B99" s="27">
        <f ca="1">IF($A99="","",Returns!$J$97)</f>
        <v>1.5970534087474734E-2</v>
      </c>
      <c r="C99" s="60">
        <f t="shared" ca="1" si="21"/>
        <v>97.86010606461501</v>
      </c>
      <c r="D99" s="60">
        <f ca="1">IF($A99="","",MAX($C$7:C99))</f>
        <v>114.96074955758542</v>
      </c>
      <c r="E99" s="26">
        <f t="shared" ca="1" si="22"/>
        <v>-0.14875201804772908</v>
      </c>
      <c r="F99" s="27">
        <f ca="1">IF($A99="","",Returns!$I$97)</f>
        <v>3.160923715024011E-2</v>
      </c>
      <c r="G99" s="60">
        <f t="shared" ca="1" si="23"/>
        <v>95.658956453045363</v>
      </c>
      <c r="H99" s="60">
        <f ca="1">IF($A99="","",MAX($G$7:G99))</f>
        <v>105.26900583100581</v>
      </c>
      <c r="I99" s="26">
        <f t="shared" ca="1" si="24"/>
        <v>-9.1290397416576741E-2</v>
      </c>
      <c r="J99" s="59" t="str">
        <f t="shared" ca="1" si="25"/>
        <v>Jun-26</v>
      </c>
      <c r="K99" s="3"/>
      <c r="L99" t="str">
        <f t="shared" ca="1" si="13"/>
        <v>Jun-26</v>
      </c>
      <c r="M99" s="132">
        <f t="shared" ca="1" si="14"/>
        <v>97.86010606461501</v>
      </c>
      <c r="N99" s="132">
        <f t="shared" ca="1" si="15"/>
        <v>95.658956453045363</v>
      </c>
      <c r="P99" t="str">
        <f t="shared" ca="1" si="16"/>
        <v>Jun-26</v>
      </c>
      <c r="Q99" s="133">
        <f t="shared" ca="1" si="17"/>
        <v>-0.14875201804772908</v>
      </c>
      <c r="R99" s="133">
        <f t="shared" ca="1" si="18"/>
        <v>-9.1290397416576741E-2</v>
      </c>
      <c r="T99" t="str">
        <f t="shared" ca="1" si="19"/>
        <v>Jun-26</v>
      </c>
      <c r="U99" s="134">
        <f t="shared" ca="1" si="20"/>
        <v>978601.06064615014</v>
      </c>
    </row>
    <row r="100" spans="1:21" x14ac:dyDescent="0.3">
      <c r="A100" s="10">
        <f ca="1">Returns!$A$98</f>
        <v>46195</v>
      </c>
      <c r="B100" s="27">
        <f ca="1">IF($A100="","",Returns!$J$98)</f>
        <v>8.7079023085450836E-3</v>
      </c>
      <c r="C100" s="60">
        <f t="shared" ca="1" si="21"/>
        <v>98.712262308129525</v>
      </c>
      <c r="D100" s="60">
        <f ca="1">IF($A100="","",MAX($C$7:C100))</f>
        <v>114.96074955758542</v>
      </c>
      <c r="E100" s="26">
        <f t="shared" ca="1" si="22"/>
        <v>-0.1413394337805427</v>
      </c>
      <c r="F100" s="27">
        <f ca="1">IF($A100="","",Returns!$I$98)</f>
        <v>1.0438544469560274E-2</v>
      </c>
      <c r="G100" s="60">
        <f t="shared" ca="1" si="23"/>
        <v>96.657496723892208</v>
      </c>
      <c r="H100" s="60">
        <f ca="1">IF($A100="","",MAX($G$7:G100))</f>
        <v>105.26900583100581</v>
      </c>
      <c r="I100" s="26">
        <f t="shared" ca="1" si="24"/>
        <v>-8.1804791820093148E-2</v>
      </c>
      <c r="J100" s="59" t="str">
        <f t="shared" ca="1" si="25"/>
        <v>Jun-26</v>
      </c>
      <c r="K100" s="3"/>
      <c r="L100" t="str">
        <f t="shared" ca="1" si="13"/>
        <v>Jun-26</v>
      </c>
      <c r="M100" s="132">
        <f t="shared" ca="1" si="14"/>
        <v>98.712262308129525</v>
      </c>
      <c r="N100" s="132">
        <f t="shared" ca="1" si="15"/>
        <v>96.657496723892208</v>
      </c>
      <c r="P100" t="str">
        <f t="shared" ca="1" si="16"/>
        <v>Jun-26</v>
      </c>
      <c r="Q100" s="133">
        <f t="shared" ca="1" si="17"/>
        <v>-0.1413394337805427</v>
      </c>
      <c r="R100" s="133">
        <f t="shared" ca="1" si="18"/>
        <v>-8.1804791820093148E-2</v>
      </c>
      <c r="T100" t="str">
        <f t="shared" ca="1" si="19"/>
        <v>Jun-26</v>
      </c>
      <c r="U100" s="134">
        <f t="shared" ca="1" si="20"/>
        <v>987122.62308129517</v>
      </c>
    </row>
    <row r="101" spans="1:21" x14ac:dyDescent="0.3">
      <c r="A101" s="10">
        <f ca="1">Returns!$A$99</f>
        <v>46202</v>
      </c>
      <c r="B101" s="27">
        <f ca="1">IF($A101="","",Returns!$J$99)</f>
        <v>7.032534673079403E-3</v>
      </c>
      <c r="C101" s="60">
        <f t="shared" ca="1" si="21"/>
        <v>99.406459715469538</v>
      </c>
      <c r="D101" s="60">
        <f ca="1">IF($A101="","",MAX($C$7:C101))</f>
        <v>114.96074955758542</v>
      </c>
      <c r="E101" s="26">
        <f t="shared" ca="1" si="22"/>
        <v>-0.13530087357619847</v>
      </c>
      <c r="F101" s="27">
        <f ca="1">IF($A101="","",Returns!$I$99)</f>
        <v>-6.4992340376567315E-3</v>
      </c>
      <c r="G101" s="60">
        <f t="shared" ca="1" si="23"/>
        <v>96.0292970311896</v>
      </c>
      <c r="H101" s="60">
        <f ca="1">IF($A101="","",MAX($G$7:G101))</f>
        <v>105.26900583100581</v>
      </c>
      <c r="I101" s="26">
        <f t="shared" ca="1" si="24"/>
        <v>-8.7772357370309306E-2</v>
      </c>
      <c r="J101" s="59" t="str">
        <f t="shared" ca="1" si="25"/>
        <v>Jun-26</v>
      </c>
      <c r="K101" s="3"/>
      <c r="L101" t="str">
        <f t="shared" ca="1" si="13"/>
        <v>Jun-26</v>
      </c>
      <c r="M101" s="132">
        <f t="shared" ca="1" si="14"/>
        <v>99.406459715469538</v>
      </c>
      <c r="N101" s="132">
        <f t="shared" ca="1" si="15"/>
        <v>96.0292970311896</v>
      </c>
      <c r="P101" t="str">
        <f t="shared" ca="1" si="16"/>
        <v>Jun-26</v>
      </c>
      <c r="Q101" s="133">
        <f t="shared" ca="1" si="17"/>
        <v>-0.13530087357619847</v>
      </c>
      <c r="R101" s="133">
        <f t="shared" ca="1" si="18"/>
        <v>-8.7772357370309306E-2</v>
      </c>
      <c r="T101" t="str">
        <f t="shared" ca="1" si="19"/>
        <v>Jun-26</v>
      </c>
      <c r="U101" s="134">
        <f t="shared" ca="1" si="20"/>
        <v>994064.59715469542</v>
      </c>
    </row>
    <row r="102" spans="1:21" x14ac:dyDescent="0.3">
      <c r="A102" s="10">
        <f ca="1">Returns!$A$100</f>
        <v>46209</v>
      </c>
      <c r="B102" s="27">
        <f ca="1">IF($A102="","",Returns!$J$100)</f>
        <v>-7.1907944930772261E-4</v>
      </c>
      <c r="C102" s="60">
        <f t="shared" ca="1" si="21"/>
        <v>99.334978573159702</v>
      </c>
      <c r="D102" s="60">
        <f ca="1">IF($A102="","",MAX($C$7:C102))</f>
        <v>114.96074955758542</v>
      </c>
      <c r="E102" s="26">
        <f t="shared" ca="1" si="22"/>
        <v>-0.13592266094784422</v>
      </c>
      <c r="F102" s="27">
        <f ca="1">IF($A102="","",Returns!$I$100)</f>
        <v>2.0216092681526243E-2</v>
      </c>
      <c r="G102" s="60">
        <f t="shared" ca="1" si="23"/>
        <v>97.970634200113935</v>
      </c>
      <c r="H102" s="60">
        <f ca="1">IF($A102="","",MAX($G$7:G102))</f>
        <v>105.26900583100581</v>
      </c>
      <c r="I102" s="26">
        <f t="shared" ca="1" si="24"/>
        <v>-6.9330678800257339E-2</v>
      </c>
      <c r="J102" s="59" t="str">
        <f t="shared" ca="1" si="25"/>
        <v>Jul-26</v>
      </c>
      <c r="K102" s="3"/>
      <c r="L102" t="str">
        <f t="shared" ca="1" si="13"/>
        <v>Jul-26</v>
      </c>
      <c r="M102" s="132">
        <f t="shared" ca="1" si="14"/>
        <v>99.334978573159702</v>
      </c>
      <c r="N102" s="132">
        <f t="shared" ca="1" si="15"/>
        <v>97.970634200113935</v>
      </c>
      <c r="P102" t="str">
        <f t="shared" ca="1" si="16"/>
        <v>Jul-26</v>
      </c>
      <c r="Q102" s="133">
        <f t="shared" ca="1" si="17"/>
        <v>-0.13592266094784422</v>
      </c>
      <c r="R102" s="133">
        <f t="shared" ca="1" si="18"/>
        <v>-6.9330678800257339E-2</v>
      </c>
      <c r="T102" t="str">
        <f t="shared" ca="1" si="19"/>
        <v>Jul-26</v>
      </c>
      <c r="U102" s="134">
        <f t="shared" ca="1" si="20"/>
        <v>993349.78573159711</v>
      </c>
    </row>
    <row r="103" spans="1:21" x14ac:dyDescent="0.3">
      <c r="A103" s="10">
        <f ca="1">Returns!$A$101</f>
        <v>46216</v>
      </c>
      <c r="B103" s="27">
        <f ca="1">IF($A103="","",Returns!$J$101)</f>
        <v>-2.2160486434992725E-3</v>
      </c>
      <c r="C103" s="60">
        <f t="shared" ca="1" si="21"/>
        <v>99.11484742864063</v>
      </c>
      <c r="D103" s="60">
        <f ca="1">IF($A103="","",MAX($C$7:C103))</f>
        <v>114.96074955758542</v>
      </c>
      <c r="E103" s="26">
        <f t="shared" ca="1" si="22"/>
        <v>-0.13783749836292913</v>
      </c>
      <c r="F103" s="27">
        <f ca="1">IF($A103="","",Returns!$I$101)</f>
        <v>-8.9785702162373804E-3</v>
      </c>
      <c r="G103" s="60">
        <f t="shared" ca="1" si="23"/>
        <v>97.090997981818902</v>
      </c>
      <c r="H103" s="60">
        <f ca="1">IF($A103="","",MAX($G$7:G103))</f>
        <v>105.26900583100581</v>
      </c>
      <c r="I103" s="26">
        <f t="shared" ca="1" si="24"/>
        <v>-7.768675864874719E-2</v>
      </c>
      <c r="J103" s="59" t="str">
        <f t="shared" ca="1" si="25"/>
        <v>Jul-26</v>
      </c>
      <c r="K103" s="3"/>
      <c r="L103" t="str">
        <f t="shared" ca="1" si="13"/>
        <v>Jul-26</v>
      </c>
      <c r="M103" s="132">
        <f t="shared" ca="1" si="14"/>
        <v>99.11484742864063</v>
      </c>
      <c r="N103" s="132">
        <f t="shared" ca="1" si="15"/>
        <v>97.090997981818902</v>
      </c>
      <c r="P103" t="str">
        <f t="shared" ca="1" si="16"/>
        <v>Jul-26</v>
      </c>
      <c r="Q103" s="133">
        <f t="shared" ca="1" si="17"/>
        <v>-0.13783749836292913</v>
      </c>
      <c r="R103" s="133">
        <f t="shared" ca="1" si="18"/>
        <v>-7.768675864874719E-2</v>
      </c>
      <c r="T103" t="str">
        <f t="shared" ca="1" si="19"/>
        <v>Jul-26</v>
      </c>
      <c r="U103" s="134">
        <f t="shared" ca="1" si="20"/>
        <v>991148.4742864063</v>
      </c>
    </row>
    <row r="104" spans="1:21" x14ac:dyDescent="0.3">
      <c r="A104" s="10">
        <f ca="1">Returns!$A$102</f>
        <v>46223</v>
      </c>
      <c r="B104" s="27">
        <f ca="1">IF($A104="","",Returns!$J$102)</f>
        <v>-2.3282916141730975E-2</v>
      </c>
      <c r="C104" s="60">
        <f t="shared" ca="1" si="21"/>
        <v>96.807164747559128</v>
      </c>
      <c r="D104" s="60">
        <f ca="1">IF($A104="","",MAX($C$7:C104))</f>
        <v>114.96074955758542</v>
      </c>
      <c r="E104" s="26">
        <f t="shared" ca="1" si="22"/>
        <v>-0.15791115558909008</v>
      </c>
      <c r="F104" s="27">
        <f ca="1">IF($A104="","",Returns!$I$102)</f>
        <v>1.1358473421172466E-3</v>
      </c>
      <c r="G104" s="60">
        <f t="shared" ca="1" si="23"/>
        <v>97.201278533820059</v>
      </c>
      <c r="H104" s="60">
        <f ca="1">IF($A104="","",MAX($G$7:G104))</f>
        <v>105.26900583100581</v>
      </c>
      <c r="I104" s="26">
        <f t="shared" ca="1" si="24"/>
        <v>-7.6639151604958933E-2</v>
      </c>
      <c r="J104" s="59" t="str">
        <f t="shared" ca="1" si="25"/>
        <v>Jul-26</v>
      </c>
      <c r="K104" s="3"/>
      <c r="L104" t="str">
        <f t="shared" ca="1" si="13"/>
        <v>Jul-26</v>
      </c>
      <c r="M104" s="132">
        <f t="shared" ca="1" si="14"/>
        <v>96.807164747559128</v>
      </c>
      <c r="N104" s="132">
        <f t="shared" ca="1" si="15"/>
        <v>97.201278533820059</v>
      </c>
      <c r="P104" t="str">
        <f t="shared" ca="1" si="16"/>
        <v>Jul-26</v>
      </c>
      <c r="Q104" s="133">
        <f t="shared" ca="1" si="17"/>
        <v>-0.15791115558909008</v>
      </c>
      <c r="R104" s="133">
        <f t="shared" ca="1" si="18"/>
        <v>-7.6639151604958933E-2</v>
      </c>
      <c r="T104" t="str">
        <f t="shared" ca="1" si="19"/>
        <v>Jul-26</v>
      </c>
      <c r="U104" s="134">
        <f t="shared" ca="1" si="20"/>
        <v>968071.64747559128</v>
      </c>
    </row>
    <row r="105" spans="1:21" x14ac:dyDescent="0.3">
      <c r="A105" s="10">
        <f ca="1">Returns!$A$103</f>
        <v>46230</v>
      </c>
      <c r="B105" s="27">
        <f ca="1">IF($A105="","",Returns!$J$103)</f>
        <v>3.5714936391980416E-2</v>
      </c>
      <c r="C105" s="60">
        <f t="shared" ca="1" si="21"/>
        <v>100.26462647880618</v>
      </c>
      <c r="D105" s="60">
        <f ca="1">IF($A105="","",MAX($C$7:C105))</f>
        <v>114.96074955758542</v>
      </c>
      <c r="E105" s="26">
        <f t="shared" ca="1" si="22"/>
        <v>-0.12783600607455803</v>
      </c>
      <c r="F105" s="27">
        <f ca="1">IF($A105="","",Returns!$I$103)</f>
        <v>-1.0006839583720062E-2</v>
      </c>
      <c r="G105" s="60">
        <f t="shared" ca="1" si="23"/>
        <v>96.228600932199626</v>
      </c>
      <c r="H105" s="60">
        <f ca="1">IF($A105="","",MAX($G$7:G105))</f>
        <v>105.26900583100581</v>
      </c>
      <c r="I105" s="26">
        <f t="shared" ca="1" si="24"/>
        <v>-8.5879075492735768E-2</v>
      </c>
      <c r="J105" s="59" t="str">
        <f t="shared" ca="1" si="25"/>
        <v>Jul-26</v>
      </c>
      <c r="K105" s="3"/>
      <c r="L105" t="str">
        <f t="shared" ca="1" si="13"/>
        <v>Jul-26</v>
      </c>
      <c r="M105" s="132">
        <f t="shared" ca="1" si="14"/>
        <v>100.26462647880618</v>
      </c>
      <c r="N105" s="132">
        <f t="shared" ca="1" si="15"/>
        <v>96.228600932199626</v>
      </c>
      <c r="P105" t="str">
        <f t="shared" ca="1" si="16"/>
        <v>Jul-26</v>
      </c>
      <c r="Q105" s="133">
        <f t="shared" ca="1" si="17"/>
        <v>-0.12783600607455803</v>
      </c>
      <c r="R105" s="133">
        <f t="shared" ca="1" si="18"/>
        <v>-8.5879075492735768E-2</v>
      </c>
      <c r="T105" t="str">
        <f t="shared" ca="1" si="19"/>
        <v>Jul-26</v>
      </c>
      <c r="U105" s="134">
        <f t="shared" ca="1" si="20"/>
        <v>1002646.2647880618</v>
      </c>
    </row>
    <row r="106" spans="1:21" x14ac:dyDescent="0.3">
      <c r="A106" s="10">
        <f ca="1">Returns!$A$104</f>
        <v>46237</v>
      </c>
      <c r="B106" s="27">
        <f ca="1">IF($A106="","",Returns!$J$104)</f>
        <v>2.7733039356400285E-3</v>
      </c>
      <c r="C106" s="60">
        <f t="shared" ca="1" si="21"/>
        <v>100.54269076202534</v>
      </c>
      <c r="D106" s="60">
        <f ca="1">IF($A106="","",MAX($C$7:C106))</f>
        <v>114.96074955758542</v>
      </c>
      <c r="E106" s="26">
        <f t="shared" ca="1" si="22"/>
        <v>-0.12541723023768092</v>
      </c>
      <c r="F106" s="27">
        <f ca="1">IF($A106="","",Returns!$I$104)</f>
        <v>3.2436789868341975E-2</v>
      </c>
      <c r="G106" s="60">
        <f t="shared" ca="1" si="23"/>
        <v>99.349947839961928</v>
      </c>
      <c r="H106" s="60">
        <f ca="1">IF($A106="","",MAX($G$7:G106))</f>
        <v>105.26900583100581</v>
      </c>
      <c r="I106" s="26">
        <f t="shared" ca="1" si="24"/>
        <v>-5.6227927150239054E-2</v>
      </c>
      <c r="J106" s="59" t="str">
        <f t="shared" ca="1" si="25"/>
        <v>Aug-26</v>
      </c>
      <c r="K106" s="3"/>
      <c r="L106" t="str">
        <f t="shared" ca="1" si="13"/>
        <v>Aug-26</v>
      </c>
      <c r="M106" s="132">
        <f t="shared" ca="1" si="14"/>
        <v>100.54269076202534</v>
      </c>
      <c r="N106" s="132">
        <f t="shared" ca="1" si="15"/>
        <v>99.349947839961928</v>
      </c>
      <c r="P106" t="str">
        <f t="shared" ca="1" si="16"/>
        <v>Aug-26</v>
      </c>
      <c r="Q106" s="133">
        <f t="shared" ca="1" si="17"/>
        <v>-0.12541723023768092</v>
      </c>
      <c r="R106" s="133">
        <f t="shared" ca="1" si="18"/>
        <v>-5.6227927150239054E-2</v>
      </c>
      <c r="T106" t="str">
        <f t="shared" ca="1" si="19"/>
        <v>Aug-26</v>
      </c>
      <c r="U106" s="134">
        <f t="shared" ca="1" si="20"/>
        <v>1005426.9076202534</v>
      </c>
    </row>
    <row r="107" spans="1:21" x14ac:dyDescent="0.3">
      <c r="A107" s="10">
        <f ca="1">Returns!$A$105</f>
        <v>46244</v>
      </c>
      <c r="B107" s="27">
        <f ca="1">IF($A107="","",Returns!$J$105)</f>
        <v>-5.2363163200739122E-3</v>
      </c>
      <c r="C107" s="60">
        <f t="shared" ca="1" si="21"/>
        <v>100.016217429524</v>
      </c>
      <c r="D107" s="60">
        <f ca="1">IF($A107="","",MAX($C$7:C107))</f>
        <v>114.96074955758542</v>
      </c>
      <c r="E107" s="26">
        <f t="shared" ca="1" si="22"/>
        <v>-0.12999682226824283</v>
      </c>
      <c r="F107" s="27">
        <f ca="1">IF($A107="","",Returns!$I$105)</f>
        <v>-7.6894198420395243E-3</v>
      </c>
      <c r="G107" s="60">
        <f t="shared" ca="1" si="23"/>
        <v>98.586004379735726</v>
      </c>
      <c r="H107" s="60">
        <f ca="1">IF($A107="","",MAX($G$7:G107))</f>
        <v>105.26900583100581</v>
      </c>
      <c r="I107" s="26">
        <f t="shared" ca="1" si="24"/>
        <v>-6.3484986853572845E-2</v>
      </c>
      <c r="J107" s="59" t="str">
        <f t="shared" ca="1" si="25"/>
        <v>Aug-26</v>
      </c>
      <c r="K107" s="3"/>
      <c r="L107" t="str">
        <f t="shared" ca="1" si="13"/>
        <v>Aug-26</v>
      </c>
      <c r="M107" s="132">
        <f t="shared" ca="1" si="14"/>
        <v>100.016217429524</v>
      </c>
      <c r="N107" s="132">
        <f t="shared" ca="1" si="15"/>
        <v>98.586004379735726</v>
      </c>
      <c r="P107" t="str">
        <f t="shared" ca="1" si="16"/>
        <v>Aug-26</v>
      </c>
      <c r="Q107" s="133">
        <f t="shared" ca="1" si="17"/>
        <v>-0.12999682226824283</v>
      </c>
      <c r="R107" s="133">
        <f t="shared" ca="1" si="18"/>
        <v>-6.3484986853572845E-2</v>
      </c>
      <c r="T107" t="str">
        <f t="shared" ca="1" si="19"/>
        <v>Aug-26</v>
      </c>
      <c r="U107" s="134">
        <f t="shared" ca="1" si="20"/>
        <v>1000162.1742952401</v>
      </c>
    </row>
    <row r="108" spans="1:21" x14ac:dyDescent="0.3">
      <c r="A108" s="10">
        <f ca="1">Returns!$A$106</f>
        <v>46251</v>
      </c>
      <c r="B108" s="27">
        <f ca="1">IF($A108="","",Returns!$J$106)</f>
        <v>-8.7974273056016794E-3</v>
      </c>
      <c r="C108" s="60">
        <f t="shared" ca="1" si="21"/>
        <v>99.136332027306509</v>
      </c>
      <c r="D108" s="60">
        <f ca="1">IF($A108="","",MAX($C$7:C108))</f>
        <v>114.96074955758542</v>
      </c>
      <c r="E108" s="26">
        <f t="shared" ca="1" si="22"/>
        <v>-0.13765061197998052</v>
      </c>
      <c r="F108" s="27">
        <f ca="1">IF($A108="","",Returns!$I$106)</f>
        <v>-1.2046566487427524E-2</v>
      </c>
      <c r="G108" s="60">
        <f t="shared" ca="1" si="23"/>
        <v>97.398381523245419</v>
      </c>
      <c r="H108" s="60">
        <f ca="1">IF($A108="","",MAX($G$7:G108))</f>
        <v>105.26900583100581</v>
      </c>
      <c r="I108" s="26">
        <f t="shared" ca="1" si="24"/>
        <v>-7.4766777225915293E-2</v>
      </c>
      <c r="J108" s="59" t="str">
        <f t="shared" ca="1" si="25"/>
        <v>Aug-26</v>
      </c>
      <c r="K108" s="3"/>
      <c r="L108" t="str">
        <f t="shared" ca="1" si="13"/>
        <v>Aug-26</v>
      </c>
      <c r="M108" s="132">
        <f t="shared" ca="1" si="14"/>
        <v>99.136332027306509</v>
      </c>
      <c r="N108" s="132">
        <f t="shared" ca="1" si="15"/>
        <v>97.398381523245419</v>
      </c>
      <c r="P108" t="str">
        <f t="shared" ca="1" si="16"/>
        <v>Aug-26</v>
      </c>
      <c r="Q108" s="133">
        <f t="shared" ca="1" si="17"/>
        <v>-0.13765061197998052</v>
      </c>
      <c r="R108" s="133">
        <f t="shared" ca="1" si="18"/>
        <v>-7.4766777225915293E-2</v>
      </c>
      <c r="T108" t="str">
        <f t="shared" ca="1" si="19"/>
        <v>Aug-26</v>
      </c>
      <c r="U108" s="134">
        <f t="shared" ca="1" si="20"/>
        <v>991363.32027306512</v>
      </c>
    </row>
    <row r="109" spans="1:21" x14ac:dyDescent="0.3">
      <c r="A109" s="10">
        <f ca="1">Returns!$A$107</f>
        <v>46258</v>
      </c>
      <c r="B109" s="27">
        <f ca="1">IF($A109="","",Returns!$J$107)</f>
        <v>-1.4418555056467969E-2</v>
      </c>
      <c r="C109" s="60">
        <f t="shared" ca="1" si="21"/>
        <v>97.706929365874501</v>
      </c>
      <c r="D109" s="60">
        <f ca="1">IF($A109="","",MAX($C$7:C109))</f>
        <v>114.96074955758542</v>
      </c>
      <c r="E109" s="26">
        <f t="shared" ca="1" si="22"/>
        <v>-0.15008444410905863</v>
      </c>
      <c r="F109" s="27">
        <f ca="1">IF($A109="","",Returns!$I$107)</f>
        <v>-2.8244646259186768E-3</v>
      </c>
      <c r="G109" s="60">
        <f t="shared" ca="1" si="23"/>
        <v>97.123283240011276</v>
      </c>
      <c r="H109" s="60">
        <f ca="1">IF($A109="","",MAX($G$7:G109))</f>
        <v>105.26900583100581</v>
      </c>
      <c r="I109" s="26">
        <f t="shared" ca="1" si="24"/>
        <v>-7.7380065734365511E-2</v>
      </c>
      <c r="J109" s="59" t="str">
        <f t="shared" ca="1" si="25"/>
        <v>Aug-26</v>
      </c>
      <c r="K109" s="3"/>
      <c r="L109" t="str">
        <f t="shared" ca="1" si="13"/>
        <v>Aug-26</v>
      </c>
      <c r="M109" s="132">
        <f t="shared" ca="1" si="14"/>
        <v>97.706929365874501</v>
      </c>
      <c r="N109" s="132">
        <f t="shared" ca="1" si="15"/>
        <v>97.123283240011276</v>
      </c>
      <c r="P109" t="str">
        <f t="shared" ca="1" si="16"/>
        <v>Aug-26</v>
      </c>
      <c r="Q109" s="133">
        <f t="shared" ca="1" si="17"/>
        <v>-0.15008444410905863</v>
      </c>
      <c r="R109" s="133">
        <f t="shared" ca="1" si="18"/>
        <v>-7.7380065734365511E-2</v>
      </c>
      <c r="T109" t="str">
        <f t="shared" ca="1" si="19"/>
        <v>Aug-26</v>
      </c>
      <c r="U109" s="134">
        <f t="shared" ca="1" si="20"/>
        <v>977069.29365874501</v>
      </c>
    </row>
    <row r="110" spans="1:21" x14ac:dyDescent="0.3">
      <c r="A110" s="10">
        <f ca="1">Returns!$A$108</f>
        <v>46265</v>
      </c>
      <c r="B110" s="27">
        <f ca="1">IF($A110="","",Returns!$J$108)</f>
        <v>-1.2574816779768593E-2</v>
      </c>
      <c r="C110" s="60">
        <f t="shared" ca="1" si="21"/>
        <v>96.478282630984836</v>
      </c>
      <c r="D110" s="60">
        <f ca="1">IF($A110="","",MAX($C$7:C110))</f>
        <v>114.96074955758542</v>
      </c>
      <c r="E110" s="26">
        <f t="shared" ca="1" si="22"/>
        <v>-0.16077197650266239</v>
      </c>
      <c r="F110" s="27">
        <f ca="1">IF($A110="","",Returns!$I$108)</f>
        <v>-5.7248482559167924E-3</v>
      </c>
      <c r="G110" s="60">
        <f t="shared" ca="1" si="23"/>
        <v>96.567267181345784</v>
      </c>
      <c r="H110" s="60">
        <f ca="1">IF($A110="","",MAX($G$7:G110))</f>
        <v>105.26900583100581</v>
      </c>
      <c r="I110" s="26">
        <f t="shared" ca="1" si="24"/>
        <v>-8.2661924855920166E-2</v>
      </c>
      <c r="J110" s="59" t="str">
        <f t="shared" ca="1" si="25"/>
        <v>Aug-26</v>
      </c>
      <c r="K110" s="3"/>
      <c r="L110" t="str">
        <f t="shared" ca="1" si="13"/>
        <v>Aug-26</v>
      </c>
      <c r="M110" s="132">
        <f t="shared" ca="1" si="14"/>
        <v>96.478282630984836</v>
      </c>
      <c r="N110" s="132">
        <f t="shared" ca="1" si="15"/>
        <v>96.567267181345784</v>
      </c>
      <c r="P110" t="str">
        <f t="shared" ca="1" si="16"/>
        <v>Aug-26</v>
      </c>
      <c r="Q110" s="133">
        <f t="shared" ca="1" si="17"/>
        <v>-0.16077197650266239</v>
      </c>
      <c r="R110" s="133">
        <f t="shared" ca="1" si="18"/>
        <v>-8.2661924855920166E-2</v>
      </c>
      <c r="T110" t="str">
        <f t="shared" ca="1" si="19"/>
        <v>Aug-26</v>
      </c>
      <c r="U110" s="134">
        <f t="shared" ca="1" si="20"/>
        <v>964782.82630984846</v>
      </c>
    </row>
    <row r="111" spans="1:21" x14ac:dyDescent="0.3">
      <c r="A111" s="10">
        <f ca="1">Returns!$A$109</f>
        <v>46272</v>
      </c>
      <c r="B111" s="27">
        <f ca="1">IF($A111="","",Returns!$J$109)</f>
        <v>6.1485198657608604E-4</v>
      </c>
      <c r="C111" s="60">
        <f t="shared" ca="1" si="21"/>
        <v>96.537602494721938</v>
      </c>
      <c r="D111" s="60">
        <f ca="1">IF($A111="","",MAX($C$7:C111))</f>
        <v>114.96074955758542</v>
      </c>
      <c r="E111" s="26">
        <f t="shared" ca="1" si="22"/>
        <v>-0.16025597548522486</v>
      </c>
      <c r="F111" s="27">
        <f ca="1">IF($A111="","",Returns!$I$109)</f>
        <v>-1.2510174046660882E-2</v>
      </c>
      <c r="G111" s="60">
        <f t="shared" ca="1" si="23"/>
        <v>95.359193861696738</v>
      </c>
      <c r="H111" s="60">
        <f ca="1">IF($A111="","",MAX($G$7:G111))</f>
        <v>105.26900583100581</v>
      </c>
      <c r="I111" s="26">
        <f t="shared" ca="1" si="24"/>
        <v>-9.4137983835601569E-2</v>
      </c>
      <c r="J111" s="59" t="str">
        <f t="shared" ca="1" si="25"/>
        <v>Sep-26</v>
      </c>
      <c r="K111" s="3"/>
      <c r="L111" t="str">
        <f t="shared" ca="1" si="13"/>
        <v>Sep-26</v>
      </c>
      <c r="M111" s="132">
        <f t="shared" ca="1" si="14"/>
        <v>96.537602494721938</v>
      </c>
      <c r="N111" s="132">
        <f t="shared" ca="1" si="15"/>
        <v>95.359193861696738</v>
      </c>
      <c r="P111" t="str">
        <f t="shared" ca="1" si="16"/>
        <v>Sep-26</v>
      </c>
      <c r="Q111" s="133">
        <f t="shared" ca="1" si="17"/>
        <v>-0.16025597548522486</v>
      </c>
      <c r="R111" s="133">
        <f t="shared" ca="1" si="18"/>
        <v>-9.4137983835601569E-2</v>
      </c>
      <c r="T111" t="str">
        <f t="shared" ca="1" si="19"/>
        <v>Sep-26</v>
      </c>
      <c r="U111" s="134">
        <f t="shared" ca="1" si="20"/>
        <v>965376.0249472193</v>
      </c>
    </row>
    <row r="112" spans="1:21" x14ac:dyDescent="0.3">
      <c r="A112" s="10" t="str">
        <f ca="1">Returns!$A$110</f>
        <v/>
      </c>
      <c r="B112" s="27" t="str">
        <f ca="1">IF($A112="","",Returns!$J$110)</f>
        <v/>
      </c>
      <c r="C112" s="60" t="str">
        <f t="shared" ca="1" si="21"/>
        <v/>
      </c>
      <c r="D112" s="60" t="str">
        <f ca="1">IF($A112="","",MAX($C$7:C112))</f>
        <v/>
      </c>
      <c r="E112" s="26" t="str">
        <f t="shared" ca="1" si="22"/>
        <v/>
      </c>
      <c r="F112" s="27" t="str">
        <f ca="1">IF($A112="","",Returns!$I$110)</f>
        <v/>
      </c>
      <c r="G112" s="60" t="str">
        <f t="shared" ca="1" si="23"/>
        <v/>
      </c>
      <c r="H112" s="60" t="str">
        <f ca="1">IF($A112="","",MAX($G$7:G112))</f>
        <v/>
      </c>
      <c r="I112" s="26" t="str">
        <f t="shared" ca="1" si="24"/>
        <v/>
      </c>
      <c r="J112" s="59" t="str">
        <f t="shared" ca="1" si="25"/>
        <v/>
      </c>
      <c r="K112" s="3"/>
      <c r="L112" t="str">
        <f t="shared" ca="1" si="13"/>
        <v/>
      </c>
      <c r="M112" s="132" t="str">
        <f t="shared" ca="1" si="14"/>
        <v/>
      </c>
      <c r="N112" s="132" t="str">
        <f t="shared" ca="1" si="15"/>
        <v/>
      </c>
      <c r="P112" t="str">
        <f t="shared" ca="1" si="16"/>
        <v/>
      </c>
      <c r="Q112" s="133" t="str">
        <f t="shared" ca="1" si="17"/>
        <v/>
      </c>
      <c r="R112" s="133" t="str">
        <f t="shared" ca="1" si="18"/>
        <v/>
      </c>
      <c r="T112" t="str">
        <f t="shared" ca="1" si="19"/>
        <v/>
      </c>
      <c r="U112" s="134" t="str">
        <f t="shared" ca="1" si="20"/>
        <v/>
      </c>
    </row>
    <row r="113" spans="1:21" ht="16.5" customHeight="1" x14ac:dyDescent="0.3">
      <c r="A113" s="10" t="str">
        <f ca="1">Returns!$A$111</f>
        <v/>
      </c>
      <c r="B113" s="27" t="str">
        <f ca="1">IF($A113="","",Returns!$J$111)</f>
        <v/>
      </c>
      <c r="C113" s="27" t="str">
        <f t="shared" ca="1" si="21"/>
        <v/>
      </c>
      <c r="D113" s="27" t="str">
        <f ca="1">IF($A113="","",MAX($C$7:C113))</f>
        <v/>
      </c>
      <c r="E113" s="27" t="str">
        <f t="shared" ca="1" si="22"/>
        <v/>
      </c>
      <c r="F113" s="27" t="str">
        <f ca="1">IF($A113="","",Returns!$I$111)</f>
        <v/>
      </c>
      <c r="G113" s="27" t="str">
        <f t="shared" ca="1" si="23"/>
        <v/>
      </c>
      <c r="H113" s="27" t="str">
        <f ca="1">IF($A113="","",MAX($G$7:G113))</f>
        <v/>
      </c>
      <c r="I113" s="27" t="str">
        <f t="shared" ca="1" si="24"/>
        <v/>
      </c>
      <c r="J113" s="59" t="str">
        <f t="shared" ca="1" si="25"/>
        <v/>
      </c>
      <c r="K113" s="3"/>
      <c r="L113" t="str">
        <f t="shared" ca="1" si="13"/>
        <v/>
      </c>
      <c r="M113" s="133" t="str">
        <f t="shared" ca="1" si="14"/>
        <v/>
      </c>
      <c r="N113" s="133" t="str">
        <f t="shared" ca="1" si="15"/>
        <v/>
      </c>
      <c r="P113" t="str">
        <f t="shared" ca="1" si="16"/>
        <v/>
      </c>
      <c r="Q113" s="133" t="str">
        <f t="shared" ca="1" si="17"/>
        <v/>
      </c>
      <c r="R113" s="133" t="str">
        <f t="shared" ca="1" si="18"/>
        <v/>
      </c>
      <c r="T113" t="str">
        <f t="shared" ca="1" si="19"/>
        <v/>
      </c>
      <c r="U113" s="134" t="str">
        <f t="shared" ca="1" si="20"/>
        <v/>
      </c>
    </row>
    <row r="114" spans="1:21" ht="27.75" customHeight="1" x14ac:dyDescent="0.3">
      <c r="A114" s="10" t="str">
        <f ca="1">Returns!$A$112</f>
        <v/>
      </c>
      <c r="B114" s="27" t="str">
        <f ca="1">IF($A114="","",Returns!$J$112)</f>
        <v/>
      </c>
      <c r="C114" s="60" t="str">
        <f t="shared" ca="1" si="21"/>
        <v/>
      </c>
      <c r="D114" s="60" t="str">
        <f ca="1">IF($A114="","",MAX($C$7:C114))</f>
        <v/>
      </c>
      <c r="E114" s="26" t="str">
        <f t="shared" ca="1" si="22"/>
        <v/>
      </c>
      <c r="F114" s="27" t="str">
        <f ca="1">IF($A114="","",Returns!$I$112)</f>
        <v/>
      </c>
      <c r="G114" s="60" t="str">
        <f t="shared" ca="1" si="23"/>
        <v/>
      </c>
      <c r="H114" s="60" t="str">
        <f ca="1">IF($A114="","",MAX($G$7:G114))</f>
        <v/>
      </c>
      <c r="I114" s="26" t="str">
        <f t="shared" ca="1" si="24"/>
        <v/>
      </c>
      <c r="J114" s="59" t="str">
        <f t="shared" ca="1" si="25"/>
        <v/>
      </c>
      <c r="K114" s="3"/>
      <c r="L114" t="str">
        <f t="shared" ca="1" si="13"/>
        <v/>
      </c>
      <c r="M114" s="132" t="str">
        <f t="shared" ca="1" si="14"/>
        <v/>
      </c>
      <c r="N114" s="132" t="str">
        <f t="shared" ca="1" si="15"/>
        <v/>
      </c>
      <c r="P114" t="str">
        <f t="shared" ca="1" si="16"/>
        <v/>
      </c>
      <c r="Q114" s="133" t="str">
        <f t="shared" ca="1" si="17"/>
        <v/>
      </c>
      <c r="R114" s="133" t="str">
        <f t="shared" ca="1" si="18"/>
        <v/>
      </c>
      <c r="T114" t="str">
        <f t="shared" ca="1" si="19"/>
        <v/>
      </c>
      <c r="U114" s="134" t="str">
        <f t="shared" ca="1" si="20"/>
        <v/>
      </c>
    </row>
    <row r="115" spans="1:21" x14ac:dyDescent="0.3">
      <c r="A115" s="10" t="str">
        <f ca="1">Returns!$A$113</f>
        <v/>
      </c>
      <c r="B115" s="27" t="str">
        <f ca="1">IF($A115="","",Returns!$J$113)</f>
        <v/>
      </c>
      <c r="C115" s="60" t="str">
        <f t="shared" ca="1" si="21"/>
        <v/>
      </c>
      <c r="D115" s="60" t="str">
        <f ca="1">IF($A115="","",MAX($C$7:C115))</f>
        <v/>
      </c>
      <c r="E115" s="26" t="str">
        <f t="shared" ca="1" si="22"/>
        <v/>
      </c>
      <c r="F115" s="27" t="str">
        <f ca="1">IF($A115="","",Returns!$I$113)</f>
        <v/>
      </c>
      <c r="G115" s="60" t="str">
        <f t="shared" ca="1" si="23"/>
        <v/>
      </c>
      <c r="H115" s="60" t="str">
        <f ca="1">IF($A115="","",MAX($G$7:G115))</f>
        <v/>
      </c>
      <c r="I115" s="26" t="str">
        <f t="shared" ca="1" si="24"/>
        <v/>
      </c>
      <c r="J115" s="59" t="str">
        <f t="shared" ca="1" si="25"/>
        <v/>
      </c>
      <c r="K115" s="3"/>
      <c r="L115" t="str">
        <f t="shared" ca="1" si="13"/>
        <v/>
      </c>
      <c r="M115" s="132" t="str">
        <f t="shared" ca="1" si="14"/>
        <v/>
      </c>
      <c r="N115" s="132" t="str">
        <f t="shared" ca="1" si="15"/>
        <v/>
      </c>
      <c r="P115" t="str">
        <f t="shared" ca="1" si="16"/>
        <v/>
      </c>
      <c r="Q115" s="133" t="str">
        <f t="shared" ca="1" si="17"/>
        <v/>
      </c>
      <c r="R115" s="133" t="str">
        <f t="shared" ca="1" si="18"/>
        <v/>
      </c>
      <c r="T115" t="str">
        <f t="shared" ca="1" si="19"/>
        <v/>
      </c>
      <c r="U115" s="134" t="str">
        <f t="shared" ca="1" si="20"/>
        <v/>
      </c>
    </row>
    <row r="116" spans="1:21" x14ac:dyDescent="0.3">
      <c r="A116" s="10" t="str">
        <f ca="1">Returns!$A$114</f>
        <v/>
      </c>
      <c r="B116" s="27" t="str">
        <f ca="1">IF($A116="","",Returns!$J$114)</f>
        <v/>
      </c>
      <c r="C116" s="60" t="str">
        <f t="shared" ca="1" si="21"/>
        <v/>
      </c>
      <c r="D116" s="60" t="str">
        <f ca="1">IF($A116="","",MAX($C$7:C116))</f>
        <v/>
      </c>
      <c r="E116" s="26" t="str">
        <f t="shared" ca="1" si="22"/>
        <v/>
      </c>
      <c r="F116" s="27" t="str">
        <f ca="1">IF($A116="","",Returns!$I$114)</f>
        <v/>
      </c>
      <c r="G116" s="60" t="str">
        <f t="shared" ca="1" si="23"/>
        <v/>
      </c>
      <c r="H116" s="60" t="str">
        <f ca="1">IF($A116="","",MAX($G$7:G116))</f>
        <v/>
      </c>
      <c r="I116" s="26" t="str">
        <f t="shared" ca="1" si="24"/>
        <v/>
      </c>
      <c r="J116" s="59" t="str">
        <f t="shared" ca="1" si="25"/>
        <v/>
      </c>
      <c r="K116" s="3"/>
      <c r="L116" t="str">
        <f t="shared" ca="1" si="13"/>
        <v/>
      </c>
      <c r="M116" s="132" t="str">
        <f t="shared" ca="1" si="14"/>
        <v/>
      </c>
      <c r="N116" s="132" t="str">
        <f t="shared" ca="1" si="15"/>
        <v/>
      </c>
      <c r="P116" t="str">
        <f t="shared" ca="1" si="16"/>
        <v/>
      </c>
      <c r="Q116" s="133" t="str">
        <f t="shared" ca="1" si="17"/>
        <v/>
      </c>
      <c r="R116" s="133" t="str">
        <f t="shared" ca="1" si="18"/>
        <v/>
      </c>
      <c r="T116" t="str">
        <f t="shared" ca="1" si="19"/>
        <v/>
      </c>
      <c r="U116" s="134" t="str">
        <f t="shared" ca="1" si="20"/>
        <v/>
      </c>
    </row>
    <row r="117" spans="1:21" x14ac:dyDescent="0.3">
      <c r="A117" s="10" t="str">
        <f ca="1">Returns!$A$115</f>
        <v/>
      </c>
      <c r="B117" s="27" t="str">
        <f ca="1">IF($A117="","",Returns!$J$115)</f>
        <v/>
      </c>
      <c r="C117" s="60" t="str">
        <f t="shared" ca="1" si="21"/>
        <v/>
      </c>
      <c r="D117" s="60" t="str">
        <f ca="1">IF($A117="","",MAX($C$7:C117))</f>
        <v/>
      </c>
      <c r="E117" s="26" t="str">
        <f t="shared" ca="1" si="22"/>
        <v/>
      </c>
      <c r="F117" s="27" t="str">
        <f ca="1">IF($A117="","",Returns!$I$115)</f>
        <v/>
      </c>
      <c r="G117" s="60" t="str">
        <f t="shared" ca="1" si="23"/>
        <v/>
      </c>
      <c r="H117" s="60" t="str">
        <f ca="1">IF($A117="","",MAX($G$7:G117))</f>
        <v/>
      </c>
      <c r="I117" s="26" t="str">
        <f t="shared" ca="1" si="24"/>
        <v/>
      </c>
      <c r="J117" s="59" t="str">
        <f t="shared" ca="1" si="25"/>
        <v/>
      </c>
      <c r="K117" s="3"/>
      <c r="L117" t="str">
        <f t="shared" ca="1" si="13"/>
        <v/>
      </c>
      <c r="M117" s="132" t="str">
        <f t="shared" ca="1" si="14"/>
        <v/>
      </c>
      <c r="N117" s="132" t="str">
        <f t="shared" ca="1" si="15"/>
        <v/>
      </c>
      <c r="P117" t="str">
        <f t="shared" ca="1" si="16"/>
        <v/>
      </c>
      <c r="Q117" s="133" t="str">
        <f t="shared" ca="1" si="17"/>
        <v/>
      </c>
      <c r="R117" s="133" t="str">
        <f t="shared" ca="1" si="18"/>
        <v/>
      </c>
      <c r="T117" t="str">
        <f t="shared" ca="1" si="19"/>
        <v/>
      </c>
      <c r="U117" s="134" t="str">
        <f t="shared" ca="1" si="20"/>
        <v/>
      </c>
    </row>
    <row r="118" spans="1:21" x14ac:dyDescent="0.3">
      <c r="A118" s="10" t="str">
        <f ca="1">Returns!$A$116</f>
        <v/>
      </c>
      <c r="B118" s="27" t="str">
        <f ca="1">IF($A118="","",Returns!$J$116)</f>
        <v/>
      </c>
      <c r="C118" s="60" t="str">
        <f t="shared" ca="1" si="21"/>
        <v/>
      </c>
      <c r="D118" s="60" t="str">
        <f ca="1">IF($A118="","",MAX($C$7:C118))</f>
        <v/>
      </c>
      <c r="E118" s="26" t="str">
        <f t="shared" ca="1" si="22"/>
        <v/>
      </c>
      <c r="F118" s="27" t="str">
        <f ca="1">IF($A118="","",Returns!$I$116)</f>
        <v/>
      </c>
      <c r="G118" s="60" t="str">
        <f t="shared" ca="1" si="23"/>
        <v/>
      </c>
      <c r="H118" s="60" t="str">
        <f ca="1">IF($A118="","",MAX($G$7:G118))</f>
        <v/>
      </c>
      <c r="I118" s="26" t="str">
        <f t="shared" ca="1" si="24"/>
        <v/>
      </c>
      <c r="J118" s="59" t="str">
        <f t="shared" ca="1" si="25"/>
        <v/>
      </c>
      <c r="K118" s="3"/>
      <c r="L118" t="str">
        <f t="shared" ca="1" si="13"/>
        <v/>
      </c>
      <c r="M118" s="132" t="str">
        <f t="shared" ca="1" si="14"/>
        <v/>
      </c>
      <c r="N118" s="132" t="str">
        <f t="shared" ca="1" si="15"/>
        <v/>
      </c>
      <c r="P118" t="str">
        <f t="shared" ca="1" si="16"/>
        <v/>
      </c>
      <c r="Q118" s="133" t="str">
        <f t="shared" ca="1" si="17"/>
        <v/>
      </c>
      <c r="R118" s="133" t="str">
        <f t="shared" ca="1" si="18"/>
        <v/>
      </c>
      <c r="T118" t="str">
        <f t="shared" ca="1" si="19"/>
        <v/>
      </c>
      <c r="U118" s="134" t="str">
        <f t="shared" ca="1" si="20"/>
        <v/>
      </c>
    </row>
    <row r="119" spans="1:21" x14ac:dyDescent="0.3">
      <c r="A119" s="10" t="str">
        <f ca="1">Returns!$A$117</f>
        <v/>
      </c>
      <c r="B119" s="27" t="str">
        <f ca="1">IF($A119="","",Returns!$J$117)</f>
        <v/>
      </c>
      <c r="C119" s="60" t="str">
        <f t="shared" ca="1" si="21"/>
        <v/>
      </c>
      <c r="D119" s="60" t="str">
        <f ca="1">IF($A119="","",MAX($C$7:C119))</f>
        <v/>
      </c>
      <c r="E119" s="26" t="str">
        <f t="shared" ca="1" si="22"/>
        <v/>
      </c>
      <c r="F119" s="27" t="str">
        <f ca="1">IF($A119="","",Returns!$I$117)</f>
        <v/>
      </c>
      <c r="G119" s="60" t="str">
        <f t="shared" ca="1" si="23"/>
        <v/>
      </c>
      <c r="H119" s="60" t="str">
        <f ca="1">IF($A119="","",MAX($G$7:G119))</f>
        <v/>
      </c>
      <c r="I119" s="26" t="str">
        <f t="shared" ca="1" si="24"/>
        <v/>
      </c>
      <c r="J119" s="59" t="str">
        <f t="shared" ca="1" si="25"/>
        <v/>
      </c>
      <c r="K119" s="3"/>
      <c r="L119" t="str">
        <f t="shared" ca="1" si="13"/>
        <v/>
      </c>
      <c r="M119" s="132" t="str">
        <f t="shared" ca="1" si="14"/>
        <v/>
      </c>
      <c r="N119" s="132" t="str">
        <f t="shared" ca="1" si="15"/>
        <v/>
      </c>
      <c r="P119" t="str">
        <f t="shared" ca="1" si="16"/>
        <v/>
      </c>
      <c r="Q119" s="133" t="str">
        <f t="shared" ca="1" si="17"/>
        <v/>
      </c>
      <c r="R119" s="133" t="str">
        <f t="shared" ca="1" si="18"/>
        <v/>
      </c>
      <c r="T119" t="str">
        <f t="shared" ca="1" si="19"/>
        <v/>
      </c>
      <c r="U119" s="134" t="str">
        <f t="shared" ca="1" si="20"/>
        <v/>
      </c>
    </row>
    <row r="120" spans="1:21" ht="22.8" customHeight="1" x14ac:dyDescent="0.3">
      <c r="A120" s="10" t="str">
        <f ca="1">Returns!$A$118</f>
        <v/>
      </c>
      <c r="B120" s="27" t="str">
        <f ca="1">IF($A120="","",Returns!$J$118)</f>
        <v/>
      </c>
      <c r="C120" s="60" t="str">
        <f t="shared" ca="1" si="21"/>
        <v/>
      </c>
      <c r="D120" s="60" t="str">
        <f ca="1">IF($A120="","",MAX($C$7:C120))</f>
        <v/>
      </c>
      <c r="E120" s="26" t="str">
        <f t="shared" ca="1" si="22"/>
        <v/>
      </c>
      <c r="F120" s="27" t="str">
        <f ca="1">IF($A120="","",Returns!$I$118)</f>
        <v/>
      </c>
      <c r="G120" s="60" t="str">
        <f t="shared" ca="1" si="23"/>
        <v/>
      </c>
      <c r="H120" s="60" t="str">
        <f ca="1">IF($A120="","",MAX($G$7:G120))</f>
        <v/>
      </c>
      <c r="I120" s="26" t="str">
        <f t="shared" ca="1" si="24"/>
        <v/>
      </c>
      <c r="J120" s="59" t="str">
        <f t="shared" ca="1" si="25"/>
        <v/>
      </c>
      <c r="K120" s="3"/>
      <c r="L120" t="str">
        <f t="shared" ca="1" si="13"/>
        <v/>
      </c>
      <c r="M120" s="132" t="str">
        <f t="shared" ca="1" si="14"/>
        <v/>
      </c>
      <c r="N120" s="132" t="str">
        <f t="shared" ca="1" si="15"/>
        <v/>
      </c>
      <c r="P120" t="str">
        <f t="shared" ca="1" si="16"/>
        <v/>
      </c>
      <c r="Q120" s="133" t="str">
        <f t="shared" ca="1" si="17"/>
        <v/>
      </c>
      <c r="R120" s="133" t="str">
        <f t="shared" ca="1" si="18"/>
        <v/>
      </c>
      <c r="T120" t="str">
        <f t="shared" ca="1" si="19"/>
        <v/>
      </c>
      <c r="U120" s="134" t="str">
        <f t="shared" ca="1" si="20"/>
        <v/>
      </c>
    </row>
    <row r="121" spans="1:21" x14ac:dyDescent="0.3">
      <c r="A121" s="10" t="str">
        <f ca="1">Returns!$A$119</f>
        <v/>
      </c>
      <c r="B121" s="27" t="str">
        <f ca="1">IF($A121="","",Returns!$J$119)</f>
        <v/>
      </c>
      <c r="C121" s="60" t="str">
        <f t="shared" ca="1" si="21"/>
        <v/>
      </c>
      <c r="D121" s="60" t="str">
        <f ca="1">IF($A121="","",MAX($C$7:C121))</f>
        <v/>
      </c>
      <c r="E121" s="26" t="str">
        <f t="shared" ca="1" si="22"/>
        <v/>
      </c>
      <c r="F121" s="27" t="str">
        <f ca="1">IF($A121="","",Returns!$I$119)</f>
        <v/>
      </c>
      <c r="G121" s="60" t="str">
        <f t="shared" ca="1" si="23"/>
        <v/>
      </c>
      <c r="H121" s="60" t="str">
        <f ca="1">IF($A121="","",MAX($G$7:G121))</f>
        <v/>
      </c>
      <c r="I121" s="26" t="str">
        <f t="shared" ca="1" si="24"/>
        <v/>
      </c>
      <c r="J121" s="59" t="str">
        <f t="shared" ca="1" si="25"/>
        <v/>
      </c>
      <c r="K121" s="3"/>
      <c r="L121" t="str">
        <f t="shared" ca="1" si="13"/>
        <v/>
      </c>
      <c r="M121" s="132" t="str">
        <f t="shared" ca="1" si="14"/>
        <v/>
      </c>
      <c r="N121" s="132" t="str">
        <f t="shared" ca="1" si="15"/>
        <v/>
      </c>
      <c r="P121" t="str">
        <f t="shared" ca="1" si="16"/>
        <v/>
      </c>
      <c r="Q121" s="133" t="str">
        <f t="shared" ca="1" si="17"/>
        <v/>
      </c>
      <c r="R121" s="133" t="str">
        <f t="shared" ca="1" si="18"/>
        <v/>
      </c>
      <c r="T121" t="str">
        <f t="shared" ca="1" si="19"/>
        <v/>
      </c>
      <c r="U121" s="134" t="str">
        <f t="shared" ca="1" si="20"/>
        <v/>
      </c>
    </row>
    <row r="122" spans="1:21" x14ac:dyDescent="0.3">
      <c r="A122" s="10" t="str">
        <f ca="1">Returns!$A$120</f>
        <v/>
      </c>
      <c r="B122" s="27" t="str">
        <f ca="1">IF($A122="","",Returns!$J$120)</f>
        <v/>
      </c>
      <c r="C122" s="60" t="str">
        <f t="shared" ca="1" si="21"/>
        <v/>
      </c>
      <c r="D122" s="60" t="str">
        <f ca="1">IF($A122="","",MAX($C$7:C122))</f>
        <v/>
      </c>
      <c r="E122" s="26" t="str">
        <f t="shared" ca="1" si="22"/>
        <v/>
      </c>
      <c r="F122" s="27" t="str">
        <f ca="1">IF($A122="","",Returns!$I$120)</f>
        <v/>
      </c>
      <c r="G122" s="60" t="str">
        <f t="shared" ca="1" si="23"/>
        <v/>
      </c>
      <c r="H122" s="60" t="str">
        <f ca="1">IF($A122="","",MAX($G$7:G122))</f>
        <v/>
      </c>
      <c r="I122" s="26" t="str">
        <f t="shared" ca="1" si="24"/>
        <v/>
      </c>
      <c r="J122" s="59" t="str">
        <f t="shared" ca="1" si="25"/>
        <v/>
      </c>
      <c r="K122" s="3"/>
      <c r="L122" t="str">
        <f t="shared" ca="1" si="13"/>
        <v/>
      </c>
      <c r="M122" s="132" t="str">
        <f t="shared" ca="1" si="14"/>
        <v/>
      </c>
      <c r="N122" s="132" t="str">
        <f t="shared" ca="1" si="15"/>
        <v/>
      </c>
      <c r="P122" t="str">
        <f t="shared" ca="1" si="16"/>
        <v/>
      </c>
      <c r="Q122" s="133" t="str">
        <f t="shared" ca="1" si="17"/>
        <v/>
      </c>
      <c r="R122" s="133" t="str">
        <f t="shared" ca="1" si="18"/>
        <v/>
      </c>
      <c r="T122" t="str">
        <f t="shared" ca="1" si="19"/>
        <v/>
      </c>
      <c r="U122" s="134" t="str">
        <f t="shared" ca="1" si="20"/>
        <v/>
      </c>
    </row>
    <row r="123" spans="1:21" x14ac:dyDescent="0.3">
      <c r="A123" s="10" t="str">
        <f ca="1">Returns!$A$121</f>
        <v/>
      </c>
      <c r="B123" s="27" t="str">
        <f ca="1">IF($A123="","",Returns!$J$121)</f>
        <v/>
      </c>
      <c r="C123" s="60" t="str">
        <f t="shared" ca="1" si="21"/>
        <v/>
      </c>
      <c r="D123" s="60" t="str">
        <f ca="1">IF($A123="","",MAX($C$7:C123))</f>
        <v/>
      </c>
      <c r="E123" s="26" t="str">
        <f t="shared" ca="1" si="22"/>
        <v/>
      </c>
      <c r="F123" s="27" t="str">
        <f ca="1">IF($A123="","",Returns!$I$121)</f>
        <v/>
      </c>
      <c r="G123" s="60" t="str">
        <f t="shared" ca="1" si="23"/>
        <v/>
      </c>
      <c r="H123" s="60" t="str">
        <f ca="1">IF($A123="","",MAX($G$7:G123))</f>
        <v/>
      </c>
      <c r="I123" s="26" t="str">
        <f t="shared" ca="1" si="24"/>
        <v/>
      </c>
      <c r="J123" s="59" t="str">
        <f t="shared" ca="1" si="25"/>
        <v/>
      </c>
      <c r="K123" s="3"/>
      <c r="L123" t="str">
        <f t="shared" ca="1" si="13"/>
        <v/>
      </c>
      <c r="M123" s="132" t="str">
        <f t="shared" ca="1" si="14"/>
        <v/>
      </c>
      <c r="N123" s="132" t="str">
        <f t="shared" ca="1" si="15"/>
        <v/>
      </c>
      <c r="P123" t="str">
        <f t="shared" ca="1" si="16"/>
        <v/>
      </c>
      <c r="Q123" s="133" t="str">
        <f t="shared" ca="1" si="17"/>
        <v/>
      </c>
      <c r="R123" s="133" t="str">
        <f t="shared" ca="1" si="18"/>
        <v/>
      </c>
      <c r="T123" t="str">
        <f t="shared" ca="1" si="19"/>
        <v/>
      </c>
      <c r="U123" s="134" t="str">
        <f t="shared" ca="1" si="20"/>
        <v/>
      </c>
    </row>
    <row r="124" spans="1:21" x14ac:dyDescent="0.3">
      <c r="A124" s="10" t="str">
        <f ca="1">Returns!$A$122</f>
        <v/>
      </c>
      <c r="B124" s="27" t="str">
        <f ca="1">IF($A124="","",Returns!$J$122)</f>
        <v/>
      </c>
      <c r="C124" s="60" t="str">
        <f t="shared" ca="1" si="21"/>
        <v/>
      </c>
      <c r="D124" s="60" t="str">
        <f ca="1">IF($A124="","",MAX($C$7:C124))</f>
        <v/>
      </c>
      <c r="E124" s="26" t="str">
        <f t="shared" ca="1" si="22"/>
        <v/>
      </c>
      <c r="F124" s="27" t="str">
        <f ca="1">IF($A124="","",Returns!$I$122)</f>
        <v/>
      </c>
      <c r="G124" s="60" t="str">
        <f t="shared" ca="1" si="23"/>
        <v/>
      </c>
      <c r="H124" s="60" t="str">
        <f ca="1">IF($A124="","",MAX($G$7:G124))</f>
        <v/>
      </c>
      <c r="I124" s="26" t="str">
        <f t="shared" ca="1" si="24"/>
        <v/>
      </c>
      <c r="J124" s="59" t="str">
        <f t="shared" ca="1" si="25"/>
        <v/>
      </c>
      <c r="K124" s="3"/>
      <c r="L124" t="str">
        <f t="shared" ca="1" si="13"/>
        <v/>
      </c>
      <c r="M124" s="132" t="str">
        <f t="shared" ca="1" si="14"/>
        <v/>
      </c>
      <c r="N124" s="132" t="str">
        <f t="shared" ca="1" si="15"/>
        <v/>
      </c>
      <c r="P124" t="str">
        <f t="shared" ca="1" si="16"/>
        <v/>
      </c>
      <c r="Q124" s="133" t="str">
        <f t="shared" ca="1" si="17"/>
        <v/>
      </c>
      <c r="R124" s="133" t="str">
        <f t="shared" ca="1" si="18"/>
        <v/>
      </c>
      <c r="T124" t="str">
        <f t="shared" ca="1" si="19"/>
        <v/>
      </c>
      <c r="U124" s="134" t="str">
        <f t="shared" ca="1" si="20"/>
        <v/>
      </c>
    </row>
    <row r="125" spans="1:21" x14ac:dyDescent="0.3">
      <c r="A125" s="10" t="str">
        <f ca="1">Returns!$A$123</f>
        <v/>
      </c>
      <c r="B125" s="27" t="str">
        <f ca="1">IF($A125="","",Returns!$J$123)</f>
        <v/>
      </c>
      <c r="C125" s="60" t="str">
        <f t="shared" ca="1" si="21"/>
        <v/>
      </c>
      <c r="D125" s="60" t="str">
        <f ca="1">IF($A125="","",MAX($C$7:C125))</f>
        <v/>
      </c>
      <c r="E125" s="26" t="str">
        <f t="shared" ca="1" si="22"/>
        <v/>
      </c>
      <c r="F125" s="27" t="str">
        <f ca="1">IF($A125="","",Returns!$I$123)</f>
        <v/>
      </c>
      <c r="G125" s="60" t="str">
        <f t="shared" ca="1" si="23"/>
        <v/>
      </c>
      <c r="H125" s="60" t="str">
        <f ca="1">IF($A125="","",MAX($G$7:G125))</f>
        <v/>
      </c>
      <c r="I125" s="26" t="str">
        <f t="shared" ca="1" si="24"/>
        <v/>
      </c>
      <c r="J125" s="59" t="str">
        <f t="shared" ca="1" si="25"/>
        <v/>
      </c>
      <c r="K125" s="3"/>
      <c r="L125" t="str">
        <f t="shared" ca="1" si="13"/>
        <v/>
      </c>
      <c r="M125" s="132" t="str">
        <f t="shared" ca="1" si="14"/>
        <v/>
      </c>
      <c r="N125" s="132" t="str">
        <f t="shared" ca="1" si="15"/>
        <v/>
      </c>
      <c r="P125" t="str">
        <f t="shared" ca="1" si="16"/>
        <v/>
      </c>
      <c r="Q125" s="133" t="str">
        <f t="shared" ca="1" si="17"/>
        <v/>
      </c>
      <c r="R125" s="133" t="str">
        <f t="shared" ca="1" si="18"/>
        <v/>
      </c>
      <c r="T125" t="str">
        <f t="shared" ca="1" si="19"/>
        <v/>
      </c>
      <c r="U125" s="134" t="str">
        <f t="shared" ca="1" si="20"/>
        <v/>
      </c>
    </row>
    <row r="126" spans="1:21" x14ac:dyDescent="0.3">
      <c r="A126" s="10" t="str">
        <f ca="1">Returns!$A$124</f>
        <v/>
      </c>
      <c r="B126" s="27" t="str">
        <f ca="1">IF($A126="","",Returns!$J$124)</f>
        <v/>
      </c>
      <c r="C126" s="60" t="str">
        <f t="shared" ca="1" si="21"/>
        <v/>
      </c>
      <c r="D126" s="60" t="str">
        <f ca="1">IF($A126="","",MAX($C$7:C126))</f>
        <v/>
      </c>
      <c r="E126" s="26" t="str">
        <f t="shared" ca="1" si="22"/>
        <v/>
      </c>
      <c r="F126" s="27" t="str">
        <f ca="1">IF($A126="","",Returns!$I$124)</f>
        <v/>
      </c>
      <c r="G126" s="60" t="str">
        <f t="shared" ca="1" si="23"/>
        <v/>
      </c>
      <c r="H126" s="60" t="str">
        <f ca="1">IF($A126="","",MAX($G$7:G126))</f>
        <v/>
      </c>
      <c r="I126" s="26" t="str">
        <f t="shared" ca="1" si="24"/>
        <v/>
      </c>
      <c r="J126" s="59" t="str">
        <f t="shared" ca="1" si="25"/>
        <v/>
      </c>
      <c r="K126" s="3"/>
      <c r="L126" t="str">
        <f t="shared" ca="1" si="13"/>
        <v/>
      </c>
      <c r="M126" s="132" t="str">
        <f t="shared" ca="1" si="14"/>
        <v/>
      </c>
      <c r="N126" s="132" t="str">
        <f t="shared" ca="1" si="15"/>
        <v/>
      </c>
      <c r="P126" t="str">
        <f t="shared" ca="1" si="16"/>
        <v/>
      </c>
      <c r="Q126" s="133" t="str">
        <f t="shared" ca="1" si="17"/>
        <v/>
      </c>
      <c r="R126" s="133" t="str">
        <f t="shared" ca="1" si="18"/>
        <v/>
      </c>
      <c r="T126" t="str">
        <f t="shared" ca="1" si="19"/>
        <v/>
      </c>
      <c r="U126" s="134" t="str">
        <f t="shared" ca="1" si="20"/>
        <v/>
      </c>
    </row>
    <row r="127" spans="1:21" x14ac:dyDescent="0.3">
      <c r="A127" s="10" t="str">
        <f ca="1">Returns!$A$125</f>
        <v/>
      </c>
      <c r="B127" s="27" t="str">
        <f ca="1">IF($A127="","",Returns!$J$125)</f>
        <v/>
      </c>
      <c r="C127" s="60" t="str">
        <f t="shared" ca="1" si="21"/>
        <v/>
      </c>
      <c r="D127" s="60" t="str">
        <f ca="1">IF($A127="","",MAX($C$7:C127))</f>
        <v/>
      </c>
      <c r="E127" s="26" t="str">
        <f t="shared" ca="1" si="22"/>
        <v/>
      </c>
      <c r="F127" s="27" t="str">
        <f ca="1">IF($A127="","",Returns!$I$125)</f>
        <v/>
      </c>
      <c r="G127" s="60" t="str">
        <f t="shared" ca="1" si="23"/>
        <v/>
      </c>
      <c r="H127" s="60" t="str">
        <f ca="1">IF($A127="","",MAX($G$7:G127))</f>
        <v/>
      </c>
      <c r="I127" s="26" t="str">
        <f t="shared" ca="1" si="24"/>
        <v/>
      </c>
      <c r="J127" s="59" t="str">
        <f t="shared" ca="1" si="25"/>
        <v/>
      </c>
      <c r="K127" s="3"/>
      <c r="L127" t="str">
        <f t="shared" ca="1" si="13"/>
        <v/>
      </c>
      <c r="M127" s="132" t="str">
        <f t="shared" ca="1" si="14"/>
        <v/>
      </c>
      <c r="N127" s="132" t="str">
        <f t="shared" ca="1" si="15"/>
        <v/>
      </c>
      <c r="P127" t="str">
        <f t="shared" ca="1" si="16"/>
        <v/>
      </c>
      <c r="Q127" s="133" t="str">
        <f t="shared" ca="1" si="17"/>
        <v/>
      </c>
      <c r="R127" s="133" t="str">
        <f t="shared" ca="1" si="18"/>
        <v/>
      </c>
      <c r="T127" t="str">
        <f t="shared" ca="1" si="19"/>
        <v/>
      </c>
      <c r="U127" s="134" t="str">
        <f t="shared" ca="1" si="20"/>
        <v/>
      </c>
    </row>
    <row r="128" spans="1:21" x14ac:dyDescent="0.3">
      <c r="A128" s="10" t="str">
        <f ca="1">Returns!$A$126</f>
        <v/>
      </c>
      <c r="B128" s="27" t="str">
        <f ca="1">IF($A128="","",Returns!$J$126)</f>
        <v/>
      </c>
      <c r="C128" s="60" t="str">
        <f t="shared" ca="1" si="21"/>
        <v/>
      </c>
      <c r="D128" s="60" t="str">
        <f ca="1">IF($A128="","",MAX($C$7:C128))</f>
        <v/>
      </c>
      <c r="E128" s="26" t="str">
        <f t="shared" ca="1" si="22"/>
        <v/>
      </c>
      <c r="F128" s="27" t="str">
        <f ca="1">IF($A128="","",Returns!$I$126)</f>
        <v/>
      </c>
      <c r="G128" s="60" t="str">
        <f t="shared" ca="1" si="23"/>
        <v/>
      </c>
      <c r="H128" s="60" t="str">
        <f ca="1">IF($A128="","",MAX($G$7:G128))</f>
        <v/>
      </c>
      <c r="I128" s="26" t="str">
        <f t="shared" ca="1" si="24"/>
        <v/>
      </c>
      <c r="J128" s="59" t="str">
        <f t="shared" ca="1" si="25"/>
        <v/>
      </c>
      <c r="K128" s="3"/>
      <c r="L128" t="str">
        <f t="shared" ca="1" si="13"/>
        <v/>
      </c>
      <c r="M128" s="132" t="str">
        <f t="shared" ca="1" si="14"/>
        <v/>
      </c>
      <c r="N128" s="132" t="str">
        <f t="shared" ca="1" si="15"/>
        <v/>
      </c>
      <c r="P128" t="str">
        <f t="shared" ca="1" si="16"/>
        <v/>
      </c>
      <c r="Q128" s="133" t="str">
        <f t="shared" ca="1" si="17"/>
        <v/>
      </c>
      <c r="R128" s="133" t="str">
        <f t="shared" ca="1" si="18"/>
        <v/>
      </c>
      <c r="T128" t="str">
        <f t="shared" ca="1" si="19"/>
        <v/>
      </c>
      <c r="U128" s="134" t="str">
        <f t="shared" ca="1" si="20"/>
        <v/>
      </c>
    </row>
    <row r="129" spans="1:21" x14ac:dyDescent="0.3">
      <c r="A129" s="10" t="str">
        <f ca="1">Returns!$A$127</f>
        <v/>
      </c>
      <c r="B129" s="27" t="str">
        <f ca="1">IF($A129="","",Returns!$J$127)</f>
        <v/>
      </c>
      <c r="C129" s="60" t="str">
        <f t="shared" ca="1" si="21"/>
        <v/>
      </c>
      <c r="D129" s="60" t="str">
        <f ca="1">IF($A129="","",MAX($C$7:C129))</f>
        <v/>
      </c>
      <c r="E129" s="26" t="str">
        <f t="shared" ca="1" si="22"/>
        <v/>
      </c>
      <c r="F129" s="27" t="str">
        <f ca="1">IF($A129="","",Returns!$I$127)</f>
        <v/>
      </c>
      <c r="G129" s="60" t="str">
        <f t="shared" ca="1" si="23"/>
        <v/>
      </c>
      <c r="H129" s="60" t="str">
        <f ca="1">IF($A129="","",MAX($G$7:G129))</f>
        <v/>
      </c>
      <c r="I129" s="26" t="str">
        <f t="shared" ca="1" si="24"/>
        <v/>
      </c>
      <c r="J129" s="59" t="str">
        <f t="shared" ca="1" si="25"/>
        <v/>
      </c>
      <c r="K129" s="3"/>
      <c r="L129" t="str">
        <f t="shared" ca="1" si="13"/>
        <v/>
      </c>
      <c r="M129" s="132" t="str">
        <f t="shared" ca="1" si="14"/>
        <v/>
      </c>
      <c r="N129" s="132" t="str">
        <f t="shared" ca="1" si="15"/>
        <v/>
      </c>
      <c r="P129" t="str">
        <f t="shared" ca="1" si="16"/>
        <v/>
      </c>
      <c r="Q129" s="133" t="str">
        <f t="shared" ca="1" si="17"/>
        <v/>
      </c>
      <c r="R129" s="133" t="str">
        <f t="shared" ca="1" si="18"/>
        <v/>
      </c>
      <c r="T129" t="str">
        <f t="shared" ca="1" si="19"/>
        <v/>
      </c>
      <c r="U129" s="134" t="str">
        <f t="shared" ca="1" si="20"/>
        <v/>
      </c>
    </row>
    <row r="130" spans="1:21" x14ac:dyDescent="0.3">
      <c r="A130" s="10" t="str">
        <f ca="1">Returns!$A$128</f>
        <v/>
      </c>
      <c r="B130" s="27" t="str">
        <f ca="1">IF($A130="","",Returns!$J$128)</f>
        <v/>
      </c>
      <c r="C130" s="60" t="str">
        <f t="shared" ca="1" si="21"/>
        <v/>
      </c>
      <c r="D130" s="60" t="str">
        <f ca="1">IF($A130="","",MAX($C$7:C130))</f>
        <v/>
      </c>
      <c r="E130" s="26" t="str">
        <f t="shared" ca="1" si="22"/>
        <v/>
      </c>
      <c r="F130" s="27" t="str">
        <f ca="1">IF($A130="","",Returns!$I$128)</f>
        <v/>
      </c>
      <c r="G130" s="60" t="str">
        <f t="shared" ca="1" si="23"/>
        <v/>
      </c>
      <c r="H130" s="60" t="str">
        <f ca="1">IF($A130="","",MAX($G$7:G130))</f>
        <v/>
      </c>
      <c r="I130" s="26" t="str">
        <f t="shared" ca="1" si="24"/>
        <v/>
      </c>
      <c r="J130" s="59" t="str">
        <f t="shared" ca="1" si="25"/>
        <v/>
      </c>
      <c r="K130" s="3"/>
      <c r="L130" t="str">
        <f t="shared" ca="1" si="13"/>
        <v/>
      </c>
      <c r="M130" s="132" t="str">
        <f t="shared" ca="1" si="14"/>
        <v/>
      </c>
      <c r="N130" s="132" t="str">
        <f t="shared" ca="1" si="15"/>
        <v/>
      </c>
      <c r="P130" t="str">
        <f t="shared" ca="1" si="16"/>
        <v/>
      </c>
      <c r="Q130" s="133" t="str">
        <f t="shared" ca="1" si="17"/>
        <v/>
      </c>
      <c r="R130" s="133" t="str">
        <f t="shared" ca="1" si="18"/>
        <v/>
      </c>
      <c r="T130" t="str">
        <f t="shared" ca="1" si="19"/>
        <v/>
      </c>
      <c r="U130" s="134" t="str">
        <f t="shared" ca="1" si="20"/>
        <v/>
      </c>
    </row>
    <row r="131" spans="1:21" x14ac:dyDescent="0.3">
      <c r="A131" s="10" t="str">
        <f ca="1">Returns!$A$129</f>
        <v/>
      </c>
      <c r="B131" s="27" t="str">
        <f ca="1">IF($A131="","",Returns!$J$129)</f>
        <v/>
      </c>
      <c r="C131" s="60" t="str">
        <f t="shared" ca="1" si="21"/>
        <v/>
      </c>
      <c r="D131" s="60" t="str">
        <f ca="1">IF($A131="","",MAX($C$7:C131))</f>
        <v/>
      </c>
      <c r="E131" s="26" t="str">
        <f t="shared" ca="1" si="22"/>
        <v/>
      </c>
      <c r="F131" s="27" t="str">
        <f ca="1">IF($A131="","",Returns!$I$129)</f>
        <v/>
      </c>
      <c r="G131" s="60" t="str">
        <f t="shared" ca="1" si="23"/>
        <v/>
      </c>
      <c r="H131" s="60" t="str">
        <f ca="1">IF($A131="","",MAX($G$7:G131))</f>
        <v/>
      </c>
      <c r="I131" s="26" t="str">
        <f t="shared" ca="1" si="24"/>
        <v/>
      </c>
      <c r="J131" s="59" t="str">
        <f t="shared" ca="1" si="25"/>
        <v/>
      </c>
      <c r="K131" s="3"/>
      <c r="L131" t="str">
        <f t="shared" ca="1" si="13"/>
        <v/>
      </c>
      <c r="M131" s="132" t="str">
        <f t="shared" ca="1" si="14"/>
        <v/>
      </c>
      <c r="N131" s="132" t="str">
        <f t="shared" ca="1" si="15"/>
        <v/>
      </c>
      <c r="P131" t="str">
        <f t="shared" ca="1" si="16"/>
        <v/>
      </c>
      <c r="Q131" s="133" t="str">
        <f t="shared" ca="1" si="17"/>
        <v/>
      </c>
      <c r="R131" s="133" t="str">
        <f t="shared" ca="1" si="18"/>
        <v/>
      </c>
      <c r="T131" t="str">
        <f t="shared" ca="1" si="19"/>
        <v/>
      </c>
      <c r="U131" s="134" t="str">
        <f t="shared" ca="1" si="20"/>
        <v/>
      </c>
    </row>
    <row r="132" spans="1:21" x14ac:dyDescent="0.3">
      <c r="A132" s="10" t="str">
        <f ca="1">Returns!$A$130</f>
        <v/>
      </c>
      <c r="B132" s="27" t="str">
        <f ca="1">IF($A132="","",Returns!$J$130)</f>
        <v/>
      </c>
      <c r="C132" s="60" t="str">
        <f t="shared" ca="1" si="21"/>
        <v/>
      </c>
      <c r="D132" s="60" t="str">
        <f ca="1">IF($A132="","",MAX($C$7:C132))</f>
        <v/>
      </c>
      <c r="E132" s="26" t="str">
        <f t="shared" ca="1" si="22"/>
        <v/>
      </c>
      <c r="F132" s="27" t="str">
        <f ca="1">IF($A132="","",Returns!$I$130)</f>
        <v/>
      </c>
      <c r="G132" s="60" t="str">
        <f t="shared" ca="1" si="23"/>
        <v/>
      </c>
      <c r="H132" s="60" t="str">
        <f ca="1">IF($A132="","",MAX($G$7:G132))</f>
        <v/>
      </c>
      <c r="I132" s="26" t="str">
        <f t="shared" ca="1" si="24"/>
        <v/>
      </c>
      <c r="J132" s="59" t="str">
        <f t="shared" ca="1" si="25"/>
        <v/>
      </c>
      <c r="K132" s="3"/>
      <c r="L132" t="str">
        <f t="shared" ca="1" si="13"/>
        <v/>
      </c>
      <c r="M132" s="132" t="str">
        <f t="shared" ca="1" si="14"/>
        <v/>
      </c>
      <c r="N132" s="132" t="str">
        <f t="shared" ca="1" si="15"/>
        <v/>
      </c>
      <c r="P132" t="str">
        <f t="shared" ca="1" si="16"/>
        <v/>
      </c>
      <c r="Q132" s="133" t="str">
        <f t="shared" ca="1" si="17"/>
        <v/>
      </c>
      <c r="R132" s="133" t="str">
        <f t="shared" ca="1" si="18"/>
        <v/>
      </c>
      <c r="T132" t="str">
        <f t="shared" ca="1" si="19"/>
        <v/>
      </c>
      <c r="U132" s="134" t="str">
        <f t="shared" ca="1" si="20"/>
        <v/>
      </c>
    </row>
    <row r="133" spans="1:21" x14ac:dyDescent="0.3">
      <c r="A133" s="10" t="str">
        <f ca="1">Returns!$A$131</f>
        <v/>
      </c>
      <c r="B133" s="27" t="str">
        <f ca="1">IF($A133="","",Returns!$J$131)</f>
        <v/>
      </c>
      <c r="C133" s="60" t="str">
        <f t="shared" ca="1" si="21"/>
        <v/>
      </c>
      <c r="D133" s="60" t="str">
        <f ca="1">IF($A133="","",MAX($C$7:C133))</f>
        <v/>
      </c>
      <c r="E133" s="26" t="str">
        <f t="shared" ca="1" si="22"/>
        <v/>
      </c>
      <c r="F133" s="27" t="str">
        <f ca="1">IF($A133="","",Returns!$I$131)</f>
        <v/>
      </c>
      <c r="G133" s="60" t="str">
        <f t="shared" ca="1" si="23"/>
        <v/>
      </c>
      <c r="H133" s="60" t="str">
        <f ca="1">IF($A133="","",MAX($G$7:G133))</f>
        <v/>
      </c>
      <c r="I133" s="26" t="str">
        <f t="shared" ca="1" si="24"/>
        <v/>
      </c>
      <c r="J133" s="59" t="str">
        <f t="shared" ca="1" si="25"/>
        <v/>
      </c>
      <c r="K133" s="3"/>
      <c r="L133" t="str">
        <f t="shared" ca="1" si="13"/>
        <v/>
      </c>
      <c r="M133" s="132" t="str">
        <f t="shared" ca="1" si="14"/>
        <v/>
      </c>
      <c r="N133" s="132" t="str">
        <f t="shared" ca="1" si="15"/>
        <v/>
      </c>
      <c r="P133" t="str">
        <f t="shared" ca="1" si="16"/>
        <v/>
      </c>
      <c r="Q133" s="133" t="str">
        <f t="shared" ca="1" si="17"/>
        <v/>
      </c>
      <c r="R133" s="133" t="str">
        <f t="shared" ca="1" si="18"/>
        <v/>
      </c>
      <c r="T133" t="str">
        <f t="shared" ca="1" si="19"/>
        <v/>
      </c>
      <c r="U133" s="134" t="str">
        <f t="shared" ca="1" si="20"/>
        <v/>
      </c>
    </row>
    <row r="134" spans="1:21" x14ac:dyDescent="0.3">
      <c r="A134" s="10" t="str">
        <f ca="1">Returns!$A$132</f>
        <v/>
      </c>
      <c r="B134" s="27" t="str">
        <f ca="1">IF($A134="","",Returns!$J$132)</f>
        <v/>
      </c>
      <c r="C134" s="60" t="str">
        <f t="shared" ca="1" si="21"/>
        <v/>
      </c>
      <c r="D134" s="60" t="str">
        <f ca="1">IF($A134="","",MAX($C$7:C134))</f>
        <v/>
      </c>
      <c r="E134" s="26" t="str">
        <f t="shared" ca="1" si="22"/>
        <v/>
      </c>
      <c r="F134" s="27" t="str">
        <f ca="1">IF($A134="","",Returns!$I$132)</f>
        <v/>
      </c>
      <c r="G134" s="60" t="str">
        <f t="shared" ca="1" si="23"/>
        <v/>
      </c>
      <c r="H134" s="60" t="str">
        <f ca="1">IF($A134="","",MAX($G$7:G134))</f>
        <v/>
      </c>
      <c r="I134" s="26" t="str">
        <f t="shared" ca="1" si="24"/>
        <v/>
      </c>
      <c r="J134" s="59" t="str">
        <f t="shared" ca="1" si="25"/>
        <v/>
      </c>
      <c r="K134" s="3"/>
      <c r="L134" t="str">
        <f t="shared" ca="1" si="13"/>
        <v/>
      </c>
      <c r="M134" s="132" t="str">
        <f t="shared" ca="1" si="14"/>
        <v/>
      </c>
      <c r="N134" s="132" t="str">
        <f t="shared" ca="1" si="15"/>
        <v/>
      </c>
      <c r="P134" t="str">
        <f t="shared" ca="1" si="16"/>
        <v/>
      </c>
      <c r="Q134" s="133" t="str">
        <f t="shared" ca="1" si="17"/>
        <v/>
      </c>
      <c r="R134" s="133" t="str">
        <f t="shared" ca="1" si="18"/>
        <v/>
      </c>
      <c r="T134" t="str">
        <f t="shared" ca="1" si="19"/>
        <v/>
      </c>
      <c r="U134" s="134" t="str">
        <f t="shared" ca="1" si="20"/>
        <v/>
      </c>
    </row>
    <row r="135" spans="1:21" x14ac:dyDescent="0.3">
      <c r="A135" s="10" t="str">
        <f ca="1">Returns!$A$133</f>
        <v/>
      </c>
      <c r="B135" s="27" t="str">
        <f ca="1">IF($A135="","",Returns!$J$133)</f>
        <v/>
      </c>
      <c r="C135" s="60" t="str">
        <f t="shared" ca="1" si="21"/>
        <v/>
      </c>
      <c r="D135" s="60" t="str">
        <f ca="1">IF($A135="","",MAX($C$7:C135))</f>
        <v/>
      </c>
      <c r="E135" s="26" t="str">
        <f t="shared" ca="1" si="22"/>
        <v/>
      </c>
      <c r="F135" s="27" t="str">
        <f ca="1">IF($A135="","",Returns!$I$133)</f>
        <v/>
      </c>
      <c r="G135" s="60" t="str">
        <f t="shared" ca="1" si="23"/>
        <v/>
      </c>
      <c r="H135" s="60" t="str">
        <f ca="1">IF($A135="","",MAX($G$7:G135))</f>
        <v/>
      </c>
      <c r="I135" s="26" t="str">
        <f t="shared" ca="1" si="24"/>
        <v/>
      </c>
      <c r="J135" s="59" t="str">
        <f t="shared" ca="1" si="25"/>
        <v/>
      </c>
      <c r="K135" s="3"/>
      <c r="L135" t="str">
        <f t="shared" ref="L135:L198" ca="1" si="26">$J135</f>
        <v/>
      </c>
      <c r="M135" s="132" t="str">
        <f t="shared" ref="M135:M198" ca="1" si="27">$C135</f>
        <v/>
      </c>
      <c r="N135" s="132" t="str">
        <f t="shared" ref="N135:N198" ca="1" si="28">$G135</f>
        <v/>
      </c>
      <c r="P135" t="str">
        <f t="shared" ref="P135:P198" ca="1" si="29">$J135</f>
        <v/>
      </c>
      <c r="Q135" s="133" t="str">
        <f t="shared" ref="Q135:Q198" ca="1" si="30">$E135</f>
        <v/>
      </c>
      <c r="R135" s="133" t="str">
        <f t="shared" ref="R135:R198" ca="1" si="31">$I135</f>
        <v/>
      </c>
      <c r="T135" t="str">
        <f t="shared" ref="T135:T198" ca="1" si="32">$J135</f>
        <v/>
      </c>
      <c r="U135" s="134" t="str">
        <f t="shared" ref="U135:U198" ca="1" si="33">IF($A135="","",NotionalValue*$C135/IndexBase)</f>
        <v/>
      </c>
    </row>
    <row r="136" spans="1:21" x14ac:dyDescent="0.3">
      <c r="A136" s="10" t="str">
        <f ca="1">Returns!$A$134</f>
        <v/>
      </c>
      <c r="B136" s="27" t="str">
        <f ca="1">IF($A136="","",Returns!$J$134)</f>
        <v/>
      </c>
      <c r="C136" s="60" t="str">
        <f t="shared" ref="C136:C199" ca="1" si="34">IF($A136="","",C135*(1+$B136))</f>
        <v/>
      </c>
      <c r="D136" s="60" t="str">
        <f ca="1">IF($A136="","",MAX($C$7:C136))</f>
        <v/>
      </c>
      <c r="E136" s="26" t="str">
        <f t="shared" ref="E136:E199" ca="1" si="35">IF($A136="","",$C136/$D136-1)</f>
        <v/>
      </c>
      <c r="F136" s="27" t="str">
        <f ca="1">IF($A136="","",Returns!$I$134)</f>
        <v/>
      </c>
      <c r="G136" s="60" t="str">
        <f t="shared" ref="G136:G199" ca="1" si="36">IF($A136="","",G135*(1+$F136))</f>
        <v/>
      </c>
      <c r="H136" s="60" t="str">
        <f ca="1">IF($A136="","",MAX($G$7:G136))</f>
        <v/>
      </c>
      <c r="I136" s="26" t="str">
        <f t="shared" ref="I136:I199" ca="1" si="37">IF($A136="","",$G136/$H136-1)</f>
        <v/>
      </c>
      <c r="J136" s="59" t="str">
        <f t="shared" ref="J136:J199" ca="1" si="38">IF($A136="","",TEXT($A136,"mmm-yy"))</f>
        <v/>
      </c>
      <c r="K136" s="3"/>
      <c r="L136" t="str">
        <f t="shared" ca="1" si="26"/>
        <v/>
      </c>
      <c r="M136" s="132" t="str">
        <f t="shared" ca="1" si="27"/>
        <v/>
      </c>
      <c r="N136" s="132" t="str">
        <f t="shared" ca="1" si="28"/>
        <v/>
      </c>
      <c r="P136" t="str">
        <f t="shared" ca="1" si="29"/>
        <v/>
      </c>
      <c r="Q136" s="133" t="str">
        <f t="shared" ca="1" si="30"/>
        <v/>
      </c>
      <c r="R136" s="133" t="str">
        <f t="shared" ca="1" si="31"/>
        <v/>
      </c>
      <c r="T136" t="str">
        <f t="shared" ca="1" si="32"/>
        <v/>
      </c>
      <c r="U136" s="134" t="str">
        <f t="shared" ca="1" si="33"/>
        <v/>
      </c>
    </row>
    <row r="137" spans="1:21" x14ac:dyDescent="0.3">
      <c r="A137" s="151" t="str">
        <f ca="1">Returns!$A$135</f>
        <v/>
      </c>
      <c r="B137" s="152" t="str">
        <f ca="1">IF($A137="","",Returns!$J$135)</f>
        <v/>
      </c>
      <c r="C137" s="153" t="str">
        <f t="shared" ca="1" si="34"/>
        <v/>
      </c>
      <c r="D137" s="153" t="str">
        <f ca="1">IF($A137="","",MAX($C$7:C137))</f>
        <v/>
      </c>
      <c r="E137" s="154" t="str">
        <f t="shared" ca="1" si="35"/>
        <v/>
      </c>
      <c r="F137" s="152" t="str">
        <f ca="1">IF($A137="","",Returns!$I$135)</f>
        <v/>
      </c>
      <c r="G137" s="153" t="str">
        <f t="shared" ca="1" si="36"/>
        <v/>
      </c>
      <c r="H137" s="153" t="str">
        <f ca="1">IF($A137="","",MAX($G$7:G137))</f>
        <v/>
      </c>
      <c r="I137" s="154" t="str">
        <f t="shared" ca="1" si="37"/>
        <v/>
      </c>
      <c r="J137" s="59" t="str">
        <f t="shared" ca="1" si="38"/>
        <v/>
      </c>
      <c r="K137" s="3"/>
      <c r="L137" t="str">
        <f t="shared" ca="1" si="26"/>
        <v/>
      </c>
      <c r="M137" s="132" t="str">
        <f t="shared" ca="1" si="27"/>
        <v/>
      </c>
      <c r="N137" s="132" t="str">
        <f t="shared" ca="1" si="28"/>
        <v/>
      </c>
      <c r="P137" t="str">
        <f t="shared" ca="1" si="29"/>
        <v/>
      </c>
      <c r="Q137" s="133" t="str">
        <f t="shared" ca="1" si="30"/>
        <v/>
      </c>
      <c r="R137" s="133" t="str">
        <f t="shared" ca="1" si="31"/>
        <v/>
      </c>
      <c r="T137" t="str">
        <f t="shared" ca="1" si="32"/>
        <v/>
      </c>
      <c r="U137" s="134" t="str">
        <f t="shared" ca="1" si="33"/>
        <v/>
      </c>
    </row>
    <row r="138" spans="1:21" x14ac:dyDescent="0.3">
      <c r="A138" s="151" t="str">
        <f ca="1">Returns!$A$136</f>
        <v/>
      </c>
      <c r="B138" s="152" t="str">
        <f ca="1">IF($A138="","",Returns!$J$136)</f>
        <v/>
      </c>
      <c r="C138" s="153" t="str">
        <f t="shared" ca="1" si="34"/>
        <v/>
      </c>
      <c r="D138" s="153" t="str">
        <f ca="1">IF($A138="","",MAX($C$7:C138))</f>
        <v/>
      </c>
      <c r="E138" s="154" t="str">
        <f t="shared" ca="1" si="35"/>
        <v/>
      </c>
      <c r="F138" s="152" t="str">
        <f ca="1">IF($A138="","",Returns!$I$136)</f>
        <v/>
      </c>
      <c r="G138" s="153" t="str">
        <f t="shared" ca="1" si="36"/>
        <v/>
      </c>
      <c r="H138" s="153" t="str">
        <f ca="1">IF($A138="","",MAX($G$7:G138))</f>
        <v/>
      </c>
      <c r="I138" s="154" t="str">
        <f t="shared" ca="1" si="37"/>
        <v/>
      </c>
      <c r="J138" s="59" t="str">
        <f t="shared" ca="1" si="38"/>
        <v/>
      </c>
      <c r="K138" s="3"/>
      <c r="L138" t="str">
        <f t="shared" ca="1" si="26"/>
        <v/>
      </c>
      <c r="M138" s="132" t="str">
        <f t="shared" ca="1" si="27"/>
        <v/>
      </c>
      <c r="N138" s="132" t="str">
        <f t="shared" ca="1" si="28"/>
        <v/>
      </c>
      <c r="P138" t="str">
        <f t="shared" ca="1" si="29"/>
        <v/>
      </c>
      <c r="Q138" s="133" t="str">
        <f t="shared" ca="1" si="30"/>
        <v/>
      </c>
      <c r="R138" s="133" t="str">
        <f t="shared" ca="1" si="31"/>
        <v/>
      </c>
      <c r="T138" t="str">
        <f t="shared" ca="1" si="32"/>
        <v/>
      </c>
      <c r="U138" s="134" t="str">
        <f t="shared" ca="1" si="33"/>
        <v/>
      </c>
    </row>
    <row r="139" spans="1:21" x14ac:dyDescent="0.3">
      <c r="A139" s="151" t="str">
        <f ca="1">Returns!$A$137</f>
        <v/>
      </c>
      <c r="B139" s="152" t="str">
        <f ca="1">IF($A139="","",Returns!$J$137)</f>
        <v/>
      </c>
      <c r="C139" s="153" t="str">
        <f t="shared" ca="1" si="34"/>
        <v/>
      </c>
      <c r="D139" s="153" t="str">
        <f ca="1">IF($A139="","",MAX($C$7:C139))</f>
        <v/>
      </c>
      <c r="E139" s="154" t="str">
        <f t="shared" ca="1" si="35"/>
        <v/>
      </c>
      <c r="F139" s="152" t="str">
        <f ca="1">IF($A139="","",Returns!$I$137)</f>
        <v/>
      </c>
      <c r="G139" s="153" t="str">
        <f t="shared" ca="1" si="36"/>
        <v/>
      </c>
      <c r="H139" s="153" t="str">
        <f ca="1">IF($A139="","",MAX($G$7:G139))</f>
        <v/>
      </c>
      <c r="I139" s="154" t="str">
        <f t="shared" ca="1" si="37"/>
        <v/>
      </c>
      <c r="J139" s="59" t="str">
        <f t="shared" ca="1" si="38"/>
        <v/>
      </c>
      <c r="K139" s="3"/>
      <c r="L139" t="str">
        <f t="shared" ca="1" si="26"/>
        <v/>
      </c>
      <c r="M139" s="132" t="str">
        <f t="shared" ca="1" si="27"/>
        <v/>
      </c>
      <c r="N139" s="132" t="str">
        <f t="shared" ca="1" si="28"/>
        <v/>
      </c>
      <c r="P139" t="str">
        <f t="shared" ca="1" si="29"/>
        <v/>
      </c>
      <c r="Q139" s="133" t="str">
        <f t="shared" ca="1" si="30"/>
        <v/>
      </c>
      <c r="R139" s="133" t="str">
        <f t="shared" ca="1" si="31"/>
        <v/>
      </c>
      <c r="T139" t="str">
        <f t="shared" ca="1" si="32"/>
        <v/>
      </c>
      <c r="U139" s="134" t="str">
        <f t="shared" ca="1" si="33"/>
        <v/>
      </c>
    </row>
    <row r="140" spans="1:21" x14ac:dyDescent="0.3">
      <c r="A140" s="151" t="str">
        <f ca="1">Returns!$A$138</f>
        <v/>
      </c>
      <c r="B140" s="152" t="str">
        <f ca="1">IF($A140="","",Returns!$J$138)</f>
        <v/>
      </c>
      <c r="C140" s="153" t="str">
        <f t="shared" ca="1" si="34"/>
        <v/>
      </c>
      <c r="D140" s="153" t="str">
        <f ca="1">IF($A140="","",MAX($C$7:C140))</f>
        <v/>
      </c>
      <c r="E140" s="154" t="str">
        <f t="shared" ca="1" si="35"/>
        <v/>
      </c>
      <c r="F140" s="152" t="str">
        <f ca="1">IF($A140="","",Returns!$I$138)</f>
        <v/>
      </c>
      <c r="G140" s="153" t="str">
        <f t="shared" ca="1" si="36"/>
        <v/>
      </c>
      <c r="H140" s="153" t="str">
        <f ca="1">IF($A140="","",MAX($G$7:G140))</f>
        <v/>
      </c>
      <c r="I140" s="154" t="str">
        <f t="shared" ca="1" si="37"/>
        <v/>
      </c>
      <c r="J140" s="59" t="str">
        <f t="shared" ca="1" si="38"/>
        <v/>
      </c>
      <c r="K140" s="3"/>
      <c r="L140" t="str">
        <f t="shared" ca="1" si="26"/>
        <v/>
      </c>
      <c r="M140" s="132" t="str">
        <f t="shared" ca="1" si="27"/>
        <v/>
      </c>
      <c r="N140" s="132" t="str">
        <f t="shared" ca="1" si="28"/>
        <v/>
      </c>
      <c r="P140" t="str">
        <f t="shared" ca="1" si="29"/>
        <v/>
      </c>
      <c r="Q140" s="133" t="str">
        <f t="shared" ca="1" si="30"/>
        <v/>
      </c>
      <c r="R140" s="133" t="str">
        <f t="shared" ca="1" si="31"/>
        <v/>
      </c>
      <c r="T140" t="str">
        <f t="shared" ca="1" si="32"/>
        <v/>
      </c>
      <c r="U140" s="134" t="str">
        <f t="shared" ca="1" si="33"/>
        <v/>
      </c>
    </row>
    <row r="141" spans="1:21" x14ac:dyDescent="0.3">
      <c r="A141" s="151" t="str">
        <f ca="1">Returns!$A$139</f>
        <v/>
      </c>
      <c r="B141" s="152" t="str">
        <f ca="1">IF($A141="","",Returns!$J$139)</f>
        <v/>
      </c>
      <c r="C141" s="153" t="str">
        <f t="shared" ca="1" si="34"/>
        <v/>
      </c>
      <c r="D141" s="153" t="str">
        <f ca="1">IF($A141="","",MAX($C$7:C141))</f>
        <v/>
      </c>
      <c r="E141" s="154" t="str">
        <f t="shared" ca="1" si="35"/>
        <v/>
      </c>
      <c r="F141" s="152" t="str">
        <f ca="1">IF($A141="","",Returns!$I$139)</f>
        <v/>
      </c>
      <c r="G141" s="153" t="str">
        <f t="shared" ca="1" si="36"/>
        <v/>
      </c>
      <c r="H141" s="153" t="str">
        <f ca="1">IF($A141="","",MAX($G$7:G141))</f>
        <v/>
      </c>
      <c r="I141" s="154" t="str">
        <f t="shared" ca="1" si="37"/>
        <v/>
      </c>
      <c r="J141" s="59" t="str">
        <f t="shared" ca="1" si="38"/>
        <v/>
      </c>
      <c r="K141" s="3"/>
      <c r="L141" t="str">
        <f t="shared" ca="1" si="26"/>
        <v/>
      </c>
      <c r="M141" s="132" t="str">
        <f t="shared" ca="1" si="27"/>
        <v/>
      </c>
      <c r="N141" s="132" t="str">
        <f t="shared" ca="1" si="28"/>
        <v/>
      </c>
      <c r="P141" t="str">
        <f t="shared" ca="1" si="29"/>
        <v/>
      </c>
      <c r="Q141" s="133" t="str">
        <f t="shared" ca="1" si="30"/>
        <v/>
      </c>
      <c r="R141" s="133" t="str">
        <f t="shared" ca="1" si="31"/>
        <v/>
      </c>
      <c r="T141" t="str">
        <f t="shared" ca="1" si="32"/>
        <v/>
      </c>
      <c r="U141" s="134" t="str">
        <f t="shared" ca="1" si="33"/>
        <v/>
      </c>
    </row>
    <row r="142" spans="1:21" x14ac:dyDescent="0.3">
      <c r="A142" s="151" t="str">
        <f ca="1">Returns!$A$140</f>
        <v/>
      </c>
      <c r="B142" s="152" t="str">
        <f ca="1">IF($A142="","",Returns!$J$140)</f>
        <v/>
      </c>
      <c r="C142" s="153" t="str">
        <f t="shared" ca="1" si="34"/>
        <v/>
      </c>
      <c r="D142" s="153" t="str">
        <f ca="1">IF($A142="","",MAX($C$7:C142))</f>
        <v/>
      </c>
      <c r="E142" s="154" t="str">
        <f t="shared" ca="1" si="35"/>
        <v/>
      </c>
      <c r="F142" s="152" t="str">
        <f ca="1">IF($A142="","",Returns!$I$140)</f>
        <v/>
      </c>
      <c r="G142" s="153" t="str">
        <f t="shared" ca="1" si="36"/>
        <v/>
      </c>
      <c r="H142" s="153" t="str">
        <f ca="1">IF($A142="","",MAX($G$7:G142))</f>
        <v/>
      </c>
      <c r="I142" s="154" t="str">
        <f t="shared" ca="1" si="37"/>
        <v/>
      </c>
      <c r="J142" s="59" t="str">
        <f t="shared" ca="1" si="38"/>
        <v/>
      </c>
      <c r="K142" s="3"/>
      <c r="L142" t="str">
        <f t="shared" ca="1" si="26"/>
        <v/>
      </c>
      <c r="M142" s="132" t="str">
        <f t="shared" ca="1" si="27"/>
        <v/>
      </c>
      <c r="N142" s="132" t="str">
        <f t="shared" ca="1" si="28"/>
        <v/>
      </c>
      <c r="P142" t="str">
        <f t="shared" ca="1" si="29"/>
        <v/>
      </c>
      <c r="Q142" s="133" t="str">
        <f t="shared" ca="1" si="30"/>
        <v/>
      </c>
      <c r="R142" s="133" t="str">
        <f t="shared" ca="1" si="31"/>
        <v/>
      </c>
      <c r="T142" t="str">
        <f t="shared" ca="1" si="32"/>
        <v/>
      </c>
      <c r="U142" s="134" t="str">
        <f t="shared" ca="1" si="33"/>
        <v/>
      </c>
    </row>
    <row r="143" spans="1:21" x14ac:dyDescent="0.3">
      <c r="A143" s="151" t="str">
        <f ca="1">Returns!$A$141</f>
        <v/>
      </c>
      <c r="B143" s="152" t="str">
        <f ca="1">IF($A143="","",Returns!$J$141)</f>
        <v/>
      </c>
      <c r="C143" s="153" t="str">
        <f t="shared" ca="1" si="34"/>
        <v/>
      </c>
      <c r="D143" s="153" t="str">
        <f ca="1">IF($A143="","",MAX($C$7:C143))</f>
        <v/>
      </c>
      <c r="E143" s="154" t="str">
        <f t="shared" ca="1" si="35"/>
        <v/>
      </c>
      <c r="F143" s="152" t="str">
        <f ca="1">IF($A143="","",Returns!$I$141)</f>
        <v/>
      </c>
      <c r="G143" s="153" t="str">
        <f t="shared" ca="1" si="36"/>
        <v/>
      </c>
      <c r="H143" s="153" t="str">
        <f ca="1">IF($A143="","",MAX($G$7:G143))</f>
        <v/>
      </c>
      <c r="I143" s="154" t="str">
        <f t="shared" ca="1" si="37"/>
        <v/>
      </c>
      <c r="J143" s="59" t="str">
        <f t="shared" ca="1" si="38"/>
        <v/>
      </c>
      <c r="K143" s="3"/>
      <c r="L143" t="str">
        <f t="shared" ca="1" si="26"/>
        <v/>
      </c>
      <c r="M143" s="132" t="str">
        <f t="shared" ca="1" si="27"/>
        <v/>
      </c>
      <c r="N143" s="132" t="str">
        <f t="shared" ca="1" si="28"/>
        <v/>
      </c>
      <c r="P143" t="str">
        <f t="shared" ca="1" si="29"/>
        <v/>
      </c>
      <c r="Q143" s="133" t="str">
        <f t="shared" ca="1" si="30"/>
        <v/>
      </c>
      <c r="R143" s="133" t="str">
        <f t="shared" ca="1" si="31"/>
        <v/>
      </c>
      <c r="T143" t="str">
        <f t="shared" ca="1" si="32"/>
        <v/>
      </c>
      <c r="U143" s="134" t="str">
        <f t="shared" ca="1" si="33"/>
        <v/>
      </c>
    </row>
    <row r="144" spans="1:21" x14ac:dyDescent="0.3">
      <c r="A144" s="151" t="str">
        <f ca="1">Returns!$A$142</f>
        <v/>
      </c>
      <c r="B144" s="152" t="str">
        <f ca="1">IF($A144="","",Returns!$J$142)</f>
        <v/>
      </c>
      <c r="C144" s="153" t="str">
        <f t="shared" ca="1" si="34"/>
        <v/>
      </c>
      <c r="D144" s="153" t="str">
        <f ca="1">IF($A144="","",MAX($C$7:C144))</f>
        <v/>
      </c>
      <c r="E144" s="154" t="str">
        <f t="shared" ca="1" si="35"/>
        <v/>
      </c>
      <c r="F144" s="152" t="str">
        <f ca="1">IF($A144="","",Returns!$I$142)</f>
        <v/>
      </c>
      <c r="G144" s="153" t="str">
        <f t="shared" ca="1" si="36"/>
        <v/>
      </c>
      <c r="H144" s="153" t="str">
        <f ca="1">IF($A144="","",MAX($G$7:G144))</f>
        <v/>
      </c>
      <c r="I144" s="154" t="str">
        <f t="shared" ca="1" si="37"/>
        <v/>
      </c>
      <c r="J144" s="59" t="str">
        <f t="shared" ca="1" si="38"/>
        <v/>
      </c>
      <c r="K144" s="3"/>
      <c r="L144" t="str">
        <f t="shared" ca="1" si="26"/>
        <v/>
      </c>
      <c r="M144" s="132" t="str">
        <f t="shared" ca="1" si="27"/>
        <v/>
      </c>
      <c r="N144" s="132" t="str">
        <f t="shared" ca="1" si="28"/>
        <v/>
      </c>
      <c r="P144" t="str">
        <f t="shared" ca="1" si="29"/>
        <v/>
      </c>
      <c r="Q144" s="133" t="str">
        <f t="shared" ca="1" si="30"/>
        <v/>
      </c>
      <c r="R144" s="133" t="str">
        <f t="shared" ca="1" si="31"/>
        <v/>
      </c>
      <c r="T144" t="str">
        <f t="shared" ca="1" si="32"/>
        <v/>
      </c>
      <c r="U144" s="134" t="str">
        <f t="shared" ca="1" si="33"/>
        <v/>
      </c>
    </row>
    <row r="145" spans="1:21" x14ac:dyDescent="0.3">
      <c r="A145" s="151" t="str">
        <f ca="1">Returns!$A$143</f>
        <v/>
      </c>
      <c r="B145" s="152" t="str">
        <f ca="1">IF($A145="","",Returns!$J$143)</f>
        <v/>
      </c>
      <c r="C145" s="153" t="str">
        <f t="shared" ca="1" si="34"/>
        <v/>
      </c>
      <c r="D145" s="153" t="str">
        <f ca="1">IF($A145="","",MAX($C$7:C145))</f>
        <v/>
      </c>
      <c r="E145" s="154" t="str">
        <f t="shared" ca="1" si="35"/>
        <v/>
      </c>
      <c r="F145" s="152" t="str">
        <f ca="1">IF($A145="","",Returns!$I$143)</f>
        <v/>
      </c>
      <c r="G145" s="153" t="str">
        <f t="shared" ca="1" si="36"/>
        <v/>
      </c>
      <c r="H145" s="153" t="str">
        <f ca="1">IF($A145="","",MAX($G$7:G145))</f>
        <v/>
      </c>
      <c r="I145" s="154" t="str">
        <f t="shared" ca="1" si="37"/>
        <v/>
      </c>
      <c r="J145" s="59" t="str">
        <f t="shared" ca="1" si="38"/>
        <v/>
      </c>
      <c r="K145" s="3"/>
      <c r="L145" t="str">
        <f t="shared" ca="1" si="26"/>
        <v/>
      </c>
      <c r="M145" s="132" t="str">
        <f t="shared" ca="1" si="27"/>
        <v/>
      </c>
      <c r="N145" s="132" t="str">
        <f t="shared" ca="1" si="28"/>
        <v/>
      </c>
      <c r="P145" t="str">
        <f t="shared" ca="1" si="29"/>
        <v/>
      </c>
      <c r="Q145" s="133" t="str">
        <f t="shared" ca="1" si="30"/>
        <v/>
      </c>
      <c r="R145" s="133" t="str">
        <f t="shared" ca="1" si="31"/>
        <v/>
      </c>
      <c r="T145" t="str">
        <f t="shared" ca="1" si="32"/>
        <v/>
      </c>
      <c r="U145" s="134" t="str">
        <f t="shared" ca="1" si="33"/>
        <v/>
      </c>
    </row>
    <row r="146" spans="1:21" x14ac:dyDescent="0.3">
      <c r="A146" s="151" t="str">
        <f ca="1">Returns!$A$144</f>
        <v/>
      </c>
      <c r="B146" s="152" t="str">
        <f ca="1">IF($A146="","",Returns!$J$144)</f>
        <v/>
      </c>
      <c r="C146" s="153" t="str">
        <f t="shared" ca="1" si="34"/>
        <v/>
      </c>
      <c r="D146" s="153" t="str">
        <f ca="1">IF($A146="","",MAX($C$7:C146))</f>
        <v/>
      </c>
      <c r="E146" s="154" t="str">
        <f t="shared" ca="1" si="35"/>
        <v/>
      </c>
      <c r="F146" s="152" t="str">
        <f ca="1">IF($A146="","",Returns!$I$144)</f>
        <v/>
      </c>
      <c r="G146" s="153" t="str">
        <f t="shared" ca="1" si="36"/>
        <v/>
      </c>
      <c r="H146" s="153" t="str">
        <f ca="1">IF($A146="","",MAX($G$7:G146))</f>
        <v/>
      </c>
      <c r="I146" s="154" t="str">
        <f t="shared" ca="1" si="37"/>
        <v/>
      </c>
      <c r="J146" s="59" t="str">
        <f t="shared" ca="1" si="38"/>
        <v/>
      </c>
      <c r="K146" s="3"/>
      <c r="L146" t="str">
        <f t="shared" ca="1" si="26"/>
        <v/>
      </c>
      <c r="M146" s="132" t="str">
        <f t="shared" ca="1" si="27"/>
        <v/>
      </c>
      <c r="N146" s="132" t="str">
        <f t="shared" ca="1" si="28"/>
        <v/>
      </c>
      <c r="P146" t="str">
        <f t="shared" ca="1" si="29"/>
        <v/>
      </c>
      <c r="Q146" s="133" t="str">
        <f t="shared" ca="1" si="30"/>
        <v/>
      </c>
      <c r="R146" s="133" t="str">
        <f t="shared" ca="1" si="31"/>
        <v/>
      </c>
      <c r="T146" t="str">
        <f t="shared" ca="1" si="32"/>
        <v/>
      </c>
      <c r="U146" s="134" t="str">
        <f t="shared" ca="1" si="33"/>
        <v/>
      </c>
    </row>
    <row r="147" spans="1:21" x14ac:dyDescent="0.3">
      <c r="A147" s="151" t="str">
        <f ca="1">Returns!$A$145</f>
        <v/>
      </c>
      <c r="B147" s="152" t="str">
        <f ca="1">IF($A147="","",Returns!$J$145)</f>
        <v/>
      </c>
      <c r="C147" s="153" t="str">
        <f t="shared" ca="1" si="34"/>
        <v/>
      </c>
      <c r="D147" s="153" t="str">
        <f ca="1">IF($A147="","",MAX($C$7:C147))</f>
        <v/>
      </c>
      <c r="E147" s="154" t="str">
        <f t="shared" ca="1" si="35"/>
        <v/>
      </c>
      <c r="F147" s="152" t="str">
        <f ca="1">IF($A147="","",Returns!$I$145)</f>
        <v/>
      </c>
      <c r="G147" s="153" t="str">
        <f t="shared" ca="1" si="36"/>
        <v/>
      </c>
      <c r="H147" s="153" t="str">
        <f ca="1">IF($A147="","",MAX($G$7:G147))</f>
        <v/>
      </c>
      <c r="I147" s="154" t="str">
        <f t="shared" ca="1" si="37"/>
        <v/>
      </c>
      <c r="J147" s="59" t="str">
        <f t="shared" ca="1" si="38"/>
        <v/>
      </c>
      <c r="K147" s="3"/>
      <c r="L147" t="str">
        <f t="shared" ca="1" si="26"/>
        <v/>
      </c>
      <c r="M147" s="132" t="str">
        <f t="shared" ca="1" si="27"/>
        <v/>
      </c>
      <c r="N147" s="132" t="str">
        <f t="shared" ca="1" si="28"/>
        <v/>
      </c>
      <c r="P147" t="str">
        <f t="shared" ca="1" si="29"/>
        <v/>
      </c>
      <c r="Q147" s="133" t="str">
        <f t="shared" ca="1" si="30"/>
        <v/>
      </c>
      <c r="R147" s="133" t="str">
        <f t="shared" ca="1" si="31"/>
        <v/>
      </c>
      <c r="T147" t="str">
        <f t="shared" ca="1" si="32"/>
        <v/>
      </c>
      <c r="U147" s="134" t="str">
        <f t="shared" ca="1" si="33"/>
        <v/>
      </c>
    </row>
    <row r="148" spans="1:21" x14ac:dyDescent="0.3">
      <c r="A148" s="151" t="str">
        <f ca="1">Returns!$A$146</f>
        <v/>
      </c>
      <c r="B148" s="152" t="str">
        <f ca="1">IF($A148="","",Returns!$J$146)</f>
        <v/>
      </c>
      <c r="C148" s="153" t="str">
        <f t="shared" ca="1" si="34"/>
        <v/>
      </c>
      <c r="D148" s="153" t="str">
        <f ca="1">IF($A148="","",MAX($C$7:C148))</f>
        <v/>
      </c>
      <c r="E148" s="154" t="str">
        <f t="shared" ca="1" si="35"/>
        <v/>
      </c>
      <c r="F148" s="152" t="str">
        <f ca="1">IF($A148="","",Returns!$I$146)</f>
        <v/>
      </c>
      <c r="G148" s="153" t="str">
        <f t="shared" ca="1" si="36"/>
        <v/>
      </c>
      <c r="H148" s="153" t="str">
        <f ca="1">IF($A148="","",MAX($G$7:G148))</f>
        <v/>
      </c>
      <c r="I148" s="154" t="str">
        <f t="shared" ca="1" si="37"/>
        <v/>
      </c>
      <c r="J148" s="59" t="str">
        <f t="shared" ca="1" si="38"/>
        <v/>
      </c>
      <c r="K148" s="3"/>
      <c r="L148" t="str">
        <f t="shared" ca="1" si="26"/>
        <v/>
      </c>
      <c r="M148" s="132" t="str">
        <f t="shared" ca="1" si="27"/>
        <v/>
      </c>
      <c r="N148" s="132" t="str">
        <f t="shared" ca="1" si="28"/>
        <v/>
      </c>
      <c r="P148" t="str">
        <f t="shared" ca="1" si="29"/>
        <v/>
      </c>
      <c r="Q148" s="133" t="str">
        <f t="shared" ca="1" si="30"/>
        <v/>
      </c>
      <c r="R148" s="133" t="str">
        <f t="shared" ca="1" si="31"/>
        <v/>
      </c>
      <c r="T148" t="str">
        <f t="shared" ca="1" si="32"/>
        <v/>
      </c>
      <c r="U148" s="134" t="str">
        <f t="shared" ca="1" si="33"/>
        <v/>
      </c>
    </row>
    <row r="149" spans="1:21" x14ac:dyDescent="0.3">
      <c r="A149" s="151" t="str">
        <f ca="1">Returns!$A$147</f>
        <v/>
      </c>
      <c r="B149" s="152" t="str">
        <f ca="1">IF($A149="","",Returns!$J$147)</f>
        <v/>
      </c>
      <c r="C149" s="153" t="str">
        <f t="shared" ca="1" si="34"/>
        <v/>
      </c>
      <c r="D149" s="153" t="str">
        <f ca="1">IF($A149="","",MAX($C$7:C149))</f>
        <v/>
      </c>
      <c r="E149" s="154" t="str">
        <f t="shared" ca="1" si="35"/>
        <v/>
      </c>
      <c r="F149" s="152" t="str">
        <f ca="1">IF($A149="","",Returns!$I$147)</f>
        <v/>
      </c>
      <c r="G149" s="153" t="str">
        <f t="shared" ca="1" si="36"/>
        <v/>
      </c>
      <c r="H149" s="153" t="str">
        <f ca="1">IF($A149="","",MAX($G$7:G149))</f>
        <v/>
      </c>
      <c r="I149" s="154" t="str">
        <f t="shared" ca="1" si="37"/>
        <v/>
      </c>
      <c r="J149" s="59" t="str">
        <f t="shared" ca="1" si="38"/>
        <v/>
      </c>
      <c r="K149" s="3"/>
      <c r="L149" t="str">
        <f t="shared" ca="1" si="26"/>
        <v/>
      </c>
      <c r="M149" s="132" t="str">
        <f t="shared" ca="1" si="27"/>
        <v/>
      </c>
      <c r="N149" s="132" t="str">
        <f t="shared" ca="1" si="28"/>
        <v/>
      </c>
      <c r="P149" t="str">
        <f t="shared" ca="1" si="29"/>
        <v/>
      </c>
      <c r="Q149" s="133" t="str">
        <f t="shared" ca="1" si="30"/>
        <v/>
      </c>
      <c r="R149" s="133" t="str">
        <f t="shared" ca="1" si="31"/>
        <v/>
      </c>
      <c r="T149" t="str">
        <f t="shared" ca="1" si="32"/>
        <v/>
      </c>
      <c r="U149" s="134" t="str">
        <f t="shared" ca="1" si="33"/>
        <v/>
      </c>
    </row>
    <row r="150" spans="1:21" x14ac:dyDescent="0.3">
      <c r="A150" s="151" t="str">
        <f ca="1">Returns!$A$148</f>
        <v/>
      </c>
      <c r="B150" s="152" t="str">
        <f ca="1">IF($A150="","",Returns!$J$148)</f>
        <v/>
      </c>
      <c r="C150" s="153" t="str">
        <f t="shared" ca="1" si="34"/>
        <v/>
      </c>
      <c r="D150" s="153" t="str">
        <f ca="1">IF($A150="","",MAX($C$7:C150))</f>
        <v/>
      </c>
      <c r="E150" s="154" t="str">
        <f t="shared" ca="1" si="35"/>
        <v/>
      </c>
      <c r="F150" s="152" t="str">
        <f ca="1">IF($A150="","",Returns!$I$148)</f>
        <v/>
      </c>
      <c r="G150" s="153" t="str">
        <f t="shared" ca="1" si="36"/>
        <v/>
      </c>
      <c r="H150" s="153" t="str">
        <f ca="1">IF($A150="","",MAX($G$7:G150))</f>
        <v/>
      </c>
      <c r="I150" s="154" t="str">
        <f t="shared" ca="1" si="37"/>
        <v/>
      </c>
      <c r="J150" s="59" t="str">
        <f t="shared" ca="1" si="38"/>
        <v/>
      </c>
      <c r="K150" s="3"/>
      <c r="L150" t="str">
        <f t="shared" ca="1" si="26"/>
        <v/>
      </c>
      <c r="M150" s="132" t="str">
        <f t="shared" ca="1" si="27"/>
        <v/>
      </c>
      <c r="N150" s="132" t="str">
        <f t="shared" ca="1" si="28"/>
        <v/>
      </c>
      <c r="P150" t="str">
        <f t="shared" ca="1" si="29"/>
        <v/>
      </c>
      <c r="Q150" s="133" t="str">
        <f t="shared" ca="1" si="30"/>
        <v/>
      </c>
      <c r="R150" s="133" t="str">
        <f t="shared" ca="1" si="31"/>
        <v/>
      </c>
      <c r="T150" t="str">
        <f t="shared" ca="1" si="32"/>
        <v/>
      </c>
      <c r="U150" s="134" t="str">
        <f t="shared" ca="1" si="33"/>
        <v/>
      </c>
    </row>
    <row r="151" spans="1:21" x14ac:dyDescent="0.3">
      <c r="A151" s="151" t="str">
        <f ca="1">Returns!$A$149</f>
        <v/>
      </c>
      <c r="B151" s="152" t="str">
        <f ca="1">IF($A151="","",Returns!$J$149)</f>
        <v/>
      </c>
      <c r="C151" s="153" t="str">
        <f t="shared" ca="1" si="34"/>
        <v/>
      </c>
      <c r="D151" s="153" t="str">
        <f ca="1">IF($A151="","",MAX($C$7:C151))</f>
        <v/>
      </c>
      <c r="E151" s="154" t="str">
        <f t="shared" ca="1" si="35"/>
        <v/>
      </c>
      <c r="F151" s="152" t="str">
        <f ca="1">IF($A151="","",Returns!$I$149)</f>
        <v/>
      </c>
      <c r="G151" s="153" t="str">
        <f t="shared" ca="1" si="36"/>
        <v/>
      </c>
      <c r="H151" s="153" t="str">
        <f ca="1">IF($A151="","",MAX($G$7:G151))</f>
        <v/>
      </c>
      <c r="I151" s="154" t="str">
        <f t="shared" ca="1" si="37"/>
        <v/>
      </c>
      <c r="J151" s="59" t="str">
        <f t="shared" ca="1" si="38"/>
        <v/>
      </c>
      <c r="K151" s="3"/>
      <c r="L151" t="str">
        <f t="shared" ca="1" si="26"/>
        <v/>
      </c>
      <c r="M151" s="132" t="str">
        <f t="shared" ca="1" si="27"/>
        <v/>
      </c>
      <c r="N151" s="132" t="str">
        <f t="shared" ca="1" si="28"/>
        <v/>
      </c>
      <c r="P151" t="str">
        <f t="shared" ca="1" si="29"/>
        <v/>
      </c>
      <c r="Q151" s="133" t="str">
        <f t="shared" ca="1" si="30"/>
        <v/>
      </c>
      <c r="R151" s="133" t="str">
        <f t="shared" ca="1" si="31"/>
        <v/>
      </c>
      <c r="T151" t="str">
        <f t="shared" ca="1" si="32"/>
        <v/>
      </c>
      <c r="U151" s="134" t="str">
        <f t="shared" ca="1" si="33"/>
        <v/>
      </c>
    </row>
    <row r="152" spans="1:21" x14ac:dyDescent="0.3">
      <c r="A152" s="151" t="str">
        <f ca="1">Returns!$A$150</f>
        <v/>
      </c>
      <c r="B152" s="152" t="str">
        <f ca="1">IF($A152="","",Returns!$J$150)</f>
        <v/>
      </c>
      <c r="C152" s="153" t="str">
        <f t="shared" ca="1" si="34"/>
        <v/>
      </c>
      <c r="D152" s="153" t="str">
        <f ca="1">IF($A152="","",MAX($C$7:C152))</f>
        <v/>
      </c>
      <c r="E152" s="154" t="str">
        <f t="shared" ca="1" si="35"/>
        <v/>
      </c>
      <c r="F152" s="152" t="str">
        <f ca="1">IF($A152="","",Returns!$I$150)</f>
        <v/>
      </c>
      <c r="G152" s="153" t="str">
        <f t="shared" ca="1" si="36"/>
        <v/>
      </c>
      <c r="H152" s="153" t="str">
        <f ca="1">IF($A152="","",MAX($G$7:G152))</f>
        <v/>
      </c>
      <c r="I152" s="154" t="str">
        <f t="shared" ca="1" si="37"/>
        <v/>
      </c>
      <c r="J152" s="59" t="str">
        <f t="shared" ca="1" si="38"/>
        <v/>
      </c>
      <c r="K152" s="3"/>
      <c r="L152" t="str">
        <f t="shared" ca="1" si="26"/>
        <v/>
      </c>
      <c r="M152" s="132" t="str">
        <f t="shared" ca="1" si="27"/>
        <v/>
      </c>
      <c r="N152" s="132" t="str">
        <f t="shared" ca="1" si="28"/>
        <v/>
      </c>
      <c r="P152" t="str">
        <f t="shared" ca="1" si="29"/>
        <v/>
      </c>
      <c r="Q152" s="133" t="str">
        <f t="shared" ca="1" si="30"/>
        <v/>
      </c>
      <c r="R152" s="133" t="str">
        <f t="shared" ca="1" si="31"/>
        <v/>
      </c>
      <c r="T152" t="str">
        <f t="shared" ca="1" si="32"/>
        <v/>
      </c>
      <c r="U152" s="134" t="str">
        <f t="shared" ca="1" si="33"/>
        <v/>
      </c>
    </row>
    <row r="153" spans="1:21" x14ac:dyDescent="0.3">
      <c r="A153" s="151" t="str">
        <f ca="1">Returns!$A$151</f>
        <v/>
      </c>
      <c r="B153" s="152" t="str">
        <f ca="1">IF($A153="","",Returns!$J$151)</f>
        <v/>
      </c>
      <c r="C153" s="153" t="str">
        <f t="shared" ca="1" si="34"/>
        <v/>
      </c>
      <c r="D153" s="153" t="str">
        <f ca="1">IF($A153="","",MAX($C$7:C153))</f>
        <v/>
      </c>
      <c r="E153" s="154" t="str">
        <f t="shared" ca="1" si="35"/>
        <v/>
      </c>
      <c r="F153" s="152" t="str">
        <f ca="1">IF($A153="","",Returns!$I$151)</f>
        <v/>
      </c>
      <c r="G153" s="153" t="str">
        <f t="shared" ca="1" si="36"/>
        <v/>
      </c>
      <c r="H153" s="153" t="str">
        <f ca="1">IF($A153="","",MAX($G$7:G153))</f>
        <v/>
      </c>
      <c r="I153" s="154" t="str">
        <f t="shared" ca="1" si="37"/>
        <v/>
      </c>
      <c r="J153" s="59" t="str">
        <f t="shared" ca="1" si="38"/>
        <v/>
      </c>
      <c r="K153" s="3"/>
      <c r="L153" t="str">
        <f t="shared" ca="1" si="26"/>
        <v/>
      </c>
      <c r="M153" s="132" t="str">
        <f t="shared" ca="1" si="27"/>
        <v/>
      </c>
      <c r="N153" s="132" t="str">
        <f t="shared" ca="1" si="28"/>
        <v/>
      </c>
      <c r="P153" t="str">
        <f t="shared" ca="1" si="29"/>
        <v/>
      </c>
      <c r="Q153" s="133" t="str">
        <f t="shared" ca="1" si="30"/>
        <v/>
      </c>
      <c r="R153" s="133" t="str">
        <f t="shared" ca="1" si="31"/>
        <v/>
      </c>
      <c r="T153" t="str">
        <f t="shared" ca="1" si="32"/>
        <v/>
      </c>
      <c r="U153" s="134" t="str">
        <f t="shared" ca="1" si="33"/>
        <v/>
      </c>
    </row>
    <row r="154" spans="1:21" x14ac:dyDescent="0.3">
      <c r="A154" s="151" t="str">
        <f ca="1">Returns!$A$152</f>
        <v/>
      </c>
      <c r="B154" s="152" t="str">
        <f ca="1">IF($A154="","",Returns!$J$152)</f>
        <v/>
      </c>
      <c r="C154" s="153" t="str">
        <f t="shared" ca="1" si="34"/>
        <v/>
      </c>
      <c r="D154" s="153" t="str">
        <f ca="1">IF($A154="","",MAX($C$7:C154))</f>
        <v/>
      </c>
      <c r="E154" s="154" t="str">
        <f t="shared" ca="1" si="35"/>
        <v/>
      </c>
      <c r="F154" s="152" t="str">
        <f ca="1">IF($A154="","",Returns!$I$152)</f>
        <v/>
      </c>
      <c r="G154" s="153" t="str">
        <f t="shared" ca="1" si="36"/>
        <v/>
      </c>
      <c r="H154" s="153" t="str">
        <f ca="1">IF($A154="","",MAX($G$7:G154))</f>
        <v/>
      </c>
      <c r="I154" s="154" t="str">
        <f t="shared" ca="1" si="37"/>
        <v/>
      </c>
      <c r="J154" s="59" t="str">
        <f t="shared" ca="1" si="38"/>
        <v/>
      </c>
      <c r="K154" s="3"/>
      <c r="L154" t="str">
        <f t="shared" ca="1" si="26"/>
        <v/>
      </c>
      <c r="M154" s="132" t="str">
        <f t="shared" ca="1" si="27"/>
        <v/>
      </c>
      <c r="N154" s="132" t="str">
        <f t="shared" ca="1" si="28"/>
        <v/>
      </c>
      <c r="P154" t="str">
        <f t="shared" ca="1" si="29"/>
        <v/>
      </c>
      <c r="Q154" s="133" t="str">
        <f t="shared" ca="1" si="30"/>
        <v/>
      </c>
      <c r="R154" s="133" t="str">
        <f t="shared" ca="1" si="31"/>
        <v/>
      </c>
      <c r="T154" t="str">
        <f t="shared" ca="1" si="32"/>
        <v/>
      </c>
      <c r="U154" s="134" t="str">
        <f t="shared" ca="1" si="33"/>
        <v/>
      </c>
    </row>
    <row r="155" spans="1:21" x14ac:dyDescent="0.3">
      <c r="A155" s="151" t="str">
        <f ca="1">Returns!$A$153</f>
        <v/>
      </c>
      <c r="B155" s="152" t="str">
        <f ca="1">IF($A155="","",Returns!$J$153)</f>
        <v/>
      </c>
      <c r="C155" s="153" t="str">
        <f t="shared" ca="1" si="34"/>
        <v/>
      </c>
      <c r="D155" s="153" t="str">
        <f ca="1">IF($A155="","",MAX($C$7:C155))</f>
        <v/>
      </c>
      <c r="E155" s="154" t="str">
        <f t="shared" ca="1" si="35"/>
        <v/>
      </c>
      <c r="F155" s="152" t="str">
        <f ca="1">IF($A155="","",Returns!$I$153)</f>
        <v/>
      </c>
      <c r="G155" s="153" t="str">
        <f t="shared" ca="1" si="36"/>
        <v/>
      </c>
      <c r="H155" s="153" t="str">
        <f ca="1">IF($A155="","",MAX($G$7:G155))</f>
        <v/>
      </c>
      <c r="I155" s="154" t="str">
        <f t="shared" ca="1" si="37"/>
        <v/>
      </c>
      <c r="J155" s="59" t="str">
        <f t="shared" ca="1" si="38"/>
        <v/>
      </c>
      <c r="K155" s="3"/>
      <c r="L155" t="str">
        <f t="shared" ca="1" si="26"/>
        <v/>
      </c>
      <c r="M155" s="132" t="str">
        <f t="shared" ca="1" si="27"/>
        <v/>
      </c>
      <c r="N155" s="132" t="str">
        <f t="shared" ca="1" si="28"/>
        <v/>
      </c>
      <c r="P155" t="str">
        <f t="shared" ca="1" si="29"/>
        <v/>
      </c>
      <c r="Q155" s="133" t="str">
        <f t="shared" ca="1" si="30"/>
        <v/>
      </c>
      <c r="R155" s="133" t="str">
        <f t="shared" ca="1" si="31"/>
        <v/>
      </c>
      <c r="T155" t="str">
        <f t="shared" ca="1" si="32"/>
        <v/>
      </c>
      <c r="U155" s="134" t="str">
        <f t="shared" ca="1" si="33"/>
        <v/>
      </c>
    </row>
    <row r="156" spans="1:21" x14ac:dyDescent="0.3">
      <c r="A156" s="151" t="str">
        <f ca="1">Returns!$A$154</f>
        <v/>
      </c>
      <c r="B156" s="152" t="str">
        <f ca="1">IF($A156="","",Returns!$J$154)</f>
        <v/>
      </c>
      <c r="C156" s="153" t="str">
        <f t="shared" ca="1" si="34"/>
        <v/>
      </c>
      <c r="D156" s="153" t="str">
        <f ca="1">IF($A156="","",MAX($C$7:C156))</f>
        <v/>
      </c>
      <c r="E156" s="154" t="str">
        <f t="shared" ca="1" si="35"/>
        <v/>
      </c>
      <c r="F156" s="152" t="str">
        <f ca="1">IF($A156="","",Returns!$I$154)</f>
        <v/>
      </c>
      <c r="G156" s="153" t="str">
        <f t="shared" ca="1" si="36"/>
        <v/>
      </c>
      <c r="H156" s="153" t="str">
        <f ca="1">IF($A156="","",MAX($G$7:G156))</f>
        <v/>
      </c>
      <c r="I156" s="154" t="str">
        <f t="shared" ca="1" si="37"/>
        <v/>
      </c>
      <c r="J156" s="59" t="str">
        <f t="shared" ca="1" si="38"/>
        <v/>
      </c>
      <c r="K156" s="3"/>
      <c r="L156" t="str">
        <f t="shared" ca="1" si="26"/>
        <v/>
      </c>
      <c r="M156" s="132" t="str">
        <f t="shared" ca="1" si="27"/>
        <v/>
      </c>
      <c r="N156" s="132" t="str">
        <f t="shared" ca="1" si="28"/>
        <v/>
      </c>
      <c r="P156" t="str">
        <f t="shared" ca="1" si="29"/>
        <v/>
      </c>
      <c r="Q156" s="133" t="str">
        <f t="shared" ca="1" si="30"/>
        <v/>
      </c>
      <c r="R156" s="133" t="str">
        <f t="shared" ca="1" si="31"/>
        <v/>
      </c>
      <c r="T156" t="str">
        <f t="shared" ca="1" si="32"/>
        <v/>
      </c>
      <c r="U156" s="134" t="str">
        <f t="shared" ca="1" si="33"/>
        <v/>
      </c>
    </row>
    <row r="157" spans="1:21" x14ac:dyDescent="0.3">
      <c r="A157" s="151" t="str">
        <f ca="1">Returns!$A$155</f>
        <v/>
      </c>
      <c r="B157" s="152" t="str">
        <f ca="1">IF($A157="","",Returns!$J$155)</f>
        <v/>
      </c>
      <c r="C157" s="153" t="str">
        <f t="shared" ca="1" si="34"/>
        <v/>
      </c>
      <c r="D157" s="153" t="str">
        <f ca="1">IF($A157="","",MAX($C$7:C157))</f>
        <v/>
      </c>
      <c r="E157" s="154" t="str">
        <f t="shared" ca="1" si="35"/>
        <v/>
      </c>
      <c r="F157" s="152" t="str">
        <f ca="1">IF($A157="","",Returns!$I$155)</f>
        <v/>
      </c>
      <c r="G157" s="153" t="str">
        <f t="shared" ca="1" si="36"/>
        <v/>
      </c>
      <c r="H157" s="153" t="str">
        <f ca="1">IF($A157="","",MAX($G$7:G157))</f>
        <v/>
      </c>
      <c r="I157" s="154" t="str">
        <f t="shared" ca="1" si="37"/>
        <v/>
      </c>
      <c r="J157" s="59" t="str">
        <f t="shared" ca="1" si="38"/>
        <v/>
      </c>
      <c r="K157" s="3"/>
      <c r="L157" t="str">
        <f t="shared" ca="1" si="26"/>
        <v/>
      </c>
      <c r="M157" s="132" t="str">
        <f t="shared" ca="1" si="27"/>
        <v/>
      </c>
      <c r="N157" s="132" t="str">
        <f t="shared" ca="1" si="28"/>
        <v/>
      </c>
      <c r="P157" t="str">
        <f t="shared" ca="1" si="29"/>
        <v/>
      </c>
      <c r="Q157" s="133" t="str">
        <f t="shared" ca="1" si="30"/>
        <v/>
      </c>
      <c r="R157" s="133" t="str">
        <f t="shared" ca="1" si="31"/>
        <v/>
      </c>
      <c r="T157" t="str">
        <f t="shared" ca="1" si="32"/>
        <v/>
      </c>
      <c r="U157" s="134" t="str">
        <f t="shared" ca="1" si="33"/>
        <v/>
      </c>
    </row>
    <row r="158" spans="1:21" x14ac:dyDescent="0.3">
      <c r="A158" s="151" t="str">
        <f ca="1">Returns!$A$156</f>
        <v/>
      </c>
      <c r="B158" s="152" t="str">
        <f ca="1">IF($A158="","",Returns!$J$156)</f>
        <v/>
      </c>
      <c r="C158" s="153" t="str">
        <f t="shared" ca="1" si="34"/>
        <v/>
      </c>
      <c r="D158" s="153" t="str">
        <f ca="1">IF($A158="","",MAX($C$7:C158))</f>
        <v/>
      </c>
      <c r="E158" s="154" t="str">
        <f t="shared" ca="1" si="35"/>
        <v/>
      </c>
      <c r="F158" s="152" t="str">
        <f ca="1">IF($A158="","",Returns!$I$156)</f>
        <v/>
      </c>
      <c r="G158" s="153" t="str">
        <f t="shared" ca="1" si="36"/>
        <v/>
      </c>
      <c r="H158" s="153" t="str">
        <f ca="1">IF($A158="","",MAX($G$7:G158))</f>
        <v/>
      </c>
      <c r="I158" s="154" t="str">
        <f t="shared" ca="1" si="37"/>
        <v/>
      </c>
      <c r="J158" s="59" t="str">
        <f t="shared" ca="1" si="38"/>
        <v/>
      </c>
      <c r="K158" s="3"/>
      <c r="L158" t="str">
        <f t="shared" ca="1" si="26"/>
        <v/>
      </c>
      <c r="M158" s="132" t="str">
        <f t="shared" ca="1" si="27"/>
        <v/>
      </c>
      <c r="N158" s="132" t="str">
        <f t="shared" ca="1" si="28"/>
        <v/>
      </c>
      <c r="P158" t="str">
        <f t="shared" ca="1" si="29"/>
        <v/>
      </c>
      <c r="Q158" s="133" t="str">
        <f t="shared" ca="1" si="30"/>
        <v/>
      </c>
      <c r="R158" s="133" t="str">
        <f t="shared" ca="1" si="31"/>
        <v/>
      </c>
      <c r="T158" t="str">
        <f t="shared" ca="1" si="32"/>
        <v/>
      </c>
      <c r="U158" s="134" t="str">
        <f t="shared" ca="1" si="33"/>
        <v/>
      </c>
    </row>
    <row r="159" spans="1:21" x14ac:dyDescent="0.3">
      <c r="A159" s="151" t="str">
        <f ca="1">Returns!$A$157</f>
        <v/>
      </c>
      <c r="B159" s="152" t="str">
        <f ca="1">IF($A159="","",Returns!$J$157)</f>
        <v/>
      </c>
      <c r="C159" s="153" t="str">
        <f t="shared" ca="1" si="34"/>
        <v/>
      </c>
      <c r="D159" s="153" t="str">
        <f ca="1">IF($A159="","",MAX($C$7:C159))</f>
        <v/>
      </c>
      <c r="E159" s="154" t="str">
        <f t="shared" ca="1" si="35"/>
        <v/>
      </c>
      <c r="F159" s="152" t="str">
        <f ca="1">IF($A159="","",Returns!$I$157)</f>
        <v/>
      </c>
      <c r="G159" s="153" t="str">
        <f t="shared" ca="1" si="36"/>
        <v/>
      </c>
      <c r="H159" s="153" t="str">
        <f ca="1">IF($A159="","",MAX($G$7:G159))</f>
        <v/>
      </c>
      <c r="I159" s="154" t="str">
        <f t="shared" ca="1" si="37"/>
        <v/>
      </c>
      <c r="J159" s="59" t="str">
        <f t="shared" ca="1" si="38"/>
        <v/>
      </c>
      <c r="K159" s="3"/>
      <c r="L159" t="str">
        <f t="shared" ca="1" si="26"/>
        <v/>
      </c>
      <c r="M159" s="132" t="str">
        <f t="shared" ca="1" si="27"/>
        <v/>
      </c>
      <c r="N159" s="132" t="str">
        <f t="shared" ca="1" si="28"/>
        <v/>
      </c>
      <c r="P159" t="str">
        <f t="shared" ca="1" si="29"/>
        <v/>
      </c>
      <c r="Q159" s="133" t="str">
        <f t="shared" ca="1" si="30"/>
        <v/>
      </c>
      <c r="R159" s="133" t="str">
        <f t="shared" ca="1" si="31"/>
        <v/>
      </c>
      <c r="T159" t="str">
        <f t="shared" ca="1" si="32"/>
        <v/>
      </c>
      <c r="U159" s="134" t="str">
        <f t="shared" ca="1" si="33"/>
        <v/>
      </c>
    </row>
    <row r="160" spans="1:21" x14ac:dyDescent="0.3">
      <c r="A160" s="151" t="str">
        <f ca="1">Returns!$A$158</f>
        <v/>
      </c>
      <c r="B160" s="152" t="str">
        <f ca="1">IF($A160="","",Returns!$J$158)</f>
        <v/>
      </c>
      <c r="C160" s="153" t="str">
        <f t="shared" ca="1" si="34"/>
        <v/>
      </c>
      <c r="D160" s="153" t="str">
        <f ca="1">IF($A160="","",MAX($C$7:C160))</f>
        <v/>
      </c>
      <c r="E160" s="154" t="str">
        <f t="shared" ca="1" si="35"/>
        <v/>
      </c>
      <c r="F160" s="152" t="str">
        <f ca="1">IF($A160="","",Returns!$I$158)</f>
        <v/>
      </c>
      <c r="G160" s="153" t="str">
        <f t="shared" ca="1" si="36"/>
        <v/>
      </c>
      <c r="H160" s="153" t="str">
        <f ca="1">IF($A160="","",MAX($G$7:G160))</f>
        <v/>
      </c>
      <c r="I160" s="154" t="str">
        <f t="shared" ca="1" si="37"/>
        <v/>
      </c>
      <c r="J160" s="59" t="str">
        <f t="shared" ca="1" si="38"/>
        <v/>
      </c>
      <c r="K160" s="3"/>
      <c r="L160" t="str">
        <f t="shared" ca="1" si="26"/>
        <v/>
      </c>
      <c r="M160" s="132" t="str">
        <f t="shared" ca="1" si="27"/>
        <v/>
      </c>
      <c r="N160" s="132" t="str">
        <f t="shared" ca="1" si="28"/>
        <v/>
      </c>
      <c r="P160" t="str">
        <f t="shared" ca="1" si="29"/>
        <v/>
      </c>
      <c r="Q160" s="133" t="str">
        <f t="shared" ca="1" si="30"/>
        <v/>
      </c>
      <c r="R160" s="133" t="str">
        <f t="shared" ca="1" si="31"/>
        <v/>
      </c>
      <c r="T160" t="str">
        <f t="shared" ca="1" si="32"/>
        <v/>
      </c>
      <c r="U160" s="134" t="str">
        <f t="shared" ca="1" si="33"/>
        <v/>
      </c>
    </row>
    <row r="161" spans="1:21" x14ac:dyDescent="0.3">
      <c r="A161" s="151" t="str">
        <f ca="1">Returns!$A$159</f>
        <v/>
      </c>
      <c r="B161" s="152" t="str">
        <f ca="1">IF($A161="","",Returns!$J$159)</f>
        <v/>
      </c>
      <c r="C161" s="153" t="str">
        <f t="shared" ca="1" si="34"/>
        <v/>
      </c>
      <c r="D161" s="153" t="str">
        <f ca="1">IF($A161="","",MAX($C$7:C161))</f>
        <v/>
      </c>
      <c r="E161" s="154" t="str">
        <f t="shared" ca="1" si="35"/>
        <v/>
      </c>
      <c r="F161" s="152" t="str">
        <f ca="1">IF($A161="","",Returns!$I$159)</f>
        <v/>
      </c>
      <c r="G161" s="153" t="str">
        <f t="shared" ca="1" si="36"/>
        <v/>
      </c>
      <c r="H161" s="153" t="str">
        <f ca="1">IF($A161="","",MAX($G$7:G161))</f>
        <v/>
      </c>
      <c r="I161" s="154" t="str">
        <f t="shared" ca="1" si="37"/>
        <v/>
      </c>
      <c r="J161" s="59" t="str">
        <f t="shared" ca="1" si="38"/>
        <v/>
      </c>
      <c r="K161" s="3"/>
      <c r="L161" t="str">
        <f t="shared" ca="1" si="26"/>
        <v/>
      </c>
      <c r="M161" s="132" t="str">
        <f t="shared" ca="1" si="27"/>
        <v/>
      </c>
      <c r="N161" s="132" t="str">
        <f t="shared" ca="1" si="28"/>
        <v/>
      </c>
      <c r="P161" t="str">
        <f t="shared" ca="1" si="29"/>
        <v/>
      </c>
      <c r="Q161" s="133" t="str">
        <f t="shared" ca="1" si="30"/>
        <v/>
      </c>
      <c r="R161" s="133" t="str">
        <f t="shared" ca="1" si="31"/>
        <v/>
      </c>
      <c r="T161" t="str">
        <f t="shared" ca="1" si="32"/>
        <v/>
      </c>
      <c r="U161" s="134" t="str">
        <f t="shared" ca="1" si="33"/>
        <v/>
      </c>
    </row>
    <row r="162" spans="1:21" x14ac:dyDescent="0.3">
      <c r="A162" s="151" t="str">
        <f ca="1">Returns!$A$160</f>
        <v/>
      </c>
      <c r="B162" s="152" t="str">
        <f ca="1">IF($A162="","",Returns!$J$160)</f>
        <v/>
      </c>
      <c r="C162" s="153" t="str">
        <f t="shared" ca="1" si="34"/>
        <v/>
      </c>
      <c r="D162" s="153" t="str">
        <f ca="1">IF($A162="","",MAX($C$7:C162))</f>
        <v/>
      </c>
      <c r="E162" s="154" t="str">
        <f t="shared" ca="1" si="35"/>
        <v/>
      </c>
      <c r="F162" s="152" t="str">
        <f ca="1">IF($A162="","",Returns!$I$160)</f>
        <v/>
      </c>
      <c r="G162" s="153" t="str">
        <f t="shared" ca="1" si="36"/>
        <v/>
      </c>
      <c r="H162" s="153" t="str">
        <f ca="1">IF($A162="","",MAX($G$7:G162))</f>
        <v/>
      </c>
      <c r="I162" s="154" t="str">
        <f t="shared" ca="1" si="37"/>
        <v/>
      </c>
      <c r="J162" s="59" t="str">
        <f t="shared" ca="1" si="38"/>
        <v/>
      </c>
      <c r="K162" s="3"/>
      <c r="L162" t="str">
        <f t="shared" ca="1" si="26"/>
        <v/>
      </c>
      <c r="M162" s="132" t="str">
        <f t="shared" ca="1" si="27"/>
        <v/>
      </c>
      <c r="N162" s="132" t="str">
        <f t="shared" ca="1" si="28"/>
        <v/>
      </c>
      <c r="P162" t="str">
        <f t="shared" ca="1" si="29"/>
        <v/>
      </c>
      <c r="Q162" s="133" t="str">
        <f t="shared" ca="1" si="30"/>
        <v/>
      </c>
      <c r="R162" s="133" t="str">
        <f t="shared" ca="1" si="31"/>
        <v/>
      </c>
      <c r="T162" t="str">
        <f t="shared" ca="1" si="32"/>
        <v/>
      </c>
      <c r="U162" s="134" t="str">
        <f t="shared" ca="1" si="33"/>
        <v/>
      </c>
    </row>
    <row r="163" spans="1:21" x14ac:dyDescent="0.3">
      <c r="A163" s="151" t="str">
        <f ca="1">Returns!$A$161</f>
        <v/>
      </c>
      <c r="B163" s="152" t="str">
        <f ca="1">IF($A163="","",Returns!$J$161)</f>
        <v/>
      </c>
      <c r="C163" s="153" t="str">
        <f t="shared" ca="1" si="34"/>
        <v/>
      </c>
      <c r="D163" s="153" t="str">
        <f ca="1">IF($A163="","",MAX($C$7:C163))</f>
        <v/>
      </c>
      <c r="E163" s="154" t="str">
        <f t="shared" ca="1" si="35"/>
        <v/>
      </c>
      <c r="F163" s="152" t="str">
        <f ca="1">IF($A163="","",Returns!$I$161)</f>
        <v/>
      </c>
      <c r="G163" s="153" t="str">
        <f t="shared" ca="1" si="36"/>
        <v/>
      </c>
      <c r="H163" s="153" t="str">
        <f ca="1">IF($A163="","",MAX($G$7:G163))</f>
        <v/>
      </c>
      <c r="I163" s="154" t="str">
        <f t="shared" ca="1" si="37"/>
        <v/>
      </c>
      <c r="J163" s="59" t="str">
        <f t="shared" ca="1" si="38"/>
        <v/>
      </c>
      <c r="K163" s="3"/>
      <c r="L163" t="str">
        <f t="shared" ca="1" si="26"/>
        <v/>
      </c>
      <c r="M163" s="132" t="str">
        <f t="shared" ca="1" si="27"/>
        <v/>
      </c>
      <c r="N163" s="132" t="str">
        <f t="shared" ca="1" si="28"/>
        <v/>
      </c>
      <c r="P163" t="str">
        <f t="shared" ca="1" si="29"/>
        <v/>
      </c>
      <c r="Q163" s="133" t="str">
        <f t="shared" ca="1" si="30"/>
        <v/>
      </c>
      <c r="R163" s="133" t="str">
        <f t="shared" ca="1" si="31"/>
        <v/>
      </c>
      <c r="T163" t="str">
        <f t="shared" ca="1" si="32"/>
        <v/>
      </c>
      <c r="U163" s="134" t="str">
        <f t="shared" ca="1" si="33"/>
        <v/>
      </c>
    </row>
    <row r="164" spans="1:21" x14ac:dyDescent="0.3">
      <c r="A164" s="151" t="str">
        <f ca="1">Returns!$A$162</f>
        <v/>
      </c>
      <c r="B164" s="152" t="str">
        <f ca="1">IF($A164="","",Returns!$J$162)</f>
        <v/>
      </c>
      <c r="C164" s="153" t="str">
        <f t="shared" ca="1" si="34"/>
        <v/>
      </c>
      <c r="D164" s="153" t="str">
        <f ca="1">IF($A164="","",MAX($C$7:C164))</f>
        <v/>
      </c>
      <c r="E164" s="154" t="str">
        <f t="shared" ca="1" si="35"/>
        <v/>
      </c>
      <c r="F164" s="152" t="str">
        <f ca="1">IF($A164="","",Returns!$I$162)</f>
        <v/>
      </c>
      <c r="G164" s="153" t="str">
        <f t="shared" ca="1" si="36"/>
        <v/>
      </c>
      <c r="H164" s="153" t="str">
        <f ca="1">IF($A164="","",MAX($G$7:G164))</f>
        <v/>
      </c>
      <c r="I164" s="154" t="str">
        <f t="shared" ca="1" si="37"/>
        <v/>
      </c>
      <c r="J164" s="59" t="str">
        <f t="shared" ca="1" si="38"/>
        <v/>
      </c>
      <c r="K164" s="3"/>
      <c r="L164" t="str">
        <f t="shared" ca="1" si="26"/>
        <v/>
      </c>
      <c r="M164" s="132" t="str">
        <f t="shared" ca="1" si="27"/>
        <v/>
      </c>
      <c r="N164" s="132" t="str">
        <f t="shared" ca="1" si="28"/>
        <v/>
      </c>
      <c r="P164" t="str">
        <f t="shared" ca="1" si="29"/>
        <v/>
      </c>
      <c r="Q164" s="133" t="str">
        <f t="shared" ca="1" si="30"/>
        <v/>
      </c>
      <c r="R164" s="133" t="str">
        <f t="shared" ca="1" si="31"/>
        <v/>
      </c>
      <c r="T164" t="str">
        <f t="shared" ca="1" si="32"/>
        <v/>
      </c>
      <c r="U164" s="134" t="str">
        <f t="shared" ca="1" si="33"/>
        <v/>
      </c>
    </row>
    <row r="165" spans="1:21" x14ac:dyDescent="0.3">
      <c r="A165" s="151" t="str">
        <f ca="1">Returns!$A$163</f>
        <v/>
      </c>
      <c r="B165" s="152" t="str">
        <f ca="1">IF($A165="","",Returns!$J$163)</f>
        <v/>
      </c>
      <c r="C165" s="153" t="str">
        <f t="shared" ca="1" si="34"/>
        <v/>
      </c>
      <c r="D165" s="153" t="str">
        <f ca="1">IF($A165="","",MAX($C$7:C165))</f>
        <v/>
      </c>
      <c r="E165" s="154" t="str">
        <f t="shared" ca="1" si="35"/>
        <v/>
      </c>
      <c r="F165" s="152" t="str">
        <f ca="1">IF($A165="","",Returns!$I$163)</f>
        <v/>
      </c>
      <c r="G165" s="153" t="str">
        <f t="shared" ca="1" si="36"/>
        <v/>
      </c>
      <c r="H165" s="153" t="str">
        <f ca="1">IF($A165="","",MAX($G$7:G165))</f>
        <v/>
      </c>
      <c r="I165" s="154" t="str">
        <f t="shared" ca="1" si="37"/>
        <v/>
      </c>
      <c r="J165" s="59" t="str">
        <f t="shared" ca="1" si="38"/>
        <v/>
      </c>
      <c r="K165" s="3"/>
      <c r="L165" t="str">
        <f t="shared" ca="1" si="26"/>
        <v/>
      </c>
      <c r="M165" s="132" t="str">
        <f t="shared" ca="1" si="27"/>
        <v/>
      </c>
      <c r="N165" s="132" t="str">
        <f t="shared" ca="1" si="28"/>
        <v/>
      </c>
      <c r="P165" t="str">
        <f t="shared" ca="1" si="29"/>
        <v/>
      </c>
      <c r="Q165" s="133" t="str">
        <f t="shared" ca="1" si="30"/>
        <v/>
      </c>
      <c r="R165" s="133" t="str">
        <f t="shared" ca="1" si="31"/>
        <v/>
      </c>
      <c r="T165" t="str">
        <f t="shared" ca="1" si="32"/>
        <v/>
      </c>
      <c r="U165" s="134" t="str">
        <f t="shared" ca="1" si="33"/>
        <v/>
      </c>
    </row>
    <row r="166" spans="1:21" x14ac:dyDescent="0.3">
      <c r="A166" s="151" t="str">
        <f ca="1">Returns!$A$164</f>
        <v/>
      </c>
      <c r="B166" s="152" t="str">
        <f ca="1">IF($A166="","",Returns!$J$164)</f>
        <v/>
      </c>
      <c r="C166" s="153" t="str">
        <f t="shared" ca="1" si="34"/>
        <v/>
      </c>
      <c r="D166" s="153" t="str">
        <f ca="1">IF($A166="","",MAX($C$7:C166))</f>
        <v/>
      </c>
      <c r="E166" s="154" t="str">
        <f t="shared" ca="1" si="35"/>
        <v/>
      </c>
      <c r="F166" s="152" t="str">
        <f ca="1">IF($A166="","",Returns!$I$164)</f>
        <v/>
      </c>
      <c r="G166" s="153" t="str">
        <f t="shared" ca="1" si="36"/>
        <v/>
      </c>
      <c r="H166" s="153" t="str">
        <f ca="1">IF($A166="","",MAX($G$7:G166))</f>
        <v/>
      </c>
      <c r="I166" s="154" t="str">
        <f t="shared" ca="1" si="37"/>
        <v/>
      </c>
      <c r="J166" s="59" t="str">
        <f t="shared" ca="1" si="38"/>
        <v/>
      </c>
      <c r="K166" s="3"/>
      <c r="L166" t="str">
        <f t="shared" ca="1" si="26"/>
        <v/>
      </c>
      <c r="M166" s="132" t="str">
        <f t="shared" ca="1" si="27"/>
        <v/>
      </c>
      <c r="N166" s="132" t="str">
        <f t="shared" ca="1" si="28"/>
        <v/>
      </c>
      <c r="P166" t="str">
        <f t="shared" ca="1" si="29"/>
        <v/>
      </c>
      <c r="Q166" s="133" t="str">
        <f t="shared" ca="1" si="30"/>
        <v/>
      </c>
      <c r="R166" s="133" t="str">
        <f t="shared" ca="1" si="31"/>
        <v/>
      </c>
      <c r="T166" t="str">
        <f t="shared" ca="1" si="32"/>
        <v/>
      </c>
      <c r="U166" s="134" t="str">
        <f t="shared" ca="1" si="33"/>
        <v/>
      </c>
    </row>
    <row r="167" spans="1:21" x14ac:dyDescent="0.3">
      <c r="A167" s="151" t="str">
        <f ca="1">Returns!$A$165</f>
        <v/>
      </c>
      <c r="B167" s="152" t="str">
        <f ca="1">IF($A167="","",Returns!$J$165)</f>
        <v/>
      </c>
      <c r="C167" s="153" t="str">
        <f t="shared" ca="1" si="34"/>
        <v/>
      </c>
      <c r="D167" s="153" t="str">
        <f ca="1">IF($A167="","",MAX($C$7:C167))</f>
        <v/>
      </c>
      <c r="E167" s="154" t="str">
        <f t="shared" ca="1" si="35"/>
        <v/>
      </c>
      <c r="F167" s="152" t="str">
        <f ca="1">IF($A167="","",Returns!$I$165)</f>
        <v/>
      </c>
      <c r="G167" s="153" t="str">
        <f t="shared" ca="1" si="36"/>
        <v/>
      </c>
      <c r="H167" s="153" t="str">
        <f ca="1">IF($A167="","",MAX($G$7:G167))</f>
        <v/>
      </c>
      <c r="I167" s="154" t="str">
        <f t="shared" ca="1" si="37"/>
        <v/>
      </c>
      <c r="J167" s="59" t="str">
        <f t="shared" ca="1" si="38"/>
        <v/>
      </c>
      <c r="K167" s="3"/>
      <c r="L167" t="str">
        <f t="shared" ca="1" si="26"/>
        <v/>
      </c>
      <c r="M167" s="132" t="str">
        <f t="shared" ca="1" si="27"/>
        <v/>
      </c>
      <c r="N167" s="132" t="str">
        <f t="shared" ca="1" si="28"/>
        <v/>
      </c>
      <c r="P167" t="str">
        <f t="shared" ca="1" si="29"/>
        <v/>
      </c>
      <c r="Q167" s="133" t="str">
        <f t="shared" ca="1" si="30"/>
        <v/>
      </c>
      <c r="R167" s="133" t="str">
        <f t="shared" ca="1" si="31"/>
        <v/>
      </c>
      <c r="T167" t="str">
        <f t="shared" ca="1" si="32"/>
        <v/>
      </c>
      <c r="U167" s="134" t="str">
        <f t="shared" ca="1" si="33"/>
        <v/>
      </c>
    </row>
    <row r="168" spans="1:21" x14ac:dyDescent="0.3">
      <c r="A168" s="151" t="str">
        <f ca="1">Returns!$A$166</f>
        <v/>
      </c>
      <c r="B168" s="152" t="str">
        <f ca="1">IF($A168="","",Returns!$J$166)</f>
        <v/>
      </c>
      <c r="C168" s="153" t="str">
        <f t="shared" ca="1" si="34"/>
        <v/>
      </c>
      <c r="D168" s="153" t="str">
        <f ca="1">IF($A168="","",MAX($C$7:C168))</f>
        <v/>
      </c>
      <c r="E168" s="154" t="str">
        <f t="shared" ca="1" si="35"/>
        <v/>
      </c>
      <c r="F168" s="152" t="str">
        <f ca="1">IF($A168="","",Returns!$I$166)</f>
        <v/>
      </c>
      <c r="G168" s="153" t="str">
        <f t="shared" ca="1" si="36"/>
        <v/>
      </c>
      <c r="H168" s="153" t="str">
        <f ca="1">IF($A168="","",MAX($G$7:G168))</f>
        <v/>
      </c>
      <c r="I168" s="154" t="str">
        <f t="shared" ca="1" si="37"/>
        <v/>
      </c>
      <c r="J168" s="59" t="str">
        <f t="shared" ca="1" si="38"/>
        <v/>
      </c>
      <c r="K168" s="3"/>
      <c r="L168" t="str">
        <f t="shared" ca="1" si="26"/>
        <v/>
      </c>
      <c r="M168" s="132" t="str">
        <f t="shared" ca="1" si="27"/>
        <v/>
      </c>
      <c r="N168" s="132" t="str">
        <f t="shared" ca="1" si="28"/>
        <v/>
      </c>
      <c r="P168" t="str">
        <f t="shared" ca="1" si="29"/>
        <v/>
      </c>
      <c r="Q168" s="133" t="str">
        <f t="shared" ca="1" si="30"/>
        <v/>
      </c>
      <c r="R168" s="133" t="str">
        <f t="shared" ca="1" si="31"/>
        <v/>
      </c>
      <c r="T168" t="str">
        <f t="shared" ca="1" si="32"/>
        <v/>
      </c>
      <c r="U168" s="134" t="str">
        <f t="shared" ca="1" si="33"/>
        <v/>
      </c>
    </row>
    <row r="169" spans="1:21" x14ac:dyDescent="0.3">
      <c r="A169" s="151" t="str">
        <f ca="1">Returns!$A$167</f>
        <v/>
      </c>
      <c r="B169" s="152" t="str">
        <f ca="1">IF($A169="","",Returns!$J$167)</f>
        <v/>
      </c>
      <c r="C169" s="153" t="str">
        <f t="shared" ca="1" si="34"/>
        <v/>
      </c>
      <c r="D169" s="153" t="str">
        <f ca="1">IF($A169="","",MAX($C$7:C169))</f>
        <v/>
      </c>
      <c r="E169" s="154" t="str">
        <f t="shared" ca="1" si="35"/>
        <v/>
      </c>
      <c r="F169" s="152" t="str">
        <f ca="1">IF($A169="","",Returns!$I$167)</f>
        <v/>
      </c>
      <c r="G169" s="153" t="str">
        <f t="shared" ca="1" si="36"/>
        <v/>
      </c>
      <c r="H169" s="153" t="str">
        <f ca="1">IF($A169="","",MAX($G$7:G169))</f>
        <v/>
      </c>
      <c r="I169" s="154" t="str">
        <f t="shared" ca="1" si="37"/>
        <v/>
      </c>
      <c r="J169" s="59" t="str">
        <f t="shared" ca="1" si="38"/>
        <v/>
      </c>
      <c r="K169" s="3"/>
      <c r="L169" t="str">
        <f t="shared" ca="1" si="26"/>
        <v/>
      </c>
      <c r="M169" s="132" t="str">
        <f t="shared" ca="1" si="27"/>
        <v/>
      </c>
      <c r="N169" s="132" t="str">
        <f t="shared" ca="1" si="28"/>
        <v/>
      </c>
      <c r="P169" t="str">
        <f t="shared" ca="1" si="29"/>
        <v/>
      </c>
      <c r="Q169" s="133" t="str">
        <f t="shared" ca="1" si="30"/>
        <v/>
      </c>
      <c r="R169" s="133" t="str">
        <f t="shared" ca="1" si="31"/>
        <v/>
      </c>
      <c r="T169" t="str">
        <f t="shared" ca="1" si="32"/>
        <v/>
      </c>
      <c r="U169" s="134" t="str">
        <f t="shared" ca="1" si="33"/>
        <v/>
      </c>
    </row>
    <row r="170" spans="1:21" x14ac:dyDescent="0.3">
      <c r="A170" s="151" t="str">
        <f ca="1">Returns!$A$168</f>
        <v/>
      </c>
      <c r="B170" s="152" t="str">
        <f ca="1">IF($A170="","",Returns!$J$168)</f>
        <v/>
      </c>
      <c r="C170" s="153" t="str">
        <f t="shared" ca="1" si="34"/>
        <v/>
      </c>
      <c r="D170" s="153" t="str">
        <f ca="1">IF($A170="","",MAX($C$7:C170))</f>
        <v/>
      </c>
      <c r="E170" s="154" t="str">
        <f t="shared" ca="1" si="35"/>
        <v/>
      </c>
      <c r="F170" s="152" t="str">
        <f ca="1">IF($A170="","",Returns!$I$168)</f>
        <v/>
      </c>
      <c r="G170" s="153" t="str">
        <f t="shared" ca="1" si="36"/>
        <v/>
      </c>
      <c r="H170" s="153" t="str">
        <f ca="1">IF($A170="","",MAX($G$7:G170))</f>
        <v/>
      </c>
      <c r="I170" s="154" t="str">
        <f t="shared" ca="1" si="37"/>
        <v/>
      </c>
      <c r="J170" s="59" t="str">
        <f t="shared" ca="1" si="38"/>
        <v/>
      </c>
      <c r="K170" s="3"/>
      <c r="L170" t="str">
        <f t="shared" ca="1" si="26"/>
        <v/>
      </c>
      <c r="M170" s="132" t="str">
        <f t="shared" ca="1" si="27"/>
        <v/>
      </c>
      <c r="N170" s="132" t="str">
        <f t="shared" ca="1" si="28"/>
        <v/>
      </c>
      <c r="P170" t="str">
        <f t="shared" ca="1" si="29"/>
        <v/>
      </c>
      <c r="Q170" s="133" t="str">
        <f t="shared" ca="1" si="30"/>
        <v/>
      </c>
      <c r="R170" s="133" t="str">
        <f t="shared" ca="1" si="31"/>
        <v/>
      </c>
      <c r="T170" t="str">
        <f t="shared" ca="1" si="32"/>
        <v/>
      </c>
      <c r="U170" s="134" t="str">
        <f t="shared" ca="1" si="33"/>
        <v/>
      </c>
    </row>
    <row r="171" spans="1:21" x14ac:dyDescent="0.3">
      <c r="A171" s="151" t="str">
        <f ca="1">Returns!$A$169</f>
        <v/>
      </c>
      <c r="B171" s="152" t="str">
        <f ca="1">IF($A171="","",Returns!$J$169)</f>
        <v/>
      </c>
      <c r="C171" s="153" t="str">
        <f t="shared" ca="1" si="34"/>
        <v/>
      </c>
      <c r="D171" s="153" t="str">
        <f ca="1">IF($A171="","",MAX($C$7:C171))</f>
        <v/>
      </c>
      <c r="E171" s="154" t="str">
        <f t="shared" ca="1" si="35"/>
        <v/>
      </c>
      <c r="F171" s="152" t="str">
        <f ca="1">IF($A171="","",Returns!$I$169)</f>
        <v/>
      </c>
      <c r="G171" s="153" t="str">
        <f t="shared" ca="1" si="36"/>
        <v/>
      </c>
      <c r="H171" s="153" t="str">
        <f ca="1">IF($A171="","",MAX($G$7:G171))</f>
        <v/>
      </c>
      <c r="I171" s="154" t="str">
        <f t="shared" ca="1" si="37"/>
        <v/>
      </c>
      <c r="J171" s="59" t="str">
        <f t="shared" ca="1" si="38"/>
        <v/>
      </c>
      <c r="K171" s="3"/>
      <c r="L171" t="str">
        <f t="shared" ca="1" si="26"/>
        <v/>
      </c>
      <c r="M171" s="132" t="str">
        <f t="shared" ca="1" si="27"/>
        <v/>
      </c>
      <c r="N171" s="132" t="str">
        <f t="shared" ca="1" si="28"/>
        <v/>
      </c>
      <c r="P171" t="str">
        <f t="shared" ca="1" si="29"/>
        <v/>
      </c>
      <c r="Q171" s="133" t="str">
        <f t="shared" ca="1" si="30"/>
        <v/>
      </c>
      <c r="R171" s="133" t="str">
        <f t="shared" ca="1" si="31"/>
        <v/>
      </c>
      <c r="T171" t="str">
        <f t="shared" ca="1" si="32"/>
        <v/>
      </c>
      <c r="U171" s="134" t="str">
        <f t="shared" ca="1" si="33"/>
        <v/>
      </c>
    </row>
    <row r="172" spans="1:21" x14ac:dyDescent="0.3">
      <c r="A172" s="151" t="str">
        <f ca="1">Returns!$A$170</f>
        <v/>
      </c>
      <c r="B172" s="152" t="str">
        <f ca="1">IF($A172="","",Returns!$J$170)</f>
        <v/>
      </c>
      <c r="C172" s="153" t="str">
        <f t="shared" ca="1" si="34"/>
        <v/>
      </c>
      <c r="D172" s="153" t="str">
        <f ca="1">IF($A172="","",MAX($C$7:C172))</f>
        <v/>
      </c>
      <c r="E172" s="154" t="str">
        <f t="shared" ca="1" si="35"/>
        <v/>
      </c>
      <c r="F172" s="152" t="str">
        <f ca="1">IF($A172="","",Returns!$I$170)</f>
        <v/>
      </c>
      <c r="G172" s="153" t="str">
        <f t="shared" ca="1" si="36"/>
        <v/>
      </c>
      <c r="H172" s="153" t="str">
        <f ca="1">IF($A172="","",MAX($G$7:G172))</f>
        <v/>
      </c>
      <c r="I172" s="154" t="str">
        <f t="shared" ca="1" si="37"/>
        <v/>
      </c>
      <c r="J172" s="59" t="str">
        <f t="shared" ca="1" si="38"/>
        <v/>
      </c>
      <c r="K172" s="3"/>
      <c r="L172" t="str">
        <f t="shared" ca="1" si="26"/>
        <v/>
      </c>
      <c r="M172" s="132" t="str">
        <f t="shared" ca="1" si="27"/>
        <v/>
      </c>
      <c r="N172" s="132" t="str">
        <f t="shared" ca="1" si="28"/>
        <v/>
      </c>
      <c r="P172" t="str">
        <f t="shared" ca="1" si="29"/>
        <v/>
      </c>
      <c r="Q172" s="133" t="str">
        <f t="shared" ca="1" si="30"/>
        <v/>
      </c>
      <c r="R172" s="133" t="str">
        <f t="shared" ca="1" si="31"/>
        <v/>
      </c>
      <c r="T172" t="str">
        <f t="shared" ca="1" si="32"/>
        <v/>
      </c>
      <c r="U172" s="134" t="str">
        <f t="shared" ca="1" si="33"/>
        <v/>
      </c>
    </row>
    <row r="173" spans="1:21" x14ac:dyDescent="0.3">
      <c r="A173" s="151" t="str">
        <f ca="1">Returns!$A$171</f>
        <v/>
      </c>
      <c r="B173" s="152" t="str">
        <f ca="1">IF($A173="","",Returns!$J$171)</f>
        <v/>
      </c>
      <c r="C173" s="153" t="str">
        <f t="shared" ca="1" si="34"/>
        <v/>
      </c>
      <c r="D173" s="153" t="str">
        <f ca="1">IF($A173="","",MAX($C$7:C173))</f>
        <v/>
      </c>
      <c r="E173" s="154" t="str">
        <f t="shared" ca="1" si="35"/>
        <v/>
      </c>
      <c r="F173" s="152" t="str">
        <f ca="1">IF($A173="","",Returns!$I$171)</f>
        <v/>
      </c>
      <c r="G173" s="153" t="str">
        <f t="shared" ca="1" si="36"/>
        <v/>
      </c>
      <c r="H173" s="153" t="str">
        <f ca="1">IF($A173="","",MAX($G$7:G173))</f>
        <v/>
      </c>
      <c r="I173" s="154" t="str">
        <f t="shared" ca="1" si="37"/>
        <v/>
      </c>
      <c r="J173" s="59" t="str">
        <f t="shared" ca="1" si="38"/>
        <v/>
      </c>
      <c r="K173" s="3"/>
      <c r="L173" t="str">
        <f t="shared" ca="1" si="26"/>
        <v/>
      </c>
      <c r="M173" s="132" t="str">
        <f t="shared" ca="1" si="27"/>
        <v/>
      </c>
      <c r="N173" s="132" t="str">
        <f t="shared" ca="1" si="28"/>
        <v/>
      </c>
      <c r="P173" t="str">
        <f t="shared" ca="1" si="29"/>
        <v/>
      </c>
      <c r="Q173" s="133" t="str">
        <f t="shared" ca="1" si="30"/>
        <v/>
      </c>
      <c r="R173" s="133" t="str">
        <f t="shared" ca="1" si="31"/>
        <v/>
      </c>
      <c r="T173" t="str">
        <f t="shared" ca="1" si="32"/>
        <v/>
      </c>
      <c r="U173" s="134" t="str">
        <f t="shared" ca="1" si="33"/>
        <v/>
      </c>
    </row>
    <row r="174" spans="1:21" x14ac:dyDescent="0.3">
      <c r="A174" s="151" t="str">
        <f ca="1">Returns!$A$172</f>
        <v/>
      </c>
      <c r="B174" s="152" t="str">
        <f ca="1">IF($A174="","",Returns!$J$172)</f>
        <v/>
      </c>
      <c r="C174" s="153" t="str">
        <f t="shared" ca="1" si="34"/>
        <v/>
      </c>
      <c r="D174" s="153" t="str">
        <f ca="1">IF($A174="","",MAX($C$7:C174))</f>
        <v/>
      </c>
      <c r="E174" s="154" t="str">
        <f t="shared" ca="1" si="35"/>
        <v/>
      </c>
      <c r="F174" s="152" t="str">
        <f ca="1">IF($A174="","",Returns!$I$172)</f>
        <v/>
      </c>
      <c r="G174" s="153" t="str">
        <f t="shared" ca="1" si="36"/>
        <v/>
      </c>
      <c r="H174" s="153" t="str">
        <f ca="1">IF($A174="","",MAX($G$7:G174))</f>
        <v/>
      </c>
      <c r="I174" s="154" t="str">
        <f t="shared" ca="1" si="37"/>
        <v/>
      </c>
      <c r="J174" s="59" t="str">
        <f t="shared" ca="1" si="38"/>
        <v/>
      </c>
      <c r="K174" s="3"/>
      <c r="L174" t="str">
        <f t="shared" ca="1" si="26"/>
        <v/>
      </c>
      <c r="M174" s="132" t="str">
        <f t="shared" ca="1" si="27"/>
        <v/>
      </c>
      <c r="N174" s="132" t="str">
        <f t="shared" ca="1" si="28"/>
        <v/>
      </c>
      <c r="P174" t="str">
        <f t="shared" ca="1" si="29"/>
        <v/>
      </c>
      <c r="Q174" s="133" t="str">
        <f t="shared" ca="1" si="30"/>
        <v/>
      </c>
      <c r="R174" s="133" t="str">
        <f t="shared" ca="1" si="31"/>
        <v/>
      </c>
      <c r="T174" t="str">
        <f t="shared" ca="1" si="32"/>
        <v/>
      </c>
      <c r="U174" s="134" t="str">
        <f t="shared" ca="1" si="33"/>
        <v/>
      </c>
    </row>
    <row r="175" spans="1:21" x14ac:dyDescent="0.3">
      <c r="A175" s="151" t="str">
        <f ca="1">Returns!$A$173</f>
        <v/>
      </c>
      <c r="B175" s="152" t="str">
        <f ca="1">IF($A175="","",Returns!$J$173)</f>
        <v/>
      </c>
      <c r="C175" s="153" t="str">
        <f t="shared" ca="1" si="34"/>
        <v/>
      </c>
      <c r="D175" s="153" t="str">
        <f ca="1">IF($A175="","",MAX($C$7:C175))</f>
        <v/>
      </c>
      <c r="E175" s="154" t="str">
        <f t="shared" ca="1" si="35"/>
        <v/>
      </c>
      <c r="F175" s="152" t="str">
        <f ca="1">IF($A175="","",Returns!$I$173)</f>
        <v/>
      </c>
      <c r="G175" s="153" t="str">
        <f t="shared" ca="1" si="36"/>
        <v/>
      </c>
      <c r="H175" s="153" t="str">
        <f ca="1">IF($A175="","",MAX($G$7:G175))</f>
        <v/>
      </c>
      <c r="I175" s="154" t="str">
        <f t="shared" ca="1" si="37"/>
        <v/>
      </c>
      <c r="J175" s="59" t="str">
        <f t="shared" ca="1" si="38"/>
        <v/>
      </c>
      <c r="K175" s="3"/>
      <c r="L175" t="str">
        <f t="shared" ca="1" si="26"/>
        <v/>
      </c>
      <c r="M175" s="132" t="str">
        <f t="shared" ca="1" si="27"/>
        <v/>
      </c>
      <c r="N175" s="132" t="str">
        <f t="shared" ca="1" si="28"/>
        <v/>
      </c>
      <c r="P175" t="str">
        <f t="shared" ca="1" si="29"/>
        <v/>
      </c>
      <c r="Q175" s="133" t="str">
        <f t="shared" ca="1" si="30"/>
        <v/>
      </c>
      <c r="R175" s="133" t="str">
        <f t="shared" ca="1" si="31"/>
        <v/>
      </c>
      <c r="T175" t="str">
        <f t="shared" ca="1" si="32"/>
        <v/>
      </c>
      <c r="U175" s="134" t="str">
        <f t="shared" ca="1" si="33"/>
        <v/>
      </c>
    </row>
    <row r="176" spans="1:21" x14ac:dyDescent="0.3">
      <c r="A176" s="151" t="str">
        <f ca="1">Returns!$A$174</f>
        <v/>
      </c>
      <c r="B176" s="152" t="str">
        <f ca="1">IF($A176="","",Returns!$J$174)</f>
        <v/>
      </c>
      <c r="C176" s="153" t="str">
        <f t="shared" ca="1" si="34"/>
        <v/>
      </c>
      <c r="D176" s="153" t="str">
        <f ca="1">IF($A176="","",MAX($C$7:C176))</f>
        <v/>
      </c>
      <c r="E176" s="154" t="str">
        <f t="shared" ca="1" si="35"/>
        <v/>
      </c>
      <c r="F176" s="152" t="str">
        <f ca="1">IF($A176="","",Returns!$I$174)</f>
        <v/>
      </c>
      <c r="G176" s="153" t="str">
        <f t="shared" ca="1" si="36"/>
        <v/>
      </c>
      <c r="H176" s="153" t="str">
        <f ca="1">IF($A176="","",MAX($G$7:G176))</f>
        <v/>
      </c>
      <c r="I176" s="154" t="str">
        <f t="shared" ca="1" si="37"/>
        <v/>
      </c>
      <c r="J176" s="59" t="str">
        <f t="shared" ca="1" si="38"/>
        <v/>
      </c>
      <c r="K176" s="3"/>
      <c r="L176" t="str">
        <f t="shared" ca="1" si="26"/>
        <v/>
      </c>
      <c r="M176" s="132" t="str">
        <f t="shared" ca="1" si="27"/>
        <v/>
      </c>
      <c r="N176" s="132" t="str">
        <f t="shared" ca="1" si="28"/>
        <v/>
      </c>
      <c r="P176" t="str">
        <f t="shared" ca="1" si="29"/>
        <v/>
      </c>
      <c r="Q176" s="133" t="str">
        <f t="shared" ca="1" si="30"/>
        <v/>
      </c>
      <c r="R176" s="133" t="str">
        <f t="shared" ca="1" si="31"/>
        <v/>
      </c>
      <c r="T176" t="str">
        <f t="shared" ca="1" si="32"/>
        <v/>
      </c>
      <c r="U176" s="134" t="str">
        <f t="shared" ca="1" si="33"/>
        <v/>
      </c>
    </row>
    <row r="177" spans="1:21" x14ac:dyDescent="0.3">
      <c r="A177" s="151" t="str">
        <f ca="1">Returns!$A$175</f>
        <v/>
      </c>
      <c r="B177" s="152" t="str">
        <f ca="1">IF($A177="","",Returns!$J$175)</f>
        <v/>
      </c>
      <c r="C177" s="153" t="str">
        <f t="shared" ca="1" si="34"/>
        <v/>
      </c>
      <c r="D177" s="153" t="str">
        <f ca="1">IF($A177="","",MAX($C$7:C177))</f>
        <v/>
      </c>
      <c r="E177" s="154" t="str">
        <f t="shared" ca="1" si="35"/>
        <v/>
      </c>
      <c r="F177" s="152" t="str">
        <f ca="1">IF($A177="","",Returns!$I$175)</f>
        <v/>
      </c>
      <c r="G177" s="153" t="str">
        <f t="shared" ca="1" si="36"/>
        <v/>
      </c>
      <c r="H177" s="153" t="str">
        <f ca="1">IF($A177="","",MAX($G$7:G177))</f>
        <v/>
      </c>
      <c r="I177" s="154" t="str">
        <f t="shared" ca="1" si="37"/>
        <v/>
      </c>
      <c r="J177" s="59" t="str">
        <f t="shared" ca="1" si="38"/>
        <v/>
      </c>
      <c r="K177" s="3"/>
      <c r="L177" t="str">
        <f t="shared" ca="1" si="26"/>
        <v/>
      </c>
      <c r="M177" s="132" t="str">
        <f t="shared" ca="1" si="27"/>
        <v/>
      </c>
      <c r="N177" s="132" t="str">
        <f t="shared" ca="1" si="28"/>
        <v/>
      </c>
      <c r="P177" t="str">
        <f t="shared" ca="1" si="29"/>
        <v/>
      </c>
      <c r="Q177" s="133" t="str">
        <f t="shared" ca="1" si="30"/>
        <v/>
      </c>
      <c r="R177" s="133" t="str">
        <f t="shared" ca="1" si="31"/>
        <v/>
      </c>
      <c r="T177" t="str">
        <f t="shared" ca="1" si="32"/>
        <v/>
      </c>
      <c r="U177" s="134" t="str">
        <f t="shared" ca="1" si="33"/>
        <v/>
      </c>
    </row>
    <row r="178" spans="1:21" x14ac:dyDescent="0.3">
      <c r="A178" s="151" t="str">
        <f ca="1">Returns!$A$176</f>
        <v/>
      </c>
      <c r="B178" s="152" t="str">
        <f ca="1">IF($A178="","",Returns!$J$176)</f>
        <v/>
      </c>
      <c r="C178" s="153" t="str">
        <f t="shared" ca="1" si="34"/>
        <v/>
      </c>
      <c r="D178" s="153" t="str">
        <f ca="1">IF($A178="","",MAX($C$7:C178))</f>
        <v/>
      </c>
      <c r="E178" s="154" t="str">
        <f t="shared" ca="1" si="35"/>
        <v/>
      </c>
      <c r="F178" s="152" t="str">
        <f ca="1">IF($A178="","",Returns!$I$176)</f>
        <v/>
      </c>
      <c r="G178" s="153" t="str">
        <f t="shared" ca="1" si="36"/>
        <v/>
      </c>
      <c r="H178" s="153" t="str">
        <f ca="1">IF($A178="","",MAX($G$7:G178))</f>
        <v/>
      </c>
      <c r="I178" s="154" t="str">
        <f t="shared" ca="1" si="37"/>
        <v/>
      </c>
      <c r="J178" s="59" t="str">
        <f t="shared" ca="1" si="38"/>
        <v/>
      </c>
      <c r="K178" s="3"/>
      <c r="L178" t="str">
        <f t="shared" ca="1" si="26"/>
        <v/>
      </c>
      <c r="M178" s="132" t="str">
        <f t="shared" ca="1" si="27"/>
        <v/>
      </c>
      <c r="N178" s="132" t="str">
        <f t="shared" ca="1" si="28"/>
        <v/>
      </c>
      <c r="P178" t="str">
        <f t="shared" ca="1" si="29"/>
        <v/>
      </c>
      <c r="Q178" s="133" t="str">
        <f t="shared" ca="1" si="30"/>
        <v/>
      </c>
      <c r="R178" s="133" t="str">
        <f t="shared" ca="1" si="31"/>
        <v/>
      </c>
      <c r="T178" t="str">
        <f t="shared" ca="1" si="32"/>
        <v/>
      </c>
      <c r="U178" s="134" t="str">
        <f t="shared" ca="1" si="33"/>
        <v/>
      </c>
    </row>
    <row r="179" spans="1:21" x14ac:dyDescent="0.3">
      <c r="A179" s="151" t="str">
        <f ca="1">Returns!$A$177</f>
        <v/>
      </c>
      <c r="B179" s="152" t="str">
        <f ca="1">IF($A179="","",Returns!$J$177)</f>
        <v/>
      </c>
      <c r="C179" s="153" t="str">
        <f t="shared" ca="1" si="34"/>
        <v/>
      </c>
      <c r="D179" s="153" t="str">
        <f ca="1">IF($A179="","",MAX($C$7:C179))</f>
        <v/>
      </c>
      <c r="E179" s="154" t="str">
        <f t="shared" ca="1" si="35"/>
        <v/>
      </c>
      <c r="F179" s="152" t="str">
        <f ca="1">IF($A179="","",Returns!$I$177)</f>
        <v/>
      </c>
      <c r="G179" s="153" t="str">
        <f t="shared" ca="1" si="36"/>
        <v/>
      </c>
      <c r="H179" s="153" t="str">
        <f ca="1">IF($A179="","",MAX($G$7:G179))</f>
        <v/>
      </c>
      <c r="I179" s="154" t="str">
        <f t="shared" ca="1" si="37"/>
        <v/>
      </c>
      <c r="J179" s="59" t="str">
        <f t="shared" ca="1" si="38"/>
        <v/>
      </c>
      <c r="K179" s="3"/>
      <c r="L179" t="str">
        <f t="shared" ca="1" si="26"/>
        <v/>
      </c>
      <c r="M179" s="132" t="str">
        <f t="shared" ca="1" si="27"/>
        <v/>
      </c>
      <c r="N179" s="132" t="str">
        <f t="shared" ca="1" si="28"/>
        <v/>
      </c>
      <c r="P179" t="str">
        <f t="shared" ca="1" si="29"/>
        <v/>
      </c>
      <c r="Q179" s="133" t="str">
        <f t="shared" ca="1" si="30"/>
        <v/>
      </c>
      <c r="R179" s="133" t="str">
        <f t="shared" ca="1" si="31"/>
        <v/>
      </c>
      <c r="T179" t="str">
        <f t="shared" ca="1" si="32"/>
        <v/>
      </c>
      <c r="U179" s="134" t="str">
        <f t="shared" ca="1" si="33"/>
        <v/>
      </c>
    </row>
    <row r="180" spans="1:21" x14ac:dyDescent="0.3">
      <c r="A180" s="151" t="str">
        <f ca="1">Returns!$A$178</f>
        <v/>
      </c>
      <c r="B180" s="152" t="str">
        <f ca="1">IF($A180="","",Returns!$J$178)</f>
        <v/>
      </c>
      <c r="C180" s="153" t="str">
        <f t="shared" ca="1" si="34"/>
        <v/>
      </c>
      <c r="D180" s="153" t="str">
        <f ca="1">IF($A180="","",MAX($C$7:C180))</f>
        <v/>
      </c>
      <c r="E180" s="154" t="str">
        <f t="shared" ca="1" si="35"/>
        <v/>
      </c>
      <c r="F180" s="152" t="str">
        <f ca="1">IF($A180="","",Returns!$I$178)</f>
        <v/>
      </c>
      <c r="G180" s="153" t="str">
        <f t="shared" ca="1" si="36"/>
        <v/>
      </c>
      <c r="H180" s="153" t="str">
        <f ca="1">IF($A180="","",MAX($G$7:G180))</f>
        <v/>
      </c>
      <c r="I180" s="154" t="str">
        <f t="shared" ca="1" si="37"/>
        <v/>
      </c>
      <c r="J180" s="59" t="str">
        <f t="shared" ca="1" si="38"/>
        <v/>
      </c>
      <c r="K180" s="3"/>
      <c r="L180" t="str">
        <f t="shared" ca="1" si="26"/>
        <v/>
      </c>
      <c r="M180" s="132" t="str">
        <f t="shared" ca="1" si="27"/>
        <v/>
      </c>
      <c r="N180" s="132" t="str">
        <f t="shared" ca="1" si="28"/>
        <v/>
      </c>
      <c r="P180" t="str">
        <f t="shared" ca="1" si="29"/>
        <v/>
      </c>
      <c r="Q180" s="133" t="str">
        <f t="shared" ca="1" si="30"/>
        <v/>
      </c>
      <c r="R180" s="133" t="str">
        <f t="shared" ca="1" si="31"/>
        <v/>
      </c>
      <c r="T180" t="str">
        <f t="shared" ca="1" si="32"/>
        <v/>
      </c>
      <c r="U180" s="134" t="str">
        <f t="shared" ca="1" si="33"/>
        <v/>
      </c>
    </row>
    <row r="181" spans="1:21" x14ac:dyDescent="0.3">
      <c r="A181" s="151" t="str">
        <f ca="1">Returns!$A$179</f>
        <v/>
      </c>
      <c r="B181" s="152" t="str">
        <f ca="1">IF($A181="","",Returns!$J$179)</f>
        <v/>
      </c>
      <c r="C181" s="153" t="str">
        <f t="shared" ca="1" si="34"/>
        <v/>
      </c>
      <c r="D181" s="153" t="str">
        <f ca="1">IF($A181="","",MAX($C$7:C181))</f>
        <v/>
      </c>
      <c r="E181" s="154" t="str">
        <f t="shared" ca="1" si="35"/>
        <v/>
      </c>
      <c r="F181" s="152" t="str">
        <f ca="1">IF($A181="","",Returns!$I$179)</f>
        <v/>
      </c>
      <c r="G181" s="153" t="str">
        <f t="shared" ca="1" si="36"/>
        <v/>
      </c>
      <c r="H181" s="153" t="str">
        <f ca="1">IF($A181="","",MAX($G$7:G181))</f>
        <v/>
      </c>
      <c r="I181" s="154" t="str">
        <f t="shared" ca="1" si="37"/>
        <v/>
      </c>
      <c r="J181" s="59" t="str">
        <f t="shared" ca="1" si="38"/>
        <v/>
      </c>
      <c r="K181" s="3"/>
      <c r="L181" t="str">
        <f t="shared" ca="1" si="26"/>
        <v/>
      </c>
      <c r="M181" s="132" t="str">
        <f t="shared" ca="1" si="27"/>
        <v/>
      </c>
      <c r="N181" s="132" t="str">
        <f t="shared" ca="1" si="28"/>
        <v/>
      </c>
      <c r="P181" t="str">
        <f t="shared" ca="1" si="29"/>
        <v/>
      </c>
      <c r="Q181" s="133" t="str">
        <f t="shared" ca="1" si="30"/>
        <v/>
      </c>
      <c r="R181" s="133" t="str">
        <f t="shared" ca="1" si="31"/>
        <v/>
      </c>
      <c r="T181" t="str">
        <f t="shared" ca="1" si="32"/>
        <v/>
      </c>
      <c r="U181" s="134" t="str">
        <f t="shared" ca="1" si="33"/>
        <v/>
      </c>
    </row>
    <row r="182" spans="1:21" x14ac:dyDescent="0.3">
      <c r="A182" s="151" t="str">
        <f ca="1">Returns!$A$180</f>
        <v/>
      </c>
      <c r="B182" s="152" t="str">
        <f ca="1">IF($A182="","",Returns!$J$180)</f>
        <v/>
      </c>
      <c r="C182" s="153" t="str">
        <f t="shared" ca="1" si="34"/>
        <v/>
      </c>
      <c r="D182" s="153" t="str">
        <f ca="1">IF($A182="","",MAX($C$7:C182))</f>
        <v/>
      </c>
      <c r="E182" s="154" t="str">
        <f t="shared" ca="1" si="35"/>
        <v/>
      </c>
      <c r="F182" s="152" t="str">
        <f ca="1">IF($A182="","",Returns!$I$180)</f>
        <v/>
      </c>
      <c r="G182" s="153" t="str">
        <f t="shared" ca="1" si="36"/>
        <v/>
      </c>
      <c r="H182" s="153" t="str">
        <f ca="1">IF($A182="","",MAX($G$7:G182))</f>
        <v/>
      </c>
      <c r="I182" s="154" t="str">
        <f t="shared" ca="1" si="37"/>
        <v/>
      </c>
      <c r="J182" s="59" t="str">
        <f t="shared" ca="1" si="38"/>
        <v/>
      </c>
      <c r="K182" s="3"/>
      <c r="L182" t="str">
        <f t="shared" ca="1" si="26"/>
        <v/>
      </c>
      <c r="M182" s="132" t="str">
        <f t="shared" ca="1" si="27"/>
        <v/>
      </c>
      <c r="N182" s="132" t="str">
        <f t="shared" ca="1" si="28"/>
        <v/>
      </c>
      <c r="P182" t="str">
        <f t="shared" ca="1" si="29"/>
        <v/>
      </c>
      <c r="Q182" s="133" t="str">
        <f t="shared" ca="1" si="30"/>
        <v/>
      </c>
      <c r="R182" s="133" t="str">
        <f t="shared" ca="1" si="31"/>
        <v/>
      </c>
      <c r="T182" t="str">
        <f t="shared" ca="1" si="32"/>
        <v/>
      </c>
      <c r="U182" s="134" t="str">
        <f t="shared" ca="1" si="33"/>
        <v/>
      </c>
    </row>
    <row r="183" spans="1:21" x14ac:dyDescent="0.3">
      <c r="A183" s="151" t="str">
        <f ca="1">Returns!$A$181</f>
        <v/>
      </c>
      <c r="B183" s="152" t="str">
        <f ca="1">IF($A183="","",Returns!$J$181)</f>
        <v/>
      </c>
      <c r="C183" s="153" t="str">
        <f t="shared" ca="1" si="34"/>
        <v/>
      </c>
      <c r="D183" s="153" t="str">
        <f ca="1">IF($A183="","",MAX($C$7:C183))</f>
        <v/>
      </c>
      <c r="E183" s="154" t="str">
        <f t="shared" ca="1" si="35"/>
        <v/>
      </c>
      <c r="F183" s="152" t="str">
        <f ca="1">IF($A183="","",Returns!$I$181)</f>
        <v/>
      </c>
      <c r="G183" s="153" t="str">
        <f t="shared" ca="1" si="36"/>
        <v/>
      </c>
      <c r="H183" s="153" t="str">
        <f ca="1">IF($A183="","",MAX($G$7:G183))</f>
        <v/>
      </c>
      <c r="I183" s="154" t="str">
        <f t="shared" ca="1" si="37"/>
        <v/>
      </c>
      <c r="J183" s="59" t="str">
        <f t="shared" ca="1" si="38"/>
        <v/>
      </c>
      <c r="K183" s="3"/>
      <c r="L183" t="str">
        <f t="shared" ca="1" si="26"/>
        <v/>
      </c>
      <c r="M183" s="132" t="str">
        <f t="shared" ca="1" si="27"/>
        <v/>
      </c>
      <c r="N183" s="132" t="str">
        <f t="shared" ca="1" si="28"/>
        <v/>
      </c>
      <c r="P183" t="str">
        <f t="shared" ca="1" si="29"/>
        <v/>
      </c>
      <c r="Q183" s="133" t="str">
        <f t="shared" ca="1" si="30"/>
        <v/>
      </c>
      <c r="R183" s="133" t="str">
        <f t="shared" ca="1" si="31"/>
        <v/>
      </c>
      <c r="T183" t="str">
        <f t="shared" ca="1" si="32"/>
        <v/>
      </c>
      <c r="U183" s="134" t="str">
        <f t="shared" ca="1" si="33"/>
        <v/>
      </c>
    </row>
    <row r="184" spans="1:21" x14ac:dyDescent="0.3">
      <c r="A184" s="151" t="str">
        <f ca="1">Returns!$A$182</f>
        <v/>
      </c>
      <c r="B184" s="152" t="str">
        <f ca="1">IF($A184="","",Returns!$J$182)</f>
        <v/>
      </c>
      <c r="C184" s="153" t="str">
        <f t="shared" ca="1" si="34"/>
        <v/>
      </c>
      <c r="D184" s="153" t="str">
        <f ca="1">IF($A184="","",MAX($C$7:C184))</f>
        <v/>
      </c>
      <c r="E184" s="154" t="str">
        <f t="shared" ca="1" si="35"/>
        <v/>
      </c>
      <c r="F184" s="152" t="str">
        <f ca="1">IF($A184="","",Returns!$I$182)</f>
        <v/>
      </c>
      <c r="G184" s="153" t="str">
        <f t="shared" ca="1" si="36"/>
        <v/>
      </c>
      <c r="H184" s="153" t="str">
        <f ca="1">IF($A184="","",MAX($G$7:G184))</f>
        <v/>
      </c>
      <c r="I184" s="154" t="str">
        <f t="shared" ca="1" si="37"/>
        <v/>
      </c>
      <c r="J184" s="59" t="str">
        <f t="shared" ca="1" si="38"/>
        <v/>
      </c>
      <c r="K184" s="3"/>
      <c r="L184" t="str">
        <f t="shared" ca="1" si="26"/>
        <v/>
      </c>
      <c r="M184" s="132" t="str">
        <f t="shared" ca="1" si="27"/>
        <v/>
      </c>
      <c r="N184" s="132" t="str">
        <f t="shared" ca="1" si="28"/>
        <v/>
      </c>
      <c r="P184" t="str">
        <f t="shared" ca="1" si="29"/>
        <v/>
      </c>
      <c r="Q184" s="133" t="str">
        <f t="shared" ca="1" si="30"/>
        <v/>
      </c>
      <c r="R184" s="133" t="str">
        <f t="shared" ca="1" si="31"/>
        <v/>
      </c>
      <c r="T184" t="str">
        <f t="shared" ca="1" si="32"/>
        <v/>
      </c>
      <c r="U184" s="134" t="str">
        <f t="shared" ca="1" si="33"/>
        <v/>
      </c>
    </row>
    <row r="185" spans="1:21" x14ac:dyDescent="0.3">
      <c r="A185" s="151" t="str">
        <f ca="1">Returns!$A$183</f>
        <v/>
      </c>
      <c r="B185" s="152" t="str">
        <f ca="1">IF($A185="","",Returns!$J$183)</f>
        <v/>
      </c>
      <c r="C185" s="153" t="str">
        <f t="shared" ca="1" si="34"/>
        <v/>
      </c>
      <c r="D185" s="153" t="str">
        <f ca="1">IF($A185="","",MAX($C$7:C185))</f>
        <v/>
      </c>
      <c r="E185" s="154" t="str">
        <f t="shared" ca="1" si="35"/>
        <v/>
      </c>
      <c r="F185" s="152" t="str">
        <f ca="1">IF($A185="","",Returns!$I$183)</f>
        <v/>
      </c>
      <c r="G185" s="153" t="str">
        <f t="shared" ca="1" si="36"/>
        <v/>
      </c>
      <c r="H185" s="153" t="str">
        <f ca="1">IF($A185="","",MAX($G$7:G185))</f>
        <v/>
      </c>
      <c r="I185" s="154" t="str">
        <f t="shared" ca="1" si="37"/>
        <v/>
      </c>
      <c r="J185" s="59" t="str">
        <f t="shared" ca="1" si="38"/>
        <v/>
      </c>
      <c r="K185" s="3"/>
      <c r="L185" t="str">
        <f t="shared" ca="1" si="26"/>
        <v/>
      </c>
      <c r="M185" s="132" t="str">
        <f t="shared" ca="1" si="27"/>
        <v/>
      </c>
      <c r="N185" s="132" t="str">
        <f t="shared" ca="1" si="28"/>
        <v/>
      </c>
      <c r="P185" t="str">
        <f t="shared" ca="1" si="29"/>
        <v/>
      </c>
      <c r="Q185" s="133" t="str">
        <f t="shared" ca="1" si="30"/>
        <v/>
      </c>
      <c r="R185" s="133" t="str">
        <f t="shared" ca="1" si="31"/>
        <v/>
      </c>
      <c r="T185" t="str">
        <f t="shared" ca="1" si="32"/>
        <v/>
      </c>
      <c r="U185" s="134" t="str">
        <f t="shared" ca="1" si="33"/>
        <v/>
      </c>
    </row>
    <row r="186" spans="1:21" x14ac:dyDescent="0.3">
      <c r="A186" s="151" t="str">
        <f ca="1">Returns!$A$184</f>
        <v/>
      </c>
      <c r="B186" s="152" t="str">
        <f ca="1">IF($A186="","",Returns!$J$184)</f>
        <v/>
      </c>
      <c r="C186" s="153" t="str">
        <f t="shared" ca="1" si="34"/>
        <v/>
      </c>
      <c r="D186" s="153" t="str">
        <f ca="1">IF($A186="","",MAX($C$7:C186))</f>
        <v/>
      </c>
      <c r="E186" s="154" t="str">
        <f t="shared" ca="1" si="35"/>
        <v/>
      </c>
      <c r="F186" s="152" t="str">
        <f ca="1">IF($A186="","",Returns!$I$184)</f>
        <v/>
      </c>
      <c r="G186" s="153" t="str">
        <f t="shared" ca="1" si="36"/>
        <v/>
      </c>
      <c r="H186" s="153" t="str">
        <f ca="1">IF($A186="","",MAX($G$7:G186))</f>
        <v/>
      </c>
      <c r="I186" s="154" t="str">
        <f t="shared" ca="1" si="37"/>
        <v/>
      </c>
      <c r="J186" s="59" t="str">
        <f t="shared" ca="1" si="38"/>
        <v/>
      </c>
      <c r="K186" s="3"/>
      <c r="L186" t="str">
        <f t="shared" ca="1" si="26"/>
        <v/>
      </c>
      <c r="M186" s="132" t="str">
        <f t="shared" ca="1" si="27"/>
        <v/>
      </c>
      <c r="N186" s="132" t="str">
        <f t="shared" ca="1" si="28"/>
        <v/>
      </c>
      <c r="P186" t="str">
        <f t="shared" ca="1" si="29"/>
        <v/>
      </c>
      <c r="Q186" s="133" t="str">
        <f t="shared" ca="1" si="30"/>
        <v/>
      </c>
      <c r="R186" s="133" t="str">
        <f t="shared" ca="1" si="31"/>
        <v/>
      </c>
      <c r="T186" t="str">
        <f t="shared" ca="1" si="32"/>
        <v/>
      </c>
      <c r="U186" s="134" t="str">
        <f t="shared" ca="1" si="33"/>
        <v/>
      </c>
    </row>
    <row r="187" spans="1:21" x14ac:dyDescent="0.3">
      <c r="A187" s="151" t="str">
        <f ca="1">Returns!$A$185</f>
        <v/>
      </c>
      <c r="B187" s="152" t="str">
        <f ca="1">IF($A187="","",Returns!$J$185)</f>
        <v/>
      </c>
      <c r="C187" s="153" t="str">
        <f t="shared" ca="1" si="34"/>
        <v/>
      </c>
      <c r="D187" s="153" t="str">
        <f ca="1">IF($A187="","",MAX($C$7:C187))</f>
        <v/>
      </c>
      <c r="E187" s="154" t="str">
        <f t="shared" ca="1" si="35"/>
        <v/>
      </c>
      <c r="F187" s="152" t="str">
        <f ca="1">IF($A187="","",Returns!$I$185)</f>
        <v/>
      </c>
      <c r="G187" s="153" t="str">
        <f t="shared" ca="1" si="36"/>
        <v/>
      </c>
      <c r="H187" s="153" t="str">
        <f ca="1">IF($A187="","",MAX($G$7:G187))</f>
        <v/>
      </c>
      <c r="I187" s="154" t="str">
        <f t="shared" ca="1" si="37"/>
        <v/>
      </c>
      <c r="J187" s="59" t="str">
        <f t="shared" ca="1" si="38"/>
        <v/>
      </c>
      <c r="K187" s="3"/>
      <c r="L187" t="str">
        <f t="shared" ca="1" si="26"/>
        <v/>
      </c>
      <c r="M187" s="132" t="str">
        <f t="shared" ca="1" si="27"/>
        <v/>
      </c>
      <c r="N187" s="132" t="str">
        <f t="shared" ca="1" si="28"/>
        <v/>
      </c>
      <c r="P187" t="str">
        <f t="shared" ca="1" si="29"/>
        <v/>
      </c>
      <c r="Q187" s="133" t="str">
        <f t="shared" ca="1" si="30"/>
        <v/>
      </c>
      <c r="R187" s="133" t="str">
        <f t="shared" ca="1" si="31"/>
        <v/>
      </c>
      <c r="T187" t="str">
        <f t="shared" ca="1" si="32"/>
        <v/>
      </c>
      <c r="U187" s="134" t="str">
        <f t="shared" ca="1" si="33"/>
        <v/>
      </c>
    </row>
    <row r="188" spans="1:21" x14ac:dyDescent="0.3">
      <c r="A188" s="151" t="str">
        <f ca="1">Returns!$A$186</f>
        <v/>
      </c>
      <c r="B188" s="152" t="str">
        <f ca="1">IF($A188="","",Returns!$J$186)</f>
        <v/>
      </c>
      <c r="C188" s="153" t="str">
        <f t="shared" ca="1" si="34"/>
        <v/>
      </c>
      <c r="D188" s="153" t="str">
        <f ca="1">IF($A188="","",MAX($C$7:C188))</f>
        <v/>
      </c>
      <c r="E188" s="154" t="str">
        <f t="shared" ca="1" si="35"/>
        <v/>
      </c>
      <c r="F188" s="152" t="str">
        <f ca="1">IF($A188="","",Returns!$I$186)</f>
        <v/>
      </c>
      <c r="G188" s="153" t="str">
        <f t="shared" ca="1" si="36"/>
        <v/>
      </c>
      <c r="H188" s="153" t="str">
        <f ca="1">IF($A188="","",MAX($G$7:G188))</f>
        <v/>
      </c>
      <c r="I188" s="154" t="str">
        <f t="shared" ca="1" si="37"/>
        <v/>
      </c>
      <c r="J188" s="59" t="str">
        <f t="shared" ca="1" si="38"/>
        <v/>
      </c>
      <c r="K188" s="3"/>
      <c r="L188" t="str">
        <f t="shared" ca="1" si="26"/>
        <v/>
      </c>
      <c r="M188" s="132" t="str">
        <f t="shared" ca="1" si="27"/>
        <v/>
      </c>
      <c r="N188" s="132" t="str">
        <f t="shared" ca="1" si="28"/>
        <v/>
      </c>
      <c r="P188" t="str">
        <f t="shared" ca="1" si="29"/>
        <v/>
      </c>
      <c r="Q188" s="133" t="str">
        <f t="shared" ca="1" si="30"/>
        <v/>
      </c>
      <c r="R188" s="133" t="str">
        <f t="shared" ca="1" si="31"/>
        <v/>
      </c>
      <c r="T188" t="str">
        <f t="shared" ca="1" si="32"/>
        <v/>
      </c>
      <c r="U188" s="134" t="str">
        <f t="shared" ca="1" si="33"/>
        <v/>
      </c>
    </row>
    <row r="189" spans="1:21" x14ac:dyDescent="0.3">
      <c r="A189" s="151" t="str">
        <f ca="1">Returns!$A$187</f>
        <v/>
      </c>
      <c r="B189" s="152" t="str">
        <f ca="1">IF($A189="","",Returns!$J$187)</f>
        <v/>
      </c>
      <c r="C189" s="153" t="str">
        <f t="shared" ca="1" si="34"/>
        <v/>
      </c>
      <c r="D189" s="153" t="str">
        <f ca="1">IF($A189="","",MAX($C$7:C189))</f>
        <v/>
      </c>
      <c r="E189" s="154" t="str">
        <f t="shared" ca="1" si="35"/>
        <v/>
      </c>
      <c r="F189" s="152" t="str">
        <f ca="1">IF($A189="","",Returns!$I$187)</f>
        <v/>
      </c>
      <c r="G189" s="153" t="str">
        <f t="shared" ca="1" si="36"/>
        <v/>
      </c>
      <c r="H189" s="153" t="str">
        <f ca="1">IF($A189="","",MAX($G$7:G189))</f>
        <v/>
      </c>
      <c r="I189" s="154" t="str">
        <f t="shared" ca="1" si="37"/>
        <v/>
      </c>
      <c r="J189" s="59" t="str">
        <f t="shared" ca="1" si="38"/>
        <v/>
      </c>
      <c r="K189" s="3"/>
      <c r="L189" t="str">
        <f t="shared" ca="1" si="26"/>
        <v/>
      </c>
      <c r="M189" s="132" t="str">
        <f t="shared" ca="1" si="27"/>
        <v/>
      </c>
      <c r="N189" s="132" t="str">
        <f t="shared" ca="1" si="28"/>
        <v/>
      </c>
      <c r="P189" t="str">
        <f t="shared" ca="1" si="29"/>
        <v/>
      </c>
      <c r="Q189" s="133" t="str">
        <f t="shared" ca="1" si="30"/>
        <v/>
      </c>
      <c r="R189" s="133" t="str">
        <f t="shared" ca="1" si="31"/>
        <v/>
      </c>
      <c r="T189" t="str">
        <f t="shared" ca="1" si="32"/>
        <v/>
      </c>
      <c r="U189" s="134" t="str">
        <f t="shared" ca="1" si="33"/>
        <v/>
      </c>
    </row>
    <row r="190" spans="1:21" x14ac:dyDescent="0.3">
      <c r="A190" s="151" t="str">
        <f ca="1">Returns!$A$188</f>
        <v/>
      </c>
      <c r="B190" s="152" t="str">
        <f ca="1">IF($A190="","",Returns!$J$188)</f>
        <v/>
      </c>
      <c r="C190" s="153" t="str">
        <f t="shared" ca="1" si="34"/>
        <v/>
      </c>
      <c r="D190" s="153" t="str">
        <f ca="1">IF($A190="","",MAX($C$7:C190))</f>
        <v/>
      </c>
      <c r="E190" s="154" t="str">
        <f t="shared" ca="1" si="35"/>
        <v/>
      </c>
      <c r="F190" s="152" t="str">
        <f ca="1">IF($A190="","",Returns!$I$188)</f>
        <v/>
      </c>
      <c r="G190" s="153" t="str">
        <f t="shared" ca="1" si="36"/>
        <v/>
      </c>
      <c r="H190" s="153" t="str">
        <f ca="1">IF($A190="","",MAX($G$7:G190))</f>
        <v/>
      </c>
      <c r="I190" s="154" t="str">
        <f t="shared" ca="1" si="37"/>
        <v/>
      </c>
      <c r="J190" s="59" t="str">
        <f t="shared" ca="1" si="38"/>
        <v/>
      </c>
      <c r="K190" s="3"/>
      <c r="L190" t="str">
        <f t="shared" ca="1" si="26"/>
        <v/>
      </c>
      <c r="M190" s="132" t="str">
        <f t="shared" ca="1" si="27"/>
        <v/>
      </c>
      <c r="N190" s="132" t="str">
        <f t="shared" ca="1" si="28"/>
        <v/>
      </c>
      <c r="P190" t="str">
        <f t="shared" ca="1" si="29"/>
        <v/>
      </c>
      <c r="Q190" s="133" t="str">
        <f t="shared" ca="1" si="30"/>
        <v/>
      </c>
      <c r="R190" s="133" t="str">
        <f t="shared" ca="1" si="31"/>
        <v/>
      </c>
      <c r="T190" t="str">
        <f t="shared" ca="1" si="32"/>
        <v/>
      </c>
      <c r="U190" s="134" t="str">
        <f t="shared" ca="1" si="33"/>
        <v/>
      </c>
    </row>
    <row r="191" spans="1:21" x14ac:dyDescent="0.3">
      <c r="A191" s="151" t="str">
        <f ca="1">Returns!$A$189</f>
        <v/>
      </c>
      <c r="B191" s="152" t="str">
        <f ca="1">IF($A191="","",Returns!$J$189)</f>
        <v/>
      </c>
      <c r="C191" s="153" t="str">
        <f t="shared" ca="1" si="34"/>
        <v/>
      </c>
      <c r="D191" s="153" t="str">
        <f ca="1">IF($A191="","",MAX($C$7:C191))</f>
        <v/>
      </c>
      <c r="E191" s="154" t="str">
        <f t="shared" ca="1" si="35"/>
        <v/>
      </c>
      <c r="F191" s="152" t="str">
        <f ca="1">IF($A191="","",Returns!$I$189)</f>
        <v/>
      </c>
      <c r="G191" s="153" t="str">
        <f t="shared" ca="1" si="36"/>
        <v/>
      </c>
      <c r="H191" s="153" t="str">
        <f ca="1">IF($A191="","",MAX($G$7:G191))</f>
        <v/>
      </c>
      <c r="I191" s="154" t="str">
        <f t="shared" ca="1" si="37"/>
        <v/>
      </c>
      <c r="J191" s="59" t="str">
        <f t="shared" ca="1" si="38"/>
        <v/>
      </c>
      <c r="K191" s="3"/>
      <c r="L191" t="str">
        <f t="shared" ca="1" si="26"/>
        <v/>
      </c>
      <c r="M191" s="132" t="str">
        <f t="shared" ca="1" si="27"/>
        <v/>
      </c>
      <c r="N191" s="132" t="str">
        <f t="shared" ca="1" si="28"/>
        <v/>
      </c>
      <c r="P191" t="str">
        <f t="shared" ca="1" si="29"/>
        <v/>
      </c>
      <c r="Q191" s="133" t="str">
        <f t="shared" ca="1" si="30"/>
        <v/>
      </c>
      <c r="R191" s="133" t="str">
        <f t="shared" ca="1" si="31"/>
        <v/>
      </c>
      <c r="T191" t="str">
        <f t="shared" ca="1" si="32"/>
        <v/>
      </c>
      <c r="U191" s="134" t="str">
        <f t="shared" ca="1" si="33"/>
        <v/>
      </c>
    </row>
    <row r="192" spans="1:21" x14ac:dyDescent="0.3">
      <c r="A192" s="151" t="str">
        <f ca="1">Returns!$A$190</f>
        <v/>
      </c>
      <c r="B192" s="152" t="str">
        <f ca="1">IF($A192="","",Returns!$J$190)</f>
        <v/>
      </c>
      <c r="C192" s="153" t="str">
        <f t="shared" ca="1" si="34"/>
        <v/>
      </c>
      <c r="D192" s="153" t="str">
        <f ca="1">IF($A192="","",MAX($C$7:C192))</f>
        <v/>
      </c>
      <c r="E192" s="154" t="str">
        <f t="shared" ca="1" si="35"/>
        <v/>
      </c>
      <c r="F192" s="152" t="str">
        <f ca="1">IF($A192="","",Returns!$I$190)</f>
        <v/>
      </c>
      <c r="G192" s="153" t="str">
        <f t="shared" ca="1" si="36"/>
        <v/>
      </c>
      <c r="H192" s="153" t="str">
        <f ca="1">IF($A192="","",MAX($G$7:G192))</f>
        <v/>
      </c>
      <c r="I192" s="154" t="str">
        <f t="shared" ca="1" si="37"/>
        <v/>
      </c>
      <c r="J192" s="59" t="str">
        <f t="shared" ca="1" si="38"/>
        <v/>
      </c>
      <c r="K192" s="3"/>
      <c r="L192" t="str">
        <f t="shared" ca="1" si="26"/>
        <v/>
      </c>
      <c r="M192" s="132" t="str">
        <f t="shared" ca="1" si="27"/>
        <v/>
      </c>
      <c r="N192" s="132" t="str">
        <f t="shared" ca="1" si="28"/>
        <v/>
      </c>
      <c r="P192" t="str">
        <f t="shared" ca="1" si="29"/>
        <v/>
      </c>
      <c r="Q192" s="133" t="str">
        <f t="shared" ca="1" si="30"/>
        <v/>
      </c>
      <c r="R192" s="133" t="str">
        <f t="shared" ca="1" si="31"/>
        <v/>
      </c>
      <c r="T192" t="str">
        <f t="shared" ca="1" si="32"/>
        <v/>
      </c>
      <c r="U192" s="134" t="str">
        <f t="shared" ca="1" si="33"/>
        <v/>
      </c>
    </row>
    <row r="193" spans="1:21" x14ac:dyDescent="0.3">
      <c r="A193" s="151" t="str">
        <f ca="1">Returns!$A$191</f>
        <v/>
      </c>
      <c r="B193" s="152" t="str">
        <f ca="1">IF($A193="","",Returns!$J$191)</f>
        <v/>
      </c>
      <c r="C193" s="153" t="str">
        <f t="shared" ca="1" si="34"/>
        <v/>
      </c>
      <c r="D193" s="153" t="str">
        <f ca="1">IF($A193="","",MAX($C$7:C193))</f>
        <v/>
      </c>
      <c r="E193" s="154" t="str">
        <f t="shared" ca="1" si="35"/>
        <v/>
      </c>
      <c r="F193" s="152" t="str">
        <f ca="1">IF($A193="","",Returns!$I$191)</f>
        <v/>
      </c>
      <c r="G193" s="153" t="str">
        <f t="shared" ca="1" si="36"/>
        <v/>
      </c>
      <c r="H193" s="153" t="str">
        <f ca="1">IF($A193="","",MAX($G$7:G193))</f>
        <v/>
      </c>
      <c r="I193" s="154" t="str">
        <f t="shared" ca="1" si="37"/>
        <v/>
      </c>
      <c r="J193" s="59" t="str">
        <f t="shared" ca="1" si="38"/>
        <v/>
      </c>
      <c r="K193" s="3"/>
      <c r="L193" t="str">
        <f t="shared" ca="1" si="26"/>
        <v/>
      </c>
      <c r="M193" s="132" t="str">
        <f t="shared" ca="1" si="27"/>
        <v/>
      </c>
      <c r="N193" s="132" t="str">
        <f t="shared" ca="1" si="28"/>
        <v/>
      </c>
      <c r="P193" t="str">
        <f t="shared" ca="1" si="29"/>
        <v/>
      </c>
      <c r="Q193" s="133" t="str">
        <f t="shared" ca="1" si="30"/>
        <v/>
      </c>
      <c r="R193" s="133" t="str">
        <f t="shared" ca="1" si="31"/>
        <v/>
      </c>
      <c r="T193" t="str">
        <f t="shared" ca="1" si="32"/>
        <v/>
      </c>
      <c r="U193" s="134" t="str">
        <f t="shared" ca="1" si="33"/>
        <v/>
      </c>
    </row>
    <row r="194" spans="1:21" x14ac:dyDescent="0.3">
      <c r="A194" s="151" t="str">
        <f ca="1">Returns!$A$192</f>
        <v/>
      </c>
      <c r="B194" s="152" t="str">
        <f ca="1">IF($A194="","",Returns!$J$192)</f>
        <v/>
      </c>
      <c r="C194" s="153" t="str">
        <f t="shared" ca="1" si="34"/>
        <v/>
      </c>
      <c r="D194" s="153" t="str">
        <f ca="1">IF($A194="","",MAX($C$7:C194))</f>
        <v/>
      </c>
      <c r="E194" s="154" t="str">
        <f t="shared" ca="1" si="35"/>
        <v/>
      </c>
      <c r="F194" s="152" t="str">
        <f ca="1">IF($A194="","",Returns!$I$192)</f>
        <v/>
      </c>
      <c r="G194" s="153" t="str">
        <f t="shared" ca="1" si="36"/>
        <v/>
      </c>
      <c r="H194" s="153" t="str">
        <f ca="1">IF($A194="","",MAX($G$7:G194))</f>
        <v/>
      </c>
      <c r="I194" s="154" t="str">
        <f t="shared" ca="1" si="37"/>
        <v/>
      </c>
      <c r="J194" s="59" t="str">
        <f t="shared" ca="1" si="38"/>
        <v/>
      </c>
      <c r="K194" s="3"/>
      <c r="L194" t="str">
        <f t="shared" ca="1" si="26"/>
        <v/>
      </c>
      <c r="M194" s="132" t="str">
        <f t="shared" ca="1" si="27"/>
        <v/>
      </c>
      <c r="N194" s="132" t="str">
        <f t="shared" ca="1" si="28"/>
        <v/>
      </c>
      <c r="P194" t="str">
        <f t="shared" ca="1" si="29"/>
        <v/>
      </c>
      <c r="Q194" s="133" t="str">
        <f t="shared" ca="1" si="30"/>
        <v/>
      </c>
      <c r="R194" s="133" t="str">
        <f t="shared" ca="1" si="31"/>
        <v/>
      </c>
      <c r="T194" t="str">
        <f t="shared" ca="1" si="32"/>
        <v/>
      </c>
      <c r="U194" s="134" t="str">
        <f t="shared" ca="1" si="33"/>
        <v/>
      </c>
    </row>
    <row r="195" spans="1:21" x14ac:dyDescent="0.3">
      <c r="A195" s="151" t="str">
        <f ca="1">Returns!$A$193</f>
        <v/>
      </c>
      <c r="B195" s="152" t="str">
        <f ca="1">IF($A195="","",Returns!$J$193)</f>
        <v/>
      </c>
      <c r="C195" s="153" t="str">
        <f t="shared" ca="1" si="34"/>
        <v/>
      </c>
      <c r="D195" s="153" t="str">
        <f ca="1">IF($A195="","",MAX($C$7:C195))</f>
        <v/>
      </c>
      <c r="E195" s="154" t="str">
        <f t="shared" ca="1" si="35"/>
        <v/>
      </c>
      <c r="F195" s="152" t="str">
        <f ca="1">IF($A195="","",Returns!$I$193)</f>
        <v/>
      </c>
      <c r="G195" s="153" t="str">
        <f t="shared" ca="1" si="36"/>
        <v/>
      </c>
      <c r="H195" s="153" t="str">
        <f ca="1">IF($A195="","",MAX($G$7:G195))</f>
        <v/>
      </c>
      <c r="I195" s="154" t="str">
        <f t="shared" ca="1" si="37"/>
        <v/>
      </c>
      <c r="J195" s="59" t="str">
        <f t="shared" ca="1" si="38"/>
        <v/>
      </c>
      <c r="K195" s="3"/>
      <c r="L195" t="str">
        <f t="shared" ca="1" si="26"/>
        <v/>
      </c>
      <c r="M195" s="132" t="str">
        <f t="shared" ca="1" si="27"/>
        <v/>
      </c>
      <c r="N195" s="132" t="str">
        <f t="shared" ca="1" si="28"/>
        <v/>
      </c>
      <c r="P195" t="str">
        <f t="shared" ca="1" si="29"/>
        <v/>
      </c>
      <c r="Q195" s="133" t="str">
        <f t="shared" ca="1" si="30"/>
        <v/>
      </c>
      <c r="R195" s="133" t="str">
        <f t="shared" ca="1" si="31"/>
        <v/>
      </c>
      <c r="T195" t="str">
        <f t="shared" ca="1" si="32"/>
        <v/>
      </c>
      <c r="U195" s="134" t="str">
        <f t="shared" ca="1" si="33"/>
        <v/>
      </c>
    </row>
    <row r="196" spans="1:21" x14ac:dyDescent="0.3">
      <c r="A196" s="151" t="str">
        <f ca="1">Returns!$A$194</f>
        <v/>
      </c>
      <c r="B196" s="152" t="str">
        <f ca="1">IF($A196="","",Returns!$J$194)</f>
        <v/>
      </c>
      <c r="C196" s="153" t="str">
        <f t="shared" ca="1" si="34"/>
        <v/>
      </c>
      <c r="D196" s="153" t="str">
        <f ca="1">IF($A196="","",MAX($C$7:C196))</f>
        <v/>
      </c>
      <c r="E196" s="154" t="str">
        <f t="shared" ca="1" si="35"/>
        <v/>
      </c>
      <c r="F196" s="152" t="str">
        <f ca="1">IF($A196="","",Returns!$I$194)</f>
        <v/>
      </c>
      <c r="G196" s="153" t="str">
        <f t="shared" ca="1" si="36"/>
        <v/>
      </c>
      <c r="H196" s="153" t="str">
        <f ca="1">IF($A196="","",MAX($G$7:G196))</f>
        <v/>
      </c>
      <c r="I196" s="154" t="str">
        <f t="shared" ca="1" si="37"/>
        <v/>
      </c>
      <c r="J196" s="59" t="str">
        <f t="shared" ca="1" si="38"/>
        <v/>
      </c>
      <c r="K196" s="3"/>
      <c r="L196" t="str">
        <f t="shared" ca="1" si="26"/>
        <v/>
      </c>
      <c r="M196" s="132" t="str">
        <f t="shared" ca="1" si="27"/>
        <v/>
      </c>
      <c r="N196" s="132" t="str">
        <f t="shared" ca="1" si="28"/>
        <v/>
      </c>
      <c r="P196" t="str">
        <f t="shared" ca="1" si="29"/>
        <v/>
      </c>
      <c r="Q196" s="133" t="str">
        <f t="shared" ca="1" si="30"/>
        <v/>
      </c>
      <c r="R196" s="133" t="str">
        <f t="shared" ca="1" si="31"/>
        <v/>
      </c>
      <c r="T196" t="str">
        <f t="shared" ca="1" si="32"/>
        <v/>
      </c>
      <c r="U196" s="134" t="str">
        <f t="shared" ca="1" si="33"/>
        <v/>
      </c>
    </row>
    <row r="197" spans="1:21" x14ac:dyDescent="0.3">
      <c r="A197" s="151" t="str">
        <f ca="1">Returns!$A$195</f>
        <v/>
      </c>
      <c r="B197" s="152" t="str">
        <f ca="1">IF($A197="","",Returns!$J$195)</f>
        <v/>
      </c>
      <c r="C197" s="153" t="str">
        <f t="shared" ca="1" si="34"/>
        <v/>
      </c>
      <c r="D197" s="153" t="str">
        <f ca="1">IF($A197="","",MAX($C$7:C197))</f>
        <v/>
      </c>
      <c r="E197" s="154" t="str">
        <f t="shared" ca="1" si="35"/>
        <v/>
      </c>
      <c r="F197" s="152" t="str">
        <f ca="1">IF($A197="","",Returns!$I$195)</f>
        <v/>
      </c>
      <c r="G197" s="153" t="str">
        <f t="shared" ca="1" si="36"/>
        <v/>
      </c>
      <c r="H197" s="153" t="str">
        <f ca="1">IF($A197="","",MAX($G$7:G197))</f>
        <v/>
      </c>
      <c r="I197" s="154" t="str">
        <f t="shared" ca="1" si="37"/>
        <v/>
      </c>
      <c r="J197" s="59" t="str">
        <f t="shared" ca="1" si="38"/>
        <v/>
      </c>
      <c r="K197" s="3"/>
      <c r="L197" t="str">
        <f t="shared" ca="1" si="26"/>
        <v/>
      </c>
      <c r="M197" s="132" t="str">
        <f t="shared" ca="1" si="27"/>
        <v/>
      </c>
      <c r="N197" s="132" t="str">
        <f t="shared" ca="1" si="28"/>
        <v/>
      </c>
      <c r="P197" t="str">
        <f t="shared" ca="1" si="29"/>
        <v/>
      </c>
      <c r="Q197" s="133" t="str">
        <f t="shared" ca="1" si="30"/>
        <v/>
      </c>
      <c r="R197" s="133" t="str">
        <f t="shared" ca="1" si="31"/>
        <v/>
      </c>
      <c r="T197" t="str">
        <f t="shared" ca="1" si="32"/>
        <v/>
      </c>
      <c r="U197" s="134" t="str">
        <f t="shared" ca="1" si="33"/>
        <v/>
      </c>
    </row>
    <row r="198" spans="1:21" x14ac:dyDescent="0.3">
      <c r="A198" s="151" t="str">
        <f ca="1">Returns!$A$196</f>
        <v/>
      </c>
      <c r="B198" s="152" t="str">
        <f ca="1">IF($A198="","",Returns!$J$196)</f>
        <v/>
      </c>
      <c r="C198" s="153" t="str">
        <f t="shared" ca="1" si="34"/>
        <v/>
      </c>
      <c r="D198" s="153" t="str">
        <f ca="1">IF($A198="","",MAX($C$7:C198))</f>
        <v/>
      </c>
      <c r="E198" s="154" t="str">
        <f t="shared" ca="1" si="35"/>
        <v/>
      </c>
      <c r="F198" s="152" t="str">
        <f ca="1">IF($A198="","",Returns!$I$196)</f>
        <v/>
      </c>
      <c r="G198" s="153" t="str">
        <f t="shared" ca="1" si="36"/>
        <v/>
      </c>
      <c r="H198" s="153" t="str">
        <f ca="1">IF($A198="","",MAX($G$7:G198))</f>
        <v/>
      </c>
      <c r="I198" s="154" t="str">
        <f t="shared" ca="1" si="37"/>
        <v/>
      </c>
      <c r="J198" s="59" t="str">
        <f t="shared" ca="1" si="38"/>
        <v/>
      </c>
      <c r="K198" s="3"/>
      <c r="L198" t="str">
        <f t="shared" ca="1" si="26"/>
        <v/>
      </c>
      <c r="M198" s="132" t="str">
        <f t="shared" ca="1" si="27"/>
        <v/>
      </c>
      <c r="N198" s="132" t="str">
        <f t="shared" ca="1" si="28"/>
        <v/>
      </c>
      <c r="P198" t="str">
        <f t="shared" ca="1" si="29"/>
        <v/>
      </c>
      <c r="Q198" s="133" t="str">
        <f t="shared" ca="1" si="30"/>
        <v/>
      </c>
      <c r="R198" s="133" t="str">
        <f t="shared" ca="1" si="31"/>
        <v/>
      </c>
      <c r="T198" t="str">
        <f t="shared" ca="1" si="32"/>
        <v/>
      </c>
      <c r="U198" s="134" t="str">
        <f t="shared" ca="1" si="33"/>
        <v/>
      </c>
    </row>
    <row r="199" spans="1:21" x14ac:dyDescent="0.3">
      <c r="A199" s="151" t="str">
        <f ca="1">Returns!$A$197</f>
        <v/>
      </c>
      <c r="B199" s="152" t="str">
        <f ca="1">IF($A199="","",Returns!$J$197)</f>
        <v/>
      </c>
      <c r="C199" s="153" t="str">
        <f t="shared" ca="1" si="34"/>
        <v/>
      </c>
      <c r="D199" s="153" t="str">
        <f ca="1">IF($A199="","",MAX($C$7:C199))</f>
        <v/>
      </c>
      <c r="E199" s="154" t="str">
        <f t="shared" ca="1" si="35"/>
        <v/>
      </c>
      <c r="F199" s="152" t="str">
        <f ca="1">IF($A199="","",Returns!$I$197)</f>
        <v/>
      </c>
      <c r="G199" s="153" t="str">
        <f t="shared" ca="1" si="36"/>
        <v/>
      </c>
      <c r="H199" s="153" t="str">
        <f ca="1">IF($A199="","",MAX($G$7:G199))</f>
        <v/>
      </c>
      <c r="I199" s="154" t="str">
        <f t="shared" ca="1" si="37"/>
        <v/>
      </c>
      <c r="J199" s="59" t="str">
        <f t="shared" ca="1" si="38"/>
        <v/>
      </c>
      <c r="K199" s="3"/>
      <c r="L199" t="str">
        <f t="shared" ref="L199:L262" ca="1" si="39">$J199</f>
        <v/>
      </c>
      <c r="M199" s="132" t="str">
        <f t="shared" ref="M199:M262" ca="1" si="40">$C199</f>
        <v/>
      </c>
      <c r="N199" s="132" t="str">
        <f t="shared" ref="N199:N262" ca="1" si="41">$G199</f>
        <v/>
      </c>
      <c r="P199" t="str">
        <f t="shared" ref="P199:P262" ca="1" si="42">$J199</f>
        <v/>
      </c>
      <c r="Q199" s="133" t="str">
        <f t="shared" ref="Q199:Q262" ca="1" si="43">$E199</f>
        <v/>
      </c>
      <c r="R199" s="133" t="str">
        <f t="shared" ref="R199:R262" ca="1" si="44">$I199</f>
        <v/>
      </c>
      <c r="T199" t="str">
        <f t="shared" ref="T199:T262" ca="1" si="45">$J199</f>
        <v/>
      </c>
      <c r="U199" s="134" t="str">
        <f t="shared" ref="U199:U262" ca="1" si="46">IF($A199="","",NotionalValue*$C199/IndexBase)</f>
        <v/>
      </c>
    </row>
    <row r="200" spans="1:21" x14ac:dyDescent="0.3">
      <c r="A200" s="151" t="str">
        <f ca="1">Returns!$A$198</f>
        <v/>
      </c>
      <c r="B200" s="152" t="str">
        <f ca="1">IF($A200="","",Returns!$J$198)</f>
        <v/>
      </c>
      <c r="C200" s="153" t="str">
        <f t="shared" ref="C200:C263" ca="1" si="47">IF($A200="","",C199*(1+$B200))</f>
        <v/>
      </c>
      <c r="D200" s="153" t="str">
        <f ca="1">IF($A200="","",MAX($C$7:C200))</f>
        <v/>
      </c>
      <c r="E200" s="154" t="str">
        <f t="shared" ref="E200:E263" ca="1" si="48">IF($A200="","",$C200/$D200-1)</f>
        <v/>
      </c>
      <c r="F200" s="152" t="str">
        <f ca="1">IF($A200="","",Returns!$I$198)</f>
        <v/>
      </c>
      <c r="G200" s="153" t="str">
        <f t="shared" ref="G200:G263" ca="1" si="49">IF($A200="","",G199*(1+$F200))</f>
        <v/>
      </c>
      <c r="H200" s="153" t="str">
        <f ca="1">IF($A200="","",MAX($G$7:G200))</f>
        <v/>
      </c>
      <c r="I200" s="154" t="str">
        <f t="shared" ref="I200:I263" ca="1" si="50">IF($A200="","",$G200/$H200-1)</f>
        <v/>
      </c>
      <c r="J200" s="59" t="str">
        <f t="shared" ref="J200:J263" ca="1" si="51">IF($A200="","",TEXT($A200,"mmm-yy"))</f>
        <v/>
      </c>
      <c r="K200" s="3"/>
      <c r="L200" t="str">
        <f t="shared" ca="1" si="39"/>
        <v/>
      </c>
      <c r="M200" s="132" t="str">
        <f t="shared" ca="1" si="40"/>
        <v/>
      </c>
      <c r="N200" s="132" t="str">
        <f t="shared" ca="1" si="41"/>
        <v/>
      </c>
      <c r="P200" t="str">
        <f t="shared" ca="1" si="42"/>
        <v/>
      </c>
      <c r="Q200" s="133" t="str">
        <f t="shared" ca="1" si="43"/>
        <v/>
      </c>
      <c r="R200" s="133" t="str">
        <f t="shared" ca="1" si="44"/>
        <v/>
      </c>
      <c r="T200" t="str">
        <f t="shared" ca="1" si="45"/>
        <v/>
      </c>
      <c r="U200" s="134" t="str">
        <f t="shared" ca="1" si="46"/>
        <v/>
      </c>
    </row>
    <row r="201" spans="1:21" x14ac:dyDescent="0.3">
      <c r="A201" s="151" t="str">
        <f ca="1">Returns!$A$199</f>
        <v/>
      </c>
      <c r="B201" s="152" t="str">
        <f ca="1">IF($A201="","",Returns!$J$199)</f>
        <v/>
      </c>
      <c r="C201" s="153" t="str">
        <f t="shared" ca="1" si="47"/>
        <v/>
      </c>
      <c r="D201" s="153" t="str">
        <f ca="1">IF($A201="","",MAX($C$7:C201))</f>
        <v/>
      </c>
      <c r="E201" s="154" t="str">
        <f t="shared" ca="1" si="48"/>
        <v/>
      </c>
      <c r="F201" s="152" t="str">
        <f ca="1">IF($A201="","",Returns!$I$199)</f>
        <v/>
      </c>
      <c r="G201" s="153" t="str">
        <f t="shared" ca="1" si="49"/>
        <v/>
      </c>
      <c r="H201" s="153" t="str">
        <f ca="1">IF($A201="","",MAX($G$7:G201))</f>
        <v/>
      </c>
      <c r="I201" s="154" t="str">
        <f t="shared" ca="1" si="50"/>
        <v/>
      </c>
      <c r="J201" s="59" t="str">
        <f t="shared" ca="1" si="51"/>
        <v/>
      </c>
      <c r="K201" s="3"/>
      <c r="L201" t="str">
        <f t="shared" ca="1" si="39"/>
        <v/>
      </c>
      <c r="M201" s="132" t="str">
        <f t="shared" ca="1" si="40"/>
        <v/>
      </c>
      <c r="N201" s="132" t="str">
        <f t="shared" ca="1" si="41"/>
        <v/>
      </c>
      <c r="P201" t="str">
        <f t="shared" ca="1" si="42"/>
        <v/>
      </c>
      <c r="Q201" s="133" t="str">
        <f t="shared" ca="1" si="43"/>
        <v/>
      </c>
      <c r="R201" s="133" t="str">
        <f t="shared" ca="1" si="44"/>
        <v/>
      </c>
      <c r="T201" t="str">
        <f t="shared" ca="1" si="45"/>
        <v/>
      </c>
      <c r="U201" s="134" t="str">
        <f t="shared" ca="1" si="46"/>
        <v/>
      </c>
    </row>
    <row r="202" spans="1:21" x14ac:dyDescent="0.3">
      <c r="A202" s="151" t="str">
        <f ca="1">Returns!$A$200</f>
        <v/>
      </c>
      <c r="B202" s="152" t="str">
        <f ca="1">IF($A202="","",Returns!$J$200)</f>
        <v/>
      </c>
      <c r="C202" s="153" t="str">
        <f t="shared" ca="1" si="47"/>
        <v/>
      </c>
      <c r="D202" s="153" t="str">
        <f ca="1">IF($A202="","",MAX($C$7:C202))</f>
        <v/>
      </c>
      <c r="E202" s="154" t="str">
        <f t="shared" ca="1" si="48"/>
        <v/>
      </c>
      <c r="F202" s="152" t="str">
        <f ca="1">IF($A202="","",Returns!$I$200)</f>
        <v/>
      </c>
      <c r="G202" s="153" t="str">
        <f t="shared" ca="1" si="49"/>
        <v/>
      </c>
      <c r="H202" s="153" t="str">
        <f ca="1">IF($A202="","",MAX($G$7:G202))</f>
        <v/>
      </c>
      <c r="I202" s="154" t="str">
        <f t="shared" ca="1" si="50"/>
        <v/>
      </c>
      <c r="J202" s="59" t="str">
        <f t="shared" ca="1" si="51"/>
        <v/>
      </c>
      <c r="K202" s="3"/>
      <c r="L202" t="str">
        <f t="shared" ca="1" si="39"/>
        <v/>
      </c>
      <c r="M202" s="132" t="str">
        <f t="shared" ca="1" si="40"/>
        <v/>
      </c>
      <c r="N202" s="132" t="str">
        <f t="shared" ca="1" si="41"/>
        <v/>
      </c>
      <c r="P202" t="str">
        <f t="shared" ca="1" si="42"/>
        <v/>
      </c>
      <c r="Q202" s="133" t="str">
        <f t="shared" ca="1" si="43"/>
        <v/>
      </c>
      <c r="R202" s="133" t="str">
        <f t="shared" ca="1" si="44"/>
        <v/>
      </c>
      <c r="T202" t="str">
        <f t="shared" ca="1" si="45"/>
        <v/>
      </c>
      <c r="U202" s="134" t="str">
        <f t="shared" ca="1" si="46"/>
        <v/>
      </c>
    </row>
    <row r="203" spans="1:21" x14ac:dyDescent="0.3">
      <c r="A203" s="151" t="str">
        <f ca="1">Returns!$A$201</f>
        <v/>
      </c>
      <c r="B203" s="152" t="str">
        <f ca="1">IF($A203="","",Returns!$J$201)</f>
        <v/>
      </c>
      <c r="C203" s="153" t="str">
        <f t="shared" ca="1" si="47"/>
        <v/>
      </c>
      <c r="D203" s="153" t="str">
        <f ca="1">IF($A203="","",MAX($C$7:C203))</f>
        <v/>
      </c>
      <c r="E203" s="154" t="str">
        <f t="shared" ca="1" si="48"/>
        <v/>
      </c>
      <c r="F203" s="152" t="str">
        <f ca="1">IF($A203="","",Returns!$I$201)</f>
        <v/>
      </c>
      <c r="G203" s="153" t="str">
        <f t="shared" ca="1" si="49"/>
        <v/>
      </c>
      <c r="H203" s="153" t="str">
        <f ca="1">IF($A203="","",MAX($G$7:G203))</f>
        <v/>
      </c>
      <c r="I203" s="154" t="str">
        <f t="shared" ca="1" si="50"/>
        <v/>
      </c>
      <c r="J203" s="59" t="str">
        <f t="shared" ca="1" si="51"/>
        <v/>
      </c>
      <c r="K203" s="3"/>
      <c r="L203" t="str">
        <f t="shared" ca="1" si="39"/>
        <v/>
      </c>
      <c r="M203" s="132" t="str">
        <f t="shared" ca="1" si="40"/>
        <v/>
      </c>
      <c r="N203" s="132" t="str">
        <f t="shared" ca="1" si="41"/>
        <v/>
      </c>
      <c r="P203" t="str">
        <f t="shared" ca="1" si="42"/>
        <v/>
      </c>
      <c r="Q203" s="133" t="str">
        <f t="shared" ca="1" si="43"/>
        <v/>
      </c>
      <c r="R203" s="133" t="str">
        <f t="shared" ca="1" si="44"/>
        <v/>
      </c>
      <c r="T203" t="str">
        <f t="shared" ca="1" si="45"/>
        <v/>
      </c>
      <c r="U203" s="134" t="str">
        <f t="shared" ca="1" si="46"/>
        <v/>
      </c>
    </row>
    <row r="204" spans="1:21" x14ac:dyDescent="0.3">
      <c r="A204" s="151" t="str">
        <f ca="1">Returns!$A$202</f>
        <v/>
      </c>
      <c r="B204" s="152" t="str">
        <f ca="1">IF($A204="","",Returns!$J$202)</f>
        <v/>
      </c>
      <c r="C204" s="153" t="str">
        <f t="shared" ca="1" si="47"/>
        <v/>
      </c>
      <c r="D204" s="153" t="str">
        <f ca="1">IF($A204="","",MAX($C$7:C204))</f>
        <v/>
      </c>
      <c r="E204" s="154" t="str">
        <f t="shared" ca="1" si="48"/>
        <v/>
      </c>
      <c r="F204" s="152" t="str">
        <f ca="1">IF($A204="","",Returns!$I$202)</f>
        <v/>
      </c>
      <c r="G204" s="153" t="str">
        <f t="shared" ca="1" si="49"/>
        <v/>
      </c>
      <c r="H204" s="153" t="str">
        <f ca="1">IF($A204="","",MAX($G$7:G204))</f>
        <v/>
      </c>
      <c r="I204" s="154" t="str">
        <f t="shared" ca="1" si="50"/>
        <v/>
      </c>
      <c r="J204" s="59" t="str">
        <f t="shared" ca="1" si="51"/>
        <v/>
      </c>
      <c r="K204" s="3"/>
      <c r="L204" t="str">
        <f t="shared" ca="1" si="39"/>
        <v/>
      </c>
      <c r="M204" s="132" t="str">
        <f t="shared" ca="1" si="40"/>
        <v/>
      </c>
      <c r="N204" s="132" t="str">
        <f t="shared" ca="1" si="41"/>
        <v/>
      </c>
      <c r="P204" t="str">
        <f t="shared" ca="1" si="42"/>
        <v/>
      </c>
      <c r="Q204" s="133" t="str">
        <f t="shared" ca="1" si="43"/>
        <v/>
      </c>
      <c r="R204" s="133" t="str">
        <f t="shared" ca="1" si="44"/>
        <v/>
      </c>
      <c r="T204" t="str">
        <f t="shared" ca="1" si="45"/>
        <v/>
      </c>
      <c r="U204" s="134" t="str">
        <f t="shared" ca="1" si="46"/>
        <v/>
      </c>
    </row>
    <row r="205" spans="1:21" x14ac:dyDescent="0.3">
      <c r="A205" s="151" t="str">
        <f ca="1">Returns!$A$203</f>
        <v/>
      </c>
      <c r="B205" s="152" t="str">
        <f ca="1">IF($A205="","",Returns!$J$203)</f>
        <v/>
      </c>
      <c r="C205" s="153" t="str">
        <f t="shared" ca="1" si="47"/>
        <v/>
      </c>
      <c r="D205" s="153" t="str">
        <f ca="1">IF($A205="","",MAX($C$7:C205))</f>
        <v/>
      </c>
      <c r="E205" s="154" t="str">
        <f t="shared" ca="1" si="48"/>
        <v/>
      </c>
      <c r="F205" s="152" t="str">
        <f ca="1">IF($A205="","",Returns!$I$203)</f>
        <v/>
      </c>
      <c r="G205" s="153" t="str">
        <f t="shared" ca="1" si="49"/>
        <v/>
      </c>
      <c r="H205" s="153" t="str">
        <f ca="1">IF($A205="","",MAX($G$7:G205))</f>
        <v/>
      </c>
      <c r="I205" s="154" t="str">
        <f t="shared" ca="1" si="50"/>
        <v/>
      </c>
      <c r="J205" s="59" t="str">
        <f t="shared" ca="1" si="51"/>
        <v/>
      </c>
      <c r="K205" s="3"/>
      <c r="L205" t="str">
        <f t="shared" ca="1" si="39"/>
        <v/>
      </c>
      <c r="M205" s="132" t="str">
        <f t="shared" ca="1" si="40"/>
        <v/>
      </c>
      <c r="N205" s="132" t="str">
        <f t="shared" ca="1" si="41"/>
        <v/>
      </c>
      <c r="P205" t="str">
        <f t="shared" ca="1" si="42"/>
        <v/>
      </c>
      <c r="Q205" s="133" t="str">
        <f t="shared" ca="1" si="43"/>
        <v/>
      </c>
      <c r="R205" s="133" t="str">
        <f t="shared" ca="1" si="44"/>
        <v/>
      </c>
      <c r="T205" t="str">
        <f t="shared" ca="1" si="45"/>
        <v/>
      </c>
      <c r="U205" s="134" t="str">
        <f t="shared" ca="1" si="46"/>
        <v/>
      </c>
    </row>
    <row r="206" spans="1:21" x14ac:dyDescent="0.3">
      <c r="A206" s="151" t="str">
        <f ca="1">Returns!$A$204</f>
        <v/>
      </c>
      <c r="B206" s="152" t="str">
        <f ca="1">IF($A206="","",Returns!$J$204)</f>
        <v/>
      </c>
      <c r="C206" s="153" t="str">
        <f t="shared" ca="1" si="47"/>
        <v/>
      </c>
      <c r="D206" s="153" t="str">
        <f ca="1">IF($A206="","",MAX($C$7:C206))</f>
        <v/>
      </c>
      <c r="E206" s="154" t="str">
        <f t="shared" ca="1" si="48"/>
        <v/>
      </c>
      <c r="F206" s="152" t="str">
        <f ca="1">IF($A206="","",Returns!$I$204)</f>
        <v/>
      </c>
      <c r="G206" s="153" t="str">
        <f t="shared" ca="1" si="49"/>
        <v/>
      </c>
      <c r="H206" s="153" t="str">
        <f ca="1">IF($A206="","",MAX($G$7:G206))</f>
        <v/>
      </c>
      <c r="I206" s="154" t="str">
        <f t="shared" ca="1" si="50"/>
        <v/>
      </c>
      <c r="J206" s="59" t="str">
        <f t="shared" ca="1" si="51"/>
        <v/>
      </c>
      <c r="K206" s="3"/>
      <c r="L206" t="str">
        <f t="shared" ca="1" si="39"/>
        <v/>
      </c>
      <c r="M206" s="132" t="str">
        <f t="shared" ca="1" si="40"/>
        <v/>
      </c>
      <c r="N206" s="132" t="str">
        <f t="shared" ca="1" si="41"/>
        <v/>
      </c>
      <c r="P206" t="str">
        <f t="shared" ca="1" si="42"/>
        <v/>
      </c>
      <c r="Q206" s="133" t="str">
        <f t="shared" ca="1" si="43"/>
        <v/>
      </c>
      <c r="R206" s="133" t="str">
        <f t="shared" ca="1" si="44"/>
        <v/>
      </c>
      <c r="T206" t="str">
        <f t="shared" ca="1" si="45"/>
        <v/>
      </c>
      <c r="U206" s="134" t="str">
        <f t="shared" ca="1" si="46"/>
        <v/>
      </c>
    </row>
    <row r="207" spans="1:21" x14ac:dyDescent="0.3">
      <c r="A207" s="151" t="str">
        <f ca="1">Returns!$A$205</f>
        <v/>
      </c>
      <c r="B207" s="152" t="str">
        <f ca="1">IF($A207="","",Returns!$J$205)</f>
        <v/>
      </c>
      <c r="C207" s="153" t="str">
        <f t="shared" ca="1" si="47"/>
        <v/>
      </c>
      <c r="D207" s="153" t="str">
        <f ca="1">IF($A207="","",MAX($C$7:C207))</f>
        <v/>
      </c>
      <c r="E207" s="154" t="str">
        <f t="shared" ca="1" si="48"/>
        <v/>
      </c>
      <c r="F207" s="152" t="str">
        <f ca="1">IF($A207="","",Returns!$I$205)</f>
        <v/>
      </c>
      <c r="G207" s="153" t="str">
        <f t="shared" ca="1" si="49"/>
        <v/>
      </c>
      <c r="H207" s="153" t="str">
        <f ca="1">IF($A207="","",MAX($G$7:G207))</f>
        <v/>
      </c>
      <c r="I207" s="154" t="str">
        <f t="shared" ca="1" si="50"/>
        <v/>
      </c>
      <c r="J207" s="59" t="str">
        <f t="shared" ca="1" si="51"/>
        <v/>
      </c>
      <c r="K207" s="3"/>
      <c r="L207" t="str">
        <f t="shared" ca="1" si="39"/>
        <v/>
      </c>
      <c r="M207" s="132" t="str">
        <f t="shared" ca="1" si="40"/>
        <v/>
      </c>
      <c r="N207" s="132" t="str">
        <f t="shared" ca="1" si="41"/>
        <v/>
      </c>
      <c r="P207" t="str">
        <f t="shared" ca="1" si="42"/>
        <v/>
      </c>
      <c r="Q207" s="133" t="str">
        <f t="shared" ca="1" si="43"/>
        <v/>
      </c>
      <c r="R207" s="133" t="str">
        <f t="shared" ca="1" si="44"/>
        <v/>
      </c>
      <c r="T207" t="str">
        <f t="shared" ca="1" si="45"/>
        <v/>
      </c>
      <c r="U207" s="134" t="str">
        <f t="shared" ca="1" si="46"/>
        <v/>
      </c>
    </row>
    <row r="208" spans="1:21" x14ac:dyDescent="0.3">
      <c r="A208" s="151" t="str">
        <f ca="1">Returns!$A$206</f>
        <v/>
      </c>
      <c r="B208" s="152" t="str">
        <f ca="1">IF($A208="","",Returns!$J$206)</f>
        <v/>
      </c>
      <c r="C208" s="153" t="str">
        <f t="shared" ca="1" si="47"/>
        <v/>
      </c>
      <c r="D208" s="153" t="str">
        <f ca="1">IF($A208="","",MAX($C$7:C208))</f>
        <v/>
      </c>
      <c r="E208" s="154" t="str">
        <f t="shared" ca="1" si="48"/>
        <v/>
      </c>
      <c r="F208" s="152" t="str">
        <f ca="1">IF($A208="","",Returns!$I$206)</f>
        <v/>
      </c>
      <c r="G208" s="153" t="str">
        <f t="shared" ca="1" si="49"/>
        <v/>
      </c>
      <c r="H208" s="153" t="str">
        <f ca="1">IF($A208="","",MAX($G$7:G208))</f>
        <v/>
      </c>
      <c r="I208" s="154" t="str">
        <f t="shared" ca="1" si="50"/>
        <v/>
      </c>
      <c r="J208" s="59" t="str">
        <f t="shared" ca="1" si="51"/>
        <v/>
      </c>
      <c r="K208" s="3"/>
      <c r="L208" t="str">
        <f t="shared" ca="1" si="39"/>
        <v/>
      </c>
      <c r="M208" s="132" t="str">
        <f t="shared" ca="1" si="40"/>
        <v/>
      </c>
      <c r="N208" s="132" t="str">
        <f t="shared" ca="1" si="41"/>
        <v/>
      </c>
      <c r="P208" t="str">
        <f t="shared" ca="1" si="42"/>
        <v/>
      </c>
      <c r="Q208" s="133" t="str">
        <f t="shared" ca="1" si="43"/>
        <v/>
      </c>
      <c r="R208" s="133" t="str">
        <f t="shared" ca="1" si="44"/>
        <v/>
      </c>
      <c r="T208" t="str">
        <f t="shared" ca="1" si="45"/>
        <v/>
      </c>
      <c r="U208" s="134" t="str">
        <f t="shared" ca="1" si="46"/>
        <v/>
      </c>
    </row>
    <row r="209" spans="1:21" x14ac:dyDescent="0.3">
      <c r="A209" s="151" t="str">
        <f ca="1">Returns!$A$207</f>
        <v/>
      </c>
      <c r="B209" s="152" t="str">
        <f ca="1">IF($A209="","",Returns!$J$207)</f>
        <v/>
      </c>
      <c r="C209" s="153" t="str">
        <f t="shared" ca="1" si="47"/>
        <v/>
      </c>
      <c r="D209" s="153" t="str">
        <f ca="1">IF($A209="","",MAX($C$7:C209))</f>
        <v/>
      </c>
      <c r="E209" s="154" t="str">
        <f t="shared" ca="1" si="48"/>
        <v/>
      </c>
      <c r="F209" s="152" t="str">
        <f ca="1">IF($A209="","",Returns!$I$207)</f>
        <v/>
      </c>
      <c r="G209" s="153" t="str">
        <f t="shared" ca="1" si="49"/>
        <v/>
      </c>
      <c r="H209" s="153" t="str">
        <f ca="1">IF($A209="","",MAX($G$7:G209))</f>
        <v/>
      </c>
      <c r="I209" s="154" t="str">
        <f t="shared" ca="1" si="50"/>
        <v/>
      </c>
      <c r="J209" s="59" t="str">
        <f t="shared" ca="1" si="51"/>
        <v/>
      </c>
      <c r="K209" s="3"/>
      <c r="L209" t="str">
        <f t="shared" ca="1" si="39"/>
        <v/>
      </c>
      <c r="M209" s="132" t="str">
        <f t="shared" ca="1" si="40"/>
        <v/>
      </c>
      <c r="N209" s="132" t="str">
        <f t="shared" ca="1" si="41"/>
        <v/>
      </c>
      <c r="P209" t="str">
        <f t="shared" ca="1" si="42"/>
        <v/>
      </c>
      <c r="Q209" s="133" t="str">
        <f t="shared" ca="1" si="43"/>
        <v/>
      </c>
      <c r="R209" s="133" t="str">
        <f t="shared" ca="1" si="44"/>
        <v/>
      </c>
      <c r="T209" t="str">
        <f t="shared" ca="1" si="45"/>
        <v/>
      </c>
      <c r="U209" s="134" t="str">
        <f t="shared" ca="1" si="46"/>
        <v/>
      </c>
    </row>
    <row r="210" spans="1:21" x14ac:dyDescent="0.3">
      <c r="A210" s="151" t="str">
        <f ca="1">Returns!$A$208</f>
        <v/>
      </c>
      <c r="B210" s="152" t="str">
        <f ca="1">IF($A210="","",Returns!$J$208)</f>
        <v/>
      </c>
      <c r="C210" s="153" t="str">
        <f t="shared" ca="1" si="47"/>
        <v/>
      </c>
      <c r="D210" s="153" t="str">
        <f ca="1">IF($A210="","",MAX($C$7:C210))</f>
        <v/>
      </c>
      <c r="E210" s="154" t="str">
        <f t="shared" ca="1" si="48"/>
        <v/>
      </c>
      <c r="F210" s="152" t="str">
        <f ca="1">IF($A210="","",Returns!$I$208)</f>
        <v/>
      </c>
      <c r="G210" s="153" t="str">
        <f t="shared" ca="1" si="49"/>
        <v/>
      </c>
      <c r="H210" s="153" t="str">
        <f ca="1">IF($A210="","",MAX($G$7:G210))</f>
        <v/>
      </c>
      <c r="I210" s="154" t="str">
        <f t="shared" ca="1" si="50"/>
        <v/>
      </c>
      <c r="J210" s="59" t="str">
        <f t="shared" ca="1" si="51"/>
        <v/>
      </c>
      <c r="K210" s="3"/>
      <c r="L210" t="str">
        <f t="shared" ca="1" si="39"/>
        <v/>
      </c>
      <c r="M210" s="132" t="str">
        <f t="shared" ca="1" si="40"/>
        <v/>
      </c>
      <c r="N210" s="132" t="str">
        <f t="shared" ca="1" si="41"/>
        <v/>
      </c>
      <c r="P210" t="str">
        <f t="shared" ca="1" si="42"/>
        <v/>
      </c>
      <c r="Q210" s="133" t="str">
        <f t="shared" ca="1" si="43"/>
        <v/>
      </c>
      <c r="R210" s="133" t="str">
        <f t="shared" ca="1" si="44"/>
        <v/>
      </c>
      <c r="T210" t="str">
        <f t="shared" ca="1" si="45"/>
        <v/>
      </c>
      <c r="U210" s="134" t="str">
        <f t="shared" ca="1" si="46"/>
        <v/>
      </c>
    </row>
    <row r="211" spans="1:21" x14ac:dyDescent="0.3">
      <c r="A211" s="151" t="str">
        <f ca="1">Returns!$A$209</f>
        <v/>
      </c>
      <c r="B211" s="152" t="str">
        <f ca="1">IF($A211="","",Returns!$J$209)</f>
        <v/>
      </c>
      <c r="C211" s="153" t="str">
        <f t="shared" ca="1" si="47"/>
        <v/>
      </c>
      <c r="D211" s="153" t="str">
        <f ca="1">IF($A211="","",MAX($C$7:C211))</f>
        <v/>
      </c>
      <c r="E211" s="154" t="str">
        <f t="shared" ca="1" si="48"/>
        <v/>
      </c>
      <c r="F211" s="152" t="str">
        <f ca="1">IF($A211="","",Returns!$I$209)</f>
        <v/>
      </c>
      <c r="G211" s="153" t="str">
        <f t="shared" ca="1" si="49"/>
        <v/>
      </c>
      <c r="H211" s="153" t="str">
        <f ca="1">IF($A211="","",MAX($G$7:G211))</f>
        <v/>
      </c>
      <c r="I211" s="154" t="str">
        <f t="shared" ca="1" si="50"/>
        <v/>
      </c>
      <c r="J211" s="59" t="str">
        <f t="shared" ca="1" si="51"/>
        <v/>
      </c>
      <c r="K211" s="3"/>
      <c r="L211" t="str">
        <f t="shared" ca="1" si="39"/>
        <v/>
      </c>
      <c r="M211" s="132" t="str">
        <f t="shared" ca="1" si="40"/>
        <v/>
      </c>
      <c r="N211" s="132" t="str">
        <f t="shared" ca="1" si="41"/>
        <v/>
      </c>
      <c r="P211" t="str">
        <f t="shared" ca="1" si="42"/>
        <v/>
      </c>
      <c r="Q211" s="133" t="str">
        <f t="shared" ca="1" si="43"/>
        <v/>
      </c>
      <c r="R211" s="133" t="str">
        <f t="shared" ca="1" si="44"/>
        <v/>
      </c>
      <c r="T211" t="str">
        <f t="shared" ca="1" si="45"/>
        <v/>
      </c>
      <c r="U211" s="134" t="str">
        <f t="shared" ca="1" si="46"/>
        <v/>
      </c>
    </row>
    <row r="212" spans="1:21" x14ac:dyDescent="0.3">
      <c r="A212" s="151" t="str">
        <f ca="1">Returns!$A$210</f>
        <v/>
      </c>
      <c r="B212" s="152" t="str">
        <f ca="1">IF($A212="","",Returns!$J$210)</f>
        <v/>
      </c>
      <c r="C212" s="153" t="str">
        <f t="shared" ca="1" si="47"/>
        <v/>
      </c>
      <c r="D212" s="153" t="str">
        <f ca="1">IF($A212="","",MAX($C$7:C212))</f>
        <v/>
      </c>
      <c r="E212" s="154" t="str">
        <f t="shared" ca="1" si="48"/>
        <v/>
      </c>
      <c r="F212" s="152" t="str">
        <f ca="1">IF($A212="","",Returns!$I$210)</f>
        <v/>
      </c>
      <c r="G212" s="153" t="str">
        <f t="shared" ca="1" si="49"/>
        <v/>
      </c>
      <c r="H212" s="153" t="str">
        <f ca="1">IF($A212="","",MAX($G$7:G212))</f>
        <v/>
      </c>
      <c r="I212" s="154" t="str">
        <f t="shared" ca="1" si="50"/>
        <v/>
      </c>
      <c r="J212" s="59" t="str">
        <f t="shared" ca="1" si="51"/>
        <v/>
      </c>
      <c r="K212" s="3"/>
      <c r="L212" t="str">
        <f t="shared" ca="1" si="39"/>
        <v/>
      </c>
      <c r="M212" s="132" t="str">
        <f t="shared" ca="1" si="40"/>
        <v/>
      </c>
      <c r="N212" s="132" t="str">
        <f t="shared" ca="1" si="41"/>
        <v/>
      </c>
      <c r="P212" t="str">
        <f t="shared" ca="1" si="42"/>
        <v/>
      </c>
      <c r="Q212" s="133" t="str">
        <f t="shared" ca="1" si="43"/>
        <v/>
      </c>
      <c r="R212" s="133" t="str">
        <f t="shared" ca="1" si="44"/>
        <v/>
      </c>
      <c r="T212" t="str">
        <f t="shared" ca="1" si="45"/>
        <v/>
      </c>
      <c r="U212" s="134" t="str">
        <f t="shared" ca="1" si="46"/>
        <v/>
      </c>
    </row>
    <row r="213" spans="1:21" x14ac:dyDescent="0.3">
      <c r="A213" s="151" t="str">
        <f ca="1">Returns!$A$211</f>
        <v/>
      </c>
      <c r="B213" s="152" t="str">
        <f ca="1">IF($A213="","",Returns!$J$211)</f>
        <v/>
      </c>
      <c r="C213" s="153" t="str">
        <f t="shared" ca="1" si="47"/>
        <v/>
      </c>
      <c r="D213" s="153" t="str">
        <f ca="1">IF($A213="","",MAX($C$7:C213))</f>
        <v/>
      </c>
      <c r="E213" s="154" t="str">
        <f t="shared" ca="1" si="48"/>
        <v/>
      </c>
      <c r="F213" s="152" t="str">
        <f ca="1">IF($A213="","",Returns!$I$211)</f>
        <v/>
      </c>
      <c r="G213" s="153" t="str">
        <f t="shared" ca="1" si="49"/>
        <v/>
      </c>
      <c r="H213" s="153" t="str">
        <f ca="1">IF($A213="","",MAX($G$7:G213))</f>
        <v/>
      </c>
      <c r="I213" s="154" t="str">
        <f t="shared" ca="1" si="50"/>
        <v/>
      </c>
      <c r="J213" s="59" t="str">
        <f t="shared" ca="1" si="51"/>
        <v/>
      </c>
      <c r="K213" s="3"/>
      <c r="L213" t="str">
        <f t="shared" ca="1" si="39"/>
        <v/>
      </c>
      <c r="M213" s="132" t="str">
        <f t="shared" ca="1" si="40"/>
        <v/>
      </c>
      <c r="N213" s="132" t="str">
        <f t="shared" ca="1" si="41"/>
        <v/>
      </c>
      <c r="P213" t="str">
        <f t="shared" ca="1" si="42"/>
        <v/>
      </c>
      <c r="Q213" s="133" t="str">
        <f t="shared" ca="1" si="43"/>
        <v/>
      </c>
      <c r="R213" s="133" t="str">
        <f t="shared" ca="1" si="44"/>
        <v/>
      </c>
      <c r="T213" t="str">
        <f t="shared" ca="1" si="45"/>
        <v/>
      </c>
      <c r="U213" s="134" t="str">
        <f t="shared" ca="1" si="46"/>
        <v/>
      </c>
    </row>
    <row r="214" spans="1:21" x14ac:dyDescent="0.3">
      <c r="A214" s="151" t="str">
        <f ca="1">Returns!$A$212</f>
        <v/>
      </c>
      <c r="B214" s="152" t="str">
        <f ca="1">IF($A214="","",Returns!$J$212)</f>
        <v/>
      </c>
      <c r="C214" s="153" t="str">
        <f t="shared" ca="1" si="47"/>
        <v/>
      </c>
      <c r="D214" s="153" t="str">
        <f ca="1">IF($A214="","",MAX($C$7:C214))</f>
        <v/>
      </c>
      <c r="E214" s="154" t="str">
        <f t="shared" ca="1" si="48"/>
        <v/>
      </c>
      <c r="F214" s="152" t="str">
        <f ca="1">IF($A214="","",Returns!$I$212)</f>
        <v/>
      </c>
      <c r="G214" s="153" t="str">
        <f t="shared" ca="1" si="49"/>
        <v/>
      </c>
      <c r="H214" s="153" t="str">
        <f ca="1">IF($A214="","",MAX($G$7:G214))</f>
        <v/>
      </c>
      <c r="I214" s="154" t="str">
        <f t="shared" ca="1" si="50"/>
        <v/>
      </c>
      <c r="J214" s="59" t="str">
        <f t="shared" ca="1" si="51"/>
        <v/>
      </c>
      <c r="K214" s="3"/>
      <c r="L214" t="str">
        <f t="shared" ca="1" si="39"/>
        <v/>
      </c>
      <c r="M214" s="132" t="str">
        <f t="shared" ca="1" si="40"/>
        <v/>
      </c>
      <c r="N214" s="132" t="str">
        <f t="shared" ca="1" si="41"/>
        <v/>
      </c>
      <c r="P214" t="str">
        <f t="shared" ca="1" si="42"/>
        <v/>
      </c>
      <c r="Q214" s="133" t="str">
        <f t="shared" ca="1" si="43"/>
        <v/>
      </c>
      <c r="R214" s="133" t="str">
        <f t="shared" ca="1" si="44"/>
        <v/>
      </c>
      <c r="T214" t="str">
        <f t="shared" ca="1" si="45"/>
        <v/>
      </c>
      <c r="U214" s="134" t="str">
        <f t="shared" ca="1" si="46"/>
        <v/>
      </c>
    </row>
    <row r="215" spans="1:21" x14ac:dyDescent="0.3">
      <c r="A215" s="151" t="str">
        <f ca="1">Returns!$A$213</f>
        <v/>
      </c>
      <c r="B215" s="152" t="str">
        <f ca="1">IF($A215="","",Returns!$J$213)</f>
        <v/>
      </c>
      <c r="C215" s="153" t="str">
        <f t="shared" ca="1" si="47"/>
        <v/>
      </c>
      <c r="D215" s="153" t="str">
        <f ca="1">IF($A215="","",MAX($C$7:C215))</f>
        <v/>
      </c>
      <c r="E215" s="154" t="str">
        <f t="shared" ca="1" si="48"/>
        <v/>
      </c>
      <c r="F215" s="152" t="str">
        <f ca="1">IF($A215="","",Returns!$I$213)</f>
        <v/>
      </c>
      <c r="G215" s="153" t="str">
        <f t="shared" ca="1" si="49"/>
        <v/>
      </c>
      <c r="H215" s="153" t="str">
        <f ca="1">IF($A215="","",MAX($G$7:G215))</f>
        <v/>
      </c>
      <c r="I215" s="154" t="str">
        <f t="shared" ca="1" si="50"/>
        <v/>
      </c>
      <c r="J215" s="59" t="str">
        <f t="shared" ca="1" si="51"/>
        <v/>
      </c>
      <c r="K215" s="3"/>
      <c r="L215" t="str">
        <f t="shared" ca="1" si="39"/>
        <v/>
      </c>
      <c r="M215" s="132" t="str">
        <f t="shared" ca="1" si="40"/>
        <v/>
      </c>
      <c r="N215" s="132" t="str">
        <f t="shared" ca="1" si="41"/>
        <v/>
      </c>
      <c r="P215" t="str">
        <f t="shared" ca="1" si="42"/>
        <v/>
      </c>
      <c r="Q215" s="133" t="str">
        <f t="shared" ca="1" si="43"/>
        <v/>
      </c>
      <c r="R215" s="133" t="str">
        <f t="shared" ca="1" si="44"/>
        <v/>
      </c>
      <c r="T215" t="str">
        <f t="shared" ca="1" si="45"/>
        <v/>
      </c>
      <c r="U215" s="134" t="str">
        <f t="shared" ca="1" si="46"/>
        <v/>
      </c>
    </row>
    <row r="216" spans="1:21" x14ac:dyDescent="0.3">
      <c r="A216" s="151" t="str">
        <f ca="1">Returns!$A$214</f>
        <v/>
      </c>
      <c r="B216" s="152" t="str">
        <f ca="1">IF($A216="","",Returns!$J$214)</f>
        <v/>
      </c>
      <c r="C216" s="153" t="str">
        <f t="shared" ca="1" si="47"/>
        <v/>
      </c>
      <c r="D216" s="153" t="str">
        <f ca="1">IF($A216="","",MAX($C$7:C216))</f>
        <v/>
      </c>
      <c r="E216" s="154" t="str">
        <f t="shared" ca="1" si="48"/>
        <v/>
      </c>
      <c r="F216" s="152" t="str">
        <f ca="1">IF($A216="","",Returns!$I$214)</f>
        <v/>
      </c>
      <c r="G216" s="153" t="str">
        <f t="shared" ca="1" si="49"/>
        <v/>
      </c>
      <c r="H216" s="153" t="str">
        <f ca="1">IF($A216="","",MAX($G$7:G216))</f>
        <v/>
      </c>
      <c r="I216" s="154" t="str">
        <f t="shared" ca="1" si="50"/>
        <v/>
      </c>
      <c r="J216" s="59" t="str">
        <f t="shared" ca="1" si="51"/>
        <v/>
      </c>
      <c r="K216" s="3"/>
      <c r="L216" t="str">
        <f t="shared" ca="1" si="39"/>
        <v/>
      </c>
      <c r="M216" s="132" t="str">
        <f t="shared" ca="1" si="40"/>
        <v/>
      </c>
      <c r="N216" s="132" t="str">
        <f t="shared" ca="1" si="41"/>
        <v/>
      </c>
      <c r="P216" t="str">
        <f t="shared" ca="1" si="42"/>
        <v/>
      </c>
      <c r="Q216" s="133" t="str">
        <f t="shared" ca="1" si="43"/>
        <v/>
      </c>
      <c r="R216" s="133" t="str">
        <f t="shared" ca="1" si="44"/>
        <v/>
      </c>
      <c r="T216" t="str">
        <f t="shared" ca="1" si="45"/>
        <v/>
      </c>
      <c r="U216" s="134" t="str">
        <f t="shared" ca="1" si="46"/>
        <v/>
      </c>
    </row>
    <row r="217" spans="1:21" x14ac:dyDescent="0.3">
      <c r="A217" s="151" t="str">
        <f ca="1">Returns!$A$215</f>
        <v/>
      </c>
      <c r="B217" s="152" t="str">
        <f ca="1">IF($A217="","",Returns!$J$215)</f>
        <v/>
      </c>
      <c r="C217" s="153" t="str">
        <f t="shared" ca="1" si="47"/>
        <v/>
      </c>
      <c r="D217" s="153" t="str">
        <f ca="1">IF($A217="","",MAX($C$7:C217))</f>
        <v/>
      </c>
      <c r="E217" s="154" t="str">
        <f t="shared" ca="1" si="48"/>
        <v/>
      </c>
      <c r="F217" s="152" t="str">
        <f ca="1">IF($A217="","",Returns!$I$215)</f>
        <v/>
      </c>
      <c r="G217" s="153" t="str">
        <f t="shared" ca="1" si="49"/>
        <v/>
      </c>
      <c r="H217" s="153" t="str">
        <f ca="1">IF($A217="","",MAX($G$7:G217))</f>
        <v/>
      </c>
      <c r="I217" s="154" t="str">
        <f t="shared" ca="1" si="50"/>
        <v/>
      </c>
      <c r="J217" s="59" t="str">
        <f t="shared" ca="1" si="51"/>
        <v/>
      </c>
      <c r="K217" s="3"/>
      <c r="L217" t="str">
        <f t="shared" ca="1" si="39"/>
        <v/>
      </c>
      <c r="M217" s="132" t="str">
        <f t="shared" ca="1" si="40"/>
        <v/>
      </c>
      <c r="N217" s="132" t="str">
        <f t="shared" ca="1" si="41"/>
        <v/>
      </c>
      <c r="P217" t="str">
        <f t="shared" ca="1" si="42"/>
        <v/>
      </c>
      <c r="Q217" s="133" t="str">
        <f t="shared" ca="1" si="43"/>
        <v/>
      </c>
      <c r="R217" s="133" t="str">
        <f t="shared" ca="1" si="44"/>
        <v/>
      </c>
      <c r="T217" t="str">
        <f t="shared" ca="1" si="45"/>
        <v/>
      </c>
      <c r="U217" s="134" t="str">
        <f t="shared" ca="1" si="46"/>
        <v/>
      </c>
    </row>
    <row r="218" spans="1:21" x14ac:dyDescent="0.3">
      <c r="A218" s="151" t="str">
        <f ca="1">Returns!$A$216</f>
        <v/>
      </c>
      <c r="B218" s="152" t="str">
        <f ca="1">IF($A218="","",Returns!$J$216)</f>
        <v/>
      </c>
      <c r="C218" s="153" t="str">
        <f t="shared" ca="1" si="47"/>
        <v/>
      </c>
      <c r="D218" s="153" t="str">
        <f ca="1">IF($A218="","",MAX($C$7:C218))</f>
        <v/>
      </c>
      <c r="E218" s="154" t="str">
        <f t="shared" ca="1" si="48"/>
        <v/>
      </c>
      <c r="F218" s="152" t="str">
        <f ca="1">IF($A218="","",Returns!$I$216)</f>
        <v/>
      </c>
      <c r="G218" s="153" t="str">
        <f t="shared" ca="1" si="49"/>
        <v/>
      </c>
      <c r="H218" s="153" t="str">
        <f ca="1">IF($A218="","",MAX($G$7:G218))</f>
        <v/>
      </c>
      <c r="I218" s="154" t="str">
        <f t="shared" ca="1" si="50"/>
        <v/>
      </c>
      <c r="J218" s="59" t="str">
        <f t="shared" ca="1" si="51"/>
        <v/>
      </c>
      <c r="K218" s="3"/>
      <c r="L218" t="str">
        <f t="shared" ca="1" si="39"/>
        <v/>
      </c>
      <c r="M218" s="132" t="str">
        <f t="shared" ca="1" si="40"/>
        <v/>
      </c>
      <c r="N218" s="132" t="str">
        <f t="shared" ca="1" si="41"/>
        <v/>
      </c>
      <c r="P218" t="str">
        <f t="shared" ca="1" si="42"/>
        <v/>
      </c>
      <c r="Q218" s="133" t="str">
        <f t="shared" ca="1" si="43"/>
        <v/>
      </c>
      <c r="R218" s="133" t="str">
        <f t="shared" ca="1" si="44"/>
        <v/>
      </c>
      <c r="T218" t="str">
        <f t="shared" ca="1" si="45"/>
        <v/>
      </c>
      <c r="U218" s="134" t="str">
        <f t="shared" ca="1" si="46"/>
        <v/>
      </c>
    </row>
    <row r="219" spans="1:21" x14ac:dyDescent="0.3">
      <c r="A219" s="151" t="str">
        <f ca="1">Returns!$A$217</f>
        <v/>
      </c>
      <c r="B219" s="152" t="str">
        <f ca="1">IF($A219="","",Returns!$J$217)</f>
        <v/>
      </c>
      <c r="C219" s="153" t="str">
        <f t="shared" ca="1" si="47"/>
        <v/>
      </c>
      <c r="D219" s="153" t="str">
        <f ca="1">IF($A219="","",MAX($C$7:C219))</f>
        <v/>
      </c>
      <c r="E219" s="154" t="str">
        <f t="shared" ca="1" si="48"/>
        <v/>
      </c>
      <c r="F219" s="152" t="str">
        <f ca="1">IF($A219="","",Returns!$I$217)</f>
        <v/>
      </c>
      <c r="G219" s="153" t="str">
        <f t="shared" ca="1" si="49"/>
        <v/>
      </c>
      <c r="H219" s="153" t="str">
        <f ca="1">IF($A219="","",MAX($G$7:G219))</f>
        <v/>
      </c>
      <c r="I219" s="154" t="str">
        <f t="shared" ca="1" si="50"/>
        <v/>
      </c>
      <c r="J219" s="59" t="str">
        <f t="shared" ca="1" si="51"/>
        <v/>
      </c>
      <c r="K219" s="3"/>
      <c r="L219" t="str">
        <f t="shared" ca="1" si="39"/>
        <v/>
      </c>
      <c r="M219" s="132" t="str">
        <f t="shared" ca="1" si="40"/>
        <v/>
      </c>
      <c r="N219" s="132" t="str">
        <f t="shared" ca="1" si="41"/>
        <v/>
      </c>
      <c r="P219" t="str">
        <f t="shared" ca="1" si="42"/>
        <v/>
      </c>
      <c r="Q219" s="133" t="str">
        <f t="shared" ca="1" si="43"/>
        <v/>
      </c>
      <c r="R219" s="133" t="str">
        <f t="shared" ca="1" si="44"/>
        <v/>
      </c>
      <c r="T219" t="str">
        <f t="shared" ca="1" si="45"/>
        <v/>
      </c>
      <c r="U219" s="134" t="str">
        <f t="shared" ca="1" si="46"/>
        <v/>
      </c>
    </row>
    <row r="220" spans="1:21" x14ac:dyDescent="0.3">
      <c r="A220" s="151" t="str">
        <f ca="1">Returns!$A$218</f>
        <v/>
      </c>
      <c r="B220" s="152" t="str">
        <f ca="1">IF($A220="","",Returns!$J$218)</f>
        <v/>
      </c>
      <c r="C220" s="153" t="str">
        <f t="shared" ca="1" si="47"/>
        <v/>
      </c>
      <c r="D220" s="153" t="str">
        <f ca="1">IF($A220="","",MAX($C$7:C220))</f>
        <v/>
      </c>
      <c r="E220" s="154" t="str">
        <f t="shared" ca="1" si="48"/>
        <v/>
      </c>
      <c r="F220" s="152" t="str">
        <f ca="1">IF($A220="","",Returns!$I$218)</f>
        <v/>
      </c>
      <c r="G220" s="153" t="str">
        <f t="shared" ca="1" si="49"/>
        <v/>
      </c>
      <c r="H220" s="153" t="str">
        <f ca="1">IF($A220="","",MAX($G$7:G220))</f>
        <v/>
      </c>
      <c r="I220" s="154" t="str">
        <f t="shared" ca="1" si="50"/>
        <v/>
      </c>
      <c r="J220" s="59" t="str">
        <f t="shared" ca="1" si="51"/>
        <v/>
      </c>
      <c r="K220" s="3"/>
      <c r="L220" t="str">
        <f t="shared" ca="1" si="39"/>
        <v/>
      </c>
      <c r="M220" s="132" t="str">
        <f t="shared" ca="1" si="40"/>
        <v/>
      </c>
      <c r="N220" s="132" t="str">
        <f t="shared" ca="1" si="41"/>
        <v/>
      </c>
      <c r="P220" t="str">
        <f t="shared" ca="1" si="42"/>
        <v/>
      </c>
      <c r="Q220" s="133" t="str">
        <f t="shared" ca="1" si="43"/>
        <v/>
      </c>
      <c r="R220" s="133" t="str">
        <f t="shared" ca="1" si="44"/>
        <v/>
      </c>
      <c r="T220" t="str">
        <f t="shared" ca="1" si="45"/>
        <v/>
      </c>
      <c r="U220" s="134" t="str">
        <f t="shared" ca="1" si="46"/>
        <v/>
      </c>
    </row>
    <row r="221" spans="1:21" x14ac:dyDescent="0.3">
      <c r="A221" s="151" t="str">
        <f ca="1">Returns!$A$219</f>
        <v/>
      </c>
      <c r="B221" s="152" t="str">
        <f ca="1">IF($A221="","",Returns!$J$219)</f>
        <v/>
      </c>
      <c r="C221" s="153" t="str">
        <f t="shared" ca="1" si="47"/>
        <v/>
      </c>
      <c r="D221" s="153" t="str">
        <f ca="1">IF($A221="","",MAX($C$7:C221))</f>
        <v/>
      </c>
      <c r="E221" s="154" t="str">
        <f t="shared" ca="1" si="48"/>
        <v/>
      </c>
      <c r="F221" s="152" t="str">
        <f ca="1">IF($A221="","",Returns!$I$219)</f>
        <v/>
      </c>
      <c r="G221" s="153" t="str">
        <f t="shared" ca="1" si="49"/>
        <v/>
      </c>
      <c r="H221" s="153" t="str">
        <f ca="1">IF($A221="","",MAX($G$7:G221))</f>
        <v/>
      </c>
      <c r="I221" s="154" t="str">
        <f t="shared" ca="1" si="50"/>
        <v/>
      </c>
      <c r="J221" s="59" t="str">
        <f t="shared" ca="1" si="51"/>
        <v/>
      </c>
      <c r="K221" s="3"/>
      <c r="L221" t="str">
        <f t="shared" ca="1" si="39"/>
        <v/>
      </c>
      <c r="M221" s="132" t="str">
        <f t="shared" ca="1" si="40"/>
        <v/>
      </c>
      <c r="N221" s="132" t="str">
        <f t="shared" ca="1" si="41"/>
        <v/>
      </c>
      <c r="P221" t="str">
        <f t="shared" ca="1" si="42"/>
        <v/>
      </c>
      <c r="Q221" s="133" t="str">
        <f t="shared" ca="1" si="43"/>
        <v/>
      </c>
      <c r="R221" s="133" t="str">
        <f t="shared" ca="1" si="44"/>
        <v/>
      </c>
      <c r="T221" t="str">
        <f t="shared" ca="1" si="45"/>
        <v/>
      </c>
      <c r="U221" s="134" t="str">
        <f t="shared" ca="1" si="46"/>
        <v/>
      </c>
    </row>
    <row r="222" spans="1:21" x14ac:dyDescent="0.3">
      <c r="A222" s="151" t="str">
        <f ca="1">Returns!$A$220</f>
        <v/>
      </c>
      <c r="B222" s="152" t="str">
        <f ca="1">IF($A222="","",Returns!$J$220)</f>
        <v/>
      </c>
      <c r="C222" s="153" t="str">
        <f t="shared" ca="1" si="47"/>
        <v/>
      </c>
      <c r="D222" s="153" t="str">
        <f ca="1">IF($A222="","",MAX($C$7:C222))</f>
        <v/>
      </c>
      <c r="E222" s="154" t="str">
        <f t="shared" ca="1" si="48"/>
        <v/>
      </c>
      <c r="F222" s="152" t="str">
        <f ca="1">IF($A222="","",Returns!$I$220)</f>
        <v/>
      </c>
      <c r="G222" s="153" t="str">
        <f t="shared" ca="1" si="49"/>
        <v/>
      </c>
      <c r="H222" s="153" t="str">
        <f ca="1">IF($A222="","",MAX($G$7:G222))</f>
        <v/>
      </c>
      <c r="I222" s="154" t="str">
        <f t="shared" ca="1" si="50"/>
        <v/>
      </c>
      <c r="J222" s="59" t="str">
        <f t="shared" ca="1" si="51"/>
        <v/>
      </c>
      <c r="K222" s="3"/>
      <c r="L222" t="str">
        <f t="shared" ca="1" si="39"/>
        <v/>
      </c>
      <c r="M222" s="132" t="str">
        <f t="shared" ca="1" si="40"/>
        <v/>
      </c>
      <c r="N222" s="132" t="str">
        <f t="shared" ca="1" si="41"/>
        <v/>
      </c>
      <c r="P222" t="str">
        <f t="shared" ca="1" si="42"/>
        <v/>
      </c>
      <c r="Q222" s="133" t="str">
        <f t="shared" ca="1" si="43"/>
        <v/>
      </c>
      <c r="R222" s="133" t="str">
        <f t="shared" ca="1" si="44"/>
        <v/>
      </c>
      <c r="T222" t="str">
        <f t="shared" ca="1" si="45"/>
        <v/>
      </c>
      <c r="U222" s="134" t="str">
        <f t="shared" ca="1" si="46"/>
        <v/>
      </c>
    </row>
    <row r="223" spans="1:21" x14ac:dyDescent="0.3">
      <c r="A223" s="151" t="str">
        <f ca="1">Returns!$A$221</f>
        <v/>
      </c>
      <c r="B223" s="152" t="str">
        <f ca="1">IF($A223="","",Returns!$J$221)</f>
        <v/>
      </c>
      <c r="C223" s="153" t="str">
        <f t="shared" ca="1" si="47"/>
        <v/>
      </c>
      <c r="D223" s="153" t="str">
        <f ca="1">IF($A223="","",MAX($C$7:C223))</f>
        <v/>
      </c>
      <c r="E223" s="154" t="str">
        <f t="shared" ca="1" si="48"/>
        <v/>
      </c>
      <c r="F223" s="152" t="str">
        <f ca="1">IF($A223="","",Returns!$I$221)</f>
        <v/>
      </c>
      <c r="G223" s="153" t="str">
        <f t="shared" ca="1" si="49"/>
        <v/>
      </c>
      <c r="H223" s="153" t="str">
        <f ca="1">IF($A223="","",MAX($G$7:G223))</f>
        <v/>
      </c>
      <c r="I223" s="154" t="str">
        <f t="shared" ca="1" si="50"/>
        <v/>
      </c>
      <c r="J223" s="59" t="str">
        <f t="shared" ca="1" si="51"/>
        <v/>
      </c>
      <c r="K223" s="3"/>
      <c r="L223" t="str">
        <f t="shared" ca="1" si="39"/>
        <v/>
      </c>
      <c r="M223" s="132" t="str">
        <f t="shared" ca="1" si="40"/>
        <v/>
      </c>
      <c r="N223" s="132" t="str">
        <f t="shared" ca="1" si="41"/>
        <v/>
      </c>
      <c r="P223" t="str">
        <f t="shared" ca="1" si="42"/>
        <v/>
      </c>
      <c r="Q223" s="133" t="str">
        <f t="shared" ca="1" si="43"/>
        <v/>
      </c>
      <c r="R223" s="133" t="str">
        <f t="shared" ca="1" si="44"/>
        <v/>
      </c>
      <c r="T223" t="str">
        <f t="shared" ca="1" si="45"/>
        <v/>
      </c>
      <c r="U223" s="134" t="str">
        <f t="shared" ca="1" si="46"/>
        <v/>
      </c>
    </row>
    <row r="224" spans="1:21" x14ac:dyDescent="0.3">
      <c r="A224" s="151" t="str">
        <f ca="1">Returns!$A$222</f>
        <v/>
      </c>
      <c r="B224" s="152" t="str">
        <f ca="1">IF($A224="","",Returns!$J$222)</f>
        <v/>
      </c>
      <c r="C224" s="153" t="str">
        <f t="shared" ca="1" si="47"/>
        <v/>
      </c>
      <c r="D224" s="153" t="str">
        <f ca="1">IF($A224="","",MAX($C$7:C224))</f>
        <v/>
      </c>
      <c r="E224" s="154" t="str">
        <f t="shared" ca="1" si="48"/>
        <v/>
      </c>
      <c r="F224" s="152" t="str">
        <f ca="1">IF($A224="","",Returns!$I$222)</f>
        <v/>
      </c>
      <c r="G224" s="153" t="str">
        <f t="shared" ca="1" si="49"/>
        <v/>
      </c>
      <c r="H224" s="153" t="str">
        <f ca="1">IF($A224="","",MAX($G$7:G224))</f>
        <v/>
      </c>
      <c r="I224" s="154" t="str">
        <f t="shared" ca="1" si="50"/>
        <v/>
      </c>
      <c r="J224" s="59" t="str">
        <f t="shared" ca="1" si="51"/>
        <v/>
      </c>
      <c r="K224" s="3"/>
      <c r="L224" t="str">
        <f t="shared" ca="1" si="39"/>
        <v/>
      </c>
      <c r="M224" s="132" t="str">
        <f t="shared" ca="1" si="40"/>
        <v/>
      </c>
      <c r="N224" s="132" t="str">
        <f t="shared" ca="1" si="41"/>
        <v/>
      </c>
      <c r="P224" t="str">
        <f t="shared" ca="1" si="42"/>
        <v/>
      </c>
      <c r="Q224" s="133" t="str">
        <f t="shared" ca="1" si="43"/>
        <v/>
      </c>
      <c r="R224" s="133" t="str">
        <f t="shared" ca="1" si="44"/>
        <v/>
      </c>
      <c r="T224" t="str">
        <f t="shared" ca="1" si="45"/>
        <v/>
      </c>
      <c r="U224" s="134" t="str">
        <f t="shared" ca="1" si="46"/>
        <v/>
      </c>
    </row>
    <row r="225" spans="1:21" x14ac:dyDescent="0.3">
      <c r="A225" s="151" t="str">
        <f ca="1">Returns!$A$223</f>
        <v/>
      </c>
      <c r="B225" s="152" t="str">
        <f ca="1">IF($A225="","",Returns!$J$223)</f>
        <v/>
      </c>
      <c r="C225" s="153" t="str">
        <f t="shared" ca="1" si="47"/>
        <v/>
      </c>
      <c r="D225" s="153" t="str">
        <f ca="1">IF($A225="","",MAX($C$7:C225))</f>
        <v/>
      </c>
      <c r="E225" s="154" t="str">
        <f t="shared" ca="1" si="48"/>
        <v/>
      </c>
      <c r="F225" s="152" t="str">
        <f ca="1">IF($A225="","",Returns!$I$223)</f>
        <v/>
      </c>
      <c r="G225" s="153" t="str">
        <f t="shared" ca="1" si="49"/>
        <v/>
      </c>
      <c r="H225" s="153" t="str">
        <f ca="1">IF($A225="","",MAX($G$7:G225))</f>
        <v/>
      </c>
      <c r="I225" s="154" t="str">
        <f t="shared" ca="1" si="50"/>
        <v/>
      </c>
      <c r="J225" s="59" t="str">
        <f t="shared" ca="1" si="51"/>
        <v/>
      </c>
      <c r="K225" s="3"/>
      <c r="L225" t="str">
        <f t="shared" ca="1" si="39"/>
        <v/>
      </c>
      <c r="M225" s="132" t="str">
        <f t="shared" ca="1" si="40"/>
        <v/>
      </c>
      <c r="N225" s="132" t="str">
        <f t="shared" ca="1" si="41"/>
        <v/>
      </c>
      <c r="P225" t="str">
        <f t="shared" ca="1" si="42"/>
        <v/>
      </c>
      <c r="Q225" s="133" t="str">
        <f t="shared" ca="1" si="43"/>
        <v/>
      </c>
      <c r="R225" s="133" t="str">
        <f t="shared" ca="1" si="44"/>
        <v/>
      </c>
      <c r="T225" t="str">
        <f t="shared" ca="1" si="45"/>
        <v/>
      </c>
      <c r="U225" s="134" t="str">
        <f t="shared" ca="1" si="46"/>
        <v/>
      </c>
    </row>
    <row r="226" spans="1:21" x14ac:dyDescent="0.3">
      <c r="A226" s="151" t="str">
        <f ca="1">Returns!$A$224</f>
        <v/>
      </c>
      <c r="B226" s="152" t="str">
        <f ca="1">IF($A226="","",Returns!$J$224)</f>
        <v/>
      </c>
      <c r="C226" s="153" t="str">
        <f t="shared" ca="1" si="47"/>
        <v/>
      </c>
      <c r="D226" s="153" t="str">
        <f ca="1">IF($A226="","",MAX($C$7:C226))</f>
        <v/>
      </c>
      <c r="E226" s="154" t="str">
        <f t="shared" ca="1" si="48"/>
        <v/>
      </c>
      <c r="F226" s="152" t="str">
        <f ca="1">IF($A226="","",Returns!$I$224)</f>
        <v/>
      </c>
      <c r="G226" s="153" t="str">
        <f t="shared" ca="1" si="49"/>
        <v/>
      </c>
      <c r="H226" s="153" t="str">
        <f ca="1">IF($A226="","",MAX($G$7:G226))</f>
        <v/>
      </c>
      <c r="I226" s="154" t="str">
        <f t="shared" ca="1" si="50"/>
        <v/>
      </c>
      <c r="J226" s="59" t="str">
        <f t="shared" ca="1" si="51"/>
        <v/>
      </c>
      <c r="K226" s="3"/>
      <c r="L226" t="str">
        <f t="shared" ca="1" si="39"/>
        <v/>
      </c>
      <c r="M226" s="132" t="str">
        <f t="shared" ca="1" si="40"/>
        <v/>
      </c>
      <c r="N226" s="132" t="str">
        <f t="shared" ca="1" si="41"/>
        <v/>
      </c>
      <c r="P226" t="str">
        <f t="shared" ca="1" si="42"/>
        <v/>
      </c>
      <c r="Q226" s="133" t="str">
        <f t="shared" ca="1" si="43"/>
        <v/>
      </c>
      <c r="R226" s="133" t="str">
        <f t="shared" ca="1" si="44"/>
        <v/>
      </c>
      <c r="T226" t="str">
        <f t="shared" ca="1" si="45"/>
        <v/>
      </c>
      <c r="U226" s="134" t="str">
        <f t="shared" ca="1" si="46"/>
        <v/>
      </c>
    </row>
    <row r="227" spans="1:21" x14ac:dyDescent="0.3">
      <c r="A227" s="151" t="str">
        <f ca="1">Returns!$A$225</f>
        <v/>
      </c>
      <c r="B227" s="152" t="str">
        <f ca="1">IF($A227="","",Returns!$J$225)</f>
        <v/>
      </c>
      <c r="C227" s="153" t="str">
        <f t="shared" ca="1" si="47"/>
        <v/>
      </c>
      <c r="D227" s="153" t="str">
        <f ca="1">IF($A227="","",MAX($C$7:C227))</f>
        <v/>
      </c>
      <c r="E227" s="154" t="str">
        <f t="shared" ca="1" si="48"/>
        <v/>
      </c>
      <c r="F227" s="152" t="str">
        <f ca="1">IF($A227="","",Returns!$I$225)</f>
        <v/>
      </c>
      <c r="G227" s="153" t="str">
        <f t="shared" ca="1" si="49"/>
        <v/>
      </c>
      <c r="H227" s="153" t="str">
        <f ca="1">IF($A227="","",MAX($G$7:G227))</f>
        <v/>
      </c>
      <c r="I227" s="154" t="str">
        <f t="shared" ca="1" si="50"/>
        <v/>
      </c>
      <c r="J227" s="59" t="str">
        <f t="shared" ca="1" si="51"/>
        <v/>
      </c>
      <c r="K227" s="3"/>
      <c r="L227" t="str">
        <f t="shared" ca="1" si="39"/>
        <v/>
      </c>
      <c r="M227" s="132" t="str">
        <f t="shared" ca="1" si="40"/>
        <v/>
      </c>
      <c r="N227" s="132" t="str">
        <f t="shared" ca="1" si="41"/>
        <v/>
      </c>
      <c r="P227" t="str">
        <f t="shared" ca="1" si="42"/>
        <v/>
      </c>
      <c r="Q227" s="133" t="str">
        <f t="shared" ca="1" si="43"/>
        <v/>
      </c>
      <c r="R227" s="133" t="str">
        <f t="shared" ca="1" si="44"/>
        <v/>
      </c>
      <c r="T227" t="str">
        <f t="shared" ca="1" si="45"/>
        <v/>
      </c>
      <c r="U227" s="134" t="str">
        <f t="shared" ca="1" si="46"/>
        <v/>
      </c>
    </row>
    <row r="228" spans="1:21" x14ac:dyDescent="0.3">
      <c r="A228" s="151" t="str">
        <f ca="1">Returns!$A$226</f>
        <v/>
      </c>
      <c r="B228" s="152" t="str">
        <f ca="1">IF($A228="","",Returns!$J$226)</f>
        <v/>
      </c>
      <c r="C228" s="153" t="str">
        <f t="shared" ca="1" si="47"/>
        <v/>
      </c>
      <c r="D228" s="153" t="str">
        <f ca="1">IF($A228="","",MAX($C$7:C228))</f>
        <v/>
      </c>
      <c r="E228" s="154" t="str">
        <f t="shared" ca="1" si="48"/>
        <v/>
      </c>
      <c r="F228" s="152" t="str">
        <f ca="1">IF($A228="","",Returns!$I$226)</f>
        <v/>
      </c>
      <c r="G228" s="153" t="str">
        <f t="shared" ca="1" si="49"/>
        <v/>
      </c>
      <c r="H228" s="153" t="str">
        <f ca="1">IF($A228="","",MAX($G$7:G228))</f>
        <v/>
      </c>
      <c r="I228" s="154" t="str">
        <f t="shared" ca="1" si="50"/>
        <v/>
      </c>
      <c r="J228" s="59" t="str">
        <f t="shared" ca="1" si="51"/>
        <v/>
      </c>
      <c r="K228" s="3"/>
      <c r="L228" t="str">
        <f t="shared" ca="1" si="39"/>
        <v/>
      </c>
      <c r="M228" s="132" t="str">
        <f t="shared" ca="1" si="40"/>
        <v/>
      </c>
      <c r="N228" s="132" t="str">
        <f t="shared" ca="1" si="41"/>
        <v/>
      </c>
      <c r="P228" t="str">
        <f t="shared" ca="1" si="42"/>
        <v/>
      </c>
      <c r="Q228" s="133" t="str">
        <f t="shared" ca="1" si="43"/>
        <v/>
      </c>
      <c r="R228" s="133" t="str">
        <f t="shared" ca="1" si="44"/>
        <v/>
      </c>
      <c r="T228" t="str">
        <f t="shared" ca="1" si="45"/>
        <v/>
      </c>
      <c r="U228" s="134" t="str">
        <f t="shared" ca="1" si="46"/>
        <v/>
      </c>
    </row>
    <row r="229" spans="1:21" x14ac:dyDescent="0.3">
      <c r="A229" s="151" t="str">
        <f ca="1">Returns!$A$227</f>
        <v/>
      </c>
      <c r="B229" s="152" t="str">
        <f ca="1">IF($A229="","",Returns!$J$227)</f>
        <v/>
      </c>
      <c r="C229" s="153" t="str">
        <f t="shared" ca="1" si="47"/>
        <v/>
      </c>
      <c r="D229" s="153" t="str">
        <f ca="1">IF($A229="","",MAX($C$7:C229))</f>
        <v/>
      </c>
      <c r="E229" s="154" t="str">
        <f t="shared" ca="1" si="48"/>
        <v/>
      </c>
      <c r="F229" s="152" t="str">
        <f ca="1">IF($A229="","",Returns!$I$227)</f>
        <v/>
      </c>
      <c r="G229" s="153" t="str">
        <f t="shared" ca="1" si="49"/>
        <v/>
      </c>
      <c r="H229" s="153" t="str">
        <f ca="1">IF($A229="","",MAX($G$7:G229))</f>
        <v/>
      </c>
      <c r="I229" s="154" t="str">
        <f t="shared" ca="1" si="50"/>
        <v/>
      </c>
      <c r="J229" s="59" t="str">
        <f t="shared" ca="1" si="51"/>
        <v/>
      </c>
      <c r="K229" s="3"/>
      <c r="L229" t="str">
        <f t="shared" ca="1" si="39"/>
        <v/>
      </c>
      <c r="M229" s="132" t="str">
        <f t="shared" ca="1" si="40"/>
        <v/>
      </c>
      <c r="N229" s="132" t="str">
        <f t="shared" ca="1" si="41"/>
        <v/>
      </c>
      <c r="P229" t="str">
        <f t="shared" ca="1" si="42"/>
        <v/>
      </c>
      <c r="Q229" s="133" t="str">
        <f t="shared" ca="1" si="43"/>
        <v/>
      </c>
      <c r="R229" s="133" t="str">
        <f t="shared" ca="1" si="44"/>
        <v/>
      </c>
      <c r="T229" t="str">
        <f t="shared" ca="1" si="45"/>
        <v/>
      </c>
      <c r="U229" s="134" t="str">
        <f t="shared" ca="1" si="46"/>
        <v/>
      </c>
    </row>
    <row r="230" spans="1:21" x14ac:dyDescent="0.3">
      <c r="A230" s="151" t="str">
        <f ca="1">Returns!$A$228</f>
        <v/>
      </c>
      <c r="B230" s="152" t="str">
        <f ca="1">IF($A230="","",Returns!$J$228)</f>
        <v/>
      </c>
      <c r="C230" s="153" t="str">
        <f t="shared" ca="1" si="47"/>
        <v/>
      </c>
      <c r="D230" s="153" t="str">
        <f ca="1">IF($A230="","",MAX($C$7:C230))</f>
        <v/>
      </c>
      <c r="E230" s="154" t="str">
        <f t="shared" ca="1" si="48"/>
        <v/>
      </c>
      <c r="F230" s="152" t="str">
        <f ca="1">IF($A230="","",Returns!$I$228)</f>
        <v/>
      </c>
      <c r="G230" s="153" t="str">
        <f t="shared" ca="1" si="49"/>
        <v/>
      </c>
      <c r="H230" s="153" t="str">
        <f ca="1">IF($A230="","",MAX($G$7:G230))</f>
        <v/>
      </c>
      <c r="I230" s="154" t="str">
        <f t="shared" ca="1" si="50"/>
        <v/>
      </c>
      <c r="J230" s="59" t="str">
        <f t="shared" ca="1" si="51"/>
        <v/>
      </c>
      <c r="K230" s="3"/>
      <c r="L230" t="str">
        <f t="shared" ca="1" si="39"/>
        <v/>
      </c>
      <c r="M230" s="132" t="str">
        <f t="shared" ca="1" si="40"/>
        <v/>
      </c>
      <c r="N230" s="132" t="str">
        <f t="shared" ca="1" si="41"/>
        <v/>
      </c>
      <c r="P230" t="str">
        <f t="shared" ca="1" si="42"/>
        <v/>
      </c>
      <c r="Q230" s="133" t="str">
        <f t="shared" ca="1" si="43"/>
        <v/>
      </c>
      <c r="R230" s="133" t="str">
        <f t="shared" ca="1" si="44"/>
        <v/>
      </c>
      <c r="T230" t="str">
        <f t="shared" ca="1" si="45"/>
        <v/>
      </c>
      <c r="U230" s="134" t="str">
        <f t="shared" ca="1" si="46"/>
        <v/>
      </c>
    </row>
    <row r="231" spans="1:21" x14ac:dyDescent="0.3">
      <c r="A231" s="151" t="str">
        <f ca="1">Returns!$A$229</f>
        <v/>
      </c>
      <c r="B231" s="152" t="str">
        <f ca="1">IF($A231="","",Returns!$J$229)</f>
        <v/>
      </c>
      <c r="C231" s="153" t="str">
        <f t="shared" ca="1" si="47"/>
        <v/>
      </c>
      <c r="D231" s="153" t="str">
        <f ca="1">IF($A231="","",MAX($C$7:C231))</f>
        <v/>
      </c>
      <c r="E231" s="154" t="str">
        <f t="shared" ca="1" si="48"/>
        <v/>
      </c>
      <c r="F231" s="152" t="str">
        <f ca="1">IF($A231="","",Returns!$I$229)</f>
        <v/>
      </c>
      <c r="G231" s="153" t="str">
        <f t="shared" ca="1" si="49"/>
        <v/>
      </c>
      <c r="H231" s="153" t="str">
        <f ca="1">IF($A231="","",MAX($G$7:G231))</f>
        <v/>
      </c>
      <c r="I231" s="154" t="str">
        <f t="shared" ca="1" si="50"/>
        <v/>
      </c>
      <c r="J231" s="59" t="str">
        <f t="shared" ca="1" si="51"/>
        <v/>
      </c>
      <c r="K231" s="3"/>
      <c r="L231" t="str">
        <f t="shared" ca="1" si="39"/>
        <v/>
      </c>
      <c r="M231" s="132" t="str">
        <f t="shared" ca="1" si="40"/>
        <v/>
      </c>
      <c r="N231" s="132" t="str">
        <f t="shared" ca="1" si="41"/>
        <v/>
      </c>
      <c r="P231" t="str">
        <f t="shared" ca="1" si="42"/>
        <v/>
      </c>
      <c r="Q231" s="133" t="str">
        <f t="shared" ca="1" si="43"/>
        <v/>
      </c>
      <c r="R231" s="133" t="str">
        <f t="shared" ca="1" si="44"/>
        <v/>
      </c>
      <c r="T231" t="str">
        <f t="shared" ca="1" si="45"/>
        <v/>
      </c>
      <c r="U231" s="134" t="str">
        <f t="shared" ca="1" si="46"/>
        <v/>
      </c>
    </row>
    <row r="232" spans="1:21" x14ac:dyDescent="0.3">
      <c r="A232" s="151" t="str">
        <f ca="1">Returns!$A$230</f>
        <v/>
      </c>
      <c r="B232" s="152" t="str">
        <f ca="1">IF($A232="","",Returns!$J$230)</f>
        <v/>
      </c>
      <c r="C232" s="153" t="str">
        <f t="shared" ca="1" si="47"/>
        <v/>
      </c>
      <c r="D232" s="153" t="str">
        <f ca="1">IF($A232="","",MAX($C$7:C232))</f>
        <v/>
      </c>
      <c r="E232" s="154" t="str">
        <f t="shared" ca="1" si="48"/>
        <v/>
      </c>
      <c r="F232" s="152" t="str">
        <f ca="1">IF($A232="","",Returns!$I$230)</f>
        <v/>
      </c>
      <c r="G232" s="153" t="str">
        <f t="shared" ca="1" si="49"/>
        <v/>
      </c>
      <c r="H232" s="153" t="str">
        <f ca="1">IF($A232="","",MAX($G$7:G232))</f>
        <v/>
      </c>
      <c r="I232" s="154" t="str">
        <f t="shared" ca="1" si="50"/>
        <v/>
      </c>
      <c r="J232" s="59" t="str">
        <f t="shared" ca="1" si="51"/>
        <v/>
      </c>
      <c r="K232" s="3"/>
      <c r="L232" t="str">
        <f t="shared" ca="1" si="39"/>
        <v/>
      </c>
      <c r="M232" s="132" t="str">
        <f t="shared" ca="1" si="40"/>
        <v/>
      </c>
      <c r="N232" s="132" t="str">
        <f t="shared" ca="1" si="41"/>
        <v/>
      </c>
      <c r="P232" t="str">
        <f t="shared" ca="1" si="42"/>
        <v/>
      </c>
      <c r="Q232" s="133" t="str">
        <f t="shared" ca="1" si="43"/>
        <v/>
      </c>
      <c r="R232" s="133" t="str">
        <f t="shared" ca="1" si="44"/>
        <v/>
      </c>
      <c r="T232" t="str">
        <f t="shared" ca="1" si="45"/>
        <v/>
      </c>
      <c r="U232" s="134" t="str">
        <f t="shared" ca="1" si="46"/>
        <v/>
      </c>
    </row>
    <row r="233" spans="1:21" x14ac:dyDescent="0.3">
      <c r="A233" s="151" t="str">
        <f ca="1">Returns!$A$231</f>
        <v/>
      </c>
      <c r="B233" s="152" t="str">
        <f ca="1">IF($A233="","",Returns!$J$231)</f>
        <v/>
      </c>
      <c r="C233" s="153" t="str">
        <f t="shared" ca="1" si="47"/>
        <v/>
      </c>
      <c r="D233" s="153" t="str">
        <f ca="1">IF($A233="","",MAX($C$7:C233))</f>
        <v/>
      </c>
      <c r="E233" s="154" t="str">
        <f t="shared" ca="1" si="48"/>
        <v/>
      </c>
      <c r="F233" s="152" t="str">
        <f ca="1">IF($A233="","",Returns!$I$231)</f>
        <v/>
      </c>
      <c r="G233" s="153" t="str">
        <f t="shared" ca="1" si="49"/>
        <v/>
      </c>
      <c r="H233" s="153" t="str">
        <f ca="1">IF($A233="","",MAX($G$7:G233))</f>
        <v/>
      </c>
      <c r="I233" s="154" t="str">
        <f t="shared" ca="1" si="50"/>
        <v/>
      </c>
      <c r="J233" s="59" t="str">
        <f t="shared" ca="1" si="51"/>
        <v/>
      </c>
      <c r="K233" s="3"/>
      <c r="L233" t="str">
        <f t="shared" ca="1" si="39"/>
        <v/>
      </c>
      <c r="M233" s="132" t="str">
        <f t="shared" ca="1" si="40"/>
        <v/>
      </c>
      <c r="N233" s="132" t="str">
        <f t="shared" ca="1" si="41"/>
        <v/>
      </c>
      <c r="P233" t="str">
        <f t="shared" ca="1" si="42"/>
        <v/>
      </c>
      <c r="Q233" s="133" t="str">
        <f t="shared" ca="1" si="43"/>
        <v/>
      </c>
      <c r="R233" s="133" t="str">
        <f t="shared" ca="1" si="44"/>
        <v/>
      </c>
      <c r="T233" t="str">
        <f t="shared" ca="1" si="45"/>
        <v/>
      </c>
      <c r="U233" s="134" t="str">
        <f t="shared" ca="1" si="46"/>
        <v/>
      </c>
    </row>
    <row r="234" spans="1:21" x14ac:dyDescent="0.3">
      <c r="A234" s="151" t="str">
        <f ca="1">Returns!$A$232</f>
        <v/>
      </c>
      <c r="B234" s="152" t="str">
        <f ca="1">IF($A234="","",Returns!$J$232)</f>
        <v/>
      </c>
      <c r="C234" s="153" t="str">
        <f t="shared" ca="1" si="47"/>
        <v/>
      </c>
      <c r="D234" s="153" t="str">
        <f ca="1">IF($A234="","",MAX($C$7:C234))</f>
        <v/>
      </c>
      <c r="E234" s="154" t="str">
        <f t="shared" ca="1" si="48"/>
        <v/>
      </c>
      <c r="F234" s="152" t="str">
        <f ca="1">IF($A234="","",Returns!$I$232)</f>
        <v/>
      </c>
      <c r="G234" s="153" t="str">
        <f t="shared" ca="1" si="49"/>
        <v/>
      </c>
      <c r="H234" s="153" t="str">
        <f ca="1">IF($A234="","",MAX($G$7:G234))</f>
        <v/>
      </c>
      <c r="I234" s="154" t="str">
        <f t="shared" ca="1" si="50"/>
        <v/>
      </c>
      <c r="J234" s="59" t="str">
        <f t="shared" ca="1" si="51"/>
        <v/>
      </c>
      <c r="K234" s="3"/>
      <c r="L234" t="str">
        <f t="shared" ca="1" si="39"/>
        <v/>
      </c>
      <c r="M234" s="132" t="str">
        <f t="shared" ca="1" si="40"/>
        <v/>
      </c>
      <c r="N234" s="132" t="str">
        <f t="shared" ca="1" si="41"/>
        <v/>
      </c>
      <c r="P234" t="str">
        <f t="shared" ca="1" si="42"/>
        <v/>
      </c>
      <c r="Q234" s="133" t="str">
        <f t="shared" ca="1" si="43"/>
        <v/>
      </c>
      <c r="R234" s="133" t="str">
        <f t="shared" ca="1" si="44"/>
        <v/>
      </c>
      <c r="T234" t="str">
        <f t="shared" ca="1" si="45"/>
        <v/>
      </c>
      <c r="U234" s="134" t="str">
        <f t="shared" ca="1" si="46"/>
        <v/>
      </c>
    </row>
    <row r="235" spans="1:21" x14ac:dyDescent="0.3">
      <c r="A235" s="151" t="str">
        <f ca="1">Returns!$A$233</f>
        <v/>
      </c>
      <c r="B235" s="152" t="str">
        <f ca="1">IF($A235="","",Returns!$J$233)</f>
        <v/>
      </c>
      <c r="C235" s="153" t="str">
        <f t="shared" ca="1" si="47"/>
        <v/>
      </c>
      <c r="D235" s="153" t="str">
        <f ca="1">IF($A235="","",MAX($C$7:C235))</f>
        <v/>
      </c>
      <c r="E235" s="154" t="str">
        <f t="shared" ca="1" si="48"/>
        <v/>
      </c>
      <c r="F235" s="152" t="str">
        <f ca="1">IF($A235="","",Returns!$I$233)</f>
        <v/>
      </c>
      <c r="G235" s="153" t="str">
        <f t="shared" ca="1" si="49"/>
        <v/>
      </c>
      <c r="H235" s="153" t="str">
        <f ca="1">IF($A235="","",MAX($G$7:G235))</f>
        <v/>
      </c>
      <c r="I235" s="154" t="str">
        <f t="shared" ca="1" si="50"/>
        <v/>
      </c>
      <c r="J235" s="59" t="str">
        <f t="shared" ca="1" si="51"/>
        <v/>
      </c>
      <c r="K235" s="3"/>
      <c r="L235" t="str">
        <f t="shared" ca="1" si="39"/>
        <v/>
      </c>
      <c r="M235" s="132" t="str">
        <f t="shared" ca="1" si="40"/>
        <v/>
      </c>
      <c r="N235" s="132" t="str">
        <f t="shared" ca="1" si="41"/>
        <v/>
      </c>
      <c r="P235" t="str">
        <f t="shared" ca="1" si="42"/>
        <v/>
      </c>
      <c r="Q235" s="133" t="str">
        <f t="shared" ca="1" si="43"/>
        <v/>
      </c>
      <c r="R235" s="133" t="str">
        <f t="shared" ca="1" si="44"/>
        <v/>
      </c>
      <c r="T235" t="str">
        <f t="shared" ca="1" si="45"/>
        <v/>
      </c>
      <c r="U235" s="134" t="str">
        <f t="shared" ca="1" si="46"/>
        <v/>
      </c>
    </row>
    <row r="236" spans="1:21" x14ac:dyDescent="0.3">
      <c r="A236" s="151" t="str">
        <f ca="1">Returns!$A$234</f>
        <v/>
      </c>
      <c r="B236" s="152" t="str">
        <f ca="1">IF($A236="","",Returns!$J$234)</f>
        <v/>
      </c>
      <c r="C236" s="153" t="str">
        <f t="shared" ca="1" si="47"/>
        <v/>
      </c>
      <c r="D236" s="153" t="str">
        <f ca="1">IF($A236="","",MAX($C$7:C236))</f>
        <v/>
      </c>
      <c r="E236" s="154" t="str">
        <f t="shared" ca="1" si="48"/>
        <v/>
      </c>
      <c r="F236" s="152" t="str">
        <f ca="1">IF($A236="","",Returns!$I$234)</f>
        <v/>
      </c>
      <c r="G236" s="153" t="str">
        <f t="shared" ca="1" si="49"/>
        <v/>
      </c>
      <c r="H236" s="153" t="str">
        <f ca="1">IF($A236="","",MAX($G$7:G236))</f>
        <v/>
      </c>
      <c r="I236" s="154" t="str">
        <f t="shared" ca="1" si="50"/>
        <v/>
      </c>
      <c r="J236" s="59" t="str">
        <f t="shared" ca="1" si="51"/>
        <v/>
      </c>
      <c r="K236" s="3"/>
      <c r="L236" t="str">
        <f t="shared" ca="1" si="39"/>
        <v/>
      </c>
      <c r="M236" s="132" t="str">
        <f t="shared" ca="1" si="40"/>
        <v/>
      </c>
      <c r="N236" s="132" t="str">
        <f t="shared" ca="1" si="41"/>
        <v/>
      </c>
      <c r="P236" t="str">
        <f t="shared" ca="1" si="42"/>
        <v/>
      </c>
      <c r="Q236" s="133" t="str">
        <f t="shared" ca="1" si="43"/>
        <v/>
      </c>
      <c r="R236" s="133" t="str">
        <f t="shared" ca="1" si="44"/>
        <v/>
      </c>
      <c r="T236" t="str">
        <f t="shared" ca="1" si="45"/>
        <v/>
      </c>
      <c r="U236" s="134" t="str">
        <f t="shared" ca="1" si="46"/>
        <v/>
      </c>
    </row>
    <row r="237" spans="1:21" x14ac:dyDescent="0.3">
      <c r="A237" s="151" t="str">
        <f ca="1">Returns!$A$235</f>
        <v/>
      </c>
      <c r="B237" s="152" t="str">
        <f ca="1">IF($A237="","",Returns!$J$235)</f>
        <v/>
      </c>
      <c r="C237" s="153" t="str">
        <f t="shared" ca="1" si="47"/>
        <v/>
      </c>
      <c r="D237" s="153" t="str">
        <f ca="1">IF($A237="","",MAX($C$7:C237))</f>
        <v/>
      </c>
      <c r="E237" s="154" t="str">
        <f t="shared" ca="1" si="48"/>
        <v/>
      </c>
      <c r="F237" s="152" t="str">
        <f ca="1">IF($A237="","",Returns!$I$235)</f>
        <v/>
      </c>
      <c r="G237" s="153" t="str">
        <f t="shared" ca="1" si="49"/>
        <v/>
      </c>
      <c r="H237" s="153" t="str">
        <f ca="1">IF($A237="","",MAX($G$7:G237))</f>
        <v/>
      </c>
      <c r="I237" s="154" t="str">
        <f t="shared" ca="1" si="50"/>
        <v/>
      </c>
      <c r="J237" s="59" t="str">
        <f t="shared" ca="1" si="51"/>
        <v/>
      </c>
      <c r="K237" s="3"/>
      <c r="L237" t="str">
        <f t="shared" ca="1" si="39"/>
        <v/>
      </c>
      <c r="M237" s="132" t="str">
        <f t="shared" ca="1" si="40"/>
        <v/>
      </c>
      <c r="N237" s="132" t="str">
        <f t="shared" ca="1" si="41"/>
        <v/>
      </c>
      <c r="P237" t="str">
        <f t="shared" ca="1" si="42"/>
        <v/>
      </c>
      <c r="Q237" s="133" t="str">
        <f t="shared" ca="1" si="43"/>
        <v/>
      </c>
      <c r="R237" s="133" t="str">
        <f t="shared" ca="1" si="44"/>
        <v/>
      </c>
      <c r="T237" t="str">
        <f t="shared" ca="1" si="45"/>
        <v/>
      </c>
      <c r="U237" s="134" t="str">
        <f t="shared" ca="1" si="46"/>
        <v/>
      </c>
    </row>
    <row r="238" spans="1:21" x14ac:dyDescent="0.3">
      <c r="A238" s="151" t="str">
        <f ca="1">Returns!$A$236</f>
        <v/>
      </c>
      <c r="B238" s="152" t="str">
        <f ca="1">IF($A238="","",Returns!$J$236)</f>
        <v/>
      </c>
      <c r="C238" s="153" t="str">
        <f t="shared" ca="1" si="47"/>
        <v/>
      </c>
      <c r="D238" s="153" t="str">
        <f ca="1">IF($A238="","",MAX($C$7:C238))</f>
        <v/>
      </c>
      <c r="E238" s="154" t="str">
        <f t="shared" ca="1" si="48"/>
        <v/>
      </c>
      <c r="F238" s="152" t="str">
        <f ca="1">IF($A238="","",Returns!$I$236)</f>
        <v/>
      </c>
      <c r="G238" s="153" t="str">
        <f t="shared" ca="1" si="49"/>
        <v/>
      </c>
      <c r="H238" s="153" t="str">
        <f ca="1">IF($A238="","",MAX($G$7:G238))</f>
        <v/>
      </c>
      <c r="I238" s="154" t="str">
        <f t="shared" ca="1" si="50"/>
        <v/>
      </c>
      <c r="J238" s="59" t="str">
        <f t="shared" ca="1" si="51"/>
        <v/>
      </c>
      <c r="K238" s="3"/>
      <c r="L238" t="str">
        <f t="shared" ca="1" si="39"/>
        <v/>
      </c>
      <c r="M238" s="132" t="str">
        <f t="shared" ca="1" si="40"/>
        <v/>
      </c>
      <c r="N238" s="132" t="str">
        <f t="shared" ca="1" si="41"/>
        <v/>
      </c>
      <c r="P238" t="str">
        <f t="shared" ca="1" si="42"/>
        <v/>
      </c>
      <c r="Q238" s="133" t="str">
        <f t="shared" ca="1" si="43"/>
        <v/>
      </c>
      <c r="R238" s="133" t="str">
        <f t="shared" ca="1" si="44"/>
        <v/>
      </c>
      <c r="T238" t="str">
        <f t="shared" ca="1" si="45"/>
        <v/>
      </c>
      <c r="U238" s="134" t="str">
        <f t="shared" ca="1" si="46"/>
        <v/>
      </c>
    </row>
    <row r="239" spans="1:21" x14ac:dyDescent="0.3">
      <c r="A239" s="151" t="str">
        <f ca="1">Returns!$A$237</f>
        <v/>
      </c>
      <c r="B239" s="152" t="str">
        <f ca="1">IF($A239="","",Returns!$J$237)</f>
        <v/>
      </c>
      <c r="C239" s="153" t="str">
        <f t="shared" ca="1" si="47"/>
        <v/>
      </c>
      <c r="D239" s="153" t="str">
        <f ca="1">IF($A239="","",MAX($C$7:C239))</f>
        <v/>
      </c>
      <c r="E239" s="154" t="str">
        <f t="shared" ca="1" si="48"/>
        <v/>
      </c>
      <c r="F239" s="152" t="str">
        <f ca="1">IF($A239="","",Returns!$I$237)</f>
        <v/>
      </c>
      <c r="G239" s="153" t="str">
        <f t="shared" ca="1" si="49"/>
        <v/>
      </c>
      <c r="H239" s="153" t="str">
        <f ca="1">IF($A239="","",MAX($G$7:G239))</f>
        <v/>
      </c>
      <c r="I239" s="154" t="str">
        <f t="shared" ca="1" si="50"/>
        <v/>
      </c>
      <c r="J239" s="59" t="str">
        <f t="shared" ca="1" si="51"/>
        <v/>
      </c>
      <c r="K239" s="3"/>
      <c r="L239" t="str">
        <f t="shared" ca="1" si="39"/>
        <v/>
      </c>
      <c r="M239" s="132" t="str">
        <f t="shared" ca="1" si="40"/>
        <v/>
      </c>
      <c r="N239" s="132" t="str">
        <f t="shared" ca="1" si="41"/>
        <v/>
      </c>
      <c r="P239" t="str">
        <f t="shared" ca="1" si="42"/>
        <v/>
      </c>
      <c r="Q239" s="133" t="str">
        <f t="shared" ca="1" si="43"/>
        <v/>
      </c>
      <c r="R239" s="133" t="str">
        <f t="shared" ca="1" si="44"/>
        <v/>
      </c>
      <c r="T239" t="str">
        <f t="shared" ca="1" si="45"/>
        <v/>
      </c>
      <c r="U239" s="134" t="str">
        <f t="shared" ca="1" si="46"/>
        <v/>
      </c>
    </row>
    <row r="240" spans="1:21" x14ac:dyDescent="0.3">
      <c r="A240" s="151" t="str">
        <f ca="1">Returns!$A$238</f>
        <v/>
      </c>
      <c r="B240" s="152" t="str">
        <f ca="1">IF($A240="","",Returns!$J$238)</f>
        <v/>
      </c>
      <c r="C240" s="153" t="str">
        <f t="shared" ca="1" si="47"/>
        <v/>
      </c>
      <c r="D240" s="153" t="str">
        <f ca="1">IF($A240="","",MAX($C$7:C240))</f>
        <v/>
      </c>
      <c r="E240" s="154" t="str">
        <f t="shared" ca="1" si="48"/>
        <v/>
      </c>
      <c r="F240" s="152" t="str">
        <f ca="1">IF($A240="","",Returns!$I$238)</f>
        <v/>
      </c>
      <c r="G240" s="153" t="str">
        <f t="shared" ca="1" si="49"/>
        <v/>
      </c>
      <c r="H240" s="153" t="str">
        <f ca="1">IF($A240="","",MAX($G$7:G240))</f>
        <v/>
      </c>
      <c r="I240" s="154" t="str">
        <f t="shared" ca="1" si="50"/>
        <v/>
      </c>
      <c r="J240" s="59" t="str">
        <f t="shared" ca="1" si="51"/>
        <v/>
      </c>
      <c r="K240" s="3"/>
      <c r="L240" t="str">
        <f t="shared" ca="1" si="39"/>
        <v/>
      </c>
      <c r="M240" s="132" t="str">
        <f t="shared" ca="1" si="40"/>
        <v/>
      </c>
      <c r="N240" s="132" t="str">
        <f t="shared" ca="1" si="41"/>
        <v/>
      </c>
      <c r="P240" t="str">
        <f t="shared" ca="1" si="42"/>
        <v/>
      </c>
      <c r="Q240" s="133" t="str">
        <f t="shared" ca="1" si="43"/>
        <v/>
      </c>
      <c r="R240" s="133" t="str">
        <f t="shared" ca="1" si="44"/>
        <v/>
      </c>
      <c r="T240" t="str">
        <f t="shared" ca="1" si="45"/>
        <v/>
      </c>
      <c r="U240" s="134" t="str">
        <f t="shared" ca="1" si="46"/>
        <v/>
      </c>
    </row>
    <row r="241" spans="1:21" x14ac:dyDescent="0.3">
      <c r="A241" s="151" t="str">
        <f ca="1">Returns!$A$239</f>
        <v/>
      </c>
      <c r="B241" s="152" t="str">
        <f ca="1">IF($A241="","",Returns!$J$239)</f>
        <v/>
      </c>
      <c r="C241" s="153" t="str">
        <f t="shared" ca="1" si="47"/>
        <v/>
      </c>
      <c r="D241" s="153" t="str">
        <f ca="1">IF($A241="","",MAX($C$7:C241))</f>
        <v/>
      </c>
      <c r="E241" s="154" t="str">
        <f t="shared" ca="1" si="48"/>
        <v/>
      </c>
      <c r="F241" s="152" t="str">
        <f ca="1">IF($A241="","",Returns!$I$239)</f>
        <v/>
      </c>
      <c r="G241" s="153" t="str">
        <f t="shared" ca="1" si="49"/>
        <v/>
      </c>
      <c r="H241" s="153" t="str">
        <f ca="1">IF($A241="","",MAX($G$7:G241))</f>
        <v/>
      </c>
      <c r="I241" s="154" t="str">
        <f t="shared" ca="1" si="50"/>
        <v/>
      </c>
      <c r="J241" s="59" t="str">
        <f t="shared" ca="1" si="51"/>
        <v/>
      </c>
      <c r="K241" s="3"/>
      <c r="L241" t="str">
        <f t="shared" ca="1" si="39"/>
        <v/>
      </c>
      <c r="M241" s="132" t="str">
        <f t="shared" ca="1" si="40"/>
        <v/>
      </c>
      <c r="N241" s="132" t="str">
        <f t="shared" ca="1" si="41"/>
        <v/>
      </c>
      <c r="P241" t="str">
        <f t="shared" ca="1" si="42"/>
        <v/>
      </c>
      <c r="Q241" s="133" t="str">
        <f t="shared" ca="1" si="43"/>
        <v/>
      </c>
      <c r="R241" s="133" t="str">
        <f t="shared" ca="1" si="44"/>
        <v/>
      </c>
      <c r="T241" t="str">
        <f t="shared" ca="1" si="45"/>
        <v/>
      </c>
      <c r="U241" s="134" t="str">
        <f t="shared" ca="1" si="46"/>
        <v/>
      </c>
    </row>
    <row r="242" spans="1:21" x14ac:dyDescent="0.3">
      <c r="A242" s="151" t="str">
        <f ca="1">Returns!$A$240</f>
        <v/>
      </c>
      <c r="B242" s="152" t="str">
        <f ca="1">IF($A242="","",Returns!$J$240)</f>
        <v/>
      </c>
      <c r="C242" s="153" t="str">
        <f t="shared" ca="1" si="47"/>
        <v/>
      </c>
      <c r="D242" s="153" t="str">
        <f ca="1">IF($A242="","",MAX($C$7:C242))</f>
        <v/>
      </c>
      <c r="E242" s="154" t="str">
        <f t="shared" ca="1" si="48"/>
        <v/>
      </c>
      <c r="F242" s="152" t="str">
        <f ca="1">IF($A242="","",Returns!$I$240)</f>
        <v/>
      </c>
      <c r="G242" s="153" t="str">
        <f t="shared" ca="1" si="49"/>
        <v/>
      </c>
      <c r="H242" s="153" t="str">
        <f ca="1">IF($A242="","",MAX($G$7:G242))</f>
        <v/>
      </c>
      <c r="I242" s="154" t="str">
        <f t="shared" ca="1" si="50"/>
        <v/>
      </c>
      <c r="J242" s="59" t="str">
        <f t="shared" ca="1" si="51"/>
        <v/>
      </c>
      <c r="K242" s="3"/>
      <c r="L242" t="str">
        <f t="shared" ca="1" si="39"/>
        <v/>
      </c>
      <c r="M242" s="132" t="str">
        <f t="shared" ca="1" si="40"/>
        <v/>
      </c>
      <c r="N242" s="132" t="str">
        <f t="shared" ca="1" si="41"/>
        <v/>
      </c>
      <c r="P242" t="str">
        <f t="shared" ca="1" si="42"/>
        <v/>
      </c>
      <c r="Q242" s="133" t="str">
        <f t="shared" ca="1" si="43"/>
        <v/>
      </c>
      <c r="R242" s="133" t="str">
        <f t="shared" ca="1" si="44"/>
        <v/>
      </c>
      <c r="T242" t="str">
        <f t="shared" ca="1" si="45"/>
        <v/>
      </c>
      <c r="U242" s="134" t="str">
        <f t="shared" ca="1" si="46"/>
        <v/>
      </c>
    </row>
    <row r="243" spans="1:21" x14ac:dyDescent="0.3">
      <c r="A243" s="151" t="str">
        <f ca="1">Returns!$A$241</f>
        <v/>
      </c>
      <c r="B243" s="152" t="str">
        <f ca="1">IF($A243="","",Returns!$J$241)</f>
        <v/>
      </c>
      <c r="C243" s="153" t="str">
        <f t="shared" ca="1" si="47"/>
        <v/>
      </c>
      <c r="D243" s="153" t="str">
        <f ca="1">IF($A243="","",MAX($C$7:C243))</f>
        <v/>
      </c>
      <c r="E243" s="154" t="str">
        <f t="shared" ca="1" si="48"/>
        <v/>
      </c>
      <c r="F243" s="152" t="str">
        <f ca="1">IF($A243="","",Returns!$I$241)</f>
        <v/>
      </c>
      <c r="G243" s="153" t="str">
        <f t="shared" ca="1" si="49"/>
        <v/>
      </c>
      <c r="H243" s="153" t="str">
        <f ca="1">IF($A243="","",MAX($G$7:G243))</f>
        <v/>
      </c>
      <c r="I243" s="154" t="str">
        <f t="shared" ca="1" si="50"/>
        <v/>
      </c>
      <c r="J243" s="59" t="str">
        <f t="shared" ca="1" si="51"/>
        <v/>
      </c>
      <c r="K243" s="3"/>
      <c r="L243" t="str">
        <f t="shared" ca="1" si="39"/>
        <v/>
      </c>
      <c r="M243" s="132" t="str">
        <f t="shared" ca="1" si="40"/>
        <v/>
      </c>
      <c r="N243" s="132" t="str">
        <f t="shared" ca="1" si="41"/>
        <v/>
      </c>
      <c r="P243" t="str">
        <f t="shared" ca="1" si="42"/>
        <v/>
      </c>
      <c r="Q243" s="133" t="str">
        <f t="shared" ca="1" si="43"/>
        <v/>
      </c>
      <c r="R243" s="133" t="str">
        <f t="shared" ca="1" si="44"/>
        <v/>
      </c>
      <c r="T243" t="str">
        <f t="shared" ca="1" si="45"/>
        <v/>
      </c>
      <c r="U243" s="134" t="str">
        <f t="shared" ca="1" si="46"/>
        <v/>
      </c>
    </row>
    <row r="244" spans="1:21" x14ac:dyDescent="0.3">
      <c r="A244" s="151" t="str">
        <f ca="1">Returns!$A$242</f>
        <v/>
      </c>
      <c r="B244" s="152" t="str">
        <f ca="1">IF($A244="","",Returns!$J$242)</f>
        <v/>
      </c>
      <c r="C244" s="153" t="str">
        <f t="shared" ca="1" si="47"/>
        <v/>
      </c>
      <c r="D244" s="153" t="str">
        <f ca="1">IF($A244="","",MAX($C$7:C244))</f>
        <v/>
      </c>
      <c r="E244" s="154" t="str">
        <f t="shared" ca="1" si="48"/>
        <v/>
      </c>
      <c r="F244" s="152" t="str">
        <f ca="1">IF($A244="","",Returns!$I$242)</f>
        <v/>
      </c>
      <c r="G244" s="153" t="str">
        <f t="shared" ca="1" si="49"/>
        <v/>
      </c>
      <c r="H244" s="153" t="str">
        <f ca="1">IF($A244="","",MAX($G$7:G244))</f>
        <v/>
      </c>
      <c r="I244" s="154" t="str">
        <f t="shared" ca="1" si="50"/>
        <v/>
      </c>
      <c r="J244" s="59" t="str">
        <f t="shared" ca="1" si="51"/>
        <v/>
      </c>
      <c r="K244" s="3"/>
      <c r="L244" t="str">
        <f t="shared" ca="1" si="39"/>
        <v/>
      </c>
      <c r="M244" s="132" t="str">
        <f t="shared" ca="1" si="40"/>
        <v/>
      </c>
      <c r="N244" s="132" t="str">
        <f t="shared" ca="1" si="41"/>
        <v/>
      </c>
      <c r="P244" t="str">
        <f t="shared" ca="1" si="42"/>
        <v/>
      </c>
      <c r="Q244" s="133" t="str">
        <f t="shared" ca="1" si="43"/>
        <v/>
      </c>
      <c r="R244" s="133" t="str">
        <f t="shared" ca="1" si="44"/>
        <v/>
      </c>
      <c r="T244" t="str">
        <f t="shared" ca="1" si="45"/>
        <v/>
      </c>
      <c r="U244" s="134" t="str">
        <f t="shared" ca="1" si="46"/>
        <v/>
      </c>
    </row>
    <row r="245" spans="1:21" x14ac:dyDescent="0.3">
      <c r="A245" s="151" t="str">
        <f ca="1">Returns!$A$243</f>
        <v/>
      </c>
      <c r="B245" s="152" t="str">
        <f ca="1">IF($A245="","",Returns!$J$243)</f>
        <v/>
      </c>
      <c r="C245" s="153" t="str">
        <f t="shared" ca="1" si="47"/>
        <v/>
      </c>
      <c r="D245" s="153" t="str">
        <f ca="1">IF($A245="","",MAX($C$7:C245))</f>
        <v/>
      </c>
      <c r="E245" s="154" t="str">
        <f t="shared" ca="1" si="48"/>
        <v/>
      </c>
      <c r="F245" s="152" t="str">
        <f ca="1">IF($A245="","",Returns!$I$243)</f>
        <v/>
      </c>
      <c r="G245" s="153" t="str">
        <f t="shared" ca="1" si="49"/>
        <v/>
      </c>
      <c r="H245" s="153" t="str">
        <f ca="1">IF($A245="","",MAX($G$7:G245))</f>
        <v/>
      </c>
      <c r="I245" s="154" t="str">
        <f t="shared" ca="1" si="50"/>
        <v/>
      </c>
      <c r="J245" s="59" t="str">
        <f t="shared" ca="1" si="51"/>
        <v/>
      </c>
      <c r="K245" s="3"/>
      <c r="L245" t="str">
        <f t="shared" ca="1" si="39"/>
        <v/>
      </c>
      <c r="M245" s="132" t="str">
        <f t="shared" ca="1" si="40"/>
        <v/>
      </c>
      <c r="N245" s="132" t="str">
        <f t="shared" ca="1" si="41"/>
        <v/>
      </c>
      <c r="P245" t="str">
        <f t="shared" ca="1" si="42"/>
        <v/>
      </c>
      <c r="Q245" s="133" t="str">
        <f t="shared" ca="1" si="43"/>
        <v/>
      </c>
      <c r="R245" s="133" t="str">
        <f t="shared" ca="1" si="44"/>
        <v/>
      </c>
      <c r="T245" t="str">
        <f t="shared" ca="1" si="45"/>
        <v/>
      </c>
      <c r="U245" s="134" t="str">
        <f t="shared" ca="1" si="46"/>
        <v/>
      </c>
    </row>
    <row r="246" spans="1:21" x14ac:dyDescent="0.3">
      <c r="A246" s="151" t="str">
        <f ca="1">Returns!$A$244</f>
        <v/>
      </c>
      <c r="B246" s="152" t="str">
        <f ca="1">IF($A246="","",Returns!$J$244)</f>
        <v/>
      </c>
      <c r="C246" s="153" t="str">
        <f t="shared" ca="1" si="47"/>
        <v/>
      </c>
      <c r="D246" s="153" t="str">
        <f ca="1">IF($A246="","",MAX($C$7:C246))</f>
        <v/>
      </c>
      <c r="E246" s="154" t="str">
        <f t="shared" ca="1" si="48"/>
        <v/>
      </c>
      <c r="F246" s="152" t="str">
        <f ca="1">IF($A246="","",Returns!$I$244)</f>
        <v/>
      </c>
      <c r="G246" s="153" t="str">
        <f t="shared" ca="1" si="49"/>
        <v/>
      </c>
      <c r="H246" s="153" t="str">
        <f ca="1">IF($A246="","",MAX($G$7:G246))</f>
        <v/>
      </c>
      <c r="I246" s="154" t="str">
        <f t="shared" ca="1" si="50"/>
        <v/>
      </c>
      <c r="J246" s="59" t="str">
        <f t="shared" ca="1" si="51"/>
        <v/>
      </c>
      <c r="K246" s="3"/>
      <c r="L246" t="str">
        <f t="shared" ca="1" si="39"/>
        <v/>
      </c>
      <c r="M246" s="132" t="str">
        <f t="shared" ca="1" si="40"/>
        <v/>
      </c>
      <c r="N246" s="132" t="str">
        <f t="shared" ca="1" si="41"/>
        <v/>
      </c>
      <c r="P246" t="str">
        <f t="shared" ca="1" si="42"/>
        <v/>
      </c>
      <c r="Q246" s="133" t="str">
        <f t="shared" ca="1" si="43"/>
        <v/>
      </c>
      <c r="R246" s="133" t="str">
        <f t="shared" ca="1" si="44"/>
        <v/>
      </c>
      <c r="T246" t="str">
        <f t="shared" ca="1" si="45"/>
        <v/>
      </c>
      <c r="U246" s="134" t="str">
        <f t="shared" ca="1" si="46"/>
        <v/>
      </c>
    </row>
    <row r="247" spans="1:21" x14ac:dyDescent="0.3">
      <c r="A247" s="151" t="str">
        <f ca="1">Returns!$A$245</f>
        <v/>
      </c>
      <c r="B247" s="152" t="str">
        <f ca="1">IF($A247="","",Returns!$J$245)</f>
        <v/>
      </c>
      <c r="C247" s="153" t="str">
        <f t="shared" ca="1" si="47"/>
        <v/>
      </c>
      <c r="D247" s="153" t="str">
        <f ca="1">IF($A247="","",MAX($C$7:C247))</f>
        <v/>
      </c>
      <c r="E247" s="154" t="str">
        <f t="shared" ca="1" si="48"/>
        <v/>
      </c>
      <c r="F247" s="152" t="str">
        <f ca="1">IF($A247="","",Returns!$I$245)</f>
        <v/>
      </c>
      <c r="G247" s="153" t="str">
        <f t="shared" ca="1" si="49"/>
        <v/>
      </c>
      <c r="H247" s="153" t="str">
        <f ca="1">IF($A247="","",MAX($G$7:G247))</f>
        <v/>
      </c>
      <c r="I247" s="154" t="str">
        <f t="shared" ca="1" si="50"/>
        <v/>
      </c>
      <c r="J247" s="59" t="str">
        <f t="shared" ca="1" si="51"/>
        <v/>
      </c>
      <c r="K247" s="3"/>
      <c r="L247" t="str">
        <f t="shared" ca="1" si="39"/>
        <v/>
      </c>
      <c r="M247" s="132" t="str">
        <f t="shared" ca="1" si="40"/>
        <v/>
      </c>
      <c r="N247" s="132" t="str">
        <f t="shared" ca="1" si="41"/>
        <v/>
      </c>
      <c r="P247" t="str">
        <f t="shared" ca="1" si="42"/>
        <v/>
      </c>
      <c r="Q247" s="133" t="str">
        <f t="shared" ca="1" si="43"/>
        <v/>
      </c>
      <c r="R247" s="133" t="str">
        <f t="shared" ca="1" si="44"/>
        <v/>
      </c>
      <c r="T247" t="str">
        <f t="shared" ca="1" si="45"/>
        <v/>
      </c>
      <c r="U247" s="134" t="str">
        <f t="shared" ca="1" si="46"/>
        <v/>
      </c>
    </row>
    <row r="248" spans="1:21" x14ac:dyDescent="0.3">
      <c r="A248" s="151" t="str">
        <f ca="1">Returns!$A$246</f>
        <v/>
      </c>
      <c r="B248" s="152" t="str">
        <f ca="1">IF($A248="","",Returns!$J$246)</f>
        <v/>
      </c>
      <c r="C248" s="153" t="str">
        <f t="shared" ca="1" si="47"/>
        <v/>
      </c>
      <c r="D248" s="153" t="str">
        <f ca="1">IF($A248="","",MAX($C$7:C248))</f>
        <v/>
      </c>
      <c r="E248" s="154" t="str">
        <f t="shared" ca="1" si="48"/>
        <v/>
      </c>
      <c r="F248" s="152" t="str">
        <f ca="1">IF($A248="","",Returns!$I$246)</f>
        <v/>
      </c>
      <c r="G248" s="153" t="str">
        <f t="shared" ca="1" si="49"/>
        <v/>
      </c>
      <c r="H248" s="153" t="str">
        <f ca="1">IF($A248="","",MAX($G$7:G248))</f>
        <v/>
      </c>
      <c r="I248" s="154" t="str">
        <f t="shared" ca="1" si="50"/>
        <v/>
      </c>
      <c r="J248" s="59" t="str">
        <f t="shared" ca="1" si="51"/>
        <v/>
      </c>
      <c r="K248" s="3"/>
      <c r="L248" t="str">
        <f t="shared" ca="1" si="39"/>
        <v/>
      </c>
      <c r="M248" s="132" t="str">
        <f t="shared" ca="1" si="40"/>
        <v/>
      </c>
      <c r="N248" s="132" t="str">
        <f t="shared" ca="1" si="41"/>
        <v/>
      </c>
      <c r="P248" t="str">
        <f t="shared" ca="1" si="42"/>
        <v/>
      </c>
      <c r="Q248" s="133" t="str">
        <f t="shared" ca="1" si="43"/>
        <v/>
      </c>
      <c r="R248" s="133" t="str">
        <f t="shared" ca="1" si="44"/>
        <v/>
      </c>
      <c r="T248" t="str">
        <f t="shared" ca="1" si="45"/>
        <v/>
      </c>
      <c r="U248" s="134" t="str">
        <f t="shared" ca="1" si="46"/>
        <v/>
      </c>
    </row>
    <row r="249" spans="1:21" x14ac:dyDescent="0.3">
      <c r="A249" s="151" t="str">
        <f ca="1">Returns!$A$247</f>
        <v/>
      </c>
      <c r="B249" s="152" t="str">
        <f ca="1">IF($A249="","",Returns!$J$247)</f>
        <v/>
      </c>
      <c r="C249" s="153" t="str">
        <f t="shared" ca="1" si="47"/>
        <v/>
      </c>
      <c r="D249" s="153" t="str">
        <f ca="1">IF($A249="","",MAX($C$7:C249))</f>
        <v/>
      </c>
      <c r="E249" s="154" t="str">
        <f t="shared" ca="1" si="48"/>
        <v/>
      </c>
      <c r="F249" s="152" t="str">
        <f ca="1">IF($A249="","",Returns!$I$247)</f>
        <v/>
      </c>
      <c r="G249" s="153" t="str">
        <f t="shared" ca="1" si="49"/>
        <v/>
      </c>
      <c r="H249" s="153" t="str">
        <f ca="1">IF($A249="","",MAX($G$7:G249))</f>
        <v/>
      </c>
      <c r="I249" s="154" t="str">
        <f t="shared" ca="1" si="50"/>
        <v/>
      </c>
      <c r="J249" s="59" t="str">
        <f t="shared" ca="1" si="51"/>
        <v/>
      </c>
      <c r="K249" s="3"/>
      <c r="L249" t="str">
        <f t="shared" ca="1" si="39"/>
        <v/>
      </c>
      <c r="M249" s="132" t="str">
        <f t="shared" ca="1" si="40"/>
        <v/>
      </c>
      <c r="N249" s="132" t="str">
        <f t="shared" ca="1" si="41"/>
        <v/>
      </c>
      <c r="P249" t="str">
        <f t="shared" ca="1" si="42"/>
        <v/>
      </c>
      <c r="Q249" s="133" t="str">
        <f t="shared" ca="1" si="43"/>
        <v/>
      </c>
      <c r="R249" s="133" t="str">
        <f t="shared" ca="1" si="44"/>
        <v/>
      </c>
      <c r="T249" t="str">
        <f t="shared" ca="1" si="45"/>
        <v/>
      </c>
      <c r="U249" s="134" t="str">
        <f t="shared" ca="1" si="46"/>
        <v/>
      </c>
    </row>
    <row r="250" spans="1:21" x14ac:dyDescent="0.3">
      <c r="A250" s="151" t="str">
        <f ca="1">Returns!$A$248</f>
        <v/>
      </c>
      <c r="B250" s="152" t="str">
        <f ca="1">IF($A250="","",Returns!$J$248)</f>
        <v/>
      </c>
      <c r="C250" s="153" t="str">
        <f t="shared" ca="1" si="47"/>
        <v/>
      </c>
      <c r="D250" s="153" t="str">
        <f ca="1">IF($A250="","",MAX($C$7:C250))</f>
        <v/>
      </c>
      <c r="E250" s="154" t="str">
        <f t="shared" ca="1" si="48"/>
        <v/>
      </c>
      <c r="F250" s="152" t="str">
        <f ca="1">IF($A250="","",Returns!$I$248)</f>
        <v/>
      </c>
      <c r="G250" s="153" t="str">
        <f t="shared" ca="1" si="49"/>
        <v/>
      </c>
      <c r="H250" s="153" t="str">
        <f ca="1">IF($A250="","",MAX($G$7:G250))</f>
        <v/>
      </c>
      <c r="I250" s="154" t="str">
        <f t="shared" ca="1" si="50"/>
        <v/>
      </c>
      <c r="J250" s="59" t="str">
        <f t="shared" ca="1" si="51"/>
        <v/>
      </c>
      <c r="K250" s="3"/>
      <c r="L250" t="str">
        <f t="shared" ca="1" si="39"/>
        <v/>
      </c>
      <c r="M250" s="132" t="str">
        <f t="shared" ca="1" si="40"/>
        <v/>
      </c>
      <c r="N250" s="132" t="str">
        <f t="shared" ca="1" si="41"/>
        <v/>
      </c>
      <c r="P250" t="str">
        <f t="shared" ca="1" si="42"/>
        <v/>
      </c>
      <c r="Q250" s="133" t="str">
        <f t="shared" ca="1" si="43"/>
        <v/>
      </c>
      <c r="R250" s="133" t="str">
        <f t="shared" ca="1" si="44"/>
        <v/>
      </c>
      <c r="T250" t="str">
        <f t="shared" ca="1" si="45"/>
        <v/>
      </c>
      <c r="U250" s="134" t="str">
        <f t="shared" ca="1" si="46"/>
        <v/>
      </c>
    </row>
    <row r="251" spans="1:21" x14ac:dyDescent="0.3">
      <c r="A251" s="151" t="str">
        <f ca="1">Returns!$A$249</f>
        <v/>
      </c>
      <c r="B251" s="152" t="str">
        <f ca="1">IF($A251="","",Returns!$J$249)</f>
        <v/>
      </c>
      <c r="C251" s="153" t="str">
        <f t="shared" ca="1" si="47"/>
        <v/>
      </c>
      <c r="D251" s="153" t="str">
        <f ca="1">IF($A251="","",MAX($C$7:C251))</f>
        <v/>
      </c>
      <c r="E251" s="154" t="str">
        <f t="shared" ca="1" si="48"/>
        <v/>
      </c>
      <c r="F251" s="152" t="str">
        <f ca="1">IF($A251="","",Returns!$I$249)</f>
        <v/>
      </c>
      <c r="G251" s="153" t="str">
        <f t="shared" ca="1" si="49"/>
        <v/>
      </c>
      <c r="H251" s="153" t="str">
        <f ca="1">IF($A251="","",MAX($G$7:G251))</f>
        <v/>
      </c>
      <c r="I251" s="154" t="str">
        <f t="shared" ca="1" si="50"/>
        <v/>
      </c>
      <c r="J251" s="59" t="str">
        <f t="shared" ca="1" si="51"/>
        <v/>
      </c>
      <c r="K251" s="3"/>
      <c r="L251" t="str">
        <f t="shared" ca="1" si="39"/>
        <v/>
      </c>
      <c r="M251" s="132" t="str">
        <f t="shared" ca="1" si="40"/>
        <v/>
      </c>
      <c r="N251" s="132" t="str">
        <f t="shared" ca="1" si="41"/>
        <v/>
      </c>
      <c r="P251" t="str">
        <f t="shared" ca="1" si="42"/>
        <v/>
      </c>
      <c r="Q251" s="133" t="str">
        <f t="shared" ca="1" si="43"/>
        <v/>
      </c>
      <c r="R251" s="133" t="str">
        <f t="shared" ca="1" si="44"/>
        <v/>
      </c>
      <c r="T251" t="str">
        <f t="shared" ca="1" si="45"/>
        <v/>
      </c>
      <c r="U251" s="134" t="str">
        <f t="shared" ca="1" si="46"/>
        <v/>
      </c>
    </row>
    <row r="252" spans="1:21" x14ac:dyDescent="0.3">
      <c r="A252" s="151" t="str">
        <f ca="1">Returns!$A$250</f>
        <v/>
      </c>
      <c r="B252" s="152" t="str">
        <f ca="1">IF($A252="","",Returns!$J$250)</f>
        <v/>
      </c>
      <c r="C252" s="153" t="str">
        <f t="shared" ca="1" si="47"/>
        <v/>
      </c>
      <c r="D252" s="153" t="str">
        <f ca="1">IF($A252="","",MAX($C$7:C252))</f>
        <v/>
      </c>
      <c r="E252" s="154" t="str">
        <f t="shared" ca="1" si="48"/>
        <v/>
      </c>
      <c r="F252" s="152" t="str">
        <f ca="1">IF($A252="","",Returns!$I$250)</f>
        <v/>
      </c>
      <c r="G252" s="153" t="str">
        <f t="shared" ca="1" si="49"/>
        <v/>
      </c>
      <c r="H252" s="153" t="str">
        <f ca="1">IF($A252="","",MAX($G$7:G252))</f>
        <v/>
      </c>
      <c r="I252" s="154" t="str">
        <f t="shared" ca="1" si="50"/>
        <v/>
      </c>
      <c r="J252" s="59" t="str">
        <f t="shared" ca="1" si="51"/>
        <v/>
      </c>
      <c r="K252" s="3"/>
      <c r="L252" t="str">
        <f t="shared" ca="1" si="39"/>
        <v/>
      </c>
      <c r="M252" s="132" t="str">
        <f t="shared" ca="1" si="40"/>
        <v/>
      </c>
      <c r="N252" s="132" t="str">
        <f t="shared" ca="1" si="41"/>
        <v/>
      </c>
      <c r="P252" t="str">
        <f t="shared" ca="1" si="42"/>
        <v/>
      </c>
      <c r="Q252" s="133" t="str">
        <f t="shared" ca="1" si="43"/>
        <v/>
      </c>
      <c r="R252" s="133" t="str">
        <f t="shared" ca="1" si="44"/>
        <v/>
      </c>
      <c r="T252" t="str">
        <f t="shared" ca="1" si="45"/>
        <v/>
      </c>
      <c r="U252" s="134" t="str">
        <f t="shared" ca="1" si="46"/>
        <v/>
      </c>
    </row>
    <row r="253" spans="1:21" x14ac:dyDescent="0.3">
      <c r="A253" s="151" t="str">
        <f ca="1">Returns!$A$251</f>
        <v/>
      </c>
      <c r="B253" s="152" t="str">
        <f ca="1">IF($A253="","",Returns!$J$251)</f>
        <v/>
      </c>
      <c r="C253" s="153" t="str">
        <f t="shared" ca="1" si="47"/>
        <v/>
      </c>
      <c r="D253" s="153" t="str">
        <f ca="1">IF($A253="","",MAX($C$7:C253))</f>
        <v/>
      </c>
      <c r="E253" s="154" t="str">
        <f t="shared" ca="1" si="48"/>
        <v/>
      </c>
      <c r="F253" s="152" t="str">
        <f ca="1">IF($A253="","",Returns!$I$251)</f>
        <v/>
      </c>
      <c r="G253" s="153" t="str">
        <f t="shared" ca="1" si="49"/>
        <v/>
      </c>
      <c r="H253" s="153" t="str">
        <f ca="1">IF($A253="","",MAX($G$7:G253))</f>
        <v/>
      </c>
      <c r="I253" s="154" t="str">
        <f t="shared" ca="1" si="50"/>
        <v/>
      </c>
      <c r="J253" s="59" t="str">
        <f t="shared" ca="1" si="51"/>
        <v/>
      </c>
      <c r="K253" s="3"/>
      <c r="L253" t="str">
        <f t="shared" ca="1" si="39"/>
        <v/>
      </c>
      <c r="M253" s="132" t="str">
        <f t="shared" ca="1" si="40"/>
        <v/>
      </c>
      <c r="N253" s="132" t="str">
        <f t="shared" ca="1" si="41"/>
        <v/>
      </c>
      <c r="P253" t="str">
        <f t="shared" ca="1" si="42"/>
        <v/>
      </c>
      <c r="Q253" s="133" t="str">
        <f t="shared" ca="1" si="43"/>
        <v/>
      </c>
      <c r="R253" s="133" t="str">
        <f t="shared" ca="1" si="44"/>
        <v/>
      </c>
      <c r="T253" t="str">
        <f t="shared" ca="1" si="45"/>
        <v/>
      </c>
      <c r="U253" s="134" t="str">
        <f t="shared" ca="1" si="46"/>
        <v/>
      </c>
    </row>
    <row r="254" spans="1:21" x14ac:dyDescent="0.3">
      <c r="A254" s="151" t="str">
        <f ca="1">Returns!$A$252</f>
        <v/>
      </c>
      <c r="B254" s="152" t="str">
        <f ca="1">IF($A254="","",Returns!$J$252)</f>
        <v/>
      </c>
      <c r="C254" s="153" t="str">
        <f t="shared" ca="1" si="47"/>
        <v/>
      </c>
      <c r="D254" s="153" t="str">
        <f ca="1">IF($A254="","",MAX($C$7:C254))</f>
        <v/>
      </c>
      <c r="E254" s="154" t="str">
        <f t="shared" ca="1" si="48"/>
        <v/>
      </c>
      <c r="F254" s="152" t="str">
        <f ca="1">IF($A254="","",Returns!$I$252)</f>
        <v/>
      </c>
      <c r="G254" s="153" t="str">
        <f t="shared" ca="1" si="49"/>
        <v/>
      </c>
      <c r="H254" s="153" t="str">
        <f ca="1">IF($A254="","",MAX($G$7:G254))</f>
        <v/>
      </c>
      <c r="I254" s="154" t="str">
        <f t="shared" ca="1" si="50"/>
        <v/>
      </c>
      <c r="J254" s="59" t="str">
        <f t="shared" ca="1" si="51"/>
        <v/>
      </c>
      <c r="K254" s="3"/>
      <c r="L254" t="str">
        <f t="shared" ca="1" si="39"/>
        <v/>
      </c>
      <c r="M254" s="132" t="str">
        <f t="shared" ca="1" si="40"/>
        <v/>
      </c>
      <c r="N254" s="132" t="str">
        <f t="shared" ca="1" si="41"/>
        <v/>
      </c>
      <c r="P254" t="str">
        <f t="shared" ca="1" si="42"/>
        <v/>
      </c>
      <c r="Q254" s="133" t="str">
        <f t="shared" ca="1" si="43"/>
        <v/>
      </c>
      <c r="R254" s="133" t="str">
        <f t="shared" ca="1" si="44"/>
        <v/>
      </c>
      <c r="T254" t="str">
        <f t="shared" ca="1" si="45"/>
        <v/>
      </c>
      <c r="U254" s="134" t="str">
        <f t="shared" ca="1" si="46"/>
        <v/>
      </c>
    </row>
    <row r="255" spans="1:21" x14ac:dyDescent="0.3">
      <c r="A255" s="151" t="str">
        <f ca="1">Returns!$A$253</f>
        <v/>
      </c>
      <c r="B255" s="152" t="str">
        <f ca="1">IF($A255="","",Returns!$J$253)</f>
        <v/>
      </c>
      <c r="C255" s="153" t="str">
        <f t="shared" ca="1" si="47"/>
        <v/>
      </c>
      <c r="D255" s="153" t="str">
        <f ca="1">IF($A255="","",MAX($C$7:C255))</f>
        <v/>
      </c>
      <c r="E255" s="154" t="str">
        <f t="shared" ca="1" si="48"/>
        <v/>
      </c>
      <c r="F255" s="152" t="str">
        <f ca="1">IF($A255="","",Returns!$I$253)</f>
        <v/>
      </c>
      <c r="G255" s="153" t="str">
        <f t="shared" ca="1" si="49"/>
        <v/>
      </c>
      <c r="H255" s="153" t="str">
        <f ca="1">IF($A255="","",MAX($G$7:G255))</f>
        <v/>
      </c>
      <c r="I255" s="154" t="str">
        <f t="shared" ca="1" si="50"/>
        <v/>
      </c>
      <c r="J255" s="59" t="str">
        <f t="shared" ca="1" si="51"/>
        <v/>
      </c>
      <c r="K255" s="3"/>
      <c r="L255" t="str">
        <f t="shared" ca="1" si="39"/>
        <v/>
      </c>
      <c r="M255" s="132" t="str">
        <f t="shared" ca="1" si="40"/>
        <v/>
      </c>
      <c r="N255" s="132" t="str">
        <f t="shared" ca="1" si="41"/>
        <v/>
      </c>
      <c r="P255" t="str">
        <f t="shared" ca="1" si="42"/>
        <v/>
      </c>
      <c r="Q255" s="133" t="str">
        <f t="shared" ca="1" si="43"/>
        <v/>
      </c>
      <c r="R255" s="133" t="str">
        <f t="shared" ca="1" si="44"/>
        <v/>
      </c>
      <c r="T255" t="str">
        <f t="shared" ca="1" si="45"/>
        <v/>
      </c>
      <c r="U255" s="134" t="str">
        <f t="shared" ca="1" si="46"/>
        <v/>
      </c>
    </row>
    <row r="256" spans="1:21" x14ac:dyDescent="0.3">
      <c r="A256" s="151" t="str">
        <f ca="1">Returns!$A$254</f>
        <v/>
      </c>
      <c r="B256" s="152" t="str">
        <f ca="1">IF($A256="","",Returns!$J$254)</f>
        <v/>
      </c>
      <c r="C256" s="153" t="str">
        <f t="shared" ca="1" si="47"/>
        <v/>
      </c>
      <c r="D256" s="153" t="str">
        <f ca="1">IF($A256="","",MAX($C$7:C256))</f>
        <v/>
      </c>
      <c r="E256" s="154" t="str">
        <f t="shared" ca="1" si="48"/>
        <v/>
      </c>
      <c r="F256" s="152" t="str">
        <f ca="1">IF($A256="","",Returns!$I$254)</f>
        <v/>
      </c>
      <c r="G256" s="153" t="str">
        <f t="shared" ca="1" si="49"/>
        <v/>
      </c>
      <c r="H256" s="153" t="str">
        <f ca="1">IF($A256="","",MAX($G$7:G256))</f>
        <v/>
      </c>
      <c r="I256" s="154" t="str">
        <f t="shared" ca="1" si="50"/>
        <v/>
      </c>
      <c r="J256" s="59" t="str">
        <f t="shared" ca="1" si="51"/>
        <v/>
      </c>
      <c r="K256" s="3"/>
      <c r="L256" t="str">
        <f t="shared" ca="1" si="39"/>
        <v/>
      </c>
      <c r="M256" s="132" t="str">
        <f t="shared" ca="1" si="40"/>
        <v/>
      </c>
      <c r="N256" s="132" t="str">
        <f t="shared" ca="1" si="41"/>
        <v/>
      </c>
      <c r="P256" t="str">
        <f t="shared" ca="1" si="42"/>
        <v/>
      </c>
      <c r="Q256" s="133" t="str">
        <f t="shared" ca="1" si="43"/>
        <v/>
      </c>
      <c r="R256" s="133" t="str">
        <f t="shared" ca="1" si="44"/>
        <v/>
      </c>
      <c r="T256" t="str">
        <f t="shared" ca="1" si="45"/>
        <v/>
      </c>
      <c r="U256" s="134" t="str">
        <f t="shared" ca="1" si="46"/>
        <v/>
      </c>
    </row>
    <row r="257" spans="1:21" x14ac:dyDescent="0.3">
      <c r="A257" s="151" t="str">
        <f ca="1">Returns!$A$255</f>
        <v/>
      </c>
      <c r="B257" s="152" t="str">
        <f ca="1">IF($A257="","",Returns!$J$255)</f>
        <v/>
      </c>
      <c r="C257" s="153" t="str">
        <f t="shared" ca="1" si="47"/>
        <v/>
      </c>
      <c r="D257" s="153" t="str">
        <f ca="1">IF($A257="","",MAX($C$7:C257))</f>
        <v/>
      </c>
      <c r="E257" s="154" t="str">
        <f t="shared" ca="1" si="48"/>
        <v/>
      </c>
      <c r="F257" s="152" t="str">
        <f ca="1">IF($A257="","",Returns!$I$255)</f>
        <v/>
      </c>
      <c r="G257" s="153" t="str">
        <f t="shared" ca="1" si="49"/>
        <v/>
      </c>
      <c r="H257" s="153" t="str">
        <f ca="1">IF($A257="","",MAX($G$7:G257))</f>
        <v/>
      </c>
      <c r="I257" s="154" t="str">
        <f t="shared" ca="1" si="50"/>
        <v/>
      </c>
      <c r="J257" s="59" t="str">
        <f t="shared" ca="1" si="51"/>
        <v/>
      </c>
      <c r="K257" s="3"/>
      <c r="L257" t="str">
        <f t="shared" ca="1" si="39"/>
        <v/>
      </c>
      <c r="M257" s="132" t="str">
        <f t="shared" ca="1" si="40"/>
        <v/>
      </c>
      <c r="N257" s="132" t="str">
        <f t="shared" ca="1" si="41"/>
        <v/>
      </c>
      <c r="P257" t="str">
        <f t="shared" ca="1" si="42"/>
        <v/>
      </c>
      <c r="Q257" s="133" t="str">
        <f t="shared" ca="1" si="43"/>
        <v/>
      </c>
      <c r="R257" s="133" t="str">
        <f t="shared" ca="1" si="44"/>
        <v/>
      </c>
      <c r="T257" t="str">
        <f t="shared" ca="1" si="45"/>
        <v/>
      </c>
      <c r="U257" s="134" t="str">
        <f t="shared" ca="1" si="46"/>
        <v/>
      </c>
    </row>
    <row r="258" spans="1:21" x14ac:dyDescent="0.3">
      <c r="A258" s="151" t="str">
        <f ca="1">Returns!$A$256</f>
        <v/>
      </c>
      <c r="B258" s="152" t="str">
        <f ca="1">IF($A258="","",Returns!$J$256)</f>
        <v/>
      </c>
      <c r="C258" s="153" t="str">
        <f t="shared" ca="1" si="47"/>
        <v/>
      </c>
      <c r="D258" s="153" t="str">
        <f ca="1">IF($A258="","",MAX($C$7:C258))</f>
        <v/>
      </c>
      <c r="E258" s="154" t="str">
        <f t="shared" ca="1" si="48"/>
        <v/>
      </c>
      <c r="F258" s="152" t="str">
        <f ca="1">IF($A258="","",Returns!$I$256)</f>
        <v/>
      </c>
      <c r="G258" s="153" t="str">
        <f t="shared" ca="1" si="49"/>
        <v/>
      </c>
      <c r="H258" s="153" t="str">
        <f ca="1">IF($A258="","",MAX($G$7:G258))</f>
        <v/>
      </c>
      <c r="I258" s="154" t="str">
        <f t="shared" ca="1" si="50"/>
        <v/>
      </c>
      <c r="J258" s="59" t="str">
        <f t="shared" ca="1" si="51"/>
        <v/>
      </c>
      <c r="K258" s="3"/>
      <c r="L258" t="str">
        <f t="shared" ca="1" si="39"/>
        <v/>
      </c>
      <c r="M258" s="132" t="str">
        <f t="shared" ca="1" si="40"/>
        <v/>
      </c>
      <c r="N258" s="132" t="str">
        <f t="shared" ca="1" si="41"/>
        <v/>
      </c>
      <c r="P258" t="str">
        <f t="shared" ca="1" si="42"/>
        <v/>
      </c>
      <c r="Q258" s="133" t="str">
        <f t="shared" ca="1" si="43"/>
        <v/>
      </c>
      <c r="R258" s="133" t="str">
        <f t="shared" ca="1" si="44"/>
        <v/>
      </c>
      <c r="T258" t="str">
        <f t="shared" ca="1" si="45"/>
        <v/>
      </c>
      <c r="U258" s="134" t="str">
        <f t="shared" ca="1" si="46"/>
        <v/>
      </c>
    </row>
    <row r="259" spans="1:21" x14ac:dyDescent="0.3">
      <c r="A259" s="151" t="str">
        <f ca="1">Returns!$A$257</f>
        <v/>
      </c>
      <c r="B259" s="152" t="str">
        <f ca="1">IF($A259="","",Returns!$J$257)</f>
        <v/>
      </c>
      <c r="C259" s="153" t="str">
        <f t="shared" ca="1" si="47"/>
        <v/>
      </c>
      <c r="D259" s="153" t="str">
        <f ca="1">IF($A259="","",MAX($C$7:C259))</f>
        <v/>
      </c>
      <c r="E259" s="154" t="str">
        <f t="shared" ca="1" si="48"/>
        <v/>
      </c>
      <c r="F259" s="152" t="str">
        <f ca="1">IF($A259="","",Returns!$I$257)</f>
        <v/>
      </c>
      <c r="G259" s="153" t="str">
        <f t="shared" ca="1" si="49"/>
        <v/>
      </c>
      <c r="H259" s="153" t="str">
        <f ca="1">IF($A259="","",MAX($G$7:G259))</f>
        <v/>
      </c>
      <c r="I259" s="154" t="str">
        <f t="shared" ca="1" si="50"/>
        <v/>
      </c>
      <c r="J259" s="59" t="str">
        <f t="shared" ca="1" si="51"/>
        <v/>
      </c>
      <c r="K259" s="3"/>
      <c r="L259" t="str">
        <f t="shared" ca="1" si="39"/>
        <v/>
      </c>
      <c r="M259" s="132" t="str">
        <f t="shared" ca="1" si="40"/>
        <v/>
      </c>
      <c r="N259" s="132" t="str">
        <f t="shared" ca="1" si="41"/>
        <v/>
      </c>
      <c r="P259" t="str">
        <f t="shared" ca="1" si="42"/>
        <v/>
      </c>
      <c r="Q259" s="133" t="str">
        <f t="shared" ca="1" si="43"/>
        <v/>
      </c>
      <c r="R259" s="133" t="str">
        <f t="shared" ca="1" si="44"/>
        <v/>
      </c>
      <c r="T259" t="str">
        <f t="shared" ca="1" si="45"/>
        <v/>
      </c>
      <c r="U259" s="134" t="str">
        <f t="shared" ca="1" si="46"/>
        <v/>
      </c>
    </row>
    <row r="260" spans="1:21" x14ac:dyDescent="0.3">
      <c r="A260" s="151" t="str">
        <f ca="1">Returns!$A$258</f>
        <v/>
      </c>
      <c r="B260" s="152" t="str">
        <f ca="1">IF($A260="","",Returns!$J$258)</f>
        <v/>
      </c>
      <c r="C260" s="153" t="str">
        <f t="shared" ca="1" si="47"/>
        <v/>
      </c>
      <c r="D260" s="153" t="str">
        <f ca="1">IF($A260="","",MAX($C$7:C260))</f>
        <v/>
      </c>
      <c r="E260" s="154" t="str">
        <f t="shared" ca="1" si="48"/>
        <v/>
      </c>
      <c r="F260" s="152" t="str">
        <f ca="1">IF($A260="","",Returns!$I$258)</f>
        <v/>
      </c>
      <c r="G260" s="153" t="str">
        <f t="shared" ca="1" si="49"/>
        <v/>
      </c>
      <c r="H260" s="153" t="str">
        <f ca="1">IF($A260="","",MAX($G$7:G260))</f>
        <v/>
      </c>
      <c r="I260" s="154" t="str">
        <f t="shared" ca="1" si="50"/>
        <v/>
      </c>
      <c r="J260" s="59" t="str">
        <f t="shared" ca="1" si="51"/>
        <v/>
      </c>
      <c r="K260" s="3"/>
      <c r="L260" t="str">
        <f t="shared" ca="1" si="39"/>
        <v/>
      </c>
      <c r="M260" s="132" t="str">
        <f t="shared" ca="1" si="40"/>
        <v/>
      </c>
      <c r="N260" s="132" t="str">
        <f t="shared" ca="1" si="41"/>
        <v/>
      </c>
      <c r="P260" t="str">
        <f t="shared" ca="1" si="42"/>
        <v/>
      </c>
      <c r="Q260" s="133" t="str">
        <f t="shared" ca="1" si="43"/>
        <v/>
      </c>
      <c r="R260" s="133" t="str">
        <f t="shared" ca="1" si="44"/>
        <v/>
      </c>
      <c r="T260" t="str">
        <f t="shared" ca="1" si="45"/>
        <v/>
      </c>
      <c r="U260" s="134" t="str">
        <f t="shared" ca="1" si="46"/>
        <v/>
      </c>
    </row>
    <row r="261" spans="1:21" x14ac:dyDescent="0.3">
      <c r="A261" s="151" t="str">
        <f ca="1">Returns!$A$259</f>
        <v/>
      </c>
      <c r="B261" s="152" t="str">
        <f ca="1">IF($A261="","",Returns!$J$259)</f>
        <v/>
      </c>
      <c r="C261" s="153" t="str">
        <f t="shared" ca="1" si="47"/>
        <v/>
      </c>
      <c r="D261" s="153" t="str">
        <f ca="1">IF($A261="","",MAX($C$7:C261))</f>
        <v/>
      </c>
      <c r="E261" s="154" t="str">
        <f t="shared" ca="1" si="48"/>
        <v/>
      </c>
      <c r="F261" s="152" t="str">
        <f ca="1">IF($A261="","",Returns!$I$259)</f>
        <v/>
      </c>
      <c r="G261" s="153" t="str">
        <f t="shared" ca="1" si="49"/>
        <v/>
      </c>
      <c r="H261" s="153" t="str">
        <f ca="1">IF($A261="","",MAX($G$7:G261))</f>
        <v/>
      </c>
      <c r="I261" s="154" t="str">
        <f t="shared" ca="1" si="50"/>
        <v/>
      </c>
      <c r="J261" s="59" t="str">
        <f t="shared" ca="1" si="51"/>
        <v/>
      </c>
      <c r="K261" s="3"/>
      <c r="L261" t="str">
        <f t="shared" ca="1" si="39"/>
        <v/>
      </c>
      <c r="M261" s="132" t="str">
        <f t="shared" ca="1" si="40"/>
        <v/>
      </c>
      <c r="N261" s="132" t="str">
        <f t="shared" ca="1" si="41"/>
        <v/>
      </c>
      <c r="P261" t="str">
        <f t="shared" ca="1" si="42"/>
        <v/>
      </c>
      <c r="Q261" s="133" t="str">
        <f t="shared" ca="1" si="43"/>
        <v/>
      </c>
      <c r="R261" s="133" t="str">
        <f t="shared" ca="1" si="44"/>
        <v/>
      </c>
      <c r="T261" t="str">
        <f t="shared" ca="1" si="45"/>
        <v/>
      </c>
      <c r="U261" s="134" t="str">
        <f t="shared" ca="1" si="46"/>
        <v/>
      </c>
    </row>
    <row r="262" spans="1:21" x14ac:dyDescent="0.3">
      <c r="A262" s="151" t="str">
        <f ca="1">Returns!$A$260</f>
        <v/>
      </c>
      <c r="B262" s="152" t="str">
        <f ca="1">IF($A262="","",Returns!$J$260)</f>
        <v/>
      </c>
      <c r="C262" s="153" t="str">
        <f t="shared" ca="1" si="47"/>
        <v/>
      </c>
      <c r="D262" s="153" t="str">
        <f ca="1">IF($A262="","",MAX($C$7:C262))</f>
        <v/>
      </c>
      <c r="E262" s="154" t="str">
        <f t="shared" ca="1" si="48"/>
        <v/>
      </c>
      <c r="F262" s="152" t="str">
        <f ca="1">IF($A262="","",Returns!$I$260)</f>
        <v/>
      </c>
      <c r="G262" s="153" t="str">
        <f t="shared" ca="1" si="49"/>
        <v/>
      </c>
      <c r="H262" s="153" t="str">
        <f ca="1">IF($A262="","",MAX($G$7:G262))</f>
        <v/>
      </c>
      <c r="I262" s="154" t="str">
        <f t="shared" ca="1" si="50"/>
        <v/>
      </c>
      <c r="J262" s="59" t="str">
        <f t="shared" ca="1" si="51"/>
        <v/>
      </c>
      <c r="K262" s="3"/>
      <c r="L262" t="str">
        <f t="shared" ca="1" si="39"/>
        <v/>
      </c>
      <c r="M262" s="132" t="str">
        <f t="shared" ca="1" si="40"/>
        <v/>
      </c>
      <c r="N262" s="132" t="str">
        <f t="shared" ca="1" si="41"/>
        <v/>
      </c>
      <c r="P262" t="str">
        <f t="shared" ca="1" si="42"/>
        <v/>
      </c>
      <c r="Q262" s="133" t="str">
        <f t="shared" ca="1" si="43"/>
        <v/>
      </c>
      <c r="R262" s="133" t="str">
        <f t="shared" ca="1" si="44"/>
        <v/>
      </c>
      <c r="T262" t="str">
        <f t="shared" ca="1" si="45"/>
        <v/>
      </c>
      <c r="U262" s="134" t="str">
        <f t="shared" ca="1" si="46"/>
        <v/>
      </c>
    </row>
    <row r="263" spans="1:21" x14ac:dyDescent="0.3">
      <c r="A263" s="151" t="str">
        <f ca="1">Returns!$A$261</f>
        <v/>
      </c>
      <c r="B263" s="152" t="str">
        <f ca="1">IF($A263="","",Returns!$J$261)</f>
        <v/>
      </c>
      <c r="C263" s="153" t="str">
        <f t="shared" ca="1" si="47"/>
        <v/>
      </c>
      <c r="D263" s="153" t="str">
        <f ca="1">IF($A263="","",MAX($C$7:C263))</f>
        <v/>
      </c>
      <c r="E263" s="154" t="str">
        <f t="shared" ca="1" si="48"/>
        <v/>
      </c>
      <c r="F263" s="152" t="str">
        <f ca="1">IF($A263="","",Returns!$I$261)</f>
        <v/>
      </c>
      <c r="G263" s="153" t="str">
        <f t="shared" ca="1" si="49"/>
        <v/>
      </c>
      <c r="H263" s="153" t="str">
        <f ca="1">IF($A263="","",MAX($G$7:G263))</f>
        <v/>
      </c>
      <c r="I263" s="154" t="str">
        <f t="shared" ca="1" si="50"/>
        <v/>
      </c>
      <c r="J263" s="59" t="str">
        <f t="shared" ca="1" si="51"/>
        <v/>
      </c>
      <c r="K263" s="3"/>
      <c r="L263" t="str">
        <f t="shared" ref="L263:L326" ca="1" si="52">$J263</f>
        <v/>
      </c>
      <c r="M263" s="132" t="str">
        <f t="shared" ref="M263:M326" ca="1" si="53">$C263</f>
        <v/>
      </c>
      <c r="N263" s="132" t="str">
        <f t="shared" ref="N263:N326" ca="1" si="54">$G263</f>
        <v/>
      </c>
      <c r="P263" t="str">
        <f t="shared" ref="P263:P326" ca="1" si="55">$J263</f>
        <v/>
      </c>
      <c r="Q263" s="133" t="str">
        <f t="shared" ref="Q263:Q326" ca="1" si="56">$E263</f>
        <v/>
      </c>
      <c r="R263" s="133" t="str">
        <f t="shared" ref="R263:R326" ca="1" si="57">$I263</f>
        <v/>
      </c>
      <c r="T263" t="str">
        <f t="shared" ref="T263:T326" ca="1" si="58">$J263</f>
        <v/>
      </c>
      <c r="U263" s="134" t="str">
        <f t="shared" ref="U263:U326" ca="1" si="59">IF($A263="","",NotionalValue*$C263/IndexBase)</f>
        <v/>
      </c>
    </row>
    <row r="264" spans="1:21" x14ac:dyDescent="0.3">
      <c r="A264" s="151" t="str">
        <f ca="1">Returns!$A$262</f>
        <v/>
      </c>
      <c r="B264" s="152" t="str">
        <f ca="1">IF($A264="","",Returns!$J$262)</f>
        <v/>
      </c>
      <c r="C264" s="153" t="str">
        <f t="shared" ref="C264:C327" ca="1" si="60">IF($A264="","",C263*(1+$B264))</f>
        <v/>
      </c>
      <c r="D264" s="153" t="str">
        <f ca="1">IF($A264="","",MAX($C$7:C264))</f>
        <v/>
      </c>
      <c r="E264" s="154" t="str">
        <f t="shared" ref="E264:E327" ca="1" si="61">IF($A264="","",$C264/$D264-1)</f>
        <v/>
      </c>
      <c r="F264" s="152" t="str">
        <f ca="1">IF($A264="","",Returns!$I$262)</f>
        <v/>
      </c>
      <c r="G264" s="153" t="str">
        <f t="shared" ref="G264:G327" ca="1" si="62">IF($A264="","",G263*(1+$F264))</f>
        <v/>
      </c>
      <c r="H264" s="153" t="str">
        <f ca="1">IF($A264="","",MAX($G$7:G264))</f>
        <v/>
      </c>
      <c r="I264" s="154" t="str">
        <f t="shared" ref="I264:I327" ca="1" si="63">IF($A264="","",$G264/$H264-1)</f>
        <v/>
      </c>
      <c r="J264" s="59" t="str">
        <f t="shared" ref="J264:J327" ca="1" si="64">IF($A264="","",TEXT($A264,"mmm-yy"))</f>
        <v/>
      </c>
      <c r="K264" s="3"/>
      <c r="L264" t="str">
        <f t="shared" ca="1" si="52"/>
        <v/>
      </c>
      <c r="M264" s="132" t="str">
        <f t="shared" ca="1" si="53"/>
        <v/>
      </c>
      <c r="N264" s="132" t="str">
        <f t="shared" ca="1" si="54"/>
        <v/>
      </c>
      <c r="P264" t="str">
        <f t="shared" ca="1" si="55"/>
        <v/>
      </c>
      <c r="Q264" s="133" t="str">
        <f t="shared" ca="1" si="56"/>
        <v/>
      </c>
      <c r="R264" s="133" t="str">
        <f t="shared" ca="1" si="57"/>
        <v/>
      </c>
      <c r="T264" t="str">
        <f t="shared" ca="1" si="58"/>
        <v/>
      </c>
      <c r="U264" s="134" t="str">
        <f t="shared" ca="1" si="59"/>
        <v/>
      </c>
    </row>
    <row r="265" spans="1:21" x14ac:dyDescent="0.3">
      <c r="A265" s="151" t="str">
        <f ca="1">Returns!$A$263</f>
        <v/>
      </c>
      <c r="B265" s="152" t="str">
        <f ca="1">IF($A265="","",Returns!$J$263)</f>
        <v/>
      </c>
      <c r="C265" s="153" t="str">
        <f t="shared" ca="1" si="60"/>
        <v/>
      </c>
      <c r="D265" s="153" t="str">
        <f ca="1">IF($A265="","",MAX($C$7:C265))</f>
        <v/>
      </c>
      <c r="E265" s="154" t="str">
        <f t="shared" ca="1" si="61"/>
        <v/>
      </c>
      <c r="F265" s="152" t="str">
        <f ca="1">IF($A265="","",Returns!$I$263)</f>
        <v/>
      </c>
      <c r="G265" s="153" t="str">
        <f t="shared" ca="1" si="62"/>
        <v/>
      </c>
      <c r="H265" s="153" t="str">
        <f ca="1">IF($A265="","",MAX($G$7:G265))</f>
        <v/>
      </c>
      <c r="I265" s="154" t="str">
        <f t="shared" ca="1" si="63"/>
        <v/>
      </c>
      <c r="J265" s="59" t="str">
        <f t="shared" ca="1" si="64"/>
        <v/>
      </c>
      <c r="K265" s="3"/>
      <c r="L265" t="str">
        <f t="shared" ca="1" si="52"/>
        <v/>
      </c>
      <c r="M265" s="132" t="str">
        <f t="shared" ca="1" si="53"/>
        <v/>
      </c>
      <c r="N265" s="132" t="str">
        <f t="shared" ca="1" si="54"/>
        <v/>
      </c>
      <c r="P265" t="str">
        <f t="shared" ca="1" si="55"/>
        <v/>
      </c>
      <c r="Q265" s="133" t="str">
        <f t="shared" ca="1" si="56"/>
        <v/>
      </c>
      <c r="R265" s="133" t="str">
        <f t="shared" ca="1" si="57"/>
        <v/>
      </c>
      <c r="T265" t="str">
        <f t="shared" ca="1" si="58"/>
        <v/>
      </c>
      <c r="U265" s="134" t="str">
        <f t="shared" ca="1" si="59"/>
        <v/>
      </c>
    </row>
    <row r="266" spans="1:21" x14ac:dyDescent="0.3">
      <c r="A266" s="151" t="str">
        <f ca="1">Returns!$A$264</f>
        <v/>
      </c>
      <c r="B266" s="152" t="str">
        <f ca="1">IF($A266="","",Returns!$J$264)</f>
        <v/>
      </c>
      <c r="C266" s="153" t="str">
        <f t="shared" ca="1" si="60"/>
        <v/>
      </c>
      <c r="D266" s="153" t="str">
        <f ca="1">IF($A266="","",MAX($C$7:C266))</f>
        <v/>
      </c>
      <c r="E266" s="154" t="str">
        <f t="shared" ca="1" si="61"/>
        <v/>
      </c>
      <c r="F266" s="152" t="str">
        <f ca="1">IF($A266="","",Returns!$I$264)</f>
        <v/>
      </c>
      <c r="G266" s="153" t="str">
        <f t="shared" ca="1" si="62"/>
        <v/>
      </c>
      <c r="H266" s="153" t="str">
        <f ca="1">IF($A266="","",MAX($G$7:G266))</f>
        <v/>
      </c>
      <c r="I266" s="154" t="str">
        <f t="shared" ca="1" si="63"/>
        <v/>
      </c>
      <c r="J266" s="59" t="str">
        <f t="shared" ca="1" si="64"/>
        <v/>
      </c>
      <c r="K266" s="3"/>
      <c r="L266" t="str">
        <f t="shared" ca="1" si="52"/>
        <v/>
      </c>
      <c r="M266" s="132" t="str">
        <f t="shared" ca="1" si="53"/>
        <v/>
      </c>
      <c r="N266" s="132" t="str">
        <f t="shared" ca="1" si="54"/>
        <v/>
      </c>
      <c r="P266" t="str">
        <f t="shared" ca="1" si="55"/>
        <v/>
      </c>
      <c r="Q266" s="133" t="str">
        <f t="shared" ca="1" si="56"/>
        <v/>
      </c>
      <c r="R266" s="133" t="str">
        <f t="shared" ca="1" si="57"/>
        <v/>
      </c>
      <c r="T266" t="str">
        <f t="shared" ca="1" si="58"/>
        <v/>
      </c>
      <c r="U266" s="134" t="str">
        <f t="shared" ca="1" si="59"/>
        <v/>
      </c>
    </row>
    <row r="267" spans="1:21" x14ac:dyDescent="0.3">
      <c r="A267" s="151" t="str">
        <f ca="1">Returns!$A$265</f>
        <v/>
      </c>
      <c r="B267" s="152" t="str">
        <f ca="1">IF($A267="","",Returns!$J$265)</f>
        <v/>
      </c>
      <c r="C267" s="153" t="str">
        <f t="shared" ca="1" si="60"/>
        <v/>
      </c>
      <c r="D267" s="153" t="str">
        <f ca="1">IF($A267="","",MAX($C$7:C267))</f>
        <v/>
      </c>
      <c r="E267" s="154" t="str">
        <f t="shared" ca="1" si="61"/>
        <v/>
      </c>
      <c r="F267" s="152" t="str">
        <f ca="1">IF($A267="","",Returns!$I$265)</f>
        <v/>
      </c>
      <c r="G267" s="153" t="str">
        <f t="shared" ca="1" si="62"/>
        <v/>
      </c>
      <c r="H267" s="153" t="str">
        <f ca="1">IF($A267="","",MAX($G$7:G267))</f>
        <v/>
      </c>
      <c r="I267" s="154" t="str">
        <f t="shared" ca="1" si="63"/>
        <v/>
      </c>
      <c r="J267" s="59" t="str">
        <f t="shared" ca="1" si="64"/>
        <v/>
      </c>
      <c r="K267" s="3"/>
      <c r="L267" t="str">
        <f t="shared" ca="1" si="52"/>
        <v/>
      </c>
      <c r="M267" s="132" t="str">
        <f t="shared" ca="1" si="53"/>
        <v/>
      </c>
      <c r="N267" s="132" t="str">
        <f t="shared" ca="1" si="54"/>
        <v/>
      </c>
      <c r="P267" t="str">
        <f t="shared" ca="1" si="55"/>
        <v/>
      </c>
      <c r="Q267" s="133" t="str">
        <f t="shared" ca="1" si="56"/>
        <v/>
      </c>
      <c r="R267" s="133" t="str">
        <f t="shared" ca="1" si="57"/>
        <v/>
      </c>
      <c r="T267" t="str">
        <f t="shared" ca="1" si="58"/>
        <v/>
      </c>
      <c r="U267" s="134" t="str">
        <f t="shared" ca="1" si="59"/>
        <v/>
      </c>
    </row>
    <row r="268" spans="1:21" x14ac:dyDescent="0.3">
      <c r="A268" s="151" t="str">
        <f ca="1">Returns!$A$266</f>
        <v/>
      </c>
      <c r="B268" s="152" t="str">
        <f ca="1">IF($A268="","",Returns!$J$266)</f>
        <v/>
      </c>
      <c r="C268" s="153" t="str">
        <f t="shared" ca="1" si="60"/>
        <v/>
      </c>
      <c r="D268" s="153" t="str">
        <f ca="1">IF($A268="","",MAX($C$7:C268))</f>
        <v/>
      </c>
      <c r="E268" s="154" t="str">
        <f t="shared" ca="1" si="61"/>
        <v/>
      </c>
      <c r="F268" s="152" t="str">
        <f ca="1">IF($A268="","",Returns!$I$266)</f>
        <v/>
      </c>
      <c r="G268" s="153" t="str">
        <f t="shared" ca="1" si="62"/>
        <v/>
      </c>
      <c r="H268" s="153" t="str">
        <f ca="1">IF($A268="","",MAX($G$7:G268))</f>
        <v/>
      </c>
      <c r="I268" s="154" t="str">
        <f t="shared" ca="1" si="63"/>
        <v/>
      </c>
      <c r="J268" s="59" t="str">
        <f t="shared" ca="1" si="64"/>
        <v/>
      </c>
      <c r="K268" s="3"/>
      <c r="L268" t="str">
        <f t="shared" ca="1" si="52"/>
        <v/>
      </c>
      <c r="M268" s="132" t="str">
        <f t="shared" ca="1" si="53"/>
        <v/>
      </c>
      <c r="N268" s="132" t="str">
        <f t="shared" ca="1" si="54"/>
        <v/>
      </c>
      <c r="P268" t="str">
        <f t="shared" ca="1" si="55"/>
        <v/>
      </c>
      <c r="Q268" s="133" t="str">
        <f t="shared" ca="1" si="56"/>
        <v/>
      </c>
      <c r="R268" s="133" t="str">
        <f t="shared" ca="1" si="57"/>
        <v/>
      </c>
      <c r="T268" t="str">
        <f t="shared" ca="1" si="58"/>
        <v/>
      </c>
      <c r="U268" s="134" t="str">
        <f t="shared" ca="1" si="59"/>
        <v/>
      </c>
    </row>
    <row r="269" spans="1:21" x14ac:dyDescent="0.3">
      <c r="A269" s="151" t="str">
        <f ca="1">Returns!$A$267</f>
        <v/>
      </c>
      <c r="B269" s="152" t="str">
        <f ca="1">IF($A269="","",Returns!$J$267)</f>
        <v/>
      </c>
      <c r="C269" s="153" t="str">
        <f t="shared" ca="1" si="60"/>
        <v/>
      </c>
      <c r="D269" s="153" t="str">
        <f ca="1">IF($A269="","",MAX($C$7:C269))</f>
        <v/>
      </c>
      <c r="E269" s="154" t="str">
        <f t="shared" ca="1" si="61"/>
        <v/>
      </c>
      <c r="F269" s="152" t="str">
        <f ca="1">IF($A269="","",Returns!$I$267)</f>
        <v/>
      </c>
      <c r="G269" s="153" t="str">
        <f t="shared" ca="1" si="62"/>
        <v/>
      </c>
      <c r="H269" s="153" t="str">
        <f ca="1">IF($A269="","",MAX($G$7:G269))</f>
        <v/>
      </c>
      <c r="I269" s="154" t="str">
        <f t="shared" ca="1" si="63"/>
        <v/>
      </c>
      <c r="J269" s="59" t="str">
        <f t="shared" ca="1" si="64"/>
        <v/>
      </c>
      <c r="K269" s="3"/>
      <c r="L269" t="str">
        <f t="shared" ca="1" si="52"/>
        <v/>
      </c>
      <c r="M269" s="132" t="str">
        <f t="shared" ca="1" si="53"/>
        <v/>
      </c>
      <c r="N269" s="132" t="str">
        <f t="shared" ca="1" si="54"/>
        <v/>
      </c>
      <c r="P269" t="str">
        <f t="shared" ca="1" si="55"/>
        <v/>
      </c>
      <c r="Q269" s="133" t="str">
        <f t="shared" ca="1" si="56"/>
        <v/>
      </c>
      <c r="R269" s="133" t="str">
        <f t="shared" ca="1" si="57"/>
        <v/>
      </c>
      <c r="T269" t="str">
        <f t="shared" ca="1" si="58"/>
        <v/>
      </c>
      <c r="U269" s="134" t="str">
        <f t="shared" ca="1" si="59"/>
        <v/>
      </c>
    </row>
    <row r="270" spans="1:21" x14ac:dyDescent="0.3">
      <c r="A270" s="151" t="str">
        <f ca="1">Returns!$A$268</f>
        <v/>
      </c>
      <c r="B270" s="152" t="str">
        <f ca="1">IF($A270="","",Returns!$J$268)</f>
        <v/>
      </c>
      <c r="C270" s="153" t="str">
        <f t="shared" ca="1" si="60"/>
        <v/>
      </c>
      <c r="D270" s="153" t="str">
        <f ca="1">IF($A270="","",MAX($C$7:C270))</f>
        <v/>
      </c>
      <c r="E270" s="154" t="str">
        <f t="shared" ca="1" si="61"/>
        <v/>
      </c>
      <c r="F270" s="152" t="str">
        <f ca="1">IF($A270="","",Returns!$I$268)</f>
        <v/>
      </c>
      <c r="G270" s="153" t="str">
        <f t="shared" ca="1" si="62"/>
        <v/>
      </c>
      <c r="H270" s="153" t="str">
        <f ca="1">IF($A270="","",MAX($G$7:G270))</f>
        <v/>
      </c>
      <c r="I270" s="154" t="str">
        <f t="shared" ca="1" si="63"/>
        <v/>
      </c>
      <c r="J270" s="59" t="str">
        <f t="shared" ca="1" si="64"/>
        <v/>
      </c>
      <c r="K270" s="3"/>
      <c r="L270" t="str">
        <f t="shared" ca="1" si="52"/>
        <v/>
      </c>
      <c r="M270" s="132" t="str">
        <f t="shared" ca="1" si="53"/>
        <v/>
      </c>
      <c r="N270" s="132" t="str">
        <f t="shared" ca="1" si="54"/>
        <v/>
      </c>
      <c r="P270" t="str">
        <f t="shared" ca="1" si="55"/>
        <v/>
      </c>
      <c r="Q270" s="133" t="str">
        <f t="shared" ca="1" si="56"/>
        <v/>
      </c>
      <c r="R270" s="133" t="str">
        <f t="shared" ca="1" si="57"/>
        <v/>
      </c>
      <c r="T270" t="str">
        <f t="shared" ca="1" si="58"/>
        <v/>
      </c>
      <c r="U270" s="134" t="str">
        <f t="shared" ca="1" si="59"/>
        <v/>
      </c>
    </row>
    <row r="271" spans="1:21" x14ac:dyDescent="0.3">
      <c r="A271" s="151" t="str">
        <f ca="1">Returns!$A$269</f>
        <v/>
      </c>
      <c r="B271" s="152" t="str">
        <f ca="1">IF($A271="","",Returns!$J$269)</f>
        <v/>
      </c>
      <c r="C271" s="153" t="str">
        <f t="shared" ca="1" si="60"/>
        <v/>
      </c>
      <c r="D271" s="153" t="str">
        <f ca="1">IF($A271="","",MAX($C$7:C271))</f>
        <v/>
      </c>
      <c r="E271" s="154" t="str">
        <f t="shared" ca="1" si="61"/>
        <v/>
      </c>
      <c r="F271" s="152" t="str">
        <f ca="1">IF($A271="","",Returns!$I$269)</f>
        <v/>
      </c>
      <c r="G271" s="153" t="str">
        <f t="shared" ca="1" si="62"/>
        <v/>
      </c>
      <c r="H271" s="153" t="str">
        <f ca="1">IF($A271="","",MAX($G$7:G271))</f>
        <v/>
      </c>
      <c r="I271" s="154" t="str">
        <f t="shared" ca="1" si="63"/>
        <v/>
      </c>
      <c r="J271" s="59" t="str">
        <f t="shared" ca="1" si="64"/>
        <v/>
      </c>
      <c r="K271" s="3"/>
      <c r="L271" t="str">
        <f t="shared" ca="1" si="52"/>
        <v/>
      </c>
      <c r="M271" s="132" t="str">
        <f t="shared" ca="1" si="53"/>
        <v/>
      </c>
      <c r="N271" s="132" t="str">
        <f t="shared" ca="1" si="54"/>
        <v/>
      </c>
      <c r="P271" t="str">
        <f t="shared" ca="1" si="55"/>
        <v/>
      </c>
      <c r="Q271" s="133" t="str">
        <f t="shared" ca="1" si="56"/>
        <v/>
      </c>
      <c r="R271" s="133" t="str">
        <f t="shared" ca="1" si="57"/>
        <v/>
      </c>
      <c r="T271" t="str">
        <f t="shared" ca="1" si="58"/>
        <v/>
      </c>
      <c r="U271" s="134" t="str">
        <f t="shared" ca="1" si="59"/>
        <v/>
      </c>
    </row>
    <row r="272" spans="1:21" x14ac:dyDescent="0.3">
      <c r="A272" s="151" t="str">
        <f ca="1">Returns!$A$270</f>
        <v/>
      </c>
      <c r="B272" s="152" t="str">
        <f ca="1">IF($A272="","",Returns!$J$270)</f>
        <v/>
      </c>
      <c r="C272" s="153" t="str">
        <f t="shared" ca="1" si="60"/>
        <v/>
      </c>
      <c r="D272" s="153" t="str">
        <f ca="1">IF($A272="","",MAX($C$7:C272))</f>
        <v/>
      </c>
      <c r="E272" s="154" t="str">
        <f t="shared" ca="1" si="61"/>
        <v/>
      </c>
      <c r="F272" s="152" t="str">
        <f ca="1">IF($A272="","",Returns!$I$270)</f>
        <v/>
      </c>
      <c r="G272" s="153" t="str">
        <f t="shared" ca="1" si="62"/>
        <v/>
      </c>
      <c r="H272" s="153" t="str">
        <f ca="1">IF($A272="","",MAX($G$7:G272))</f>
        <v/>
      </c>
      <c r="I272" s="154" t="str">
        <f t="shared" ca="1" si="63"/>
        <v/>
      </c>
      <c r="J272" s="59" t="str">
        <f t="shared" ca="1" si="64"/>
        <v/>
      </c>
      <c r="K272" s="3"/>
      <c r="L272" t="str">
        <f t="shared" ca="1" si="52"/>
        <v/>
      </c>
      <c r="M272" s="132" t="str">
        <f t="shared" ca="1" si="53"/>
        <v/>
      </c>
      <c r="N272" s="132" t="str">
        <f t="shared" ca="1" si="54"/>
        <v/>
      </c>
      <c r="P272" t="str">
        <f t="shared" ca="1" si="55"/>
        <v/>
      </c>
      <c r="Q272" s="133" t="str">
        <f t="shared" ca="1" si="56"/>
        <v/>
      </c>
      <c r="R272" s="133" t="str">
        <f t="shared" ca="1" si="57"/>
        <v/>
      </c>
      <c r="T272" t="str">
        <f t="shared" ca="1" si="58"/>
        <v/>
      </c>
      <c r="U272" s="134" t="str">
        <f t="shared" ca="1" si="59"/>
        <v/>
      </c>
    </row>
    <row r="273" spans="1:21" x14ac:dyDescent="0.3">
      <c r="A273" s="151" t="str">
        <f ca="1">Returns!$A$271</f>
        <v/>
      </c>
      <c r="B273" s="152" t="str">
        <f ca="1">IF($A273="","",Returns!$J$271)</f>
        <v/>
      </c>
      <c r="C273" s="153" t="str">
        <f t="shared" ca="1" si="60"/>
        <v/>
      </c>
      <c r="D273" s="153" t="str">
        <f ca="1">IF($A273="","",MAX($C$7:C273))</f>
        <v/>
      </c>
      <c r="E273" s="154" t="str">
        <f t="shared" ca="1" si="61"/>
        <v/>
      </c>
      <c r="F273" s="152" t="str">
        <f ca="1">IF($A273="","",Returns!$I$271)</f>
        <v/>
      </c>
      <c r="G273" s="153" t="str">
        <f t="shared" ca="1" si="62"/>
        <v/>
      </c>
      <c r="H273" s="153" t="str">
        <f ca="1">IF($A273="","",MAX($G$7:G273))</f>
        <v/>
      </c>
      <c r="I273" s="154" t="str">
        <f t="shared" ca="1" si="63"/>
        <v/>
      </c>
      <c r="J273" s="59" t="str">
        <f t="shared" ca="1" si="64"/>
        <v/>
      </c>
      <c r="K273" s="3"/>
      <c r="L273" t="str">
        <f t="shared" ca="1" si="52"/>
        <v/>
      </c>
      <c r="M273" s="132" t="str">
        <f t="shared" ca="1" si="53"/>
        <v/>
      </c>
      <c r="N273" s="132" t="str">
        <f t="shared" ca="1" si="54"/>
        <v/>
      </c>
      <c r="P273" t="str">
        <f t="shared" ca="1" si="55"/>
        <v/>
      </c>
      <c r="Q273" s="133" t="str">
        <f t="shared" ca="1" si="56"/>
        <v/>
      </c>
      <c r="R273" s="133" t="str">
        <f t="shared" ca="1" si="57"/>
        <v/>
      </c>
      <c r="T273" t="str">
        <f t="shared" ca="1" si="58"/>
        <v/>
      </c>
      <c r="U273" s="134" t="str">
        <f t="shared" ca="1" si="59"/>
        <v/>
      </c>
    </row>
    <row r="274" spans="1:21" x14ac:dyDescent="0.3">
      <c r="A274" s="151" t="str">
        <f ca="1">Returns!$A$272</f>
        <v/>
      </c>
      <c r="B274" s="152" t="str">
        <f ca="1">IF($A274="","",Returns!$J$272)</f>
        <v/>
      </c>
      <c r="C274" s="153" t="str">
        <f t="shared" ca="1" si="60"/>
        <v/>
      </c>
      <c r="D274" s="153" t="str">
        <f ca="1">IF($A274="","",MAX($C$7:C274))</f>
        <v/>
      </c>
      <c r="E274" s="154" t="str">
        <f t="shared" ca="1" si="61"/>
        <v/>
      </c>
      <c r="F274" s="152" t="str">
        <f ca="1">IF($A274="","",Returns!$I$272)</f>
        <v/>
      </c>
      <c r="G274" s="153" t="str">
        <f t="shared" ca="1" si="62"/>
        <v/>
      </c>
      <c r="H274" s="153" t="str">
        <f ca="1">IF($A274="","",MAX($G$7:G274))</f>
        <v/>
      </c>
      <c r="I274" s="154" t="str">
        <f t="shared" ca="1" si="63"/>
        <v/>
      </c>
      <c r="J274" s="59" t="str">
        <f t="shared" ca="1" si="64"/>
        <v/>
      </c>
      <c r="K274" s="3"/>
      <c r="L274" t="str">
        <f t="shared" ca="1" si="52"/>
        <v/>
      </c>
      <c r="M274" s="132" t="str">
        <f t="shared" ca="1" si="53"/>
        <v/>
      </c>
      <c r="N274" s="132" t="str">
        <f t="shared" ca="1" si="54"/>
        <v/>
      </c>
      <c r="P274" t="str">
        <f t="shared" ca="1" si="55"/>
        <v/>
      </c>
      <c r="Q274" s="133" t="str">
        <f t="shared" ca="1" si="56"/>
        <v/>
      </c>
      <c r="R274" s="133" t="str">
        <f t="shared" ca="1" si="57"/>
        <v/>
      </c>
      <c r="T274" t="str">
        <f t="shared" ca="1" si="58"/>
        <v/>
      </c>
      <c r="U274" s="134" t="str">
        <f t="shared" ca="1" si="59"/>
        <v/>
      </c>
    </row>
    <row r="275" spans="1:21" x14ac:dyDescent="0.3">
      <c r="A275" s="151" t="str">
        <f ca="1">Returns!$A$273</f>
        <v/>
      </c>
      <c r="B275" s="152" t="str">
        <f ca="1">IF($A275="","",Returns!$J$273)</f>
        <v/>
      </c>
      <c r="C275" s="153" t="str">
        <f t="shared" ca="1" si="60"/>
        <v/>
      </c>
      <c r="D275" s="153" t="str">
        <f ca="1">IF($A275="","",MAX($C$7:C275))</f>
        <v/>
      </c>
      <c r="E275" s="154" t="str">
        <f t="shared" ca="1" si="61"/>
        <v/>
      </c>
      <c r="F275" s="152" t="str">
        <f ca="1">IF($A275="","",Returns!$I$273)</f>
        <v/>
      </c>
      <c r="G275" s="153" t="str">
        <f t="shared" ca="1" si="62"/>
        <v/>
      </c>
      <c r="H275" s="153" t="str">
        <f ca="1">IF($A275="","",MAX($G$7:G275))</f>
        <v/>
      </c>
      <c r="I275" s="154" t="str">
        <f t="shared" ca="1" si="63"/>
        <v/>
      </c>
      <c r="J275" s="59" t="str">
        <f t="shared" ca="1" si="64"/>
        <v/>
      </c>
      <c r="K275" s="3"/>
      <c r="L275" t="str">
        <f t="shared" ca="1" si="52"/>
        <v/>
      </c>
      <c r="M275" s="132" t="str">
        <f t="shared" ca="1" si="53"/>
        <v/>
      </c>
      <c r="N275" s="132" t="str">
        <f t="shared" ca="1" si="54"/>
        <v/>
      </c>
      <c r="P275" t="str">
        <f t="shared" ca="1" si="55"/>
        <v/>
      </c>
      <c r="Q275" s="133" t="str">
        <f t="shared" ca="1" si="56"/>
        <v/>
      </c>
      <c r="R275" s="133" t="str">
        <f t="shared" ca="1" si="57"/>
        <v/>
      </c>
      <c r="T275" t="str">
        <f t="shared" ca="1" si="58"/>
        <v/>
      </c>
      <c r="U275" s="134" t="str">
        <f t="shared" ca="1" si="59"/>
        <v/>
      </c>
    </row>
    <row r="276" spans="1:21" x14ac:dyDescent="0.3">
      <c r="A276" s="151" t="str">
        <f ca="1">Returns!$A$274</f>
        <v/>
      </c>
      <c r="B276" s="152" t="str">
        <f ca="1">IF($A276="","",Returns!$J$274)</f>
        <v/>
      </c>
      <c r="C276" s="153" t="str">
        <f t="shared" ca="1" si="60"/>
        <v/>
      </c>
      <c r="D276" s="153" t="str">
        <f ca="1">IF($A276="","",MAX($C$7:C276))</f>
        <v/>
      </c>
      <c r="E276" s="154" t="str">
        <f t="shared" ca="1" si="61"/>
        <v/>
      </c>
      <c r="F276" s="152" t="str">
        <f ca="1">IF($A276="","",Returns!$I$274)</f>
        <v/>
      </c>
      <c r="G276" s="153" t="str">
        <f t="shared" ca="1" si="62"/>
        <v/>
      </c>
      <c r="H276" s="153" t="str">
        <f ca="1">IF($A276="","",MAX($G$7:G276))</f>
        <v/>
      </c>
      <c r="I276" s="154" t="str">
        <f t="shared" ca="1" si="63"/>
        <v/>
      </c>
      <c r="J276" s="59" t="str">
        <f t="shared" ca="1" si="64"/>
        <v/>
      </c>
      <c r="K276" s="3"/>
      <c r="L276" t="str">
        <f t="shared" ca="1" si="52"/>
        <v/>
      </c>
      <c r="M276" s="132" t="str">
        <f t="shared" ca="1" si="53"/>
        <v/>
      </c>
      <c r="N276" s="132" t="str">
        <f t="shared" ca="1" si="54"/>
        <v/>
      </c>
      <c r="P276" t="str">
        <f t="shared" ca="1" si="55"/>
        <v/>
      </c>
      <c r="Q276" s="133" t="str">
        <f t="shared" ca="1" si="56"/>
        <v/>
      </c>
      <c r="R276" s="133" t="str">
        <f t="shared" ca="1" si="57"/>
        <v/>
      </c>
      <c r="T276" t="str">
        <f t="shared" ca="1" si="58"/>
        <v/>
      </c>
      <c r="U276" s="134" t="str">
        <f t="shared" ca="1" si="59"/>
        <v/>
      </c>
    </row>
    <row r="277" spans="1:21" x14ac:dyDescent="0.3">
      <c r="A277" s="151" t="str">
        <f ca="1">Returns!$A$275</f>
        <v/>
      </c>
      <c r="B277" s="152" t="str">
        <f ca="1">IF($A277="","",Returns!$J$275)</f>
        <v/>
      </c>
      <c r="C277" s="153" t="str">
        <f t="shared" ca="1" si="60"/>
        <v/>
      </c>
      <c r="D277" s="153" t="str">
        <f ca="1">IF($A277="","",MAX($C$7:C277))</f>
        <v/>
      </c>
      <c r="E277" s="154" t="str">
        <f t="shared" ca="1" si="61"/>
        <v/>
      </c>
      <c r="F277" s="152" t="str">
        <f ca="1">IF($A277="","",Returns!$I$275)</f>
        <v/>
      </c>
      <c r="G277" s="153" t="str">
        <f t="shared" ca="1" si="62"/>
        <v/>
      </c>
      <c r="H277" s="153" t="str">
        <f ca="1">IF($A277="","",MAX($G$7:G277))</f>
        <v/>
      </c>
      <c r="I277" s="154" t="str">
        <f t="shared" ca="1" si="63"/>
        <v/>
      </c>
      <c r="J277" s="59" t="str">
        <f t="shared" ca="1" si="64"/>
        <v/>
      </c>
      <c r="K277" s="3"/>
      <c r="L277" t="str">
        <f t="shared" ca="1" si="52"/>
        <v/>
      </c>
      <c r="M277" s="132" t="str">
        <f t="shared" ca="1" si="53"/>
        <v/>
      </c>
      <c r="N277" s="132" t="str">
        <f t="shared" ca="1" si="54"/>
        <v/>
      </c>
      <c r="P277" t="str">
        <f t="shared" ca="1" si="55"/>
        <v/>
      </c>
      <c r="Q277" s="133" t="str">
        <f t="shared" ca="1" si="56"/>
        <v/>
      </c>
      <c r="R277" s="133" t="str">
        <f t="shared" ca="1" si="57"/>
        <v/>
      </c>
      <c r="T277" t="str">
        <f t="shared" ca="1" si="58"/>
        <v/>
      </c>
      <c r="U277" s="134" t="str">
        <f t="shared" ca="1" si="59"/>
        <v/>
      </c>
    </row>
    <row r="278" spans="1:21" x14ac:dyDescent="0.3">
      <c r="A278" s="151" t="str">
        <f ca="1">Returns!$A$276</f>
        <v/>
      </c>
      <c r="B278" s="152" t="str">
        <f ca="1">IF($A278="","",Returns!$J$276)</f>
        <v/>
      </c>
      <c r="C278" s="153" t="str">
        <f t="shared" ca="1" si="60"/>
        <v/>
      </c>
      <c r="D278" s="153" t="str">
        <f ca="1">IF($A278="","",MAX($C$7:C278))</f>
        <v/>
      </c>
      <c r="E278" s="154" t="str">
        <f t="shared" ca="1" si="61"/>
        <v/>
      </c>
      <c r="F278" s="152" t="str">
        <f ca="1">IF($A278="","",Returns!$I$276)</f>
        <v/>
      </c>
      <c r="G278" s="153" t="str">
        <f t="shared" ca="1" si="62"/>
        <v/>
      </c>
      <c r="H278" s="153" t="str">
        <f ca="1">IF($A278="","",MAX($G$7:G278))</f>
        <v/>
      </c>
      <c r="I278" s="154" t="str">
        <f t="shared" ca="1" si="63"/>
        <v/>
      </c>
      <c r="J278" s="59" t="str">
        <f t="shared" ca="1" si="64"/>
        <v/>
      </c>
      <c r="K278" s="3"/>
      <c r="L278" t="str">
        <f t="shared" ca="1" si="52"/>
        <v/>
      </c>
      <c r="M278" s="132" t="str">
        <f t="shared" ca="1" si="53"/>
        <v/>
      </c>
      <c r="N278" s="132" t="str">
        <f t="shared" ca="1" si="54"/>
        <v/>
      </c>
      <c r="P278" t="str">
        <f t="shared" ca="1" si="55"/>
        <v/>
      </c>
      <c r="Q278" s="133" t="str">
        <f t="shared" ca="1" si="56"/>
        <v/>
      </c>
      <c r="R278" s="133" t="str">
        <f t="shared" ca="1" si="57"/>
        <v/>
      </c>
      <c r="T278" t="str">
        <f t="shared" ca="1" si="58"/>
        <v/>
      </c>
      <c r="U278" s="134" t="str">
        <f t="shared" ca="1" si="59"/>
        <v/>
      </c>
    </row>
    <row r="279" spans="1:21" x14ac:dyDescent="0.3">
      <c r="A279" s="151" t="str">
        <f ca="1">Returns!$A$277</f>
        <v/>
      </c>
      <c r="B279" s="152" t="str">
        <f ca="1">IF($A279="","",Returns!$J$277)</f>
        <v/>
      </c>
      <c r="C279" s="153" t="str">
        <f t="shared" ca="1" si="60"/>
        <v/>
      </c>
      <c r="D279" s="153" t="str">
        <f ca="1">IF($A279="","",MAX($C$7:C279))</f>
        <v/>
      </c>
      <c r="E279" s="154" t="str">
        <f t="shared" ca="1" si="61"/>
        <v/>
      </c>
      <c r="F279" s="152" t="str">
        <f ca="1">IF($A279="","",Returns!$I$277)</f>
        <v/>
      </c>
      <c r="G279" s="153" t="str">
        <f t="shared" ca="1" si="62"/>
        <v/>
      </c>
      <c r="H279" s="153" t="str">
        <f ca="1">IF($A279="","",MAX($G$7:G279))</f>
        <v/>
      </c>
      <c r="I279" s="154" t="str">
        <f t="shared" ca="1" si="63"/>
        <v/>
      </c>
      <c r="J279" s="59" t="str">
        <f t="shared" ca="1" si="64"/>
        <v/>
      </c>
      <c r="K279" s="3"/>
      <c r="L279" t="str">
        <f t="shared" ca="1" si="52"/>
        <v/>
      </c>
      <c r="M279" s="132" t="str">
        <f t="shared" ca="1" si="53"/>
        <v/>
      </c>
      <c r="N279" s="132" t="str">
        <f t="shared" ca="1" si="54"/>
        <v/>
      </c>
      <c r="P279" t="str">
        <f t="shared" ca="1" si="55"/>
        <v/>
      </c>
      <c r="Q279" s="133" t="str">
        <f t="shared" ca="1" si="56"/>
        <v/>
      </c>
      <c r="R279" s="133" t="str">
        <f t="shared" ca="1" si="57"/>
        <v/>
      </c>
      <c r="T279" t="str">
        <f t="shared" ca="1" si="58"/>
        <v/>
      </c>
      <c r="U279" s="134" t="str">
        <f t="shared" ca="1" si="59"/>
        <v/>
      </c>
    </row>
    <row r="280" spans="1:21" x14ac:dyDescent="0.3">
      <c r="A280" s="151" t="str">
        <f ca="1">Returns!$A$278</f>
        <v/>
      </c>
      <c r="B280" s="152" t="str">
        <f ca="1">IF($A280="","",Returns!$J$278)</f>
        <v/>
      </c>
      <c r="C280" s="153" t="str">
        <f t="shared" ca="1" si="60"/>
        <v/>
      </c>
      <c r="D280" s="153" t="str">
        <f ca="1">IF($A280="","",MAX($C$7:C280))</f>
        <v/>
      </c>
      <c r="E280" s="154" t="str">
        <f t="shared" ca="1" si="61"/>
        <v/>
      </c>
      <c r="F280" s="152" t="str">
        <f ca="1">IF($A280="","",Returns!$I$278)</f>
        <v/>
      </c>
      <c r="G280" s="153" t="str">
        <f t="shared" ca="1" si="62"/>
        <v/>
      </c>
      <c r="H280" s="153" t="str">
        <f ca="1">IF($A280="","",MAX($G$7:G280))</f>
        <v/>
      </c>
      <c r="I280" s="154" t="str">
        <f t="shared" ca="1" si="63"/>
        <v/>
      </c>
      <c r="J280" s="59" t="str">
        <f t="shared" ca="1" si="64"/>
        <v/>
      </c>
      <c r="K280" s="3"/>
      <c r="L280" t="str">
        <f t="shared" ca="1" si="52"/>
        <v/>
      </c>
      <c r="M280" s="132" t="str">
        <f t="shared" ca="1" si="53"/>
        <v/>
      </c>
      <c r="N280" s="132" t="str">
        <f t="shared" ca="1" si="54"/>
        <v/>
      </c>
      <c r="P280" t="str">
        <f t="shared" ca="1" si="55"/>
        <v/>
      </c>
      <c r="Q280" s="133" t="str">
        <f t="shared" ca="1" si="56"/>
        <v/>
      </c>
      <c r="R280" s="133" t="str">
        <f t="shared" ca="1" si="57"/>
        <v/>
      </c>
      <c r="T280" t="str">
        <f t="shared" ca="1" si="58"/>
        <v/>
      </c>
      <c r="U280" s="134" t="str">
        <f t="shared" ca="1" si="59"/>
        <v/>
      </c>
    </row>
    <row r="281" spans="1:21" x14ac:dyDescent="0.3">
      <c r="A281" s="151" t="str">
        <f ca="1">Returns!$A$279</f>
        <v/>
      </c>
      <c r="B281" s="152" t="str">
        <f ca="1">IF($A281="","",Returns!$J$279)</f>
        <v/>
      </c>
      <c r="C281" s="153" t="str">
        <f t="shared" ca="1" si="60"/>
        <v/>
      </c>
      <c r="D281" s="153" t="str">
        <f ca="1">IF($A281="","",MAX($C$7:C281))</f>
        <v/>
      </c>
      <c r="E281" s="154" t="str">
        <f t="shared" ca="1" si="61"/>
        <v/>
      </c>
      <c r="F281" s="152" t="str">
        <f ca="1">IF($A281="","",Returns!$I$279)</f>
        <v/>
      </c>
      <c r="G281" s="153" t="str">
        <f t="shared" ca="1" si="62"/>
        <v/>
      </c>
      <c r="H281" s="153" t="str">
        <f ca="1">IF($A281="","",MAX($G$7:G281))</f>
        <v/>
      </c>
      <c r="I281" s="154" t="str">
        <f t="shared" ca="1" si="63"/>
        <v/>
      </c>
      <c r="J281" s="59" t="str">
        <f t="shared" ca="1" si="64"/>
        <v/>
      </c>
      <c r="K281" s="3"/>
      <c r="L281" t="str">
        <f t="shared" ca="1" si="52"/>
        <v/>
      </c>
      <c r="M281" s="132" t="str">
        <f t="shared" ca="1" si="53"/>
        <v/>
      </c>
      <c r="N281" s="132" t="str">
        <f t="shared" ca="1" si="54"/>
        <v/>
      </c>
      <c r="P281" t="str">
        <f t="shared" ca="1" si="55"/>
        <v/>
      </c>
      <c r="Q281" s="133" t="str">
        <f t="shared" ca="1" si="56"/>
        <v/>
      </c>
      <c r="R281" s="133" t="str">
        <f t="shared" ca="1" si="57"/>
        <v/>
      </c>
      <c r="T281" t="str">
        <f t="shared" ca="1" si="58"/>
        <v/>
      </c>
      <c r="U281" s="134" t="str">
        <f t="shared" ca="1" si="59"/>
        <v/>
      </c>
    </row>
    <row r="282" spans="1:21" x14ac:dyDescent="0.3">
      <c r="A282" s="151" t="str">
        <f ca="1">Returns!$A$280</f>
        <v/>
      </c>
      <c r="B282" s="152" t="str">
        <f ca="1">IF($A282="","",Returns!$J$280)</f>
        <v/>
      </c>
      <c r="C282" s="153" t="str">
        <f t="shared" ca="1" si="60"/>
        <v/>
      </c>
      <c r="D282" s="153" t="str">
        <f ca="1">IF($A282="","",MAX($C$7:C282))</f>
        <v/>
      </c>
      <c r="E282" s="154" t="str">
        <f t="shared" ca="1" si="61"/>
        <v/>
      </c>
      <c r="F282" s="152" t="str">
        <f ca="1">IF($A282="","",Returns!$I$280)</f>
        <v/>
      </c>
      <c r="G282" s="153" t="str">
        <f t="shared" ca="1" si="62"/>
        <v/>
      </c>
      <c r="H282" s="153" t="str">
        <f ca="1">IF($A282="","",MAX($G$7:G282))</f>
        <v/>
      </c>
      <c r="I282" s="154" t="str">
        <f t="shared" ca="1" si="63"/>
        <v/>
      </c>
      <c r="J282" s="59" t="str">
        <f t="shared" ca="1" si="64"/>
        <v/>
      </c>
      <c r="K282" s="3"/>
      <c r="L282" t="str">
        <f t="shared" ca="1" si="52"/>
        <v/>
      </c>
      <c r="M282" s="132" t="str">
        <f t="shared" ca="1" si="53"/>
        <v/>
      </c>
      <c r="N282" s="132" t="str">
        <f t="shared" ca="1" si="54"/>
        <v/>
      </c>
      <c r="P282" t="str">
        <f t="shared" ca="1" si="55"/>
        <v/>
      </c>
      <c r="Q282" s="133" t="str">
        <f t="shared" ca="1" si="56"/>
        <v/>
      </c>
      <c r="R282" s="133" t="str">
        <f t="shared" ca="1" si="57"/>
        <v/>
      </c>
      <c r="T282" t="str">
        <f t="shared" ca="1" si="58"/>
        <v/>
      </c>
      <c r="U282" s="134" t="str">
        <f t="shared" ca="1" si="59"/>
        <v/>
      </c>
    </row>
    <row r="283" spans="1:21" x14ac:dyDescent="0.3">
      <c r="A283" s="151" t="str">
        <f ca="1">Returns!$A$281</f>
        <v/>
      </c>
      <c r="B283" s="152" t="str">
        <f ca="1">IF($A283="","",Returns!$J$281)</f>
        <v/>
      </c>
      <c r="C283" s="153" t="str">
        <f t="shared" ca="1" si="60"/>
        <v/>
      </c>
      <c r="D283" s="153" t="str">
        <f ca="1">IF($A283="","",MAX($C$7:C283))</f>
        <v/>
      </c>
      <c r="E283" s="154" t="str">
        <f t="shared" ca="1" si="61"/>
        <v/>
      </c>
      <c r="F283" s="152" t="str">
        <f ca="1">IF($A283="","",Returns!$I$281)</f>
        <v/>
      </c>
      <c r="G283" s="153" t="str">
        <f t="shared" ca="1" si="62"/>
        <v/>
      </c>
      <c r="H283" s="153" t="str">
        <f ca="1">IF($A283="","",MAX($G$7:G283))</f>
        <v/>
      </c>
      <c r="I283" s="154" t="str">
        <f t="shared" ca="1" si="63"/>
        <v/>
      </c>
      <c r="J283" s="59" t="str">
        <f t="shared" ca="1" si="64"/>
        <v/>
      </c>
      <c r="K283" s="3"/>
      <c r="L283" t="str">
        <f t="shared" ca="1" si="52"/>
        <v/>
      </c>
      <c r="M283" s="132" t="str">
        <f t="shared" ca="1" si="53"/>
        <v/>
      </c>
      <c r="N283" s="132" t="str">
        <f t="shared" ca="1" si="54"/>
        <v/>
      </c>
      <c r="P283" t="str">
        <f t="shared" ca="1" si="55"/>
        <v/>
      </c>
      <c r="Q283" s="133" t="str">
        <f t="shared" ca="1" si="56"/>
        <v/>
      </c>
      <c r="R283" s="133" t="str">
        <f t="shared" ca="1" si="57"/>
        <v/>
      </c>
      <c r="T283" t="str">
        <f t="shared" ca="1" si="58"/>
        <v/>
      </c>
      <c r="U283" s="134" t="str">
        <f t="shared" ca="1" si="59"/>
        <v/>
      </c>
    </row>
    <row r="284" spans="1:21" x14ac:dyDescent="0.3">
      <c r="A284" s="151" t="str">
        <f ca="1">Returns!$A$282</f>
        <v/>
      </c>
      <c r="B284" s="152" t="str">
        <f ca="1">IF($A284="","",Returns!$J$282)</f>
        <v/>
      </c>
      <c r="C284" s="153" t="str">
        <f t="shared" ca="1" si="60"/>
        <v/>
      </c>
      <c r="D284" s="153" t="str">
        <f ca="1">IF($A284="","",MAX($C$7:C284))</f>
        <v/>
      </c>
      <c r="E284" s="154" t="str">
        <f t="shared" ca="1" si="61"/>
        <v/>
      </c>
      <c r="F284" s="152" t="str">
        <f ca="1">IF($A284="","",Returns!$I$282)</f>
        <v/>
      </c>
      <c r="G284" s="153" t="str">
        <f t="shared" ca="1" si="62"/>
        <v/>
      </c>
      <c r="H284" s="153" t="str">
        <f ca="1">IF($A284="","",MAX($G$7:G284))</f>
        <v/>
      </c>
      <c r="I284" s="154" t="str">
        <f t="shared" ca="1" si="63"/>
        <v/>
      </c>
      <c r="J284" s="59" t="str">
        <f t="shared" ca="1" si="64"/>
        <v/>
      </c>
      <c r="K284" s="3"/>
      <c r="L284" t="str">
        <f t="shared" ca="1" si="52"/>
        <v/>
      </c>
      <c r="M284" s="132" t="str">
        <f t="shared" ca="1" si="53"/>
        <v/>
      </c>
      <c r="N284" s="132" t="str">
        <f t="shared" ca="1" si="54"/>
        <v/>
      </c>
      <c r="P284" t="str">
        <f t="shared" ca="1" si="55"/>
        <v/>
      </c>
      <c r="Q284" s="133" t="str">
        <f t="shared" ca="1" si="56"/>
        <v/>
      </c>
      <c r="R284" s="133" t="str">
        <f t="shared" ca="1" si="57"/>
        <v/>
      </c>
      <c r="T284" t="str">
        <f t="shared" ca="1" si="58"/>
        <v/>
      </c>
      <c r="U284" s="134" t="str">
        <f t="shared" ca="1" si="59"/>
        <v/>
      </c>
    </row>
    <row r="285" spans="1:21" x14ac:dyDescent="0.3">
      <c r="A285" s="151" t="str">
        <f ca="1">Returns!$A$283</f>
        <v/>
      </c>
      <c r="B285" s="152" t="str">
        <f ca="1">IF($A285="","",Returns!$J$283)</f>
        <v/>
      </c>
      <c r="C285" s="153" t="str">
        <f t="shared" ca="1" si="60"/>
        <v/>
      </c>
      <c r="D285" s="153" t="str">
        <f ca="1">IF($A285="","",MAX($C$7:C285))</f>
        <v/>
      </c>
      <c r="E285" s="154" t="str">
        <f t="shared" ca="1" si="61"/>
        <v/>
      </c>
      <c r="F285" s="152" t="str">
        <f ca="1">IF($A285="","",Returns!$I$283)</f>
        <v/>
      </c>
      <c r="G285" s="153" t="str">
        <f t="shared" ca="1" si="62"/>
        <v/>
      </c>
      <c r="H285" s="153" t="str">
        <f ca="1">IF($A285="","",MAX($G$7:G285))</f>
        <v/>
      </c>
      <c r="I285" s="154" t="str">
        <f t="shared" ca="1" si="63"/>
        <v/>
      </c>
      <c r="J285" s="59" t="str">
        <f t="shared" ca="1" si="64"/>
        <v/>
      </c>
      <c r="K285" s="3"/>
      <c r="L285" t="str">
        <f t="shared" ca="1" si="52"/>
        <v/>
      </c>
      <c r="M285" s="132" t="str">
        <f t="shared" ca="1" si="53"/>
        <v/>
      </c>
      <c r="N285" s="132" t="str">
        <f t="shared" ca="1" si="54"/>
        <v/>
      </c>
      <c r="P285" t="str">
        <f t="shared" ca="1" si="55"/>
        <v/>
      </c>
      <c r="Q285" s="133" t="str">
        <f t="shared" ca="1" si="56"/>
        <v/>
      </c>
      <c r="R285" s="133" t="str">
        <f t="shared" ca="1" si="57"/>
        <v/>
      </c>
      <c r="T285" t="str">
        <f t="shared" ca="1" si="58"/>
        <v/>
      </c>
      <c r="U285" s="134" t="str">
        <f t="shared" ca="1" si="59"/>
        <v/>
      </c>
    </row>
    <row r="286" spans="1:21" x14ac:dyDescent="0.3">
      <c r="A286" s="151" t="str">
        <f ca="1">Returns!$A$284</f>
        <v/>
      </c>
      <c r="B286" s="152" t="str">
        <f ca="1">IF($A286="","",Returns!$J$284)</f>
        <v/>
      </c>
      <c r="C286" s="153" t="str">
        <f t="shared" ca="1" si="60"/>
        <v/>
      </c>
      <c r="D286" s="153" t="str">
        <f ca="1">IF($A286="","",MAX($C$7:C286))</f>
        <v/>
      </c>
      <c r="E286" s="154" t="str">
        <f t="shared" ca="1" si="61"/>
        <v/>
      </c>
      <c r="F286" s="152" t="str">
        <f ca="1">IF($A286="","",Returns!$I$284)</f>
        <v/>
      </c>
      <c r="G286" s="153" t="str">
        <f t="shared" ca="1" si="62"/>
        <v/>
      </c>
      <c r="H286" s="153" t="str">
        <f ca="1">IF($A286="","",MAX($G$7:G286))</f>
        <v/>
      </c>
      <c r="I286" s="154" t="str">
        <f t="shared" ca="1" si="63"/>
        <v/>
      </c>
      <c r="J286" s="59" t="str">
        <f t="shared" ca="1" si="64"/>
        <v/>
      </c>
      <c r="K286" s="3"/>
      <c r="L286" t="str">
        <f t="shared" ca="1" si="52"/>
        <v/>
      </c>
      <c r="M286" s="132" t="str">
        <f t="shared" ca="1" si="53"/>
        <v/>
      </c>
      <c r="N286" s="132" t="str">
        <f t="shared" ca="1" si="54"/>
        <v/>
      </c>
      <c r="P286" t="str">
        <f t="shared" ca="1" si="55"/>
        <v/>
      </c>
      <c r="Q286" s="133" t="str">
        <f t="shared" ca="1" si="56"/>
        <v/>
      </c>
      <c r="R286" s="133" t="str">
        <f t="shared" ca="1" si="57"/>
        <v/>
      </c>
      <c r="T286" t="str">
        <f t="shared" ca="1" si="58"/>
        <v/>
      </c>
      <c r="U286" s="134" t="str">
        <f t="shared" ca="1" si="59"/>
        <v/>
      </c>
    </row>
    <row r="287" spans="1:21" x14ac:dyDescent="0.3">
      <c r="A287" s="151" t="str">
        <f ca="1">Returns!$A$285</f>
        <v/>
      </c>
      <c r="B287" s="152" t="str">
        <f ca="1">IF($A287="","",Returns!$J$285)</f>
        <v/>
      </c>
      <c r="C287" s="153" t="str">
        <f t="shared" ca="1" si="60"/>
        <v/>
      </c>
      <c r="D287" s="153" t="str">
        <f ca="1">IF($A287="","",MAX($C$7:C287))</f>
        <v/>
      </c>
      <c r="E287" s="154" t="str">
        <f t="shared" ca="1" si="61"/>
        <v/>
      </c>
      <c r="F287" s="152" t="str">
        <f ca="1">IF($A287="","",Returns!$I$285)</f>
        <v/>
      </c>
      <c r="G287" s="153" t="str">
        <f t="shared" ca="1" si="62"/>
        <v/>
      </c>
      <c r="H287" s="153" t="str">
        <f ca="1">IF($A287="","",MAX($G$7:G287))</f>
        <v/>
      </c>
      <c r="I287" s="154" t="str">
        <f t="shared" ca="1" si="63"/>
        <v/>
      </c>
      <c r="J287" s="59" t="str">
        <f t="shared" ca="1" si="64"/>
        <v/>
      </c>
      <c r="K287" s="3"/>
      <c r="L287" t="str">
        <f t="shared" ca="1" si="52"/>
        <v/>
      </c>
      <c r="M287" s="132" t="str">
        <f t="shared" ca="1" si="53"/>
        <v/>
      </c>
      <c r="N287" s="132" t="str">
        <f t="shared" ca="1" si="54"/>
        <v/>
      </c>
      <c r="P287" t="str">
        <f t="shared" ca="1" si="55"/>
        <v/>
      </c>
      <c r="Q287" s="133" t="str">
        <f t="shared" ca="1" si="56"/>
        <v/>
      </c>
      <c r="R287" s="133" t="str">
        <f t="shared" ca="1" si="57"/>
        <v/>
      </c>
      <c r="T287" t="str">
        <f t="shared" ca="1" si="58"/>
        <v/>
      </c>
      <c r="U287" s="134" t="str">
        <f t="shared" ca="1" si="59"/>
        <v/>
      </c>
    </row>
    <row r="288" spans="1:21" x14ac:dyDescent="0.3">
      <c r="A288" s="151" t="str">
        <f ca="1">Returns!$A$286</f>
        <v/>
      </c>
      <c r="B288" s="152" t="str">
        <f ca="1">IF($A288="","",Returns!$J$286)</f>
        <v/>
      </c>
      <c r="C288" s="153" t="str">
        <f t="shared" ca="1" si="60"/>
        <v/>
      </c>
      <c r="D288" s="153" t="str">
        <f ca="1">IF($A288="","",MAX($C$7:C288))</f>
        <v/>
      </c>
      <c r="E288" s="154" t="str">
        <f t="shared" ca="1" si="61"/>
        <v/>
      </c>
      <c r="F288" s="152" t="str">
        <f ca="1">IF($A288="","",Returns!$I$286)</f>
        <v/>
      </c>
      <c r="G288" s="153" t="str">
        <f t="shared" ca="1" si="62"/>
        <v/>
      </c>
      <c r="H288" s="153" t="str">
        <f ca="1">IF($A288="","",MAX($G$7:G288))</f>
        <v/>
      </c>
      <c r="I288" s="154" t="str">
        <f t="shared" ca="1" si="63"/>
        <v/>
      </c>
      <c r="J288" s="59" t="str">
        <f t="shared" ca="1" si="64"/>
        <v/>
      </c>
      <c r="K288" s="3"/>
      <c r="L288" t="str">
        <f t="shared" ca="1" si="52"/>
        <v/>
      </c>
      <c r="M288" s="132" t="str">
        <f t="shared" ca="1" si="53"/>
        <v/>
      </c>
      <c r="N288" s="132" t="str">
        <f t="shared" ca="1" si="54"/>
        <v/>
      </c>
      <c r="P288" t="str">
        <f t="shared" ca="1" si="55"/>
        <v/>
      </c>
      <c r="Q288" s="133" t="str">
        <f t="shared" ca="1" si="56"/>
        <v/>
      </c>
      <c r="R288" s="133" t="str">
        <f t="shared" ca="1" si="57"/>
        <v/>
      </c>
      <c r="T288" t="str">
        <f t="shared" ca="1" si="58"/>
        <v/>
      </c>
      <c r="U288" s="134" t="str">
        <f t="shared" ca="1" si="59"/>
        <v/>
      </c>
    </row>
    <row r="289" spans="1:21" x14ac:dyDescent="0.3">
      <c r="A289" s="151" t="str">
        <f ca="1">Returns!$A$287</f>
        <v/>
      </c>
      <c r="B289" s="152" t="str">
        <f ca="1">IF($A289="","",Returns!$J$287)</f>
        <v/>
      </c>
      <c r="C289" s="153" t="str">
        <f t="shared" ca="1" si="60"/>
        <v/>
      </c>
      <c r="D289" s="153" t="str">
        <f ca="1">IF($A289="","",MAX($C$7:C289))</f>
        <v/>
      </c>
      <c r="E289" s="154" t="str">
        <f t="shared" ca="1" si="61"/>
        <v/>
      </c>
      <c r="F289" s="152" t="str">
        <f ca="1">IF($A289="","",Returns!$I$287)</f>
        <v/>
      </c>
      <c r="G289" s="153" t="str">
        <f t="shared" ca="1" si="62"/>
        <v/>
      </c>
      <c r="H289" s="153" t="str">
        <f ca="1">IF($A289="","",MAX($G$7:G289))</f>
        <v/>
      </c>
      <c r="I289" s="154" t="str">
        <f t="shared" ca="1" si="63"/>
        <v/>
      </c>
      <c r="J289" s="59" t="str">
        <f t="shared" ca="1" si="64"/>
        <v/>
      </c>
      <c r="K289" s="3"/>
      <c r="L289" t="str">
        <f t="shared" ca="1" si="52"/>
        <v/>
      </c>
      <c r="M289" s="132" t="str">
        <f t="shared" ca="1" si="53"/>
        <v/>
      </c>
      <c r="N289" s="132" t="str">
        <f t="shared" ca="1" si="54"/>
        <v/>
      </c>
      <c r="P289" t="str">
        <f t="shared" ca="1" si="55"/>
        <v/>
      </c>
      <c r="Q289" s="133" t="str">
        <f t="shared" ca="1" si="56"/>
        <v/>
      </c>
      <c r="R289" s="133" t="str">
        <f t="shared" ca="1" si="57"/>
        <v/>
      </c>
      <c r="T289" t="str">
        <f t="shared" ca="1" si="58"/>
        <v/>
      </c>
      <c r="U289" s="134" t="str">
        <f t="shared" ca="1" si="59"/>
        <v/>
      </c>
    </row>
    <row r="290" spans="1:21" x14ac:dyDescent="0.3">
      <c r="A290" s="151" t="str">
        <f ca="1">Returns!$A$288</f>
        <v/>
      </c>
      <c r="B290" s="152" t="str">
        <f ca="1">IF($A290="","",Returns!$J$288)</f>
        <v/>
      </c>
      <c r="C290" s="153" t="str">
        <f t="shared" ca="1" si="60"/>
        <v/>
      </c>
      <c r="D290" s="153" t="str">
        <f ca="1">IF($A290="","",MAX($C$7:C290))</f>
        <v/>
      </c>
      <c r="E290" s="154" t="str">
        <f t="shared" ca="1" si="61"/>
        <v/>
      </c>
      <c r="F290" s="152" t="str">
        <f ca="1">IF($A290="","",Returns!$I$288)</f>
        <v/>
      </c>
      <c r="G290" s="153" t="str">
        <f t="shared" ca="1" si="62"/>
        <v/>
      </c>
      <c r="H290" s="153" t="str">
        <f ca="1">IF($A290="","",MAX($G$7:G290))</f>
        <v/>
      </c>
      <c r="I290" s="154" t="str">
        <f t="shared" ca="1" si="63"/>
        <v/>
      </c>
      <c r="J290" s="59" t="str">
        <f t="shared" ca="1" si="64"/>
        <v/>
      </c>
      <c r="K290" s="3"/>
      <c r="L290" t="str">
        <f t="shared" ca="1" si="52"/>
        <v/>
      </c>
      <c r="M290" s="132" t="str">
        <f t="shared" ca="1" si="53"/>
        <v/>
      </c>
      <c r="N290" s="132" t="str">
        <f t="shared" ca="1" si="54"/>
        <v/>
      </c>
      <c r="P290" t="str">
        <f t="shared" ca="1" si="55"/>
        <v/>
      </c>
      <c r="Q290" s="133" t="str">
        <f t="shared" ca="1" si="56"/>
        <v/>
      </c>
      <c r="R290" s="133" t="str">
        <f t="shared" ca="1" si="57"/>
        <v/>
      </c>
      <c r="T290" t="str">
        <f t="shared" ca="1" si="58"/>
        <v/>
      </c>
      <c r="U290" s="134" t="str">
        <f t="shared" ca="1" si="59"/>
        <v/>
      </c>
    </row>
    <row r="291" spans="1:21" x14ac:dyDescent="0.3">
      <c r="A291" s="151" t="str">
        <f ca="1">Returns!$A$289</f>
        <v/>
      </c>
      <c r="B291" s="152" t="str">
        <f ca="1">IF($A291="","",Returns!$J$289)</f>
        <v/>
      </c>
      <c r="C291" s="153" t="str">
        <f t="shared" ca="1" si="60"/>
        <v/>
      </c>
      <c r="D291" s="153" t="str">
        <f ca="1">IF($A291="","",MAX($C$7:C291))</f>
        <v/>
      </c>
      <c r="E291" s="154" t="str">
        <f t="shared" ca="1" si="61"/>
        <v/>
      </c>
      <c r="F291" s="152" t="str">
        <f ca="1">IF($A291="","",Returns!$I$289)</f>
        <v/>
      </c>
      <c r="G291" s="153" t="str">
        <f t="shared" ca="1" si="62"/>
        <v/>
      </c>
      <c r="H291" s="153" t="str">
        <f ca="1">IF($A291="","",MAX($G$7:G291))</f>
        <v/>
      </c>
      <c r="I291" s="154" t="str">
        <f t="shared" ca="1" si="63"/>
        <v/>
      </c>
      <c r="J291" s="59" t="str">
        <f t="shared" ca="1" si="64"/>
        <v/>
      </c>
      <c r="K291" s="3"/>
      <c r="L291" t="str">
        <f t="shared" ca="1" si="52"/>
        <v/>
      </c>
      <c r="M291" s="132" t="str">
        <f t="shared" ca="1" si="53"/>
        <v/>
      </c>
      <c r="N291" s="132" t="str">
        <f t="shared" ca="1" si="54"/>
        <v/>
      </c>
      <c r="P291" t="str">
        <f t="shared" ca="1" si="55"/>
        <v/>
      </c>
      <c r="Q291" s="133" t="str">
        <f t="shared" ca="1" si="56"/>
        <v/>
      </c>
      <c r="R291" s="133" t="str">
        <f t="shared" ca="1" si="57"/>
        <v/>
      </c>
      <c r="T291" t="str">
        <f t="shared" ca="1" si="58"/>
        <v/>
      </c>
      <c r="U291" s="134" t="str">
        <f t="shared" ca="1" si="59"/>
        <v/>
      </c>
    </row>
    <row r="292" spans="1:21" x14ac:dyDescent="0.3">
      <c r="A292" s="151" t="str">
        <f ca="1">Returns!$A$290</f>
        <v/>
      </c>
      <c r="B292" s="152" t="str">
        <f ca="1">IF($A292="","",Returns!$J$290)</f>
        <v/>
      </c>
      <c r="C292" s="153" t="str">
        <f t="shared" ca="1" si="60"/>
        <v/>
      </c>
      <c r="D292" s="153" t="str">
        <f ca="1">IF($A292="","",MAX($C$7:C292))</f>
        <v/>
      </c>
      <c r="E292" s="154" t="str">
        <f t="shared" ca="1" si="61"/>
        <v/>
      </c>
      <c r="F292" s="152" t="str">
        <f ca="1">IF($A292="","",Returns!$I$290)</f>
        <v/>
      </c>
      <c r="G292" s="153" t="str">
        <f t="shared" ca="1" si="62"/>
        <v/>
      </c>
      <c r="H292" s="153" t="str">
        <f ca="1">IF($A292="","",MAX($G$7:G292))</f>
        <v/>
      </c>
      <c r="I292" s="154" t="str">
        <f t="shared" ca="1" si="63"/>
        <v/>
      </c>
      <c r="J292" s="59" t="str">
        <f t="shared" ca="1" si="64"/>
        <v/>
      </c>
      <c r="K292" s="3"/>
      <c r="L292" t="str">
        <f t="shared" ca="1" si="52"/>
        <v/>
      </c>
      <c r="M292" s="132" t="str">
        <f t="shared" ca="1" si="53"/>
        <v/>
      </c>
      <c r="N292" s="132" t="str">
        <f t="shared" ca="1" si="54"/>
        <v/>
      </c>
      <c r="P292" t="str">
        <f t="shared" ca="1" si="55"/>
        <v/>
      </c>
      <c r="Q292" s="133" t="str">
        <f t="shared" ca="1" si="56"/>
        <v/>
      </c>
      <c r="R292" s="133" t="str">
        <f t="shared" ca="1" si="57"/>
        <v/>
      </c>
      <c r="T292" t="str">
        <f t="shared" ca="1" si="58"/>
        <v/>
      </c>
      <c r="U292" s="134" t="str">
        <f t="shared" ca="1" si="59"/>
        <v/>
      </c>
    </row>
    <row r="293" spans="1:21" x14ac:dyDescent="0.3">
      <c r="A293" s="151" t="str">
        <f ca="1">Returns!$A$291</f>
        <v/>
      </c>
      <c r="B293" s="152" t="str">
        <f ca="1">IF($A293="","",Returns!$J$291)</f>
        <v/>
      </c>
      <c r="C293" s="153" t="str">
        <f t="shared" ca="1" si="60"/>
        <v/>
      </c>
      <c r="D293" s="153" t="str">
        <f ca="1">IF($A293="","",MAX($C$7:C293))</f>
        <v/>
      </c>
      <c r="E293" s="154" t="str">
        <f t="shared" ca="1" si="61"/>
        <v/>
      </c>
      <c r="F293" s="152" t="str">
        <f ca="1">IF($A293="","",Returns!$I$291)</f>
        <v/>
      </c>
      <c r="G293" s="153" t="str">
        <f t="shared" ca="1" si="62"/>
        <v/>
      </c>
      <c r="H293" s="153" t="str">
        <f ca="1">IF($A293="","",MAX($G$7:G293))</f>
        <v/>
      </c>
      <c r="I293" s="154" t="str">
        <f t="shared" ca="1" si="63"/>
        <v/>
      </c>
      <c r="J293" s="59" t="str">
        <f t="shared" ca="1" si="64"/>
        <v/>
      </c>
      <c r="K293" s="3"/>
      <c r="L293" t="str">
        <f t="shared" ca="1" si="52"/>
        <v/>
      </c>
      <c r="M293" s="132" t="str">
        <f t="shared" ca="1" si="53"/>
        <v/>
      </c>
      <c r="N293" s="132" t="str">
        <f t="shared" ca="1" si="54"/>
        <v/>
      </c>
      <c r="P293" t="str">
        <f t="shared" ca="1" si="55"/>
        <v/>
      </c>
      <c r="Q293" s="133" t="str">
        <f t="shared" ca="1" si="56"/>
        <v/>
      </c>
      <c r="R293" s="133" t="str">
        <f t="shared" ca="1" si="57"/>
        <v/>
      </c>
      <c r="T293" t="str">
        <f t="shared" ca="1" si="58"/>
        <v/>
      </c>
      <c r="U293" s="134" t="str">
        <f t="shared" ca="1" si="59"/>
        <v/>
      </c>
    </row>
    <row r="294" spans="1:21" x14ac:dyDescent="0.3">
      <c r="A294" s="151" t="str">
        <f ca="1">Returns!$A$292</f>
        <v/>
      </c>
      <c r="B294" s="152" t="str">
        <f ca="1">IF($A294="","",Returns!$J$292)</f>
        <v/>
      </c>
      <c r="C294" s="153" t="str">
        <f t="shared" ca="1" si="60"/>
        <v/>
      </c>
      <c r="D294" s="153" t="str">
        <f ca="1">IF($A294="","",MAX($C$7:C294))</f>
        <v/>
      </c>
      <c r="E294" s="154" t="str">
        <f t="shared" ca="1" si="61"/>
        <v/>
      </c>
      <c r="F294" s="152" t="str">
        <f ca="1">IF($A294="","",Returns!$I$292)</f>
        <v/>
      </c>
      <c r="G294" s="153" t="str">
        <f t="shared" ca="1" si="62"/>
        <v/>
      </c>
      <c r="H294" s="153" t="str">
        <f ca="1">IF($A294="","",MAX($G$7:G294))</f>
        <v/>
      </c>
      <c r="I294" s="154" t="str">
        <f t="shared" ca="1" si="63"/>
        <v/>
      </c>
      <c r="J294" s="59" t="str">
        <f t="shared" ca="1" si="64"/>
        <v/>
      </c>
      <c r="K294" s="3"/>
      <c r="L294" t="str">
        <f t="shared" ca="1" si="52"/>
        <v/>
      </c>
      <c r="M294" s="132" t="str">
        <f t="shared" ca="1" si="53"/>
        <v/>
      </c>
      <c r="N294" s="132" t="str">
        <f t="shared" ca="1" si="54"/>
        <v/>
      </c>
      <c r="P294" t="str">
        <f t="shared" ca="1" si="55"/>
        <v/>
      </c>
      <c r="Q294" s="133" t="str">
        <f t="shared" ca="1" si="56"/>
        <v/>
      </c>
      <c r="R294" s="133" t="str">
        <f t="shared" ca="1" si="57"/>
        <v/>
      </c>
      <c r="T294" t="str">
        <f t="shared" ca="1" si="58"/>
        <v/>
      </c>
      <c r="U294" s="134" t="str">
        <f t="shared" ca="1" si="59"/>
        <v/>
      </c>
    </row>
    <row r="295" spans="1:21" x14ac:dyDescent="0.3">
      <c r="A295" s="151" t="str">
        <f ca="1">Returns!$A$293</f>
        <v/>
      </c>
      <c r="B295" s="152" t="str">
        <f ca="1">IF($A295="","",Returns!$J$293)</f>
        <v/>
      </c>
      <c r="C295" s="153" t="str">
        <f t="shared" ca="1" si="60"/>
        <v/>
      </c>
      <c r="D295" s="153" t="str">
        <f ca="1">IF($A295="","",MAX($C$7:C295))</f>
        <v/>
      </c>
      <c r="E295" s="154" t="str">
        <f t="shared" ca="1" si="61"/>
        <v/>
      </c>
      <c r="F295" s="152" t="str">
        <f ca="1">IF($A295="","",Returns!$I$293)</f>
        <v/>
      </c>
      <c r="G295" s="153" t="str">
        <f t="shared" ca="1" si="62"/>
        <v/>
      </c>
      <c r="H295" s="153" t="str">
        <f ca="1">IF($A295="","",MAX($G$7:G295))</f>
        <v/>
      </c>
      <c r="I295" s="154" t="str">
        <f t="shared" ca="1" si="63"/>
        <v/>
      </c>
      <c r="J295" s="59" t="str">
        <f t="shared" ca="1" si="64"/>
        <v/>
      </c>
      <c r="K295" s="3"/>
      <c r="L295" t="str">
        <f t="shared" ca="1" si="52"/>
        <v/>
      </c>
      <c r="M295" s="132" t="str">
        <f t="shared" ca="1" si="53"/>
        <v/>
      </c>
      <c r="N295" s="132" t="str">
        <f t="shared" ca="1" si="54"/>
        <v/>
      </c>
      <c r="P295" t="str">
        <f t="shared" ca="1" si="55"/>
        <v/>
      </c>
      <c r="Q295" s="133" t="str">
        <f t="shared" ca="1" si="56"/>
        <v/>
      </c>
      <c r="R295" s="133" t="str">
        <f t="shared" ca="1" si="57"/>
        <v/>
      </c>
      <c r="T295" t="str">
        <f t="shared" ca="1" si="58"/>
        <v/>
      </c>
      <c r="U295" s="134" t="str">
        <f t="shared" ca="1" si="59"/>
        <v/>
      </c>
    </row>
    <row r="296" spans="1:21" x14ac:dyDescent="0.3">
      <c r="A296" s="151" t="str">
        <f ca="1">Returns!$A$294</f>
        <v/>
      </c>
      <c r="B296" s="152" t="str">
        <f ca="1">IF($A296="","",Returns!$J$294)</f>
        <v/>
      </c>
      <c r="C296" s="153" t="str">
        <f t="shared" ca="1" si="60"/>
        <v/>
      </c>
      <c r="D296" s="153" t="str">
        <f ca="1">IF($A296="","",MAX($C$7:C296))</f>
        <v/>
      </c>
      <c r="E296" s="154" t="str">
        <f t="shared" ca="1" si="61"/>
        <v/>
      </c>
      <c r="F296" s="152" t="str">
        <f ca="1">IF($A296="","",Returns!$I$294)</f>
        <v/>
      </c>
      <c r="G296" s="153" t="str">
        <f t="shared" ca="1" si="62"/>
        <v/>
      </c>
      <c r="H296" s="153" t="str">
        <f ca="1">IF($A296="","",MAX($G$7:G296))</f>
        <v/>
      </c>
      <c r="I296" s="154" t="str">
        <f t="shared" ca="1" si="63"/>
        <v/>
      </c>
      <c r="J296" s="59" t="str">
        <f t="shared" ca="1" si="64"/>
        <v/>
      </c>
      <c r="K296" s="3"/>
      <c r="L296" t="str">
        <f t="shared" ca="1" si="52"/>
        <v/>
      </c>
      <c r="M296" s="132" t="str">
        <f t="shared" ca="1" si="53"/>
        <v/>
      </c>
      <c r="N296" s="132" t="str">
        <f t="shared" ca="1" si="54"/>
        <v/>
      </c>
      <c r="P296" t="str">
        <f t="shared" ca="1" si="55"/>
        <v/>
      </c>
      <c r="Q296" s="133" t="str">
        <f t="shared" ca="1" si="56"/>
        <v/>
      </c>
      <c r="R296" s="133" t="str">
        <f t="shared" ca="1" si="57"/>
        <v/>
      </c>
      <c r="T296" t="str">
        <f t="shared" ca="1" si="58"/>
        <v/>
      </c>
      <c r="U296" s="134" t="str">
        <f t="shared" ca="1" si="59"/>
        <v/>
      </c>
    </row>
    <row r="297" spans="1:21" x14ac:dyDescent="0.3">
      <c r="A297" s="151" t="str">
        <f ca="1">Returns!$A$295</f>
        <v/>
      </c>
      <c r="B297" s="152" t="str">
        <f ca="1">IF($A297="","",Returns!$J$295)</f>
        <v/>
      </c>
      <c r="C297" s="153" t="str">
        <f t="shared" ca="1" si="60"/>
        <v/>
      </c>
      <c r="D297" s="153" t="str">
        <f ca="1">IF($A297="","",MAX($C$7:C297))</f>
        <v/>
      </c>
      <c r="E297" s="154" t="str">
        <f t="shared" ca="1" si="61"/>
        <v/>
      </c>
      <c r="F297" s="152" t="str">
        <f ca="1">IF($A297="","",Returns!$I$295)</f>
        <v/>
      </c>
      <c r="G297" s="153" t="str">
        <f t="shared" ca="1" si="62"/>
        <v/>
      </c>
      <c r="H297" s="153" t="str">
        <f ca="1">IF($A297="","",MAX($G$7:G297))</f>
        <v/>
      </c>
      <c r="I297" s="154" t="str">
        <f t="shared" ca="1" si="63"/>
        <v/>
      </c>
      <c r="J297" s="59" t="str">
        <f t="shared" ca="1" si="64"/>
        <v/>
      </c>
      <c r="K297" s="3"/>
      <c r="L297" t="str">
        <f t="shared" ca="1" si="52"/>
        <v/>
      </c>
      <c r="M297" s="132" t="str">
        <f t="shared" ca="1" si="53"/>
        <v/>
      </c>
      <c r="N297" s="132" t="str">
        <f t="shared" ca="1" si="54"/>
        <v/>
      </c>
      <c r="P297" t="str">
        <f t="shared" ca="1" si="55"/>
        <v/>
      </c>
      <c r="Q297" s="133" t="str">
        <f t="shared" ca="1" si="56"/>
        <v/>
      </c>
      <c r="R297" s="133" t="str">
        <f t="shared" ca="1" si="57"/>
        <v/>
      </c>
      <c r="T297" t="str">
        <f t="shared" ca="1" si="58"/>
        <v/>
      </c>
      <c r="U297" s="134" t="str">
        <f t="shared" ca="1" si="59"/>
        <v/>
      </c>
    </row>
    <row r="298" spans="1:21" x14ac:dyDescent="0.3">
      <c r="A298" s="151" t="str">
        <f ca="1">Returns!$A$296</f>
        <v/>
      </c>
      <c r="B298" s="152" t="str">
        <f ca="1">IF($A298="","",Returns!$J$296)</f>
        <v/>
      </c>
      <c r="C298" s="153" t="str">
        <f t="shared" ca="1" si="60"/>
        <v/>
      </c>
      <c r="D298" s="153" t="str">
        <f ca="1">IF($A298="","",MAX($C$7:C298))</f>
        <v/>
      </c>
      <c r="E298" s="154" t="str">
        <f t="shared" ca="1" si="61"/>
        <v/>
      </c>
      <c r="F298" s="152" t="str">
        <f ca="1">IF($A298="","",Returns!$I$296)</f>
        <v/>
      </c>
      <c r="G298" s="153" t="str">
        <f t="shared" ca="1" si="62"/>
        <v/>
      </c>
      <c r="H298" s="153" t="str">
        <f ca="1">IF($A298="","",MAX($G$7:G298))</f>
        <v/>
      </c>
      <c r="I298" s="154" t="str">
        <f t="shared" ca="1" si="63"/>
        <v/>
      </c>
      <c r="J298" s="59" t="str">
        <f t="shared" ca="1" si="64"/>
        <v/>
      </c>
      <c r="K298" s="3"/>
      <c r="L298" t="str">
        <f t="shared" ca="1" si="52"/>
        <v/>
      </c>
      <c r="M298" s="132" t="str">
        <f t="shared" ca="1" si="53"/>
        <v/>
      </c>
      <c r="N298" s="132" t="str">
        <f t="shared" ca="1" si="54"/>
        <v/>
      </c>
      <c r="P298" t="str">
        <f t="shared" ca="1" si="55"/>
        <v/>
      </c>
      <c r="Q298" s="133" t="str">
        <f t="shared" ca="1" si="56"/>
        <v/>
      </c>
      <c r="R298" s="133" t="str">
        <f t="shared" ca="1" si="57"/>
        <v/>
      </c>
      <c r="T298" t="str">
        <f t="shared" ca="1" si="58"/>
        <v/>
      </c>
      <c r="U298" s="134" t="str">
        <f t="shared" ca="1" si="59"/>
        <v/>
      </c>
    </row>
    <row r="299" spans="1:21" x14ac:dyDescent="0.3">
      <c r="A299" s="151" t="str">
        <f ca="1">Returns!$A$297</f>
        <v/>
      </c>
      <c r="B299" s="152" t="str">
        <f ca="1">IF($A299="","",Returns!$J$297)</f>
        <v/>
      </c>
      <c r="C299" s="153" t="str">
        <f t="shared" ca="1" si="60"/>
        <v/>
      </c>
      <c r="D299" s="153" t="str">
        <f ca="1">IF($A299="","",MAX($C$7:C299))</f>
        <v/>
      </c>
      <c r="E299" s="154" t="str">
        <f t="shared" ca="1" si="61"/>
        <v/>
      </c>
      <c r="F299" s="152" t="str">
        <f ca="1">IF($A299="","",Returns!$I$297)</f>
        <v/>
      </c>
      <c r="G299" s="153" t="str">
        <f t="shared" ca="1" si="62"/>
        <v/>
      </c>
      <c r="H299" s="153" t="str">
        <f ca="1">IF($A299="","",MAX($G$7:G299))</f>
        <v/>
      </c>
      <c r="I299" s="154" t="str">
        <f t="shared" ca="1" si="63"/>
        <v/>
      </c>
      <c r="J299" s="59" t="str">
        <f t="shared" ca="1" si="64"/>
        <v/>
      </c>
      <c r="K299" s="3"/>
      <c r="L299" t="str">
        <f t="shared" ca="1" si="52"/>
        <v/>
      </c>
      <c r="M299" s="132" t="str">
        <f t="shared" ca="1" si="53"/>
        <v/>
      </c>
      <c r="N299" s="132" t="str">
        <f t="shared" ca="1" si="54"/>
        <v/>
      </c>
      <c r="P299" t="str">
        <f t="shared" ca="1" si="55"/>
        <v/>
      </c>
      <c r="Q299" s="133" t="str">
        <f t="shared" ca="1" si="56"/>
        <v/>
      </c>
      <c r="R299" s="133" t="str">
        <f t="shared" ca="1" si="57"/>
        <v/>
      </c>
      <c r="T299" t="str">
        <f t="shared" ca="1" si="58"/>
        <v/>
      </c>
      <c r="U299" s="134" t="str">
        <f t="shared" ca="1" si="59"/>
        <v/>
      </c>
    </row>
    <row r="300" spans="1:21" x14ac:dyDescent="0.3">
      <c r="A300" s="151" t="str">
        <f ca="1">Returns!$A$298</f>
        <v/>
      </c>
      <c r="B300" s="152" t="str">
        <f ca="1">IF($A300="","",Returns!$J$298)</f>
        <v/>
      </c>
      <c r="C300" s="153" t="str">
        <f t="shared" ca="1" si="60"/>
        <v/>
      </c>
      <c r="D300" s="153" t="str">
        <f ca="1">IF($A300="","",MAX($C$7:C300))</f>
        <v/>
      </c>
      <c r="E300" s="154" t="str">
        <f t="shared" ca="1" si="61"/>
        <v/>
      </c>
      <c r="F300" s="152" t="str">
        <f ca="1">IF($A300="","",Returns!$I$298)</f>
        <v/>
      </c>
      <c r="G300" s="153" t="str">
        <f t="shared" ca="1" si="62"/>
        <v/>
      </c>
      <c r="H300" s="153" t="str">
        <f ca="1">IF($A300="","",MAX($G$7:G300))</f>
        <v/>
      </c>
      <c r="I300" s="154" t="str">
        <f t="shared" ca="1" si="63"/>
        <v/>
      </c>
      <c r="J300" s="59" t="str">
        <f t="shared" ca="1" si="64"/>
        <v/>
      </c>
      <c r="K300" s="3"/>
      <c r="L300" t="str">
        <f t="shared" ca="1" si="52"/>
        <v/>
      </c>
      <c r="M300" s="132" t="str">
        <f t="shared" ca="1" si="53"/>
        <v/>
      </c>
      <c r="N300" s="132" t="str">
        <f t="shared" ca="1" si="54"/>
        <v/>
      </c>
      <c r="P300" t="str">
        <f t="shared" ca="1" si="55"/>
        <v/>
      </c>
      <c r="Q300" s="133" t="str">
        <f t="shared" ca="1" si="56"/>
        <v/>
      </c>
      <c r="R300" s="133" t="str">
        <f t="shared" ca="1" si="57"/>
        <v/>
      </c>
      <c r="T300" t="str">
        <f t="shared" ca="1" si="58"/>
        <v/>
      </c>
      <c r="U300" s="134" t="str">
        <f t="shared" ca="1" si="59"/>
        <v/>
      </c>
    </row>
    <row r="301" spans="1:21" x14ac:dyDescent="0.3">
      <c r="A301" s="151" t="str">
        <f ca="1">Returns!$A$299</f>
        <v/>
      </c>
      <c r="B301" s="152" t="str">
        <f ca="1">IF($A301="","",Returns!$J$299)</f>
        <v/>
      </c>
      <c r="C301" s="153" t="str">
        <f t="shared" ca="1" si="60"/>
        <v/>
      </c>
      <c r="D301" s="153" t="str">
        <f ca="1">IF($A301="","",MAX($C$7:C301))</f>
        <v/>
      </c>
      <c r="E301" s="154" t="str">
        <f t="shared" ca="1" si="61"/>
        <v/>
      </c>
      <c r="F301" s="152" t="str">
        <f ca="1">IF($A301="","",Returns!$I$299)</f>
        <v/>
      </c>
      <c r="G301" s="153" t="str">
        <f t="shared" ca="1" si="62"/>
        <v/>
      </c>
      <c r="H301" s="153" t="str">
        <f ca="1">IF($A301="","",MAX($G$7:G301))</f>
        <v/>
      </c>
      <c r="I301" s="154" t="str">
        <f t="shared" ca="1" si="63"/>
        <v/>
      </c>
      <c r="J301" s="59" t="str">
        <f t="shared" ca="1" si="64"/>
        <v/>
      </c>
      <c r="K301" s="3"/>
      <c r="L301" t="str">
        <f t="shared" ca="1" si="52"/>
        <v/>
      </c>
      <c r="M301" s="132" t="str">
        <f t="shared" ca="1" si="53"/>
        <v/>
      </c>
      <c r="N301" s="132" t="str">
        <f t="shared" ca="1" si="54"/>
        <v/>
      </c>
      <c r="P301" t="str">
        <f t="shared" ca="1" si="55"/>
        <v/>
      </c>
      <c r="Q301" s="133" t="str">
        <f t="shared" ca="1" si="56"/>
        <v/>
      </c>
      <c r="R301" s="133" t="str">
        <f t="shared" ca="1" si="57"/>
        <v/>
      </c>
      <c r="T301" t="str">
        <f t="shared" ca="1" si="58"/>
        <v/>
      </c>
      <c r="U301" s="134" t="str">
        <f t="shared" ca="1" si="59"/>
        <v/>
      </c>
    </row>
    <row r="302" spans="1:21" x14ac:dyDescent="0.3">
      <c r="A302" s="151" t="str">
        <f ca="1">Returns!$A$300</f>
        <v/>
      </c>
      <c r="B302" s="152" t="str">
        <f ca="1">IF($A302="","",Returns!$J$300)</f>
        <v/>
      </c>
      <c r="C302" s="153" t="str">
        <f t="shared" ca="1" si="60"/>
        <v/>
      </c>
      <c r="D302" s="153" t="str">
        <f ca="1">IF($A302="","",MAX($C$7:C302))</f>
        <v/>
      </c>
      <c r="E302" s="154" t="str">
        <f t="shared" ca="1" si="61"/>
        <v/>
      </c>
      <c r="F302" s="152" t="str">
        <f ca="1">IF($A302="","",Returns!$I$300)</f>
        <v/>
      </c>
      <c r="G302" s="153" t="str">
        <f t="shared" ca="1" si="62"/>
        <v/>
      </c>
      <c r="H302" s="153" t="str">
        <f ca="1">IF($A302="","",MAX($G$7:G302))</f>
        <v/>
      </c>
      <c r="I302" s="154" t="str">
        <f t="shared" ca="1" si="63"/>
        <v/>
      </c>
      <c r="J302" s="59" t="str">
        <f t="shared" ca="1" si="64"/>
        <v/>
      </c>
      <c r="K302" s="3"/>
      <c r="L302" t="str">
        <f t="shared" ca="1" si="52"/>
        <v/>
      </c>
      <c r="M302" s="132" t="str">
        <f t="shared" ca="1" si="53"/>
        <v/>
      </c>
      <c r="N302" s="132" t="str">
        <f t="shared" ca="1" si="54"/>
        <v/>
      </c>
      <c r="P302" t="str">
        <f t="shared" ca="1" si="55"/>
        <v/>
      </c>
      <c r="Q302" s="133" t="str">
        <f t="shared" ca="1" si="56"/>
        <v/>
      </c>
      <c r="R302" s="133" t="str">
        <f t="shared" ca="1" si="57"/>
        <v/>
      </c>
      <c r="T302" t="str">
        <f t="shared" ca="1" si="58"/>
        <v/>
      </c>
      <c r="U302" s="134" t="str">
        <f t="shared" ca="1" si="59"/>
        <v/>
      </c>
    </row>
    <row r="303" spans="1:21" x14ac:dyDescent="0.3">
      <c r="A303" s="151" t="str">
        <f ca="1">Returns!$A$301</f>
        <v/>
      </c>
      <c r="B303" s="152" t="str">
        <f ca="1">IF($A303="","",Returns!$J$301)</f>
        <v/>
      </c>
      <c r="C303" s="153" t="str">
        <f t="shared" ca="1" si="60"/>
        <v/>
      </c>
      <c r="D303" s="153" t="str">
        <f ca="1">IF($A303="","",MAX($C$7:C303))</f>
        <v/>
      </c>
      <c r="E303" s="154" t="str">
        <f t="shared" ca="1" si="61"/>
        <v/>
      </c>
      <c r="F303" s="152" t="str">
        <f ca="1">IF($A303="","",Returns!$I$301)</f>
        <v/>
      </c>
      <c r="G303" s="153" t="str">
        <f t="shared" ca="1" si="62"/>
        <v/>
      </c>
      <c r="H303" s="153" t="str">
        <f ca="1">IF($A303="","",MAX($G$7:G303))</f>
        <v/>
      </c>
      <c r="I303" s="154" t="str">
        <f t="shared" ca="1" si="63"/>
        <v/>
      </c>
      <c r="J303" s="59" t="str">
        <f t="shared" ca="1" si="64"/>
        <v/>
      </c>
      <c r="K303" s="3"/>
      <c r="L303" t="str">
        <f t="shared" ca="1" si="52"/>
        <v/>
      </c>
      <c r="M303" s="132" t="str">
        <f t="shared" ca="1" si="53"/>
        <v/>
      </c>
      <c r="N303" s="132" t="str">
        <f t="shared" ca="1" si="54"/>
        <v/>
      </c>
      <c r="P303" t="str">
        <f t="shared" ca="1" si="55"/>
        <v/>
      </c>
      <c r="Q303" s="133" t="str">
        <f t="shared" ca="1" si="56"/>
        <v/>
      </c>
      <c r="R303" s="133" t="str">
        <f t="shared" ca="1" si="57"/>
        <v/>
      </c>
      <c r="T303" t="str">
        <f t="shared" ca="1" si="58"/>
        <v/>
      </c>
      <c r="U303" s="134" t="str">
        <f t="shared" ca="1" si="59"/>
        <v/>
      </c>
    </row>
    <row r="304" spans="1:21" x14ac:dyDescent="0.3">
      <c r="A304" s="151" t="str">
        <f ca="1">Returns!$A$302</f>
        <v/>
      </c>
      <c r="B304" s="152" t="str">
        <f ca="1">IF($A304="","",Returns!$J$302)</f>
        <v/>
      </c>
      <c r="C304" s="153" t="str">
        <f t="shared" ca="1" si="60"/>
        <v/>
      </c>
      <c r="D304" s="153" t="str">
        <f ca="1">IF($A304="","",MAX($C$7:C304))</f>
        <v/>
      </c>
      <c r="E304" s="154" t="str">
        <f t="shared" ca="1" si="61"/>
        <v/>
      </c>
      <c r="F304" s="152" t="str">
        <f ca="1">IF($A304="","",Returns!$I$302)</f>
        <v/>
      </c>
      <c r="G304" s="153" t="str">
        <f t="shared" ca="1" si="62"/>
        <v/>
      </c>
      <c r="H304" s="153" t="str">
        <f ca="1">IF($A304="","",MAX($G$7:G304))</f>
        <v/>
      </c>
      <c r="I304" s="154" t="str">
        <f t="shared" ca="1" si="63"/>
        <v/>
      </c>
      <c r="J304" s="59" t="str">
        <f t="shared" ca="1" si="64"/>
        <v/>
      </c>
      <c r="K304" s="3"/>
      <c r="L304" t="str">
        <f t="shared" ca="1" si="52"/>
        <v/>
      </c>
      <c r="M304" s="132" t="str">
        <f t="shared" ca="1" si="53"/>
        <v/>
      </c>
      <c r="N304" s="132" t="str">
        <f t="shared" ca="1" si="54"/>
        <v/>
      </c>
      <c r="P304" t="str">
        <f t="shared" ca="1" si="55"/>
        <v/>
      </c>
      <c r="Q304" s="133" t="str">
        <f t="shared" ca="1" si="56"/>
        <v/>
      </c>
      <c r="R304" s="133" t="str">
        <f t="shared" ca="1" si="57"/>
        <v/>
      </c>
      <c r="T304" t="str">
        <f t="shared" ca="1" si="58"/>
        <v/>
      </c>
      <c r="U304" s="134" t="str">
        <f t="shared" ca="1" si="59"/>
        <v/>
      </c>
    </row>
    <row r="305" spans="1:21" x14ac:dyDescent="0.3">
      <c r="A305" s="151" t="str">
        <f ca="1">Returns!$A$303</f>
        <v/>
      </c>
      <c r="B305" s="152" t="str">
        <f ca="1">IF($A305="","",Returns!$J$303)</f>
        <v/>
      </c>
      <c r="C305" s="153" t="str">
        <f t="shared" ca="1" si="60"/>
        <v/>
      </c>
      <c r="D305" s="153" t="str">
        <f ca="1">IF($A305="","",MAX($C$7:C305))</f>
        <v/>
      </c>
      <c r="E305" s="154" t="str">
        <f t="shared" ca="1" si="61"/>
        <v/>
      </c>
      <c r="F305" s="152" t="str">
        <f ca="1">IF($A305="","",Returns!$I$303)</f>
        <v/>
      </c>
      <c r="G305" s="153" t="str">
        <f t="shared" ca="1" si="62"/>
        <v/>
      </c>
      <c r="H305" s="153" t="str">
        <f ca="1">IF($A305="","",MAX($G$7:G305))</f>
        <v/>
      </c>
      <c r="I305" s="154" t="str">
        <f t="shared" ca="1" si="63"/>
        <v/>
      </c>
      <c r="J305" s="59" t="str">
        <f t="shared" ca="1" si="64"/>
        <v/>
      </c>
      <c r="K305" s="3"/>
      <c r="L305" t="str">
        <f t="shared" ca="1" si="52"/>
        <v/>
      </c>
      <c r="M305" s="132" t="str">
        <f t="shared" ca="1" si="53"/>
        <v/>
      </c>
      <c r="N305" s="132" t="str">
        <f t="shared" ca="1" si="54"/>
        <v/>
      </c>
      <c r="P305" t="str">
        <f t="shared" ca="1" si="55"/>
        <v/>
      </c>
      <c r="Q305" s="133" t="str">
        <f t="shared" ca="1" si="56"/>
        <v/>
      </c>
      <c r="R305" s="133" t="str">
        <f t="shared" ca="1" si="57"/>
        <v/>
      </c>
      <c r="T305" t="str">
        <f t="shared" ca="1" si="58"/>
        <v/>
      </c>
      <c r="U305" s="134" t="str">
        <f t="shared" ca="1" si="59"/>
        <v/>
      </c>
    </row>
    <row r="306" spans="1:21" x14ac:dyDescent="0.3">
      <c r="A306" s="151" t="str">
        <f ca="1">Returns!$A$304</f>
        <v/>
      </c>
      <c r="B306" s="152" t="str">
        <f ca="1">IF($A306="","",Returns!$J$304)</f>
        <v/>
      </c>
      <c r="C306" s="153" t="str">
        <f t="shared" ca="1" si="60"/>
        <v/>
      </c>
      <c r="D306" s="153" t="str">
        <f ca="1">IF($A306="","",MAX($C$7:C306))</f>
        <v/>
      </c>
      <c r="E306" s="154" t="str">
        <f t="shared" ca="1" si="61"/>
        <v/>
      </c>
      <c r="F306" s="152" t="str">
        <f ca="1">IF($A306="","",Returns!$I$304)</f>
        <v/>
      </c>
      <c r="G306" s="153" t="str">
        <f t="shared" ca="1" si="62"/>
        <v/>
      </c>
      <c r="H306" s="153" t="str">
        <f ca="1">IF($A306="","",MAX($G$7:G306))</f>
        <v/>
      </c>
      <c r="I306" s="154" t="str">
        <f t="shared" ca="1" si="63"/>
        <v/>
      </c>
      <c r="J306" s="59" t="str">
        <f t="shared" ca="1" si="64"/>
        <v/>
      </c>
      <c r="K306" s="3"/>
      <c r="L306" t="str">
        <f t="shared" ca="1" si="52"/>
        <v/>
      </c>
      <c r="M306" s="132" t="str">
        <f t="shared" ca="1" si="53"/>
        <v/>
      </c>
      <c r="N306" s="132" t="str">
        <f t="shared" ca="1" si="54"/>
        <v/>
      </c>
      <c r="P306" t="str">
        <f t="shared" ca="1" si="55"/>
        <v/>
      </c>
      <c r="Q306" s="133" t="str">
        <f t="shared" ca="1" si="56"/>
        <v/>
      </c>
      <c r="R306" s="133" t="str">
        <f t="shared" ca="1" si="57"/>
        <v/>
      </c>
      <c r="T306" t="str">
        <f t="shared" ca="1" si="58"/>
        <v/>
      </c>
      <c r="U306" s="134" t="str">
        <f t="shared" ca="1" si="59"/>
        <v/>
      </c>
    </row>
    <row r="307" spans="1:21" x14ac:dyDescent="0.3">
      <c r="A307" s="151" t="str">
        <f ca="1">Returns!$A$305</f>
        <v/>
      </c>
      <c r="B307" s="152" t="str">
        <f ca="1">IF($A307="","",Returns!$J$305)</f>
        <v/>
      </c>
      <c r="C307" s="153" t="str">
        <f t="shared" ca="1" si="60"/>
        <v/>
      </c>
      <c r="D307" s="153" t="str">
        <f ca="1">IF($A307="","",MAX($C$7:C307))</f>
        <v/>
      </c>
      <c r="E307" s="154" t="str">
        <f t="shared" ca="1" si="61"/>
        <v/>
      </c>
      <c r="F307" s="152" t="str">
        <f ca="1">IF($A307="","",Returns!$I$305)</f>
        <v/>
      </c>
      <c r="G307" s="153" t="str">
        <f t="shared" ca="1" si="62"/>
        <v/>
      </c>
      <c r="H307" s="153" t="str">
        <f ca="1">IF($A307="","",MAX($G$7:G307))</f>
        <v/>
      </c>
      <c r="I307" s="154" t="str">
        <f t="shared" ca="1" si="63"/>
        <v/>
      </c>
      <c r="J307" s="59" t="str">
        <f t="shared" ca="1" si="64"/>
        <v/>
      </c>
      <c r="K307" s="3"/>
      <c r="L307" t="str">
        <f t="shared" ca="1" si="52"/>
        <v/>
      </c>
      <c r="M307" s="132" t="str">
        <f t="shared" ca="1" si="53"/>
        <v/>
      </c>
      <c r="N307" s="132" t="str">
        <f t="shared" ca="1" si="54"/>
        <v/>
      </c>
      <c r="P307" t="str">
        <f t="shared" ca="1" si="55"/>
        <v/>
      </c>
      <c r="Q307" s="133" t="str">
        <f t="shared" ca="1" si="56"/>
        <v/>
      </c>
      <c r="R307" s="133" t="str">
        <f t="shared" ca="1" si="57"/>
        <v/>
      </c>
      <c r="T307" t="str">
        <f t="shared" ca="1" si="58"/>
        <v/>
      </c>
      <c r="U307" s="134" t="str">
        <f t="shared" ca="1" si="59"/>
        <v/>
      </c>
    </row>
    <row r="308" spans="1:21" x14ac:dyDescent="0.3">
      <c r="A308" s="151" t="str">
        <f ca="1">Returns!$A$306</f>
        <v/>
      </c>
      <c r="B308" s="152" t="str">
        <f ca="1">IF($A308="","",Returns!$J$306)</f>
        <v/>
      </c>
      <c r="C308" s="153" t="str">
        <f t="shared" ca="1" si="60"/>
        <v/>
      </c>
      <c r="D308" s="153" t="str">
        <f ca="1">IF($A308="","",MAX($C$7:C308))</f>
        <v/>
      </c>
      <c r="E308" s="154" t="str">
        <f t="shared" ca="1" si="61"/>
        <v/>
      </c>
      <c r="F308" s="152" t="str">
        <f ca="1">IF($A308="","",Returns!$I$306)</f>
        <v/>
      </c>
      <c r="G308" s="153" t="str">
        <f t="shared" ca="1" si="62"/>
        <v/>
      </c>
      <c r="H308" s="153" t="str">
        <f ca="1">IF($A308="","",MAX($G$7:G308))</f>
        <v/>
      </c>
      <c r="I308" s="154" t="str">
        <f t="shared" ca="1" si="63"/>
        <v/>
      </c>
      <c r="J308" s="59" t="str">
        <f t="shared" ca="1" si="64"/>
        <v/>
      </c>
      <c r="K308" s="3"/>
      <c r="L308" t="str">
        <f t="shared" ca="1" si="52"/>
        <v/>
      </c>
      <c r="M308" s="132" t="str">
        <f t="shared" ca="1" si="53"/>
        <v/>
      </c>
      <c r="N308" s="132" t="str">
        <f t="shared" ca="1" si="54"/>
        <v/>
      </c>
      <c r="P308" t="str">
        <f t="shared" ca="1" si="55"/>
        <v/>
      </c>
      <c r="Q308" s="133" t="str">
        <f t="shared" ca="1" si="56"/>
        <v/>
      </c>
      <c r="R308" s="133" t="str">
        <f t="shared" ca="1" si="57"/>
        <v/>
      </c>
      <c r="T308" t="str">
        <f t="shared" ca="1" si="58"/>
        <v/>
      </c>
      <c r="U308" s="134" t="str">
        <f t="shared" ca="1" si="59"/>
        <v/>
      </c>
    </row>
    <row r="309" spans="1:21" x14ac:dyDescent="0.3">
      <c r="A309" s="151" t="str">
        <f ca="1">Returns!$A$307</f>
        <v/>
      </c>
      <c r="B309" s="152" t="str">
        <f ca="1">IF($A309="","",Returns!$J$307)</f>
        <v/>
      </c>
      <c r="C309" s="153" t="str">
        <f t="shared" ca="1" si="60"/>
        <v/>
      </c>
      <c r="D309" s="153" t="str">
        <f ca="1">IF($A309="","",MAX($C$7:C309))</f>
        <v/>
      </c>
      <c r="E309" s="154" t="str">
        <f t="shared" ca="1" si="61"/>
        <v/>
      </c>
      <c r="F309" s="152" t="str">
        <f ca="1">IF($A309="","",Returns!$I$307)</f>
        <v/>
      </c>
      <c r="G309" s="153" t="str">
        <f t="shared" ca="1" si="62"/>
        <v/>
      </c>
      <c r="H309" s="153" t="str">
        <f ca="1">IF($A309="","",MAX($G$7:G309))</f>
        <v/>
      </c>
      <c r="I309" s="154" t="str">
        <f t="shared" ca="1" si="63"/>
        <v/>
      </c>
      <c r="J309" s="59" t="str">
        <f t="shared" ca="1" si="64"/>
        <v/>
      </c>
      <c r="K309" s="3"/>
      <c r="L309" t="str">
        <f t="shared" ca="1" si="52"/>
        <v/>
      </c>
      <c r="M309" s="132" t="str">
        <f t="shared" ca="1" si="53"/>
        <v/>
      </c>
      <c r="N309" s="132" t="str">
        <f t="shared" ca="1" si="54"/>
        <v/>
      </c>
      <c r="P309" t="str">
        <f t="shared" ca="1" si="55"/>
        <v/>
      </c>
      <c r="Q309" s="133" t="str">
        <f t="shared" ca="1" si="56"/>
        <v/>
      </c>
      <c r="R309" s="133" t="str">
        <f t="shared" ca="1" si="57"/>
        <v/>
      </c>
      <c r="T309" t="str">
        <f t="shared" ca="1" si="58"/>
        <v/>
      </c>
      <c r="U309" s="134" t="str">
        <f t="shared" ca="1" si="59"/>
        <v/>
      </c>
    </row>
    <row r="310" spans="1:21" x14ac:dyDescent="0.3">
      <c r="A310" s="151" t="str">
        <f ca="1">Returns!$A$308</f>
        <v/>
      </c>
      <c r="B310" s="152" t="str">
        <f ca="1">IF($A310="","",Returns!$J$308)</f>
        <v/>
      </c>
      <c r="C310" s="153" t="str">
        <f t="shared" ca="1" si="60"/>
        <v/>
      </c>
      <c r="D310" s="153" t="str">
        <f ca="1">IF($A310="","",MAX($C$7:C310))</f>
        <v/>
      </c>
      <c r="E310" s="154" t="str">
        <f t="shared" ca="1" si="61"/>
        <v/>
      </c>
      <c r="F310" s="152" t="str">
        <f ca="1">IF($A310="","",Returns!$I$308)</f>
        <v/>
      </c>
      <c r="G310" s="153" t="str">
        <f t="shared" ca="1" si="62"/>
        <v/>
      </c>
      <c r="H310" s="153" t="str">
        <f ca="1">IF($A310="","",MAX($G$7:G310))</f>
        <v/>
      </c>
      <c r="I310" s="154" t="str">
        <f t="shared" ca="1" si="63"/>
        <v/>
      </c>
      <c r="J310" s="59" t="str">
        <f t="shared" ca="1" si="64"/>
        <v/>
      </c>
      <c r="K310" s="3"/>
      <c r="L310" t="str">
        <f t="shared" ca="1" si="52"/>
        <v/>
      </c>
      <c r="M310" s="132" t="str">
        <f t="shared" ca="1" si="53"/>
        <v/>
      </c>
      <c r="N310" s="132" t="str">
        <f t="shared" ca="1" si="54"/>
        <v/>
      </c>
      <c r="P310" t="str">
        <f t="shared" ca="1" si="55"/>
        <v/>
      </c>
      <c r="Q310" s="133" t="str">
        <f t="shared" ca="1" si="56"/>
        <v/>
      </c>
      <c r="R310" s="133" t="str">
        <f t="shared" ca="1" si="57"/>
        <v/>
      </c>
      <c r="T310" t="str">
        <f t="shared" ca="1" si="58"/>
        <v/>
      </c>
      <c r="U310" s="134" t="str">
        <f t="shared" ca="1" si="59"/>
        <v/>
      </c>
    </row>
    <row r="311" spans="1:21" x14ac:dyDescent="0.3">
      <c r="A311" s="151" t="str">
        <f ca="1">Returns!$A$309</f>
        <v/>
      </c>
      <c r="B311" s="152" t="str">
        <f ca="1">IF($A311="","",Returns!$J$309)</f>
        <v/>
      </c>
      <c r="C311" s="153" t="str">
        <f t="shared" ca="1" si="60"/>
        <v/>
      </c>
      <c r="D311" s="153" t="str">
        <f ca="1">IF($A311="","",MAX($C$7:C311))</f>
        <v/>
      </c>
      <c r="E311" s="154" t="str">
        <f t="shared" ca="1" si="61"/>
        <v/>
      </c>
      <c r="F311" s="152" t="str">
        <f ca="1">IF($A311="","",Returns!$I$309)</f>
        <v/>
      </c>
      <c r="G311" s="153" t="str">
        <f t="shared" ca="1" si="62"/>
        <v/>
      </c>
      <c r="H311" s="153" t="str">
        <f ca="1">IF($A311="","",MAX($G$7:G311))</f>
        <v/>
      </c>
      <c r="I311" s="154" t="str">
        <f t="shared" ca="1" si="63"/>
        <v/>
      </c>
      <c r="J311" s="59" t="str">
        <f t="shared" ca="1" si="64"/>
        <v/>
      </c>
      <c r="K311" s="3"/>
      <c r="L311" t="str">
        <f t="shared" ca="1" si="52"/>
        <v/>
      </c>
      <c r="M311" s="132" t="str">
        <f t="shared" ca="1" si="53"/>
        <v/>
      </c>
      <c r="N311" s="132" t="str">
        <f t="shared" ca="1" si="54"/>
        <v/>
      </c>
      <c r="P311" t="str">
        <f t="shared" ca="1" si="55"/>
        <v/>
      </c>
      <c r="Q311" s="133" t="str">
        <f t="shared" ca="1" si="56"/>
        <v/>
      </c>
      <c r="R311" s="133" t="str">
        <f t="shared" ca="1" si="57"/>
        <v/>
      </c>
      <c r="T311" t="str">
        <f t="shared" ca="1" si="58"/>
        <v/>
      </c>
      <c r="U311" s="134" t="str">
        <f t="shared" ca="1" si="59"/>
        <v/>
      </c>
    </row>
    <row r="312" spans="1:21" x14ac:dyDescent="0.3">
      <c r="A312" s="151" t="str">
        <f ca="1">Returns!$A$310</f>
        <v/>
      </c>
      <c r="B312" s="152" t="str">
        <f ca="1">IF($A312="","",Returns!$J$310)</f>
        <v/>
      </c>
      <c r="C312" s="153" t="str">
        <f t="shared" ca="1" si="60"/>
        <v/>
      </c>
      <c r="D312" s="153" t="str">
        <f ca="1">IF($A312="","",MAX($C$7:C312))</f>
        <v/>
      </c>
      <c r="E312" s="154" t="str">
        <f t="shared" ca="1" si="61"/>
        <v/>
      </c>
      <c r="F312" s="152" t="str">
        <f ca="1">IF($A312="","",Returns!$I$310)</f>
        <v/>
      </c>
      <c r="G312" s="153" t="str">
        <f t="shared" ca="1" si="62"/>
        <v/>
      </c>
      <c r="H312" s="153" t="str">
        <f ca="1">IF($A312="","",MAX($G$7:G312))</f>
        <v/>
      </c>
      <c r="I312" s="154" t="str">
        <f t="shared" ca="1" si="63"/>
        <v/>
      </c>
      <c r="J312" s="59" t="str">
        <f t="shared" ca="1" si="64"/>
        <v/>
      </c>
      <c r="K312" s="3"/>
      <c r="L312" t="str">
        <f t="shared" ca="1" si="52"/>
        <v/>
      </c>
      <c r="M312" s="132" t="str">
        <f t="shared" ca="1" si="53"/>
        <v/>
      </c>
      <c r="N312" s="132" t="str">
        <f t="shared" ca="1" si="54"/>
        <v/>
      </c>
      <c r="P312" t="str">
        <f t="shared" ca="1" si="55"/>
        <v/>
      </c>
      <c r="Q312" s="133" t="str">
        <f t="shared" ca="1" si="56"/>
        <v/>
      </c>
      <c r="R312" s="133" t="str">
        <f t="shared" ca="1" si="57"/>
        <v/>
      </c>
      <c r="T312" t="str">
        <f t="shared" ca="1" si="58"/>
        <v/>
      </c>
      <c r="U312" s="134" t="str">
        <f t="shared" ca="1" si="59"/>
        <v/>
      </c>
    </row>
    <row r="313" spans="1:21" x14ac:dyDescent="0.3">
      <c r="A313" s="151" t="str">
        <f ca="1">Returns!$A$311</f>
        <v/>
      </c>
      <c r="B313" s="152" t="str">
        <f ca="1">IF($A313="","",Returns!$J$311)</f>
        <v/>
      </c>
      <c r="C313" s="153" t="str">
        <f t="shared" ca="1" si="60"/>
        <v/>
      </c>
      <c r="D313" s="153" t="str">
        <f ca="1">IF($A313="","",MAX($C$7:C313))</f>
        <v/>
      </c>
      <c r="E313" s="154" t="str">
        <f t="shared" ca="1" si="61"/>
        <v/>
      </c>
      <c r="F313" s="152" t="str">
        <f ca="1">IF($A313="","",Returns!$I$311)</f>
        <v/>
      </c>
      <c r="G313" s="153" t="str">
        <f t="shared" ca="1" si="62"/>
        <v/>
      </c>
      <c r="H313" s="153" t="str">
        <f ca="1">IF($A313="","",MAX($G$7:G313))</f>
        <v/>
      </c>
      <c r="I313" s="154" t="str">
        <f t="shared" ca="1" si="63"/>
        <v/>
      </c>
      <c r="J313" s="59" t="str">
        <f t="shared" ca="1" si="64"/>
        <v/>
      </c>
      <c r="K313" s="3"/>
      <c r="L313" t="str">
        <f t="shared" ca="1" si="52"/>
        <v/>
      </c>
      <c r="M313" s="132" t="str">
        <f t="shared" ca="1" si="53"/>
        <v/>
      </c>
      <c r="N313" s="132" t="str">
        <f t="shared" ca="1" si="54"/>
        <v/>
      </c>
      <c r="P313" t="str">
        <f t="shared" ca="1" si="55"/>
        <v/>
      </c>
      <c r="Q313" s="133" t="str">
        <f t="shared" ca="1" si="56"/>
        <v/>
      </c>
      <c r="R313" s="133" t="str">
        <f t="shared" ca="1" si="57"/>
        <v/>
      </c>
      <c r="T313" t="str">
        <f t="shared" ca="1" si="58"/>
        <v/>
      </c>
      <c r="U313" s="134" t="str">
        <f t="shared" ca="1" si="59"/>
        <v/>
      </c>
    </row>
    <row r="314" spans="1:21" x14ac:dyDescent="0.3">
      <c r="A314" s="151" t="str">
        <f ca="1">Returns!$A$312</f>
        <v/>
      </c>
      <c r="B314" s="152" t="str">
        <f ca="1">IF($A314="","",Returns!$J$312)</f>
        <v/>
      </c>
      <c r="C314" s="153" t="str">
        <f t="shared" ca="1" si="60"/>
        <v/>
      </c>
      <c r="D314" s="153" t="str">
        <f ca="1">IF($A314="","",MAX($C$7:C314))</f>
        <v/>
      </c>
      <c r="E314" s="154" t="str">
        <f t="shared" ca="1" si="61"/>
        <v/>
      </c>
      <c r="F314" s="152" t="str">
        <f ca="1">IF($A314="","",Returns!$I$312)</f>
        <v/>
      </c>
      <c r="G314" s="153" t="str">
        <f t="shared" ca="1" si="62"/>
        <v/>
      </c>
      <c r="H314" s="153" t="str">
        <f ca="1">IF($A314="","",MAX($G$7:G314))</f>
        <v/>
      </c>
      <c r="I314" s="154" t="str">
        <f t="shared" ca="1" si="63"/>
        <v/>
      </c>
      <c r="J314" s="59" t="str">
        <f t="shared" ca="1" si="64"/>
        <v/>
      </c>
      <c r="K314" s="3"/>
      <c r="L314" t="str">
        <f t="shared" ca="1" si="52"/>
        <v/>
      </c>
      <c r="M314" s="132" t="str">
        <f t="shared" ca="1" si="53"/>
        <v/>
      </c>
      <c r="N314" s="132" t="str">
        <f t="shared" ca="1" si="54"/>
        <v/>
      </c>
      <c r="P314" t="str">
        <f t="shared" ca="1" si="55"/>
        <v/>
      </c>
      <c r="Q314" s="133" t="str">
        <f t="shared" ca="1" si="56"/>
        <v/>
      </c>
      <c r="R314" s="133" t="str">
        <f t="shared" ca="1" si="57"/>
        <v/>
      </c>
      <c r="T314" t="str">
        <f t="shared" ca="1" si="58"/>
        <v/>
      </c>
      <c r="U314" s="134" t="str">
        <f t="shared" ca="1" si="59"/>
        <v/>
      </c>
    </row>
    <row r="315" spans="1:21" x14ac:dyDescent="0.3">
      <c r="A315" s="151" t="str">
        <f ca="1">Returns!$A$313</f>
        <v/>
      </c>
      <c r="B315" s="152" t="str">
        <f ca="1">IF($A315="","",Returns!$J$313)</f>
        <v/>
      </c>
      <c r="C315" s="153" t="str">
        <f t="shared" ca="1" si="60"/>
        <v/>
      </c>
      <c r="D315" s="153" t="str">
        <f ca="1">IF($A315="","",MAX($C$7:C315))</f>
        <v/>
      </c>
      <c r="E315" s="154" t="str">
        <f t="shared" ca="1" si="61"/>
        <v/>
      </c>
      <c r="F315" s="152" t="str">
        <f ca="1">IF($A315="","",Returns!$I$313)</f>
        <v/>
      </c>
      <c r="G315" s="153" t="str">
        <f t="shared" ca="1" si="62"/>
        <v/>
      </c>
      <c r="H315" s="153" t="str">
        <f ca="1">IF($A315="","",MAX($G$7:G315))</f>
        <v/>
      </c>
      <c r="I315" s="154" t="str">
        <f t="shared" ca="1" si="63"/>
        <v/>
      </c>
      <c r="J315" s="59" t="str">
        <f t="shared" ca="1" si="64"/>
        <v/>
      </c>
      <c r="K315" s="3"/>
      <c r="L315" t="str">
        <f t="shared" ca="1" si="52"/>
        <v/>
      </c>
      <c r="M315" s="132" t="str">
        <f t="shared" ca="1" si="53"/>
        <v/>
      </c>
      <c r="N315" s="132" t="str">
        <f t="shared" ca="1" si="54"/>
        <v/>
      </c>
      <c r="P315" t="str">
        <f t="shared" ca="1" si="55"/>
        <v/>
      </c>
      <c r="Q315" s="133" t="str">
        <f t="shared" ca="1" si="56"/>
        <v/>
      </c>
      <c r="R315" s="133" t="str">
        <f t="shared" ca="1" si="57"/>
        <v/>
      </c>
      <c r="T315" t="str">
        <f t="shared" ca="1" si="58"/>
        <v/>
      </c>
      <c r="U315" s="134" t="str">
        <f t="shared" ca="1" si="59"/>
        <v/>
      </c>
    </row>
    <row r="316" spans="1:21" x14ac:dyDescent="0.3">
      <c r="A316" s="151" t="str">
        <f ca="1">Returns!$A$314</f>
        <v/>
      </c>
      <c r="B316" s="152" t="str">
        <f ca="1">IF($A316="","",Returns!$J$314)</f>
        <v/>
      </c>
      <c r="C316" s="153" t="str">
        <f t="shared" ca="1" si="60"/>
        <v/>
      </c>
      <c r="D316" s="153" t="str">
        <f ca="1">IF($A316="","",MAX($C$7:C316))</f>
        <v/>
      </c>
      <c r="E316" s="154" t="str">
        <f t="shared" ca="1" si="61"/>
        <v/>
      </c>
      <c r="F316" s="152" t="str">
        <f ca="1">IF($A316="","",Returns!$I$314)</f>
        <v/>
      </c>
      <c r="G316" s="153" t="str">
        <f t="shared" ca="1" si="62"/>
        <v/>
      </c>
      <c r="H316" s="153" t="str">
        <f ca="1">IF($A316="","",MAX($G$7:G316))</f>
        <v/>
      </c>
      <c r="I316" s="154" t="str">
        <f t="shared" ca="1" si="63"/>
        <v/>
      </c>
      <c r="J316" s="59" t="str">
        <f t="shared" ca="1" si="64"/>
        <v/>
      </c>
      <c r="K316" s="3"/>
      <c r="L316" t="str">
        <f t="shared" ca="1" si="52"/>
        <v/>
      </c>
      <c r="M316" s="132" t="str">
        <f t="shared" ca="1" si="53"/>
        <v/>
      </c>
      <c r="N316" s="132" t="str">
        <f t="shared" ca="1" si="54"/>
        <v/>
      </c>
      <c r="P316" t="str">
        <f t="shared" ca="1" si="55"/>
        <v/>
      </c>
      <c r="Q316" s="133" t="str">
        <f t="shared" ca="1" si="56"/>
        <v/>
      </c>
      <c r="R316" s="133" t="str">
        <f t="shared" ca="1" si="57"/>
        <v/>
      </c>
      <c r="T316" t="str">
        <f t="shared" ca="1" si="58"/>
        <v/>
      </c>
      <c r="U316" s="134" t="str">
        <f t="shared" ca="1" si="59"/>
        <v/>
      </c>
    </row>
    <row r="317" spans="1:21" x14ac:dyDescent="0.3">
      <c r="A317" s="151" t="str">
        <f ca="1">Returns!$A$315</f>
        <v/>
      </c>
      <c r="B317" s="152" t="str">
        <f ca="1">IF($A317="","",Returns!$J$315)</f>
        <v/>
      </c>
      <c r="C317" s="153" t="str">
        <f t="shared" ca="1" si="60"/>
        <v/>
      </c>
      <c r="D317" s="153" t="str">
        <f ca="1">IF($A317="","",MAX($C$7:C317))</f>
        <v/>
      </c>
      <c r="E317" s="154" t="str">
        <f t="shared" ca="1" si="61"/>
        <v/>
      </c>
      <c r="F317" s="152" t="str">
        <f ca="1">IF($A317="","",Returns!$I$315)</f>
        <v/>
      </c>
      <c r="G317" s="153" t="str">
        <f t="shared" ca="1" si="62"/>
        <v/>
      </c>
      <c r="H317" s="153" t="str">
        <f ca="1">IF($A317="","",MAX($G$7:G317))</f>
        <v/>
      </c>
      <c r="I317" s="154" t="str">
        <f t="shared" ca="1" si="63"/>
        <v/>
      </c>
      <c r="J317" s="59" t="str">
        <f t="shared" ca="1" si="64"/>
        <v/>
      </c>
      <c r="K317" s="3"/>
      <c r="L317" t="str">
        <f t="shared" ca="1" si="52"/>
        <v/>
      </c>
      <c r="M317" s="132" t="str">
        <f t="shared" ca="1" si="53"/>
        <v/>
      </c>
      <c r="N317" s="132" t="str">
        <f t="shared" ca="1" si="54"/>
        <v/>
      </c>
      <c r="P317" t="str">
        <f t="shared" ca="1" si="55"/>
        <v/>
      </c>
      <c r="Q317" s="133" t="str">
        <f t="shared" ca="1" si="56"/>
        <v/>
      </c>
      <c r="R317" s="133" t="str">
        <f t="shared" ca="1" si="57"/>
        <v/>
      </c>
      <c r="T317" t="str">
        <f t="shared" ca="1" si="58"/>
        <v/>
      </c>
      <c r="U317" s="134" t="str">
        <f t="shared" ca="1" si="59"/>
        <v/>
      </c>
    </row>
    <row r="318" spans="1:21" x14ac:dyDescent="0.3">
      <c r="A318" s="151" t="str">
        <f ca="1">Returns!$A$316</f>
        <v/>
      </c>
      <c r="B318" s="152" t="str">
        <f ca="1">IF($A318="","",Returns!$J$316)</f>
        <v/>
      </c>
      <c r="C318" s="153" t="str">
        <f t="shared" ca="1" si="60"/>
        <v/>
      </c>
      <c r="D318" s="153" t="str">
        <f ca="1">IF($A318="","",MAX($C$7:C318))</f>
        <v/>
      </c>
      <c r="E318" s="154" t="str">
        <f t="shared" ca="1" si="61"/>
        <v/>
      </c>
      <c r="F318" s="152" t="str">
        <f ca="1">IF($A318="","",Returns!$I$316)</f>
        <v/>
      </c>
      <c r="G318" s="153" t="str">
        <f t="shared" ca="1" si="62"/>
        <v/>
      </c>
      <c r="H318" s="153" t="str">
        <f ca="1">IF($A318="","",MAX($G$7:G318))</f>
        <v/>
      </c>
      <c r="I318" s="154" t="str">
        <f t="shared" ca="1" si="63"/>
        <v/>
      </c>
      <c r="J318" s="59" t="str">
        <f t="shared" ca="1" si="64"/>
        <v/>
      </c>
      <c r="K318" s="3"/>
      <c r="L318" t="str">
        <f t="shared" ca="1" si="52"/>
        <v/>
      </c>
      <c r="M318" s="132" t="str">
        <f t="shared" ca="1" si="53"/>
        <v/>
      </c>
      <c r="N318" s="132" t="str">
        <f t="shared" ca="1" si="54"/>
        <v/>
      </c>
      <c r="P318" t="str">
        <f t="shared" ca="1" si="55"/>
        <v/>
      </c>
      <c r="Q318" s="133" t="str">
        <f t="shared" ca="1" si="56"/>
        <v/>
      </c>
      <c r="R318" s="133" t="str">
        <f t="shared" ca="1" si="57"/>
        <v/>
      </c>
      <c r="T318" t="str">
        <f t="shared" ca="1" si="58"/>
        <v/>
      </c>
      <c r="U318" s="134" t="str">
        <f t="shared" ca="1" si="59"/>
        <v/>
      </c>
    </row>
    <row r="319" spans="1:21" x14ac:dyDescent="0.3">
      <c r="A319" s="151" t="str">
        <f ca="1">Returns!$A$317</f>
        <v/>
      </c>
      <c r="B319" s="152" t="str">
        <f ca="1">IF($A319="","",Returns!$J$317)</f>
        <v/>
      </c>
      <c r="C319" s="153" t="str">
        <f t="shared" ca="1" si="60"/>
        <v/>
      </c>
      <c r="D319" s="153" t="str">
        <f ca="1">IF($A319="","",MAX($C$7:C319))</f>
        <v/>
      </c>
      <c r="E319" s="154" t="str">
        <f t="shared" ca="1" si="61"/>
        <v/>
      </c>
      <c r="F319" s="152" t="str">
        <f ca="1">IF($A319="","",Returns!$I$317)</f>
        <v/>
      </c>
      <c r="G319" s="153" t="str">
        <f t="shared" ca="1" si="62"/>
        <v/>
      </c>
      <c r="H319" s="153" t="str">
        <f ca="1">IF($A319="","",MAX($G$7:G319))</f>
        <v/>
      </c>
      <c r="I319" s="154" t="str">
        <f t="shared" ca="1" si="63"/>
        <v/>
      </c>
      <c r="J319" s="59" t="str">
        <f t="shared" ca="1" si="64"/>
        <v/>
      </c>
      <c r="K319" s="3"/>
      <c r="L319" t="str">
        <f t="shared" ca="1" si="52"/>
        <v/>
      </c>
      <c r="M319" s="132" t="str">
        <f t="shared" ca="1" si="53"/>
        <v/>
      </c>
      <c r="N319" s="132" t="str">
        <f t="shared" ca="1" si="54"/>
        <v/>
      </c>
      <c r="P319" t="str">
        <f t="shared" ca="1" si="55"/>
        <v/>
      </c>
      <c r="Q319" s="133" t="str">
        <f t="shared" ca="1" si="56"/>
        <v/>
      </c>
      <c r="R319" s="133" t="str">
        <f t="shared" ca="1" si="57"/>
        <v/>
      </c>
      <c r="T319" t="str">
        <f t="shared" ca="1" si="58"/>
        <v/>
      </c>
      <c r="U319" s="134" t="str">
        <f t="shared" ca="1" si="59"/>
        <v/>
      </c>
    </row>
    <row r="320" spans="1:21" x14ac:dyDescent="0.3">
      <c r="A320" s="151" t="str">
        <f ca="1">Returns!$A$318</f>
        <v/>
      </c>
      <c r="B320" s="152" t="str">
        <f ca="1">IF($A320="","",Returns!$J$318)</f>
        <v/>
      </c>
      <c r="C320" s="153" t="str">
        <f t="shared" ca="1" si="60"/>
        <v/>
      </c>
      <c r="D320" s="153" t="str">
        <f ca="1">IF($A320="","",MAX($C$7:C320))</f>
        <v/>
      </c>
      <c r="E320" s="154" t="str">
        <f t="shared" ca="1" si="61"/>
        <v/>
      </c>
      <c r="F320" s="152" t="str">
        <f ca="1">IF($A320="","",Returns!$I$318)</f>
        <v/>
      </c>
      <c r="G320" s="153" t="str">
        <f t="shared" ca="1" si="62"/>
        <v/>
      </c>
      <c r="H320" s="153" t="str">
        <f ca="1">IF($A320="","",MAX($G$7:G320))</f>
        <v/>
      </c>
      <c r="I320" s="154" t="str">
        <f t="shared" ca="1" si="63"/>
        <v/>
      </c>
      <c r="J320" s="59" t="str">
        <f t="shared" ca="1" si="64"/>
        <v/>
      </c>
      <c r="K320" s="3"/>
      <c r="L320" t="str">
        <f t="shared" ca="1" si="52"/>
        <v/>
      </c>
      <c r="M320" s="132" t="str">
        <f t="shared" ca="1" si="53"/>
        <v/>
      </c>
      <c r="N320" s="132" t="str">
        <f t="shared" ca="1" si="54"/>
        <v/>
      </c>
      <c r="P320" t="str">
        <f t="shared" ca="1" si="55"/>
        <v/>
      </c>
      <c r="Q320" s="133" t="str">
        <f t="shared" ca="1" si="56"/>
        <v/>
      </c>
      <c r="R320" s="133" t="str">
        <f t="shared" ca="1" si="57"/>
        <v/>
      </c>
      <c r="T320" t="str">
        <f t="shared" ca="1" si="58"/>
        <v/>
      </c>
      <c r="U320" s="134" t="str">
        <f t="shared" ca="1" si="59"/>
        <v/>
      </c>
    </row>
    <row r="321" spans="1:21" x14ac:dyDescent="0.3">
      <c r="A321" s="151" t="str">
        <f ca="1">Returns!$A$319</f>
        <v/>
      </c>
      <c r="B321" s="152" t="str">
        <f ca="1">IF($A321="","",Returns!$J$319)</f>
        <v/>
      </c>
      <c r="C321" s="153" t="str">
        <f t="shared" ca="1" si="60"/>
        <v/>
      </c>
      <c r="D321" s="153" t="str">
        <f ca="1">IF($A321="","",MAX($C$7:C321))</f>
        <v/>
      </c>
      <c r="E321" s="154" t="str">
        <f t="shared" ca="1" si="61"/>
        <v/>
      </c>
      <c r="F321" s="152" t="str">
        <f ca="1">IF($A321="","",Returns!$I$319)</f>
        <v/>
      </c>
      <c r="G321" s="153" t="str">
        <f t="shared" ca="1" si="62"/>
        <v/>
      </c>
      <c r="H321" s="153" t="str">
        <f ca="1">IF($A321="","",MAX($G$7:G321))</f>
        <v/>
      </c>
      <c r="I321" s="154" t="str">
        <f t="shared" ca="1" si="63"/>
        <v/>
      </c>
      <c r="J321" s="59" t="str">
        <f t="shared" ca="1" si="64"/>
        <v/>
      </c>
      <c r="K321" s="3"/>
      <c r="L321" t="str">
        <f t="shared" ca="1" si="52"/>
        <v/>
      </c>
      <c r="M321" s="132" t="str">
        <f t="shared" ca="1" si="53"/>
        <v/>
      </c>
      <c r="N321" s="132" t="str">
        <f t="shared" ca="1" si="54"/>
        <v/>
      </c>
      <c r="P321" t="str">
        <f t="shared" ca="1" si="55"/>
        <v/>
      </c>
      <c r="Q321" s="133" t="str">
        <f t="shared" ca="1" si="56"/>
        <v/>
      </c>
      <c r="R321" s="133" t="str">
        <f t="shared" ca="1" si="57"/>
        <v/>
      </c>
      <c r="T321" t="str">
        <f t="shared" ca="1" si="58"/>
        <v/>
      </c>
      <c r="U321" s="134" t="str">
        <f t="shared" ca="1" si="59"/>
        <v/>
      </c>
    </row>
    <row r="322" spans="1:21" x14ac:dyDescent="0.3">
      <c r="A322" s="151" t="str">
        <f ca="1">Returns!$A$320</f>
        <v/>
      </c>
      <c r="B322" s="152" t="str">
        <f ca="1">IF($A322="","",Returns!$J$320)</f>
        <v/>
      </c>
      <c r="C322" s="153" t="str">
        <f t="shared" ca="1" si="60"/>
        <v/>
      </c>
      <c r="D322" s="153" t="str">
        <f ca="1">IF($A322="","",MAX($C$7:C322))</f>
        <v/>
      </c>
      <c r="E322" s="154" t="str">
        <f t="shared" ca="1" si="61"/>
        <v/>
      </c>
      <c r="F322" s="152" t="str">
        <f ca="1">IF($A322="","",Returns!$I$320)</f>
        <v/>
      </c>
      <c r="G322" s="153" t="str">
        <f t="shared" ca="1" si="62"/>
        <v/>
      </c>
      <c r="H322" s="153" t="str">
        <f ca="1">IF($A322="","",MAX($G$7:G322))</f>
        <v/>
      </c>
      <c r="I322" s="154" t="str">
        <f t="shared" ca="1" si="63"/>
        <v/>
      </c>
      <c r="J322" s="59" t="str">
        <f t="shared" ca="1" si="64"/>
        <v/>
      </c>
      <c r="K322" s="3"/>
      <c r="L322" t="str">
        <f t="shared" ca="1" si="52"/>
        <v/>
      </c>
      <c r="M322" s="132" t="str">
        <f t="shared" ca="1" si="53"/>
        <v/>
      </c>
      <c r="N322" s="132" t="str">
        <f t="shared" ca="1" si="54"/>
        <v/>
      </c>
      <c r="P322" t="str">
        <f t="shared" ca="1" si="55"/>
        <v/>
      </c>
      <c r="Q322" s="133" t="str">
        <f t="shared" ca="1" si="56"/>
        <v/>
      </c>
      <c r="R322" s="133" t="str">
        <f t="shared" ca="1" si="57"/>
        <v/>
      </c>
      <c r="T322" t="str">
        <f t="shared" ca="1" si="58"/>
        <v/>
      </c>
      <c r="U322" s="134" t="str">
        <f t="shared" ca="1" si="59"/>
        <v/>
      </c>
    </row>
    <row r="323" spans="1:21" x14ac:dyDescent="0.3">
      <c r="A323" s="151" t="str">
        <f ca="1">Returns!$A$321</f>
        <v/>
      </c>
      <c r="B323" s="152" t="str">
        <f ca="1">IF($A323="","",Returns!$J$321)</f>
        <v/>
      </c>
      <c r="C323" s="153" t="str">
        <f t="shared" ca="1" si="60"/>
        <v/>
      </c>
      <c r="D323" s="153" t="str">
        <f ca="1">IF($A323="","",MAX($C$7:C323))</f>
        <v/>
      </c>
      <c r="E323" s="154" t="str">
        <f t="shared" ca="1" si="61"/>
        <v/>
      </c>
      <c r="F323" s="152" t="str">
        <f ca="1">IF($A323="","",Returns!$I$321)</f>
        <v/>
      </c>
      <c r="G323" s="153" t="str">
        <f t="shared" ca="1" si="62"/>
        <v/>
      </c>
      <c r="H323" s="153" t="str">
        <f ca="1">IF($A323="","",MAX($G$7:G323))</f>
        <v/>
      </c>
      <c r="I323" s="154" t="str">
        <f t="shared" ca="1" si="63"/>
        <v/>
      </c>
      <c r="J323" s="59" t="str">
        <f t="shared" ca="1" si="64"/>
        <v/>
      </c>
      <c r="K323" s="3"/>
      <c r="L323" t="str">
        <f t="shared" ca="1" si="52"/>
        <v/>
      </c>
      <c r="M323" s="132" t="str">
        <f t="shared" ca="1" si="53"/>
        <v/>
      </c>
      <c r="N323" s="132" t="str">
        <f t="shared" ca="1" si="54"/>
        <v/>
      </c>
      <c r="P323" t="str">
        <f t="shared" ca="1" si="55"/>
        <v/>
      </c>
      <c r="Q323" s="133" t="str">
        <f t="shared" ca="1" si="56"/>
        <v/>
      </c>
      <c r="R323" s="133" t="str">
        <f t="shared" ca="1" si="57"/>
        <v/>
      </c>
      <c r="T323" t="str">
        <f t="shared" ca="1" si="58"/>
        <v/>
      </c>
      <c r="U323" s="134" t="str">
        <f t="shared" ca="1" si="59"/>
        <v/>
      </c>
    </row>
    <row r="324" spans="1:21" x14ac:dyDescent="0.3">
      <c r="A324" s="151" t="str">
        <f ca="1">Returns!$A$322</f>
        <v/>
      </c>
      <c r="B324" s="152" t="str">
        <f ca="1">IF($A324="","",Returns!$J$322)</f>
        <v/>
      </c>
      <c r="C324" s="153" t="str">
        <f t="shared" ca="1" si="60"/>
        <v/>
      </c>
      <c r="D324" s="153" t="str">
        <f ca="1">IF($A324="","",MAX($C$7:C324))</f>
        <v/>
      </c>
      <c r="E324" s="154" t="str">
        <f t="shared" ca="1" si="61"/>
        <v/>
      </c>
      <c r="F324" s="152" t="str">
        <f ca="1">IF($A324="","",Returns!$I$322)</f>
        <v/>
      </c>
      <c r="G324" s="153" t="str">
        <f t="shared" ca="1" si="62"/>
        <v/>
      </c>
      <c r="H324" s="153" t="str">
        <f ca="1">IF($A324="","",MAX($G$7:G324))</f>
        <v/>
      </c>
      <c r="I324" s="154" t="str">
        <f t="shared" ca="1" si="63"/>
        <v/>
      </c>
      <c r="J324" s="59" t="str">
        <f t="shared" ca="1" si="64"/>
        <v/>
      </c>
      <c r="K324" s="3"/>
      <c r="L324" t="str">
        <f t="shared" ca="1" si="52"/>
        <v/>
      </c>
      <c r="M324" s="132" t="str">
        <f t="shared" ca="1" si="53"/>
        <v/>
      </c>
      <c r="N324" s="132" t="str">
        <f t="shared" ca="1" si="54"/>
        <v/>
      </c>
      <c r="P324" t="str">
        <f t="shared" ca="1" si="55"/>
        <v/>
      </c>
      <c r="Q324" s="133" t="str">
        <f t="shared" ca="1" si="56"/>
        <v/>
      </c>
      <c r="R324" s="133" t="str">
        <f t="shared" ca="1" si="57"/>
        <v/>
      </c>
      <c r="T324" t="str">
        <f t="shared" ca="1" si="58"/>
        <v/>
      </c>
      <c r="U324" s="134" t="str">
        <f t="shared" ca="1" si="59"/>
        <v/>
      </c>
    </row>
    <row r="325" spans="1:21" x14ac:dyDescent="0.3">
      <c r="A325" s="151" t="str">
        <f ca="1">Returns!$A$323</f>
        <v/>
      </c>
      <c r="B325" s="152" t="str">
        <f ca="1">IF($A325="","",Returns!$J$323)</f>
        <v/>
      </c>
      <c r="C325" s="153" t="str">
        <f t="shared" ca="1" si="60"/>
        <v/>
      </c>
      <c r="D325" s="153" t="str">
        <f ca="1">IF($A325="","",MAX($C$7:C325))</f>
        <v/>
      </c>
      <c r="E325" s="154" t="str">
        <f t="shared" ca="1" si="61"/>
        <v/>
      </c>
      <c r="F325" s="152" t="str">
        <f ca="1">IF($A325="","",Returns!$I$323)</f>
        <v/>
      </c>
      <c r="G325" s="153" t="str">
        <f t="shared" ca="1" si="62"/>
        <v/>
      </c>
      <c r="H325" s="153" t="str">
        <f ca="1">IF($A325="","",MAX($G$7:G325))</f>
        <v/>
      </c>
      <c r="I325" s="154" t="str">
        <f t="shared" ca="1" si="63"/>
        <v/>
      </c>
      <c r="J325" s="59" t="str">
        <f t="shared" ca="1" si="64"/>
        <v/>
      </c>
      <c r="K325" s="3"/>
      <c r="L325" t="str">
        <f t="shared" ca="1" si="52"/>
        <v/>
      </c>
      <c r="M325" s="132" t="str">
        <f t="shared" ca="1" si="53"/>
        <v/>
      </c>
      <c r="N325" s="132" t="str">
        <f t="shared" ca="1" si="54"/>
        <v/>
      </c>
      <c r="P325" t="str">
        <f t="shared" ca="1" si="55"/>
        <v/>
      </c>
      <c r="Q325" s="133" t="str">
        <f t="shared" ca="1" si="56"/>
        <v/>
      </c>
      <c r="R325" s="133" t="str">
        <f t="shared" ca="1" si="57"/>
        <v/>
      </c>
      <c r="T325" t="str">
        <f t="shared" ca="1" si="58"/>
        <v/>
      </c>
      <c r="U325" s="134" t="str">
        <f t="shared" ca="1" si="59"/>
        <v/>
      </c>
    </row>
    <row r="326" spans="1:21" x14ac:dyDescent="0.3">
      <c r="A326" s="151" t="str">
        <f ca="1">Returns!$A$324</f>
        <v/>
      </c>
      <c r="B326" s="152" t="str">
        <f ca="1">IF($A326="","",Returns!$J$324)</f>
        <v/>
      </c>
      <c r="C326" s="153" t="str">
        <f t="shared" ca="1" si="60"/>
        <v/>
      </c>
      <c r="D326" s="153" t="str">
        <f ca="1">IF($A326="","",MAX($C$7:C326))</f>
        <v/>
      </c>
      <c r="E326" s="154" t="str">
        <f t="shared" ca="1" si="61"/>
        <v/>
      </c>
      <c r="F326" s="152" t="str">
        <f ca="1">IF($A326="","",Returns!$I$324)</f>
        <v/>
      </c>
      <c r="G326" s="153" t="str">
        <f t="shared" ca="1" si="62"/>
        <v/>
      </c>
      <c r="H326" s="153" t="str">
        <f ca="1">IF($A326="","",MAX($G$7:G326))</f>
        <v/>
      </c>
      <c r="I326" s="154" t="str">
        <f t="shared" ca="1" si="63"/>
        <v/>
      </c>
      <c r="J326" s="59" t="str">
        <f t="shared" ca="1" si="64"/>
        <v/>
      </c>
      <c r="K326" s="3"/>
      <c r="L326" t="str">
        <f t="shared" ca="1" si="52"/>
        <v/>
      </c>
      <c r="M326" s="132" t="str">
        <f t="shared" ca="1" si="53"/>
        <v/>
      </c>
      <c r="N326" s="132" t="str">
        <f t="shared" ca="1" si="54"/>
        <v/>
      </c>
      <c r="P326" t="str">
        <f t="shared" ca="1" si="55"/>
        <v/>
      </c>
      <c r="Q326" s="133" t="str">
        <f t="shared" ca="1" si="56"/>
        <v/>
      </c>
      <c r="R326" s="133" t="str">
        <f t="shared" ca="1" si="57"/>
        <v/>
      </c>
      <c r="T326" t="str">
        <f t="shared" ca="1" si="58"/>
        <v/>
      </c>
      <c r="U326" s="134" t="str">
        <f t="shared" ca="1" si="59"/>
        <v/>
      </c>
    </row>
    <row r="327" spans="1:21" x14ac:dyDescent="0.3">
      <c r="A327" s="151" t="str">
        <f ca="1">Returns!$A$325</f>
        <v/>
      </c>
      <c r="B327" s="152" t="str">
        <f ca="1">IF($A327="","",Returns!$J$325)</f>
        <v/>
      </c>
      <c r="C327" s="153" t="str">
        <f t="shared" ca="1" si="60"/>
        <v/>
      </c>
      <c r="D327" s="153" t="str">
        <f ca="1">IF($A327="","",MAX($C$7:C327))</f>
        <v/>
      </c>
      <c r="E327" s="154" t="str">
        <f t="shared" ca="1" si="61"/>
        <v/>
      </c>
      <c r="F327" s="152" t="str">
        <f ca="1">IF($A327="","",Returns!$I$325)</f>
        <v/>
      </c>
      <c r="G327" s="153" t="str">
        <f t="shared" ca="1" si="62"/>
        <v/>
      </c>
      <c r="H327" s="153" t="str">
        <f ca="1">IF($A327="","",MAX($G$7:G327))</f>
        <v/>
      </c>
      <c r="I327" s="154" t="str">
        <f t="shared" ca="1" si="63"/>
        <v/>
      </c>
      <c r="J327" s="59" t="str">
        <f t="shared" ca="1" si="64"/>
        <v/>
      </c>
      <c r="K327" s="3"/>
      <c r="L327" t="str">
        <f t="shared" ref="L327:L390" ca="1" si="65">$J327</f>
        <v/>
      </c>
      <c r="M327" s="132" t="str">
        <f t="shared" ref="M327:M390" ca="1" si="66">$C327</f>
        <v/>
      </c>
      <c r="N327" s="132" t="str">
        <f t="shared" ref="N327:N390" ca="1" si="67">$G327</f>
        <v/>
      </c>
      <c r="P327" t="str">
        <f t="shared" ref="P327:P390" ca="1" si="68">$J327</f>
        <v/>
      </c>
      <c r="Q327" s="133" t="str">
        <f t="shared" ref="Q327:Q390" ca="1" si="69">$E327</f>
        <v/>
      </c>
      <c r="R327" s="133" t="str">
        <f t="shared" ref="R327:R390" ca="1" si="70">$I327</f>
        <v/>
      </c>
      <c r="T327" t="str">
        <f t="shared" ref="T327:T390" ca="1" si="71">$J327</f>
        <v/>
      </c>
      <c r="U327" s="134" t="str">
        <f t="shared" ref="U327:U390" ca="1" si="72">IF($A327="","",NotionalValue*$C327/IndexBase)</f>
        <v/>
      </c>
    </row>
    <row r="328" spans="1:21" x14ac:dyDescent="0.3">
      <c r="A328" s="151" t="str">
        <f ca="1">Returns!$A$326</f>
        <v/>
      </c>
      <c r="B328" s="152" t="str">
        <f ca="1">IF($A328="","",Returns!$J$326)</f>
        <v/>
      </c>
      <c r="C328" s="153" t="str">
        <f t="shared" ref="C328:C391" ca="1" si="73">IF($A328="","",C327*(1+$B328))</f>
        <v/>
      </c>
      <c r="D328" s="153" t="str">
        <f ca="1">IF($A328="","",MAX($C$7:C328))</f>
        <v/>
      </c>
      <c r="E328" s="154" t="str">
        <f t="shared" ref="E328:E391" ca="1" si="74">IF($A328="","",$C328/$D328-1)</f>
        <v/>
      </c>
      <c r="F328" s="152" t="str">
        <f ca="1">IF($A328="","",Returns!$I$326)</f>
        <v/>
      </c>
      <c r="G328" s="153" t="str">
        <f t="shared" ref="G328:G391" ca="1" si="75">IF($A328="","",G327*(1+$F328))</f>
        <v/>
      </c>
      <c r="H328" s="153" t="str">
        <f ca="1">IF($A328="","",MAX($G$7:G328))</f>
        <v/>
      </c>
      <c r="I328" s="154" t="str">
        <f t="shared" ref="I328:I391" ca="1" si="76">IF($A328="","",$G328/$H328-1)</f>
        <v/>
      </c>
      <c r="J328" s="59" t="str">
        <f t="shared" ref="J328:J391" ca="1" si="77">IF($A328="","",TEXT($A328,"mmm-yy"))</f>
        <v/>
      </c>
      <c r="K328" s="3"/>
      <c r="L328" t="str">
        <f t="shared" ca="1" si="65"/>
        <v/>
      </c>
      <c r="M328" s="132" t="str">
        <f t="shared" ca="1" si="66"/>
        <v/>
      </c>
      <c r="N328" s="132" t="str">
        <f t="shared" ca="1" si="67"/>
        <v/>
      </c>
      <c r="P328" t="str">
        <f t="shared" ca="1" si="68"/>
        <v/>
      </c>
      <c r="Q328" s="133" t="str">
        <f t="shared" ca="1" si="69"/>
        <v/>
      </c>
      <c r="R328" s="133" t="str">
        <f t="shared" ca="1" si="70"/>
        <v/>
      </c>
      <c r="T328" t="str">
        <f t="shared" ca="1" si="71"/>
        <v/>
      </c>
      <c r="U328" s="134" t="str">
        <f t="shared" ca="1" si="72"/>
        <v/>
      </c>
    </row>
    <row r="329" spans="1:21" x14ac:dyDescent="0.3">
      <c r="A329" s="151" t="str">
        <f ca="1">Returns!$A$327</f>
        <v/>
      </c>
      <c r="B329" s="152" t="str">
        <f ca="1">IF($A329="","",Returns!$J$327)</f>
        <v/>
      </c>
      <c r="C329" s="153" t="str">
        <f t="shared" ca="1" si="73"/>
        <v/>
      </c>
      <c r="D329" s="153" t="str">
        <f ca="1">IF($A329="","",MAX($C$7:C329))</f>
        <v/>
      </c>
      <c r="E329" s="154" t="str">
        <f t="shared" ca="1" si="74"/>
        <v/>
      </c>
      <c r="F329" s="152" t="str">
        <f ca="1">IF($A329="","",Returns!$I$327)</f>
        <v/>
      </c>
      <c r="G329" s="153" t="str">
        <f t="shared" ca="1" si="75"/>
        <v/>
      </c>
      <c r="H329" s="153" t="str">
        <f ca="1">IF($A329="","",MAX($G$7:G329))</f>
        <v/>
      </c>
      <c r="I329" s="154" t="str">
        <f t="shared" ca="1" si="76"/>
        <v/>
      </c>
      <c r="J329" s="59" t="str">
        <f t="shared" ca="1" si="77"/>
        <v/>
      </c>
      <c r="K329" s="3"/>
      <c r="L329" t="str">
        <f t="shared" ca="1" si="65"/>
        <v/>
      </c>
      <c r="M329" s="132" t="str">
        <f t="shared" ca="1" si="66"/>
        <v/>
      </c>
      <c r="N329" s="132" t="str">
        <f t="shared" ca="1" si="67"/>
        <v/>
      </c>
      <c r="P329" t="str">
        <f t="shared" ca="1" si="68"/>
        <v/>
      </c>
      <c r="Q329" s="133" t="str">
        <f t="shared" ca="1" si="69"/>
        <v/>
      </c>
      <c r="R329" s="133" t="str">
        <f t="shared" ca="1" si="70"/>
        <v/>
      </c>
      <c r="T329" t="str">
        <f t="shared" ca="1" si="71"/>
        <v/>
      </c>
      <c r="U329" s="134" t="str">
        <f t="shared" ca="1" si="72"/>
        <v/>
      </c>
    </row>
    <row r="330" spans="1:21" x14ac:dyDescent="0.3">
      <c r="A330" s="151" t="str">
        <f ca="1">Returns!$A$328</f>
        <v/>
      </c>
      <c r="B330" s="152" t="str">
        <f ca="1">IF($A330="","",Returns!$J$328)</f>
        <v/>
      </c>
      <c r="C330" s="153" t="str">
        <f t="shared" ca="1" si="73"/>
        <v/>
      </c>
      <c r="D330" s="153" t="str">
        <f ca="1">IF($A330="","",MAX($C$7:C330))</f>
        <v/>
      </c>
      <c r="E330" s="154" t="str">
        <f t="shared" ca="1" si="74"/>
        <v/>
      </c>
      <c r="F330" s="152" t="str">
        <f ca="1">IF($A330="","",Returns!$I$328)</f>
        <v/>
      </c>
      <c r="G330" s="153" t="str">
        <f t="shared" ca="1" si="75"/>
        <v/>
      </c>
      <c r="H330" s="153" t="str">
        <f ca="1">IF($A330="","",MAX($G$7:G330))</f>
        <v/>
      </c>
      <c r="I330" s="154" t="str">
        <f t="shared" ca="1" si="76"/>
        <v/>
      </c>
      <c r="J330" s="59" t="str">
        <f t="shared" ca="1" si="77"/>
        <v/>
      </c>
      <c r="K330" s="3"/>
      <c r="L330" t="str">
        <f t="shared" ca="1" si="65"/>
        <v/>
      </c>
      <c r="M330" s="132" t="str">
        <f t="shared" ca="1" si="66"/>
        <v/>
      </c>
      <c r="N330" s="132" t="str">
        <f t="shared" ca="1" si="67"/>
        <v/>
      </c>
      <c r="P330" t="str">
        <f t="shared" ca="1" si="68"/>
        <v/>
      </c>
      <c r="Q330" s="133" t="str">
        <f t="shared" ca="1" si="69"/>
        <v/>
      </c>
      <c r="R330" s="133" t="str">
        <f t="shared" ca="1" si="70"/>
        <v/>
      </c>
      <c r="T330" t="str">
        <f t="shared" ca="1" si="71"/>
        <v/>
      </c>
      <c r="U330" s="134" t="str">
        <f t="shared" ca="1" si="72"/>
        <v/>
      </c>
    </row>
    <row r="331" spans="1:21" x14ac:dyDescent="0.3">
      <c r="A331" s="151" t="str">
        <f ca="1">Returns!$A$329</f>
        <v/>
      </c>
      <c r="B331" s="152" t="str">
        <f ca="1">IF($A331="","",Returns!$J$329)</f>
        <v/>
      </c>
      <c r="C331" s="153" t="str">
        <f t="shared" ca="1" si="73"/>
        <v/>
      </c>
      <c r="D331" s="153" t="str">
        <f ca="1">IF($A331="","",MAX($C$7:C331))</f>
        <v/>
      </c>
      <c r="E331" s="154" t="str">
        <f t="shared" ca="1" si="74"/>
        <v/>
      </c>
      <c r="F331" s="152" t="str">
        <f ca="1">IF($A331="","",Returns!$I$329)</f>
        <v/>
      </c>
      <c r="G331" s="153" t="str">
        <f t="shared" ca="1" si="75"/>
        <v/>
      </c>
      <c r="H331" s="153" t="str">
        <f ca="1">IF($A331="","",MAX($G$7:G331))</f>
        <v/>
      </c>
      <c r="I331" s="154" t="str">
        <f t="shared" ca="1" si="76"/>
        <v/>
      </c>
      <c r="J331" s="59" t="str">
        <f t="shared" ca="1" si="77"/>
        <v/>
      </c>
      <c r="K331" s="3"/>
      <c r="L331" t="str">
        <f t="shared" ca="1" si="65"/>
        <v/>
      </c>
      <c r="M331" s="132" t="str">
        <f t="shared" ca="1" si="66"/>
        <v/>
      </c>
      <c r="N331" s="132" t="str">
        <f t="shared" ca="1" si="67"/>
        <v/>
      </c>
      <c r="P331" t="str">
        <f t="shared" ca="1" si="68"/>
        <v/>
      </c>
      <c r="Q331" s="133" t="str">
        <f t="shared" ca="1" si="69"/>
        <v/>
      </c>
      <c r="R331" s="133" t="str">
        <f t="shared" ca="1" si="70"/>
        <v/>
      </c>
      <c r="T331" t="str">
        <f t="shared" ca="1" si="71"/>
        <v/>
      </c>
      <c r="U331" s="134" t="str">
        <f t="shared" ca="1" si="72"/>
        <v/>
      </c>
    </row>
    <row r="332" spans="1:21" x14ac:dyDescent="0.3">
      <c r="A332" s="151" t="str">
        <f ca="1">Returns!$A$330</f>
        <v/>
      </c>
      <c r="B332" s="152" t="str">
        <f ca="1">IF($A332="","",Returns!$J$330)</f>
        <v/>
      </c>
      <c r="C332" s="153" t="str">
        <f t="shared" ca="1" si="73"/>
        <v/>
      </c>
      <c r="D332" s="153" t="str">
        <f ca="1">IF($A332="","",MAX($C$7:C332))</f>
        <v/>
      </c>
      <c r="E332" s="154" t="str">
        <f t="shared" ca="1" si="74"/>
        <v/>
      </c>
      <c r="F332" s="152" t="str">
        <f ca="1">IF($A332="","",Returns!$I$330)</f>
        <v/>
      </c>
      <c r="G332" s="153" t="str">
        <f t="shared" ca="1" si="75"/>
        <v/>
      </c>
      <c r="H332" s="153" t="str">
        <f ca="1">IF($A332="","",MAX($G$7:G332))</f>
        <v/>
      </c>
      <c r="I332" s="154" t="str">
        <f t="shared" ca="1" si="76"/>
        <v/>
      </c>
      <c r="J332" s="59" t="str">
        <f t="shared" ca="1" si="77"/>
        <v/>
      </c>
      <c r="K332" s="3"/>
      <c r="L332" t="str">
        <f t="shared" ca="1" si="65"/>
        <v/>
      </c>
      <c r="M332" s="132" t="str">
        <f t="shared" ca="1" si="66"/>
        <v/>
      </c>
      <c r="N332" s="132" t="str">
        <f t="shared" ca="1" si="67"/>
        <v/>
      </c>
      <c r="P332" t="str">
        <f t="shared" ca="1" si="68"/>
        <v/>
      </c>
      <c r="Q332" s="133" t="str">
        <f t="shared" ca="1" si="69"/>
        <v/>
      </c>
      <c r="R332" s="133" t="str">
        <f t="shared" ca="1" si="70"/>
        <v/>
      </c>
      <c r="T332" t="str">
        <f t="shared" ca="1" si="71"/>
        <v/>
      </c>
      <c r="U332" s="134" t="str">
        <f t="shared" ca="1" si="72"/>
        <v/>
      </c>
    </row>
    <row r="333" spans="1:21" x14ac:dyDescent="0.3">
      <c r="A333" s="151" t="str">
        <f ca="1">Returns!$A$331</f>
        <v/>
      </c>
      <c r="B333" s="152" t="str">
        <f ca="1">IF($A333="","",Returns!$J$331)</f>
        <v/>
      </c>
      <c r="C333" s="153" t="str">
        <f t="shared" ca="1" si="73"/>
        <v/>
      </c>
      <c r="D333" s="153" t="str">
        <f ca="1">IF($A333="","",MAX($C$7:C333))</f>
        <v/>
      </c>
      <c r="E333" s="154" t="str">
        <f t="shared" ca="1" si="74"/>
        <v/>
      </c>
      <c r="F333" s="152" t="str">
        <f ca="1">IF($A333="","",Returns!$I$331)</f>
        <v/>
      </c>
      <c r="G333" s="153" t="str">
        <f t="shared" ca="1" si="75"/>
        <v/>
      </c>
      <c r="H333" s="153" t="str">
        <f ca="1">IF($A333="","",MAX($G$7:G333))</f>
        <v/>
      </c>
      <c r="I333" s="154" t="str">
        <f t="shared" ca="1" si="76"/>
        <v/>
      </c>
      <c r="J333" s="59" t="str">
        <f t="shared" ca="1" si="77"/>
        <v/>
      </c>
      <c r="K333" s="3"/>
      <c r="L333" t="str">
        <f t="shared" ca="1" si="65"/>
        <v/>
      </c>
      <c r="M333" s="132" t="str">
        <f t="shared" ca="1" si="66"/>
        <v/>
      </c>
      <c r="N333" s="132" t="str">
        <f t="shared" ca="1" si="67"/>
        <v/>
      </c>
      <c r="P333" t="str">
        <f t="shared" ca="1" si="68"/>
        <v/>
      </c>
      <c r="Q333" s="133" t="str">
        <f t="shared" ca="1" si="69"/>
        <v/>
      </c>
      <c r="R333" s="133" t="str">
        <f t="shared" ca="1" si="70"/>
        <v/>
      </c>
      <c r="T333" t="str">
        <f t="shared" ca="1" si="71"/>
        <v/>
      </c>
      <c r="U333" s="134" t="str">
        <f t="shared" ca="1" si="72"/>
        <v/>
      </c>
    </row>
    <row r="334" spans="1:21" x14ac:dyDescent="0.3">
      <c r="A334" s="151" t="str">
        <f ca="1">Returns!$A$332</f>
        <v/>
      </c>
      <c r="B334" s="152" t="str">
        <f ca="1">IF($A334="","",Returns!$J$332)</f>
        <v/>
      </c>
      <c r="C334" s="153" t="str">
        <f t="shared" ca="1" si="73"/>
        <v/>
      </c>
      <c r="D334" s="153" t="str">
        <f ca="1">IF($A334="","",MAX($C$7:C334))</f>
        <v/>
      </c>
      <c r="E334" s="154" t="str">
        <f t="shared" ca="1" si="74"/>
        <v/>
      </c>
      <c r="F334" s="152" t="str">
        <f ca="1">IF($A334="","",Returns!$I$332)</f>
        <v/>
      </c>
      <c r="G334" s="153" t="str">
        <f t="shared" ca="1" si="75"/>
        <v/>
      </c>
      <c r="H334" s="153" t="str">
        <f ca="1">IF($A334="","",MAX($G$7:G334))</f>
        <v/>
      </c>
      <c r="I334" s="154" t="str">
        <f t="shared" ca="1" si="76"/>
        <v/>
      </c>
      <c r="J334" s="59" t="str">
        <f t="shared" ca="1" si="77"/>
        <v/>
      </c>
      <c r="K334" s="3"/>
      <c r="L334" t="str">
        <f t="shared" ca="1" si="65"/>
        <v/>
      </c>
      <c r="M334" s="132" t="str">
        <f t="shared" ca="1" si="66"/>
        <v/>
      </c>
      <c r="N334" s="132" t="str">
        <f t="shared" ca="1" si="67"/>
        <v/>
      </c>
      <c r="P334" t="str">
        <f t="shared" ca="1" si="68"/>
        <v/>
      </c>
      <c r="Q334" s="133" t="str">
        <f t="shared" ca="1" si="69"/>
        <v/>
      </c>
      <c r="R334" s="133" t="str">
        <f t="shared" ca="1" si="70"/>
        <v/>
      </c>
      <c r="T334" t="str">
        <f t="shared" ca="1" si="71"/>
        <v/>
      </c>
      <c r="U334" s="134" t="str">
        <f t="shared" ca="1" si="72"/>
        <v/>
      </c>
    </row>
    <row r="335" spans="1:21" x14ac:dyDescent="0.3">
      <c r="A335" s="151" t="str">
        <f ca="1">Returns!$A$333</f>
        <v/>
      </c>
      <c r="B335" s="152" t="str">
        <f ca="1">IF($A335="","",Returns!$J$333)</f>
        <v/>
      </c>
      <c r="C335" s="153" t="str">
        <f t="shared" ca="1" si="73"/>
        <v/>
      </c>
      <c r="D335" s="153" t="str">
        <f ca="1">IF($A335="","",MAX($C$7:C335))</f>
        <v/>
      </c>
      <c r="E335" s="154" t="str">
        <f t="shared" ca="1" si="74"/>
        <v/>
      </c>
      <c r="F335" s="152" t="str">
        <f ca="1">IF($A335="","",Returns!$I$333)</f>
        <v/>
      </c>
      <c r="G335" s="153" t="str">
        <f t="shared" ca="1" si="75"/>
        <v/>
      </c>
      <c r="H335" s="153" t="str">
        <f ca="1">IF($A335="","",MAX($G$7:G335))</f>
        <v/>
      </c>
      <c r="I335" s="154" t="str">
        <f t="shared" ca="1" si="76"/>
        <v/>
      </c>
      <c r="J335" s="59" t="str">
        <f t="shared" ca="1" si="77"/>
        <v/>
      </c>
      <c r="K335" s="3"/>
      <c r="L335" t="str">
        <f t="shared" ca="1" si="65"/>
        <v/>
      </c>
      <c r="M335" s="132" t="str">
        <f t="shared" ca="1" si="66"/>
        <v/>
      </c>
      <c r="N335" s="132" t="str">
        <f t="shared" ca="1" si="67"/>
        <v/>
      </c>
      <c r="P335" t="str">
        <f t="shared" ca="1" si="68"/>
        <v/>
      </c>
      <c r="Q335" s="133" t="str">
        <f t="shared" ca="1" si="69"/>
        <v/>
      </c>
      <c r="R335" s="133" t="str">
        <f t="shared" ca="1" si="70"/>
        <v/>
      </c>
      <c r="T335" t="str">
        <f t="shared" ca="1" si="71"/>
        <v/>
      </c>
      <c r="U335" s="134" t="str">
        <f t="shared" ca="1" si="72"/>
        <v/>
      </c>
    </row>
    <row r="336" spans="1:21" x14ac:dyDescent="0.3">
      <c r="A336" s="151" t="str">
        <f ca="1">Returns!$A$334</f>
        <v/>
      </c>
      <c r="B336" s="152" t="str">
        <f ca="1">IF($A336="","",Returns!$J$334)</f>
        <v/>
      </c>
      <c r="C336" s="153" t="str">
        <f t="shared" ca="1" si="73"/>
        <v/>
      </c>
      <c r="D336" s="153" t="str">
        <f ca="1">IF($A336="","",MAX($C$7:C336))</f>
        <v/>
      </c>
      <c r="E336" s="154" t="str">
        <f t="shared" ca="1" si="74"/>
        <v/>
      </c>
      <c r="F336" s="152" t="str">
        <f ca="1">IF($A336="","",Returns!$I$334)</f>
        <v/>
      </c>
      <c r="G336" s="153" t="str">
        <f t="shared" ca="1" si="75"/>
        <v/>
      </c>
      <c r="H336" s="153" t="str">
        <f ca="1">IF($A336="","",MAX($G$7:G336))</f>
        <v/>
      </c>
      <c r="I336" s="154" t="str">
        <f t="shared" ca="1" si="76"/>
        <v/>
      </c>
      <c r="J336" s="59" t="str">
        <f t="shared" ca="1" si="77"/>
        <v/>
      </c>
      <c r="K336" s="3"/>
      <c r="L336" t="str">
        <f t="shared" ca="1" si="65"/>
        <v/>
      </c>
      <c r="M336" s="132" t="str">
        <f t="shared" ca="1" si="66"/>
        <v/>
      </c>
      <c r="N336" s="132" t="str">
        <f t="shared" ca="1" si="67"/>
        <v/>
      </c>
      <c r="P336" t="str">
        <f t="shared" ca="1" si="68"/>
        <v/>
      </c>
      <c r="Q336" s="133" t="str">
        <f t="shared" ca="1" si="69"/>
        <v/>
      </c>
      <c r="R336" s="133" t="str">
        <f t="shared" ca="1" si="70"/>
        <v/>
      </c>
      <c r="T336" t="str">
        <f t="shared" ca="1" si="71"/>
        <v/>
      </c>
      <c r="U336" s="134" t="str">
        <f t="shared" ca="1" si="72"/>
        <v/>
      </c>
    </row>
    <row r="337" spans="1:21" x14ac:dyDescent="0.3">
      <c r="A337" s="151" t="str">
        <f ca="1">Returns!$A$335</f>
        <v/>
      </c>
      <c r="B337" s="152" t="str">
        <f ca="1">IF($A337="","",Returns!$J$335)</f>
        <v/>
      </c>
      <c r="C337" s="153" t="str">
        <f t="shared" ca="1" si="73"/>
        <v/>
      </c>
      <c r="D337" s="153" t="str">
        <f ca="1">IF($A337="","",MAX($C$7:C337))</f>
        <v/>
      </c>
      <c r="E337" s="154" t="str">
        <f t="shared" ca="1" si="74"/>
        <v/>
      </c>
      <c r="F337" s="152" t="str">
        <f ca="1">IF($A337="","",Returns!$I$335)</f>
        <v/>
      </c>
      <c r="G337" s="153" t="str">
        <f t="shared" ca="1" si="75"/>
        <v/>
      </c>
      <c r="H337" s="153" t="str">
        <f ca="1">IF($A337="","",MAX($G$7:G337))</f>
        <v/>
      </c>
      <c r="I337" s="154" t="str">
        <f t="shared" ca="1" si="76"/>
        <v/>
      </c>
      <c r="J337" s="59" t="str">
        <f t="shared" ca="1" si="77"/>
        <v/>
      </c>
      <c r="K337" s="3"/>
      <c r="L337" t="str">
        <f t="shared" ca="1" si="65"/>
        <v/>
      </c>
      <c r="M337" s="132" t="str">
        <f t="shared" ca="1" si="66"/>
        <v/>
      </c>
      <c r="N337" s="132" t="str">
        <f t="shared" ca="1" si="67"/>
        <v/>
      </c>
      <c r="P337" t="str">
        <f t="shared" ca="1" si="68"/>
        <v/>
      </c>
      <c r="Q337" s="133" t="str">
        <f t="shared" ca="1" si="69"/>
        <v/>
      </c>
      <c r="R337" s="133" t="str">
        <f t="shared" ca="1" si="70"/>
        <v/>
      </c>
      <c r="T337" t="str">
        <f t="shared" ca="1" si="71"/>
        <v/>
      </c>
      <c r="U337" s="134" t="str">
        <f t="shared" ca="1" si="72"/>
        <v/>
      </c>
    </row>
    <row r="338" spans="1:21" x14ac:dyDescent="0.3">
      <c r="A338" s="151" t="str">
        <f ca="1">Returns!$A$336</f>
        <v/>
      </c>
      <c r="B338" s="152" t="str">
        <f ca="1">IF($A338="","",Returns!$J$336)</f>
        <v/>
      </c>
      <c r="C338" s="153" t="str">
        <f t="shared" ca="1" si="73"/>
        <v/>
      </c>
      <c r="D338" s="153" t="str">
        <f ca="1">IF($A338="","",MAX($C$7:C338))</f>
        <v/>
      </c>
      <c r="E338" s="154" t="str">
        <f t="shared" ca="1" si="74"/>
        <v/>
      </c>
      <c r="F338" s="152" t="str">
        <f ca="1">IF($A338="","",Returns!$I$336)</f>
        <v/>
      </c>
      <c r="G338" s="153" t="str">
        <f t="shared" ca="1" si="75"/>
        <v/>
      </c>
      <c r="H338" s="153" t="str">
        <f ca="1">IF($A338="","",MAX($G$7:G338))</f>
        <v/>
      </c>
      <c r="I338" s="154" t="str">
        <f t="shared" ca="1" si="76"/>
        <v/>
      </c>
      <c r="J338" s="59" t="str">
        <f t="shared" ca="1" si="77"/>
        <v/>
      </c>
      <c r="K338" s="3"/>
      <c r="L338" t="str">
        <f t="shared" ca="1" si="65"/>
        <v/>
      </c>
      <c r="M338" s="132" t="str">
        <f t="shared" ca="1" si="66"/>
        <v/>
      </c>
      <c r="N338" s="132" t="str">
        <f t="shared" ca="1" si="67"/>
        <v/>
      </c>
      <c r="P338" t="str">
        <f t="shared" ca="1" si="68"/>
        <v/>
      </c>
      <c r="Q338" s="133" t="str">
        <f t="shared" ca="1" si="69"/>
        <v/>
      </c>
      <c r="R338" s="133" t="str">
        <f t="shared" ca="1" si="70"/>
        <v/>
      </c>
      <c r="T338" t="str">
        <f t="shared" ca="1" si="71"/>
        <v/>
      </c>
      <c r="U338" s="134" t="str">
        <f t="shared" ca="1" si="72"/>
        <v/>
      </c>
    </row>
    <row r="339" spans="1:21" x14ac:dyDescent="0.3">
      <c r="A339" s="151" t="str">
        <f ca="1">Returns!$A$337</f>
        <v/>
      </c>
      <c r="B339" s="152" t="str">
        <f ca="1">IF($A339="","",Returns!$J$337)</f>
        <v/>
      </c>
      <c r="C339" s="153" t="str">
        <f t="shared" ca="1" si="73"/>
        <v/>
      </c>
      <c r="D339" s="153" t="str">
        <f ca="1">IF($A339="","",MAX($C$7:C339))</f>
        <v/>
      </c>
      <c r="E339" s="154" t="str">
        <f t="shared" ca="1" si="74"/>
        <v/>
      </c>
      <c r="F339" s="152" t="str">
        <f ca="1">IF($A339="","",Returns!$I$337)</f>
        <v/>
      </c>
      <c r="G339" s="153" t="str">
        <f t="shared" ca="1" si="75"/>
        <v/>
      </c>
      <c r="H339" s="153" t="str">
        <f ca="1">IF($A339="","",MAX($G$7:G339))</f>
        <v/>
      </c>
      <c r="I339" s="154" t="str">
        <f t="shared" ca="1" si="76"/>
        <v/>
      </c>
      <c r="J339" s="59" t="str">
        <f t="shared" ca="1" si="77"/>
        <v/>
      </c>
      <c r="K339" s="3"/>
      <c r="L339" t="str">
        <f t="shared" ca="1" si="65"/>
        <v/>
      </c>
      <c r="M339" s="132" t="str">
        <f t="shared" ca="1" si="66"/>
        <v/>
      </c>
      <c r="N339" s="132" t="str">
        <f t="shared" ca="1" si="67"/>
        <v/>
      </c>
      <c r="P339" t="str">
        <f t="shared" ca="1" si="68"/>
        <v/>
      </c>
      <c r="Q339" s="133" t="str">
        <f t="shared" ca="1" si="69"/>
        <v/>
      </c>
      <c r="R339" s="133" t="str">
        <f t="shared" ca="1" si="70"/>
        <v/>
      </c>
      <c r="T339" t="str">
        <f t="shared" ca="1" si="71"/>
        <v/>
      </c>
      <c r="U339" s="134" t="str">
        <f t="shared" ca="1" si="72"/>
        <v/>
      </c>
    </row>
    <row r="340" spans="1:21" x14ac:dyDescent="0.3">
      <c r="A340" s="151" t="str">
        <f ca="1">Returns!$A$338</f>
        <v/>
      </c>
      <c r="B340" s="152" t="str">
        <f ca="1">IF($A340="","",Returns!$J$338)</f>
        <v/>
      </c>
      <c r="C340" s="153" t="str">
        <f t="shared" ca="1" si="73"/>
        <v/>
      </c>
      <c r="D340" s="153" t="str">
        <f ca="1">IF($A340="","",MAX($C$7:C340))</f>
        <v/>
      </c>
      <c r="E340" s="154" t="str">
        <f t="shared" ca="1" si="74"/>
        <v/>
      </c>
      <c r="F340" s="152" t="str">
        <f ca="1">IF($A340="","",Returns!$I$338)</f>
        <v/>
      </c>
      <c r="G340" s="153" t="str">
        <f t="shared" ca="1" si="75"/>
        <v/>
      </c>
      <c r="H340" s="153" t="str">
        <f ca="1">IF($A340="","",MAX($G$7:G340))</f>
        <v/>
      </c>
      <c r="I340" s="154" t="str">
        <f t="shared" ca="1" si="76"/>
        <v/>
      </c>
      <c r="J340" s="59" t="str">
        <f t="shared" ca="1" si="77"/>
        <v/>
      </c>
      <c r="K340" s="3"/>
      <c r="L340" t="str">
        <f t="shared" ca="1" si="65"/>
        <v/>
      </c>
      <c r="M340" s="132" t="str">
        <f t="shared" ca="1" si="66"/>
        <v/>
      </c>
      <c r="N340" s="132" t="str">
        <f t="shared" ca="1" si="67"/>
        <v/>
      </c>
      <c r="P340" t="str">
        <f t="shared" ca="1" si="68"/>
        <v/>
      </c>
      <c r="Q340" s="133" t="str">
        <f t="shared" ca="1" si="69"/>
        <v/>
      </c>
      <c r="R340" s="133" t="str">
        <f t="shared" ca="1" si="70"/>
        <v/>
      </c>
      <c r="T340" t="str">
        <f t="shared" ca="1" si="71"/>
        <v/>
      </c>
      <c r="U340" s="134" t="str">
        <f t="shared" ca="1" si="72"/>
        <v/>
      </c>
    </row>
    <row r="341" spans="1:21" x14ac:dyDescent="0.3">
      <c r="A341" s="151" t="str">
        <f ca="1">Returns!$A$339</f>
        <v/>
      </c>
      <c r="B341" s="152" t="str">
        <f ca="1">IF($A341="","",Returns!$J$339)</f>
        <v/>
      </c>
      <c r="C341" s="153" t="str">
        <f t="shared" ca="1" si="73"/>
        <v/>
      </c>
      <c r="D341" s="153" t="str">
        <f ca="1">IF($A341="","",MAX($C$7:C341))</f>
        <v/>
      </c>
      <c r="E341" s="154" t="str">
        <f t="shared" ca="1" si="74"/>
        <v/>
      </c>
      <c r="F341" s="152" t="str">
        <f ca="1">IF($A341="","",Returns!$I$339)</f>
        <v/>
      </c>
      <c r="G341" s="153" t="str">
        <f t="shared" ca="1" si="75"/>
        <v/>
      </c>
      <c r="H341" s="153" t="str">
        <f ca="1">IF($A341="","",MAX($G$7:G341))</f>
        <v/>
      </c>
      <c r="I341" s="154" t="str">
        <f t="shared" ca="1" si="76"/>
        <v/>
      </c>
      <c r="J341" s="59" t="str">
        <f t="shared" ca="1" si="77"/>
        <v/>
      </c>
      <c r="K341" s="3"/>
      <c r="L341" t="str">
        <f t="shared" ca="1" si="65"/>
        <v/>
      </c>
      <c r="M341" s="132" t="str">
        <f t="shared" ca="1" si="66"/>
        <v/>
      </c>
      <c r="N341" s="132" t="str">
        <f t="shared" ca="1" si="67"/>
        <v/>
      </c>
      <c r="P341" t="str">
        <f t="shared" ca="1" si="68"/>
        <v/>
      </c>
      <c r="Q341" s="133" t="str">
        <f t="shared" ca="1" si="69"/>
        <v/>
      </c>
      <c r="R341" s="133" t="str">
        <f t="shared" ca="1" si="70"/>
        <v/>
      </c>
      <c r="T341" t="str">
        <f t="shared" ca="1" si="71"/>
        <v/>
      </c>
      <c r="U341" s="134" t="str">
        <f t="shared" ca="1" si="72"/>
        <v/>
      </c>
    </row>
    <row r="342" spans="1:21" x14ac:dyDescent="0.3">
      <c r="A342" s="151" t="str">
        <f ca="1">Returns!$A$340</f>
        <v/>
      </c>
      <c r="B342" s="152" t="str">
        <f ca="1">IF($A342="","",Returns!$J$340)</f>
        <v/>
      </c>
      <c r="C342" s="153" t="str">
        <f t="shared" ca="1" si="73"/>
        <v/>
      </c>
      <c r="D342" s="153" t="str">
        <f ca="1">IF($A342="","",MAX($C$7:C342))</f>
        <v/>
      </c>
      <c r="E342" s="154" t="str">
        <f t="shared" ca="1" si="74"/>
        <v/>
      </c>
      <c r="F342" s="152" t="str">
        <f ca="1">IF($A342="","",Returns!$I$340)</f>
        <v/>
      </c>
      <c r="G342" s="153" t="str">
        <f t="shared" ca="1" si="75"/>
        <v/>
      </c>
      <c r="H342" s="153" t="str">
        <f ca="1">IF($A342="","",MAX($G$7:G342))</f>
        <v/>
      </c>
      <c r="I342" s="154" t="str">
        <f t="shared" ca="1" si="76"/>
        <v/>
      </c>
      <c r="J342" s="59" t="str">
        <f t="shared" ca="1" si="77"/>
        <v/>
      </c>
      <c r="K342" s="3"/>
      <c r="L342" t="str">
        <f t="shared" ca="1" si="65"/>
        <v/>
      </c>
      <c r="M342" s="132" t="str">
        <f t="shared" ca="1" si="66"/>
        <v/>
      </c>
      <c r="N342" s="132" t="str">
        <f t="shared" ca="1" si="67"/>
        <v/>
      </c>
      <c r="P342" t="str">
        <f t="shared" ca="1" si="68"/>
        <v/>
      </c>
      <c r="Q342" s="133" t="str">
        <f t="shared" ca="1" si="69"/>
        <v/>
      </c>
      <c r="R342" s="133" t="str">
        <f t="shared" ca="1" si="70"/>
        <v/>
      </c>
      <c r="T342" t="str">
        <f t="shared" ca="1" si="71"/>
        <v/>
      </c>
      <c r="U342" s="134" t="str">
        <f t="shared" ca="1" si="72"/>
        <v/>
      </c>
    </row>
    <row r="343" spans="1:21" x14ac:dyDescent="0.3">
      <c r="A343" s="151" t="str">
        <f ca="1">Returns!$A$341</f>
        <v/>
      </c>
      <c r="B343" s="152" t="str">
        <f ca="1">IF($A343="","",Returns!$J$341)</f>
        <v/>
      </c>
      <c r="C343" s="153" t="str">
        <f t="shared" ca="1" si="73"/>
        <v/>
      </c>
      <c r="D343" s="153" t="str">
        <f ca="1">IF($A343="","",MAX($C$7:C343))</f>
        <v/>
      </c>
      <c r="E343" s="154" t="str">
        <f t="shared" ca="1" si="74"/>
        <v/>
      </c>
      <c r="F343" s="152" t="str">
        <f ca="1">IF($A343="","",Returns!$I$341)</f>
        <v/>
      </c>
      <c r="G343" s="153" t="str">
        <f t="shared" ca="1" si="75"/>
        <v/>
      </c>
      <c r="H343" s="153" t="str">
        <f ca="1">IF($A343="","",MAX($G$7:G343))</f>
        <v/>
      </c>
      <c r="I343" s="154" t="str">
        <f t="shared" ca="1" si="76"/>
        <v/>
      </c>
      <c r="J343" s="59" t="str">
        <f t="shared" ca="1" si="77"/>
        <v/>
      </c>
      <c r="K343" s="3"/>
      <c r="L343" t="str">
        <f t="shared" ca="1" si="65"/>
        <v/>
      </c>
      <c r="M343" s="132" t="str">
        <f t="shared" ca="1" si="66"/>
        <v/>
      </c>
      <c r="N343" s="132" t="str">
        <f t="shared" ca="1" si="67"/>
        <v/>
      </c>
      <c r="P343" t="str">
        <f t="shared" ca="1" si="68"/>
        <v/>
      </c>
      <c r="Q343" s="133" t="str">
        <f t="shared" ca="1" si="69"/>
        <v/>
      </c>
      <c r="R343" s="133" t="str">
        <f t="shared" ca="1" si="70"/>
        <v/>
      </c>
      <c r="T343" t="str">
        <f t="shared" ca="1" si="71"/>
        <v/>
      </c>
      <c r="U343" s="134" t="str">
        <f t="shared" ca="1" si="72"/>
        <v/>
      </c>
    </row>
    <row r="344" spans="1:21" x14ac:dyDescent="0.3">
      <c r="A344" s="151" t="str">
        <f ca="1">Returns!$A$342</f>
        <v/>
      </c>
      <c r="B344" s="152" t="str">
        <f ca="1">IF($A344="","",Returns!$J$342)</f>
        <v/>
      </c>
      <c r="C344" s="153" t="str">
        <f t="shared" ca="1" si="73"/>
        <v/>
      </c>
      <c r="D344" s="153" t="str">
        <f ca="1">IF($A344="","",MAX($C$7:C344))</f>
        <v/>
      </c>
      <c r="E344" s="154" t="str">
        <f t="shared" ca="1" si="74"/>
        <v/>
      </c>
      <c r="F344" s="152" t="str">
        <f ca="1">IF($A344="","",Returns!$I$342)</f>
        <v/>
      </c>
      <c r="G344" s="153" t="str">
        <f t="shared" ca="1" si="75"/>
        <v/>
      </c>
      <c r="H344" s="153" t="str">
        <f ca="1">IF($A344="","",MAX($G$7:G344))</f>
        <v/>
      </c>
      <c r="I344" s="154" t="str">
        <f t="shared" ca="1" si="76"/>
        <v/>
      </c>
      <c r="J344" s="59" t="str">
        <f t="shared" ca="1" si="77"/>
        <v/>
      </c>
      <c r="K344" s="3"/>
      <c r="L344" t="str">
        <f t="shared" ca="1" si="65"/>
        <v/>
      </c>
      <c r="M344" s="132" t="str">
        <f t="shared" ca="1" si="66"/>
        <v/>
      </c>
      <c r="N344" s="132" t="str">
        <f t="shared" ca="1" si="67"/>
        <v/>
      </c>
      <c r="P344" t="str">
        <f t="shared" ca="1" si="68"/>
        <v/>
      </c>
      <c r="Q344" s="133" t="str">
        <f t="shared" ca="1" si="69"/>
        <v/>
      </c>
      <c r="R344" s="133" t="str">
        <f t="shared" ca="1" si="70"/>
        <v/>
      </c>
      <c r="T344" t="str">
        <f t="shared" ca="1" si="71"/>
        <v/>
      </c>
      <c r="U344" s="134" t="str">
        <f t="shared" ca="1" si="72"/>
        <v/>
      </c>
    </row>
    <row r="345" spans="1:21" x14ac:dyDescent="0.3">
      <c r="A345" s="151" t="str">
        <f ca="1">Returns!$A$343</f>
        <v/>
      </c>
      <c r="B345" s="152" t="str">
        <f ca="1">IF($A345="","",Returns!$J$343)</f>
        <v/>
      </c>
      <c r="C345" s="153" t="str">
        <f t="shared" ca="1" si="73"/>
        <v/>
      </c>
      <c r="D345" s="153" t="str">
        <f ca="1">IF($A345="","",MAX($C$7:C345))</f>
        <v/>
      </c>
      <c r="E345" s="154" t="str">
        <f t="shared" ca="1" si="74"/>
        <v/>
      </c>
      <c r="F345" s="152" t="str">
        <f ca="1">IF($A345="","",Returns!$I$343)</f>
        <v/>
      </c>
      <c r="G345" s="153" t="str">
        <f t="shared" ca="1" si="75"/>
        <v/>
      </c>
      <c r="H345" s="153" t="str">
        <f ca="1">IF($A345="","",MAX($G$7:G345))</f>
        <v/>
      </c>
      <c r="I345" s="154" t="str">
        <f t="shared" ca="1" si="76"/>
        <v/>
      </c>
      <c r="J345" s="59" t="str">
        <f t="shared" ca="1" si="77"/>
        <v/>
      </c>
      <c r="K345" s="3"/>
      <c r="L345" t="str">
        <f t="shared" ca="1" si="65"/>
        <v/>
      </c>
      <c r="M345" s="132" t="str">
        <f t="shared" ca="1" si="66"/>
        <v/>
      </c>
      <c r="N345" s="132" t="str">
        <f t="shared" ca="1" si="67"/>
        <v/>
      </c>
      <c r="P345" t="str">
        <f t="shared" ca="1" si="68"/>
        <v/>
      </c>
      <c r="Q345" s="133" t="str">
        <f t="shared" ca="1" si="69"/>
        <v/>
      </c>
      <c r="R345" s="133" t="str">
        <f t="shared" ca="1" si="70"/>
        <v/>
      </c>
      <c r="T345" t="str">
        <f t="shared" ca="1" si="71"/>
        <v/>
      </c>
      <c r="U345" s="134" t="str">
        <f t="shared" ca="1" si="72"/>
        <v/>
      </c>
    </row>
    <row r="346" spans="1:21" x14ac:dyDescent="0.3">
      <c r="A346" s="151" t="str">
        <f ca="1">Returns!$A$344</f>
        <v/>
      </c>
      <c r="B346" s="152" t="str">
        <f ca="1">IF($A346="","",Returns!$J$344)</f>
        <v/>
      </c>
      <c r="C346" s="153" t="str">
        <f t="shared" ca="1" si="73"/>
        <v/>
      </c>
      <c r="D346" s="153" t="str">
        <f ca="1">IF($A346="","",MAX($C$7:C346))</f>
        <v/>
      </c>
      <c r="E346" s="154" t="str">
        <f t="shared" ca="1" si="74"/>
        <v/>
      </c>
      <c r="F346" s="152" t="str">
        <f ca="1">IF($A346="","",Returns!$I$344)</f>
        <v/>
      </c>
      <c r="G346" s="153" t="str">
        <f t="shared" ca="1" si="75"/>
        <v/>
      </c>
      <c r="H346" s="153" t="str">
        <f ca="1">IF($A346="","",MAX($G$7:G346))</f>
        <v/>
      </c>
      <c r="I346" s="154" t="str">
        <f t="shared" ca="1" si="76"/>
        <v/>
      </c>
      <c r="J346" s="59" t="str">
        <f t="shared" ca="1" si="77"/>
        <v/>
      </c>
      <c r="K346" s="3"/>
      <c r="L346" t="str">
        <f t="shared" ca="1" si="65"/>
        <v/>
      </c>
      <c r="M346" s="132" t="str">
        <f t="shared" ca="1" si="66"/>
        <v/>
      </c>
      <c r="N346" s="132" t="str">
        <f t="shared" ca="1" si="67"/>
        <v/>
      </c>
      <c r="P346" t="str">
        <f t="shared" ca="1" si="68"/>
        <v/>
      </c>
      <c r="Q346" s="133" t="str">
        <f t="shared" ca="1" si="69"/>
        <v/>
      </c>
      <c r="R346" s="133" t="str">
        <f t="shared" ca="1" si="70"/>
        <v/>
      </c>
      <c r="T346" t="str">
        <f t="shared" ca="1" si="71"/>
        <v/>
      </c>
      <c r="U346" s="134" t="str">
        <f t="shared" ca="1" si="72"/>
        <v/>
      </c>
    </row>
    <row r="347" spans="1:21" x14ac:dyDescent="0.3">
      <c r="A347" s="151" t="str">
        <f ca="1">Returns!$A$345</f>
        <v/>
      </c>
      <c r="B347" s="152" t="str">
        <f ca="1">IF($A347="","",Returns!$J$345)</f>
        <v/>
      </c>
      <c r="C347" s="153" t="str">
        <f t="shared" ca="1" si="73"/>
        <v/>
      </c>
      <c r="D347" s="153" t="str">
        <f ca="1">IF($A347="","",MAX($C$7:C347))</f>
        <v/>
      </c>
      <c r="E347" s="154" t="str">
        <f t="shared" ca="1" si="74"/>
        <v/>
      </c>
      <c r="F347" s="152" t="str">
        <f ca="1">IF($A347="","",Returns!$I$345)</f>
        <v/>
      </c>
      <c r="G347" s="153" t="str">
        <f t="shared" ca="1" si="75"/>
        <v/>
      </c>
      <c r="H347" s="153" t="str">
        <f ca="1">IF($A347="","",MAX($G$7:G347))</f>
        <v/>
      </c>
      <c r="I347" s="154" t="str">
        <f t="shared" ca="1" si="76"/>
        <v/>
      </c>
      <c r="J347" s="59" t="str">
        <f t="shared" ca="1" si="77"/>
        <v/>
      </c>
      <c r="K347" s="3"/>
      <c r="L347" t="str">
        <f t="shared" ca="1" si="65"/>
        <v/>
      </c>
      <c r="M347" s="132" t="str">
        <f t="shared" ca="1" si="66"/>
        <v/>
      </c>
      <c r="N347" s="132" t="str">
        <f t="shared" ca="1" si="67"/>
        <v/>
      </c>
      <c r="P347" t="str">
        <f t="shared" ca="1" si="68"/>
        <v/>
      </c>
      <c r="Q347" s="133" t="str">
        <f t="shared" ca="1" si="69"/>
        <v/>
      </c>
      <c r="R347" s="133" t="str">
        <f t="shared" ca="1" si="70"/>
        <v/>
      </c>
      <c r="T347" t="str">
        <f t="shared" ca="1" si="71"/>
        <v/>
      </c>
      <c r="U347" s="134" t="str">
        <f t="shared" ca="1" si="72"/>
        <v/>
      </c>
    </row>
    <row r="348" spans="1:21" x14ac:dyDescent="0.3">
      <c r="A348" s="151" t="str">
        <f ca="1">Returns!$A$346</f>
        <v/>
      </c>
      <c r="B348" s="152" t="str">
        <f ca="1">IF($A348="","",Returns!$J$346)</f>
        <v/>
      </c>
      <c r="C348" s="153" t="str">
        <f t="shared" ca="1" si="73"/>
        <v/>
      </c>
      <c r="D348" s="153" t="str">
        <f ca="1">IF($A348="","",MAX($C$7:C348))</f>
        <v/>
      </c>
      <c r="E348" s="154" t="str">
        <f t="shared" ca="1" si="74"/>
        <v/>
      </c>
      <c r="F348" s="152" t="str">
        <f ca="1">IF($A348="","",Returns!$I$346)</f>
        <v/>
      </c>
      <c r="G348" s="153" t="str">
        <f t="shared" ca="1" si="75"/>
        <v/>
      </c>
      <c r="H348" s="153" t="str">
        <f ca="1">IF($A348="","",MAX($G$7:G348))</f>
        <v/>
      </c>
      <c r="I348" s="154" t="str">
        <f t="shared" ca="1" si="76"/>
        <v/>
      </c>
      <c r="J348" s="59" t="str">
        <f t="shared" ca="1" si="77"/>
        <v/>
      </c>
      <c r="K348" s="3"/>
      <c r="L348" t="str">
        <f t="shared" ca="1" si="65"/>
        <v/>
      </c>
      <c r="M348" s="132" t="str">
        <f t="shared" ca="1" si="66"/>
        <v/>
      </c>
      <c r="N348" s="132" t="str">
        <f t="shared" ca="1" si="67"/>
        <v/>
      </c>
      <c r="P348" t="str">
        <f t="shared" ca="1" si="68"/>
        <v/>
      </c>
      <c r="Q348" s="133" t="str">
        <f t="shared" ca="1" si="69"/>
        <v/>
      </c>
      <c r="R348" s="133" t="str">
        <f t="shared" ca="1" si="70"/>
        <v/>
      </c>
      <c r="T348" t="str">
        <f t="shared" ca="1" si="71"/>
        <v/>
      </c>
      <c r="U348" s="134" t="str">
        <f t="shared" ca="1" si="72"/>
        <v/>
      </c>
    </row>
    <row r="349" spans="1:21" x14ac:dyDescent="0.3">
      <c r="A349" s="151" t="str">
        <f ca="1">Returns!$A$347</f>
        <v/>
      </c>
      <c r="B349" s="152" t="str">
        <f ca="1">IF($A349="","",Returns!$J$347)</f>
        <v/>
      </c>
      <c r="C349" s="153" t="str">
        <f t="shared" ca="1" si="73"/>
        <v/>
      </c>
      <c r="D349" s="153" t="str">
        <f ca="1">IF($A349="","",MAX($C$7:C349))</f>
        <v/>
      </c>
      <c r="E349" s="154" t="str">
        <f t="shared" ca="1" si="74"/>
        <v/>
      </c>
      <c r="F349" s="152" t="str">
        <f ca="1">IF($A349="","",Returns!$I$347)</f>
        <v/>
      </c>
      <c r="G349" s="153" t="str">
        <f t="shared" ca="1" si="75"/>
        <v/>
      </c>
      <c r="H349" s="153" t="str">
        <f ca="1">IF($A349="","",MAX($G$7:G349))</f>
        <v/>
      </c>
      <c r="I349" s="154" t="str">
        <f t="shared" ca="1" si="76"/>
        <v/>
      </c>
      <c r="J349" s="59" t="str">
        <f t="shared" ca="1" si="77"/>
        <v/>
      </c>
      <c r="K349" s="3"/>
      <c r="L349" t="str">
        <f t="shared" ca="1" si="65"/>
        <v/>
      </c>
      <c r="M349" s="132" t="str">
        <f t="shared" ca="1" si="66"/>
        <v/>
      </c>
      <c r="N349" s="132" t="str">
        <f t="shared" ca="1" si="67"/>
        <v/>
      </c>
      <c r="P349" t="str">
        <f t="shared" ca="1" si="68"/>
        <v/>
      </c>
      <c r="Q349" s="133" t="str">
        <f t="shared" ca="1" si="69"/>
        <v/>
      </c>
      <c r="R349" s="133" t="str">
        <f t="shared" ca="1" si="70"/>
        <v/>
      </c>
      <c r="T349" t="str">
        <f t="shared" ca="1" si="71"/>
        <v/>
      </c>
      <c r="U349" s="134" t="str">
        <f t="shared" ca="1" si="72"/>
        <v/>
      </c>
    </row>
    <row r="350" spans="1:21" x14ac:dyDescent="0.3">
      <c r="A350" s="151" t="str">
        <f ca="1">Returns!$A$348</f>
        <v/>
      </c>
      <c r="B350" s="152" t="str">
        <f ca="1">IF($A350="","",Returns!$J$348)</f>
        <v/>
      </c>
      <c r="C350" s="153" t="str">
        <f t="shared" ca="1" si="73"/>
        <v/>
      </c>
      <c r="D350" s="153" t="str">
        <f ca="1">IF($A350="","",MAX($C$7:C350))</f>
        <v/>
      </c>
      <c r="E350" s="154" t="str">
        <f t="shared" ca="1" si="74"/>
        <v/>
      </c>
      <c r="F350" s="152" t="str">
        <f ca="1">IF($A350="","",Returns!$I$348)</f>
        <v/>
      </c>
      <c r="G350" s="153" t="str">
        <f t="shared" ca="1" si="75"/>
        <v/>
      </c>
      <c r="H350" s="153" t="str">
        <f ca="1">IF($A350="","",MAX($G$7:G350))</f>
        <v/>
      </c>
      <c r="I350" s="154" t="str">
        <f t="shared" ca="1" si="76"/>
        <v/>
      </c>
      <c r="J350" s="59" t="str">
        <f t="shared" ca="1" si="77"/>
        <v/>
      </c>
      <c r="K350" s="3"/>
      <c r="L350" t="str">
        <f t="shared" ca="1" si="65"/>
        <v/>
      </c>
      <c r="M350" s="132" t="str">
        <f t="shared" ca="1" si="66"/>
        <v/>
      </c>
      <c r="N350" s="132" t="str">
        <f t="shared" ca="1" si="67"/>
        <v/>
      </c>
      <c r="P350" t="str">
        <f t="shared" ca="1" si="68"/>
        <v/>
      </c>
      <c r="Q350" s="133" t="str">
        <f t="shared" ca="1" si="69"/>
        <v/>
      </c>
      <c r="R350" s="133" t="str">
        <f t="shared" ca="1" si="70"/>
        <v/>
      </c>
      <c r="T350" t="str">
        <f t="shared" ca="1" si="71"/>
        <v/>
      </c>
      <c r="U350" s="134" t="str">
        <f t="shared" ca="1" si="72"/>
        <v/>
      </c>
    </row>
    <row r="351" spans="1:21" x14ac:dyDescent="0.3">
      <c r="A351" s="151" t="str">
        <f ca="1">Returns!$A$349</f>
        <v/>
      </c>
      <c r="B351" s="152" t="str">
        <f ca="1">IF($A351="","",Returns!$J$349)</f>
        <v/>
      </c>
      <c r="C351" s="153" t="str">
        <f t="shared" ca="1" si="73"/>
        <v/>
      </c>
      <c r="D351" s="153" t="str">
        <f ca="1">IF($A351="","",MAX($C$7:C351))</f>
        <v/>
      </c>
      <c r="E351" s="154" t="str">
        <f t="shared" ca="1" si="74"/>
        <v/>
      </c>
      <c r="F351" s="152" t="str">
        <f ca="1">IF($A351="","",Returns!$I$349)</f>
        <v/>
      </c>
      <c r="G351" s="153" t="str">
        <f t="shared" ca="1" si="75"/>
        <v/>
      </c>
      <c r="H351" s="153" t="str">
        <f ca="1">IF($A351="","",MAX($G$7:G351))</f>
        <v/>
      </c>
      <c r="I351" s="154" t="str">
        <f t="shared" ca="1" si="76"/>
        <v/>
      </c>
      <c r="J351" s="59" t="str">
        <f t="shared" ca="1" si="77"/>
        <v/>
      </c>
      <c r="K351" s="3"/>
      <c r="L351" t="str">
        <f t="shared" ca="1" si="65"/>
        <v/>
      </c>
      <c r="M351" s="132" t="str">
        <f t="shared" ca="1" si="66"/>
        <v/>
      </c>
      <c r="N351" s="132" t="str">
        <f t="shared" ca="1" si="67"/>
        <v/>
      </c>
      <c r="P351" t="str">
        <f t="shared" ca="1" si="68"/>
        <v/>
      </c>
      <c r="Q351" s="133" t="str">
        <f t="shared" ca="1" si="69"/>
        <v/>
      </c>
      <c r="R351" s="133" t="str">
        <f t="shared" ca="1" si="70"/>
        <v/>
      </c>
      <c r="T351" t="str">
        <f t="shared" ca="1" si="71"/>
        <v/>
      </c>
      <c r="U351" s="134" t="str">
        <f t="shared" ca="1" si="72"/>
        <v/>
      </c>
    </row>
    <row r="352" spans="1:21" x14ac:dyDescent="0.3">
      <c r="A352" s="151" t="str">
        <f ca="1">Returns!$A$350</f>
        <v/>
      </c>
      <c r="B352" s="152" t="str">
        <f ca="1">IF($A352="","",Returns!$J$350)</f>
        <v/>
      </c>
      <c r="C352" s="153" t="str">
        <f t="shared" ca="1" si="73"/>
        <v/>
      </c>
      <c r="D352" s="153" t="str">
        <f ca="1">IF($A352="","",MAX($C$7:C352))</f>
        <v/>
      </c>
      <c r="E352" s="154" t="str">
        <f t="shared" ca="1" si="74"/>
        <v/>
      </c>
      <c r="F352" s="152" t="str">
        <f ca="1">IF($A352="","",Returns!$I$350)</f>
        <v/>
      </c>
      <c r="G352" s="153" t="str">
        <f t="shared" ca="1" si="75"/>
        <v/>
      </c>
      <c r="H352" s="153" t="str">
        <f ca="1">IF($A352="","",MAX($G$7:G352))</f>
        <v/>
      </c>
      <c r="I352" s="154" t="str">
        <f t="shared" ca="1" si="76"/>
        <v/>
      </c>
      <c r="J352" s="59" t="str">
        <f t="shared" ca="1" si="77"/>
        <v/>
      </c>
      <c r="K352" s="3"/>
      <c r="L352" t="str">
        <f t="shared" ca="1" si="65"/>
        <v/>
      </c>
      <c r="M352" s="132" t="str">
        <f t="shared" ca="1" si="66"/>
        <v/>
      </c>
      <c r="N352" s="132" t="str">
        <f t="shared" ca="1" si="67"/>
        <v/>
      </c>
      <c r="P352" t="str">
        <f t="shared" ca="1" si="68"/>
        <v/>
      </c>
      <c r="Q352" s="133" t="str">
        <f t="shared" ca="1" si="69"/>
        <v/>
      </c>
      <c r="R352" s="133" t="str">
        <f t="shared" ca="1" si="70"/>
        <v/>
      </c>
      <c r="T352" t="str">
        <f t="shared" ca="1" si="71"/>
        <v/>
      </c>
      <c r="U352" s="134" t="str">
        <f t="shared" ca="1" si="72"/>
        <v/>
      </c>
    </row>
    <row r="353" spans="1:21" x14ac:dyDescent="0.3">
      <c r="A353" s="151" t="str">
        <f ca="1">Returns!$A$351</f>
        <v/>
      </c>
      <c r="B353" s="152" t="str">
        <f ca="1">IF($A353="","",Returns!$J$351)</f>
        <v/>
      </c>
      <c r="C353" s="153" t="str">
        <f t="shared" ca="1" si="73"/>
        <v/>
      </c>
      <c r="D353" s="153" t="str">
        <f ca="1">IF($A353="","",MAX($C$7:C353))</f>
        <v/>
      </c>
      <c r="E353" s="154" t="str">
        <f t="shared" ca="1" si="74"/>
        <v/>
      </c>
      <c r="F353" s="152" t="str">
        <f ca="1">IF($A353="","",Returns!$I$351)</f>
        <v/>
      </c>
      <c r="G353" s="153" t="str">
        <f t="shared" ca="1" si="75"/>
        <v/>
      </c>
      <c r="H353" s="153" t="str">
        <f ca="1">IF($A353="","",MAX($G$7:G353))</f>
        <v/>
      </c>
      <c r="I353" s="154" t="str">
        <f t="shared" ca="1" si="76"/>
        <v/>
      </c>
      <c r="J353" s="59" t="str">
        <f t="shared" ca="1" si="77"/>
        <v/>
      </c>
      <c r="K353" s="3"/>
      <c r="L353" t="str">
        <f t="shared" ca="1" si="65"/>
        <v/>
      </c>
      <c r="M353" s="132" t="str">
        <f t="shared" ca="1" si="66"/>
        <v/>
      </c>
      <c r="N353" s="132" t="str">
        <f t="shared" ca="1" si="67"/>
        <v/>
      </c>
      <c r="P353" t="str">
        <f t="shared" ca="1" si="68"/>
        <v/>
      </c>
      <c r="Q353" s="133" t="str">
        <f t="shared" ca="1" si="69"/>
        <v/>
      </c>
      <c r="R353" s="133" t="str">
        <f t="shared" ca="1" si="70"/>
        <v/>
      </c>
      <c r="T353" t="str">
        <f t="shared" ca="1" si="71"/>
        <v/>
      </c>
      <c r="U353" s="134" t="str">
        <f t="shared" ca="1" si="72"/>
        <v/>
      </c>
    </row>
    <row r="354" spans="1:21" x14ac:dyDescent="0.3">
      <c r="A354" s="151" t="str">
        <f ca="1">Returns!$A$352</f>
        <v/>
      </c>
      <c r="B354" s="152" t="str">
        <f ca="1">IF($A354="","",Returns!$J$352)</f>
        <v/>
      </c>
      <c r="C354" s="153" t="str">
        <f t="shared" ca="1" si="73"/>
        <v/>
      </c>
      <c r="D354" s="153" t="str">
        <f ca="1">IF($A354="","",MAX($C$7:C354))</f>
        <v/>
      </c>
      <c r="E354" s="154" t="str">
        <f t="shared" ca="1" si="74"/>
        <v/>
      </c>
      <c r="F354" s="152" t="str">
        <f ca="1">IF($A354="","",Returns!$I$352)</f>
        <v/>
      </c>
      <c r="G354" s="153" t="str">
        <f t="shared" ca="1" si="75"/>
        <v/>
      </c>
      <c r="H354" s="153" t="str">
        <f ca="1">IF($A354="","",MAX($G$7:G354))</f>
        <v/>
      </c>
      <c r="I354" s="154" t="str">
        <f t="shared" ca="1" si="76"/>
        <v/>
      </c>
      <c r="J354" s="59" t="str">
        <f t="shared" ca="1" si="77"/>
        <v/>
      </c>
      <c r="K354" s="3"/>
      <c r="L354" t="str">
        <f t="shared" ca="1" si="65"/>
        <v/>
      </c>
      <c r="M354" s="132" t="str">
        <f t="shared" ca="1" si="66"/>
        <v/>
      </c>
      <c r="N354" s="132" t="str">
        <f t="shared" ca="1" si="67"/>
        <v/>
      </c>
      <c r="P354" t="str">
        <f t="shared" ca="1" si="68"/>
        <v/>
      </c>
      <c r="Q354" s="133" t="str">
        <f t="shared" ca="1" si="69"/>
        <v/>
      </c>
      <c r="R354" s="133" t="str">
        <f t="shared" ca="1" si="70"/>
        <v/>
      </c>
      <c r="T354" t="str">
        <f t="shared" ca="1" si="71"/>
        <v/>
      </c>
      <c r="U354" s="134" t="str">
        <f t="shared" ca="1" si="72"/>
        <v/>
      </c>
    </row>
    <row r="355" spans="1:21" x14ac:dyDescent="0.3">
      <c r="A355" s="151" t="str">
        <f ca="1">Returns!$A$353</f>
        <v/>
      </c>
      <c r="B355" s="152" t="str">
        <f ca="1">IF($A355="","",Returns!$J$353)</f>
        <v/>
      </c>
      <c r="C355" s="153" t="str">
        <f t="shared" ca="1" si="73"/>
        <v/>
      </c>
      <c r="D355" s="153" t="str">
        <f ca="1">IF($A355="","",MAX($C$7:C355))</f>
        <v/>
      </c>
      <c r="E355" s="154" t="str">
        <f t="shared" ca="1" si="74"/>
        <v/>
      </c>
      <c r="F355" s="152" t="str">
        <f ca="1">IF($A355="","",Returns!$I$353)</f>
        <v/>
      </c>
      <c r="G355" s="153" t="str">
        <f t="shared" ca="1" si="75"/>
        <v/>
      </c>
      <c r="H355" s="153" t="str">
        <f ca="1">IF($A355="","",MAX($G$7:G355))</f>
        <v/>
      </c>
      <c r="I355" s="154" t="str">
        <f t="shared" ca="1" si="76"/>
        <v/>
      </c>
      <c r="J355" s="59" t="str">
        <f t="shared" ca="1" si="77"/>
        <v/>
      </c>
      <c r="K355" s="3"/>
      <c r="L355" t="str">
        <f t="shared" ca="1" si="65"/>
        <v/>
      </c>
      <c r="M355" s="132" t="str">
        <f t="shared" ca="1" si="66"/>
        <v/>
      </c>
      <c r="N355" s="132" t="str">
        <f t="shared" ca="1" si="67"/>
        <v/>
      </c>
      <c r="P355" t="str">
        <f t="shared" ca="1" si="68"/>
        <v/>
      </c>
      <c r="Q355" s="133" t="str">
        <f t="shared" ca="1" si="69"/>
        <v/>
      </c>
      <c r="R355" s="133" t="str">
        <f t="shared" ca="1" si="70"/>
        <v/>
      </c>
      <c r="T355" t="str">
        <f t="shared" ca="1" si="71"/>
        <v/>
      </c>
      <c r="U355" s="134" t="str">
        <f t="shared" ca="1" si="72"/>
        <v/>
      </c>
    </row>
    <row r="356" spans="1:21" x14ac:dyDescent="0.3">
      <c r="A356" s="151" t="str">
        <f ca="1">Returns!$A$354</f>
        <v/>
      </c>
      <c r="B356" s="152" t="str">
        <f ca="1">IF($A356="","",Returns!$J$354)</f>
        <v/>
      </c>
      <c r="C356" s="153" t="str">
        <f t="shared" ca="1" si="73"/>
        <v/>
      </c>
      <c r="D356" s="153" t="str">
        <f ca="1">IF($A356="","",MAX($C$7:C356))</f>
        <v/>
      </c>
      <c r="E356" s="154" t="str">
        <f t="shared" ca="1" si="74"/>
        <v/>
      </c>
      <c r="F356" s="152" t="str">
        <f ca="1">IF($A356="","",Returns!$I$354)</f>
        <v/>
      </c>
      <c r="G356" s="153" t="str">
        <f t="shared" ca="1" si="75"/>
        <v/>
      </c>
      <c r="H356" s="153" t="str">
        <f ca="1">IF($A356="","",MAX($G$7:G356))</f>
        <v/>
      </c>
      <c r="I356" s="154" t="str">
        <f t="shared" ca="1" si="76"/>
        <v/>
      </c>
      <c r="J356" s="59" t="str">
        <f t="shared" ca="1" si="77"/>
        <v/>
      </c>
      <c r="K356" s="3"/>
      <c r="L356" t="str">
        <f t="shared" ca="1" si="65"/>
        <v/>
      </c>
      <c r="M356" s="132" t="str">
        <f t="shared" ca="1" si="66"/>
        <v/>
      </c>
      <c r="N356" s="132" t="str">
        <f t="shared" ca="1" si="67"/>
        <v/>
      </c>
      <c r="P356" t="str">
        <f t="shared" ca="1" si="68"/>
        <v/>
      </c>
      <c r="Q356" s="133" t="str">
        <f t="shared" ca="1" si="69"/>
        <v/>
      </c>
      <c r="R356" s="133" t="str">
        <f t="shared" ca="1" si="70"/>
        <v/>
      </c>
      <c r="T356" t="str">
        <f t="shared" ca="1" si="71"/>
        <v/>
      </c>
      <c r="U356" s="134" t="str">
        <f t="shared" ca="1" si="72"/>
        <v/>
      </c>
    </row>
    <row r="357" spans="1:21" x14ac:dyDescent="0.3">
      <c r="A357" s="151" t="str">
        <f ca="1">Returns!$A$355</f>
        <v/>
      </c>
      <c r="B357" s="152" t="str">
        <f ca="1">IF($A357="","",Returns!$J$355)</f>
        <v/>
      </c>
      <c r="C357" s="153" t="str">
        <f t="shared" ca="1" si="73"/>
        <v/>
      </c>
      <c r="D357" s="153" t="str">
        <f ca="1">IF($A357="","",MAX($C$7:C357))</f>
        <v/>
      </c>
      <c r="E357" s="154" t="str">
        <f t="shared" ca="1" si="74"/>
        <v/>
      </c>
      <c r="F357" s="152" t="str">
        <f ca="1">IF($A357="","",Returns!$I$355)</f>
        <v/>
      </c>
      <c r="G357" s="153" t="str">
        <f t="shared" ca="1" si="75"/>
        <v/>
      </c>
      <c r="H357" s="153" t="str">
        <f ca="1">IF($A357="","",MAX($G$7:G357))</f>
        <v/>
      </c>
      <c r="I357" s="154" t="str">
        <f t="shared" ca="1" si="76"/>
        <v/>
      </c>
      <c r="J357" s="59" t="str">
        <f t="shared" ca="1" si="77"/>
        <v/>
      </c>
      <c r="K357" s="3"/>
      <c r="L357" t="str">
        <f t="shared" ca="1" si="65"/>
        <v/>
      </c>
      <c r="M357" s="132" t="str">
        <f t="shared" ca="1" si="66"/>
        <v/>
      </c>
      <c r="N357" s="132" t="str">
        <f t="shared" ca="1" si="67"/>
        <v/>
      </c>
      <c r="P357" t="str">
        <f t="shared" ca="1" si="68"/>
        <v/>
      </c>
      <c r="Q357" s="133" t="str">
        <f t="shared" ca="1" si="69"/>
        <v/>
      </c>
      <c r="R357" s="133" t="str">
        <f t="shared" ca="1" si="70"/>
        <v/>
      </c>
      <c r="T357" t="str">
        <f t="shared" ca="1" si="71"/>
        <v/>
      </c>
      <c r="U357" s="134" t="str">
        <f t="shared" ca="1" si="72"/>
        <v/>
      </c>
    </row>
    <row r="358" spans="1:21" x14ac:dyDescent="0.3">
      <c r="A358" s="151" t="str">
        <f ca="1">Returns!$A$356</f>
        <v/>
      </c>
      <c r="B358" s="152" t="str">
        <f ca="1">IF($A358="","",Returns!$J$356)</f>
        <v/>
      </c>
      <c r="C358" s="153" t="str">
        <f t="shared" ca="1" si="73"/>
        <v/>
      </c>
      <c r="D358" s="153" t="str">
        <f ca="1">IF($A358="","",MAX($C$7:C358))</f>
        <v/>
      </c>
      <c r="E358" s="154" t="str">
        <f t="shared" ca="1" si="74"/>
        <v/>
      </c>
      <c r="F358" s="152" t="str">
        <f ca="1">IF($A358="","",Returns!$I$356)</f>
        <v/>
      </c>
      <c r="G358" s="153" t="str">
        <f t="shared" ca="1" si="75"/>
        <v/>
      </c>
      <c r="H358" s="153" t="str">
        <f ca="1">IF($A358="","",MAX($G$7:G358))</f>
        <v/>
      </c>
      <c r="I358" s="154" t="str">
        <f t="shared" ca="1" si="76"/>
        <v/>
      </c>
      <c r="J358" s="59" t="str">
        <f t="shared" ca="1" si="77"/>
        <v/>
      </c>
      <c r="K358" s="3"/>
      <c r="L358" t="str">
        <f t="shared" ca="1" si="65"/>
        <v/>
      </c>
      <c r="M358" s="132" t="str">
        <f t="shared" ca="1" si="66"/>
        <v/>
      </c>
      <c r="N358" s="132" t="str">
        <f t="shared" ca="1" si="67"/>
        <v/>
      </c>
      <c r="P358" t="str">
        <f t="shared" ca="1" si="68"/>
        <v/>
      </c>
      <c r="Q358" s="133" t="str">
        <f t="shared" ca="1" si="69"/>
        <v/>
      </c>
      <c r="R358" s="133" t="str">
        <f t="shared" ca="1" si="70"/>
        <v/>
      </c>
      <c r="T358" t="str">
        <f t="shared" ca="1" si="71"/>
        <v/>
      </c>
      <c r="U358" s="134" t="str">
        <f t="shared" ca="1" si="72"/>
        <v/>
      </c>
    </row>
    <row r="359" spans="1:21" x14ac:dyDescent="0.3">
      <c r="A359" s="151" t="str">
        <f ca="1">Returns!$A$357</f>
        <v/>
      </c>
      <c r="B359" s="152" t="str">
        <f ca="1">IF($A359="","",Returns!$J$357)</f>
        <v/>
      </c>
      <c r="C359" s="153" t="str">
        <f t="shared" ca="1" si="73"/>
        <v/>
      </c>
      <c r="D359" s="153" t="str">
        <f ca="1">IF($A359="","",MAX($C$7:C359))</f>
        <v/>
      </c>
      <c r="E359" s="154" t="str">
        <f t="shared" ca="1" si="74"/>
        <v/>
      </c>
      <c r="F359" s="152" t="str">
        <f ca="1">IF($A359="","",Returns!$I$357)</f>
        <v/>
      </c>
      <c r="G359" s="153" t="str">
        <f t="shared" ca="1" si="75"/>
        <v/>
      </c>
      <c r="H359" s="153" t="str">
        <f ca="1">IF($A359="","",MAX($G$7:G359))</f>
        <v/>
      </c>
      <c r="I359" s="154" t="str">
        <f t="shared" ca="1" si="76"/>
        <v/>
      </c>
      <c r="J359" s="59" t="str">
        <f t="shared" ca="1" si="77"/>
        <v/>
      </c>
      <c r="K359" s="3"/>
      <c r="L359" t="str">
        <f t="shared" ca="1" si="65"/>
        <v/>
      </c>
      <c r="M359" s="132" t="str">
        <f t="shared" ca="1" si="66"/>
        <v/>
      </c>
      <c r="N359" s="132" t="str">
        <f t="shared" ca="1" si="67"/>
        <v/>
      </c>
      <c r="P359" t="str">
        <f t="shared" ca="1" si="68"/>
        <v/>
      </c>
      <c r="Q359" s="133" t="str">
        <f t="shared" ca="1" si="69"/>
        <v/>
      </c>
      <c r="R359" s="133" t="str">
        <f t="shared" ca="1" si="70"/>
        <v/>
      </c>
      <c r="T359" t="str">
        <f t="shared" ca="1" si="71"/>
        <v/>
      </c>
      <c r="U359" s="134" t="str">
        <f t="shared" ca="1" si="72"/>
        <v/>
      </c>
    </row>
    <row r="360" spans="1:21" x14ac:dyDescent="0.3">
      <c r="A360" s="151" t="str">
        <f ca="1">Returns!$A$358</f>
        <v/>
      </c>
      <c r="B360" s="152" t="str">
        <f ca="1">IF($A360="","",Returns!$J$358)</f>
        <v/>
      </c>
      <c r="C360" s="153" t="str">
        <f t="shared" ca="1" si="73"/>
        <v/>
      </c>
      <c r="D360" s="153" t="str">
        <f ca="1">IF($A360="","",MAX($C$7:C360))</f>
        <v/>
      </c>
      <c r="E360" s="154" t="str">
        <f t="shared" ca="1" si="74"/>
        <v/>
      </c>
      <c r="F360" s="152" t="str">
        <f ca="1">IF($A360="","",Returns!$I$358)</f>
        <v/>
      </c>
      <c r="G360" s="153" t="str">
        <f t="shared" ca="1" si="75"/>
        <v/>
      </c>
      <c r="H360" s="153" t="str">
        <f ca="1">IF($A360="","",MAX($G$7:G360))</f>
        <v/>
      </c>
      <c r="I360" s="154" t="str">
        <f t="shared" ca="1" si="76"/>
        <v/>
      </c>
      <c r="J360" s="59" t="str">
        <f t="shared" ca="1" si="77"/>
        <v/>
      </c>
      <c r="K360" s="3"/>
      <c r="L360" t="str">
        <f t="shared" ca="1" si="65"/>
        <v/>
      </c>
      <c r="M360" s="132" t="str">
        <f t="shared" ca="1" si="66"/>
        <v/>
      </c>
      <c r="N360" s="132" t="str">
        <f t="shared" ca="1" si="67"/>
        <v/>
      </c>
      <c r="P360" t="str">
        <f t="shared" ca="1" si="68"/>
        <v/>
      </c>
      <c r="Q360" s="133" t="str">
        <f t="shared" ca="1" si="69"/>
        <v/>
      </c>
      <c r="R360" s="133" t="str">
        <f t="shared" ca="1" si="70"/>
        <v/>
      </c>
      <c r="T360" t="str">
        <f t="shared" ca="1" si="71"/>
        <v/>
      </c>
      <c r="U360" s="134" t="str">
        <f t="shared" ca="1" si="72"/>
        <v/>
      </c>
    </row>
    <row r="361" spans="1:21" x14ac:dyDescent="0.3">
      <c r="A361" s="151" t="str">
        <f ca="1">Returns!$A$359</f>
        <v/>
      </c>
      <c r="B361" s="152" t="str">
        <f ca="1">IF($A361="","",Returns!$J$359)</f>
        <v/>
      </c>
      <c r="C361" s="153" t="str">
        <f t="shared" ca="1" si="73"/>
        <v/>
      </c>
      <c r="D361" s="153" t="str">
        <f ca="1">IF($A361="","",MAX($C$7:C361))</f>
        <v/>
      </c>
      <c r="E361" s="154" t="str">
        <f t="shared" ca="1" si="74"/>
        <v/>
      </c>
      <c r="F361" s="152" t="str">
        <f ca="1">IF($A361="","",Returns!$I$359)</f>
        <v/>
      </c>
      <c r="G361" s="153" t="str">
        <f t="shared" ca="1" si="75"/>
        <v/>
      </c>
      <c r="H361" s="153" t="str">
        <f ca="1">IF($A361="","",MAX($G$7:G361))</f>
        <v/>
      </c>
      <c r="I361" s="154" t="str">
        <f t="shared" ca="1" si="76"/>
        <v/>
      </c>
      <c r="J361" s="59" t="str">
        <f t="shared" ca="1" si="77"/>
        <v/>
      </c>
      <c r="K361" s="3"/>
      <c r="L361" t="str">
        <f t="shared" ca="1" si="65"/>
        <v/>
      </c>
      <c r="M361" s="132" t="str">
        <f t="shared" ca="1" si="66"/>
        <v/>
      </c>
      <c r="N361" s="132" t="str">
        <f t="shared" ca="1" si="67"/>
        <v/>
      </c>
      <c r="P361" t="str">
        <f t="shared" ca="1" si="68"/>
        <v/>
      </c>
      <c r="Q361" s="133" t="str">
        <f t="shared" ca="1" si="69"/>
        <v/>
      </c>
      <c r="R361" s="133" t="str">
        <f t="shared" ca="1" si="70"/>
        <v/>
      </c>
      <c r="T361" t="str">
        <f t="shared" ca="1" si="71"/>
        <v/>
      </c>
      <c r="U361" s="134" t="str">
        <f t="shared" ca="1" si="72"/>
        <v/>
      </c>
    </row>
    <row r="362" spans="1:21" x14ac:dyDescent="0.3">
      <c r="A362" s="151" t="str">
        <f ca="1">Returns!$A$360</f>
        <v/>
      </c>
      <c r="B362" s="152" t="str">
        <f ca="1">IF($A362="","",Returns!$J$360)</f>
        <v/>
      </c>
      <c r="C362" s="153" t="str">
        <f t="shared" ca="1" si="73"/>
        <v/>
      </c>
      <c r="D362" s="153" t="str">
        <f ca="1">IF($A362="","",MAX($C$7:C362))</f>
        <v/>
      </c>
      <c r="E362" s="154" t="str">
        <f t="shared" ca="1" si="74"/>
        <v/>
      </c>
      <c r="F362" s="152" t="str">
        <f ca="1">IF($A362="","",Returns!$I$360)</f>
        <v/>
      </c>
      <c r="G362" s="153" t="str">
        <f t="shared" ca="1" si="75"/>
        <v/>
      </c>
      <c r="H362" s="153" t="str">
        <f ca="1">IF($A362="","",MAX($G$7:G362))</f>
        <v/>
      </c>
      <c r="I362" s="154" t="str">
        <f t="shared" ca="1" si="76"/>
        <v/>
      </c>
      <c r="J362" s="59" t="str">
        <f t="shared" ca="1" si="77"/>
        <v/>
      </c>
      <c r="K362" s="3"/>
      <c r="L362" t="str">
        <f t="shared" ca="1" si="65"/>
        <v/>
      </c>
      <c r="M362" s="132" t="str">
        <f t="shared" ca="1" si="66"/>
        <v/>
      </c>
      <c r="N362" s="132" t="str">
        <f t="shared" ca="1" si="67"/>
        <v/>
      </c>
      <c r="P362" t="str">
        <f t="shared" ca="1" si="68"/>
        <v/>
      </c>
      <c r="Q362" s="133" t="str">
        <f t="shared" ca="1" si="69"/>
        <v/>
      </c>
      <c r="R362" s="133" t="str">
        <f t="shared" ca="1" si="70"/>
        <v/>
      </c>
      <c r="T362" t="str">
        <f t="shared" ca="1" si="71"/>
        <v/>
      </c>
      <c r="U362" s="134" t="str">
        <f t="shared" ca="1" si="72"/>
        <v/>
      </c>
    </row>
    <row r="363" spans="1:21" x14ac:dyDescent="0.3">
      <c r="A363" s="151" t="str">
        <f ca="1">Returns!$A$361</f>
        <v/>
      </c>
      <c r="B363" s="152" t="str">
        <f ca="1">IF($A363="","",Returns!$J$361)</f>
        <v/>
      </c>
      <c r="C363" s="153" t="str">
        <f t="shared" ca="1" si="73"/>
        <v/>
      </c>
      <c r="D363" s="153" t="str">
        <f ca="1">IF($A363="","",MAX($C$7:C363))</f>
        <v/>
      </c>
      <c r="E363" s="154" t="str">
        <f t="shared" ca="1" si="74"/>
        <v/>
      </c>
      <c r="F363" s="152" t="str">
        <f ca="1">IF($A363="","",Returns!$I$361)</f>
        <v/>
      </c>
      <c r="G363" s="153" t="str">
        <f t="shared" ca="1" si="75"/>
        <v/>
      </c>
      <c r="H363" s="153" t="str">
        <f ca="1">IF($A363="","",MAX($G$7:G363))</f>
        <v/>
      </c>
      <c r="I363" s="154" t="str">
        <f t="shared" ca="1" si="76"/>
        <v/>
      </c>
      <c r="J363" s="59" t="str">
        <f t="shared" ca="1" si="77"/>
        <v/>
      </c>
      <c r="K363" s="3"/>
      <c r="L363" t="str">
        <f t="shared" ca="1" si="65"/>
        <v/>
      </c>
      <c r="M363" s="132" t="str">
        <f t="shared" ca="1" si="66"/>
        <v/>
      </c>
      <c r="N363" s="132" t="str">
        <f t="shared" ca="1" si="67"/>
        <v/>
      </c>
      <c r="P363" t="str">
        <f t="shared" ca="1" si="68"/>
        <v/>
      </c>
      <c r="Q363" s="133" t="str">
        <f t="shared" ca="1" si="69"/>
        <v/>
      </c>
      <c r="R363" s="133" t="str">
        <f t="shared" ca="1" si="70"/>
        <v/>
      </c>
      <c r="T363" t="str">
        <f t="shared" ca="1" si="71"/>
        <v/>
      </c>
      <c r="U363" s="134" t="str">
        <f t="shared" ca="1" si="72"/>
        <v/>
      </c>
    </row>
    <row r="364" spans="1:21" x14ac:dyDescent="0.3">
      <c r="A364" s="151" t="str">
        <f ca="1">Returns!$A$362</f>
        <v/>
      </c>
      <c r="B364" s="152" t="str">
        <f ca="1">IF($A364="","",Returns!$J$362)</f>
        <v/>
      </c>
      <c r="C364" s="153" t="str">
        <f t="shared" ca="1" si="73"/>
        <v/>
      </c>
      <c r="D364" s="153" t="str">
        <f ca="1">IF($A364="","",MAX($C$7:C364))</f>
        <v/>
      </c>
      <c r="E364" s="154" t="str">
        <f t="shared" ca="1" si="74"/>
        <v/>
      </c>
      <c r="F364" s="152" t="str">
        <f ca="1">IF($A364="","",Returns!$I$362)</f>
        <v/>
      </c>
      <c r="G364" s="153" t="str">
        <f t="shared" ca="1" si="75"/>
        <v/>
      </c>
      <c r="H364" s="153" t="str">
        <f ca="1">IF($A364="","",MAX($G$7:G364))</f>
        <v/>
      </c>
      <c r="I364" s="154" t="str">
        <f t="shared" ca="1" si="76"/>
        <v/>
      </c>
      <c r="J364" s="59" t="str">
        <f t="shared" ca="1" si="77"/>
        <v/>
      </c>
      <c r="K364" s="3"/>
      <c r="L364" t="str">
        <f t="shared" ca="1" si="65"/>
        <v/>
      </c>
      <c r="M364" s="132" t="str">
        <f t="shared" ca="1" si="66"/>
        <v/>
      </c>
      <c r="N364" s="132" t="str">
        <f t="shared" ca="1" si="67"/>
        <v/>
      </c>
      <c r="P364" t="str">
        <f t="shared" ca="1" si="68"/>
        <v/>
      </c>
      <c r="Q364" s="133" t="str">
        <f t="shared" ca="1" si="69"/>
        <v/>
      </c>
      <c r="R364" s="133" t="str">
        <f t="shared" ca="1" si="70"/>
        <v/>
      </c>
      <c r="T364" t="str">
        <f t="shared" ca="1" si="71"/>
        <v/>
      </c>
      <c r="U364" s="134" t="str">
        <f t="shared" ca="1" si="72"/>
        <v/>
      </c>
    </row>
    <row r="365" spans="1:21" x14ac:dyDescent="0.3">
      <c r="A365" s="151" t="str">
        <f ca="1">Returns!$A$363</f>
        <v/>
      </c>
      <c r="B365" s="152" t="str">
        <f ca="1">IF($A365="","",Returns!$J$363)</f>
        <v/>
      </c>
      <c r="C365" s="153" t="str">
        <f t="shared" ca="1" si="73"/>
        <v/>
      </c>
      <c r="D365" s="153" t="str">
        <f ca="1">IF($A365="","",MAX($C$7:C365))</f>
        <v/>
      </c>
      <c r="E365" s="154" t="str">
        <f t="shared" ca="1" si="74"/>
        <v/>
      </c>
      <c r="F365" s="152" t="str">
        <f ca="1">IF($A365="","",Returns!$I$363)</f>
        <v/>
      </c>
      <c r="G365" s="153" t="str">
        <f t="shared" ca="1" si="75"/>
        <v/>
      </c>
      <c r="H365" s="153" t="str">
        <f ca="1">IF($A365="","",MAX($G$7:G365))</f>
        <v/>
      </c>
      <c r="I365" s="154" t="str">
        <f t="shared" ca="1" si="76"/>
        <v/>
      </c>
      <c r="J365" s="59" t="str">
        <f t="shared" ca="1" si="77"/>
        <v/>
      </c>
      <c r="K365" s="3"/>
      <c r="L365" t="str">
        <f t="shared" ca="1" si="65"/>
        <v/>
      </c>
      <c r="M365" s="132" t="str">
        <f t="shared" ca="1" si="66"/>
        <v/>
      </c>
      <c r="N365" s="132" t="str">
        <f t="shared" ca="1" si="67"/>
        <v/>
      </c>
      <c r="P365" t="str">
        <f t="shared" ca="1" si="68"/>
        <v/>
      </c>
      <c r="Q365" s="133" t="str">
        <f t="shared" ca="1" si="69"/>
        <v/>
      </c>
      <c r="R365" s="133" t="str">
        <f t="shared" ca="1" si="70"/>
        <v/>
      </c>
      <c r="T365" t="str">
        <f t="shared" ca="1" si="71"/>
        <v/>
      </c>
      <c r="U365" s="134" t="str">
        <f t="shared" ca="1" si="72"/>
        <v/>
      </c>
    </row>
    <row r="366" spans="1:21" x14ac:dyDescent="0.3">
      <c r="A366" s="151" t="str">
        <f ca="1">Returns!$A$364</f>
        <v/>
      </c>
      <c r="B366" s="152" t="str">
        <f ca="1">IF($A366="","",Returns!$J$364)</f>
        <v/>
      </c>
      <c r="C366" s="153" t="str">
        <f t="shared" ca="1" si="73"/>
        <v/>
      </c>
      <c r="D366" s="153" t="str">
        <f ca="1">IF($A366="","",MAX($C$7:C366))</f>
        <v/>
      </c>
      <c r="E366" s="154" t="str">
        <f t="shared" ca="1" si="74"/>
        <v/>
      </c>
      <c r="F366" s="152" t="str">
        <f ca="1">IF($A366="","",Returns!$I$364)</f>
        <v/>
      </c>
      <c r="G366" s="153" t="str">
        <f t="shared" ca="1" si="75"/>
        <v/>
      </c>
      <c r="H366" s="153" t="str">
        <f ca="1">IF($A366="","",MAX($G$7:G366))</f>
        <v/>
      </c>
      <c r="I366" s="154" t="str">
        <f t="shared" ca="1" si="76"/>
        <v/>
      </c>
      <c r="J366" s="59" t="str">
        <f t="shared" ca="1" si="77"/>
        <v/>
      </c>
      <c r="K366" s="3"/>
      <c r="L366" t="str">
        <f t="shared" ca="1" si="65"/>
        <v/>
      </c>
      <c r="M366" s="132" t="str">
        <f t="shared" ca="1" si="66"/>
        <v/>
      </c>
      <c r="N366" s="132" t="str">
        <f t="shared" ca="1" si="67"/>
        <v/>
      </c>
      <c r="P366" t="str">
        <f t="shared" ca="1" si="68"/>
        <v/>
      </c>
      <c r="Q366" s="133" t="str">
        <f t="shared" ca="1" si="69"/>
        <v/>
      </c>
      <c r="R366" s="133" t="str">
        <f t="shared" ca="1" si="70"/>
        <v/>
      </c>
      <c r="T366" t="str">
        <f t="shared" ca="1" si="71"/>
        <v/>
      </c>
      <c r="U366" s="134" t="str">
        <f t="shared" ca="1" si="72"/>
        <v/>
      </c>
    </row>
    <row r="367" spans="1:21" x14ac:dyDescent="0.3">
      <c r="A367" s="151" t="str">
        <f ca="1">Returns!$A$365</f>
        <v/>
      </c>
      <c r="B367" s="152" t="str">
        <f ca="1">IF($A367="","",Returns!$J$365)</f>
        <v/>
      </c>
      <c r="C367" s="153" t="str">
        <f t="shared" ca="1" si="73"/>
        <v/>
      </c>
      <c r="D367" s="153" t="str">
        <f ca="1">IF($A367="","",MAX($C$7:C367))</f>
        <v/>
      </c>
      <c r="E367" s="154" t="str">
        <f t="shared" ca="1" si="74"/>
        <v/>
      </c>
      <c r="F367" s="152" t="str">
        <f ca="1">IF($A367="","",Returns!$I$365)</f>
        <v/>
      </c>
      <c r="G367" s="153" t="str">
        <f t="shared" ca="1" si="75"/>
        <v/>
      </c>
      <c r="H367" s="153" t="str">
        <f ca="1">IF($A367="","",MAX($G$7:G367))</f>
        <v/>
      </c>
      <c r="I367" s="154" t="str">
        <f t="shared" ca="1" si="76"/>
        <v/>
      </c>
      <c r="J367" s="59" t="str">
        <f t="shared" ca="1" si="77"/>
        <v/>
      </c>
      <c r="K367" s="3"/>
      <c r="L367" t="str">
        <f t="shared" ca="1" si="65"/>
        <v/>
      </c>
      <c r="M367" s="132" t="str">
        <f t="shared" ca="1" si="66"/>
        <v/>
      </c>
      <c r="N367" s="132" t="str">
        <f t="shared" ca="1" si="67"/>
        <v/>
      </c>
      <c r="P367" t="str">
        <f t="shared" ca="1" si="68"/>
        <v/>
      </c>
      <c r="Q367" s="133" t="str">
        <f t="shared" ca="1" si="69"/>
        <v/>
      </c>
      <c r="R367" s="133" t="str">
        <f t="shared" ca="1" si="70"/>
        <v/>
      </c>
      <c r="T367" t="str">
        <f t="shared" ca="1" si="71"/>
        <v/>
      </c>
      <c r="U367" s="134" t="str">
        <f t="shared" ca="1" si="72"/>
        <v/>
      </c>
    </row>
    <row r="368" spans="1:21" x14ac:dyDescent="0.3">
      <c r="A368" s="151" t="str">
        <f ca="1">Returns!$A$366</f>
        <v/>
      </c>
      <c r="B368" s="152" t="str">
        <f ca="1">IF($A368="","",Returns!$J$366)</f>
        <v/>
      </c>
      <c r="C368" s="153" t="str">
        <f t="shared" ca="1" si="73"/>
        <v/>
      </c>
      <c r="D368" s="153" t="str">
        <f ca="1">IF($A368="","",MAX($C$7:C368))</f>
        <v/>
      </c>
      <c r="E368" s="154" t="str">
        <f t="shared" ca="1" si="74"/>
        <v/>
      </c>
      <c r="F368" s="152" t="str">
        <f ca="1">IF($A368="","",Returns!$I$366)</f>
        <v/>
      </c>
      <c r="G368" s="153" t="str">
        <f t="shared" ca="1" si="75"/>
        <v/>
      </c>
      <c r="H368" s="153" t="str">
        <f ca="1">IF($A368="","",MAX($G$7:G368))</f>
        <v/>
      </c>
      <c r="I368" s="154" t="str">
        <f t="shared" ca="1" si="76"/>
        <v/>
      </c>
      <c r="J368" s="59" t="str">
        <f t="shared" ca="1" si="77"/>
        <v/>
      </c>
      <c r="K368" s="3"/>
      <c r="L368" t="str">
        <f t="shared" ca="1" si="65"/>
        <v/>
      </c>
      <c r="M368" s="132" t="str">
        <f t="shared" ca="1" si="66"/>
        <v/>
      </c>
      <c r="N368" s="132" t="str">
        <f t="shared" ca="1" si="67"/>
        <v/>
      </c>
      <c r="P368" t="str">
        <f t="shared" ca="1" si="68"/>
        <v/>
      </c>
      <c r="Q368" s="133" t="str">
        <f t="shared" ca="1" si="69"/>
        <v/>
      </c>
      <c r="R368" s="133" t="str">
        <f t="shared" ca="1" si="70"/>
        <v/>
      </c>
      <c r="T368" t="str">
        <f t="shared" ca="1" si="71"/>
        <v/>
      </c>
      <c r="U368" s="134" t="str">
        <f t="shared" ca="1" si="72"/>
        <v/>
      </c>
    </row>
    <row r="369" spans="1:21" x14ac:dyDescent="0.3">
      <c r="A369" s="151" t="str">
        <f ca="1">Returns!$A$367</f>
        <v/>
      </c>
      <c r="B369" s="152" t="str">
        <f ca="1">IF($A369="","",Returns!$J$367)</f>
        <v/>
      </c>
      <c r="C369" s="153" t="str">
        <f t="shared" ca="1" si="73"/>
        <v/>
      </c>
      <c r="D369" s="153" t="str">
        <f ca="1">IF($A369="","",MAX($C$7:C369))</f>
        <v/>
      </c>
      <c r="E369" s="154" t="str">
        <f t="shared" ca="1" si="74"/>
        <v/>
      </c>
      <c r="F369" s="152" t="str">
        <f ca="1">IF($A369="","",Returns!$I$367)</f>
        <v/>
      </c>
      <c r="G369" s="153" t="str">
        <f t="shared" ca="1" si="75"/>
        <v/>
      </c>
      <c r="H369" s="153" t="str">
        <f ca="1">IF($A369="","",MAX($G$7:G369))</f>
        <v/>
      </c>
      <c r="I369" s="154" t="str">
        <f t="shared" ca="1" si="76"/>
        <v/>
      </c>
      <c r="J369" s="59" t="str">
        <f t="shared" ca="1" si="77"/>
        <v/>
      </c>
      <c r="K369" s="3"/>
      <c r="L369" t="str">
        <f t="shared" ca="1" si="65"/>
        <v/>
      </c>
      <c r="M369" s="132" t="str">
        <f t="shared" ca="1" si="66"/>
        <v/>
      </c>
      <c r="N369" s="132" t="str">
        <f t="shared" ca="1" si="67"/>
        <v/>
      </c>
      <c r="P369" t="str">
        <f t="shared" ca="1" si="68"/>
        <v/>
      </c>
      <c r="Q369" s="133" t="str">
        <f t="shared" ca="1" si="69"/>
        <v/>
      </c>
      <c r="R369" s="133" t="str">
        <f t="shared" ca="1" si="70"/>
        <v/>
      </c>
      <c r="T369" t="str">
        <f t="shared" ca="1" si="71"/>
        <v/>
      </c>
      <c r="U369" s="134" t="str">
        <f t="shared" ca="1" si="72"/>
        <v/>
      </c>
    </row>
    <row r="370" spans="1:21" x14ac:dyDescent="0.3">
      <c r="A370" s="151" t="str">
        <f ca="1">Returns!$A$368</f>
        <v/>
      </c>
      <c r="B370" s="152" t="str">
        <f ca="1">IF($A370="","",Returns!$J$368)</f>
        <v/>
      </c>
      <c r="C370" s="153" t="str">
        <f t="shared" ca="1" si="73"/>
        <v/>
      </c>
      <c r="D370" s="153" t="str">
        <f ca="1">IF($A370="","",MAX($C$7:C370))</f>
        <v/>
      </c>
      <c r="E370" s="154" t="str">
        <f t="shared" ca="1" si="74"/>
        <v/>
      </c>
      <c r="F370" s="152" t="str">
        <f ca="1">IF($A370="","",Returns!$I$368)</f>
        <v/>
      </c>
      <c r="G370" s="153" t="str">
        <f t="shared" ca="1" si="75"/>
        <v/>
      </c>
      <c r="H370" s="153" t="str">
        <f ca="1">IF($A370="","",MAX($G$7:G370))</f>
        <v/>
      </c>
      <c r="I370" s="154" t="str">
        <f t="shared" ca="1" si="76"/>
        <v/>
      </c>
      <c r="J370" s="59" t="str">
        <f t="shared" ca="1" si="77"/>
        <v/>
      </c>
      <c r="K370" s="3"/>
      <c r="L370" t="str">
        <f t="shared" ca="1" si="65"/>
        <v/>
      </c>
      <c r="M370" s="132" t="str">
        <f t="shared" ca="1" si="66"/>
        <v/>
      </c>
      <c r="N370" s="132" t="str">
        <f t="shared" ca="1" si="67"/>
        <v/>
      </c>
      <c r="P370" t="str">
        <f t="shared" ca="1" si="68"/>
        <v/>
      </c>
      <c r="Q370" s="133" t="str">
        <f t="shared" ca="1" si="69"/>
        <v/>
      </c>
      <c r="R370" s="133" t="str">
        <f t="shared" ca="1" si="70"/>
        <v/>
      </c>
      <c r="T370" t="str">
        <f t="shared" ca="1" si="71"/>
        <v/>
      </c>
      <c r="U370" s="134" t="str">
        <f t="shared" ca="1" si="72"/>
        <v/>
      </c>
    </row>
    <row r="371" spans="1:21" x14ac:dyDescent="0.3">
      <c r="A371" s="151" t="str">
        <f ca="1">Returns!$A$369</f>
        <v/>
      </c>
      <c r="B371" s="152" t="str">
        <f ca="1">IF($A371="","",Returns!$J$369)</f>
        <v/>
      </c>
      <c r="C371" s="153" t="str">
        <f t="shared" ca="1" si="73"/>
        <v/>
      </c>
      <c r="D371" s="153" t="str">
        <f ca="1">IF($A371="","",MAX($C$7:C371))</f>
        <v/>
      </c>
      <c r="E371" s="154" t="str">
        <f t="shared" ca="1" si="74"/>
        <v/>
      </c>
      <c r="F371" s="152" t="str">
        <f ca="1">IF($A371="","",Returns!$I$369)</f>
        <v/>
      </c>
      <c r="G371" s="153" t="str">
        <f t="shared" ca="1" si="75"/>
        <v/>
      </c>
      <c r="H371" s="153" t="str">
        <f ca="1">IF($A371="","",MAX($G$7:G371))</f>
        <v/>
      </c>
      <c r="I371" s="154" t="str">
        <f t="shared" ca="1" si="76"/>
        <v/>
      </c>
      <c r="J371" s="59" t="str">
        <f t="shared" ca="1" si="77"/>
        <v/>
      </c>
      <c r="K371" s="3"/>
      <c r="L371" t="str">
        <f t="shared" ca="1" si="65"/>
        <v/>
      </c>
      <c r="M371" s="132" t="str">
        <f t="shared" ca="1" si="66"/>
        <v/>
      </c>
      <c r="N371" s="132" t="str">
        <f t="shared" ca="1" si="67"/>
        <v/>
      </c>
      <c r="P371" t="str">
        <f t="shared" ca="1" si="68"/>
        <v/>
      </c>
      <c r="Q371" s="133" t="str">
        <f t="shared" ca="1" si="69"/>
        <v/>
      </c>
      <c r="R371" s="133" t="str">
        <f t="shared" ca="1" si="70"/>
        <v/>
      </c>
      <c r="T371" t="str">
        <f t="shared" ca="1" si="71"/>
        <v/>
      </c>
      <c r="U371" s="134" t="str">
        <f t="shared" ca="1" si="72"/>
        <v/>
      </c>
    </row>
    <row r="372" spans="1:21" x14ac:dyDescent="0.3">
      <c r="A372" s="151" t="str">
        <f ca="1">Returns!$A$370</f>
        <v/>
      </c>
      <c r="B372" s="152" t="str">
        <f ca="1">IF($A372="","",Returns!$J$370)</f>
        <v/>
      </c>
      <c r="C372" s="153" t="str">
        <f t="shared" ca="1" si="73"/>
        <v/>
      </c>
      <c r="D372" s="153" t="str">
        <f ca="1">IF($A372="","",MAX($C$7:C372))</f>
        <v/>
      </c>
      <c r="E372" s="154" t="str">
        <f t="shared" ca="1" si="74"/>
        <v/>
      </c>
      <c r="F372" s="152" t="str">
        <f ca="1">IF($A372="","",Returns!$I$370)</f>
        <v/>
      </c>
      <c r="G372" s="153" t="str">
        <f t="shared" ca="1" si="75"/>
        <v/>
      </c>
      <c r="H372" s="153" t="str">
        <f ca="1">IF($A372="","",MAX($G$7:G372))</f>
        <v/>
      </c>
      <c r="I372" s="154" t="str">
        <f t="shared" ca="1" si="76"/>
        <v/>
      </c>
      <c r="J372" s="59" t="str">
        <f t="shared" ca="1" si="77"/>
        <v/>
      </c>
      <c r="K372" s="3"/>
      <c r="L372" t="str">
        <f t="shared" ca="1" si="65"/>
        <v/>
      </c>
      <c r="M372" s="132" t="str">
        <f t="shared" ca="1" si="66"/>
        <v/>
      </c>
      <c r="N372" s="132" t="str">
        <f t="shared" ca="1" si="67"/>
        <v/>
      </c>
      <c r="P372" t="str">
        <f t="shared" ca="1" si="68"/>
        <v/>
      </c>
      <c r="Q372" s="133" t="str">
        <f t="shared" ca="1" si="69"/>
        <v/>
      </c>
      <c r="R372" s="133" t="str">
        <f t="shared" ca="1" si="70"/>
        <v/>
      </c>
      <c r="T372" t="str">
        <f t="shared" ca="1" si="71"/>
        <v/>
      </c>
      <c r="U372" s="134" t="str">
        <f t="shared" ca="1" si="72"/>
        <v/>
      </c>
    </row>
    <row r="373" spans="1:21" x14ac:dyDescent="0.3">
      <c r="A373" s="151" t="str">
        <f ca="1">Returns!$A$371</f>
        <v/>
      </c>
      <c r="B373" s="152" t="str">
        <f ca="1">IF($A373="","",Returns!$J$371)</f>
        <v/>
      </c>
      <c r="C373" s="153" t="str">
        <f t="shared" ca="1" si="73"/>
        <v/>
      </c>
      <c r="D373" s="153" t="str">
        <f ca="1">IF($A373="","",MAX($C$7:C373))</f>
        <v/>
      </c>
      <c r="E373" s="154" t="str">
        <f t="shared" ca="1" si="74"/>
        <v/>
      </c>
      <c r="F373" s="152" t="str">
        <f ca="1">IF($A373="","",Returns!$I$371)</f>
        <v/>
      </c>
      <c r="G373" s="153" t="str">
        <f t="shared" ca="1" si="75"/>
        <v/>
      </c>
      <c r="H373" s="153" t="str">
        <f ca="1">IF($A373="","",MAX($G$7:G373))</f>
        <v/>
      </c>
      <c r="I373" s="154" t="str">
        <f t="shared" ca="1" si="76"/>
        <v/>
      </c>
      <c r="J373" s="59" t="str">
        <f t="shared" ca="1" si="77"/>
        <v/>
      </c>
      <c r="K373" s="3"/>
      <c r="L373" t="str">
        <f t="shared" ca="1" si="65"/>
        <v/>
      </c>
      <c r="M373" s="132" t="str">
        <f t="shared" ca="1" si="66"/>
        <v/>
      </c>
      <c r="N373" s="132" t="str">
        <f t="shared" ca="1" si="67"/>
        <v/>
      </c>
      <c r="P373" t="str">
        <f t="shared" ca="1" si="68"/>
        <v/>
      </c>
      <c r="Q373" s="133" t="str">
        <f t="shared" ca="1" si="69"/>
        <v/>
      </c>
      <c r="R373" s="133" t="str">
        <f t="shared" ca="1" si="70"/>
        <v/>
      </c>
      <c r="T373" t="str">
        <f t="shared" ca="1" si="71"/>
        <v/>
      </c>
      <c r="U373" s="134" t="str">
        <f t="shared" ca="1" si="72"/>
        <v/>
      </c>
    </row>
    <row r="374" spans="1:21" x14ac:dyDescent="0.3">
      <c r="A374" s="151" t="str">
        <f ca="1">Returns!$A$372</f>
        <v/>
      </c>
      <c r="B374" s="152" t="str">
        <f ca="1">IF($A374="","",Returns!$J$372)</f>
        <v/>
      </c>
      <c r="C374" s="153" t="str">
        <f t="shared" ca="1" si="73"/>
        <v/>
      </c>
      <c r="D374" s="153" t="str">
        <f ca="1">IF($A374="","",MAX($C$7:C374))</f>
        <v/>
      </c>
      <c r="E374" s="154" t="str">
        <f t="shared" ca="1" si="74"/>
        <v/>
      </c>
      <c r="F374" s="152" t="str">
        <f ca="1">IF($A374="","",Returns!$I$372)</f>
        <v/>
      </c>
      <c r="G374" s="153" t="str">
        <f t="shared" ca="1" si="75"/>
        <v/>
      </c>
      <c r="H374" s="153" t="str">
        <f ca="1">IF($A374="","",MAX($G$7:G374))</f>
        <v/>
      </c>
      <c r="I374" s="154" t="str">
        <f t="shared" ca="1" si="76"/>
        <v/>
      </c>
      <c r="J374" s="59" t="str">
        <f t="shared" ca="1" si="77"/>
        <v/>
      </c>
      <c r="K374" s="3"/>
      <c r="L374" t="str">
        <f t="shared" ca="1" si="65"/>
        <v/>
      </c>
      <c r="M374" s="132" t="str">
        <f t="shared" ca="1" si="66"/>
        <v/>
      </c>
      <c r="N374" s="132" t="str">
        <f t="shared" ca="1" si="67"/>
        <v/>
      </c>
      <c r="P374" t="str">
        <f t="shared" ca="1" si="68"/>
        <v/>
      </c>
      <c r="Q374" s="133" t="str">
        <f t="shared" ca="1" si="69"/>
        <v/>
      </c>
      <c r="R374" s="133" t="str">
        <f t="shared" ca="1" si="70"/>
        <v/>
      </c>
      <c r="T374" t="str">
        <f t="shared" ca="1" si="71"/>
        <v/>
      </c>
      <c r="U374" s="134" t="str">
        <f t="shared" ca="1" si="72"/>
        <v/>
      </c>
    </row>
    <row r="375" spans="1:21" x14ac:dyDescent="0.3">
      <c r="A375" s="151" t="str">
        <f ca="1">Returns!$A$373</f>
        <v/>
      </c>
      <c r="B375" s="152" t="str">
        <f ca="1">IF($A375="","",Returns!$J$373)</f>
        <v/>
      </c>
      <c r="C375" s="153" t="str">
        <f t="shared" ca="1" si="73"/>
        <v/>
      </c>
      <c r="D375" s="153" t="str">
        <f ca="1">IF($A375="","",MAX($C$7:C375))</f>
        <v/>
      </c>
      <c r="E375" s="154" t="str">
        <f t="shared" ca="1" si="74"/>
        <v/>
      </c>
      <c r="F375" s="152" t="str">
        <f ca="1">IF($A375="","",Returns!$I$373)</f>
        <v/>
      </c>
      <c r="G375" s="153" t="str">
        <f t="shared" ca="1" si="75"/>
        <v/>
      </c>
      <c r="H375" s="153" t="str">
        <f ca="1">IF($A375="","",MAX($G$7:G375))</f>
        <v/>
      </c>
      <c r="I375" s="154" t="str">
        <f t="shared" ca="1" si="76"/>
        <v/>
      </c>
      <c r="J375" s="59" t="str">
        <f t="shared" ca="1" si="77"/>
        <v/>
      </c>
      <c r="K375" s="3"/>
      <c r="L375" t="str">
        <f t="shared" ca="1" si="65"/>
        <v/>
      </c>
      <c r="M375" s="132" t="str">
        <f t="shared" ca="1" si="66"/>
        <v/>
      </c>
      <c r="N375" s="132" t="str">
        <f t="shared" ca="1" si="67"/>
        <v/>
      </c>
      <c r="P375" t="str">
        <f t="shared" ca="1" si="68"/>
        <v/>
      </c>
      <c r="Q375" s="133" t="str">
        <f t="shared" ca="1" si="69"/>
        <v/>
      </c>
      <c r="R375" s="133" t="str">
        <f t="shared" ca="1" si="70"/>
        <v/>
      </c>
      <c r="T375" t="str">
        <f t="shared" ca="1" si="71"/>
        <v/>
      </c>
      <c r="U375" s="134" t="str">
        <f t="shared" ca="1" si="72"/>
        <v/>
      </c>
    </row>
    <row r="376" spans="1:21" x14ac:dyDescent="0.3">
      <c r="A376" s="151" t="str">
        <f ca="1">Returns!$A$374</f>
        <v/>
      </c>
      <c r="B376" s="152" t="str">
        <f ca="1">IF($A376="","",Returns!$J$374)</f>
        <v/>
      </c>
      <c r="C376" s="153" t="str">
        <f t="shared" ca="1" si="73"/>
        <v/>
      </c>
      <c r="D376" s="153" t="str">
        <f ca="1">IF($A376="","",MAX($C$7:C376))</f>
        <v/>
      </c>
      <c r="E376" s="154" t="str">
        <f t="shared" ca="1" si="74"/>
        <v/>
      </c>
      <c r="F376" s="152" t="str">
        <f ca="1">IF($A376="","",Returns!$I$374)</f>
        <v/>
      </c>
      <c r="G376" s="153" t="str">
        <f t="shared" ca="1" si="75"/>
        <v/>
      </c>
      <c r="H376" s="153" t="str">
        <f ca="1">IF($A376="","",MAX($G$7:G376))</f>
        <v/>
      </c>
      <c r="I376" s="154" t="str">
        <f t="shared" ca="1" si="76"/>
        <v/>
      </c>
      <c r="J376" s="59" t="str">
        <f t="shared" ca="1" si="77"/>
        <v/>
      </c>
      <c r="K376" s="3"/>
      <c r="L376" t="str">
        <f t="shared" ca="1" si="65"/>
        <v/>
      </c>
      <c r="M376" s="132" t="str">
        <f t="shared" ca="1" si="66"/>
        <v/>
      </c>
      <c r="N376" s="132" t="str">
        <f t="shared" ca="1" si="67"/>
        <v/>
      </c>
      <c r="P376" t="str">
        <f t="shared" ca="1" si="68"/>
        <v/>
      </c>
      <c r="Q376" s="133" t="str">
        <f t="shared" ca="1" si="69"/>
        <v/>
      </c>
      <c r="R376" s="133" t="str">
        <f t="shared" ca="1" si="70"/>
        <v/>
      </c>
      <c r="T376" t="str">
        <f t="shared" ca="1" si="71"/>
        <v/>
      </c>
      <c r="U376" s="134" t="str">
        <f t="shared" ca="1" si="72"/>
        <v/>
      </c>
    </row>
    <row r="377" spans="1:21" x14ac:dyDescent="0.3">
      <c r="A377" s="151" t="str">
        <f ca="1">Returns!$A$375</f>
        <v/>
      </c>
      <c r="B377" s="152" t="str">
        <f ca="1">IF($A377="","",Returns!$J$375)</f>
        <v/>
      </c>
      <c r="C377" s="153" t="str">
        <f t="shared" ca="1" si="73"/>
        <v/>
      </c>
      <c r="D377" s="153" t="str">
        <f ca="1">IF($A377="","",MAX($C$7:C377))</f>
        <v/>
      </c>
      <c r="E377" s="154" t="str">
        <f t="shared" ca="1" si="74"/>
        <v/>
      </c>
      <c r="F377" s="152" t="str">
        <f ca="1">IF($A377="","",Returns!$I$375)</f>
        <v/>
      </c>
      <c r="G377" s="153" t="str">
        <f t="shared" ca="1" si="75"/>
        <v/>
      </c>
      <c r="H377" s="153" t="str">
        <f ca="1">IF($A377="","",MAX($G$7:G377))</f>
        <v/>
      </c>
      <c r="I377" s="154" t="str">
        <f t="shared" ca="1" si="76"/>
        <v/>
      </c>
      <c r="J377" s="59" t="str">
        <f t="shared" ca="1" si="77"/>
        <v/>
      </c>
      <c r="K377" s="3"/>
      <c r="L377" t="str">
        <f t="shared" ca="1" si="65"/>
        <v/>
      </c>
      <c r="M377" s="132" t="str">
        <f t="shared" ca="1" si="66"/>
        <v/>
      </c>
      <c r="N377" s="132" t="str">
        <f t="shared" ca="1" si="67"/>
        <v/>
      </c>
      <c r="P377" t="str">
        <f t="shared" ca="1" si="68"/>
        <v/>
      </c>
      <c r="Q377" s="133" t="str">
        <f t="shared" ca="1" si="69"/>
        <v/>
      </c>
      <c r="R377" s="133" t="str">
        <f t="shared" ca="1" si="70"/>
        <v/>
      </c>
      <c r="T377" t="str">
        <f t="shared" ca="1" si="71"/>
        <v/>
      </c>
      <c r="U377" s="134" t="str">
        <f t="shared" ca="1" si="72"/>
        <v/>
      </c>
    </row>
    <row r="378" spans="1:21" x14ac:dyDescent="0.3">
      <c r="A378" s="151" t="str">
        <f ca="1">Returns!$A$376</f>
        <v/>
      </c>
      <c r="B378" s="152" t="str">
        <f ca="1">IF($A378="","",Returns!$J$376)</f>
        <v/>
      </c>
      <c r="C378" s="153" t="str">
        <f t="shared" ca="1" si="73"/>
        <v/>
      </c>
      <c r="D378" s="153" t="str">
        <f ca="1">IF($A378="","",MAX($C$7:C378))</f>
        <v/>
      </c>
      <c r="E378" s="154" t="str">
        <f t="shared" ca="1" si="74"/>
        <v/>
      </c>
      <c r="F378" s="152" t="str">
        <f ca="1">IF($A378="","",Returns!$I$376)</f>
        <v/>
      </c>
      <c r="G378" s="153" t="str">
        <f t="shared" ca="1" si="75"/>
        <v/>
      </c>
      <c r="H378" s="153" t="str">
        <f ca="1">IF($A378="","",MAX($G$7:G378))</f>
        <v/>
      </c>
      <c r="I378" s="154" t="str">
        <f t="shared" ca="1" si="76"/>
        <v/>
      </c>
      <c r="J378" s="59" t="str">
        <f t="shared" ca="1" si="77"/>
        <v/>
      </c>
      <c r="K378" s="3"/>
      <c r="L378" t="str">
        <f t="shared" ca="1" si="65"/>
        <v/>
      </c>
      <c r="M378" s="132" t="str">
        <f t="shared" ca="1" si="66"/>
        <v/>
      </c>
      <c r="N378" s="132" t="str">
        <f t="shared" ca="1" si="67"/>
        <v/>
      </c>
      <c r="P378" t="str">
        <f t="shared" ca="1" si="68"/>
        <v/>
      </c>
      <c r="Q378" s="133" t="str">
        <f t="shared" ca="1" si="69"/>
        <v/>
      </c>
      <c r="R378" s="133" t="str">
        <f t="shared" ca="1" si="70"/>
        <v/>
      </c>
      <c r="T378" t="str">
        <f t="shared" ca="1" si="71"/>
        <v/>
      </c>
      <c r="U378" s="134" t="str">
        <f t="shared" ca="1" si="72"/>
        <v/>
      </c>
    </row>
    <row r="379" spans="1:21" x14ac:dyDescent="0.3">
      <c r="A379" s="151" t="str">
        <f ca="1">Returns!$A$377</f>
        <v/>
      </c>
      <c r="B379" s="152" t="str">
        <f ca="1">IF($A379="","",Returns!$J$377)</f>
        <v/>
      </c>
      <c r="C379" s="153" t="str">
        <f t="shared" ca="1" si="73"/>
        <v/>
      </c>
      <c r="D379" s="153" t="str">
        <f ca="1">IF($A379="","",MAX($C$7:C379))</f>
        <v/>
      </c>
      <c r="E379" s="154" t="str">
        <f t="shared" ca="1" si="74"/>
        <v/>
      </c>
      <c r="F379" s="152" t="str">
        <f ca="1">IF($A379="","",Returns!$I$377)</f>
        <v/>
      </c>
      <c r="G379" s="153" t="str">
        <f t="shared" ca="1" si="75"/>
        <v/>
      </c>
      <c r="H379" s="153" t="str">
        <f ca="1">IF($A379="","",MAX($G$7:G379))</f>
        <v/>
      </c>
      <c r="I379" s="154" t="str">
        <f t="shared" ca="1" si="76"/>
        <v/>
      </c>
      <c r="J379" s="59" t="str">
        <f t="shared" ca="1" si="77"/>
        <v/>
      </c>
      <c r="K379" s="3"/>
      <c r="L379" t="str">
        <f t="shared" ca="1" si="65"/>
        <v/>
      </c>
      <c r="M379" s="132" t="str">
        <f t="shared" ca="1" si="66"/>
        <v/>
      </c>
      <c r="N379" s="132" t="str">
        <f t="shared" ca="1" si="67"/>
        <v/>
      </c>
      <c r="P379" t="str">
        <f t="shared" ca="1" si="68"/>
        <v/>
      </c>
      <c r="Q379" s="133" t="str">
        <f t="shared" ca="1" si="69"/>
        <v/>
      </c>
      <c r="R379" s="133" t="str">
        <f t="shared" ca="1" si="70"/>
        <v/>
      </c>
      <c r="T379" t="str">
        <f t="shared" ca="1" si="71"/>
        <v/>
      </c>
      <c r="U379" s="134" t="str">
        <f t="shared" ca="1" si="72"/>
        <v/>
      </c>
    </row>
    <row r="380" spans="1:21" x14ac:dyDescent="0.3">
      <c r="A380" s="151" t="str">
        <f ca="1">Returns!$A$378</f>
        <v/>
      </c>
      <c r="B380" s="152" t="str">
        <f ca="1">IF($A380="","",Returns!$J$378)</f>
        <v/>
      </c>
      <c r="C380" s="153" t="str">
        <f t="shared" ca="1" si="73"/>
        <v/>
      </c>
      <c r="D380" s="153" t="str">
        <f ca="1">IF($A380="","",MAX($C$7:C380))</f>
        <v/>
      </c>
      <c r="E380" s="154" t="str">
        <f t="shared" ca="1" si="74"/>
        <v/>
      </c>
      <c r="F380" s="152" t="str">
        <f ca="1">IF($A380="","",Returns!$I$378)</f>
        <v/>
      </c>
      <c r="G380" s="153" t="str">
        <f t="shared" ca="1" si="75"/>
        <v/>
      </c>
      <c r="H380" s="153" t="str">
        <f ca="1">IF($A380="","",MAX($G$7:G380))</f>
        <v/>
      </c>
      <c r="I380" s="154" t="str">
        <f t="shared" ca="1" si="76"/>
        <v/>
      </c>
      <c r="J380" s="59" t="str">
        <f t="shared" ca="1" si="77"/>
        <v/>
      </c>
      <c r="K380" s="3"/>
      <c r="L380" t="str">
        <f t="shared" ca="1" si="65"/>
        <v/>
      </c>
      <c r="M380" s="132" t="str">
        <f t="shared" ca="1" si="66"/>
        <v/>
      </c>
      <c r="N380" s="132" t="str">
        <f t="shared" ca="1" si="67"/>
        <v/>
      </c>
      <c r="P380" t="str">
        <f t="shared" ca="1" si="68"/>
        <v/>
      </c>
      <c r="Q380" s="133" t="str">
        <f t="shared" ca="1" si="69"/>
        <v/>
      </c>
      <c r="R380" s="133" t="str">
        <f t="shared" ca="1" si="70"/>
        <v/>
      </c>
      <c r="T380" t="str">
        <f t="shared" ca="1" si="71"/>
        <v/>
      </c>
      <c r="U380" s="134" t="str">
        <f t="shared" ca="1" si="72"/>
        <v/>
      </c>
    </row>
    <row r="381" spans="1:21" x14ac:dyDescent="0.3">
      <c r="A381" s="151" t="str">
        <f ca="1">Returns!$A$379</f>
        <v/>
      </c>
      <c r="B381" s="152" t="str">
        <f ca="1">IF($A381="","",Returns!$J$379)</f>
        <v/>
      </c>
      <c r="C381" s="153" t="str">
        <f t="shared" ca="1" si="73"/>
        <v/>
      </c>
      <c r="D381" s="153" t="str">
        <f ca="1">IF($A381="","",MAX($C$7:C381))</f>
        <v/>
      </c>
      <c r="E381" s="154" t="str">
        <f t="shared" ca="1" si="74"/>
        <v/>
      </c>
      <c r="F381" s="152" t="str">
        <f ca="1">IF($A381="","",Returns!$I$379)</f>
        <v/>
      </c>
      <c r="G381" s="153" t="str">
        <f t="shared" ca="1" si="75"/>
        <v/>
      </c>
      <c r="H381" s="153" t="str">
        <f ca="1">IF($A381="","",MAX($G$7:G381))</f>
        <v/>
      </c>
      <c r="I381" s="154" t="str">
        <f t="shared" ca="1" si="76"/>
        <v/>
      </c>
      <c r="J381" s="59" t="str">
        <f t="shared" ca="1" si="77"/>
        <v/>
      </c>
      <c r="K381" s="3"/>
      <c r="L381" t="str">
        <f t="shared" ca="1" si="65"/>
        <v/>
      </c>
      <c r="M381" s="132" t="str">
        <f t="shared" ca="1" si="66"/>
        <v/>
      </c>
      <c r="N381" s="132" t="str">
        <f t="shared" ca="1" si="67"/>
        <v/>
      </c>
      <c r="P381" t="str">
        <f t="shared" ca="1" si="68"/>
        <v/>
      </c>
      <c r="Q381" s="133" t="str">
        <f t="shared" ca="1" si="69"/>
        <v/>
      </c>
      <c r="R381" s="133" t="str">
        <f t="shared" ca="1" si="70"/>
        <v/>
      </c>
      <c r="T381" t="str">
        <f t="shared" ca="1" si="71"/>
        <v/>
      </c>
      <c r="U381" s="134" t="str">
        <f t="shared" ca="1" si="72"/>
        <v/>
      </c>
    </row>
    <row r="382" spans="1:21" x14ac:dyDescent="0.3">
      <c r="A382" s="151" t="str">
        <f ca="1">Returns!$A$380</f>
        <v/>
      </c>
      <c r="B382" s="152" t="str">
        <f ca="1">IF($A382="","",Returns!$J$380)</f>
        <v/>
      </c>
      <c r="C382" s="153" t="str">
        <f t="shared" ca="1" si="73"/>
        <v/>
      </c>
      <c r="D382" s="153" t="str">
        <f ca="1">IF($A382="","",MAX($C$7:C382))</f>
        <v/>
      </c>
      <c r="E382" s="154" t="str">
        <f t="shared" ca="1" si="74"/>
        <v/>
      </c>
      <c r="F382" s="152" t="str">
        <f ca="1">IF($A382="","",Returns!$I$380)</f>
        <v/>
      </c>
      <c r="G382" s="153" t="str">
        <f t="shared" ca="1" si="75"/>
        <v/>
      </c>
      <c r="H382" s="153" t="str">
        <f ca="1">IF($A382="","",MAX($G$7:G382))</f>
        <v/>
      </c>
      <c r="I382" s="154" t="str">
        <f t="shared" ca="1" si="76"/>
        <v/>
      </c>
      <c r="J382" s="59" t="str">
        <f t="shared" ca="1" si="77"/>
        <v/>
      </c>
      <c r="K382" s="3"/>
      <c r="L382" t="str">
        <f t="shared" ca="1" si="65"/>
        <v/>
      </c>
      <c r="M382" s="132" t="str">
        <f t="shared" ca="1" si="66"/>
        <v/>
      </c>
      <c r="N382" s="132" t="str">
        <f t="shared" ca="1" si="67"/>
        <v/>
      </c>
      <c r="P382" t="str">
        <f t="shared" ca="1" si="68"/>
        <v/>
      </c>
      <c r="Q382" s="133" t="str">
        <f t="shared" ca="1" si="69"/>
        <v/>
      </c>
      <c r="R382" s="133" t="str">
        <f t="shared" ca="1" si="70"/>
        <v/>
      </c>
      <c r="T382" t="str">
        <f t="shared" ca="1" si="71"/>
        <v/>
      </c>
      <c r="U382" s="134" t="str">
        <f t="shared" ca="1" si="72"/>
        <v/>
      </c>
    </row>
    <row r="383" spans="1:21" x14ac:dyDescent="0.3">
      <c r="A383" s="151" t="str">
        <f ca="1">Returns!$A$381</f>
        <v/>
      </c>
      <c r="B383" s="152" t="str">
        <f ca="1">IF($A383="","",Returns!$J$381)</f>
        <v/>
      </c>
      <c r="C383" s="153" t="str">
        <f t="shared" ca="1" si="73"/>
        <v/>
      </c>
      <c r="D383" s="153" t="str">
        <f ca="1">IF($A383="","",MAX($C$7:C383))</f>
        <v/>
      </c>
      <c r="E383" s="154" t="str">
        <f t="shared" ca="1" si="74"/>
        <v/>
      </c>
      <c r="F383" s="152" t="str">
        <f ca="1">IF($A383="","",Returns!$I$381)</f>
        <v/>
      </c>
      <c r="G383" s="153" t="str">
        <f t="shared" ca="1" si="75"/>
        <v/>
      </c>
      <c r="H383" s="153" t="str">
        <f ca="1">IF($A383="","",MAX($G$7:G383))</f>
        <v/>
      </c>
      <c r="I383" s="154" t="str">
        <f t="shared" ca="1" si="76"/>
        <v/>
      </c>
      <c r="J383" s="59" t="str">
        <f t="shared" ca="1" si="77"/>
        <v/>
      </c>
      <c r="K383" s="3"/>
      <c r="L383" t="str">
        <f t="shared" ca="1" si="65"/>
        <v/>
      </c>
      <c r="M383" s="132" t="str">
        <f t="shared" ca="1" si="66"/>
        <v/>
      </c>
      <c r="N383" s="132" t="str">
        <f t="shared" ca="1" si="67"/>
        <v/>
      </c>
      <c r="P383" t="str">
        <f t="shared" ca="1" si="68"/>
        <v/>
      </c>
      <c r="Q383" s="133" t="str">
        <f t="shared" ca="1" si="69"/>
        <v/>
      </c>
      <c r="R383" s="133" t="str">
        <f t="shared" ca="1" si="70"/>
        <v/>
      </c>
      <c r="T383" t="str">
        <f t="shared" ca="1" si="71"/>
        <v/>
      </c>
      <c r="U383" s="134" t="str">
        <f t="shared" ca="1" si="72"/>
        <v/>
      </c>
    </row>
    <row r="384" spans="1:21" x14ac:dyDescent="0.3">
      <c r="A384" s="151" t="str">
        <f ca="1">Returns!$A$382</f>
        <v/>
      </c>
      <c r="B384" s="152" t="str">
        <f ca="1">IF($A384="","",Returns!$J$382)</f>
        <v/>
      </c>
      <c r="C384" s="153" t="str">
        <f t="shared" ca="1" si="73"/>
        <v/>
      </c>
      <c r="D384" s="153" t="str">
        <f ca="1">IF($A384="","",MAX($C$7:C384))</f>
        <v/>
      </c>
      <c r="E384" s="154" t="str">
        <f t="shared" ca="1" si="74"/>
        <v/>
      </c>
      <c r="F384" s="152" t="str">
        <f ca="1">IF($A384="","",Returns!$I$382)</f>
        <v/>
      </c>
      <c r="G384" s="153" t="str">
        <f t="shared" ca="1" si="75"/>
        <v/>
      </c>
      <c r="H384" s="153" t="str">
        <f ca="1">IF($A384="","",MAX($G$7:G384))</f>
        <v/>
      </c>
      <c r="I384" s="154" t="str">
        <f t="shared" ca="1" si="76"/>
        <v/>
      </c>
      <c r="J384" s="59" t="str">
        <f t="shared" ca="1" si="77"/>
        <v/>
      </c>
      <c r="K384" s="3"/>
      <c r="L384" t="str">
        <f t="shared" ca="1" si="65"/>
        <v/>
      </c>
      <c r="M384" s="132" t="str">
        <f t="shared" ca="1" si="66"/>
        <v/>
      </c>
      <c r="N384" s="132" t="str">
        <f t="shared" ca="1" si="67"/>
        <v/>
      </c>
      <c r="P384" t="str">
        <f t="shared" ca="1" si="68"/>
        <v/>
      </c>
      <c r="Q384" s="133" t="str">
        <f t="shared" ca="1" si="69"/>
        <v/>
      </c>
      <c r="R384" s="133" t="str">
        <f t="shared" ca="1" si="70"/>
        <v/>
      </c>
      <c r="T384" t="str">
        <f t="shared" ca="1" si="71"/>
        <v/>
      </c>
      <c r="U384" s="134" t="str">
        <f t="shared" ca="1" si="72"/>
        <v/>
      </c>
    </row>
    <row r="385" spans="1:21" x14ac:dyDescent="0.3">
      <c r="A385" s="151" t="str">
        <f ca="1">Returns!$A$383</f>
        <v/>
      </c>
      <c r="B385" s="152" t="str">
        <f ca="1">IF($A385="","",Returns!$J$383)</f>
        <v/>
      </c>
      <c r="C385" s="153" t="str">
        <f t="shared" ca="1" si="73"/>
        <v/>
      </c>
      <c r="D385" s="153" t="str">
        <f ca="1">IF($A385="","",MAX($C$7:C385))</f>
        <v/>
      </c>
      <c r="E385" s="154" t="str">
        <f t="shared" ca="1" si="74"/>
        <v/>
      </c>
      <c r="F385" s="152" t="str">
        <f ca="1">IF($A385="","",Returns!$I$383)</f>
        <v/>
      </c>
      <c r="G385" s="153" t="str">
        <f t="shared" ca="1" si="75"/>
        <v/>
      </c>
      <c r="H385" s="153" t="str">
        <f ca="1">IF($A385="","",MAX($G$7:G385))</f>
        <v/>
      </c>
      <c r="I385" s="154" t="str">
        <f t="shared" ca="1" si="76"/>
        <v/>
      </c>
      <c r="J385" s="59" t="str">
        <f t="shared" ca="1" si="77"/>
        <v/>
      </c>
      <c r="K385" s="3"/>
      <c r="L385" t="str">
        <f t="shared" ca="1" si="65"/>
        <v/>
      </c>
      <c r="M385" s="132" t="str">
        <f t="shared" ca="1" si="66"/>
        <v/>
      </c>
      <c r="N385" s="132" t="str">
        <f t="shared" ca="1" si="67"/>
        <v/>
      </c>
      <c r="P385" t="str">
        <f t="shared" ca="1" si="68"/>
        <v/>
      </c>
      <c r="Q385" s="133" t="str">
        <f t="shared" ca="1" si="69"/>
        <v/>
      </c>
      <c r="R385" s="133" t="str">
        <f t="shared" ca="1" si="70"/>
        <v/>
      </c>
      <c r="T385" t="str">
        <f t="shared" ca="1" si="71"/>
        <v/>
      </c>
      <c r="U385" s="134" t="str">
        <f t="shared" ca="1" si="72"/>
        <v/>
      </c>
    </row>
    <row r="386" spans="1:21" x14ac:dyDescent="0.3">
      <c r="A386" s="151" t="str">
        <f ca="1">Returns!$A$384</f>
        <v/>
      </c>
      <c r="B386" s="152" t="str">
        <f ca="1">IF($A386="","",Returns!$J$384)</f>
        <v/>
      </c>
      <c r="C386" s="153" t="str">
        <f t="shared" ca="1" si="73"/>
        <v/>
      </c>
      <c r="D386" s="153" t="str">
        <f ca="1">IF($A386="","",MAX($C$7:C386))</f>
        <v/>
      </c>
      <c r="E386" s="154" t="str">
        <f t="shared" ca="1" si="74"/>
        <v/>
      </c>
      <c r="F386" s="152" t="str">
        <f ca="1">IF($A386="","",Returns!$I$384)</f>
        <v/>
      </c>
      <c r="G386" s="153" t="str">
        <f t="shared" ca="1" si="75"/>
        <v/>
      </c>
      <c r="H386" s="153" t="str">
        <f ca="1">IF($A386="","",MAX($G$7:G386))</f>
        <v/>
      </c>
      <c r="I386" s="154" t="str">
        <f t="shared" ca="1" si="76"/>
        <v/>
      </c>
      <c r="J386" s="59" t="str">
        <f t="shared" ca="1" si="77"/>
        <v/>
      </c>
      <c r="K386" s="3"/>
      <c r="L386" t="str">
        <f t="shared" ca="1" si="65"/>
        <v/>
      </c>
      <c r="M386" s="132" t="str">
        <f t="shared" ca="1" si="66"/>
        <v/>
      </c>
      <c r="N386" s="132" t="str">
        <f t="shared" ca="1" si="67"/>
        <v/>
      </c>
      <c r="P386" t="str">
        <f t="shared" ca="1" si="68"/>
        <v/>
      </c>
      <c r="Q386" s="133" t="str">
        <f t="shared" ca="1" si="69"/>
        <v/>
      </c>
      <c r="R386" s="133" t="str">
        <f t="shared" ca="1" si="70"/>
        <v/>
      </c>
      <c r="T386" t="str">
        <f t="shared" ca="1" si="71"/>
        <v/>
      </c>
      <c r="U386" s="134" t="str">
        <f t="shared" ca="1" si="72"/>
        <v/>
      </c>
    </row>
    <row r="387" spans="1:21" x14ac:dyDescent="0.3">
      <c r="A387" s="151" t="str">
        <f ca="1">Returns!$A$385</f>
        <v/>
      </c>
      <c r="B387" s="152" t="str">
        <f ca="1">IF($A387="","",Returns!$J$385)</f>
        <v/>
      </c>
      <c r="C387" s="153" t="str">
        <f t="shared" ca="1" si="73"/>
        <v/>
      </c>
      <c r="D387" s="153" t="str">
        <f ca="1">IF($A387="","",MAX($C$7:C387))</f>
        <v/>
      </c>
      <c r="E387" s="154" t="str">
        <f t="shared" ca="1" si="74"/>
        <v/>
      </c>
      <c r="F387" s="152" t="str">
        <f ca="1">IF($A387="","",Returns!$I$385)</f>
        <v/>
      </c>
      <c r="G387" s="153" t="str">
        <f t="shared" ca="1" si="75"/>
        <v/>
      </c>
      <c r="H387" s="153" t="str">
        <f ca="1">IF($A387="","",MAX($G$7:G387))</f>
        <v/>
      </c>
      <c r="I387" s="154" t="str">
        <f t="shared" ca="1" si="76"/>
        <v/>
      </c>
      <c r="J387" s="59" t="str">
        <f t="shared" ca="1" si="77"/>
        <v/>
      </c>
      <c r="K387" s="3"/>
      <c r="L387" t="str">
        <f t="shared" ca="1" si="65"/>
        <v/>
      </c>
      <c r="M387" s="132" t="str">
        <f t="shared" ca="1" si="66"/>
        <v/>
      </c>
      <c r="N387" s="132" t="str">
        <f t="shared" ca="1" si="67"/>
        <v/>
      </c>
      <c r="P387" t="str">
        <f t="shared" ca="1" si="68"/>
        <v/>
      </c>
      <c r="Q387" s="133" t="str">
        <f t="shared" ca="1" si="69"/>
        <v/>
      </c>
      <c r="R387" s="133" t="str">
        <f t="shared" ca="1" si="70"/>
        <v/>
      </c>
      <c r="T387" t="str">
        <f t="shared" ca="1" si="71"/>
        <v/>
      </c>
      <c r="U387" s="134" t="str">
        <f t="shared" ca="1" si="72"/>
        <v/>
      </c>
    </row>
    <row r="388" spans="1:21" x14ac:dyDescent="0.3">
      <c r="A388" s="151" t="str">
        <f ca="1">Returns!$A$386</f>
        <v/>
      </c>
      <c r="B388" s="152" t="str">
        <f ca="1">IF($A388="","",Returns!$J$386)</f>
        <v/>
      </c>
      <c r="C388" s="153" t="str">
        <f t="shared" ca="1" si="73"/>
        <v/>
      </c>
      <c r="D388" s="153" t="str">
        <f ca="1">IF($A388="","",MAX($C$7:C388))</f>
        <v/>
      </c>
      <c r="E388" s="154" t="str">
        <f t="shared" ca="1" si="74"/>
        <v/>
      </c>
      <c r="F388" s="152" t="str">
        <f ca="1">IF($A388="","",Returns!$I$386)</f>
        <v/>
      </c>
      <c r="G388" s="153" t="str">
        <f t="shared" ca="1" si="75"/>
        <v/>
      </c>
      <c r="H388" s="153" t="str">
        <f ca="1">IF($A388="","",MAX($G$7:G388))</f>
        <v/>
      </c>
      <c r="I388" s="154" t="str">
        <f t="shared" ca="1" si="76"/>
        <v/>
      </c>
      <c r="J388" s="59" t="str">
        <f t="shared" ca="1" si="77"/>
        <v/>
      </c>
      <c r="K388" s="3"/>
      <c r="L388" t="str">
        <f t="shared" ca="1" si="65"/>
        <v/>
      </c>
      <c r="M388" s="132" t="str">
        <f t="shared" ca="1" si="66"/>
        <v/>
      </c>
      <c r="N388" s="132" t="str">
        <f t="shared" ca="1" si="67"/>
        <v/>
      </c>
      <c r="P388" t="str">
        <f t="shared" ca="1" si="68"/>
        <v/>
      </c>
      <c r="Q388" s="133" t="str">
        <f t="shared" ca="1" si="69"/>
        <v/>
      </c>
      <c r="R388" s="133" t="str">
        <f t="shared" ca="1" si="70"/>
        <v/>
      </c>
      <c r="T388" t="str">
        <f t="shared" ca="1" si="71"/>
        <v/>
      </c>
      <c r="U388" s="134" t="str">
        <f t="shared" ca="1" si="72"/>
        <v/>
      </c>
    </row>
    <row r="389" spans="1:21" x14ac:dyDescent="0.3">
      <c r="A389" s="151" t="str">
        <f ca="1">Returns!$A$387</f>
        <v/>
      </c>
      <c r="B389" s="152" t="str">
        <f ca="1">IF($A389="","",Returns!$J$387)</f>
        <v/>
      </c>
      <c r="C389" s="153" t="str">
        <f t="shared" ca="1" si="73"/>
        <v/>
      </c>
      <c r="D389" s="153" t="str">
        <f ca="1">IF($A389="","",MAX($C$7:C389))</f>
        <v/>
      </c>
      <c r="E389" s="154" t="str">
        <f t="shared" ca="1" si="74"/>
        <v/>
      </c>
      <c r="F389" s="152" t="str">
        <f ca="1">IF($A389="","",Returns!$I$387)</f>
        <v/>
      </c>
      <c r="G389" s="153" t="str">
        <f t="shared" ca="1" si="75"/>
        <v/>
      </c>
      <c r="H389" s="153" t="str">
        <f ca="1">IF($A389="","",MAX($G$7:G389))</f>
        <v/>
      </c>
      <c r="I389" s="154" t="str">
        <f t="shared" ca="1" si="76"/>
        <v/>
      </c>
      <c r="J389" s="59" t="str">
        <f t="shared" ca="1" si="77"/>
        <v/>
      </c>
      <c r="K389" s="3"/>
      <c r="L389" t="str">
        <f t="shared" ca="1" si="65"/>
        <v/>
      </c>
      <c r="M389" s="132" t="str">
        <f t="shared" ca="1" si="66"/>
        <v/>
      </c>
      <c r="N389" s="132" t="str">
        <f t="shared" ca="1" si="67"/>
        <v/>
      </c>
      <c r="P389" t="str">
        <f t="shared" ca="1" si="68"/>
        <v/>
      </c>
      <c r="Q389" s="133" t="str">
        <f t="shared" ca="1" si="69"/>
        <v/>
      </c>
      <c r="R389" s="133" t="str">
        <f t="shared" ca="1" si="70"/>
        <v/>
      </c>
      <c r="T389" t="str">
        <f t="shared" ca="1" si="71"/>
        <v/>
      </c>
      <c r="U389" s="134" t="str">
        <f t="shared" ca="1" si="72"/>
        <v/>
      </c>
    </row>
    <row r="390" spans="1:21" x14ac:dyDescent="0.3">
      <c r="A390" s="151" t="str">
        <f ca="1">Returns!$A$388</f>
        <v/>
      </c>
      <c r="B390" s="152" t="str">
        <f ca="1">IF($A390="","",Returns!$J$388)</f>
        <v/>
      </c>
      <c r="C390" s="153" t="str">
        <f t="shared" ca="1" si="73"/>
        <v/>
      </c>
      <c r="D390" s="153" t="str">
        <f ca="1">IF($A390="","",MAX($C$7:C390))</f>
        <v/>
      </c>
      <c r="E390" s="154" t="str">
        <f t="shared" ca="1" si="74"/>
        <v/>
      </c>
      <c r="F390" s="152" t="str">
        <f ca="1">IF($A390="","",Returns!$I$388)</f>
        <v/>
      </c>
      <c r="G390" s="153" t="str">
        <f t="shared" ca="1" si="75"/>
        <v/>
      </c>
      <c r="H390" s="153" t="str">
        <f ca="1">IF($A390="","",MAX($G$7:G390))</f>
        <v/>
      </c>
      <c r="I390" s="154" t="str">
        <f t="shared" ca="1" si="76"/>
        <v/>
      </c>
      <c r="J390" s="59" t="str">
        <f t="shared" ca="1" si="77"/>
        <v/>
      </c>
      <c r="K390" s="3"/>
      <c r="L390" t="str">
        <f t="shared" ca="1" si="65"/>
        <v/>
      </c>
      <c r="M390" s="132" t="str">
        <f t="shared" ca="1" si="66"/>
        <v/>
      </c>
      <c r="N390" s="132" t="str">
        <f t="shared" ca="1" si="67"/>
        <v/>
      </c>
      <c r="P390" t="str">
        <f t="shared" ca="1" si="68"/>
        <v/>
      </c>
      <c r="Q390" s="133" t="str">
        <f t="shared" ca="1" si="69"/>
        <v/>
      </c>
      <c r="R390" s="133" t="str">
        <f t="shared" ca="1" si="70"/>
        <v/>
      </c>
      <c r="T390" t="str">
        <f t="shared" ca="1" si="71"/>
        <v/>
      </c>
      <c r="U390" s="134" t="str">
        <f t="shared" ca="1" si="72"/>
        <v/>
      </c>
    </row>
    <row r="391" spans="1:21" x14ac:dyDescent="0.3">
      <c r="A391" s="151" t="str">
        <f ca="1">Returns!$A$389</f>
        <v/>
      </c>
      <c r="B391" s="152" t="str">
        <f ca="1">IF($A391="","",Returns!$J$389)</f>
        <v/>
      </c>
      <c r="C391" s="153" t="str">
        <f t="shared" ca="1" si="73"/>
        <v/>
      </c>
      <c r="D391" s="153" t="str">
        <f ca="1">IF($A391="","",MAX($C$7:C391))</f>
        <v/>
      </c>
      <c r="E391" s="154" t="str">
        <f t="shared" ca="1" si="74"/>
        <v/>
      </c>
      <c r="F391" s="152" t="str">
        <f ca="1">IF($A391="","",Returns!$I$389)</f>
        <v/>
      </c>
      <c r="G391" s="153" t="str">
        <f t="shared" ca="1" si="75"/>
        <v/>
      </c>
      <c r="H391" s="153" t="str">
        <f ca="1">IF($A391="","",MAX($G$7:G391))</f>
        <v/>
      </c>
      <c r="I391" s="154" t="str">
        <f t="shared" ca="1" si="76"/>
        <v/>
      </c>
      <c r="J391" s="59" t="str">
        <f t="shared" ca="1" si="77"/>
        <v/>
      </c>
      <c r="K391" s="3"/>
      <c r="L391" t="str">
        <f t="shared" ref="L391:L454" ca="1" si="78">$J391</f>
        <v/>
      </c>
      <c r="M391" s="132" t="str">
        <f t="shared" ref="M391:M454" ca="1" si="79">$C391</f>
        <v/>
      </c>
      <c r="N391" s="132" t="str">
        <f t="shared" ref="N391:N454" ca="1" si="80">$G391</f>
        <v/>
      </c>
      <c r="P391" t="str">
        <f t="shared" ref="P391:P454" ca="1" si="81">$J391</f>
        <v/>
      </c>
      <c r="Q391" s="133" t="str">
        <f t="shared" ref="Q391:Q454" ca="1" si="82">$E391</f>
        <v/>
      </c>
      <c r="R391" s="133" t="str">
        <f t="shared" ref="R391:R454" ca="1" si="83">$I391</f>
        <v/>
      </c>
      <c r="T391" t="str">
        <f t="shared" ref="T391:T454" ca="1" si="84">$J391</f>
        <v/>
      </c>
      <c r="U391" s="134" t="str">
        <f t="shared" ref="U391:U454" ca="1" si="85">IF($A391="","",NotionalValue*$C391/IndexBase)</f>
        <v/>
      </c>
    </row>
    <row r="392" spans="1:21" x14ac:dyDescent="0.3">
      <c r="A392" s="151" t="str">
        <f ca="1">Returns!$A$390</f>
        <v/>
      </c>
      <c r="B392" s="152" t="str">
        <f ca="1">IF($A392="","",Returns!$J$390)</f>
        <v/>
      </c>
      <c r="C392" s="153" t="str">
        <f t="shared" ref="C392:C455" ca="1" si="86">IF($A392="","",C391*(1+$B392))</f>
        <v/>
      </c>
      <c r="D392" s="153" t="str">
        <f ca="1">IF($A392="","",MAX($C$7:C392))</f>
        <v/>
      </c>
      <c r="E392" s="154" t="str">
        <f t="shared" ref="E392:E455" ca="1" si="87">IF($A392="","",$C392/$D392-1)</f>
        <v/>
      </c>
      <c r="F392" s="152" t="str">
        <f ca="1">IF($A392="","",Returns!$I$390)</f>
        <v/>
      </c>
      <c r="G392" s="153" t="str">
        <f t="shared" ref="G392:G455" ca="1" si="88">IF($A392="","",G391*(1+$F392))</f>
        <v/>
      </c>
      <c r="H392" s="153" t="str">
        <f ca="1">IF($A392="","",MAX($G$7:G392))</f>
        <v/>
      </c>
      <c r="I392" s="154" t="str">
        <f t="shared" ref="I392:I455" ca="1" si="89">IF($A392="","",$G392/$H392-1)</f>
        <v/>
      </c>
      <c r="J392" s="59" t="str">
        <f t="shared" ref="J392:J455" ca="1" si="90">IF($A392="","",TEXT($A392,"mmm-yy"))</f>
        <v/>
      </c>
      <c r="K392" s="3"/>
      <c r="L392" t="str">
        <f t="shared" ca="1" si="78"/>
        <v/>
      </c>
      <c r="M392" s="132" t="str">
        <f t="shared" ca="1" si="79"/>
        <v/>
      </c>
      <c r="N392" s="132" t="str">
        <f t="shared" ca="1" si="80"/>
        <v/>
      </c>
      <c r="P392" t="str">
        <f t="shared" ca="1" si="81"/>
        <v/>
      </c>
      <c r="Q392" s="133" t="str">
        <f t="shared" ca="1" si="82"/>
        <v/>
      </c>
      <c r="R392" s="133" t="str">
        <f t="shared" ca="1" si="83"/>
        <v/>
      </c>
      <c r="T392" t="str">
        <f t="shared" ca="1" si="84"/>
        <v/>
      </c>
      <c r="U392" s="134" t="str">
        <f t="shared" ca="1" si="85"/>
        <v/>
      </c>
    </row>
    <row r="393" spans="1:21" x14ac:dyDescent="0.3">
      <c r="A393" s="151" t="str">
        <f ca="1">Returns!$A$391</f>
        <v/>
      </c>
      <c r="B393" s="152" t="str">
        <f ca="1">IF($A393="","",Returns!$J$391)</f>
        <v/>
      </c>
      <c r="C393" s="153" t="str">
        <f t="shared" ca="1" si="86"/>
        <v/>
      </c>
      <c r="D393" s="153" t="str">
        <f ca="1">IF($A393="","",MAX($C$7:C393))</f>
        <v/>
      </c>
      <c r="E393" s="154" t="str">
        <f t="shared" ca="1" si="87"/>
        <v/>
      </c>
      <c r="F393" s="152" t="str">
        <f ca="1">IF($A393="","",Returns!$I$391)</f>
        <v/>
      </c>
      <c r="G393" s="153" t="str">
        <f t="shared" ca="1" si="88"/>
        <v/>
      </c>
      <c r="H393" s="153" t="str">
        <f ca="1">IF($A393="","",MAX($G$7:G393))</f>
        <v/>
      </c>
      <c r="I393" s="154" t="str">
        <f t="shared" ca="1" si="89"/>
        <v/>
      </c>
      <c r="J393" s="59" t="str">
        <f t="shared" ca="1" si="90"/>
        <v/>
      </c>
      <c r="K393" s="3"/>
      <c r="L393" t="str">
        <f t="shared" ca="1" si="78"/>
        <v/>
      </c>
      <c r="M393" s="132" t="str">
        <f t="shared" ca="1" si="79"/>
        <v/>
      </c>
      <c r="N393" s="132" t="str">
        <f t="shared" ca="1" si="80"/>
        <v/>
      </c>
      <c r="P393" t="str">
        <f t="shared" ca="1" si="81"/>
        <v/>
      </c>
      <c r="Q393" s="133" t="str">
        <f t="shared" ca="1" si="82"/>
        <v/>
      </c>
      <c r="R393" s="133" t="str">
        <f t="shared" ca="1" si="83"/>
        <v/>
      </c>
      <c r="T393" t="str">
        <f t="shared" ca="1" si="84"/>
        <v/>
      </c>
      <c r="U393" s="134" t="str">
        <f t="shared" ca="1" si="85"/>
        <v/>
      </c>
    </row>
    <row r="394" spans="1:21" x14ac:dyDescent="0.3">
      <c r="A394" s="151" t="str">
        <f ca="1">Returns!$A$392</f>
        <v/>
      </c>
      <c r="B394" s="152" t="str">
        <f ca="1">IF($A394="","",Returns!$J$392)</f>
        <v/>
      </c>
      <c r="C394" s="153" t="str">
        <f t="shared" ca="1" si="86"/>
        <v/>
      </c>
      <c r="D394" s="153" t="str">
        <f ca="1">IF($A394="","",MAX($C$7:C394))</f>
        <v/>
      </c>
      <c r="E394" s="154" t="str">
        <f t="shared" ca="1" si="87"/>
        <v/>
      </c>
      <c r="F394" s="152" t="str">
        <f ca="1">IF($A394="","",Returns!$I$392)</f>
        <v/>
      </c>
      <c r="G394" s="153" t="str">
        <f t="shared" ca="1" si="88"/>
        <v/>
      </c>
      <c r="H394" s="153" t="str">
        <f ca="1">IF($A394="","",MAX($G$7:G394))</f>
        <v/>
      </c>
      <c r="I394" s="154" t="str">
        <f t="shared" ca="1" si="89"/>
        <v/>
      </c>
      <c r="J394" s="59" t="str">
        <f t="shared" ca="1" si="90"/>
        <v/>
      </c>
      <c r="K394" s="3"/>
      <c r="L394" t="str">
        <f t="shared" ca="1" si="78"/>
        <v/>
      </c>
      <c r="M394" s="132" t="str">
        <f t="shared" ca="1" si="79"/>
        <v/>
      </c>
      <c r="N394" s="132" t="str">
        <f t="shared" ca="1" si="80"/>
        <v/>
      </c>
      <c r="P394" t="str">
        <f t="shared" ca="1" si="81"/>
        <v/>
      </c>
      <c r="Q394" s="133" t="str">
        <f t="shared" ca="1" si="82"/>
        <v/>
      </c>
      <c r="R394" s="133" t="str">
        <f t="shared" ca="1" si="83"/>
        <v/>
      </c>
      <c r="T394" t="str">
        <f t="shared" ca="1" si="84"/>
        <v/>
      </c>
      <c r="U394" s="134" t="str">
        <f t="shared" ca="1" si="85"/>
        <v/>
      </c>
    </row>
    <row r="395" spans="1:21" x14ac:dyDescent="0.3">
      <c r="A395" s="151" t="str">
        <f ca="1">Returns!$A$393</f>
        <v/>
      </c>
      <c r="B395" s="152" t="str">
        <f ca="1">IF($A395="","",Returns!$J$393)</f>
        <v/>
      </c>
      <c r="C395" s="153" t="str">
        <f t="shared" ca="1" si="86"/>
        <v/>
      </c>
      <c r="D395" s="153" t="str">
        <f ca="1">IF($A395="","",MAX($C$7:C395))</f>
        <v/>
      </c>
      <c r="E395" s="154" t="str">
        <f t="shared" ca="1" si="87"/>
        <v/>
      </c>
      <c r="F395" s="152" t="str">
        <f ca="1">IF($A395="","",Returns!$I$393)</f>
        <v/>
      </c>
      <c r="G395" s="153" t="str">
        <f t="shared" ca="1" si="88"/>
        <v/>
      </c>
      <c r="H395" s="153" t="str">
        <f ca="1">IF($A395="","",MAX($G$7:G395))</f>
        <v/>
      </c>
      <c r="I395" s="154" t="str">
        <f t="shared" ca="1" si="89"/>
        <v/>
      </c>
      <c r="J395" s="59" t="str">
        <f t="shared" ca="1" si="90"/>
        <v/>
      </c>
      <c r="K395" s="3"/>
      <c r="L395" t="str">
        <f t="shared" ca="1" si="78"/>
        <v/>
      </c>
      <c r="M395" s="132" t="str">
        <f t="shared" ca="1" si="79"/>
        <v/>
      </c>
      <c r="N395" s="132" t="str">
        <f t="shared" ca="1" si="80"/>
        <v/>
      </c>
      <c r="P395" t="str">
        <f t="shared" ca="1" si="81"/>
        <v/>
      </c>
      <c r="Q395" s="133" t="str">
        <f t="shared" ca="1" si="82"/>
        <v/>
      </c>
      <c r="R395" s="133" t="str">
        <f t="shared" ca="1" si="83"/>
        <v/>
      </c>
      <c r="T395" t="str">
        <f t="shared" ca="1" si="84"/>
        <v/>
      </c>
      <c r="U395" s="134" t="str">
        <f t="shared" ca="1" si="85"/>
        <v/>
      </c>
    </row>
    <row r="396" spans="1:21" x14ac:dyDescent="0.3">
      <c r="A396" s="151" t="str">
        <f ca="1">Returns!$A$394</f>
        <v/>
      </c>
      <c r="B396" s="152" t="str">
        <f ca="1">IF($A396="","",Returns!$J$394)</f>
        <v/>
      </c>
      <c r="C396" s="153" t="str">
        <f t="shared" ca="1" si="86"/>
        <v/>
      </c>
      <c r="D396" s="153" t="str">
        <f ca="1">IF($A396="","",MAX($C$7:C396))</f>
        <v/>
      </c>
      <c r="E396" s="154" t="str">
        <f t="shared" ca="1" si="87"/>
        <v/>
      </c>
      <c r="F396" s="152" t="str">
        <f ca="1">IF($A396="","",Returns!$I$394)</f>
        <v/>
      </c>
      <c r="G396" s="153" t="str">
        <f t="shared" ca="1" si="88"/>
        <v/>
      </c>
      <c r="H396" s="153" t="str">
        <f ca="1">IF($A396="","",MAX($G$7:G396))</f>
        <v/>
      </c>
      <c r="I396" s="154" t="str">
        <f t="shared" ca="1" si="89"/>
        <v/>
      </c>
      <c r="J396" s="59" t="str">
        <f t="shared" ca="1" si="90"/>
        <v/>
      </c>
      <c r="K396" s="3"/>
      <c r="L396" t="str">
        <f t="shared" ca="1" si="78"/>
        <v/>
      </c>
      <c r="M396" s="132" t="str">
        <f t="shared" ca="1" si="79"/>
        <v/>
      </c>
      <c r="N396" s="132" t="str">
        <f t="shared" ca="1" si="80"/>
        <v/>
      </c>
      <c r="P396" t="str">
        <f t="shared" ca="1" si="81"/>
        <v/>
      </c>
      <c r="Q396" s="133" t="str">
        <f t="shared" ca="1" si="82"/>
        <v/>
      </c>
      <c r="R396" s="133" t="str">
        <f t="shared" ca="1" si="83"/>
        <v/>
      </c>
      <c r="T396" t="str">
        <f t="shared" ca="1" si="84"/>
        <v/>
      </c>
      <c r="U396" s="134" t="str">
        <f t="shared" ca="1" si="85"/>
        <v/>
      </c>
    </row>
    <row r="397" spans="1:21" x14ac:dyDescent="0.3">
      <c r="A397" s="151" t="str">
        <f ca="1">Returns!$A$395</f>
        <v/>
      </c>
      <c r="B397" s="152" t="str">
        <f ca="1">IF($A397="","",Returns!$J$395)</f>
        <v/>
      </c>
      <c r="C397" s="153" t="str">
        <f t="shared" ca="1" si="86"/>
        <v/>
      </c>
      <c r="D397" s="153" t="str">
        <f ca="1">IF($A397="","",MAX($C$7:C397))</f>
        <v/>
      </c>
      <c r="E397" s="154" t="str">
        <f t="shared" ca="1" si="87"/>
        <v/>
      </c>
      <c r="F397" s="152" t="str">
        <f ca="1">IF($A397="","",Returns!$I$395)</f>
        <v/>
      </c>
      <c r="G397" s="153" t="str">
        <f t="shared" ca="1" si="88"/>
        <v/>
      </c>
      <c r="H397" s="153" t="str">
        <f ca="1">IF($A397="","",MAX($G$7:G397))</f>
        <v/>
      </c>
      <c r="I397" s="154" t="str">
        <f t="shared" ca="1" si="89"/>
        <v/>
      </c>
      <c r="J397" s="59" t="str">
        <f t="shared" ca="1" si="90"/>
        <v/>
      </c>
      <c r="K397" s="3"/>
      <c r="L397" t="str">
        <f t="shared" ca="1" si="78"/>
        <v/>
      </c>
      <c r="M397" s="132" t="str">
        <f t="shared" ca="1" si="79"/>
        <v/>
      </c>
      <c r="N397" s="132" t="str">
        <f t="shared" ca="1" si="80"/>
        <v/>
      </c>
      <c r="P397" t="str">
        <f t="shared" ca="1" si="81"/>
        <v/>
      </c>
      <c r="Q397" s="133" t="str">
        <f t="shared" ca="1" si="82"/>
        <v/>
      </c>
      <c r="R397" s="133" t="str">
        <f t="shared" ca="1" si="83"/>
        <v/>
      </c>
      <c r="T397" t="str">
        <f t="shared" ca="1" si="84"/>
        <v/>
      </c>
      <c r="U397" s="134" t="str">
        <f t="shared" ca="1" si="85"/>
        <v/>
      </c>
    </row>
    <row r="398" spans="1:21" x14ac:dyDescent="0.3">
      <c r="A398" s="151" t="str">
        <f ca="1">Returns!$A$396</f>
        <v/>
      </c>
      <c r="B398" s="152" t="str">
        <f ca="1">IF($A398="","",Returns!$J$396)</f>
        <v/>
      </c>
      <c r="C398" s="153" t="str">
        <f t="shared" ca="1" si="86"/>
        <v/>
      </c>
      <c r="D398" s="153" t="str">
        <f ca="1">IF($A398="","",MAX($C$7:C398))</f>
        <v/>
      </c>
      <c r="E398" s="154" t="str">
        <f t="shared" ca="1" si="87"/>
        <v/>
      </c>
      <c r="F398" s="152" t="str">
        <f ca="1">IF($A398="","",Returns!$I$396)</f>
        <v/>
      </c>
      <c r="G398" s="153" t="str">
        <f t="shared" ca="1" si="88"/>
        <v/>
      </c>
      <c r="H398" s="153" t="str">
        <f ca="1">IF($A398="","",MAX($G$7:G398))</f>
        <v/>
      </c>
      <c r="I398" s="154" t="str">
        <f t="shared" ca="1" si="89"/>
        <v/>
      </c>
      <c r="J398" s="59" t="str">
        <f t="shared" ca="1" si="90"/>
        <v/>
      </c>
      <c r="K398" s="3"/>
      <c r="L398" t="str">
        <f t="shared" ca="1" si="78"/>
        <v/>
      </c>
      <c r="M398" s="132" t="str">
        <f t="shared" ca="1" si="79"/>
        <v/>
      </c>
      <c r="N398" s="132" t="str">
        <f t="shared" ca="1" si="80"/>
        <v/>
      </c>
      <c r="P398" t="str">
        <f t="shared" ca="1" si="81"/>
        <v/>
      </c>
      <c r="Q398" s="133" t="str">
        <f t="shared" ca="1" si="82"/>
        <v/>
      </c>
      <c r="R398" s="133" t="str">
        <f t="shared" ca="1" si="83"/>
        <v/>
      </c>
      <c r="T398" t="str">
        <f t="shared" ca="1" si="84"/>
        <v/>
      </c>
      <c r="U398" s="134" t="str">
        <f t="shared" ca="1" si="85"/>
        <v/>
      </c>
    </row>
    <row r="399" spans="1:21" x14ac:dyDescent="0.3">
      <c r="A399" s="151" t="str">
        <f ca="1">Returns!$A$397</f>
        <v/>
      </c>
      <c r="B399" s="152" t="str">
        <f ca="1">IF($A399="","",Returns!$J$397)</f>
        <v/>
      </c>
      <c r="C399" s="153" t="str">
        <f t="shared" ca="1" si="86"/>
        <v/>
      </c>
      <c r="D399" s="153" t="str">
        <f ca="1">IF($A399="","",MAX($C$7:C399))</f>
        <v/>
      </c>
      <c r="E399" s="154" t="str">
        <f t="shared" ca="1" si="87"/>
        <v/>
      </c>
      <c r="F399" s="152" t="str">
        <f ca="1">IF($A399="","",Returns!$I$397)</f>
        <v/>
      </c>
      <c r="G399" s="153" t="str">
        <f t="shared" ca="1" si="88"/>
        <v/>
      </c>
      <c r="H399" s="153" t="str">
        <f ca="1">IF($A399="","",MAX($G$7:G399))</f>
        <v/>
      </c>
      <c r="I399" s="154" t="str">
        <f t="shared" ca="1" si="89"/>
        <v/>
      </c>
      <c r="J399" s="59" t="str">
        <f t="shared" ca="1" si="90"/>
        <v/>
      </c>
      <c r="K399" s="3"/>
      <c r="L399" t="str">
        <f t="shared" ca="1" si="78"/>
        <v/>
      </c>
      <c r="M399" s="132" t="str">
        <f t="shared" ca="1" si="79"/>
        <v/>
      </c>
      <c r="N399" s="132" t="str">
        <f t="shared" ca="1" si="80"/>
        <v/>
      </c>
      <c r="P399" t="str">
        <f t="shared" ca="1" si="81"/>
        <v/>
      </c>
      <c r="Q399" s="133" t="str">
        <f t="shared" ca="1" si="82"/>
        <v/>
      </c>
      <c r="R399" s="133" t="str">
        <f t="shared" ca="1" si="83"/>
        <v/>
      </c>
      <c r="T399" t="str">
        <f t="shared" ca="1" si="84"/>
        <v/>
      </c>
      <c r="U399" s="134" t="str">
        <f t="shared" ca="1" si="85"/>
        <v/>
      </c>
    </row>
    <row r="400" spans="1:21" x14ac:dyDescent="0.3">
      <c r="A400" s="151" t="str">
        <f ca="1">Returns!$A$398</f>
        <v/>
      </c>
      <c r="B400" s="152" t="str">
        <f ca="1">IF($A400="","",Returns!$J$398)</f>
        <v/>
      </c>
      <c r="C400" s="153" t="str">
        <f t="shared" ca="1" si="86"/>
        <v/>
      </c>
      <c r="D400" s="153" t="str">
        <f ca="1">IF($A400="","",MAX($C$7:C400))</f>
        <v/>
      </c>
      <c r="E400" s="154" t="str">
        <f t="shared" ca="1" si="87"/>
        <v/>
      </c>
      <c r="F400" s="152" t="str">
        <f ca="1">IF($A400="","",Returns!$I$398)</f>
        <v/>
      </c>
      <c r="G400" s="153" t="str">
        <f t="shared" ca="1" si="88"/>
        <v/>
      </c>
      <c r="H400" s="153" t="str">
        <f ca="1">IF($A400="","",MAX($G$7:G400))</f>
        <v/>
      </c>
      <c r="I400" s="154" t="str">
        <f t="shared" ca="1" si="89"/>
        <v/>
      </c>
      <c r="J400" s="59" t="str">
        <f t="shared" ca="1" si="90"/>
        <v/>
      </c>
      <c r="K400" s="3"/>
      <c r="L400" t="str">
        <f t="shared" ca="1" si="78"/>
        <v/>
      </c>
      <c r="M400" s="132" t="str">
        <f t="shared" ca="1" si="79"/>
        <v/>
      </c>
      <c r="N400" s="132" t="str">
        <f t="shared" ca="1" si="80"/>
        <v/>
      </c>
      <c r="P400" t="str">
        <f t="shared" ca="1" si="81"/>
        <v/>
      </c>
      <c r="Q400" s="133" t="str">
        <f t="shared" ca="1" si="82"/>
        <v/>
      </c>
      <c r="R400" s="133" t="str">
        <f t="shared" ca="1" si="83"/>
        <v/>
      </c>
      <c r="T400" t="str">
        <f t="shared" ca="1" si="84"/>
        <v/>
      </c>
      <c r="U400" s="134" t="str">
        <f t="shared" ca="1" si="85"/>
        <v/>
      </c>
    </row>
    <row r="401" spans="1:21" x14ac:dyDescent="0.3">
      <c r="A401" s="151" t="str">
        <f ca="1">Returns!$A$399</f>
        <v/>
      </c>
      <c r="B401" s="152" t="str">
        <f ca="1">IF($A401="","",Returns!$J$399)</f>
        <v/>
      </c>
      <c r="C401" s="153" t="str">
        <f t="shared" ca="1" si="86"/>
        <v/>
      </c>
      <c r="D401" s="153" t="str">
        <f ca="1">IF($A401="","",MAX($C$7:C401))</f>
        <v/>
      </c>
      <c r="E401" s="154" t="str">
        <f t="shared" ca="1" si="87"/>
        <v/>
      </c>
      <c r="F401" s="152" t="str">
        <f ca="1">IF($A401="","",Returns!$I$399)</f>
        <v/>
      </c>
      <c r="G401" s="153" t="str">
        <f t="shared" ca="1" si="88"/>
        <v/>
      </c>
      <c r="H401" s="153" t="str">
        <f ca="1">IF($A401="","",MAX($G$7:G401))</f>
        <v/>
      </c>
      <c r="I401" s="154" t="str">
        <f t="shared" ca="1" si="89"/>
        <v/>
      </c>
      <c r="J401" s="59" t="str">
        <f t="shared" ca="1" si="90"/>
        <v/>
      </c>
      <c r="K401" s="3"/>
      <c r="L401" t="str">
        <f t="shared" ca="1" si="78"/>
        <v/>
      </c>
      <c r="M401" s="132" t="str">
        <f t="shared" ca="1" si="79"/>
        <v/>
      </c>
      <c r="N401" s="132" t="str">
        <f t="shared" ca="1" si="80"/>
        <v/>
      </c>
      <c r="P401" t="str">
        <f t="shared" ca="1" si="81"/>
        <v/>
      </c>
      <c r="Q401" s="133" t="str">
        <f t="shared" ca="1" si="82"/>
        <v/>
      </c>
      <c r="R401" s="133" t="str">
        <f t="shared" ca="1" si="83"/>
        <v/>
      </c>
      <c r="T401" t="str">
        <f t="shared" ca="1" si="84"/>
        <v/>
      </c>
      <c r="U401" s="134" t="str">
        <f t="shared" ca="1" si="85"/>
        <v/>
      </c>
    </row>
    <row r="402" spans="1:21" x14ac:dyDescent="0.3">
      <c r="A402" s="151" t="str">
        <f ca="1">Returns!$A$400</f>
        <v/>
      </c>
      <c r="B402" s="152" t="str">
        <f ca="1">IF($A402="","",Returns!$J$400)</f>
        <v/>
      </c>
      <c r="C402" s="153" t="str">
        <f t="shared" ca="1" si="86"/>
        <v/>
      </c>
      <c r="D402" s="153" t="str">
        <f ca="1">IF($A402="","",MAX($C$7:C402))</f>
        <v/>
      </c>
      <c r="E402" s="154" t="str">
        <f t="shared" ca="1" si="87"/>
        <v/>
      </c>
      <c r="F402" s="152" t="str">
        <f ca="1">IF($A402="","",Returns!$I$400)</f>
        <v/>
      </c>
      <c r="G402" s="153" t="str">
        <f t="shared" ca="1" si="88"/>
        <v/>
      </c>
      <c r="H402" s="153" t="str">
        <f ca="1">IF($A402="","",MAX($G$7:G402))</f>
        <v/>
      </c>
      <c r="I402" s="154" t="str">
        <f t="shared" ca="1" si="89"/>
        <v/>
      </c>
      <c r="J402" s="59" t="str">
        <f t="shared" ca="1" si="90"/>
        <v/>
      </c>
      <c r="K402" s="3"/>
      <c r="L402" t="str">
        <f t="shared" ca="1" si="78"/>
        <v/>
      </c>
      <c r="M402" s="132" t="str">
        <f t="shared" ca="1" si="79"/>
        <v/>
      </c>
      <c r="N402" s="132" t="str">
        <f t="shared" ca="1" si="80"/>
        <v/>
      </c>
      <c r="P402" t="str">
        <f t="shared" ca="1" si="81"/>
        <v/>
      </c>
      <c r="Q402" s="133" t="str">
        <f t="shared" ca="1" si="82"/>
        <v/>
      </c>
      <c r="R402" s="133" t="str">
        <f t="shared" ca="1" si="83"/>
        <v/>
      </c>
      <c r="T402" t="str">
        <f t="shared" ca="1" si="84"/>
        <v/>
      </c>
      <c r="U402" s="134" t="str">
        <f t="shared" ca="1" si="85"/>
        <v/>
      </c>
    </row>
    <row r="403" spans="1:21" x14ac:dyDescent="0.3">
      <c r="A403" s="151" t="str">
        <f ca="1">Returns!$A$401</f>
        <v/>
      </c>
      <c r="B403" s="152" t="str">
        <f ca="1">IF($A403="","",Returns!$J$401)</f>
        <v/>
      </c>
      <c r="C403" s="153" t="str">
        <f t="shared" ca="1" si="86"/>
        <v/>
      </c>
      <c r="D403" s="153" t="str">
        <f ca="1">IF($A403="","",MAX($C$7:C403))</f>
        <v/>
      </c>
      <c r="E403" s="154" t="str">
        <f t="shared" ca="1" si="87"/>
        <v/>
      </c>
      <c r="F403" s="152" t="str">
        <f ca="1">IF($A403="","",Returns!$I$401)</f>
        <v/>
      </c>
      <c r="G403" s="153" t="str">
        <f t="shared" ca="1" si="88"/>
        <v/>
      </c>
      <c r="H403" s="153" t="str">
        <f ca="1">IF($A403="","",MAX($G$7:G403))</f>
        <v/>
      </c>
      <c r="I403" s="154" t="str">
        <f t="shared" ca="1" si="89"/>
        <v/>
      </c>
      <c r="J403" s="59" t="str">
        <f t="shared" ca="1" si="90"/>
        <v/>
      </c>
      <c r="K403" s="3"/>
      <c r="L403" t="str">
        <f t="shared" ca="1" si="78"/>
        <v/>
      </c>
      <c r="M403" s="132" t="str">
        <f t="shared" ca="1" si="79"/>
        <v/>
      </c>
      <c r="N403" s="132" t="str">
        <f t="shared" ca="1" si="80"/>
        <v/>
      </c>
      <c r="P403" t="str">
        <f t="shared" ca="1" si="81"/>
        <v/>
      </c>
      <c r="Q403" s="133" t="str">
        <f t="shared" ca="1" si="82"/>
        <v/>
      </c>
      <c r="R403" s="133" t="str">
        <f t="shared" ca="1" si="83"/>
        <v/>
      </c>
      <c r="T403" t="str">
        <f t="shared" ca="1" si="84"/>
        <v/>
      </c>
      <c r="U403" s="134" t="str">
        <f t="shared" ca="1" si="85"/>
        <v/>
      </c>
    </row>
    <row r="404" spans="1:21" x14ac:dyDescent="0.3">
      <c r="A404" s="151" t="str">
        <f ca="1">Returns!$A$402</f>
        <v/>
      </c>
      <c r="B404" s="152" t="str">
        <f ca="1">IF($A404="","",Returns!$J$402)</f>
        <v/>
      </c>
      <c r="C404" s="153" t="str">
        <f t="shared" ca="1" si="86"/>
        <v/>
      </c>
      <c r="D404" s="153" t="str">
        <f ca="1">IF($A404="","",MAX($C$7:C404))</f>
        <v/>
      </c>
      <c r="E404" s="154" t="str">
        <f t="shared" ca="1" si="87"/>
        <v/>
      </c>
      <c r="F404" s="152" t="str">
        <f ca="1">IF($A404="","",Returns!$I$402)</f>
        <v/>
      </c>
      <c r="G404" s="153" t="str">
        <f t="shared" ca="1" si="88"/>
        <v/>
      </c>
      <c r="H404" s="153" t="str">
        <f ca="1">IF($A404="","",MAX($G$7:G404))</f>
        <v/>
      </c>
      <c r="I404" s="154" t="str">
        <f t="shared" ca="1" si="89"/>
        <v/>
      </c>
      <c r="J404" s="59" t="str">
        <f t="shared" ca="1" si="90"/>
        <v/>
      </c>
      <c r="K404" s="3"/>
      <c r="L404" t="str">
        <f t="shared" ca="1" si="78"/>
        <v/>
      </c>
      <c r="M404" s="132" t="str">
        <f t="shared" ca="1" si="79"/>
        <v/>
      </c>
      <c r="N404" s="132" t="str">
        <f t="shared" ca="1" si="80"/>
        <v/>
      </c>
      <c r="P404" t="str">
        <f t="shared" ca="1" si="81"/>
        <v/>
      </c>
      <c r="Q404" s="133" t="str">
        <f t="shared" ca="1" si="82"/>
        <v/>
      </c>
      <c r="R404" s="133" t="str">
        <f t="shared" ca="1" si="83"/>
        <v/>
      </c>
      <c r="T404" t="str">
        <f t="shared" ca="1" si="84"/>
        <v/>
      </c>
      <c r="U404" s="134" t="str">
        <f t="shared" ca="1" si="85"/>
        <v/>
      </c>
    </row>
    <row r="405" spans="1:21" x14ac:dyDescent="0.3">
      <c r="A405" s="151" t="str">
        <f ca="1">Returns!$A$403</f>
        <v/>
      </c>
      <c r="B405" s="152" t="str">
        <f ca="1">IF($A405="","",Returns!$J$403)</f>
        <v/>
      </c>
      <c r="C405" s="153" t="str">
        <f t="shared" ca="1" si="86"/>
        <v/>
      </c>
      <c r="D405" s="153" t="str">
        <f ca="1">IF($A405="","",MAX($C$7:C405))</f>
        <v/>
      </c>
      <c r="E405" s="154" t="str">
        <f t="shared" ca="1" si="87"/>
        <v/>
      </c>
      <c r="F405" s="152" t="str">
        <f ca="1">IF($A405="","",Returns!$I$403)</f>
        <v/>
      </c>
      <c r="G405" s="153" t="str">
        <f t="shared" ca="1" si="88"/>
        <v/>
      </c>
      <c r="H405" s="153" t="str">
        <f ca="1">IF($A405="","",MAX($G$7:G405))</f>
        <v/>
      </c>
      <c r="I405" s="154" t="str">
        <f t="shared" ca="1" si="89"/>
        <v/>
      </c>
      <c r="J405" s="59" t="str">
        <f t="shared" ca="1" si="90"/>
        <v/>
      </c>
      <c r="K405" s="3"/>
      <c r="L405" t="str">
        <f t="shared" ca="1" si="78"/>
        <v/>
      </c>
      <c r="M405" s="132" t="str">
        <f t="shared" ca="1" si="79"/>
        <v/>
      </c>
      <c r="N405" s="132" t="str">
        <f t="shared" ca="1" si="80"/>
        <v/>
      </c>
      <c r="P405" t="str">
        <f t="shared" ca="1" si="81"/>
        <v/>
      </c>
      <c r="Q405" s="133" t="str">
        <f t="shared" ca="1" si="82"/>
        <v/>
      </c>
      <c r="R405" s="133" t="str">
        <f t="shared" ca="1" si="83"/>
        <v/>
      </c>
      <c r="T405" t="str">
        <f t="shared" ca="1" si="84"/>
        <v/>
      </c>
      <c r="U405" s="134" t="str">
        <f t="shared" ca="1" si="85"/>
        <v/>
      </c>
    </row>
    <row r="406" spans="1:21" x14ac:dyDescent="0.3">
      <c r="A406" s="151" t="str">
        <f ca="1">Returns!$A$404</f>
        <v/>
      </c>
      <c r="B406" s="152" t="str">
        <f ca="1">IF($A406="","",Returns!$J$404)</f>
        <v/>
      </c>
      <c r="C406" s="153" t="str">
        <f t="shared" ca="1" si="86"/>
        <v/>
      </c>
      <c r="D406" s="153" t="str">
        <f ca="1">IF($A406="","",MAX($C$7:C406))</f>
        <v/>
      </c>
      <c r="E406" s="154" t="str">
        <f t="shared" ca="1" si="87"/>
        <v/>
      </c>
      <c r="F406" s="152" t="str">
        <f ca="1">IF($A406="","",Returns!$I$404)</f>
        <v/>
      </c>
      <c r="G406" s="153" t="str">
        <f t="shared" ca="1" si="88"/>
        <v/>
      </c>
      <c r="H406" s="153" t="str">
        <f ca="1">IF($A406="","",MAX($G$7:G406))</f>
        <v/>
      </c>
      <c r="I406" s="154" t="str">
        <f t="shared" ca="1" si="89"/>
        <v/>
      </c>
      <c r="J406" s="59" t="str">
        <f t="shared" ca="1" si="90"/>
        <v/>
      </c>
      <c r="K406" s="3"/>
      <c r="L406" t="str">
        <f t="shared" ca="1" si="78"/>
        <v/>
      </c>
      <c r="M406" s="132" t="str">
        <f t="shared" ca="1" si="79"/>
        <v/>
      </c>
      <c r="N406" s="132" t="str">
        <f t="shared" ca="1" si="80"/>
        <v/>
      </c>
      <c r="P406" t="str">
        <f t="shared" ca="1" si="81"/>
        <v/>
      </c>
      <c r="Q406" s="133" t="str">
        <f t="shared" ca="1" si="82"/>
        <v/>
      </c>
      <c r="R406" s="133" t="str">
        <f t="shared" ca="1" si="83"/>
        <v/>
      </c>
      <c r="T406" t="str">
        <f t="shared" ca="1" si="84"/>
        <v/>
      </c>
      <c r="U406" s="134" t="str">
        <f t="shared" ca="1" si="85"/>
        <v/>
      </c>
    </row>
    <row r="407" spans="1:21" x14ac:dyDescent="0.3">
      <c r="A407" s="151" t="str">
        <f ca="1">Returns!$A$405</f>
        <v/>
      </c>
      <c r="B407" s="152" t="str">
        <f ca="1">IF($A407="","",Returns!$J$405)</f>
        <v/>
      </c>
      <c r="C407" s="153" t="str">
        <f t="shared" ca="1" si="86"/>
        <v/>
      </c>
      <c r="D407" s="153" t="str">
        <f ca="1">IF($A407="","",MAX($C$7:C407))</f>
        <v/>
      </c>
      <c r="E407" s="154" t="str">
        <f t="shared" ca="1" si="87"/>
        <v/>
      </c>
      <c r="F407" s="152" t="str">
        <f ca="1">IF($A407="","",Returns!$I$405)</f>
        <v/>
      </c>
      <c r="G407" s="153" t="str">
        <f t="shared" ca="1" si="88"/>
        <v/>
      </c>
      <c r="H407" s="153" t="str">
        <f ca="1">IF($A407="","",MAX($G$7:G407))</f>
        <v/>
      </c>
      <c r="I407" s="154" t="str">
        <f t="shared" ca="1" si="89"/>
        <v/>
      </c>
      <c r="J407" s="59" t="str">
        <f t="shared" ca="1" si="90"/>
        <v/>
      </c>
      <c r="K407" s="3"/>
      <c r="L407" t="str">
        <f t="shared" ca="1" si="78"/>
        <v/>
      </c>
      <c r="M407" s="132" t="str">
        <f t="shared" ca="1" si="79"/>
        <v/>
      </c>
      <c r="N407" s="132" t="str">
        <f t="shared" ca="1" si="80"/>
        <v/>
      </c>
      <c r="P407" t="str">
        <f t="shared" ca="1" si="81"/>
        <v/>
      </c>
      <c r="Q407" s="133" t="str">
        <f t="shared" ca="1" si="82"/>
        <v/>
      </c>
      <c r="R407" s="133" t="str">
        <f t="shared" ca="1" si="83"/>
        <v/>
      </c>
      <c r="T407" t="str">
        <f t="shared" ca="1" si="84"/>
        <v/>
      </c>
      <c r="U407" s="134" t="str">
        <f t="shared" ca="1" si="85"/>
        <v/>
      </c>
    </row>
    <row r="408" spans="1:21" x14ac:dyDescent="0.3">
      <c r="A408" s="151" t="str">
        <f ca="1">Returns!$A$406</f>
        <v/>
      </c>
      <c r="B408" s="152" t="str">
        <f ca="1">IF($A408="","",Returns!$J$406)</f>
        <v/>
      </c>
      <c r="C408" s="153" t="str">
        <f t="shared" ca="1" si="86"/>
        <v/>
      </c>
      <c r="D408" s="153" t="str">
        <f ca="1">IF($A408="","",MAX($C$7:C408))</f>
        <v/>
      </c>
      <c r="E408" s="154" t="str">
        <f t="shared" ca="1" si="87"/>
        <v/>
      </c>
      <c r="F408" s="152" t="str">
        <f ca="1">IF($A408="","",Returns!$I$406)</f>
        <v/>
      </c>
      <c r="G408" s="153" t="str">
        <f t="shared" ca="1" si="88"/>
        <v/>
      </c>
      <c r="H408" s="153" t="str">
        <f ca="1">IF($A408="","",MAX($G$7:G408))</f>
        <v/>
      </c>
      <c r="I408" s="154" t="str">
        <f t="shared" ca="1" si="89"/>
        <v/>
      </c>
      <c r="J408" s="59" t="str">
        <f t="shared" ca="1" si="90"/>
        <v/>
      </c>
      <c r="K408" s="3"/>
      <c r="L408" t="str">
        <f t="shared" ca="1" si="78"/>
        <v/>
      </c>
      <c r="M408" s="132" t="str">
        <f t="shared" ca="1" si="79"/>
        <v/>
      </c>
      <c r="N408" s="132" t="str">
        <f t="shared" ca="1" si="80"/>
        <v/>
      </c>
      <c r="P408" t="str">
        <f t="shared" ca="1" si="81"/>
        <v/>
      </c>
      <c r="Q408" s="133" t="str">
        <f t="shared" ca="1" si="82"/>
        <v/>
      </c>
      <c r="R408" s="133" t="str">
        <f t="shared" ca="1" si="83"/>
        <v/>
      </c>
      <c r="T408" t="str">
        <f t="shared" ca="1" si="84"/>
        <v/>
      </c>
      <c r="U408" s="134" t="str">
        <f t="shared" ca="1" si="85"/>
        <v/>
      </c>
    </row>
    <row r="409" spans="1:21" x14ac:dyDescent="0.3">
      <c r="A409" s="151" t="str">
        <f ca="1">Returns!$A$407</f>
        <v/>
      </c>
      <c r="B409" s="152" t="str">
        <f ca="1">IF($A409="","",Returns!$J$407)</f>
        <v/>
      </c>
      <c r="C409" s="153" t="str">
        <f t="shared" ca="1" si="86"/>
        <v/>
      </c>
      <c r="D409" s="153" t="str">
        <f ca="1">IF($A409="","",MAX($C$7:C409))</f>
        <v/>
      </c>
      <c r="E409" s="154" t="str">
        <f t="shared" ca="1" si="87"/>
        <v/>
      </c>
      <c r="F409" s="152" t="str">
        <f ca="1">IF($A409="","",Returns!$I$407)</f>
        <v/>
      </c>
      <c r="G409" s="153" t="str">
        <f t="shared" ca="1" si="88"/>
        <v/>
      </c>
      <c r="H409" s="153" t="str">
        <f ca="1">IF($A409="","",MAX($G$7:G409))</f>
        <v/>
      </c>
      <c r="I409" s="154" t="str">
        <f t="shared" ca="1" si="89"/>
        <v/>
      </c>
      <c r="J409" s="59" t="str">
        <f t="shared" ca="1" si="90"/>
        <v/>
      </c>
      <c r="K409" s="3"/>
      <c r="L409" t="str">
        <f t="shared" ca="1" si="78"/>
        <v/>
      </c>
      <c r="M409" s="132" t="str">
        <f t="shared" ca="1" si="79"/>
        <v/>
      </c>
      <c r="N409" s="132" t="str">
        <f t="shared" ca="1" si="80"/>
        <v/>
      </c>
      <c r="P409" t="str">
        <f t="shared" ca="1" si="81"/>
        <v/>
      </c>
      <c r="Q409" s="133" t="str">
        <f t="shared" ca="1" si="82"/>
        <v/>
      </c>
      <c r="R409" s="133" t="str">
        <f t="shared" ca="1" si="83"/>
        <v/>
      </c>
      <c r="T409" t="str">
        <f t="shared" ca="1" si="84"/>
        <v/>
      </c>
      <c r="U409" s="134" t="str">
        <f t="shared" ca="1" si="85"/>
        <v/>
      </c>
    </row>
    <row r="410" spans="1:21" x14ac:dyDescent="0.3">
      <c r="A410" s="151" t="str">
        <f ca="1">Returns!$A$408</f>
        <v/>
      </c>
      <c r="B410" s="152" t="str">
        <f ca="1">IF($A410="","",Returns!$J$408)</f>
        <v/>
      </c>
      <c r="C410" s="153" t="str">
        <f t="shared" ca="1" si="86"/>
        <v/>
      </c>
      <c r="D410" s="153" t="str">
        <f ca="1">IF($A410="","",MAX($C$7:C410))</f>
        <v/>
      </c>
      <c r="E410" s="154" t="str">
        <f t="shared" ca="1" si="87"/>
        <v/>
      </c>
      <c r="F410" s="152" t="str">
        <f ca="1">IF($A410="","",Returns!$I$408)</f>
        <v/>
      </c>
      <c r="G410" s="153" t="str">
        <f t="shared" ca="1" si="88"/>
        <v/>
      </c>
      <c r="H410" s="153" t="str">
        <f ca="1">IF($A410="","",MAX($G$7:G410))</f>
        <v/>
      </c>
      <c r="I410" s="154" t="str">
        <f t="shared" ca="1" si="89"/>
        <v/>
      </c>
      <c r="J410" s="59" t="str">
        <f t="shared" ca="1" si="90"/>
        <v/>
      </c>
      <c r="K410" s="3"/>
      <c r="L410" t="str">
        <f t="shared" ca="1" si="78"/>
        <v/>
      </c>
      <c r="M410" s="132" t="str">
        <f t="shared" ca="1" si="79"/>
        <v/>
      </c>
      <c r="N410" s="132" t="str">
        <f t="shared" ca="1" si="80"/>
        <v/>
      </c>
      <c r="P410" t="str">
        <f t="shared" ca="1" si="81"/>
        <v/>
      </c>
      <c r="Q410" s="133" t="str">
        <f t="shared" ca="1" si="82"/>
        <v/>
      </c>
      <c r="R410" s="133" t="str">
        <f t="shared" ca="1" si="83"/>
        <v/>
      </c>
      <c r="T410" t="str">
        <f t="shared" ca="1" si="84"/>
        <v/>
      </c>
      <c r="U410" s="134" t="str">
        <f t="shared" ca="1" si="85"/>
        <v/>
      </c>
    </row>
    <row r="411" spans="1:21" x14ac:dyDescent="0.3">
      <c r="A411" s="151" t="str">
        <f ca="1">Returns!$A$409</f>
        <v/>
      </c>
      <c r="B411" s="152" t="str">
        <f ca="1">IF($A411="","",Returns!$J$409)</f>
        <v/>
      </c>
      <c r="C411" s="153" t="str">
        <f t="shared" ca="1" si="86"/>
        <v/>
      </c>
      <c r="D411" s="153" t="str">
        <f ca="1">IF($A411="","",MAX($C$7:C411))</f>
        <v/>
      </c>
      <c r="E411" s="154" t="str">
        <f t="shared" ca="1" si="87"/>
        <v/>
      </c>
      <c r="F411" s="152" t="str">
        <f ca="1">IF($A411="","",Returns!$I$409)</f>
        <v/>
      </c>
      <c r="G411" s="153" t="str">
        <f t="shared" ca="1" si="88"/>
        <v/>
      </c>
      <c r="H411" s="153" t="str">
        <f ca="1">IF($A411="","",MAX($G$7:G411))</f>
        <v/>
      </c>
      <c r="I411" s="154" t="str">
        <f t="shared" ca="1" si="89"/>
        <v/>
      </c>
      <c r="J411" s="59" t="str">
        <f t="shared" ca="1" si="90"/>
        <v/>
      </c>
      <c r="K411" s="3"/>
      <c r="L411" t="str">
        <f t="shared" ca="1" si="78"/>
        <v/>
      </c>
      <c r="M411" s="132" t="str">
        <f t="shared" ca="1" si="79"/>
        <v/>
      </c>
      <c r="N411" s="132" t="str">
        <f t="shared" ca="1" si="80"/>
        <v/>
      </c>
      <c r="P411" t="str">
        <f t="shared" ca="1" si="81"/>
        <v/>
      </c>
      <c r="Q411" s="133" t="str">
        <f t="shared" ca="1" si="82"/>
        <v/>
      </c>
      <c r="R411" s="133" t="str">
        <f t="shared" ca="1" si="83"/>
        <v/>
      </c>
      <c r="T411" t="str">
        <f t="shared" ca="1" si="84"/>
        <v/>
      </c>
      <c r="U411" s="134" t="str">
        <f t="shared" ca="1" si="85"/>
        <v/>
      </c>
    </row>
    <row r="412" spans="1:21" x14ac:dyDescent="0.3">
      <c r="A412" s="151" t="str">
        <f ca="1">Returns!$A$410</f>
        <v/>
      </c>
      <c r="B412" s="152" t="str">
        <f ca="1">IF($A412="","",Returns!$J$410)</f>
        <v/>
      </c>
      <c r="C412" s="153" t="str">
        <f t="shared" ca="1" si="86"/>
        <v/>
      </c>
      <c r="D412" s="153" t="str">
        <f ca="1">IF($A412="","",MAX($C$7:C412))</f>
        <v/>
      </c>
      <c r="E412" s="154" t="str">
        <f t="shared" ca="1" si="87"/>
        <v/>
      </c>
      <c r="F412" s="152" t="str">
        <f ca="1">IF($A412="","",Returns!$I$410)</f>
        <v/>
      </c>
      <c r="G412" s="153" t="str">
        <f t="shared" ca="1" si="88"/>
        <v/>
      </c>
      <c r="H412" s="153" t="str">
        <f ca="1">IF($A412="","",MAX($G$7:G412))</f>
        <v/>
      </c>
      <c r="I412" s="154" t="str">
        <f t="shared" ca="1" si="89"/>
        <v/>
      </c>
      <c r="J412" s="59" t="str">
        <f t="shared" ca="1" si="90"/>
        <v/>
      </c>
      <c r="K412" s="3"/>
      <c r="L412" t="str">
        <f t="shared" ca="1" si="78"/>
        <v/>
      </c>
      <c r="M412" s="132" t="str">
        <f t="shared" ca="1" si="79"/>
        <v/>
      </c>
      <c r="N412" s="132" t="str">
        <f t="shared" ca="1" si="80"/>
        <v/>
      </c>
      <c r="P412" t="str">
        <f t="shared" ca="1" si="81"/>
        <v/>
      </c>
      <c r="Q412" s="133" t="str">
        <f t="shared" ca="1" si="82"/>
        <v/>
      </c>
      <c r="R412" s="133" t="str">
        <f t="shared" ca="1" si="83"/>
        <v/>
      </c>
      <c r="T412" t="str">
        <f t="shared" ca="1" si="84"/>
        <v/>
      </c>
      <c r="U412" s="134" t="str">
        <f t="shared" ca="1" si="85"/>
        <v/>
      </c>
    </row>
    <row r="413" spans="1:21" x14ac:dyDescent="0.3">
      <c r="A413" s="151" t="str">
        <f ca="1">Returns!$A$411</f>
        <v/>
      </c>
      <c r="B413" s="152" t="str">
        <f ca="1">IF($A413="","",Returns!$J$411)</f>
        <v/>
      </c>
      <c r="C413" s="153" t="str">
        <f t="shared" ca="1" si="86"/>
        <v/>
      </c>
      <c r="D413" s="153" t="str">
        <f ca="1">IF($A413="","",MAX($C$7:C413))</f>
        <v/>
      </c>
      <c r="E413" s="154" t="str">
        <f t="shared" ca="1" si="87"/>
        <v/>
      </c>
      <c r="F413" s="152" t="str">
        <f ca="1">IF($A413="","",Returns!$I$411)</f>
        <v/>
      </c>
      <c r="G413" s="153" t="str">
        <f t="shared" ca="1" si="88"/>
        <v/>
      </c>
      <c r="H413" s="153" t="str">
        <f ca="1">IF($A413="","",MAX($G$7:G413))</f>
        <v/>
      </c>
      <c r="I413" s="154" t="str">
        <f t="shared" ca="1" si="89"/>
        <v/>
      </c>
      <c r="J413" s="59" t="str">
        <f t="shared" ca="1" si="90"/>
        <v/>
      </c>
      <c r="K413" s="3"/>
      <c r="L413" t="str">
        <f t="shared" ca="1" si="78"/>
        <v/>
      </c>
      <c r="M413" s="132" t="str">
        <f t="shared" ca="1" si="79"/>
        <v/>
      </c>
      <c r="N413" s="132" t="str">
        <f t="shared" ca="1" si="80"/>
        <v/>
      </c>
      <c r="P413" t="str">
        <f t="shared" ca="1" si="81"/>
        <v/>
      </c>
      <c r="Q413" s="133" t="str">
        <f t="shared" ca="1" si="82"/>
        <v/>
      </c>
      <c r="R413" s="133" t="str">
        <f t="shared" ca="1" si="83"/>
        <v/>
      </c>
      <c r="T413" t="str">
        <f t="shared" ca="1" si="84"/>
        <v/>
      </c>
      <c r="U413" s="134" t="str">
        <f t="shared" ca="1" si="85"/>
        <v/>
      </c>
    </row>
    <row r="414" spans="1:21" x14ac:dyDescent="0.3">
      <c r="A414" s="151" t="str">
        <f ca="1">Returns!$A$412</f>
        <v/>
      </c>
      <c r="B414" s="152" t="str">
        <f ca="1">IF($A414="","",Returns!$J$412)</f>
        <v/>
      </c>
      <c r="C414" s="153" t="str">
        <f t="shared" ca="1" si="86"/>
        <v/>
      </c>
      <c r="D414" s="153" t="str">
        <f ca="1">IF($A414="","",MAX($C$7:C414))</f>
        <v/>
      </c>
      <c r="E414" s="154" t="str">
        <f t="shared" ca="1" si="87"/>
        <v/>
      </c>
      <c r="F414" s="152" t="str">
        <f ca="1">IF($A414="","",Returns!$I$412)</f>
        <v/>
      </c>
      <c r="G414" s="153" t="str">
        <f t="shared" ca="1" si="88"/>
        <v/>
      </c>
      <c r="H414" s="153" t="str">
        <f ca="1">IF($A414="","",MAX($G$7:G414))</f>
        <v/>
      </c>
      <c r="I414" s="154" t="str">
        <f t="shared" ca="1" si="89"/>
        <v/>
      </c>
      <c r="J414" s="59" t="str">
        <f t="shared" ca="1" si="90"/>
        <v/>
      </c>
      <c r="K414" s="3"/>
      <c r="L414" t="str">
        <f t="shared" ca="1" si="78"/>
        <v/>
      </c>
      <c r="M414" s="132" t="str">
        <f t="shared" ca="1" si="79"/>
        <v/>
      </c>
      <c r="N414" s="132" t="str">
        <f t="shared" ca="1" si="80"/>
        <v/>
      </c>
      <c r="P414" t="str">
        <f t="shared" ca="1" si="81"/>
        <v/>
      </c>
      <c r="Q414" s="133" t="str">
        <f t="shared" ca="1" si="82"/>
        <v/>
      </c>
      <c r="R414" s="133" t="str">
        <f t="shared" ca="1" si="83"/>
        <v/>
      </c>
      <c r="T414" t="str">
        <f t="shared" ca="1" si="84"/>
        <v/>
      </c>
      <c r="U414" s="134" t="str">
        <f t="shared" ca="1" si="85"/>
        <v/>
      </c>
    </row>
    <row r="415" spans="1:21" x14ac:dyDescent="0.3">
      <c r="A415" s="151" t="str">
        <f ca="1">Returns!$A$413</f>
        <v/>
      </c>
      <c r="B415" s="152" t="str">
        <f ca="1">IF($A415="","",Returns!$J$413)</f>
        <v/>
      </c>
      <c r="C415" s="153" t="str">
        <f t="shared" ca="1" si="86"/>
        <v/>
      </c>
      <c r="D415" s="153" t="str">
        <f ca="1">IF($A415="","",MAX($C$7:C415))</f>
        <v/>
      </c>
      <c r="E415" s="154" t="str">
        <f t="shared" ca="1" si="87"/>
        <v/>
      </c>
      <c r="F415" s="152" t="str">
        <f ca="1">IF($A415="","",Returns!$I$413)</f>
        <v/>
      </c>
      <c r="G415" s="153" t="str">
        <f t="shared" ca="1" si="88"/>
        <v/>
      </c>
      <c r="H415" s="153" t="str">
        <f ca="1">IF($A415="","",MAX($G$7:G415))</f>
        <v/>
      </c>
      <c r="I415" s="154" t="str">
        <f t="shared" ca="1" si="89"/>
        <v/>
      </c>
      <c r="J415" s="59" t="str">
        <f t="shared" ca="1" si="90"/>
        <v/>
      </c>
      <c r="K415" s="3"/>
      <c r="L415" t="str">
        <f t="shared" ca="1" si="78"/>
        <v/>
      </c>
      <c r="M415" s="132" t="str">
        <f t="shared" ca="1" si="79"/>
        <v/>
      </c>
      <c r="N415" s="132" t="str">
        <f t="shared" ca="1" si="80"/>
        <v/>
      </c>
      <c r="P415" t="str">
        <f t="shared" ca="1" si="81"/>
        <v/>
      </c>
      <c r="Q415" s="133" t="str">
        <f t="shared" ca="1" si="82"/>
        <v/>
      </c>
      <c r="R415" s="133" t="str">
        <f t="shared" ca="1" si="83"/>
        <v/>
      </c>
      <c r="T415" t="str">
        <f t="shared" ca="1" si="84"/>
        <v/>
      </c>
      <c r="U415" s="134" t="str">
        <f t="shared" ca="1" si="85"/>
        <v/>
      </c>
    </row>
    <row r="416" spans="1:21" x14ac:dyDescent="0.3">
      <c r="A416" s="151" t="str">
        <f ca="1">Returns!$A$414</f>
        <v/>
      </c>
      <c r="B416" s="152" t="str">
        <f ca="1">IF($A416="","",Returns!$J$414)</f>
        <v/>
      </c>
      <c r="C416" s="153" t="str">
        <f t="shared" ca="1" si="86"/>
        <v/>
      </c>
      <c r="D416" s="153" t="str">
        <f ca="1">IF($A416="","",MAX($C$7:C416))</f>
        <v/>
      </c>
      <c r="E416" s="154" t="str">
        <f t="shared" ca="1" si="87"/>
        <v/>
      </c>
      <c r="F416" s="152" t="str">
        <f ca="1">IF($A416="","",Returns!$I$414)</f>
        <v/>
      </c>
      <c r="G416" s="153" t="str">
        <f t="shared" ca="1" si="88"/>
        <v/>
      </c>
      <c r="H416" s="153" t="str">
        <f ca="1">IF($A416="","",MAX($G$7:G416))</f>
        <v/>
      </c>
      <c r="I416" s="154" t="str">
        <f t="shared" ca="1" si="89"/>
        <v/>
      </c>
      <c r="J416" s="59" t="str">
        <f t="shared" ca="1" si="90"/>
        <v/>
      </c>
      <c r="K416" s="3"/>
      <c r="L416" t="str">
        <f t="shared" ca="1" si="78"/>
        <v/>
      </c>
      <c r="M416" s="132" t="str">
        <f t="shared" ca="1" si="79"/>
        <v/>
      </c>
      <c r="N416" s="132" t="str">
        <f t="shared" ca="1" si="80"/>
        <v/>
      </c>
      <c r="P416" t="str">
        <f t="shared" ca="1" si="81"/>
        <v/>
      </c>
      <c r="Q416" s="133" t="str">
        <f t="shared" ca="1" si="82"/>
        <v/>
      </c>
      <c r="R416" s="133" t="str">
        <f t="shared" ca="1" si="83"/>
        <v/>
      </c>
      <c r="T416" t="str">
        <f t="shared" ca="1" si="84"/>
        <v/>
      </c>
      <c r="U416" s="134" t="str">
        <f t="shared" ca="1" si="85"/>
        <v/>
      </c>
    </row>
    <row r="417" spans="1:21" x14ac:dyDescent="0.3">
      <c r="A417" s="151" t="str">
        <f ca="1">Returns!$A$415</f>
        <v/>
      </c>
      <c r="B417" s="152" t="str">
        <f ca="1">IF($A417="","",Returns!$J$415)</f>
        <v/>
      </c>
      <c r="C417" s="153" t="str">
        <f t="shared" ca="1" si="86"/>
        <v/>
      </c>
      <c r="D417" s="153" t="str">
        <f ca="1">IF($A417="","",MAX($C$7:C417))</f>
        <v/>
      </c>
      <c r="E417" s="154" t="str">
        <f t="shared" ca="1" si="87"/>
        <v/>
      </c>
      <c r="F417" s="152" t="str">
        <f ca="1">IF($A417="","",Returns!$I$415)</f>
        <v/>
      </c>
      <c r="G417" s="153" t="str">
        <f t="shared" ca="1" si="88"/>
        <v/>
      </c>
      <c r="H417" s="153" t="str">
        <f ca="1">IF($A417="","",MAX($G$7:G417))</f>
        <v/>
      </c>
      <c r="I417" s="154" t="str">
        <f t="shared" ca="1" si="89"/>
        <v/>
      </c>
      <c r="J417" s="59" t="str">
        <f t="shared" ca="1" si="90"/>
        <v/>
      </c>
      <c r="K417" s="3"/>
      <c r="L417" t="str">
        <f t="shared" ca="1" si="78"/>
        <v/>
      </c>
      <c r="M417" s="132" t="str">
        <f t="shared" ca="1" si="79"/>
        <v/>
      </c>
      <c r="N417" s="132" t="str">
        <f t="shared" ca="1" si="80"/>
        <v/>
      </c>
      <c r="P417" t="str">
        <f t="shared" ca="1" si="81"/>
        <v/>
      </c>
      <c r="Q417" s="133" t="str">
        <f t="shared" ca="1" si="82"/>
        <v/>
      </c>
      <c r="R417" s="133" t="str">
        <f t="shared" ca="1" si="83"/>
        <v/>
      </c>
      <c r="T417" t="str">
        <f t="shared" ca="1" si="84"/>
        <v/>
      </c>
      <c r="U417" s="134" t="str">
        <f t="shared" ca="1" si="85"/>
        <v/>
      </c>
    </row>
    <row r="418" spans="1:21" x14ac:dyDescent="0.3">
      <c r="A418" s="151" t="str">
        <f ca="1">Returns!$A$416</f>
        <v/>
      </c>
      <c r="B418" s="152" t="str">
        <f ca="1">IF($A418="","",Returns!$J$416)</f>
        <v/>
      </c>
      <c r="C418" s="153" t="str">
        <f t="shared" ca="1" si="86"/>
        <v/>
      </c>
      <c r="D418" s="153" t="str">
        <f ca="1">IF($A418="","",MAX($C$7:C418))</f>
        <v/>
      </c>
      <c r="E418" s="154" t="str">
        <f t="shared" ca="1" si="87"/>
        <v/>
      </c>
      <c r="F418" s="152" t="str">
        <f ca="1">IF($A418="","",Returns!$I$416)</f>
        <v/>
      </c>
      <c r="G418" s="153" t="str">
        <f t="shared" ca="1" si="88"/>
        <v/>
      </c>
      <c r="H418" s="153" t="str">
        <f ca="1">IF($A418="","",MAX($G$7:G418))</f>
        <v/>
      </c>
      <c r="I418" s="154" t="str">
        <f t="shared" ca="1" si="89"/>
        <v/>
      </c>
      <c r="J418" s="59" t="str">
        <f t="shared" ca="1" si="90"/>
        <v/>
      </c>
      <c r="K418" s="3"/>
      <c r="L418" t="str">
        <f t="shared" ca="1" si="78"/>
        <v/>
      </c>
      <c r="M418" s="132" t="str">
        <f t="shared" ca="1" si="79"/>
        <v/>
      </c>
      <c r="N418" s="132" t="str">
        <f t="shared" ca="1" si="80"/>
        <v/>
      </c>
      <c r="P418" t="str">
        <f t="shared" ca="1" si="81"/>
        <v/>
      </c>
      <c r="Q418" s="133" t="str">
        <f t="shared" ca="1" si="82"/>
        <v/>
      </c>
      <c r="R418" s="133" t="str">
        <f t="shared" ca="1" si="83"/>
        <v/>
      </c>
      <c r="T418" t="str">
        <f t="shared" ca="1" si="84"/>
        <v/>
      </c>
      <c r="U418" s="134" t="str">
        <f t="shared" ca="1" si="85"/>
        <v/>
      </c>
    </row>
    <row r="419" spans="1:21" x14ac:dyDescent="0.3">
      <c r="A419" s="151" t="str">
        <f ca="1">Returns!$A$417</f>
        <v/>
      </c>
      <c r="B419" s="152" t="str">
        <f ca="1">IF($A419="","",Returns!$J$417)</f>
        <v/>
      </c>
      <c r="C419" s="153" t="str">
        <f t="shared" ca="1" si="86"/>
        <v/>
      </c>
      <c r="D419" s="153" t="str">
        <f ca="1">IF($A419="","",MAX($C$7:C419))</f>
        <v/>
      </c>
      <c r="E419" s="154" t="str">
        <f t="shared" ca="1" si="87"/>
        <v/>
      </c>
      <c r="F419" s="152" t="str">
        <f ca="1">IF($A419="","",Returns!$I$417)</f>
        <v/>
      </c>
      <c r="G419" s="153" t="str">
        <f t="shared" ca="1" si="88"/>
        <v/>
      </c>
      <c r="H419" s="153" t="str">
        <f ca="1">IF($A419="","",MAX($G$7:G419))</f>
        <v/>
      </c>
      <c r="I419" s="154" t="str">
        <f t="shared" ca="1" si="89"/>
        <v/>
      </c>
      <c r="J419" s="59" t="str">
        <f t="shared" ca="1" si="90"/>
        <v/>
      </c>
      <c r="K419" s="3"/>
      <c r="L419" t="str">
        <f t="shared" ca="1" si="78"/>
        <v/>
      </c>
      <c r="M419" s="132" t="str">
        <f t="shared" ca="1" si="79"/>
        <v/>
      </c>
      <c r="N419" s="132" t="str">
        <f t="shared" ca="1" si="80"/>
        <v/>
      </c>
      <c r="P419" t="str">
        <f t="shared" ca="1" si="81"/>
        <v/>
      </c>
      <c r="Q419" s="133" t="str">
        <f t="shared" ca="1" si="82"/>
        <v/>
      </c>
      <c r="R419" s="133" t="str">
        <f t="shared" ca="1" si="83"/>
        <v/>
      </c>
      <c r="T419" t="str">
        <f t="shared" ca="1" si="84"/>
        <v/>
      </c>
      <c r="U419" s="134" t="str">
        <f t="shared" ca="1" si="85"/>
        <v/>
      </c>
    </row>
    <row r="420" spans="1:21" x14ac:dyDescent="0.3">
      <c r="A420" s="151" t="str">
        <f ca="1">Returns!$A$418</f>
        <v/>
      </c>
      <c r="B420" s="152" t="str">
        <f ca="1">IF($A420="","",Returns!$J$418)</f>
        <v/>
      </c>
      <c r="C420" s="153" t="str">
        <f t="shared" ca="1" si="86"/>
        <v/>
      </c>
      <c r="D420" s="153" t="str">
        <f ca="1">IF($A420="","",MAX($C$7:C420))</f>
        <v/>
      </c>
      <c r="E420" s="154" t="str">
        <f t="shared" ca="1" si="87"/>
        <v/>
      </c>
      <c r="F420" s="152" t="str">
        <f ca="1">IF($A420="","",Returns!$I$418)</f>
        <v/>
      </c>
      <c r="G420" s="153" t="str">
        <f t="shared" ca="1" si="88"/>
        <v/>
      </c>
      <c r="H420" s="153" t="str">
        <f ca="1">IF($A420="","",MAX($G$7:G420))</f>
        <v/>
      </c>
      <c r="I420" s="154" t="str">
        <f t="shared" ca="1" si="89"/>
        <v/>
      </c>
      <c r="J420" s="59" t="str">
        <f t="shared" ca="1" si="90"/>
        <v/>
      </c>
      <c r="K420" s="3"/>
      <c r="L420" t="str">
        <f t="shared" ca="1" si="78"/>
        <v/>
      </c>
      <c r="M420" s="132" t="str">
        <f t="shared" ca="1" si="79"/>
        <v/>
      </c>
      <c r="N420" s="132" t="str">
        <f t="shared" ca="1" si="80"/>
        <v/>
      </c>
      <c r="P420" t="str">
        <f t="shared" ca="1" si="81"/>
        <v/>
      </c>
      <c r="Q420" s="133" t="str">
        <f t="shared" ca="1" si="82"/>
        <v/>
      </c>
      <c r="R420" s="133" t="str">
        <f t="shared" ca="1" si="83"/>
        <v/>
      </c>
      <c r="T420" t="str">
        <f t="shared" ca="1" si="84"/>
        <v/>
      </c>
      <c r="U420" s="134" t="str">
        <f t="shared" ca="1" si="85"/>
        <v/>
      </c>
    </row>
    <row r="421" spans="1:21" x14ac:dyDescent="0.3">
      <c r="A421" s="151" t="str">
        <f ca="1">Returns!$A$419</f>
        <v/>
      </c>
      <c r="B421" s="152" t="str">
        <f ca="1">IF($A421="","",Returns!$J$419)</f>
        <v/>
      </c>
      <c r="C421" s="153" t="str">
        <f t="shared" ca="1" si="86"/>
        <v/>
      </c>
      <c r="D421" s="153" t="str">
        <f ca="1">IF($A421="","",MAX($C$7:C421))</f>
        <v/>
      </c>
      <c r="E421" s="154" t="str">
        <f t="shared" ca="1" si="87"/>
        <v/>
      </c>
      <c r="F421" s="152" t="str">
        <f ca="1">IF($A421="","",Returns!$I$419)</f>
        <v/>
      </c>
      <c r="G421" s="153" t="str">
        <f t="shared" ca="1" si="88"/>
        <v/>
      </c>
      <c r="H421" s="153" t="str">
        <f ca="1">IF($A421="","",MAX($G$7:G421))</f>
        <v/>
      </c>
      <c r="I421" s="154" t="str">
        <f t="shared" ca="1" si="89"/>
        <v/>
      </c>
      <c r="J421" s="59" t="str">
        <f t="shared" ca="1" si="90"/>
        <v/>
      </c>
      <c r="K421" s="3"/>
      <c r="L421" t="str">
        <f t="shared" ca="1" si="78"/>
        <v/>
      </c>
      <c r="M421" s="132" t="str">
        <f t="shared" ca="1" si="79"/>
        <v/>
      </c>
      <c r="N421" s="132" t="str">
        <f t="shared" ca="1" si="80"/>
        <v/>
      </c>
      <c r="P421" t="str">
        <f t="shared" ca="1" si="81"/>
        <v/>
      </c>
      <c r="Q421" s="133" t="str">
        <f t="shared" ca="1" si="82"/>
        <v/>
      </c>
      <c r="R421" s="133" t="str">
        <f t="shared" ca="1" si="83"/>
        <v/>
      </c>
      <c r="T421" t="str">
        <f t="shared" ca="1" si="84"/>
        <v/>
      </c>
      <c r="U421" s="134" t="str">
        <f t="shared" ca="1" si="85"/>
        <v/>
      </c>
    </row>
    <row r="422" spans="1:21" x14ac:dyDescent="0.3">
      <c r="A422" s="151" t="str">
        <f ca="1">Returns!$A$420</f>
        <v/>
      </c>
      <c r="B422" s="152" t="str">
        <f ca="1">IF($A422="","",Returns!$J$420)</f>
        <v/>
      </c>
      <c r="C422" s="153" t="str">
        <f t="shared" ca="1" si="86"/>
        <v/>
      </c>
      <c r="D422" s="153" t="str">
        <f ca="1">IF($A422="","",MAX($C$7:C422))</f>
        <v/>
      </c>
      <c r="E422" s="154" t="str">
        <f t="shared" ca="1" si="87"/>
        <v/>
      </c>
      <c r="F422" s="152" t="str">
        <f ca="1">IF($A422="","",Returns!$I$420)</f>
        <v/>
      </c>
      <c r="G422" s="153" t="str">
        <f t="shared" ca="1" si="88"/>
        <v/>
      </c>
      <c r="H422" s="153" t="str">
        <f ca="1">IF($A422="","",MAX($G$7:G422))</f>
        <v/>
      </c>
      <c r="I422" s="154" t="str">
        <f t="shared" ca="1" si="89"/>
        <v/>
      </c>
      <c r="J422" s="59" t="str">
        <f t="shared" ca="1" si="90"/>
        <v/>
      </c>
      <c r="K422" s="3"/>
      <c r="L422" t="str">
        <f t="shared" ca="1" si="78"/>
        <v/>
      </c>
      <c r="M422" s="132" t="str">
        <f t="shared" ca="1" si="79"/>
        <v/>
      </c>
      <c r="N422" s="132" t="str">
        <f t="shared" ca="1" si="80"/>
        <v/>
      </c>
      <c r="P422" t="str">
        <f t="shared" ca="1" si="81"/>
        <v/>
      </c>
      <c r="Q422" s="133" t="str">
        <f t="shared" ca="1" si="82"/>
        <v/>
      </c>
      <c r="R422" s="133" t="str">
        <f t="shared" ca="1" si="83"/>
        <v/>
      </c>
      <c r="T422" t="str">
        <f t="shared" ca="1" si="84"/>
        <v/>
      </c>
      <c r="U422" s="134" t="str">
        <f t="shared" ca="1" si="85"/>
        <v/>
      </c>
    </row>
    <row r="423" spans="1:21" x14ac:dyDescent="0.3">
      <c r="A423" s="151" t="str">
        <f ca="1">Returns!$A$421</f>
        <v/>
      </c>
      <c r="B423" s="152" t="str">
        <f ca="1">IF($A423="","",Returns!$J$421)</f>
        <v/>
      </c>
      <c r="C423" s="153" t="str">
        <f t="shared" ca="1" si="86"/>
        <v/>
      </c>
      <c r="D423" s="153" t="str">
        <f ca="1">IF($A423="","",MAX($C$7:C423))</f>
        <v/>
      </c>
      <c r="E423" s="154" t="str">
        <f t="shared" ca="1" si="87"/>
        <v/>
      </c>
      <c r="F423" s="152" t="str">
        <f ca="1">IF($A423="","",Returns!$I$421)</f>
        <v/>
      </c>
      <c r="G423" s="153" t="str">
        <f t="shared" ca="1" si="88"/>
        <v/>
      </c>
      <c r="H423" s="153" t="str">
        <f ca="1">IF($A423="","",MAX($G$7:G423))</f>
        <v/>
      </c>
      <c r="I423" s="154" t="str">
        <f t="shared" ca="1" si="89"/>
        <v/>
      </c>
      <c r="J423" s="59" t="str">
        <f t="shared" ca="1" si="90"/>
        <v/>
      </c>
      <c r="K423" s="3"/>
      <c r="L423" t="str">
        <f t="shared" ca="1" si="78"/>
        <v/>
      </c>
      <c r="M423" s="132" t="str">
        <f t="shared" ca="1" si="79"/>
        <v/>
      </c>
      <c r="N423" s="132" t="str">
        <f t="shared" ca="1" si="80"/>
        <v/>
      </c>
      <c r="P423" t="str">
        <f t="shared" ca="1" si="81"/>
        <v/>
      </c>
      <c r="Q423" s="133" t="str">
        <f t="shared" ca="1" si="82"/>
        <v/>
      </c>
      <c r="R423" s="133" t="str">
        <f t="shared" ca="1" si="83"/>
        <v/>
      </c>
      <c r="T423" t="str">
        <f t="shared" ca="1" si="84"/>
        <v/>
      </c>
      <c r="U423" s="134" t="str">
        <f t="shared" ca="1" si="85"/>
        <v/>
      </c>
    </row>
    <row r="424" spans="1:21" x14ac:dyDescent="0.3">
      <c r="A424" s="151" t="str">
        <f ca="1">Returns!$A$422</f>
        <v/>
      </c>
      <c r="B424" s="152" t="str">
        <f ca="1">IF($A424="","",Returns!$J$422)</f>
        <v/>
      </c>
      <c r="C424" s="153" t="str">
        <f t="shared" ca="1" si="86"/>
        <v/>
      </c>
      <c r="D424" s="153" t="str">
        <f ca="1">IF($A424="","",MAX($C$7:C424))</f>
        <v/>
      </c>
      <c r="E424" s="154" t="str">
        <f t="shared" ca="1" si="87"/>
        <v/>
      </c>
      <c r="F424" s="152" t="str">
        <f ca="1">IF($A424="","",Returns!$I$422)</f>
        <v/>
      </c>
      <c r="G424" s="153" t="str">
        <f t="shared" ca="1" si="88"/>
        <v/>
      </c>
      <c r="H424" s="153" t="str">
        <f ca="1">IF($A424="","",MAX($G$7:G424))</f>
        <v/>
      </c>
      <c r="I424" s="154" t="str">
        <f t="shared" ca="1" si="89"/>
        <v/>
      </c>
      <c r="J424" s="59" t="str">
        <f t="shared" ca="1" si="90"/>
        <v/>
      </c>
      <c r="K424" s="3"/>
      <c r="L424" t="str">
        <f t="shared" ca="1" si="78"/>
        <v/>
      </c>
      <c r="M424" s="132" t="str">
        <f t="shared" ca="1" si="79"/>
        <v/>
      </c>
      <c r="N424" s="132" t="str">
        <f t="shared" ca="1" si="80"/>
        <v/>
      </c>
      <c r="P424" t="str">
        <f t="shared" ca="1" si="81"/>
        <v/>
      </c>
      <c r="Q424" s="133" t="str">
        <f t="shared" ca="1" si="82"/>
        <v/>
      </c>
      <c r="R424" s="133" t="str">
        <f t="shared" ca="1" si="83"/>
        <v/>
      </c>
      <c r="T424" t="str">
        <f t="shared" ca="1" si="84"/>
        <v/>
      </c>
      <c r="U424" s="134" t="str">
        <f t="shared" ca="1" si="85"/>
        <v/>
      </c>
    </row>
    <row r="425" spans="1:21" x14ac:dyDescent="0.3">
      <c r="A425" s="151" t="str">
        <f ca="1">Returns!$A$423</f>
        <v/>
      </c>
      <c r="B425" s="152" t="str">
        <f ca="1">IF($A425="","",Returns!$J$423)</f>
        <v/>
      </c>
      <c r="C425" s="153" t="str">
        <f t="shared" ca="1" si="86"/>
        <v/>
      </c>
      <c r="D425" s="153" t="str">
        <f ca="1">IF($A425="","",MAX($C$7:C425))</f>
        <v/>
      </c>
      <c r="E425" s="154" t="str">
        <f t="shared" ca="1" si="87"/>
        <v/>
      </c>
      <c r="F425" s="152" t="str">
        <f ca="1">IF($A425="","",Returns!$I$423)</f>
        <v/>
      </c>
      <c r="G425" s="153" t="str">
        <f t="shared" ca="1" si="88"/>
        <v/>
      </c>
      <c r="H425" s="153" t="str">
        <f ca="1">IF($A425="","",MAX($G$7:G425))</f>
        <v/>
      </c>
      <c r="I425" s="154" t="str">
        <f t="shared" ca="1" si="89"/>
        <v/>
      </c>
      <c r="J425" s="59" t="str">
        <f t="shared" ca="1" si="90"/>
        <v/>
      </c>
      <c r="K425" s="3"/>
      <c r="L425" t="str">
        <f t="shared" ca="1" si="78"/>
        <v/>
      </c>
      <c r="M425" s="132" t="str">
        <f t="shared" ca="1" si="79"/>
        <v/>
      </c>
      <c r="N425" s="132" t="str">
        <f t="shared" ca="1" si="80"/>
        <v/>
      </c>
      <c r="P425" t="str">
        <f t="shared" ca="1" si="81"/>
        <v/>
      </c>
      <c r="Q425" s="133" t="str">
        <f t="shared" ca="1" si="82"/>
        <v/>
      </c>
      <c r="R425" s="133" t="str">
        <f t="shared" ca="1" si="83"/>
        <v/>
      </c>
      <c r="T425" t="str">
        <f t="shared" ca="1" si="84"/>
        <v/>
      </c>
      <c r="U425" s="134" t="str">
        <f t="shared" ca="1" si="85"/>
        <v/>
      </c>
    </row>
    <row r="426" spans="1:21" x14ac:dyDescent="0.3">
      <c r="A426" s="151" t="str">
        <f ca="1">Returns!$A$424</f>
        <v/>
      </c>
      <c r="B426" s="152" t="str">
        <f ca="1">IF($A426="","",Returns!$J$424)</f>
        <v/>
      </c>
      <c r="C426" s="153" t="str">
        <f t="shared" ca="1" si="86"/>
        <v/>
      </c>
      <c r="D426" s="153" t="str">
        <f ca="1">IF($A426="","",MAX($C$7:C426))</f>
        <v/>
      </c>
      <c r="E426" s="154" t="str">
        <f t="shared" ca="1" si="87"/>
        <v/>
      </c>
      <c r="F426" s="152" t="str">
        <f ca="1">IF($A426="","",Returns!$I$424)</f>
        <v/>
      </c>
      <c r="G426" s="153" t="str">
        <f t="shared" ca="1" si="88"/>
        <v/>
      </c>
      <c r="H426" s="153" t="str">
        <f ca="1">IF($A426="","",MAX($G$7:G426))</f>
        <v/>
      </c>
      <c r="I426" s="154" t="str">
        <f t="shared" ca="1" si="89"/>
        <v/>
      </c>
      <c r="J426" s="59" t="str">
        <f t="shared" ca="1" si="90"/>
        <v/>
      </c>
      <c r="K426" s="3"/>
      <c r="L426" t="str">
        <f t="shared" ca="1" si="78"/>
        <v/>
      </c>
      <c r="M426" s="132" t="str">
        <f t="shared" ca="1" si="79"/>
        <v/>
      </c>
      <c r="N426" s="132" t="str">
        <f t="shared" ca="1" si="80"/>
        <v/>
      </c>
      <c r="P426" t="str">
        <f t="shared" ca="1" si="81"/>
        <v/>
      </c>
      <c r="Q426" s="133" t="str">
        <f t="shared" ca="1" si="82"/>
        <v/>
      </c>
      <c r="R426" s="133" t="str">
        <f t="shared" ca="1" si="83"/>
        <v/>
      </c>
      <c r="T426" t="str">
        <f t="shared" ca="1" si="84"/>
        <v/>
      </c>
      <c r="U426" s="134" t="str">
        <f t="shared" ca="1" si="85"/>
        <v/>
      </c>
    </row>
    <row r="427" spans="1:21" x14ac:dyDescent="0.3">
      <c r="A427" s="151" t="str">
        <f ca="1">Returns!$A$425</f>
        <v/>
      </c>
      <c r="B427" s="152" t="str">
        <f ca="1">IF($A427="","",Returns!$J$425)</f>
        <v/>
      </c>
      <c r="C427" s="153" t="str">
        <f t="shared" ca="1" si="86"/>
        <v/>
      </c>
      <c r="D427" s="153" t="str">
        <f ca="1">IF($A427="","",MAX($C$7:C427))</f>
        <v/>
      </c>
      <c r="E427" s="154" t="str">
        <f t="shared" ca="1" si="87"/>
        <v/>
      </c>
      <c r="F427" s="152" t="str">
        <f ca="1">IF($A427="","",Returns!$I$425)</f>
        <v/>
      </c>
      <c r="G427" s="153" t="str">
        <f t="shared" ca="1" si="88"/>
        <v/>
      </c>
      <c r="H427" s="153" t="str">
        <f ca="1">IF($A427="","",MAX($G$7:G427))</f>
        <v/>
      </c>
      <c r="I427" s="154" t="str">
        <f t="shared" ca="1" si="89"/>
        <v/>
      </c>
      <c r="J427" s="59" t="str">
        <f t="shared" ca="1" si="90"/>
        <v/>
      </c>
      <c r="K427" s="3"/>
      <c r="L427" t="str">
        <f t="shared" ca="1" si="78"/>
        <v/>
      </c>
      <c r="M427" s="132" t="str">
        <f t="shared" ca="1" si="79"/>
        <v/>
      </c>
      <c r="N427" s="132" t="str">
        <f t="shared" ca="1" si="80"/>
        <v/>
      </c>
      <c r="P427" t="str">
        <f t="shared" ca="1" si="81"/>
        <v/>
      </c>
      <c r="Q427" s="133" t="str">
        <f t="shared" ca="1" si="82"/>
        <v/>
      </c>
      <c r="R427" s="133" t="str">
        <f t="shared" ca="1" si="83"/>
        <v/>
      </c>
      <c r="T427" t="str">
        <f t="shared" ca="1" si="84"/>
        <v/>
      </c>
      <c r="U427" s="134" t="str">
        <f t="shared" ca="1" si="85"/>
        <v/>
      </c>
    </row>
    <row r="428" spans="1:21" x14ac:dyDescent="0.3">
      <c r="A428" s="151" t="str">
        <f ca="1">Returns!$A$426</f>
        <v/>
      </c>
      <c r="B428" s="152" t="str">
        <f ca="1">IF($A428="","",Returns!$J$426)</f>
        <v/>
      </c>
      <c r="C428" s="153" t="str">
        <f t="shared" ca="1" si="86"/>
        <v/>
      </c>
      <c r="D428" s="153" t="str">
        <f ca="1">IF($A428="","",MAX($C$7:C428))</f>
        <v/>
      </c>
      <c r="E428" s="154" t="str">
        <f t="shared" ca="1" si="87"/>
        <v/>
      </c>
      <c r="F428" s="152" t="str">
        <f ca="1">IF($A428="","",Returns!$I$426)</f>
        <v/>
      </c>
      <c r="G428" s="153" t="str">
        <f t="shared" ca="1" si="88"/>
        <v/>
      </c>
      <c r="H428" s="153" t="str">
        <f ca="1">IF($A428="","",MAX($G$7:G428))</f>
        <v/>
      </c>
      <c r="I428" s="154" t="str">
        <f t="shared" ca="1" si="89"/>
        <v/>
      </c>
      <c r="J428" s="59" t="str">
        <f t="shared" ca="1" si="90"/>
        <v/>
      </c>
      <c r="K428" s="3"/>
      <c r="L428" t="str">
        <f t="shared" ca="1" si="78"/>
        <v/>
      </c>
      <c r="M428" s="132" t="str">
        <f t="shared" ca="1" si="79"/>
        <v/>
      </c>
      <c r="N428" s="132" t="str">
        <f t="shared" ca="1" si="80"/>
        <v/>
      </c>
      <c r="P428" t="str">
        <f t="shared" ca="1" si="81"/>
        <v/>
      </c>
      <c r="Q428" s="133" t="str">
        <f t="shared" ca="1" si="82"/>
        <v/>
      </c>
      <c r="R428" s="133" t="str">
        <f t="shared" ca="1" si="83"/>
        <v/>
      </c>
      <c r="T428" t="str">
        <f t="shared" ca="1" si="84"/>
        <v/>
      </c>
      <c r="U428" s="134" t="str">
        <f t="shared" ca="1" si="85"/>
        <v/>
      </c>
    </row>
    <row r="429" spans="1:21" x14ac:dyDescent="0.3">
      <c r="A429" s="151" t="str">
        <f ca="1">Returns!$A$427</f>
        <v/>
      </c>
      <c r="B429" s="152" t="str">
        <f ca="1">IF($A429="","",Returns!$J$427)</f>
        <v/>
      </c>
      <c r="C429" s="153" t="str">
        <f t="shared" ca="1" si="86"/>
        <v/>
      </c>
      <c r="D429" s="153" t="str">
        <f ca="1">IF($A429="","",MAX($C$7:C429))</f>
        <v/>
      </c>
      <c r="E429" s="154" t="str">
        <f t="shared" ca="1" si="87"/>
        <v/>
      </c>
      <c r="F429" s="152" t="str">
        <f ca="1">IF($A429="","",Returns!$I$427)</f>
        <v/>
      </c>
      <c r="G429" s="153" t="str">
        <f t="shared" ca="1" si="88"/>
        <v/>
      </c>
      <c r="H429" s="153" t="str">
        <f ca="1">IF($A429="","",MAX($G$7:G429))</f>
        <v/>
      </c>
      <c r="I429" s="154" t="str">
        <f t="shared" ca="1" si="89"/>
        <v/>
      </c>
      <c r="J429" s="59" t="str">
        <f t="shared" ca="1" si="90"/>
        <v/>
      </c>
      <c r="K429" s="3"/>
      <c r="L429" t="str">
        <f t="shared" ca="1" si="78"/>
        <v/>
      </c>
      <c r="M429" s="132" t="str">
        <f t="shared" ca="1" si="79"/>
        <v/>
      </c>
      <c r="N429" s="132" t="str">
        <f t="shared" ca="1" si="80"/>
        <v/>
      </c>
      <c r="P429" t="str">
        <f t="shared" ca="1" si="81"/>
        <v/>
      </c>
      <c r="Q429" s="133" t="str">
        <f t="shared" ca="1" si="82"/>
        <v/>
      </c>
      <c r="R429" s="133" t="str">
        <f t="shared" ca="1" si="83"/>
        <v/>
      </c>
      <c r="T429" t="str">
        <f t="shared" ca="1" si="84"/>
        <v/>
      </c>
      <c r="U429" s="134" t="str">
        <f t="shared" ca="1" si="85"/>
        <v/>
      </c>
    </row>
    <row r="430" spans="1:21" x14ac:dyDescent="0.3">
      <c r="A430" s="151" t="str">
        <f ca="1">Returns!$A$428</f>
        <v/>
      </c>
      <c r="B430" s="152" t="str">
        <f ca="1">IF($A430="","",Returns!$J$428)</f>
        <v/>
      </c>
      <c r="C430" s="153" t="str">
        <f t="shared" ca="1" si="86"/>
        <v/>
      </c>
      <c r="D430" s="153" t="str">
        <f ca="1">IF($A430="","",MAX($C$7:C430))</f>
        <v/>
      </c>
      <c r="E430" s="154" t="str">
        <f t="shared" ca="1" si="87"/>
        <v/>
      </c>
      <c r="F430" s="152" t="str">
        <f ca="1">IF($A430="","",Returns!$I$428)</f>
        <v/>
      </c>
      <c r="G430" s="153" t="str">
        <f t="shared" ca="1" si="88"/>
        <v/>
      </c>
      <c r="H430" s="153" t="str">
        <f ca="1">IF($A430="","",MAX($G$7:G430))</f>
        <v/>
      </c>
      <c r="I430" s="154" t="str">
        <f t="shared" ca="1" si="89"/>
        <v/>
      </c>
      <c r="J430" s="59" t="str">
        <f t="shared" ca="1" si="90"/>
        <v/>
      </c>
      <c r="K430" s="3"/>
      <c r="L430" t="str">
        <f t="shared" ca="1" si="78"/>
        <v/>
      </c>
      <c r="M430" s="132" t="str">
        <f t="shared" ca="1" si="79"/>
        <v/>
      </c>
      <c r="N430" s="132" t="str">
        <f t="shared" ca="1" si="80"/>
        <v/>
      </c>
      <c r="P430" t="str">
        <f t="shared" ca="1" si="81"/>
        <v/>
      </c>
      <c r="Q430" s="133" t="str">
        <f t="shared" ca="1" si="82"/>
        <v/>
      </c>
      <c r="R430" s="133" t="str">
        <f t="shared" ca="1" si="83"/>
        <v/>
      </c>
      <c r="T430" t="str">
        <f t="shared" ca="1" si="84"/>
        <v/>
      </c>
      <c r="U430" s="134" t="str">
        <f t="shared" ca="1" si="85"/>
        <v/>
      </c>
    </row>
    <row r="431" spans="1:21" x14ac:dyDescent="0.3">
      <c r="A431" s="151" t="str">
        <f ca="1">Returns!$A$429</f>
        <v/>
      </c>
      <c r="B431" s="152" t="str">
        <f ca="1">IF($A431="","",Returns!$J$429)</f>
        <v/>
      </c>
      <c r="C431" s="153" t="str">
        <f t="shared" ca="1" si="86"/>
        <v/>
      </c>
      <c r="D431" s="153" t="str">
        <f ca="1">IF($A431="","",MAX($C$7:C431))</f>
        <v/>
      </c>
      <c r="E431" s="154" t="str">
        <f t="shared" ca="1" si="87"/>
        <v/>
      </c>
      <c r="F431" s="152" t="str">
        <f ca="1">IF($A431="","",Returns!$I$429)</f>
        <v/>
      </c>
      <c r="G431" s="153" t="str">
        <f t="shared" ca="1" si="88"/>
        <v/>
      </c>
      <c r="H431" s="153" t="str">
        <f ca="1">IF($A431="","",MAX($G$7:G431))</f>
        <v/>
      </c>
      <c r="I431" s="154" t="str">
        <f t="shared" ca="1" si="89"/>
        <v/>
      </c>
      <c r="J431" s="59" t="str">
        <f t="shared" ca="1" si="90"/>
        <v/>
      </c>
      <c r="K431" s="3"/>
      <c r="L431" t="str">
        <f t="shared" ca="1" si="78"/>
        <v/>
      </c>
      <c r="M431" s="132" t="str">
        <f t="shared" ca="1" si="79"/>
        <v/>
      </c>
      <c r="N431" s="132" t="str">
        <f t="shared" ca="1" si="80"/>
        <v/>
      </c>
      <c r="P431" t="str">
        <f t="shared" ca="1" si="81"/>
        <v/>
      </c>
      <c r="Q431" s="133" t="str">
        <f t="shared" ca="1" si="82"/>
        <v/>
      </c>
      <c r="R431" s="133" t="str">
        <f t="shared" ca="1" si="83"/>
        <v/>
      </c>
      <c r="T431" t="str">
        <f t="shared" ca="1" si="84"/>
        <v/>
      </c>
      <c r="U431" s="134" t="str">
        <f t="shared" ca="1" si="85"/>
        <v/>
      </c>
    </row>
    <row r="432" spans="1:21" x14ac:dyDescent="0.3">
      <c r="A432" s="151" t="str">
        <f ca="1">Returns!$A$430</f>
        <v/>
      </c>
      <c r="B432" s="152" t="str">
        <f ca="1">IF($A432="","",Returns!$J$430)</f>
        <v/>
      </c>
      <c r="C432" s="153" t="str">
        <f t="shared" ca="1" si="86"/>
        <v/>
      </c>
      <c r="D432" s="153" t="str">
        <f ca="1">IF($A432="","",MAX($C$7:C432))</f>
        <v/>
      </c>
      <c r="E432" s="154" t="str">
        <f t="shared" ca="1" si="87"/>
        <v/>
      </c>
      <c r="F432" s="152" t="str">
        <f ca="1">IF($A432="","",Returns!$I$430)</f>
        <v/>
      </c>
      <c r="G432" s="153" t="str">
        <f t="shared" ca="1" si="88"/>
        <v/>
      </c>
      <c r="H432" s="153" t="str">
        <f ca="1">IF($A432="","",MAX($G$7:G432))</f>
        <v/>
      </c>
      <c r="I432" s="154" t="str">
        <f t="shared" ca="1" si="89"/>
        <v/>
      </c>
      <c r="J432" s="59" t="str">
        <f t="shared" ca="1" si="90"/>
        <v/>
      </c>
      <c r="K432" s="3"/>
      <c r="L432" t="str">
        <f t="shared" ca="1" si="78"/>
        <v/>
      </c>
      <c r="M432" s="132" t="str">
        <f t="shared" ca="1" si="79"/>
        <v/>
      </c>
      <c r="N432" s="132" t="str">
        <f t="shared" ca="1" si="80"/>
        <v/>
      </c>
      <c r="P432" t="str">
        <f t="shared" ca="1" si="81"/>
        <v/>
      </c>
      <c r="Q432" s="133" t="str">
        <f t="shared" ca="1" si="82"/>
        <v/>
      </c>
      <c r="R432" s="133" t="str">
        <f t="shared" ca="1" si="83"/>
        <v/>
      </c>
      <c r="T432" t="str">
        <f t="shared" ca="1" si="84"/>
        <v/>
      </c>
      <c r="U432" s="134" t="str">
        <f t="shared" ca="1" si="85"/>
        <v/>
      </c>
    </row>
    <row r="433" spans="1:21" x14ac:dyDescent="0.3">
      <c r="A433" s="151" t="str">
        <f ca="1">Returns!$A$431</f>
        <v/>
      </c>
      <c r="B433" s="152" t="str">
        <f ca="1">IF($A433="","",Returns!$J$431)</f>
        <v/>
      </c>
      <c r="C433" s="153" t="str">
        <f t="shared" ca="1" si="86"/>
        <v/>
      </c>
      <c r="D433" s="153" t="str">
        <f ca="1">IF($A433="","",MAX($C$7:C433))</f>
        <v/>
      </c>
      <c r="E433" s="154" t="str">
        <f t="shared" ca="1" si="87"/>
        <v/>
      </c>
      <c r="F433" s="152" t="str">
        <f ca="1">IF($A433="","",Returns!$I$431)</f>
        <v/>
      </c>
      <c r="G433" s="153" t="str">
        <f t="shared" ca="1" si="88"/>
        <v/>
      </c>
      <c r="H433" s="153" t="str">
        <f ca="1">IF($A433="","",MAX($G$7:G433))</f>
        <v/>
      </c>
      <c r="I433" s="154" t="str">
        <f t="shared" ca="1" si="89"/>
        <v/>
      </c>
      <c r="J433" s="59" t="str">
        <f t="shared" ca="1" si="90"/>
        <v/>
      </c>
      <c r="K433" s="3"/>
      <c r="L433" t="str">
        <f t="shared" ca="1" si="78"/>
        <v/>
      </c>
      <c r="M433" s="132" t="str">
        <f t="shared" ca="1" si="79"/>
        <v/>
      </c>
      <c r="N433" s="132" t="str">
        <f t="shared" ca="1" si="80"/>
        <v/>
      </c>
      <c r="P433" t="str">
        <f t="shared" ca="1" si="81"/>
        <v/>
      </c>
      <c r="Q433" s="133" t="str">
        <f t="shared" ca="1" si="82"/>
        <v/>
      </c>
      <c r="R433" s="133" t="str">
        <f t="shared" ca="1" si="83"/>
        <v/>
      </c>
      <c r="T433" t="str">
        <f t="shared" ca="1" si="84"/>
        <v/>
      </c>
      <c r="U433" s="134" t="str">
        <f t="shared" ca="1" si="85"/>
        <v/>
      </c>
    </row>
    <row r="434" spans="1:21" x14ac:dyDescent="0.3">
      <c r="A434" s="151" t="str">
        <f ca="1">Returns!$A$432</f>
        <v/>
      </c>
      <c r="B434" s="152" t="str">
        <f ca="1">IF($A434="","",Returns!$J$432)</f>
        <v/>
      </c>
      <c r="C434" s="153" t="str">
        <f t="shared" ca="1" si="86"/>
        <v/>
      </c>
      <c r="D434" s="153" t="str">
        <f ca="1">IF($A434="","",MAX($C$7:C434))</f>
        <v/>
      </c>
      <c r="E434" s="154" t="str">
        <f t="shared" ca="1" si="87"/>
        <v/>
      </c>
      <c r="F434" s="152" t="str">
        <f ca="1">IF($A434="","",Returns!$I$432)</f>
        <v/>
      </c>
      <c r="G434" s="153" t="str">
        <f t="shared" ca="1" si="88"/>
        <v/>
      </c>
      <c r="H434" s="153" t="str">
        <f ca="1">IF($A434="","",MAX($G$7:G434))</f>
        <v/>
      </c>
      <c r="I434" s="154" t="str">
        <f t="shared" ca="1" si="89"/>
        <v/>
      </c>
      <c r="J434" s="59" t="str">
        <f t="shared" ca="1" si="90"/>
        <v/>
      </c>
      <c r="K434" s="3"/>
      <c r="L434" t="str">
        <f t="shared" ca="1" si="78"/>
        <v/>
      </c>
      <c r="M434" s="132" t="str">
        <f t="shared" ca="1" si="79"/>
        <v/>
      </c>
      <c r="N434" s="132" t="str">
        <f t="shared" ca="1" si="80"/>
        <v/>
      </c>
      <c r="P434" t="str">
        <f t="shared" ca="1" si="81"/>
        <v/>
      </c>
      <c r="Q434" s="133" t="str">
        <f t="shared" ca="1" si="82"/>
        <v/>
      </c>
      <c r="R434" s="133" t="str">
        <f t="shared" ca="1" si="83"/>
        <v/>
      </c>
      <c r="T434" t="str">
        <f t="shared" ca="1" si="84"/>
        <v/>
      </c>
      <c r="U434" s="134" t="str">
        <f t="shared" ca="1" si="85"/>
        <v/>
      </c>
    </row>
    <row r="435" spans="1:21" x14ac:dyDescent="0.3">
      <c r="A435" s="151" t="str">
        <f ca="1">Returns!$A$433</f>
        <v/>
      </c>
      <c r="B435" s="152" t="str">
        <f ca="1">IF($A435="","",Returns!$J$433)</f>
        <v/>
      </c>
      <c r="C435" s="153" t="str">
        <f t="shared" ca="1" si="86"/>
        <v/>
      </c>
      <c r="D435" s="153" t="str">
        <f ca="1">IF($A435="","",MAX($C$7:C435))</f>
        <v/>
      </c>
      <c r="E435" s="154" t="str">
        <f t="shared" ca="1" si="87"/>
        <v/>
      </c>
      <c r="F435" s="152" t="str">
        <f ca="1">IF($A435="","",Returns!$I$433)</f>
        <v/>
      </c>
      <c r="G435" s="153" t="str">
        <f t="shared" ca="1" si="88"/>
        <v/>
      </c>
      <c r="H435" s="153" t="str">
        <f ca="1">IF($A435="","",MAX($G$7:G435))</f>
        <v/>
      </c>
      <c r="I435" s="154" t="str">
        <f t="shared" ca="1" si="89"/>
        <v/>
      </c>
      <c r="J435" s="59" t="str">
        <f t="shared" ca="1" si="90"/>
        <v/>
      </c>
      <c r="K435" s="3"/>
      <c r="L435" t="str">
        <f t="shared" ca="1" si="78"/>
        <v/>
      </c>
      <c r="M435" s="132" t="str">
        <f t="shared" ca="1" si="79"/>
        <v/>
      </c>
      <c r="N435" s="132" t="str">
        <f t="shared" ca="1" si="80"/>
        <v/>
      </c>
      <c r="P435" t="str">
        <f t="shared" ca="1" si="81"/>
        <v/>
      </c>
      <c r="Q435" s="133" t="str">
        <f t="shared" ca="1" si="82"/>
        <v/>
      </c>
      <c r="R435" s="133" t="str">
        <f t="shared" ca="1" si="83"/>
        <v/>
      </c>
      <c r="T435" t="str">
        <f t="shared" ca="1" si="84"/>
        <v/>
      </c>
      <c r="U435" s="134" t="str">
        <f t="shared" ca="1" si="85"/>
        <v/>
      </c>
    </row>
    <row r="436" spans="1:21" x14ac:dyDescent="0.3">
      <c r="A436" s="151" t="str">
        <f ca="1">Returns!$A$434</f>
        <v/>
      </c>
      <c r="B436" s="152" t="str">
        <f ca="1">IF($A436="","",Returns!$J$434)</f>
        <v/>
      </c>
      <c r="C436" s="153" t="str">
        <f t="shared" ca="1" si="86"/>
        <v/>
      </c>
      <c r="D436" s="153" t="str">
        <f ca="1">IF($A436="","",MAX($C$7:C436))</f>
        <v/>
      </c>
      <c r="E436" s="154" t="str">
        <f t="shared" ca="1" si="87"/>
        <v/>
      </c>
      <c r="F436" s="152" t="str">
        <f ca="1">IF($A436="","",Returns!$I$434)</f>
        <v/>
      </c>
      <c r="G436" s="153" t="str">
        <f t="shared" ca="1" si="88"/>
        <v/>
      </c>
      <c r="H436" s="153" t="str">
        <f ca="1">IF($A436="","",MAX($G$7:G436))</f>
        <v/>
      </c>
      <c r="I436" s="154" t="str">
        <f t="shared" ca="1" si="89"/>
        <v/>
      </c>
      <c r="J436" s="59" t="str">
        <f t="shared" ca="1" si="90"/>
        <v/>
      </c>
      <c r="K436" s="3"/>
      <c r="L436" t="str">
        <f t="shared" ca="1" si="78"/>
        <v/>
      </c>
      <c r="M436" s="132" t="str">
        <f t="shared" ca="1" si="79"/>
        <v/>
      </c>
      <c r="N436" s="132" t="str">
        <f t="shared" ca="1" si="80"/>
        <v/>
      </c>
      <c r="P436" t="str">
        <f t="shared" ca="1" si="81"/>
        <v/>
      </c>
      <c r="Q436" s="133" t="str">
        <f t="shared" ca="1" si="82"/>
        <v/>
      </c>
      <c r="R436" s="133" t="str">
        <f t="shared" ca="1" si="83"/>
        <v/>
      </c>
      <c r="T436" t="str">
        <f t="shared" ca="1" si="84"/>
        <v/>
      </c>
      <c r="U436" s="134" t="str">
        <f t="shared" ca="1" si="85"/>
        <v/>
      </c>
    </row>
    <row r="437" spans="1:21" x14ac:dyDescent="0.3">
      <c r="A437" s="151" t="str">
        <f ca="1">Returns!$A$435</f>
        <v/>
      </c>
      <c r="B437" s="152" t="str">
        <f ca="1">IF($A437="","",Returns!$J$435)</f>
        <v/>
      </c>
      <c r="C437" s="153" t="str">
        <f t="shared" ca="1" si="86"/>
        <v/>
      </c>
      <c r="D437" s="153" t="str">
        <f ca="1">IF($A437="","",MAX($C$7:C437))</f>
        <v/>
      </c>
      <c r="E437" s="154" t="str">
        <f t="shared" ca="1" si="87"/>
        <v/>
      </c>
      <c r="F437" s="152" t="str">
        <f ca="1">IF($A437="","",Returns!$I$435)</f>
        <v/>
      </c>
      <c r="G437" s="153" t="str">
        <f t="shared" ca="1" si="88"/>
        <v/>
      </c>
      <c r="H437" s="153" t="str">
        <f ca="1">IF($A437="","",MAX($G$7:G437))</f>
        <v/>
      </c>
      <c r="I437" s="154" t="str">
        <f t="shared" ca="1" si="89"/>
        <v/>
      </c>
      <c r="J437" s="59" t="str">
        <f t="shared" ca="1" si="90"/>
        <v/>
      </c>
      <c r="K437" s="3"/>
      <c r="L437" t="str">
        <f t="shared" ca="1" si="78"/>
        <v/>
      </c>
      <c r="M437" s="132" t="str">
        <f t="shared" ca="1" si="79"/>
        <v/>
      </c>
      <c r="N437" s="132" t="str">
        <f t="shared" ca="1" si="80"/>
        <v/>
      </c>
      <c r="P437" t="str">
        <f t="shared" ca="1" si="81"/>
        <v/>
      </c>
      <c r="Q437" s="133" t="str">
        <f t="shared" ca="1" si="82"/>
        <v/>
      </c>
      <c r="R437" s="133" t="str">
        <f t="shared" ca="1" si="83"/>
        <v/>
      </c>
      <c r="T437" t="str">
        <f t="shared" ca="1" si="84"/>
        <v/>
      </c>
      <c r="U437" s="134" t="str">
        <f t="shared" ca="1" si="85"/>
        <v/>
      </c>
    </row>
    <row r="438" spans="1:21" x14ac:dyDescent="0.3">
      <c r="A438" s="151" t="str">
        <f ca="1">Returns!$A$436</f>
        <v/>
      </c>
      <c r="B438" s="152" t="str">
        <f ca="1">IF($A438="","",Returns!$J$436)</f>
        <v/>
      </c>
      <c r="C438" s="153" t="str">
        <f t="shared" ca="1" si="86"/>
        <v/>
      </c>
      <c r="D438" s="153" t="str">
        <f ca="1">IF($A438="","",MAX($C$7:C438))</f>
        <v/>
      </c>
      <c r="E438" s="154" t="str">
        <f t="shared" ca="1" si="87"/>
        <v/>
      </c>
      <c r="F438" s="152" t="str">
        <f ca="1">IF($A438="","",Returns!$I$436)</f>
        <v/>
      </c>
      <c r="G438" s="153" t="str">
        <f t="shared" ca="1" si="88"/>
        <v/>
      </c>
      <c r="H438" s="153" t="str">
        <f ca="1">IF($A438="","",MAX($G$7:G438))</f>
        <v/>
      </c>
      <c r="I438" s="154" t="str">
        <f t="shared" ca="1" si="89"/>
        <v/>
      </c>
      <c r="J438" s="59" t="str">
        <f t="shared" ca="1" si="90"/>
        <v/>
      </c>
      <c r="K438" s="3"/>
      <c r="L438" t="str">
        <f t="shared" ca="1" si="78"/>
        <v/>
      </c>
      <c r="M438" s="132" t="str">
        <f t="shared" ca="1" si="79"/>
        <v/>
      </c>
      <c r="N438" s="132" t="str">
        <f t="shared" ca="1" si="80"/>
        <v/>
      </c>
      <c r="P438" t="str">
        <f t="shared" ca="1" si="81"/>
        <v/>
      </c>
      <c r="Q438" s="133" t="str">
        <f t="shared" ca="1" si="82"/>
        <v/>
      </c>
      <c r="R438" s="133" t="str">
        <f t="shared" ca="1" si="83"/>
        <v/>
      </c>
      <c r="T438" t="str">
        <f t="shared" ca="1" si="84"/>
        <v/>
      </c>
      <c r="U438" s="134" t="str">
        <f t="shared" ca="1" si="85"/>
        <v/>
      </c>
    </row>
    <row r="439" spans="1:21" x14ac:dyDescent="0.3">
      <c r="A439" s="151" t="str">
        <f ca="1">Returns!$A$437</f>
        <v/>
      </c>
      <c r="B439" s="152" t="str">
        <f ca="1">IF($A439="","",Returns!$J$437)</f>
        <v/>
      </c>
      <c r="C439" s="153" t="str">
        <f t="shared" ca="1" si="86"/>
        <v/>
      </c>
      <c r="D439" s="153" t="str">
        <f ca="1">IF($A439="","",MAX($C$7:C439))</f>
        <v/>
      </c>
      <c r="E439" s="154" t="str">
        <f t="shared" ca="1" si="87"/>
        <v/>
      </c>
      <c r="F439" s="152" t="str">
        <f ca="1">IF($A439="","",Returns!$I$437)</f>
        <v/>
      </c>
      <c r="G439" s="153" t="str">
        <f t="shared" ca="1" si="88"/>
        <v/>
      </c>
      <c r="H439" s="153" t="str">
        <f ca="1">IF($A439="","",MAX($G$7:G439))</f>
        <v/>
      </c>
      <c r="I439" s="154" t="str">
        <f t="shared" ca="1" si="89"/>
        <v/>
      </c>
      <c r="J439" s="59" t="str">
        <f t="shared" ca="1" si="90"/>
        <v/>
      </c>
      <c r="K439" s="3"/>
      <c r="L439" t="str">
        <f t="shared" ca="1" si="78"/>
        <v/>
      </c>
      <c r="M439" s="132" t="str">
        <f t="shared" ca="1" si="79"/>
        <v/>
      </c>
      <c r="N439" s="132" t="str">
        <f t="shared" ca="1" si="80"/>
        <v/>
      </c>
      <c r="P439" t="str">
        <f t="shared" ca="1" si="81"/>
        <v/>
      </c>
      <c r="Q439" s="133" t="str">
        <f t="shared" ca="1" si="82"/>
        <v/>
      </c>
      <c r="R439" s="133" t="str">
        <f t="shared" ca="1" si="83"/>
        <v/>
      </c>
      <c r="T439" t="str">
        <f t="shared" ca="1" si="84"/>
        <v/>
      </c>
      <c r="U439" s="134" t="str">
        <f t="shared" ca="1" si="85"/>
        <v/>
      </c>
    </row>
    <row r="440" spans="1:21" x14ac:dyDescent="0.3">
      <c r="A440" s="151" t="str">
        <f ca="1">Returns!$A$438</f>
        <v/>
      </c>
      <c r="B440" s="152" t="str">
        <f ca="1">IF($A440="","",Returns!$J$438)</f>
        <v/>
      </c>
      <c r="C440" s="153" t="str">
        <f t="shared" ca="1" si="86"/>
        <v/>
      </c>
      <c r="D440" s="153" t="str">
        <f ca="1">IF($A440="","",MAX($C$7:C440))</f>
        <v/>
      </c>
      <c r="E440" s="154" t="str">
        <f t="shared" ca="1" si="87"/>
        <v/>
      </c>
      <c r="F440" s="152" t="str">
        <f ca="1">IF($A440="","",Returns!$I$438)</f>
        <v/>
      </c>
      <c r="G440" s="153" t="str">
        <f t="shared" ca="1" si="88"/>
        <v/>
      </c>
      <c r="H440" s="153" t="str">
        <f ca="1">IF($A440="","",MAX($G$7:G440))</f>
        <v/>
      </c>
      <c r="I440" s="154" t="str">
        <f t="shared" ca="1" si="89"/>
        <v/>
      </c>
      <c r="J440" s="59" t="str">
        <f t="shared" ca="1" si="90"/>
        <v/>
      </c>
      <c r="K440" s="3"/>
      <c r="L440" t="str">
        <f t="shared" ca="1" si="78"/>
        <v/>
      </c>
      <c r="M440" s="132" t="str">
        <f t="shared" ca="1" si="79"/>
        <v/>
      </c>
      <c r="N440" s="132" t="str">
        <f t="shared" ca="1" si="80"/>
        <v/>
      </c>
      <c r="P440" t="str">
        <f t="shared" ca="1" si="81"/>
        <v/>
      </c>
      <c r="Q440" s="133" t="str">
        <f t="shared" ca="1" si="82"/>
        <v/>
      </c>
      <c r="R440" s="133" t="str">
        <f t="shared" ca="1" si="83"/>
        <v/>
      </c>
      <c r="T440" t="str">
        <f t="shared" ca="1" si="84"/>
        <v/>
      </c>
      <c r="U440" s="134" t="str">
        <f t="shared" ca="1" si="85"/>
        <v/>
      </c>
    </row>
    <row r="441" spans="1:21" x14ac:dyDescent="0.3">
      <c r="A441" s="151" t="str">
        <f ca="1">Returns!$A$439</f>
        <v/>
      </c>
      <c r="B441" s="152" t="str">
        <f ca="1">IF($A441="","",Returns!$J$439)</f>
        <v/>
      </c>
      <c r="C441" s="153" t="str">
        <f t="shared" ca="1" si="86"/>
        <v/>
      </c>
      <c r="D441" s="153" t="str">
        <f ca="1">IF($A441="","",MAX($C$7:C441))</f>
        <v/>
      </c>
      <c r="E441" s="154" t="str">
        <f t="shared" ca="1" si="87"/>
        <v/>
      </c>
      <c r="F441" s="152" t="str">
        <f ca="1">IF($A441="","",Returns!$I$439)</f>
        <v/>
      </c>
      <c r="G441" s="153" t="str">
        <f t="shared" ca="1" si="88"/>
        <v/>
      </c>
      <c r="H441" s="153" t="str">
        <f ca="1">IF($A441="","",MAX($G$7:G441))</f>
        <v/>
      </c>
      <c r="I441" s="154" t="str">
        <f t="shared" ca="1" si="89"/>
        <v/>
      </c>
      <c r="J441" s="59" t="str">
        <f t="shared" ca="1" si="90"/>
        <v/>
      </c>
      <c r="K441" s="3"/>
      <c r="L441" t="str">
        <f t="shared" ca="1" si="78"/>
        <v/>
      </c>
      <c r="M441" s="132" t="str">
        <f t="shared" ca="1" si="79"/>
        <v/>
      </c>
      <c r="N441" s="132" t="str">
        <f t="shared" ca="1" si="80"/>
        <v/>
      </c>
      <c r="P441" t="str">
        <f t="shared" ca="1" si="81"/>
        <v/>
      </c>
      <c r="Q441" s="133" t="str">
        <f t="shared" ca="1" si="82"/>
        <v/>
      </c>
      <c r="R441" s="133" t="str">
        <f t="shared" ca="1" si="83"/>
        <v/>
      </c>
      <c r="T441" t="str">
        <f t="shared" ca="1" si="84"/>
        <v/>
      </c>
      <c r="U441" s="134" t="str">
        <f t="shared" ca="1" si="85"/>
        <v/>
      </c>
    </row>
    <row r="442" spans="1:21" x14ac:dyDescent="0.3">
      <c r="A442" s="151" t="str">
        <f ca="1">Returns!$A$440</f>
        <v/>
      </c>
      <c r="B442" s="152" t="str">
        <f ca="1">IF($A442="","",Returns!$J$440)</f>
        <v/>
      </c>
      <c r="C442" s="153" t="str">
        <f t="shared" ca="1" si="86"/>
        <v/>
      </c>
      <c r="D442" s="153" t="str">
        <f ca="1">IF($A442="","",MAX($C$7:C442))</f>
        <v/>
      </c>
      <c r="E442" s="154" t="str">
        <f t="shared" ca="1" si="87"/>
        <v/>
      </c>
      <c r="F442" s="152" t="str">
        <f ca="1">IF($A442="","",Returns!$I$440)</f>
        <v/>
      </c>
      <c r="G442" s="153" t="str">
        <f t="shared" ca="1" si="88"/>
        <v/>
      </c>
      <c r="H442" s="153" t="str">
        <f ca="1">IF($A442="","",MAX($G$7:G442))</f>
        <v/>
      </c>
      <c r="I442" s="154" t="str">
        <f t="shared" ca="1" si="89"/>
        <v/>
      </c>
      <c r="J442" s="59" t="str">
        <f t="shared" ca="1" si="90"/>
        <v/>
      </c>
      <c r="K442" s="3"/>
      <c r="L442" t="str">
        <f t="shared" ca="1" si="78"/>
        <v/>
      </c>
      <c r="M442" s="132" t="str">
        <f t="shared" ca="1" si="79"/>
        <v/>
      </c>
      <c r="N442" s="132" t="str">
        <f t="shared" ca="1" si="80"/>
        <v/>
      </c>
      <c r="P442" t="str">
        <f t="shared" ca="1" si="81"/>
        <v/>
      </c>
      <c r="Q442" s="133" t="str">
        <f t="shared" ca="1" si="82"/>
        <v/>
      </c>
      <c r="R442" s="133" t="str">
        <f t="shared" ca="1" si="83"/>
        <v/>
      </c>
      <c r="T442" t="str">
        <f t="shared" ca="1" si="84"/>
        <v/>
      </c>
      <c r="U442" s="134" t="str">
        <f t="shared" ca="1" si="85"/>
        <v/>
      </c>
    </row>
    <row r="443" spans="1:21" x14ac:dyDescent="0.3">
      <c r="A443" s="151" t="str">
        <f ca="1">Returns!$A$441</f>
        <v/>
      </c>
      <c r="B443" s="152" t="str">
        <f ca="1">IF($A443="","",Returns!$J$441)</f>
        <v/>
      </c>
      <c r="C443" s="153" t="str">
        <f t="shared" ca="1" si="86"/>
        <v/>
      </c>
      <c r="D443" s="153" t="str">
        <f ca="1">IF($A443="","",MAX($C$7:C443))</f>
        <v/>
      </c>
      <c r="E443" s="154" t="str">
        <f t="shared" ca="1" si="87"/>
        <v/>
      </c>
      <c r="F443" s="152" t="str">
        <f ca="1">IF($A443="","",Returns!$I$441)</f>
        <v/>
      </c>
      <c r="G443" s="153" t="str">
        <f t="shared" ca="1" si="88"/>
        <v/>
      </c>
      <c r="H443" s="153" t="str">
        <f ca="1">IF($A443="","",MAX($G$7:G443))</f>
        <v/>
      </c>
      <c r="I443" s="154" t="str">
        <f t="shared" ca="1" si="89"/>
        <v/>
      </c>
      <c r="J443" s="59" t="str">
        <f t="shared" ca="1" si="90"/>
        <v/>
      </c>
      <c r="K443" s="3"/>
      <c r="L443" t="str">
        <f t="shared" ca="1" si="78"/>
        <v/>
      </c>
      <c r="M443" s="132" t="str">
        <f t="shared" ca="1" si="79"/>
        <v/>
      </c>
      <c r="N443" s="132" t="str">
        <f t="shared" ca="1" si="80"/>
        <v/>
      </c>
      <c r="P443" t="str">
        <f t="shared" ca="1" si="81"/>
        <v/>
      </c>
      <c r="Q443" s="133" t="str">
        <f t="shared" ca="1" si="82"/>
        <v/>
      </c>
      <c r="R443" s="133" t="str">
        <f t="shared" ca="1" si="83"/>
        <v/>
      </c>
      <c r="T443" t="str">
        <f t="shared" ca="1" si="84"/>
        <v/>
      </c>
      <c r="U443" s="134" t="str">
        <f t="shared" ca="1" si="85"/>
        <v/>
      </c>
    </row>
    <row r="444" spans="1:21" x14ac:dyDescent="0.3">
      <c r="A444" s="151" t="str">
        <f ca="1">Returns!$A$442</f>
        <v/>
      </c>
      <c r="B444" s="152" t="str">
        <f ca="1">IF($A444="","",Returns!$J$442)</f>
        <v/>
      </c>
      <c r="C444" s="153" t="str">
        <f t="shared" ca="1" si="86"/>
        <v/>
      </c>
      <c r="D444" s="153" t="str">
        <f ca="1">IF($A444="","",MAX($C$7:C444))</f>
        <v/>
      </c>
      <c r="E444" s="154" t="str">
        <f t="shared" ca="1" si="87"/>
        <v/>
      </c>
      <c r="F444" s="152" t="str">
        <f ca="1">IF($A444="","",Returns!$I$442)</f>
        <v/>
      </c>
      <c r="G444" s="153" t="str">
        <f t="shared" ca="1" si="88"/>
        <v/>
      </c>
      <c r="H444" s="153" t="str">
        <f ca="1">IF($A444="","",MAX($G$7:G444))</f>
        <v/>
      </c>
      <c r="I444" s="154" t="str">
        <f t="shared" ca="1" si="89"/>
        <v/>
      </c>
      <c r="J444" s="59" t="str">
        <f t="shared" ca="1" si="90"/>
        <v/>
      </c>
      <c r="K444" s="3"/>
      <c r="L444" t="str">
        <f t="shared" ca="1" si="78"/>
        <v/>
      </c>
      <c r="M444" s="132" t="str">
        <f t="shared" ca="1" si="79"/>
        <v/>
      </c>
      <c r="N444" s="132" t="str">
        <f t="shared" ca="1" si="80"/>
        <v/>
      </c>
      <c r="P444" t="str">
        <f t="shared" ca="1" si="81"/>
        <v/>
      </c>
      <c r="Q444" s="133" t="str">
        <f t="shared" ca="1" si="82"/>
        <v/>
      </c>
      <c r="R444" s="133" t="str">
        <f t="shared" ca="1" si="83"/>
        <v/>
      </c>
      <c r="T444" t="str">
        <f t="shared" ca="1" si="84"/>
        <v/>
      </c>
      <c r="U444" s="134" t="str">
        <f t="shared" ca="1" si="85"/>
        <v/>
      </c>
    </row>
    <row r="445" spans="1:21" x14ac:dyDescent="0.3">
      <c r="A445" s="151" t="str">
        <f ca="1">Returns!$A$443</f>
        <v/>
      </c>
      <c r="B445" s="152" t="str">
        <f ca="1">IF($A445="","",Returns!$J$443)</f>
        <v/>
      </c>
      <c r="C445" s="153" t="str">
        <f t="shared" ca="1" si="86"/>
        <v/>
      </c>
      <c r="D445" s="153" t="str">
        <f ca="1">IF($A445="","",MAX($C$7:C445))</f>
        <v/>
      </c>
      <c r="E445" s="154" t="str">
        <f t="shared" ca="1" si="87"/>
        <v/>
      </c>
      <c r="F445" s="152" t="str">
        <f ca="1">IF($A445="","",Returns!$I$443)</f>
        <v/>
      </c>
      <c r="G445" s="153" t="str">
        <f t="shared" ca="1" si="88"/>
        <v/>
      </c>
      <c r="H445" s="153" t="str">
        <f ca="1">IF($A445="","",MAX($G$7:G445))</f>
        <v/>
      </c>
      <c r="I445" s="154" t="str">
        <f t="shared" ca="1" si="89"/>
        <v/>
      </c>
      <c r="J445" s="59" t="str">
        <f t="shared" ca="1" si="90"/>
        <v/>
      </c>
      <c r="K445" s="3"/>
      <c r="L445" t="str">
        <f t="shared" ca="1" si="78"/>
        <v/>
      </c>
      <c r="M445" s="132" t="str">
        <f t="shared" ca="1" si="79"/>
        <v/>
      </c>
      <c r="N445" s="132" t="str">
        <f t="shared" ca="1" si="80"/>
        <v/>
      </c>
      <c r="P445" t="str">
        <f t="shared" ca="1" si="81"/>
        <v/>
      </c>
      <c r="Q445" s="133" t="str">
        <f t="shared" ca="1" si="82"/>
        <v/>
      </c>
      <c r="R445" s="133" t="str">
        <f t="shared" ca="1" si="83"/>
        <v/>
      </c>
      <c r="T445" t="str">
        <f t="shared" ca="1" si="84"/>
        <v/>
      </c>
      <c r="U445" s="134" t="str">
        <f t="shared" ca="1" si="85"/>
        <v/>
      </c>
    </row>
    <row r="446" spans="1:21" x14ac:dyDescent="0.3">
      <c r="A446" s="151" t="str">
        <f ca="1">Returns!$A$444</f>
        <v/>
      </c>
      <c r="B446" s="152" t="str">
        <f ca="1">IF($A446="","",Returns!$J$444)</f>
        <v/>
      </c>
      <c r="C446" s="153" t="str">
        <f t="shared" ca="1" si="86"/>
        <v/>
      </c>
      <c r="D446" s="153" t="str">
        <f ca="1">IF($A446="","",MAX($C$7:C446))</f>
        <v/>
      </c>
      <c r="E446" s="154" t="str">
        <f t="shared" ca="1" si="87"/>
        <v/>
      </c>
      <c r="F446" s="152" t="str">
        <f ca="1">IF($A446="","",Returns!$I$444)</f>
        <v/>
      </c>
      <c r="G446" s="153" t="str">
        <f t="shared" ca="1" si="88"/>
        <v/>
      </c>
      <c r="H446" s="153" t="str">
        <f ca="1">IF($A446="","",MAX($G$7:G446))</f>
        <v/>
      </c>
      <c r="I446" s="154" t="str">
        <f t="shared" ca="1" si="89"/>
        <v/>
      </c>
      <c r="J446" s="59" t="str">
        <f t="shared" ca="1" si="90"/>
        <v/>
      </c>
      <c r="K446" s="3"/>
      <c r="L446" t="str">
        <f t="shared" ca="1" si="78"/>
        <v/>
      </c>
      <c r="M446" s="132" t="str">
        <f t="shared" ca="1" si="79"/>
        <v/>
      </c>
      <c r="N446" s="132" t="str">
        <f t="shared" ca="1" si="80"/>
        <v/>
      </c>
      <c r="P446" t="str">
        <f t="shared" ca="1" si="81"/>
        <v/>
      </c>
      <c r="Q446" s="133" t="str">
        <f t="shared" ca="1" si="82"/>
        <v/>
      </c>
      <c r="R446" s="133" t="str">
        <f t="shared" ca="1" si="83"/>
        <v/>
      </c>
      <c r="T446" t="str">
        <f t="shared" ca="1" si="84"/>
        <v/>
      </c>
      <c r="U446" s="134" t="str">
        <f t="shared" ca="1" si="85"/>
        <v/>
      </c>
    </row>
    <row r="447" spans="1:21" x14ac:dyDescent="0.3">
      <c r="A447" s="151" t="str">
        <f ca="1">Returns!$A$445</f>
        <v/>
      </c>
      <c r="B447" s="152" t="str">
        <f ca="1">IF($A447="","",Returns!$J$445)</f>
        <v/>
      </c>
      <c r="C447" s="153" t="str">
        <f t="shared" ca="1" si="86"/>
        <v/>
      </c>
      <c r="D447" s="153" t="str">
        <f ca="1">IF($A447="","",MAX($C$7:C447))</f>
        <v/>
      </c>
      <c r="E447" s="154" t="str">
        <f t="shared" ca="1" si="87"/>
        <v/>
      </c>
      <c r="F447" s="152" t="str">
        <f ca="1">IF($A447="","",Returns!$I$445)</f>
        <v/>
      </c>
      <c r="G447" s="153" t="str">
        <f t="shared" ca="1" si="88"/>
        <v/>
      </c>
      <c r="H447" s="153" t="str">
        <f ca="1">IF($A447="","",MAX($G$7:G447))</f>
        <v/>
      </c>
      <c r="I447" s="154" t="str">
        <f t="shared" ca="1" si="89"/>
        <v/>
      </c>
      <c r="J447" s="59" t="str">
        <f t="shared" ca="1" si="90"/>
        <v/>
      </c>
      <c r="K447" s="3"/>
      <c r="L447" t="str">
        <f t="shared" ca="1" si="78"/>
        <v/>
      </c>
      <c r="M447" s="132" t="str">
        <f t="shared" ca="1" si="79"/>
        <v/>
      </c>
      <c r="N447" s="132" t="str">
        <f t="shared" ca="1" si="80"/>
        <v/>
      </c>
      <c r="P447" t="str">
        <f t="shared" ca="1" si="81"/>
        <v/>
      </c>
      <c r="Q447" s="133" t="str">
        <f t="shared" ca="1" si="82"/>
        <v/>
      </c>
      <c r="R447" s="133" t="str">
        <f t="shared" ca="1" si="83"/>
        <v/>
      </c>
      <c r="T447" t="str">
        <f t="shared" ca="1" si="84"/>
        <v/>
      </c>
      <c r="U447" s="134" t="str">
        <f t="shared" ca="1" si="85"/>
        <v/>
      </c>
    </row>
    <row r="448" spans="1:21" x14ac:dyDescent="0.3">
      <c r="A448" s="151" t="str">
        <f ca="1">Returns!$A$446</f>
        <v/>
      </c>
      <c r="B448" s="152" t="str">
        <f ca="1">IF($A448="","",Returns!$J$446)</f>
        <v/>
      </c>
      <c r="C448" s="153" t="str">
        <f t="shared" ca="1" si="86"/>
        <v/>
      </c>
      <c r="D448" s="153" t="str">
        <f ca="1">IF($A448="","",MAX($C$7:C448))</f>
        <v/>
      </c>
      <c r="E448" s="154" t="str">
        <f t="shared" ca="1" si="87"/>
        <v/>
      </c>
      <c r="F448" s="152" t="str">
        <f ca="1">IF($A448="","",Returns!$I$446)</f>
        <v/>
      </c>
      <c r="G448" s="153" t="str">
        <f t="shared" ca="1" si="88"/>
        <v/>
      </c>
      <c r="H448" s="153" t="str">
        <f ca="1">IF($A448="","",MAX($G$7:G448))</f>
        <v/>
      </c>
      <c r="I448" s="154" t="str">
        <f t="shared" ca="1" si="89"/>
        <v/>
      </c>
      <c r="J448" s="59" t="str">
        <f t="shared" ca="1" si="90"/>
        <v/>
      </c>
      <c r="K448" s="3"/>
      <c r="L448" t="str">
        <f t="shared" ca="1" si="78"/>
        <v/>
      </c>
      <c r="M448" s="132" t="str">
        <f t="shared" ca="1" si="79"/>
        <v/>
      </c>
      <c r="N448" s="132" t="str">
        <f t="shared" ca="1" si="80"/>
        <v/>
      </c>
      <c r="P448" t="str">
        <f t="shared" ca="1" si="81"/>
        <v/>
      </c>
      <c r="Q448" s="133" t="str">
        <f t="shared" ca="1" si="82"/>
        <v/>
      </c>
      <c r="R448" s="133" t="str">
        <f t="shared" ca="1" si="83"/>
        <v/>
      </c>
      <c r="T448" t="str">
        <f t="shared" ca="1" si="84"/>
        <v/>
      </c>
      <c r="U448" s="134" t="str">
        <f t="shared" ca="1" si="85"/>
        <v/>
      </c>
    </row>
    <row r="449" spans="1:21" x14ac:dyDescent="0.3">
      <c r="A449" s="151" t="str">
        <f ca="1">Returns!$A$447</f>
        <v/>
      </c>
      <c r="B449" s="152" t="str">
        <f ca="1">IF($A449="","",Returns!$J$447)</f>
        <v/>
      </c>
      <c r="C449" s="153" t="str">
        <f t="shared" ca="1" si="86"/>
        <v/>
      </c>
      <c r="D449" s="153" t="str">
        <f ca="1">IF($A449="","",MAX($C$7:C449))</f>
        <v/>
      </c>
      <c r="E449" s="154" t="str">
        <f t="shared" ca="1" si="87"/>
        <v/>
      </c>
      <c r="F449" s="152" t="str">
        <f ca="1">IF($A449="","",Returns!$I$447)</f>
        <v/>
      </c>
      <c r="G449" s="153" t="str">
        <f t="shared" ca="1" si="88"/>
        <v/>
      </c>
      <c r="H449" s="153" t="str">
        <f ca="1">IF($A449="","",MAX($G$7:G449))</f>
        <v/>
      </c>
      <c r="I449" s="154" t="str">
        <f t="shared" ca="1" si="89"/>
        <v/>
      </c>
      <c r="J449" s="59" t="str">
        <f t="shared" ca="1" si="90"/>
        <v/>
      </c>
      <c r="K449" s="3"/>
      <c r="L449" t="str">
        <f t="shared" ca="1" si="78"/>
        <v/>
      </c>
      <c r="M449" s="132" t="str">
        <f t="shared" ca="1" si="79"/>
        <v/>
      </c>
      <c r="N449" s="132" t="str">
        <f t="shared" ca="1" si="80"/>
        <v/>
      </c>
      <c r="P449" t="str">
        <f t="shared" ca="1" si="81"/>
        <v/>
      </c>
      <c r="Q449" s="133" t="str">
        <f t="shared" ca="1" si="82"/>
        <v/>
      </c>
      <c r="R449" s="133" t="str">
        <f t="shared" ca="1" si="83"/>
        <v/>
      </c>
      <c r="T449" t="str">
        <f t="shared" ca="1" si="84"/>
        <v/>
      </c>
      <c r="U449" s="134" t="str">
        <f t="shared" ca="1" si="85"/>
        <v/>
      </c>
    </row>
    <row r="450" spans="1:21" x14ac:dyDescent="0.3">
      <c r="A450" s="151" t="str">
        <f ca="1">Returns!$A$448</f>
        <v/>
      </c>
      <c r="B450" s="152" t="str">
        <f ca="1">IF($A450="","",Returns!$J$448)</f>
        <v/>
      </c>
      <c r="C450" s="153" t="str">
        <f t="shared" ca="1" si="86"/>
        <v/>
      </c>
      <c r="D450" s="153" t="str">
        <f ca="1">IF($A450="","",MAX($C$7:C450))</f>
        <v/>
      </c>
      <c r="E450" s="154" t="str">
        <f t="shared" ca="1" si="87"/>
        <v/>
      </c>
      <c r="F450" s="152" t="str">
        <f ca="1">IF($A450="","",Returns!$I$448)</f>
        <v/>
      </c>
      <c r="G450" s="153" t="str">
        <f t="shared" ca="1" si="88"/>
        <v/>
      </c>
      <c r="H450" s="153" t="str">
        <f ca="1">IF($A450="","",MAX($G$7:G450))</f>
        <v/>
      </c>
      <c r="I450" s="154" t="str">
        <f t="shared" ca="1" si="89"/>
        <v/>
      </c>
      <c r="J450" s="59" t="str">
        <f t="shared" ca="1" si="90"/>
        <v/>
      </c>
      <c r="K450" s="3"/>
      <c r="L450" t="str">
        <f t="shared" ca="1" si="78"/>
        <v/>
      </c>
      <c r="M450" s="132" t="str">
        <f t="shared" ca="1" si="79"/>
        <v/>
      </c>
      <c r="N450" s="132" t="str">
        <f t="shared" ca="1" si="80"/>
        <v/>
      </c>
      <c r="P450" t="str">
        <f t="shared" ca="1" si="81"/>
        <v/>
      </c>
      <c r="Q450" s="133" t="str">
        <f t="shared" ca="1" si="82"/>
        <v/>
      </c>
      <c r="R450" s="133" t="str">
        <f t="shared" ca="1" si="83"/>
        <v/>
      </c>
      <c r="T450" t="str">
        <f t="shared" ca="1" si="84"/>
        <v/>
      </c>
      <c r="U450" s="134" t="str">
        <f t="shared" ca="1" si="85"/>
        <v/>
      </c>
    </row>
    <row r="451" spans="1:21" x14ac:dyDescent="0.3">
      <c r="A451" s="151" t="str">
        <f ca="1">Returns!$A$449</f>
        <v/>
      </c>
      <c r="B451" s="152" t="str">
        <f ca="1">IF($A451="","",Returns!$J$449)</f>
        <v/>
      </c>
      <c r="C451" s="153" t="str">
        <f t="shared" ca="1" si="86"/>
        <v/>
      </c>
      <c r="D451" s="153" t="str">
        <f ca="1">IF($A451="","",MAX($C$7:C451))</f>
        <v/>
      </c>
      <c r="E451" s="154" t="str">
        <f t="shared" ca="1" si="87"/>
        <v/>
      </c>
      <c r="F451" s="152" t="str">
        <f ca="1">IF($A451="","",Returns!$I$449)</f>
        <v/>
      </c>
      <c r="G451" s="153" t="str">
        <f t="shared" ca="1" si="88"/>
        <v/>
      </c>
      <c r="H451" s="153" t="str">
        <f ca="1">IF($A451="","",MAX($G$7:G451))</f>
        <v/>
      </c>
      <c r="I451" s="154" t="str">
        <f t="shared" ca="1" si="89"/>
        <v/>
      </c>
      <c r="J451" s="59" t="str">
        <f t="shared" ca="1" si="90"/>
        <v/>
      </c>
      <c r="K451" s="3"/>
      <c r="L451" t="str">
        <f t="shared" ca="1" si="78"/>
        <v/>
      </c>
      <c r="M451" s="132" t="str">
        <f t="shared" ca="1" si="79"/>
        <v/>
      </c>
      <c r="N451" s="132" t="str">
        <f t="shared" ca="1" si="80"/>
        <v/>
      </c>
      <c r="P451" t="str">
        <f t="shared" ca="1" si="81"/>
        <v/>
      </c>
      <c r="Q451" s="133" t="str">
        <f t="shared" ca="1" si="82"/>
        <v/>
      </c>
      <c r="R451" s="133" t="str">
        <f t="shared" ca="1" si="83"/>
        <v/>
      </c>
      <c r="T451" t="str">
        <f t="shared" ca="1" si="84"/>
        <v/>
      </c>
      <c r="U451" s="134" t="str">
        <f t="shared" ca="1" si="85"/>
        <v/>
      </c>
    </row>
    <row r="452" spans="1:21" x14ac:dyDescent="0.3">
      <c r="A452" s="151" t="str">
        <f ca="1">Returns!$A$450</f>
        <v/>
      </c>
      <c r="B452" s="152" t="str">
        <f ca="1">IF($A452="","",Returns!$J$450)</f>
        <v/>
      </c>
      <c r="C452" s="153" t="str">
        <f t="shared" ca="1" si="86"/>
        <v/>
      </c>
      <c r="D452" s="153" t="str">
        <f ca="1">IF($A452="","",MAX($C$7:C452))</f>
        <v/>
      </c>
      <c r="E452" s="154" t="str">
        <f t="shared" ca="1" si="87"/>
        <v/>
      </c>
      <c r="F452" s="152" t="str">
        <f ca="1">IF($A452="","",Returns!$I$450)</f>
        <v/>
      </c>
      <c r="G452" s="153" t="str">
        <f t="shared" ca="1" si="88"/>
        <v/>
      </c>
      <c r="H452" s="153" t="str">
        <f ca="1">IF($A452="","",MAX($G$7:G452))</f>
        <v/>
      </c>
      <c r="I452" s="154" t="str">
        <f t="shared" ca="1" si="89"/>
        <v/>
      </c>
      <c r="J452" s="59" t="str">
        <f t="shared" ca="1" si="90"/>
        <v/>
      </c>
      <c r="K452" s="3"/>
      <c r="L452" t="str">
        <f t="shared" ca="1" si="78"/>
        <v/>
      </c>
      <c r="M452" s="132" t="str">
        <f t="shared" ca="1" si="79"/>
        <v/>
      </c>
      <c r="N452" s="132" t="str">
        <f t="shared" ca="1" si="80"/>
        <v/>
      </c>
      <c r="P452" t="str">
        <f t="shared" ca="1" si="81"/>
        <v/>
      </c>
      <c r="Q452" s="133" t="str">
        <f t="shared" ca="1" si="82"/>
        <v/>
      </c>
      <c r="R452" s="133" t="str">
        <f t="shared" ca="1" si="83"/>
        <v/>
      </c>
      <c r="T452" t="str">
        <f t="shared" ca="1" si="84"/>
        <v/>
      </c>
      <c r="U452" s="134" t="str">
        <f t="shared" ca="1" si="85"/>
        <v/>
      </c>
    </row>
    <row r="453" spans="1:21" x14ac:dyDescent="0.3">
      <c r="A453" s="151" t="str">
        <f ca="1">Returns!$A$451</f>
        <v/>
      </c>
      <c r="B453" s="152" t="str">
        <f ca="1">IF($A453="","",Returns!$J$451)</f>
        <v/>
      </c>
      <c r="C453" s="153" t="str">
        <f t="shared" ca="1" si="86"/>
        <v/>
      </c>
      <c r="D453" s="153" t="str">
        <f ca="1">IF($A453="","",MAX($C$7:C453))</f>
        <v/>
      </c>
      <c r="E453" s="154" t="str">
        <f t="shared" ca="1" si="87"/>
        <v/>
      </c>
      <c r="F453" s="152" t="str">
        <f ca="1">IF($A453="","",Returns!$I$451)</f>
        <v/>
      </c>
      <c r="G453" s="153" t="str">
        <f t="shared" ca="1" si="88"/>
        <v/>
      </c>
      <c r="H453" s="153" t="str">
        <f ca="1">IF($A453="","",MAX($G$7:G453))</f>
        <v/>
      </c>
      <c r="I453" s="154" t="str">
        <f t="shared" ca="1" si="89"/>
        <v/>
      </c>
      <c r="J453" s="59" t="str">
        <f t="shared" ca="1" si="90"/>
        <v/>
      </c>
      <c r="K453" s="3"/>
      <c r="L453" t="str">
        <f t="shared" ca="1" si="78"/>
        <v/>
      </c>
      <c r="M453" s="132" t="str">
        <f t="shared" ca="1" si="79"/>
        <v/>
      </c>
      <c r="N453" s="132" t="str">
        <f t="shared" ca="1" si="80"/>
        <v/>
      </c>
      <c r="P453" t="str">
        <f t="shared" ca="1" si="81"/>
        <v/>
      </c>
      <c r="Q453" s="133" t="str">
        <f t="shared" ca="1" si="82"/>
        <v/>
      </c>
      <c r="R453" s="133" t="str">
        <f t="shared" ca="1" si="83"/>
        <v/>
      </c>
      <c r="T453" t="str">
        <f t="shared" ca="1" si="84"/>
        <v/>
      </c>
      <c r="U453" s="134" t="str">
        <f t="shared" ca="1" si="85"/>
        <v/>
      </c>
    </row>
    <row r="454" spans="1:21" x14ac:dyDescent="0.3">
      <c r="A454" s="151" t="str">
        <f ca="1">Returns!$A$452</f>
        <v/>
      </c>
      <c r="B454" s="152" t="str">
        <f ca="1">IF($A454="","",Returns!$J$452)</f>
        <v/>
      </c>
      <c r="C454" s="153" t="str">
        <f t="shared" ca="1" si="86"/>
        <v/>
      </c>
      <c r="D454" s="153" t="str">
        <f ca="1">IF($A454="","",MAX($C$7:C454))</f>
        <v/>
      </c>
      <c r="E454" s="154" t="str">
        <f t="shared" ca="1" si="87"/>
        <v/>
      </c>
      <c r="F454" s="152" t="str">
        <f ca="1">IF($A454="","",Returns!$I$452)</f>
        <v/>
      </c>
      <c r="G454" s="153" t="str">
        <f t="shared" ca="1" si="88"/>
        <v/>
      </c>
      <c r="H454" s="153" t="str">
        <f ca="1">IF($A454="","",MAX($G$7:G454))</f>
        <v/>
      </c>
      <c r="I454" s="154" t="str">
        <f t="shared" ca="1" si="89"/>
        <v/>
      </c>
      <c r="J454" s="59" t="str">
        <f t="shared" ca="1" si="90"/>
        <v/>
      </c>
      <c r="K454" s="3"/>
      <c r="L454" t="str">
        <f t="shared" ca="1" si="78"/>
        <v/>
      </c>
      <c r="M454" s="132" t="str">
        <f t="shared" ca="1" si="79"/>
        <v/>
      </c>
      <c r="N454" s="132" t="str">
        <f t="shared" ca="1" si="80"/>
        <v/>
      </c>
      <c r="P454" t="str">
        <f t="shared" ca="1" si="81"/>
        <v/>
      </c>
      <c r="Q454" s="133" t="str">
        <f t="shared" ca="1" si="82"/>
        <v/>
      </c>
      <c r="R454" s="133" t="str">
        <f t="shared" ca="1" si="83"/>
        <v/>
      </c>
      <c r="T454" t="str">
        <f t="shared" ca="1" si="84"/>
        <v/>
      </c>
      <c r="U454" s="134" t="str">
        <f t="shared" ca="1" si="85"/>
        <v/>
      </c>
    </row>
    <row r="455" spans="1:21" x14ac:dyDescent="0.3">
      <c r="A455" s="151" t="str">
        <f ca="1">Returns!$A$453</f>
        <v/>
      </c>
      <c r="B455" s="152" t="str">
        <f ca="1">IF($A455="","",Returns!$J$453)</f>
        <v/>
      </c>
      <c r="C455" s="153" t="str">
        <f t="shared" ca="1" si="86"/>
        <v/>
      </c>
      <c r="D455" s="153" t="str">
        <f ca="1">IF($A455="","",MAX($C$7:C455))</f>
        <v/>
      </c>
      <c r="E455" s="154" t="str">
        <f t="shared" ca="1" si="87"/>
        <v/>
      </c>
      <c r="F455" s="152" t="str">
        <f ca="1">IF($A455="","",Returns!$I$453)</f>
        <v/>
      </c>
      <c r="G455" s="153" t="str">
        <f t="shared" ca="1" si="88"/>
        <v/>
      </c>
      <c r="H455" s="153" t="str">
        <f ca="1">IF($A455="","",MAX($G$7:G455))</f>
        <v/>
      </c>
      <c r="I455" s="154" t="str">
        <f t="shared" ca="1" si="89"/>
        <v/>
      </c>
      <c r="J455" s="59" t="str">
        <f t="shared" ca="1" si="90"/>
        <v/>
      </c>
      <c r="K455" s="3"/>
      <c r="L455" t="str">
        <f t="shared" ref="L455:L518" ca="1" si="91">$J455</f>
        <v/>
      </c>
      <c r="M455" s="132" t="str">
        <f t="shared" ref="M455:M518" ca="1" si="92">$C455</f>
        <v/>
      </c>
      <c r="N455" s="132" t="str">
        <f t="shared" ref="N455:N518" ca="1" si="93">$G455</f>
        <v/>
      </c>
      <c r="P455" t="str">
        <f t="shared" ref="P455:P518" ca="1" si="94">$J455</f>
        <v/>
      </c>
      <c r="Q455" s="133" t="str">
        <f t="shared" ref="Q455:Q518" ca="1" si="95">$E455</f>
        <v/>
      </c>
      <c r="R455" s="133" t="str">
        <f t="shared" ref="R455:R518" ca="1" si="96">$I455</f>
        <v/>
      </c>
      <c r="T455" t="str">
        <f t="shared" ref="T455:T518" ca="1" si="97">$J455</f>
        <v/>
      </c>
      <c r="U455" s="134" t="str">
        <f t="shared" ref="U455:U518" ca="1" si="98">IF($A455="","",NotionalValue*$C455/IndexBase)</f>
        <v/>
      </c>
    </row>
    <row r="456" spans="1:21" x14ac:dyDescent="0.3">
      <c r="A456" s="151" t="str">
        <f ca="1">Returns!$A$454</f>
        <v/>
      </c>
      <c r="B456" s="152" t="str">
        <f ca="1">IF($A456="","",Returns!$J$454)</f>
        <v/>
      </c>
      <c r="C456" s="153" t="str">
        <f t="shared" ref="C456:C519" ca="1" si="99">IF($A456="","",C455*(1+$B456))</f>
        <v/>
      </c>
      <c r="D456" s="153" t="str">
        <f ca="1">IF($A456="","",MAX($C$7:C456))</f>
        <v/>
      </c>
      <c r="E456" s="154" t="str">
        <f t="shared" ref="E456:E519" ca="1" si="100">IF($A456="","",$C456/$D456-1)</f>
        <v/>
      </c>
      <c r="F456" s="152" t="str">
        <f ca="1">IF($A456="","",Returns!$I$454)</f>
        <v/>
      </c>
      <c r="G456" s="153" t="str">
        <f t="shared" ref="G456:G519" ca="1" si="101">IF($A456="","",G455*(1+$F456))</f>
        <v/>
      </c>
      <c r="H456" s="153" t="str">
        <f ca="1">IF($A456="","",MAX($G$7:G456))</f>
        <v/>
      </c>
      <c r="I456" s="154" t="str">
        <f t="shared" ref="I456:I519" ca="1" si="102">IF($A456="","",$G456/$H456-1)</f>
        <v/>
      </c>
      <c r="J456" s="59" t="str">
        <f t="shared" ref="J456:J519" ca="1" si="103">IF($A456="","",TEXT($A456,"mmm-yy"))</f>
        <v/>
      </c>
      <c r="K456" s="3"/>
      <c r="L456" t="str">
        <f t="shared" ca="1" si="91"/>
        <v/>
      </c>
      <c r="M456" s="132" t="str">
        <f t="shared" ca="1" si="92"/>
        <v/>
      </c>
      <c r="N456" s="132" t="str">
        <f t="shared" ca="1" si="93"/>
        <v/>
      </c>
      <c r="P456" t="str">
        <f t="shared" ca="1" si="94"/>
        <v/>
      </c>
      <c r="Q456" s="133" t="str">
        <f t="shared" ca="1" si="95"/>
        <v/>
      </c>
      <c r="R456" s="133" t="str">
        <f t="shared" ca="1" si="96"/>
        <v/>
      </c>
      <c r="T456" t="str">
        <f t="shared" ca="1" si="97"/>
        <v/>
      </c>
      <c r="U456" s="134" t="str">
        <f t="shared" ca="1" si="98"/>
        <v/>
      </c>
    </row>
    <row r="457" spans="1:21" x14ac:dyDescent="0.3">
      <c r="A457" s="151" t="str">
        <f ca="1">Returns!$A$455</f>
        <v/>
      </c>
      <c r="B457" s="152" t="str">
        <f ca="1">IF($A457="","",Returns!$J$455)</f>
        <v/>
      </c>
      <c r="C457" s="153" t="str">
        <f t="shared" ca="1" si="99"/>
        <v/>
      </c>
      <c r="D457" s="153" t="str">
        <f ca="1">IF($A457="","",MAX($C$7:C457))</f>
        <v/>
      </c>
      <c r="E457" s="154" t="str">
        <f t="shared" ca="1" si="100"/>
        <v/>
      </c>
      <c r="F457" s="152" t="str">
        <f ca="1">IF($A457="","",Returns!$I$455)</f>
        <v/>
      </c>
      <c r="G457" s="153" t="str">
        <f t="shared" ca="1" si="101"/>
        <v/>
      </c>
      <c r="H457" s="153" t="str">
        <f ca="1">IF($A457="","",MAX($G$7:G457))</f>
        <v/>
      </c>
      <c r="I457" s="154" t="str">
        <f t="shared" ca="1" si="102"/>
        <v/>
      </c>
      <c r="J457" s="59" t="str">
        <f t="shared" ca="1" si="103"/>
        <v/>
      </c>
      <c r="K457" s="3"/>
      <c r="L457" t="str">
        <f t="shared" ca="1" si="91"/>
        <v/>
      </c>
      <c r="M457" s="132" t="str">
        <f t="shared" ca="1" si="92"/>
        <v/>
      </c>
      <c r="N457" s="132" t="str">
        <f t="shared" ca="1" si="93"/>
        <v/>
      </c>
      <c r="P457" t="str">
        <f t="shared" ca="1" si="94"/>
        <v/>
      </c>
      <c r="Q457" s="133" t="str">
        <f t="shared" ca="1" si="95"/>
        <v/>
      </c>
      <c r="R457" s="133" t="str">
        <f t="shared" ca="1" si="96"/>
        <v/>
      </c>
      <c r="T457" t="str">
        <f t="shared" ca="1" si="97"/>
        <v/>
      </c>
      <c r="U457" s="134" t="str">
        <f t="shared" ca="1" si="98"/>
        <v/>
      </c>
    </row>
    <row r="458" spans="1:21" x14ac:dyDescent="0.3">
      <c r="A458" s="151" t="str">
        <f ca="1">Returns!$A$456</f>
        <v/>
      </c>
      <c r="B458" s="152" t="str">
        <f ca="1">IF($A458="","",Returns!$J$456)</f>
        <v/>
      </c>
      <c r="C458" s="153" t="str">
        <f t="shared" ca="1" si="99"/>
        <v/>
      </c>
      <c r="D458" s="153" t="str">
        <f ca="1">IF($A458="","",MAX($C$7:C458))</f>
        <v/>
      </c>
      <c r="E458" s="154" t="str">
        <f t="shared" ca="1" si="100"/>
        <v/>
      </c>
      <c r="F458" s="152" t="str">
        <f ca="1">IF($A458="","",Returns!$I$456)</f>
        <v/>
      </c>
      <c r="G458" s="153" t="str">
        <f t="shared" ca="1" si="101"/>
        <v/>
      </c>
      <c r="H458" s="153" t="str">
        <f ca="1">IF($A458="","",MAX($G$7:G458))</f>
        <v/>
      </c>
      <c r="I458" s="154" t="str">
        <f t="shared" ca="1" si="102"/>
        <v/>
      </c>
      <c r="J458" s="59" t="str">
        <f t="shared" ca="1" si="103"/>
        <v/>
      </c>
      <c r="K458" s="3"/>
      <c r="L458" t="str">
        <f t="shared" ca="1" si="91"/>
        <v/>
      </c>
      <c r="M458" s="132" t="str">
        <f t="shared" ca="1" si="92"/>
        <v/>
      </c>
      <c r="N458" s="132" t="str">
        <f t="shared" ca="1" si="93"/>
        <v/>
      </c>
      <c r="P458" t="str">
        <f t="shared" ca="1" si="94"/>
        <v/>
      </c>
      <c r="Q458" s="133" t="str">
        <f t="shared" ca="1" si="95"/>
        <v/>
      </c>
      <c r="R458" s="133" t="str">
        <f t="shared" ca="1" si="96"/>
        <v/>
      </c>
      <c r="T458" t="str">
        <f t="shared" ca="1" si="97"/>
        <v/>
      </c>
      <c r="U458" s="134" t="str">
        <f t="shared" ca="1" si="98"/>
        <v/>
      </c>
    </row>
    <row r="459" spans="1:21" x14ac:dyDescent="0.3">
      <c r="A459" s="151" t="str">
        <f ca="1">Returns!$A$457</f>
        <v/>
      </c>
      <c r="B459" s="152" t="str">
        <f ca="1">IF($A459="","",Returns!$J$457)</f>
        <v/>
      </c>
      <c r="C459" s="153" t="str">
        <f t="shared" ca="1" si="99"/>
        <v/>
      </c>
      <c r="D459" s="153" t="str">
        <f ca="1">IF($A459="","",MAX($C$7:C459))</f>
        <v/>
      </c>
      <c r="E459" s="154" t="str">
        <f t="shared" ca="1" si="100"/>
        <v/>
      </c>
      <c r="F459" s="152" t="str">
        <f ca="1">IF($A459="","",Returns!$I$457)</f>
        <v/>
      </c>
      <c r="G459" s="153" t="str">
        <f t="shared" ca="1" si="101"/>
        <v/>
      </c>
      <c r="H459" s="153" t="str">
        <f ca="1">IF($A459="","",MAX($G$7:G459))</f>
        <v/>
      </c>
      <c r="I459" s="154" t="str">
        <f t="shared" ca="1" si="102"/>
        <v/>
      </c>
      <c r="J459" s="59" t="str">
        <f t="shared" ca="1" si="103"/>
        <v/>
      </c>
      <c r="K459" s="3"/>
      <c r="L459" t="str">
        <f t="shared" ca="1" si="91"/>
        <v/>
      </c>
      <c r="M459" s="132" t="str">
        <f t="shared" ca="1" si="92"/>
        <v/>
      </c>
      <c r="N459" s="132" t="str">
        <f t="shared" ca="1" si="93"/>
        <v/>
      </c>
      <c r="P459" t="str">
        <f t="shared" ca="1" si="94"/>
        <v/>
      </c>
      <c r="Q459" s="133" t="str">
        <f t="shared" ca="1" si="95"/>
        <v/>
      </c>
      <c r="R459" s="133" t="str">
        <f t="shared" ca="1" si="96"/>
        <v/>
      </c>
      <c r="T459" t="str">
        <f t="shared" ca="1" si="97"/>
        <v/>
      </c>
      <c r="U459" s="134" t="str">
        <f t="shared" ca="1" si="98"/>
        <v/>
      </c>
    </row>
    <row r="460" spans="1:21" x14ac:dyDescent="0.3">
      <c r="A460" s="151" t="str">
        <f ca="1">Returns!$A$458</f>
        <v/>
      </c>
      <c r="B460" s="152" t="str">
        <f ca="1">IF($A460="","",Returns!$J$458)</f>
        <v/>
      </c>
      <c r="C460" s="153" t="str">
        <f t="shared" ca="1" si="99"/>
        <v/>
      </c>
      <c r="D460" s="153" t="str">
        <f ca="1">IF($A460="","",MAX($C$7:C460))</f>
        <v/>
      </c>
      <c r="E460" s="154" t="str">
        <f t="shared" ca="1" si="100"/>
        <v/>
      </c>
      <c r="F460" s="152" t="str">
        <f ca="1">IF($A460="","",Returns!$I$458)</f>
        <v/>
      </c>
      <c r="G460" s="153" t="str">
        <f t="shared" ca="1" si="101"/>
        <v/>
      </c>
      <c r="H460" s="153" t="str">
        <f ca="1">IF($A460="","",MAX($G$7:G460))</f>
        <v/>
      </c>
      <c r="I460" s="154" t="str">
        <f t="shared" ca="1" si="102"/>
        <v/>
      </c>
      <c r="J460" s="59" t="str">
        <f t="shared" ca="1" si="103"/>
        <v/>
      </c>
      <c r="K460" s="3"/>
      <c r="L460" t="str">
        <f t="shared" ca="1" si="91"/>
        <v/>
      </c>
      <c r="M460" s="132" t="str">
        <f t="shared" ca="1" si="92"/>
        <v/>
      </c>
      <c r="N460" s="132" t="str">
        <f t="shared" ca="1" si="93"/>
        <v/>
      </c>
      <c r="P460" t="str">
        <f t="shared" ca="1" si="94"/>
        <v/>
      </c>
      <c r="Q460" s="133" t="str">
        <f t="shared" ca="1" si="95"/>
        <v/>
      </c>
      <c r="R460" s="133" t="str">
        <f t="shared" ca="1" si="96"/>
        <v/>
      </c>
      <c r="T460" t="str">
        <f t="shared" ca="1" si="97"/>
        <v/>
      </c>
      <c r="U460" s="134" t="str">
        <f t="shared" ca="1" si="98"/>
        <v/>
      </c>
    </row>
    <row r="461" spans="1:21" x14ac:dyDescent="0.3">
      <c r="A461" s="151" t="str">
        <f ca="1">Returns!$A$459</f>
        <v/>
      </c>
      <c r="B461" s="152" t="str">
        <f ca="1">IF($A461="","",Returns!$J$459)</f>
        <v/>
      </c>
      <c r="C461" s="153" t="str">
        <f t="shared" ca="1" si="99"/>
        <v/>
      </c>
      <c r="D461" s="153" t="str">
        <f ca="1">IF($A461="","",MAX($C$7:C461))</f>
        <v/>
      </c>
      <c r="E461" s="154" t="str">
        <f t="shared" ca="1" si="100"/>
        <v/>
      </c>
      <c r="F461" s="152" t="str">
        <f ca="1">IF($A461="","",Returns!$I$459)</f>
        <v/>
      </c>
      <c r="G461" s="153" t="str">
        <f t="shared" ca="1" si="101"/>
        <v/>
      </c>
      <c r="H461" s="153" t="str">
        <f ca="1">IF($A461="","",MAX($G$7:G461))</f>
        <v/>
      </c>
      <c r="I461" s="154" t="str">
        <f t="shared" ca="1" si="102"/>
        <v/>
      </c>
      <c r="J461" s="59" t="str">
        <f t="shared" ca="1" si="103"/>
        <v/>
      </c>
      <c r="K461" s="3"/>
      <c r="L461" t="str">
        <f t="shared" ca="1" si="91"/>
        <v/>
      </c>
      <c r="M461" s="132" t="str">
        <f t="shared" ca="1" si="92"/>
        <v/>
      </c>
      <c r="N461" s="132" t="str">
        <f t="shared" ca="1" si="93"/>
        <v/>
      </c>
      <c r="P461" t="str">
        <f t="shared" ca="1" si="94"/>
        <v/>
      </c>
      <c r="Q461" s="133" t="str">
        <f t="shared" ca="1" si="95"/>
        <v/>
      </c>
      <c r="R461" s="133" t="str">
        <f t="shared" ca="1" si="96"/>
        <v/>
      </c>
      <c r="T461" t="str">
        <f t="shared" ca="1" si="97"/>
        <v/>
      </c>
      <c r="U461" s="134" t="str">
        <f t="shared" ca="1" si="98"/>
        <v/>
      </c>
    </row>
    <row r="462" spans="1:21" x14ac:dyDescent="0.3">
      <c r="A462" s="151" t="str">
        <f ca="1">Returns!$A$460</f>
        <v/>
      </c>
      <c r="B462" s="152" t="str">
        <f ca="1">IF($A462="","",Returns!$J$460)</f>
        <v/>
      </c>
      <c r="C462" s="153" t="str">
        <f t="shared" ca="1" si="99"/>
        <v/>
      </c>
      <c r="D462" s="153" t="str">
        <f ca="1">IF($A462="","",MAX($C$7:C462))</f>
        <v/>
      </c>
      <c r="E462" s="154" t="str">
        <f t="shared" ca="1" si="100"/>
        <v/>
      </c>
      <c r="F462" s="152" t="str">
        <f ca="1">IF($A462="","",Returns!$I$460)</f>
        <v/>
      </c>
      <c r="G462" s="153" t="str">
        <f t="shared" ca="1" si="101"/>
        <v/>
      </c>
      <c r="H462" s="153" t="str">
        <f ca="1">IF($A462="","",MAX($G$7:G462))</f>
        <v/>
      </c>
      <c r="I462" s="154" t="str">
        <f t="shared" ca="1" si="102"/>
        <v/>
      </c>
      <c r="J462" s="59" t="str">
        <f t="shared" ca="1" si="103"/>
        <v/>
      </c>
      <c r="K462" s="3"/>
      <c r="L462" t="str">
        <f t="shared" ca="1" si="91"/>
        <v/>
      </c>
      <c r="M462" s="132" t="str">
        <f t="shared" ca="1" si="92"/>
        <v/>
      </c>
      <c r="N462" s="132" t="str">
        <f t="shared" ca="1" si="93"/>
        <v/>
      </c>
      <c r="P462" t="str">
        <f t="shared" ca="1" si="94"/>
        <v/>
      </c>
      <c r="Q462" s="133" t="str">
        <f t="shared" ca="1" si="95"/>
        <v/>
      </c>
      <c r="R462" s="133" t="str">
        <f t="shared" ca="1" si="96"/>
        <v/>
      </c>
      <c r="T462" t="str">
        <f t="shared" ca="1" si="97"/>
        <v/>
      </c>
      <c r="U462" s="134" t="str">
        <f t="shared" ca="1" si="98"/>
        <v/>
      </c>
    </row>
    <row r="463" spans="1:21" x14ac:dyDescent="0.3">
      <c r="A463" s="151" t="str">
        <f ca="1">Returns!$A$461</f>
        <v/>
      </c>
      <c r="B463" s="152" t="str">
        <f ca="1">IF($A463="","",Returns!$J$461)</f>
        <v/>
      </c>
      <c r="C463" s="153" t="str">
        <f t="shared" ca="1" si="99"/>
        <v/>
      </c>
      <c r="D463" s="153" t="str">
        <f ca="1">IF($A463="","",MAX($C$7:C463))</f>
        <v/>
      </c>
      <c r="E463" s="154" t="str">
        <f t="shared" ca="1" si="100"/>
        <v/>
      </c>
      <c r="F463" s="152" t="str">
        <f ca="1">IF($A463="","",Returns!$I$461)</f>
        <v/>
      </c>
      <c r="G463" s="153" t="str">
        <f t="shared" ca="1" si="101"/>
        <v/>
      </c>
      <c r="H463" s="153" t="str">
        <f ca="1">IF($A463="","",MAX($G$7:G463))</f>
        <v/>
      </c>
      <c r="I463" s="154" t="str">
        <f t="shared" ca="1" si="102"/>
        <v/>
      </c>
      <c r="J463" s="59" t="str">
        <f t="shared" ca="1" si="103"/>
        <v/>
      </c>
      <c r="K463" s="3"/>
      <c r="L463" t="str">
        <f t="shared" ca="1" si="91"/>
        <v/>
      </c>
      <c r="M463" s="132" t="str">
        <f t="shared" ca="1" si="92"/>
        <v/>
      </c>
      <c r="N463" s="132" t="str">
        <f t="shared" ca="1" si="93"/>
        <v/>
      </c>
      <c r="P463" t="str">
        <f t="shared" ca="1" si="94"/>
        <v/>
      </c>
      <c r="Q463" s="133" t="str">
        <f t="shared" ca="1" si="95"/>
        <v/>
      </c>
      <c r="R463" s="133" t="str">
        <f t="shared" ca="1" si="96"/>
        <v/>
      </c>
      <c r="T463" t="str">
        <f t="shared" ca="1" si="97"/>
        <v/>
      </c>
      <c r="U463" s="134" t="str">
        <f t="shared" ca="1" si="98"/>
        <v/>
      </c>
    </row>
    <row r="464" spans="1:21" x14ac:dyDescent="0.3">
      <c r="A464" s="151" t="str">
        <f ca="1">Returns!$A$462</f>
        <v/>
      </c>
      <c r="B464" s="152" t="str">
        <f ca="1">IF($A464="","",Returns!$J$462)</f>
        <v/>
      </c>
      <c r="C464" s="153" t="str">
        <f t="shared" ca="1" si="99"/>
        <v/>
      </c>
      <c r="D464" s="153" t="str">
        <f ca="1">IF($A464="","",MAX($C$7:C464))</f>
        <v/>
      </c>
      <c r="E464" s="154" t="str">
        <f t="shared" ca="1" si="100"/>
        <v/>
      </c>
      <c r="F464" s="152" t="str">
        <f ca="1">IF($A464="","",Returns!$I$462)</f>
        <v/>
      </c>
      <c r="G464" s="153" t="str">
        <f t="shared" ca="1" si="101"/>
        <v/>
      </c>
      <c r="H464" s="153" t="str">
        <f ca="1">IF($A464="","",MAX($G$7:G464))</f>
        <v/>
      </c>
      <c r="I464" s="154" t="str">
        <f t="shared" ca="1" si="102"/>
        <v/>
      </c>
      <c r="J464" s="59" t="str">
        <f t="shared" ca="1" si="103"/>
        <v/>
      </c>
      <c r="K464" s="3"/>
      <c r="L464" t="str">
        <f t="shared" ca="1" si="91"/>
        <v/>
      </c>
      <c r="M464" s="132" t="str">
        <f t="shared" ca="1" si="92"/>
        <v/>
      </c>
      <c r="N464" s="132" t="str">
        <f t="shared" ca="1" si="93"/>
        <v/>
      </c>
      <c r="P464" t="str">
        <f t="shared" ca="1" si="94"/>
        <v/>
      </c>
      <c r="Q464" s="133" t="str">
        <f t="shared" ca="1" si="95"/>
        <v/>
      </c>
      <c r="R464" s="133" t="str">
        <f t="shared" ca="1" si="96"/>
        <v/>
      </c>
      <c r="T464" t="str">
        <f t="shared" ca="1" si="97"/>
        <v/>
      </c>
      <c r="U464" s="134" t="str">
        <f t="shared" ca="1" si="98"/>
        <v/>
      </c>
    </row>
    <row r="465" spans="1:21" x14ac:dyDescent="0.3">
      <c r="A465" s="151" t="str">
        <f ca="1">Returns!$A$463</f>
        <v/>
      </c>
      <c r="B465" s="152" t="str">
        <f ca="1">IF($A465="","",Returns!$J$463)</f>
        <v/>
      </c>
      <c r="C465" s="153" t="str">
        <f t="shared" ca="1" si="99"/>
        <v/>
      </c>
      <c r="D465" s="153" t="str">
        <f ca="1">IF($A465="","",MAX($C$7:C465))</f>
        <v/>
      </c>
      <c r="E465" s="154" t="str">
        <f t="shared" ca="1" si="100"/>
        <v/>
      </c>
      <c r="F465" s="152" t="str">
        <f ca="1">IF($A465="","",Returns!$I$463)</f>
        <v/>
      </c>
      <c r="G465" s="153" t="str">
        <f t="shared" ca="1" si="101"/>
        <v/>
      </c>
      <c r="H465" s="153" t="str">
        <f ca="1">IF($A465="","",MAX($G$7:G465))</f>
        <v/>
      </c>
      <c r="I465" s="154" t="str">
        <f t="shared" ca="1" si="102"/>
        <v/>
      </c>
      <c r="J465" s="59" t="str">
        <f t="shared" ca="1" si="103"/>
        <v/>
      </c>
      <c r="K465" s="3"/>
      <c r="L465" t="str">
        <f t="shared" ca="1" si="91"/>
        <v/>
      </c>
      <c r="M465" s="132" t="str">
        <f t="shared" ca="1" si="92"/>
        <v/>
      </c>
      <c r="N465" s="132" t="str">
        <f t="shared" ca="1" si="93"/>
        <v/>
      </c>
      <c r="P465" t="str">
        <f t="shared" ca="1" si="94"/>
        <v/>
      </c>
      <c r="Q465" s="133" t="str">
        <f t="shared" ca="1" si="95"/>
        <v/>
      </c>
      <c r="R465" s="133" t="str">
        <f t="shared" ca="1" si="96"/>
        <v/>
      </c>
      <c r="T465" t="str">
        <f t="shared" ca="1" si="97"/>
        <v/>
      </c>
      <c r="U465" s="134" t="str">
        <f t="shared" ca="1" si="98"/>
        <v/>
      </c>
    </row>
    <row r="466" spans="1:21" x14ac:dyDescent="0.3">
      <c r="A466" s="151" t="str">
        <f ca="1">Returns!$A$464</f>
        <v/>
      </c>
      <c r="B466" s="152" t="str">
        <f ca="1">IF($A466="","",Returns!$J$464)</f>
        <v/>
      </c>
      <c r="C466" s="153" t="str">
        <f t="shared" ca="1" si="99"/>
        <v/>
      </c>
      <c r="D466" s="153" t="str">
        <f ca="1">IF($A466="","",MAX($C$7:C466))</f>
        <v/>
      </c>
      <c r="E466" s="154" t="str">
        <f t="shared" ca="1" si="100"/>
        <v/>
      </c>
      <c r="F466" s="152" t="str">
        <f ca="1">IF($A466="","",Returns!$I$464)</f>
        <v/>
      </c>
      <c r="G466" s="153" t="str">
        <f t="shared" ca="1" si="101"/>
        <v/>
      </c>
      <c r="H466" s="153" t="str">
        <f ca="1">IF($A466="","",MAX($G$7:G466))</f>
        <v/>
      </c>
      <c r="I466" s="154" t="str">
        <f t="shared" ca="1" si="102"/>
        <v/>
      </c>
      <c r="J466" s="59" t="str">
        <f t="shared" ca="1" si="103"/>
        <v/>
      </c>
      <c r="K466" s="3"/>
      <c r="L466" t="str">
        <f t="shared" ca="1" si="91"/>
        <v/>
      </c>
      <c r="M466" s="132" t="str">
        <f t="shared" ca="1" si="92"/>
        <v/>
      </c>
      <c r="N466" s="132" t="str">
        <f t="shared" ca="1" si="93"/>
        <v/>
      </c>
      <c r="P466" t="str">
        <f t="shared" ca="1" si="94"/>
        <v/>
      </c>
      <c r="Q466" s="133" t="str">
        <f t="shared" ca="1" si="95"/>
        <v/>
      </c>
      <c r="R466" s="133" t="str">
        <f t="shared" ca="1" si="96"/>
        <v/>
      </c>
      <c r="T466" t="str">
        <f t="shared" ca="1" si="97"/>
        <v/>
      </c>
      <c r="U466" s="134" t="str">
        <f t="shared" ca="1" si="98"/>
        <v/>
      </c>
    </row>
    <row r="467" spans="1:21" x14ac:dyDescent="0.3">
      <c r="A467" s="151" t="str">
        <f ca="1">Returns!$A$465</f>
        <v/>
      </c>
      <c r="B467" s="152" t="str">
        <f ca="1">IF($A467="","",Returns!$J$465)</f>
        <v/>
      </c>
      <c r="C467" s="153" t="str">
        <f t="shared" ca="1" si="99"/>
        <v/>
      </c>
      <c r="D467" s="153" t="str">
        <f ca="1">IF($A467="","",MAX($C$7:C467))</f>
        <v/>
      </c>
      <c r="E467" s="154" t="str">
        <f t="shared" ca="1" si="100"/>
        <v/>
      </c>
      <c r="F467" s="152" t="str">
        <f ca="1">IF($A467="","",Returns!$I$465)</f>
        <v/>
      </c>
      <c r="G467" s="153" t="str">
        <f t="shared" ca="1" si="101"/>
        <v/>
      </c>
      <c r="H467" s="153" t="str">
        <f ca="1">IF($A467="","",MAX($G$7:G467))</f>
        <v/>
      </c>
      <c r="I467" s="154" t="str">
        <f t="shared" ca="1" si="102"/>
        <v/>
      </c>
      <c r="J467" s="59" t="str">
        <f t="shared" ca="1" si="103"/>
        <v/>
      </c>
      <c r="K467" s="3"/>
      <c r="L467" t="str">
        <f t="shared" ca="1" si="91"/>
        <v/>
      </c>
      <c r="M467" s="132" t="str">
        <f t="shared" ca="1" si="92"/>
        <v/>
      </c>
      <c r="N467" s="132" t="str">
        <f t="shared" ca="1" si="93"/>
        <v/>
      </c>
      <c r="P467" t="str">
        <f t="shared" ca="1" si="94"/>
        <v/>
      </c>
      <c r="Q467" s="133" t="str">
        <f t="shared" ca="1" si="95"/>
        <v/>
      </c>
      <c r="R467" s="133" t="str">
        <f t="shared" ca="1" si="96"/>
        <v/>
      </c>
      <c r="T467" t="str">
        <f t="shared" ca="1" si="97"/>
        <v/>
      </c>
      <c r="U467" s="134" t="str">
        <f t="shared" ca="1" si="98"/>
        <v/>
      </c>
    </row>
    <row r="468" spans="1:21" x14ac:dyDescent="0.3">
      <c r="A468" s="151" t="str">
        <f ca="1">Returns!$A$466</f>
        <v/>
      </c>
      <c r="B468" s="152" t="str">
        <f ca="1">IF($A468="","",Returns!$J$466)</f>
        <v/>
      </c>
      <c r="C468" s="153" t="str">
        <f t="shared" ca="1" si="99"/>
        <v/>
      </c>
      <c r="D468" s="153" t="str">
        <f ca="1">IF($A468="","",MAX($C$7:C468))</f>
        <v/>
      </c>
      <c r="E468" s="154" t="str">
        <f t="shared" ca="1" si="100"/>
        <v/>
      </c>
      <c r="F468" s="152" t="str">
        <f ca="1">IF($A468="","",Returns!$I$466)</f>
        <v/>
      </c>
      <c r="G468" s="153" t="str">
        <f t="shared" ca="1" si="101"/>
        <v/>
      </c>
      <c r="H468" s="153" t="str">
        <f ca="1">IF($A468="","",MAX($G$7:G468))</f>
        <v/>
      </c>
      <c r="I468" s="154" t="str">
        <f t="shared" ca="1" si="102"/>
        <v/>
      </c>
      <c r="J468" s="59" t="str">
        <f t="shared" ca="1" si="103"/>
        <v/>
      </c>
      <c r="K468" s="3"/>
      <c r="L468" t="str">
        <f t="shared" ca="1" si="91"/>
        <v/>
      </c>
      <c r="M468" s="132" t="str">
        <f t="shared" ca="1" si="92"/>
        <v/>
      </c>
      <c r="N468" s="132" t="str">
        <f t="shared" ca="1" si="93"/>
        <v/>
      </c>
      <c r="P468" t="str">
        <f t="shared" ca="1" si="94"/>
        <v/>
      </c>
      <c r="Q468" s="133" t="str">
        <f t="shared" ca="1" si="95"/>
        <v/>
      </c>
      <c r="R468" s="133" t="str">
        <f t="shared" ca="1" si="96"/>
        <v/>
      </c>
      <c r="T468" t="str">
        <f t="shared" ca="1" si="97"/>
        <v/>
      </c>
      <c r="U468" s="134" t="str">
        <f t="shared" ca="1" si="98"/>
        <v/>
      </c>
    </row>
    <row r="469" spans="1:21" x14ac:dyDescent="0.3">
      <c r="A469" s="151" t="str">
        <f ca="1">Returns!$A$467</f>
        <v/>
      </c>
      <c r="B469" s="152" t="str">
        <f ca="1">IF($A469="","",Returns!$J$467)</f>
        <v/>
      </c>
      <c r="C469" s="153" t="str">
        <f t="shared" ca="1" si="99"/>
        <v/>
      </c>
      <c r="D469" s="153" t="str">
        <f ca="1">IF($A469="","",MAX($C$7:C469))</f>
        <v/>
      </c>
      <c r="E469" s="154" t="str">
        <f t="shared" ca="1" si="100"/>
        <v/>
      </c>
      <c r="F469" s="152" t="str">
        <f ca="1">IF($A469="","",Returns!$I$467)</f>
        <v/>
      </c>
      <c r="G469" s="153" t="str">
        <f t="shared" ca="1" si="101"/>
        <v/>
      </c>
      <c r="H469" s="153" t="str">
        <f ca="1">IF($A469="","",MAX($G$7:G469))</f>
        <v/>
      </c>
      <c r="I469" s="154" t="str">
        <f t="shared" ca="1" si="102"/>
        <v/>
      </c>
      <c r="J469" s="59" t="str">
        <f t="shared" ca="1" si="103"/>
        <v/>
      </c>
      <c r="K469" s="3"/>
      <c r="L469" t="str">
        <f t="shared" ca="1" si="91"/>
        <v/>
      </c>
      <c r="M469" s="132" t="str">
        <f t="shared" ca="1" si="92"/>
        <v/>
      </c>
      <c r="N469" s="132" t="str">
        <f t="shared" ca="1" si="93"/>
        <v/>
      </c>
      <c r="P469" t="str">
        <f t="shared" ca="1" si="94"/>
        <v/>
      </c>
      <c r="Q469" s="133" t="str">
        <f t="shared" ca="1" si="95"/>
        <v/>
      </c>
      <c r="R469" s="133" t="str">
        <f t="shared" ca="1" si="96"/>
        <v/>
      </c>
      <c r="T469" t="str">
        <f t="shared" ca="1" si="97"/>
        <v/>
      </c>
      <c r="U469" s="134" t="str">
        <f t="shared" ca="1" si="98"/>
        <v/>
      </c>
    </row>
    <row r="470" spans="1:21" x14ac:dyDescent="0.3">
      <c r="A470" s="151" t="str">
        <f ca="1">Returns!$A$468</f>
        <v/>
      </c>
      <c r="B470" s="152" t="str">
        <f ca="1">IF($A470="","",Returns!$J$468)</f>
        <v/>
      </c>
      <c r="C470" s="153" t="str">
        <f t="shared" ca="1" si="99"/>
        <v/>
      </c>
      <c r="D470" s="153" t="str">
        <f ca="1">IF($A470="","",MAX($C$7:C470))</f>
        <v/>
      </c>
      <c r="E470" s="154" t="str">
        <f t="shared" ca="1" si="100"/>
        <v/>
      </c>
      <c r="F470" s="152" t="str">
        <f ca="1">IF($A470="","",Returns!$I$468)</f>
        <v/>
      </c>
      <c r="G470" s="153" t="str">
        <f t="shared" ca="1" si="101"/>
        <v/>
      </c>
      <c r="H470" s="153" t="str">
        <f ca="1">IF($A470="","",MAX($G$7:G470))</f>
        <v/>
      </c>
      <c r="I470" s="154" t="str">
        <f t="shared" ca="1" si="102"/>
        <v/>
      </c>
      <c r="J470" s="59" t="str">
        <f t="shared" ca="1" si="103"/>
        <v/>
      </c>
      <c r="K470" s="3"/>
      <c r="L470" t="str">
        <f t="shared" ca="1" si="91"/>
        <v/>
      </c>
      <c r="M470" s="132" t="str">
        <f t="shared" ca="1" si="92"/>
        <v/>
      </c>
      <c r="N470" s="132" t="str">
        <f t="shared" ca="1" si="93"/>
        <v/>
      </c>
      <c r="P470" t="str">
        <f t="shared" ca="1" si="94"/>
        <v/>
      </c>
      <c r="Q470" s="133" t="str">
        <f t="shared" ca="1" si="95"/>
        <v/>
      </c>
      <c r="R470" s="133" t="str">
        <f t="shared" ca="1" si="96"/>
        <v/>
      </c>
      <c r="T470" t="str">
        <f t="shared" ca="1" si="97"/>
        <v/>
      </c>
      <c r="U470" s="134" t="str">
        <f t="shared" ca="1" si="98"/>
        <v/>
      </c>
    </row>
    <row r="471" spans="1:21" x14ac:dyDescent="0.3">
      <c r="A471" s="151" t="str">
        <f ca="1">Returns!$A$469</f>
        <v/>
      </c>
      <c r="B471" s="152" t="str">
        <f ca="1">IF($A471="","",Returns!$J$469)</f>
        <v/>
      </c>
      <c r="C471" s="153" t="str">
        <f t="shared" ca="1" si="99"/>
        <v/>
      </c>
      <c r="D471" s="153" t="str">
        <f ca="1">IF($A471="","",MAX($C$7:C471))</f>
        <v/>
      </c>
      <c r="E471" s="154" t="str">
        <f t="shared" ca="1" si="100"/>
        <v/>
      </c>
      <c r="F471" s="152" t="str">
        <f ca="1">IF($A471="","",Returns!$I$469)</f>
        <v/>
      </c>
      <c r="G471" s="153" t="str">
        <f t="shared" ca="1" si="101"/>
        <v/>
      </c>
      <c r="H471" s="153" t="str">
        <f ca="1">IF($A471="","",MAX($G$7:G471))</f>
        <v/>
      </c>
      <c r="I471" s="154" t="str">
        <f t="shared" ca="1" si="102"/>
        <v/>
      </c>
      <c r="J471" s="59" t="str">
        <f t="shared" ca="1" si="103"/>
        <v/>
      </c>
      <c r="K471" s="3"/>
      <c r="L471" t="str">
        <f t="shared" ca="1" si="91"/>
        <v/>
      </c>
      <c r="M471" s="132" t="str">
        <f t="shared" ca="1" si="92"/>
        <v/>
      </c>
      <c r="N471" s="132" t="str">
        <f t="shared" ca="1" si="93"/>
        <v/>
      </c>
      <c r="P471" t="str">
        <f t="shared" ca="1" si="94"/>
        <v/>
      </c>
      <c r="Q471" s="133" t="str">
        <f t="shared" ca="1" si="95"/>
        <v/>
      </c>
      <c r="R471" s="133" t="str">
        <f t="shared" ca="1" si="96"/>
        <v/>
      </c>
      <c r="T471" t="str">
        <f t="shared" ca="1" si="97"/>
        <v/>
      </c>
      <c r="U471" s="134" t="str">
        <f t="shared" ca="1" si="98"/>
        <v/>
      </c>
    </row>
    <row r="472" spans="1:21" x14ac:dyDescent="0.3">
      <c r="A472" s="151" t="str">
        <f ca="1">Returns!$A$470</f>
        <v/>
      </c>
      <c r="B472" s="152" t="str">
        <f ca="1">IF($A472="","",Returns!$J$470)</f>
        <v/>
      </c>
      <c r="C472" s="153" t="str">
        <f t="shared" ca="1" si="99"/>
        <v/>
      </c>
      <c r="D472" s="153" t="str">
        <f ca="1">IF($A472="","",MAX($C$7:C472))</f>
        <v/>
      </c>
      <c r="E472" s="154" t="str">
        <f t="shared" ca="1" si="100"/>
        <v/>
      </c>
      <c r="F472" s="152" t="str">
        <f ca="1">IF($A472="","",Returns!$I$470)</f>
        <v/>
      </c>
      <c r="G472" s="153" t="str">
        <f t="shared" ca="1" si="101"/>
        <v/>
      </c>
      <c r="H472" s="153" t="str">
        <f ca="1">IF($A472="","",MAX($G$7:G472))</f>
        <v/>
      </c>
      <c r="I472" s="154" t="str">
        <f t="shared" ca="1" si="102"/>
        <v/>
      </c>
      <c r="J472" s="59" t="str">
        <f t="shared" ca="1" si="103"/>
        <v/>
      </c>
      <c r="K472" s="3"/>
      <c r="L472" t="str">
        <f t="shared" ca="1" si="91"/>
        <v/>
      </c>
      <c r="M472" s="132" t="str">
        <f t="shared" ca="1" si="92"/>
        <v/>
      </c>
      <c r="N472" s="132" t="str">
        <f t="shared" ca="1" si="93"/>
        <v/>
      </c>
      <c r="P472" t="str">
        <f t="shared" ca="1" si="94"/>
        <v/>
      </c>
      <c r="Q472" s="133" t="str">
        <f t="shared" ca="1" si="95"/>
        <v/>
      </c>
      <c r="R472" s="133" t="str">
        <f t="shared" ca="1" si="96"/>
        <v/>
      </c>
      <c r="T472" t="str">
        <f t="shared" ca="1" si="97"/>
        <v/>
      </c>
      <c r="U472" s="134" t="str">
        <f t="shared" ca="1" si="98"/>
        <v/>
      </c>
    </row>
    <row r="473" spans="1:21" x14ac:dyDescent="0.3">
      <c r="A473" s="151" t="str">
        <f ca="1">Returns!$A$471</f>
        <v/>
      </c>
      <c r="B473" s="152" t="str">
        <f ca="1">IF($A473="","",Returns!$J$471)</f>
        <v/>
      </c>
      <c r="C473" s="153" t="str">
        <f t="shared" ca="1" si="99"/>
        <v/>
      </c>
      <c r="D473" s="153" t="str">
        <f ca="1">IF($A473="","",MAX($C$7:C473))</f>
        <v/>
      </c>
      <c r="E473" s="154" t="str">
        <f t="shared" ca="1" si="100"/>
        <v/>
      </c>
      <c r="F473" s="152" t="str">
        <f ca="1">IF($A473="","",Returns!$I$471)</f>
        <v/>
      </c>
      <c r="G473" s="153" t="str">
        <f t="shared" ca="1" si="101"/>
        <v/>
      </c>
      <c r="H473" s="153" t="str">
        <f ca="1">IF($A473="","",MAX($G$7:G473))</f>
        <v/>
      </c>
      <c r="I473" s="154" t="str">
        <f t="shared" ca="1" si="102"/>
        <v/>
      </c>
      <c r="J473" s="59" t="str">
        <f t="shared" ca="1" si="103"/>
        <v/>
      </c>
      <c r="K473" s="3"/>
      <c r="L473" t="str">
        <f t="shared" ca="1" si="91"/>
        <v/>
      </c>
      <c r="M473" s="132" t="str">
        <f t="shared" ca="1" si="92"/>
        <v/>
      </c>
      <c r="N473" s="132" t="str">
        <f t="shared" ca="1" si="93"/>
        <v/>
      </c>
      <c r="P473" t="str">
        <f t="shared" ca="1" si="94"/>
        <v/>
      </c>
      <c r="Q473" s="133" t="str">
        <f t="shared" ca="1" si="95"/>
        <v/>
      </c>
      <c r="R473" s="133" t="str">
        <f t="shared" ca="1" si="96"/>
        <v/>
      </c>
      <c r="T473" t="str">
        <f t="shared" ca="1" si="97"/>
        <v/>
      </c>
      <c r="U473" s="134" t="str">
        <f t="shared" ca="1" si="98"/>
        <v/>
      </c>
    </row>
    <row r="474" spans="1:21" x14ac:dyDescent="0.3">
      <c r="A474" s="151" t="str">
        <f ca="1">Returns!$A$472</f>
        <v/>
      </c>
      <c r="B474" s="152" t="str">
        <f ca="1">IF($A474="","",Returns!$J$472)</f>
        <v/>
      </c>
      <c r="C474" s="153" t="str">
        <f t="shared" ca="1" si="99"/>
        <v/>
      </c>
      <c r="D474" s="153" t="str">
        <f ca="1">IF($A474="","",MAX($C$7:C474))</f>
        <v/>
      </c>
      <c r="E474" s="154" t="str">
        <f t="shared" ca="1" si="100"/>
        <v/>
      </c>
      <c r="F474" s="152" t="str">
        <f ca="1">IF($A474="","",Returns!$I$472)</f>
        <v/>
      </c>
      <c r="G474" s="153" t="str">
        <f t="shared" ca="1" si="101"/>
        <v/>
      </c>
      <c r="H474" s="153" t="str">
        <f ca="1">IF($A474="","",MAX($G$7:G474))</f>
        <v/>
      </c>
      <c r="I474" s="154" t="str">
        <f t="shared" ca="1" si="102"/>
        <v/>
      </c>
      <c r="J474" s="59" t="str">
        <f t="shared" ca="1" si="103"/>
        <v/>
      </c>
      <c r="K474" s="3"/>
      <c r="L474" t="str">
        <f t="shared" ca="1" si="91"/>
        <v/>
      </c>
      <c r="M474" s="132" t="str">
        <f t="shared" ca="1" si="92"/>
        <v/>
      </c>
      <c r="N474" s="132" t="str">
        <f t="shared" ca="1" si="93"/>
        <v/>
      </c>
      <c r="P474" t="str">
        <f t="shared" ca="1" si="94"/>
        <v/>
      </c>
      <c r="Q474" s="133" t="str">
        <f t="shared" ca="1" si="95"/>
        <v/>
      </c>
      <c r="R474" s="133" t="str">
        <f t="shared" ca="1" si="96"/>
        <v/>
      </c>
      <c r="T474" t="str">
        <f t="shared" ca="1" si="97"/>
        <v/>
      </c>
      <c r="U474" s="134" t="str">
        <f t="shared" ca="1" si="98"/>
        <v/>
      </c>
    </row>
    <row r="475" spans="1:21" x14ac:dyDescent="0.3">
      <c r="A475" s="151" t="str">
        <f ca="1">Returns!$A$473</f>
        <v/>
      </c>
      <c r="B475" s="152" t="str">
        <f ca="1">IF($A475="","",Returns!$J$473)</f>
        <v/>
      </c>
      <c r="C475" s="153" t="str">
        <f t="shared" ca="1" si="99"/>
        <v/>
      </c>
      <c r="D475" s="153" t="str">
        <f ca="1">IF($A475="","",MAX($C$7:C475))</f>
        <v/>
      </c>
      <c r="E475" s="154" t="str">
        <f t="shared" ca="1" si="100"/>
        <v/>
      </c>
      <c r="F475" s="152" t="str">
        <f ca="1">IF($A475="","",Returns!$I$473)</f>
        <v/>
      </c>
      <c r="G475" s="153" t="str">
        <f t="shared" ca="1" si="101"/>
        <v/>
      </c>
      <c r="H475" s="153" t="str">
        <f ca="1">IF($A475="","",MAX($G$7:G475))</f>
        <v/>
      </c>
      <c r="I475" s="154" t="str">
        <f t="shared" ca="1" si="102"/>
        <v/>
      </c>
      <c r="J475" s="59" t="str">
        <f t="shared" ca="1" si="103"/>
        <v/>
      </c>
      <c r="K475" s="3"/>
      <c r="L475" t="str">
        <f t="shared" ca="1" si="91"/>
        <v/>
      </c>
      <c r="M475" s="132" t="str">
        <f t="shared" ca="1" si="92"/>
        <v/>
      </c>
      <c r="N475" s="132" t="str">
        <f t="shared" ca="1" si="93"/>
        <v/>
      </c>
      <c r="P475" t="str">
        <f t="shared" ca="1" si="94"/>
        <v/>
      </c>
      <c r="Q475" s="133" t="str">
        <f t="shared" ca="1" si="95"/>
        <v/>
      </c>
      <c r="R475" s="133" t="str">
        <f t="shared" ca="1" si="96"/>
        <v/>
      </c>
      <c r="T475" t="str">
        <f t="shared" ca="1" si="97"/>
        <v/>
      </c>
      <c r="U475" s="134" t="str">
        <f t="shared" ca="1" si="98"/>
        <v/>
      </c>
    </row>
    <row r="476" spans="1:21" x14ac:dyDescent="0.3">
      <c r="A476" s="151" t="str">
        <f ca="1">Returns!$A$474</f>
        <v/>
      </c>
      <c r="B476" s="152" t="str">
        <f ca="1">IF($A476="","",Returns!$J$474)</f>
        <v/>
      </c>
      <c r="C476" s="153" t="str">
        <f t="shared" ca="1" si="99"/>
        <v/>
      </c>
      <c r="D476" s="153" t="str">
        <f ca="1">IF($A476="","",MAX($C$7:C476))</f>
        <v/>
      </c>
      <c r="E476" s="154" t="str">
        <f t="shared" ca="1" si="100"/>
        <v/>
      </c>
      <c r="F476" s="152" t="str">
        <f ca="1">IF($A476="","",Returns!$I$474)</f>
        <v/>
      </c>
      <c r="G476" s="153" t="str">
        <f t="shared" ca="1" si="101"/>
        <v/>
      </c>
      <c r="H476" s="153" t="str">
        <f ca="1">IF($A476="","",MAX($G$7:G476))</f>
        <v/>
      </c>
      <c r="I476" s="154" t="str">
        <f t="shared" ca="1" si="102"/>
        <v/>
      </c>
      <c r="J476" s="59" t="str">
        <f t="shared" ca="1" si="103"/>
        <v/>
      </c>
      <c r="K476" s="3"/>
      <c r="L476" t="str">
        <f t="shared" ca="1" si="91"/>
        <v/>
      </c>
      <c r="M476" s="132" t="str">
        <f t="shared" ca="1" si="92"/>
        <v/>
      </c>
      <c r="N476" s="132" t="str">
        <f t="shared" ca="1" si="93"/>
        <v/>
      </c>
      <c r="P476" t="str">
        <f t="shared" ca="1" si="94"/>
        <v/>
      </c>
      <c r="Q476" s="133" t="str">
        <f t="shared" ca="1" si="95"/>
        <v/>
      </c>
      <c r="R476" s="133" t="str">
        <f t="shared" ca="1" si="96"/>
        <v/>
      </c>
      <c r="T476" t="str">
        <f t="shared" ca="1" si="97"/>
        <v/>
      </c>
      <c r="U476" s="134" t="str">
        <f t="shared" ca="1" si="98"/>
        <v/>
      </c>
    </row>
    <row r="477" spans="1:21" x14ac:dyDescent="0.3">
      <c r="A477" s="151" t="str">
        <f ca="1">Returns!$A$475</f>
        <v/>
      </c>
      <c r="B477" s="152" t="str">
        <f ca="1">IF($A477="","",Returns!$J$475)</f>
        <v/>
      </c>
      <c r="C477" s="153" t="str">
        <f t="shared" ca="1" si="99"/>
        <v/>
      </c>
      <c r="D477" s="153" t="str">
        <f ca="1">IF($A477="","",MAX($C$7:C477))</f>
        <v/>
      </c>
      <c r="E477" s="154" t="str">
        <f t="shared" ca="1" si="100"/>
        <v/>
      </c>
      <c r="F477" s="152" t="str">
        <f ca="1">IF($A477="","",Returns!$I$475)</f>
        <v/>
      </c>
      <c r="G477" s="153" t="str">
        <f t="shared" ca="1" si="101"/>
        <v/>
      </c>
      <c r="H477" s="153" t="str">
        <f ca="1">IF($A477="","",MAX($G$7:G477))</f>
        <v/>
      </c>
      <c r="I477" s="154" t="str">
        <f t="shared" ca="1" si="102"/>
        <v/>
      </c>
      <c r="J477" s="59" t="str">
        <f t="shared" ca="1" si="103"/>
        <v/>
      </c>
      <c r="K477" s="3"/>
      <c r="L477" t="str">
        <f t="shared" ca="1" si="91"/>
        <v/>
      </c>
      <c r="M477" s="132" t="str">
        <f t="shared" ca="1" si="92"/>
        <v/>
      </c>
      <c r="N477" s="132" t="str">
        <f t="shared" ca="1" si="93"/>
        <v/>
      </c>
      <c r="P477" t="str">
        <f t="shared" ca="1" si="94"/>
        <v/>
      </c>
      <c r="Q477" s="133" t="str">
        <f t="shared" ca="1" si="95"/>
        <v/>
      </c>
      <c r="R477" s="133" t="str">
        <f t="shared" ca="1" si="96"/>
        <v/>
      </c>
      <c r="T477" t="str">
        <f t="shared" ca="1" si="97"/>
        <v/>
      </c>
      <c r="U477" s="134" t="str">
        <f t="shared" ca="1" si="98"/>
        <v/>
      </c>
    </row>
    <row r="478" spans="1:21" x14ac:dyDescent="0.3">
      <c r="A478" s="151" t="str">
        <f ca="1">Returns!$A$476</f>
        <v/>
      </c>
      <c r="B478" s="152" t="str">
        <f ca="1">IF($A478="","",Returns!$J$476)</f>
        <v/>
      </c>
      <c r="C478" s="153" t="str">
        <f t="shared" ca="1" si="99"/>
        <v/>
      </c>
      <c r="D478" s="153" t="str">
        <f ca="1">IF($A478="","",MAX($C$7:C478))</f>
        <v/>
      </c>
      <c r="E478" s="154" t="str">
        <f t="shared" ca="1" si="100"/>
        <v/>
      </c>
      <c r="F478" s="152" t="str">
        <f ca="1">IF($A478="","",Returns!$I$476)</f>
        <v/>
      </c>
      <c r="G478" s="153" t="str">
        <f t="shared" ca="1" si="101"/>
        <v/>
      </c>
      <c r="H478" s="153" t="str">
        <f ca="1">IF($A478="","",MAX($G$7:G478))</f>
        <v/>
      </c>
      <c r="I478" s="154" t="str">
        <f t="shared" ca="1" si="102"/>
        <v/>
      </c>
      <c r="J478" s="59" t="str">
        <f t="shared" ca="1" si="103"/>
        <v/>
      </c>
      <c r="K478" s="3"/>
      <c r="L478" t="str">
        <f t="shared" ca="1" si="91"/>
        <v/>
      </c>
      <c r="M478" s="132" t="str">
        <f t="shared" ca="1" si="92"/>
        <v/>
      </c>
      <c r="N478" s="132" t="str">
        <f t="shared" ca="1" si="93"/>
        <v/>
      </c>
      <c r="P478" t="str">
        <f t="shared" ca="1" si="94"/>
        <v/>
      </c>
      <c r="Q478" s="133" t="str">
        <f t="shared" ca="1" si="95"/>
        <v/>
      </c>
      <c r="R478" s="133" t="str">
        <f t="shared" ca="1" si="96"/>
        <v/>
      </c>
      <c r="T478" t="str">
        <f t="shared" ca="1" si="97"/>
        <v/>
      </c>
      <c r="U478" s="134" t="str">
        <f t="shared" ca="1" si="98"/>
        <v/>
      </c>
    </row>
    <row r="479" spans="1:21" x14ac:dyDescent="0.3">
      <c r="A479" s="151" t="str">
        <f ca="1">Returns!$A$477</f>
        <v/>
      </c>
      <c r="B479" s="152" t="str">
        <f ca="1">IF($A479="","",Returns!$J$477)</f>
        <v/>
      </c>
      <c r="C479" s="153" t="str">
        <f t="shared" ca="1" si="99"/>
        <v/>
      </c>
      <c r="D479" s="153" t="str">
        <f ca="1">IF($A479="","",MAX($C$7:C479))</f>
        <v/>
      </c>
      <c r="E479" s="154" t="str">
        <f t="shared" ca="1" si="100"/>
        <v/>
      </c>
      <c r="F479" s="152" t="str">
        <f ca="1">IF($A479="","",Returns!$I$477)</f>
        <v/>
      </c>
      <c r="G479" s="153" t="str">
        <f t="shared" ca="1" si="101"/>
        <v/>
      </c>
      <c r="H479" s="153" t="str">
        <f ca="1">IF($A479="","",MAX($G$7:G479))</f>
        <v/>
      </c>
      <c r="I479" s="154" t="str">
        <f t="shared" ca="1" si="102"/>
        <v/>
      </c>
      <c r="J479" s="59" t="str">
        <f t="shared" ca="1" si="103"/>
        <v/>
      </c>
      <c r="K479" s="3"/>
      <c r="L479" t="str">
        <f t="shared" ca="1" si="91"/>
        <v/>
      </c>
      <c r="M479" s="132" t="str">
        <f t="shared" ca="1" si="92"/>
        <v/>
      </c>
      <c r="N479" s="132" t="str">
        <f t="shared" ca="1" si="93"/>
        <v/>
      </c>
      <c r="P479" t="str">
        <f t="shared" ca="1" si="94"/>
        <v/>
      </c>
      <c r="Q479" s="133" t="str">
        <f t="shared" ca="1" si="95"/>
        <v/>
      </c>
      <c r="R479" s="133" t="str">
        <f t="shared" ca="1" si="96"/>
        <v/>
      </c>
      <c r="T479" t="str">
        <f t="shared" ca="1" si="97"/>
        <v/>
      </c>
      <c r="U479" s="134" t="str">
        <f t="shared" ca="1" si="98"/>
        <v/>
      </c>
    </row>
    <row r="480" spans="1:21" x14ac:dyDescent="0.3">
      <c r="A480" s="151" t="str">
        <f ca="1">Returns!$A$478</f>
        <v/>
      </c>
      <c r="B480" s="152" t="str">
        <f ca="1">IF($A480="","",Returns!$J$478)</f>
        <v/>
      </c>
      <c r="C480" s="153" t="str">
        <f t="shared" ca="1" si="99"/>
        <v/>
      </c>
      <c r="D480" s="153" t="str">
        <f ca="1">IF($A480="","",MAX($C$7:C480))</f>
        <v/>
      </c>
      <c r="E480" s="154" t="str">
        <f t="shared" ca="1" si="100"/>
        <v/>
      </c>
      <c r="F480" s="152" t="str">
        <f ca="1">IF($A480="","",Returns!$I$478)</f>
        <v/>
      </c>
      <c r="G480" s="153" t="str">
        <f t="shared" ca="1" si="101"/>
        <v/>
      </c>
      <c r="H480" s="153" t="str">
        <f ca="1">IF($A480="","",MAX($G$7:G480))</f>
        <v/>
      </c>
      <c r="I480" s="154" t="str">
        <f t="shared" ca="1" si="102"/>
        <v/>
      </c>
      <c r="J480" s="59" t="str">
        <f t="shared" ca="1" si="103"/>
        <v/>
      </c>
      <c r="K480" s="3"/>
      <c r="L480" t="str">
        <f t="shared" ca="1" si="91"/>
        <v/>
      </c>
      <c r="M480" s="132" t="str">
        <f t="shared" ca="1" si="92"/>
        <v/>
      </c>
      <c r="N480" s="132" t="str">
        <f t="shared" ca="1" si="93"/>
        <v/>
      </c>
      <c r="P480" t="str">
        <f t="shared" ca="1" si="94"/>
        <v/>
      </c>
      <c r="Q480" s="133" t="str">
        <f t="shared" ca="1" si="95"/>
        <v/>
      </c>
      <c r="R480" s="133" t="str">
        <f t="shared" ca="1" si="96"/>
        <v/>
      </c>
      <c r="T480" t="str">
        <f t="shared" ca="1" si="97"/>
        <v/>
      </c>
      <c r="U480" s="134" t="str">
        <f t="shared" ca="1" si="98"/>
        <v/>
      </c>
    </row>
    <row r="481" spans="1:21" x14ac:dyDescent="0.3">
      <c r="A481" s="151" t="str">
        <f ca="1">Returns!$A$479</f>
        <v/>
      </c>
      <c r="B481" s="152" t="str">
        <f ca="1">IF($A481="","",Returns!$J$479)</f>
        <v/>
      </c>
      <c r="C481" s="153" t="str">
        <f t="shared" ca="1" si="99"/>
        <v/>
      </c>
      <c r="D481" s="153" t="str">
        <f ca="1">IF($A481="","",MAX($C$7:C481))</f>
        <v/>
      </c>
      <c r="E481" s="154" t="str">
        <f t="shared" ca="1" si="100"/>
        <v/>
      </c>
      <c r="F481" s="152" t="str">
        <f ca="1">IF($A481="","",Returns!$I$479)</f>
        <v/>
      </c>
      <c r="G481" s="153" t="str">
        <f t="shared" ca="1" si="101"/>
        <v/>
      </c>
      <c r="H481" s="153" t="str">
        <f ca="1">IF($A481="","",MAX($G$7:G481))</f>
        <v/>
      </c>
      <c r="I481" s="154" t="str">
        <f t="shared" ca="1" si="102"/>
        <v/>
      </c>
      <c r="J481" s="59" t="str">
        <f t="shared" ca="1" si="103"/>
        <v/>
      </c>
      <c r="K481" s="3"/>
      <c r="L481" t="str">
        <f t="shared" ca="1" si="91"/>
        <v/>
      </c>
      <c r="M481" s="132" t="str">
        <f t="shared" ca="1" si="92"/>
        <v/>
      </c>
      <c r="N481" s="132" t="str">
        <f t="shared" ca="1" si="93"/>
        <v/>
      </c>
      <c r="P481" t="str">
        <f t="shared" ca="1" si="94"/>
        <v/>
      </c>
      <c r="Q481" s="133" t="str">
        <f t="shared" ca="1" si="95"/>
        <v/>
      </c>
      <c r="R481" s="133" t="str">
        <f t="shared" ca="1" si="96"/>
        <v/>
      </c>
      <c r="T481" t="str">
        <f t="shared" ca="1" si="97"/>
        <v/>
      </c>
      <c r="U481" s="134" t="str">
        <f t="shared" ca="1" si="98"/>
        <v/>
      </c>
    </row>
    <row r="482" spans="1:21" x14ac:dyDescent="0.3">
      <c r="A482" s="151" t="str">
        <f ca="1">Returns!$A$480</f>
        <v/>
      </c>
      <c r="B482" s="152" t="str">
        <f ca="1">IF($A482="","",Returns!$J$480)</f>
        <v/>
      </c>
      <c r="C482" s="153" t="str">
        <f t="shared" ca="1" si="99"/>
        <v/>
      </c>
      <c r="D482" s="153" t="str">
        <f ca="1">IF($A482="","",MAX($C$7:C482))</f>
        <v/>
      </c>
      <c r="E482" s="154" t="str">
        <f t="shared" ca="1" si="100"/>
        <v/>
      </c>
      <c r="F482" s="152" t="str">
        <f ca="1">IF($A482="","",Returns!$I$480)</f>
        <v/>
      </c>
      <c r="G482" s="153" t="str">
        <f t="shared" ca="1" si="101"/>
        <v/>
      </c>
      <c r="H482" s="153" t="str">
        <f ca="1">IF($A482="","",MAX($G$7:G482))</f>
        <v/>
      </c>
      <c r="I482" s="154" t="str">
        <f t="shared" ca="1" si="102"/>
        <v/>
      </c>
      <c r="J482" s="59" t="str">
        <f t="shared" ca="1" si="103"/>
        <v/>
      </c>
      <c r="K482" s="3"/>
      <c r="L482" t="str">
        <f t="shared" ca="1" si="91"/>
        <v/>
      </c>
      <c r="M482" s="132" t="str">
        <f t="shared" ca="1" si="92"/>
        <v/>
      </c>
      <c r="N482" s="132" t="str">
        <f t="shared" ca="1" si="93"/>
        <v/>
      </c>
      <c r="P482" t="str">
        <f t="shared" ca="1" si="94"/>
        <v/>
      </c>
      <c r="Q482" s="133" t="str">
        <f t="shared" ca="1" si="95"/>
        <v/>
      </c>
      <c r="R482" s="133" t="str">
        <f t="shared" ca="1" si="96"/>
        <v/>
      </c>
      <c r="T482" t="str">
        <f t="shared" ca="1" si="97"/>
        <v/>
      </c>
      <c r="U482" s="134" t="str">
        <f t="shared" ca="1" si="98"/>
        <v/>
      </c>
    </row>
    <row r="483" spans="1:21" x14ac:dyDescent="0.3">
      <c r="A483" s="151" t="str">
        <f ca="1">Returns!$A$481</f>
        <v/>
      </c>
      <c r="B483" s="152" t="str">
        <f ca="1">IF($A483="","",Returns!$J$481)</f>
        <v/>
      </c>
      <c r="C483" s="153" t="str">
        <f t="shared" ca="1" si="99"/>
        <v/>
      </c>
      <c r="D483" s="153" t="str">
        <f ca="1">IF($A483="","",MAX($C$7:C483))</f>
        <v/>
      </c>
      <c r="E483" s="154" t="str">
        <f t="shared" ca="1" si="100"/>
        <v/>
      </c>
      <c r="F483" s="152" t="str">
        <f ca="1">IF($A483="","",Returns!$I$481)</f>
        <v/>
      </c>
      <c r="G483" s="153" t="str">
        <f t="shared" ca="1" si="101"/>
        <v/>
      </c>
      <c r="H483" s="153" t="str">
        <f ca="1">IF($A483="","",MAX($G$7:G483))</f>
        <v/>
      </c>
      <c r="I483" s="154" t="str">
        <f t="shared" ca="1" si="102"/>
        <v/>
      </c>
      <c r="J483" s="59" t="str">
        <f t="shared" ca="1" si="103"/>
        <v/>
      </c>
      <c r="K483" s="3"/>
      <c r="L483" t="str">
        <f t="shared" ca="1" si="91"/>
        <v/>
      </c>
      <c r="M483" s="132" t="str">
        <f t="shared" ca="1" si="92"/>
        <v/>
      </c>
      <c r="N483" s="132" t="str">
        <f t="shared" ca="1" si="93"/>
        <v/>
      </c>
      <c r="P483" t="str">
        <f t="shared" ca="1" si="94"/>
        <v/>
      </c>
      <c r="Q483" s="133" t="str">
        <f t="shared" ca="1" si="95"/>
        <v/>
      </c>
      <c r="R483" s="133" t="str">
        <f t="shared" ca="1" si="96"/>
        <v/>
      </c>
      <c r="T483" t="str">
        <f t="shared" ca="1" si="97"/>
        <v/>
      </c>
      <c r="U483" s="134" t="str">
        <f t="shared" ca="1" si="98"/>
        <v/>
      </c>
    </row>
    <row r="484" spans="1:21" x14ac:dyDescent="0.3">
      <c r="A484" s="151" t="str">
        <f ca="1">Returns!$A$482</f>
        <v/>
      </c>
      <c r="B484" s="152" t="str">
        <f ca="1">IF($A484="","",Returns!$J$482)</f>
        <v/>
      </c>
      <c r="C484" s="153" t="str">
        <f t="shared" ca="1" si="99"/>
        <v/>
      </c>
      <c r="D484" s="153" t="str">
        <f ca="1">IF($A484="","",MAX($C$7:C484))</f>
        <v/>
      </c>
      <c r="E484" s="154" t="str">
        <f t="shared" ca="1" si="100"/>
        <v/>
      </c>
      <c r="F484" s="152" t="str">
        <f ca="1">IF($A484="","",Returns!$I$482)</f>
        <v/>
      </c>
      <c r="G484" s="153" t="str">
        <f t="shared" ca="1" si="101"/>
        <v/>
      </c>
      <c r="H484" s="153" t="str">
        <f ca="1">IF($A484="","",MAX($G$7:G484))</f>
        <v/>
      </c>
      <c r="I484" s="154" t="str">
        <f t="shared" ca="1" si="102"/>
        <v/>
      </c>
      <c r="J484" s="59" t="str">
        <f t="shared" ca="1" si="103"/>
        <v/>
      </c>
      <c r="K484" s="3"/>
      <c r="L484" t="str">
        <f t="shared" ca="1" si="91"/>
        <v/>
      </c>
      <c r="M484" s="132" t="str">
        <f t="shared" ca="1" si="92"/>
        <v/>
      </c>
      <c r="N484" s="132" t="str">
        <f t="shared" ca="1" si="93"/>
        <v/>
      </c>
      <c r="P484" t="str">
        <f t="shared" ca="1" si="94"/>
        <v/>
      </c>
      <c r="Q484" s="133" t="str">
        <f t="shared" ca="1" si="95"/>
        <v/>
      </c>
      <c r="R484" s="133" t="str">
        <f t="shared" ca="1" si="96"/>
        <v/>
      </c>
      <c r="T484" t="str">
        <f t="shared" ca="1" si="97"/>
        <v/>
      </c>
      <c r="U484" s="134" t="str">
        <f t="shared" ca="1" si="98"/>
        <v/>
      </c>
    </row>
    <row r="485" spans="1:21" x14ac:dyDescent="0.3">
      <c r="A485" s="151" t="str">
        <f ca="1">Returns!$A$483</f>
        <v/>
      </c>
      <c r="B485" s="152" t="str">
        <f ca="1">IF($A485="","",Returns!$J$483)</f>
        <v/>
      </c>
      <c r="C485" s="153" t="str">
        <f t="shared" ca="1" si="99"/>
        <v/>
      </c>
      <c r="D485" s="153" t="str">
        <f ca="1">IF($A485="","",MAX($C$7:C485))</f>
        <v/>
      </c>
      <c r="E485" s="154" t="str">
        <f t="shared" ca="1" si="100"/>
        <v/>
      </c>
      <c r="F485" s="152" t="str">
        <f ca="1">IF($A485="","",Returns!$I$483)</f>
        <v/>
      </c>
      <c r="G485" s="153" t="str">
        <f t="shared" ca="1" si="101"/>
        <v/>
      </c>
      <c r="H485" s="153" t="str">
        <f ca="1">IF($A485="","",MAX($G$7:G485))</f>
        <v/>
      </c>
      <c r="I485" s="154" t="str">
        <f t="shared" ca="1" si="102"/>
        <v/>
      </c>
      <c r="J485" s="59" t="str">
        <f t="shared" ca="1" si="103"/>
        <v/>
      </c>
      <c r="K485" s="3"/>
      <c r="L485" t="str">
        <f t="shared" ca="1" si="91"/>
        <v/>
      </c>
      <c r="M485" s="132" t="str">
        <f t="shared" ca="1" si="92"/>
        <v/>
      </c>
      <c r="N485" s="132" t="str">
        <f t="shared" ca="1" si="93"/>
        <v/>
      </c>
      <c r="P485" t="str">
        <f t="shared" ca="1" si="94"/>
        <v/>
      </c>
      <c r="Q485" s="133" t="str">
        <f t="shared" ca="1" si="95"/>
        <v/>
      </c>
      <c r="R485" s="133" t="str">
        <f t="shared" ca="1" si="96"/>
        <v/>
      </c>
      <c r="T485" t="str">
        <f t="shared" ca="1" si="97"/>
        <v/>
      </c>
      <c r="U485" s="134" t="str">
        <f t="shared" ca="1" si="98"/>
        <v/>
      </c>
    </row>
    <row r="486" spans="1:21" x14ac:dyDescent="0.3">
      <c r="A486" s="151" t="str">
        <f ca="1">Returns!$A$484</f>
        <v/>
      </c>
      <c r="B486" s="152" t="str">
        <f ca="1">IF($A486="","",Returns!$J$484)</f>
        <v/>
      </c>
      <c r="C486" s="153" t="str">
        <f t="shared" ca="1" si="99"/>
        <v/>
      </c>
      <c r="D486" s="153" t="str">
        <f ca="1">IF($A486="","",MAX($C$7:C486))</f>
        <v/>
      </c>
      <c r="E486" s="154" t="str">
        <f t="shared" ca="1" si="100"/>
        <v/>
      </c>
      <c r="F486" s="152" t="str">
        <f ca="1">IF($A486="","",Returns!$I$484)</f>
        <v/>
      </c>
      <c r="G486" s="153" t="str">
        <f t="shared" ca="1" si="101"/>
        <v/>
      </c>
      <c r="H486" s="153" t="str">
        <f ca="1">IF($A486="","",MAX($G$7:G486))</f>
        <v/>
      </c>
      <c r="I486" s="154" t="str">
        <f t="shared" ca="1" si="102"/>
        <v/>
      </c>
      <c r="J486" s="59" t="str">
        <f t="shared" ca="1" si="103"/>
        <v/>
      </c>
      <c r="K486" s="3"/>
      <c r="L486" t="str">
        <f t="shared" ca="1" si="91"/>
        <v/>
      </c>
      <c r="M486" s="132" t="str">
        <f t="shared" ca="1" si="92"/>
        <v/>
      </c>
      <c r="N486" s="132" t="str">
        <f t="shared" ca="1" si="93"/>
        <v/>
      </c>
      <c r="P486" t="str">
        <f t="shared" ca="1" si="94"/>
        <v/>
      </c>
      <c r="Q486" s="133" t="str">
        <f t="shared" ca="1" si="95"/>
        <v/>
      </c>
      <c r="R486" s="133" t="str">
        <f t="shared" ca="1" si="96"/>
        <v/>
      </c>
      <c r="T486" t="str">
        <f t="shared" ca="1" si="97"/>
        <v/>
      </c>
      <c r="U486" s="134" t="str">
        <f t="shared" ca="1" si="98"/>
        <v/>
      </c>
    </row>
    <row r="487" spans="1:21" x14ac:dyDescent="0.3">
      <c r="A487" s="151" t="str">
        <f ca="1">Returns!$A$485</f>
        <v/>
      </c>
      <c r="B487" s="152" t="str">
        <f ca="1">IF($A487="","",Returns!$J$485)</f>
        <v/>
      </c>
      <c r="C487" s="153" t="str">
        <f t="shared" ca="1" si="99"/>
        <v/>
      </c>
      <c r="D487" s="153" t="str">
        <f ca="1">IF($A487="","",MAX($C$7:C487))</f>
        <v/>
      </c>
      <c r="E487" s="154" t="str">
        <f t="shared" ca="1" si="100"/>
        <v/>
      </c>
      <c r="F487" s="152" t="str">
        <f ca="1">IF($A487="","",Returns!$I$485)</f>
        <v/>
      </c>
      <c r="G487" s="153" t="str">
        <f t="shared" ca="1" si="101"/>
        <v/>
      </c>
      <c r="H487" s="153" t="str">
        <f ca="1">IF($A487="","",MAX($G$7:G487))</f>
        <v/>
      </c>
      <c r="I487" s="154" t="str">
        <f t="shared" ca="1" si="102"/>
        <v/>
      </c>
      <c r="J487" s="59" t="str">
        <f t="shared" ca="1" si="103"/>
        <v/>
      </c>
      <c r="K487" s="3"/>
      <c r="L487" t="str">
        <f t="shared" ca="1" si="91"/>
        <v/>
      </c>
      <c r="M487" s="132" t="str">
        <f t="shared" ca="1" si="92"/>
        <v/>
      </c>
      <c r="N487" s="132" t="str">
        <f t="shared" ca="1" si="93"/>
        <v/>
      </c>
      <c r="P487" t="str">
        <f t="shared" ca="1" si="94"/>
        <v/>
      </c>
      <c r="Q487" s="133" t="str">
        <f t="shared" ca="1" si="95"/>
        <v/>
      </c>
      <c r="R487" s="133" t="str">
        <f t="shared" ca="1" si="96"/>
        <v/>
      </c>
      <c r="T487" t="str">
        <f t="shared" ca="1" si="97"/>
        <v/>
      </c>
      <c r="U487" s="134" t="str">
        <f t="shared" ca="1" si="98"/>
        <v/>
      </c>
    </row>
    <row r="488" spans="1:21" x14ac:dyDescent="0.3">
      <c r="A488" s="151" t="str">
        <f ca="1">Returns!$A$486</f>
        <v/>
      </c>
      <c r="B488" s="152" t="str">
        <f ca="1">IF($A488="","",Returns!$J$486)</f>
        <v/>
      </c>
      <c r="C488" s="153" t="str">
        <f t="shared" ca="1" si="99"/>
        <v/>
      </c>
      <c r="D488" s="153" t="str">
        <f ca="1">IF($A488="","",MAX($C$7:C488))</f>
        <v/>
      </c>
      <c r="E488" s="154" t="str">
        <f t="shared" ca="1" si="100"/>
        <v/>
      </c>
      <c r="F488" s="152" t="str">
        <f ca="1">IF($A488="","",Returns!$I$486)</f>
        <v/>
      </c>
      <c r="G488" s="153" t="str">
        <f t="shared" ca="1" si="101"/>
        <v/>
      </c>
      <c r="H488" s="153" t="str">
        <f ca="1">IF($A488="","",MAX($G$7:G488))</f>
        <v/>
      </c>
      <c r="I488" s="154" t="str">
        <f t="shared" ca="1" si="102"/>
        <v/>
      </c>
      <c r="J488" s="59" t="str">
        <f t="shared" ca="1" si="103"/>
        <v/>
      </c>
      <c r="K488" s="3"/>
      <c r="L488" t="str">
        <f t="shared" ca="1" si="91"/>
        <v/>
      </c>
      <c r="M488" s="132" t="str">
        <f t="shared" ca="1" si="92"/>
        <v/>
      </c>
      <c r="N488" s="132" t="str">
        <f t="shared" ca="1" si="93"/>
        <v/>
      </c>
      <c r="P488" t="str">
        <f t="shared" ca="1" si="94"/>
        <v/>
      </c>
      <c r="Q488" s="133" t="str">
        <f t="shared" ca="1" si="95"/>
        <v/>
      </c>
      <c r="R488" s="133" t="str">
        <f t="shared" ca="1" si="96"/>
        <v/>
      </c>
      <c r="T488" t="str">
        <f t="shared" ca="1" si="97"/>
        <v/>
      </c>
      <c r="U488" s="134" t="str">
        <f t="shared" ca="1" si="98"/>
        <v/>
      </c>
    </row>
    <row r="489" spans="1:21" x14ac:dyDescent="0.3">
      <c r="A489" s="151" t="str">
        <f ca="1">Returns!$A$487</f>
        <v/>
      </c>
      <c r="B489" s="152" t="str">
        <f ca="1">IF($A489="","",Returns!$J$487)</f>
        <v/>
      </c>
      <c r="C489" s="153" t="str">
        <f t="shared" ca="1" si="99"/>
        <v/>
      </c>
      <c r="D489" s="153" t="str">
        <f ca="1">IF($A489="","",MAX($C$7:C489))</f>
        <v/>
      </c>
      <c r="E489" s="154" t="str">
        <f t="shared" ca="1" si="100"/>
        <v/>
      </c>
      <c r="F489" s="152" t="str">
        <f ca="1">IF($A489="","",Returns!$I$487)</f>
        <v/>
      </c>
      <c r="G489" s="153" t="str">
        <f t="shared" ca="1" si="101"/>
        <v/>
      </c>
      <c r="H489" s="153" t="str">
        <f ca="1">IF($A489="","",MAX($G$7:G489))</f>
        <v/>
      </c>
      <c r="I489" s="154" t="str">
        <f t="shared" ca="1" si="102"/>
        <v/>
      </c>
      <c r="J489" s="59" t="str">
        <f t="shared" ca="1" si="103"/>
        <v/>
      </c>
      <c r="K489" s="3"/>
      <c r="L489" t="str">
        <f t="shared" ca="1" si="91"/>
        <v/>
      </c>
      <c r="M489" s="132" t="str">
        <f t="shared" ca="1" si="92"/>
        <v/>
      </c>
      <c r="N489" s="132" t="str">
        <f t="shared" ca="1" si="93"/>
        <v/>
      </c>
      <c r="P489" t="str">
        <f t="shared" ca="1" si="94"/>
        <v/>
      </c>
      <c r="Q489" s="133" t="str">
        <f t="shared" ca="1" si="95"/>
        <v/>
      </c>
      <c r="R489" s="133" t="str">
        <f t="shared" ca="1" si="96"/>
        <v/>
      </c>
      <c r="T489" t="str">
        <f t="shared" ca="1" si="97"/>
        <v/>
      </c>
      <c r="U489" s="134" t="str">
        <f t="shared" ca="1" si="98"/>
        <v/>
      </c>
    </row>
    <row r="490" spans="1:21" x14ac:dyDescent="0.3">
      <c r="A490" s="151" t="str">
        <f ca="1">Returns!$A$488</f>
        <v/>
      </c>
      <c r="B490" s="152" t="str">
        <f ca="1">IF($A490="","",Returns!$J$488)</f>
        <v/>
      </c>
      <c r="C490" s="153" t="str">
        <f t="shared" ca="1" si="99"/>
        <v/>
      </c>
      <c r="D490" s="153" t="str">
        <f ca="1">IF($A490="","",MAX($C$7:C490))</f>
        <v/>
      </c>
      <c r="E490" s="154" t="str">
        <f t="shared" ca="1" si="100"/>
        <v/>
      </c>
      <c r="F490" s="152" t="str">
        <f ca="1">IF($A490="","",Returns!$I$488)</f>
        <v/>
      </c>
      <c r="G490" s="153" t="str">
        <f t="shared" ca="1" si="101"/>
        <v/>
      </c>
      <c r="H490" s="153" t="str">
        <f ca="1">IF($A490="","",MAX($G$7:G490))</f>
        <v/>
      </c>
      <c r="I490" s="154" t="str">
        <f t="shared" ca="1" si="102"/>
        <v/>
      </c>
      <c r="J490" s="59" t="str">
        <f t="shared" ca="1" si="103"/>
        <v/>
      </c>
      <c r="K490" s="3"/>
      <c r="L490" t="str">
        <f t="shared" ca="1" si="91"/>
        <v/>
      </c>
      <c r="M490" s="132" t="str">
        <f t="shared" ca="1" si="92"/>
        <v/>
      </c>
      <c r="N490" s="132" t="str">
        <f t="shared" ca="1" si="93"/>
        <v/>
      </c>
      <c r="P490" t="str">
        <f t="shared" ca="1" si="94"/>
        <v/>
      </c>
      <c r="Q490" s="133" t="str">
        <f t="shared" ca="1" si="95"/>
        <v/>
      </c>
      <c r="R490" s="133" t="str">
        <f t="shared" ca="1" si="96"/>
        <v/>
      </c>
      <c r="T490" t="str">
        <f t="shared" ca="1" si="97"/>
        <v/>
      </c>
      <c r="U490" s="134" t="str">
        <f t="shared" ca="1" si="98"/>
        <v/>
      </c>
    </row>
    <row r="491" spans="1:21" x14ac:dyDescent="0.3">
      <c r="A491" s="151" t="str">
        <f ca="1">Returns!$A$489</f>
        <v/>
      </c>
      <c r="B491" s="152" t="str">
        <f ca="1">IF($A491="","",Returns!$J$489)</f>
        <v/>
      </c>
      <c r="C491" s="153" t="str">
        <f t="shared" ca="1" si="99"/>
        <v/>
      </c>
      <c r="D491" s="153" t="str">
        <f ca="1">IF($A491="","",MAX($C$7:C491))</f>
        <v/>
      </c>
      <c r="E491" s="154" t="str">
        <f t="shared" ca="1" si="100"/>
        <v/>
      </c>
      <c r="F491" s="152" t="str">
        <f ca="1">IF($A491="","",Returns!$I$489)</f>
        <v/>
      </c>
      <c r="G491" s="153" t="str">
        <f t="shared" ca="1" si="101"/>
        <v/>
      </c>
      <c r="H491" s="153" t="str">
        <f ca="1">IF($A491="","",MAX($G$7:G491))</f>
        <v/>
      </c>
      <c r="I491" s="154" t="str">
        <f t="shared" ca="1" si="102"/>
        <v/>
      </c>
      <c r="J491" s="59" t="str">
        <f t="shared" ca="1" si="103"/>
        <v/>
      </c>
      <c r="K491" s="3"/>
      <c r="L491" t="str">
        <f t="shared" ca="1" si="91"/>
        <v/>
      </c>
      <c r="M491" s="132" t="str">
        <f t="shared" ca="1" si="92"/>
        <v/>
      </c>
      <c r="N491" s="132" t="str">
        <f t="shared" ca="1" si="93"/>
        <v/>
      </c>
      <c r="P491" t="str">
        <f t="shared" ca="1" si="94"/>
        <v/>
      </c>
      <c r="Q491" s="133" t="str">
        <f t="shared" ca="1" si="95"/>
        <v/>
      </c>
      <c r="R491" s="133" t="str">
        <f t="shared" ca="1" si="96"/>
        <v/>
      </c>
      <c r="T491" t="str">
        <f t="shared" ca="1" si="97"/>
        <v/>
      </c>
      <c r="U491" s="134" t="str">
        <f t="shared" ca="1" si="98"/>
        <v/>
      </c>
    </row>
    <row r="492" spans="1:21" x14ac:dyDescent="0.3">
      <c r="A492" s="151" t="str">
        <f ca="1">Returns!$A$490</f>
        <v/>
      </c>
      <c r="B492" s="152" t="str">
        <f ca="1">IF($A492="","",Returns!$J$490)</f>
        <v/>
      </c>
      <c r="C492" s="153" t="str">
        <f t="shared" ca="1" si="99"/>
        <v/>
      </c>
      <c r="D492" s="153" t="str">
        <f ca="1">IF($A492="","",MAX($C$7:C492))</f>
        <v/>
      </c>
      <c r="E492" s="154" t="str">
        <f t="shared" ca="1" si="100"/>
        <v/>
      </c>
      <c r="F492" s="152" t="str">
        <f ca="1">IF($A492="","",Returns!$I$490)</f>
        <v/>
      </c>
      <c r="G492" s="153" t="str">
        <f t="shared" ca="1" si="101"/>
        <v/>
      </c>
      <c r="H492" s="153" t="str">
        <f ca="1">IF($A492="","",MAX($G$7:G492))</f>
        <v/>
      </c>
      <c r="I492" s="154" t="str">
        <f t="shared" ca="1" si="102"/>
        <v/>
      </c>
      <c r="J492" s="59" t="str">
        <f t="shared" ca="1" si="103"/>
        <v/>
      </c>
      <c r="K492" s="3"/>
      <c r="L492" t="str">
        <f t="shared" ca="1" si="91"/>
        <v/>
      </c>
      <c r="M492" s="132" t="str">
        <f t="shared" ca="1" si="92"/>
        <v/>
      </c>
      <c r="N492" s="132" t="str">
        <f t="shared" ca="1" si="93"/>
        <v/>
      </c>
      <c r="P492" t="str">
        <f t="shared" ca="1" si="94"/>
        <v/>
      </c>
      <c r="Q492" s="133" t="str">
        <f t="shared" ca="1" si="95"/>
        <v/>
      </c>
      <c r="R492" s="133" t="str">
        <f t="shared" ca="1" si="96"/>
        <v/>
      </c>
      <c r="T492" t="str">
        <f t="shared" ca="1" si="97"/>
        <v/>
      </c>
      <c r="U492" s="134" t="str">
        <f t="shared" ca="1" si="98"/>
        <v/>
      </c>
    </row>
    <row r="493" spans="1:21" x14ac:dyDescent="0.3">
      <c r="A493" s="151" t="str">
        <f ca="1">Returns!$A$491</f>
        <v/>
      </c>
      <c r="B493" s="152" t="str">
        <f ca="1">IF($A493="","",Returns!$J$491)</f>
        <v/>
      </c>
      <c r="C493" s="153" t="str">
        <f t="shared" ca="1" si="99"/>
        <v/>
      </c>
      <c r="D493" s="153" t="str">
        <f ca="1">IF($A493="","",MAX($C$7:C493))</f>
        <v/>
      </c>
      <c r="E493" s="154" t="str">
        <f t="shared" ca="1" si="100"/>
        <v/>
      </c>
      <c r="F493" s="152" t="str">
        <f ca="1">IF($A493="","",Returns!$I$491)</f>
        <v/>
      </c>
      <c r="G493" s="153" t="str">
        <f t="shared" ca="1" si="101"/>
        <v/>
      </c>
      <c r="H493" s="153" t="str">
        <f ca="1">IF($A493="","",MAX($G$7:G493))</f>
        <v/>
      </c>
      <c r="I493" s="154" t="str">
        <f t="shared" ca="1" si="102"/>
        <v/>
      </c>
      <c r="J493" s="59" t="str">
        <f t="shared" ca="1" si="103"/>
        <v/>
      </c>
      <c r="K493" s="3"/>
      <c r="L493" t="str">
        <f t="shared" ca="1" si="91"/>
        <v/>
      </c>
      <c r="M493" s="132" t="str">
        <f t="shared" ca="1" si="92"/>
        <v/>
      </c>
      <c r="N493" s="132" t="str">
        <f t="shared" ca="1" si="93"/>
        <v/>
      </c>
      <c r="P493" t="str">
        <f t="shared" ca="1" si="94"/>
        <v/>
      </c>
      <c r="Q493" s="133" t="str">
        <f t="shared" ca="1" si="95"/>
        <v/>
      </c>
      <c r="R493" s="133" t="str">
        <f t="shared" ca="1" si="96"/>
        <v/>
      </c>
      <c r="T493" t="str">
        <f t="shared" ca="1" si="97"/>
        <v/>
      </c>
      <c r="U493" s="134" t="str">
        <f t="shared" ca="1" si="98"/>
        <v/>
      </c>
    </row>
    <row r="494" spans="1:21" x14ac:dyDescent="0.3">
      <c r="A494" s="151" t="str">
        <f ca="1">Returns!$A$492</f>
        <v/>
      </c>
      <c r="B494" s="152" t="str">
        <f ca="1">IF($A494="","",Returns!$J$492)</f>
        <v/>
      </c>
      <c r="C494" s="153" t="str">
        <f t="shared" ca="1" si="99"/>
        <v/>
      </c>
      <c r="D494" s="153" t="str">
        <f ca="1">IF($A494="","",MAX($C$7:C494))</f>
        <v/>
      </c>
      <c r="E494" s="154" t="str">
        <f t="shared" ca="1" si="100"/>
        <v/>
      </c>
      <c r="F494" s="152" t="str">
        <f ca="1">IF($A494="","",Returns!$I$492)</f>
        <v/>
      </c>
      <c r="G494" s="153" t="str">
        <f t="shared" ca="1" si="101"/>
        <v/>
      </c>
      <c r="H494" s="153" t="str">
        <f ca="1">IF($A494="","",MAX($G$7:G494))</f>
        <v/>
      </c>
      <c r="I494" s="154" t="str">
        <f t="shared" ca="1" si="102"/>
        <v/>
      </c>
      <c r="J494" s="59" t="str">
        <f t="shared" ca="1" si="103"/>
        <v/>
      </c>
      <c r="K494" s="3"/>
      <c r="L494" t="str">
        <f t="shared" ca="1" si="91"/>
        <v/>
      </c>
      <c r="M494" s="132" t="str">
        <f t="shared" ca="1" si="92"/>
        <v/>
      </c>
      <c r="N494" s="132" t="str">
        <f t="shared" ca="1" si="93"/>
        <v/>
      </c>
      <c r="P494" t="str">
        <f t="shared" ca="1" si="94"/>
        <v/>
      </c>
      <c r="Q494" s="133" t="str">
        <f t="shared" ca="1" si="95"/>
        <v/>
      </c>
      <c r="R494" s="133" t="str">
        <f t="shared" ca="1" si="96"/>
        <v/>
      </c>
      <c r="T494" t="str">
        <f t="shared" ca="1" si="97"/>
        <v/>
      </c>
      <c r="U494" s="134" t="str">
        <f t="shared" ca="1" si="98"/>
        <v/>
      </c>
    </row>
    <row r="495" spans="1:21" x14ac:dyDescent="0.3">
      <c r="A495" s="151" t="str">
        <f ca="1">Returns!$A$493</f>
        <v/>
      </c>
      <c r="B495" s="152" t="str">
        <f ca="1">IF($A495="","",Returns!$J$493)</f>
        <v/>
      </c>
      <c r="C495" s="153" t="str">
        <f t="shared" ca="1" si="99"/>
        <v/>
      </c>
      <c r="D495" s="153" t="str">
        <f ca="1">IF($A495="","",MAX($C$7:C495))</f>
        <v/>
      </c>
      <c r="E495" s="154" t="str">
        <f t="shared" ca="1" si="100"/>
        <v/>
      </c>
      <c r="F495" s="152" t="str">
        <f ca="1">IF($A495="","",Returns!$I$493)</f>
        <v/>
      </c>
      <c r="G495" s="153" t="str">
        <f t="shared" ca="1" si="101"/>
        <v/>
      </c>
      <c r="H495" s="153" t="str">
        <f ca="1">IF($A495="","",MAX($G$7:G495))</f>
        <v/>
      </c>
      <c r="I495" s="154" t="str">
        <f t="shared" ca="1" si="102"/>
        <v/>
      </c>
      <c r="J495" s="59" t="str">
        <f t="shared" ca="1" si="103"/>
        <v/>
      </c>
      <c r="K495" s="3"/>
      <c r="L495" t="str">
        <f t="shared" ca="1" si="91"/>
        <v/>
      </c>
      <c r="M495" s="132" t="str">
        <f t="shared" ca="1" si="92"/>
        <v/>
      </c>
      <c r="N495" s="132" t="str">
        <f t="shared" ca="1" si="93"/>
        <v/>
      </c>
      <c r="P495" t="str">
        <f t="shared" ca="1" si="94"/>
        <v/>
      </c>
      <c r="Q495" s="133" t="str">
        <f t="shared" ca="1" si="95"/>
        <v/>
      </c>
      <c r="R495" s="133" t="str">
        <f t="shared" ca="1" si="96"/>
        <v/>
      </c>
      <c r="T495" t="str">
        <f t="shared" ca="1" si="97"/>
        <v/>
      </c>
      <c r="U495" s="134" t="str">
        <f t="shared" ca="1" si="98"/>
        <v/>
      </c>
    </row>
    <row r="496" spans="1:21" x14ac:dyDescent="0.3">
      <c r="A496" s="151" t="str">
        <f ca="1">Returns!$A$494</f>
        <v/>
      </c>
      <c r="B496" s="152" t="str">
        <f ca="1">IF($A496="","",Returns!$J$494)</f>
        <v/>
      </c>
      <c r="C496" s="153" t="str">
        <f t="shared" ca="1" si="99"/>
        <v/>
      </c>
      <c r="D496" s="153" t="str">
        <f ca="1">IF($A496="","",MAX($C$7:C496))</f>
        <v/>
      </c>
      <c r="E496" s="154" t="str">
        <f t="shared" ca="1" si="100"/>
        <v/>
      </c>
      <c r="F496" s="152" t="str">
        <f ca="1">IF($A496="","",Returns!$I$494)</f>
        <v/>
      </c>
      <c r="G496" s="153" t="str">
        <f t="shared" ca="1" si="101"/>
        <v/>
      </c>
      <c r="H496" s="153" t="str">
        <f ca="1">IF($A496="","",MAX($G$7:G496))</f>
        <v/>
      </c>
      <c r="I496" s="154" t="str">
        <f t="shared" ca="1" si="102"/>
        <v/>
      </c>
      <c r="J496" s="59" t="str">
        <f t="shared" ca="1" si="103"/>
        <v/>
      </c>
      <c r="K496" s="3"/>
      <c r="L496" t="str">
        <f t="shared" ca="1" si="91"/>
        <v/>
      </c>
      <c r="M496" s="132" t="str">
        <f t="shared" ca="1" si="92"/>
        <v/>
      </c>
      <c r="N496" s="132" t="str">
        <f t="shared" ca="1" si="93"/>
        <v/>
      </c>
      <c r="P496" t="str">
        <f t="shared" ca="1" si="94"/>
        <v/>
      </c>
      <c r="Q496" s="133" t="str">
        <f t="shared" ca="1" si="95"/>
        <v/>
      </c>
      <c r="R496" s="133" t="str">
        <f t="shared" ca="1" si="96"/>
        <v/>
      </c>
      <c r="T496" t="str">
        <f t="shared" ca="1" si="97"/>
        <v/>
      </c>
      <c r="U496" s="134" t="str">
        <f t="shared" ca="1" si="98"/>
        <v/>
      </c>
    </row>
    <row r="497" spans="1:21" x14ac:dyDescent="0.3">
      <c r="A497" s="151" t="str">
        <f ca="1">Returns!$A$495</f>
        <v/>
      </c>
      <c r="B497" s="152" t="str">
        <f ca="1">IF($A497="","",Returns!$J$495)</f>
        <v/>
      </c>
      <c r="C497" s="153" t="str">
        <f t="shared" ca="1" si="99"/>
        <v/>
      </c>
      <c r="D497" s="153" t="str">
        <f ca="1">IF($A497="","",MAX($C$7:C497))</f>
        <v/>
      </c>
      <c r="E497" s="154" t="str">
        <f t="shared" ca="1" si="100"/>
        <v/>
      </c>
      <c r="F497" s="152" t="str">
        <f ca="1">IF($A497="","",Returns!$I$495)</f>
        <v/>
      </c>
      <c r="G497" s="153" t="str">
        <f t="shared" ca="1" si="101"/>
        <v/>
      </c>
      <c r="H497" s="153" t="str">
        <f ca="1">IF($A497="","",MAX($G$7:G497))</f>
        <v/>
      </c>
      <c r="I497" s="154" t="str">
        <f t="shared" ca="1" si="102"/>
        <v/>
      </c>
      <c r="J497" s="59" t="str">
        <f t="shared" ca="1" si="103"/>
        <v/>
      </c>
      <c r="K497" s="3"/>
      <c r="L497" t="str">
        <f t="shared" ca="1" si="91"/>
        <v/>
      </c>
      <c r="M497" s="132" t="str">
        <f t="shared" ca="1" si="92"/>
        <v/>
      </c>
      <c r="N497" s="132" t="str">
        <f t="shared" ca="1" si="93"/>
        <v/>
      </c>
      <c r="P497" t="str">
        <f t="shared" ca="1" si="94"/>
        <v/>
      </c>
      <c r="Q497" s="133" t="str">
        <f t="shared" ca="1" si="95"/>
        <v/>
      </c>
      <c r="R497" s="133" t="str">
        <f t="shared" ca="1" si="96"/>
        <v/>
      </c>
      <c r="T497" t="str">
        <f t="shared" ca="1" si="97"/>
        <v/>
      </c>
      <c r="U497" s="134" t="str">
        <f t="shared" ca="1" si="98"/>
        <v/>
      </c>
    </row>
    <row r="498" spans="1:21" x14ac:dyDescent="0.3">
      <c r="A498" s="151" t="str">
        <f ca="1">Returns!$A$496</f>
        <v/>
      </c>
      <c r="B498" s="152" t="str">
        <f ca="1">IF($A498="","",Returns!$J$496)</f>
        <v/>
      </c>
      <c r="C498" s="153" t="str">
        <f t="shared" ca="1" si="99"/>
        <v/>
      </c>
      <c r="D498" s="153" t="str">
        <f ca="1">IF($A498="","",MAX($C$7:C498))</f>
        <v/>
      </c>
      <c r="E498" s="154" t="str">
        <f t="shared" ca="1" si="100"/>
        <v/>
      </c>
      <c r="F498" s="152" t="str">
        <f ca="1">IF($A498="","",Returns!$I$496)</f>
        <v/>
      </c>
      <c r="G498" s="153" t="str">
        <f t="shared" ca="1" si="101"/>
        <v/>
      </c>
      <c r="H498" s="153" t="str">
        <f ca="1">IF($A498="","",MAX($G$7:G498))</f>
        <v/>
      </c>
      <c r="I498" s="154" t="str">
        <f t="shared" ca="1" si="102"/>
        <v/>
      </c>
      <c r="J498" s="59" t="str">
        <f t="shared" ca="1" si="103"/>
        <v/>
      </c>
      <c r="K498" s="3"/>
      <c r="L498" t="str">
        <f t="shared" ca="1" si="91"/>
        <v/>
      </c>
      <c r="M498" s="132" t="str">
        <f t="shared" ca="1" si="92"/>
        <v/>
      </c>
      <c r="N498" s="132" t="str">
        <f t="shared" ca="1" si="93"/>
        <v/>
      </c>
      <c r="P498" t="str">
        <f t="shared" ca="1" si="94"/>
        <v/>
      </c>
      <c r="Q498" s="133" t="str">
        <f t="shared" ca="1" si="95"/>
        <v/>
      </c>
      <c r="R498" s="133" t="str">
        <f t="shared" ca="1" si="96"/>
        <v/>
      </c>
      <c r="T498" t="str">
        <f t="shared" ca="1" si="97"/>
        <v/>
      </c>
      <c r="U498" s="134" t="str">
        <f t="shared" ca="1" si="98"/>
        <v/>
      </c>
    </row>
    <row r="499" spans="1:21" x14ac:dyDescent="0.3">
      <c r="A499" s="151" t="str">
        <f ca="1">Returns!$A$497</f>
        <v/>
      </c>
      <c r="B499" s="152" t="str">
        <f ca="1">IF($A499="","",Returns!$J$497)</f>
        <v/>
      </c>
      <c r="C499" s="153" t="str">
        <f t="shared" ca="1" si="99"/>
        <v/>
      </c>
      <c r="D499" s="153" t="str">
        <f ca="1">IF($A499="","",MAX($C$7:C499))</f>
        <v/>
      </c>
      <c r="E499" s="154" t="str">
        <f t="shared" ca="1" si="100"/>
        <v/>
      </c>
      <c r="F499" s="152" t="str">
        <f ca="1">IF($A499="","",Returns!$I$497)</f>
        <v/>
      </c>
      <c r="G499" s="153" t="str">
        <f t="shared" ca="1" si="101"/>
        <v/>
      </c>
      <c r="H499" s="153" t="str">
        <f ca="1">IF($A499="","",MAX($G$7:G499))</f>
        <v/>
      </c>
      <c r="I499" s="154" t="str">
        <f t="shared" ca="1" si="102"/>
        <v/>
      </c>
      <c r="J499" s="59" t="str">
        <f t="shared" ca="1" si="103"/>
        <v/>
      </c>
      <c r="K499" s="3"/>
      <c r="L499" t="str">
        <f t="shared" ca="1" si="91"/>
        <v/>
      </c>
      <c r="M499" s="132" t="str">
        <f t="shared" ca="1" si="92"/>
        <v/>
      </c>
      <c r="N499" s="132" t="str">
        <f t="shared" ca="1" si="93"/>
        <v/>
      </c>
      <c r="P499" t="str">
        <f t="shared" ca="1" si="94"/>
        <v/>
      </c>
      <c r="Q499" s="133" t="str">
        <f t="shared" ca="1" si="95"/>
        <v/>
      </c>
      <c r="R499" s="133" t="str">
        <f t="shared" ca="1" si="96"/>
        <v/>
      </c>
      <c r="T499" t="str">
        <f t="shared" ca="1" si="97"/>
        <v/>
      </c>
      <c r="U499" s="134" t="str">
        <f t="shared" ca="1" si="98"/>
        <v/>
      </c>
    </row>
    <row r="500" spans="1:21" x14ac:dyDescent="0.3">
      <c r="A500" s="151" t="str">
        <f ca="1">Returns!$A$498</f>
        <v/>
      </c>
      <c r="B500" s="152" t="str">
        <f ca="1">IF($A500="","",Returns!$J$498)</f>
        <v/>
      </c>
      <c r="C500" s="153" t="str">
        <f t="shared" ca="1" si="99"/>
        <v/>
      </c>
      <c r="D500" s="153" t="str">
        <f ca="1">IF($A500="","",MAX($C$7:C500))</f>
        <v/>
      </c>
      <c r="E500" s="154" t="str">
        <f t="shared" ca="1" si="100"/>
        <v/>
      </c>
      <c r="F500" s="152" t="str">
        <f ca="1">IF($A500="","",Returns!$I$498)</f>
        <v/>
      </c>
      <c r="G500" s="153" t="str">
        <f t="shared" ca="1" si="101"/>
        <v/>
      </c>
      <c r="H500" s="153" t="str">
        <f ca="1">IF($A500="","",MAX($G$7:G500))</f>
        <v/>
      </c>
      <c r="I500" s="154" t="str">
        <f t="shared" ca="1" si="102"/>
        <v/>
      </c>
      <c r="J500" s="59" t="str">
        <f t="shared" ca="1" si="103"/>
        <v/>
      </c>
      <c r="K500" s="3"/>
      <c r="L500" t="str">
        <f t="shared" ca="1" si="91"/>
        <v/>
      </c>
      <c r="M500" s="132" t="str">
        <f t="shared" ca="1" si="92"/>
        <v/>
      </c>
      <c r="N500" s="132" t="str">
        <f t="shared" ca="1" si="93"/>
        <v/>
      </c>
      <c r="P500" t="str">
        <f t="shared" ca="1" si="94"/>
        <v/>
      </c>
      <c r="Q500" s="133" t="str">
        <f t="shared" ca="1" si="95"/>
        <v/>
      </c>
      <c r="R500" s="133" t="str">
        <f t="shared" ca="1" si="96"/>
        <v/>
      </c>
      <c r="T500" t="str">
        <f t="shared" ca="1" si="97"/>
        <v/>
      </c>
      <c r="U500" s="134" t="str">
        <f t="shared" ca="1" si="98"/>
        <v/>
      </c>
    </row>
    <row r="501" spans="1:21" x14ac:dyDescent="0.3">
      <c r="A501" s="151" t="str">
        <f ca="1">Returns!$A$499</f>
        <v/>
      </c>
      <c r="B501" s="152" t="str">
        <f ca="1">IF($A501="","",Returns!$J$499)</f>
        <v/>
      </c>
      <c r="C501" s="153" t="str">
        <f t="shared" ca="1" si="99"/>
        <v/>
      </c>
      <c r="D501" s="153" t="str">
        <f ca="1">IF($A501="","",MAX($C$7:C501))</f>
        <v/>
      </c>
      <c r="E501" s="154" t="str">
        <f t="shared" ca="1" si="100"/>
        <v/>
      </c>
      <c r="F501" s="152" t="str">
        <f ca="1">IF($A501="","",Returns!$I$499)</f>
        <v/>
      </c>
      <c r="G501" s="153" t="str">
        <f t="shared" ca="1" si="101"/>
        <v/>
      </c>
      <c r="H501" s="153" t="str">
        <f ca="1">IF($A501="","",MAX($G$7:G501))</f>
        <v/>
      </c>
      <c r="I501" s="154" t="str">
        <f t="shared" ca="1" si="102"/>
        <v/>
      </c>
      <c r="J501" s="59" t="str">
        <f t="shared" ca="1" si="103"/>
        <v/>
      </c>
      <c r="K501" s="3"/>
      <c r="L501" t="str">
        <f t="shared" ca="1" si="91"/>
        <v/>
      </c>
      <c r="M501" s="132" t="str">
        <f t="shared" ca="1" si="92"/>
        <v/>
      </c>
      <c r="N501" s="132" t="str">
        <f t="shared" ca="1" si="93"/>
        <v/>
      </c>
      <c r="P501" t="str">
        <f t="shared" ca="1" si="94"/>
        <v/>
      </c>
      <c r="Q501" s="133" t="str">
        <f t="shared" ca="1" si="95"/>
        <v/>
      </c>
      <c r="R501" s="133" t="str">
        <f t="shared" ca="1" si="96"/>
        <v/>
      </c>
      <c r="T501" t="str">
        <f t="shared" ca="1" si="97"/>
        <v/>
      </c>
      <c r="U501" s="134" t="str">
        <f t="shared" ca="1" si="98"/>
        <v/>
      </c>
    </row>
    <row r="502" spans="1:21" x14ac:dyDescent="0.3">
      <c r="A502" s="151" t="str">
        <f ca="1">Returns!$A$500</f>
        <v/>
      </c>
      <c r="B502" s="152" t="str">
        <f ca="1">IF($A502="","",Returns!$J$500)</f>
        <v/>
      </c>
      <c r="C502" s="153" t="str">
        <f t="shared" ca="1" si="99"/>
        <v/>
      </c>
      <c r="D502" s="153" t="str">
        <f ca="1">IF($A502="","",MAX($C$7:C502))</f>
        <v/>
      </c>
      <c r="E502" s="154" t="str">
        <f t="shared" ca="1" si="100"/>
        <v/>
      </c>
      <c r="F502" s="152" t="str">
        <f ca="1">IF($A502="","",Returns!$I$500)</f>
        <v/>
      </c>
      <c r="G502" s="153" t="str">
        <f t="shared" ca="1" si="101"/>
        <v/>
      </c>
      <c r="H502" s="153" t="str">
        <f ca="1">IF($A502="","",MAX($G$7:G502))</f>
        <v/>
      </c>
      <c r="I502" s="154" t="str">
        <f t="shared" ca="1" si="102"/>
        <v/>
      </c>
      <c r="J502" s="59" t="str">
        <f t="shared" ca="1" si="103"/>
        <v/>
      </c>
      <c r="K502" s="3"/>
      <c r="L502" t="str">
        <f t="shared" ca="1" si="91"/>
        <v/>
      </c>
      <c r="M502" s="132" t="str">
        <f t="shared" ca="1" si="92"/>
        <v/>
      </c>
      <c r="N502" s="132" t="str">
        <f t="shared" ca="1" si="93"/>
        <v/>
      </c>
      <c r="P502" t="str">
        <f t="shared" ca="1" si="94"/>
        <v/>
      </c>
      <c r="Q502" s="133" t="str">
        <f t="shared" ca="1" si="95"/>
        <v/>
      </c>
      <c r="R502" s="133" t="str">
        <f t="shared" ca="1" si="96"/>
        <v/>
      </c>
      <c r="T502" t="str">
        <f t="shared" ca="1" si="97"/>
        <v/>
      </c>
      <c r="U502" s="134" t="str">
        <f t="shared" ca="1" si="98"/>
        <v/>
      </c>
    </row>
    <row r="503" spans="1:21" x14ac:dyDescent="0.3">
      <c r="A503" s="151" t="str">
        <f ca="1">Returns!$A$501</f>
        <v/>
      </c>
      <c r="B503" s="152" t="str">
        <f ca="1">IF($A503="","",Returns!$J$501)</f>
        <v/>
      </c>
      <c r="C503" s="153" t="str">
        <f t="shared" ca="1" si="99"/>
        <v/>
      </c>
      <c r="D503" s="153" t="str">
        <f ca="1">IF($A503="","",MAX($C$7:C503))</f>
        <v/>
      </c>
      <c r="E503" s="154" t="str">
        <f t="shared" ca="1" si="100"/>
        <v/>
      </c>
      <c r="F503" s="152" t="str">
        <f ca="1">IF($A503="","",Returns!$I$501)</f>
        <v/>
      </c>
      <c r="G503" s="153" t="str">
        <f t="shared" ca="1" si="101"/>
        <v/>
      </c>
      <c r="H503" s="153" t="str">
        <f ca="1">IF($A503="","",MAX($G$7:G503))</f>
        <v/>
      </c>
      <c r="I503" s="154" t="str">
        <f t="shared" ca="1" si="102"/>
        <v/>
      </c>
      <c r="J503" s="59" t="str">
        <f t="shared" ca="1" si="103"/>
        <v/>
      </c>
      <c r="K503" s="3"/>
      <c r="L503" t="str">
        <f t="shared" ca="1" si="91"/>
        <v/>
      </c>
      <c r="M503" s="132" t="str">
        <f t="shared" ca="1" si="92"/>
        <v/>
      </c>
      <c r="N503" s="132" t="str">
        <f t="shared" ca="1" si="93"/>
        <v/>
      </c>
      <c r="P503" t="str">
        <f t="shared" ca="1" si="94"/>
        <v/>
      </c>
      <c r="Q503" s="133" t="str">
        <f t="shared" ca="1" si="95"/>
        <v/>
      </c>
      <c r="R503" s="133" t="str">
        <f t="shared" ca="1" si="96"/>
        <v/>
      </c>
      <c r="T503" t="str">
        <f t="shared" ca="1" si="97"/>
        <v/>
      </c>
      <c r="U503" s="134" t="str">
        <f t="shared" ca="1" si="98"/>
        <v/>
      </c>
    </row>
    <row r="504" spans="1:21" x14ac:dyDescent="0.3">
      <c r="A504" s="151" t="str">
        <f ca="1">Returns!$A$502</f>
        <v/>
      </c>
      <c r="B504" s="152" t="str">
        <f ca="1">IF($A504="","",Returns!$J$502)</f>
        <v/>
      </c>
      <c r="C504" s="153" t="str">
        <f t="shared" ca="1" si="99"/>
        <v/>
      </c>
      <c r="D504" s="153" t="str">
        <f ca="1">IF($A504="","",MAX($C$7:C504))</f>
        <v/>
      </c>
      <c r="E504" s="154" t="str">
        <f t="shared" ca="1" si="100"/>
        <v/>
      </c>
      <c r="F504" s="152" t="str">
        <f ca="1">IF($A504="","",Returns!$I$502)</f>
        <v/>
      </c>
      <c r="G504" s="153" t="str">
        <f t="shared" ca="1" si="101"/>
        <v/>
      </c>
      <c r="H504" s="153" t="str">
        <f ca="1">IF($A504="","",MAX($G$7:G504))</f>
        <v/>
      </c>
      <c r="I504" s="154" t="str">
        <f t="shared" ca="1" si="102"/>
        <v/>
      </c>
      <c r="J504" s="59" t="str">
        <f t="shared" ca="1" si="103"/>
        <v/>
      </c>
      <c r="K504" s="3"/>
      <c r="L504" t="str">
        <f t="shared" ca="1" si="91"/>
        <v/>
      </c>
      <c r="M504" s="132" t="str">
        <f t="shared" ca="1" si="92"/>
        <v/>
      </c>
      <c r="N504" s="132" t="str">
        <f t="shared" ca="1" si="93"/>
        <v/>
      </c>
      <c r="P504" t="str">
        <f t="shared" ca="1" si="94"/>
        <v/>
      </c>
      <c r="Q504" s="133" t="str">
        <f t="shared" ca="1" si="95"/>
        <v/>
      </c>
      <c r="R504" s="133" t="str">
        <f t="shared" ca="1" si="96"/>
        <v/>
      </c>
      <c r="T504" t="str">
        <f t="shared" ca="1" si="97"/>
        <v/>
      </c>
      <c r="U504" s="134" t="str">
        <f t="shared" ca="1" si="98"/>
        <v/>
      </c>
    </row>
    <row r="505" spans="1:21" x14ac:dyDescent="0.3">
      <c r="A505" s="151" t="str">
        <f ca="1">Returns!$A$503</f>
        <v/>
      </c>
      <c r="B505" s="152" t="str">
        <f ca="1">IF($A505="","",Returns!$J$503)</f>
        <v/>
      </c>
      <c r="C505" s="153" t="str">
        <f t="shared" ca="1" si="99"/>
        <v/>
      </c>
      <c r="D505" s="153" t="str">
        <f ca="1">IF($A505="","",MAX($C$7:C505))</f>
        <v/>
      </c>
      <c r="E505" s="154" t="str">
        <f t="shared" ca="1" si="100"/>
        <v/>
      </c>
      <c r="F505" s="152" t="str">
        <f ca="1">IF($A505="","",Returns!$I$503)</f>
        <v/>
      </c>
      <c r="G505" s="153" t="str">
        <f t="shared" ca="1" si="101"/>
        <v/>
      </c>
      <c r="H505" s="153" t="str">
        <f ca="1">IF($A505="","",MAX($G$7:G505))</f>
        <v/>
      </c>
      <c r="I505" s="154" t="str">
        <f t="shared" ca="1" si="102"/>
        <v/>
      </c>
      <c r="J505" s="59" t="str">
        <f t="shared" ca="1" si="103"/>
        <v/>
      </c>
      <c r="K505" s="3"/>
      <c r="L505" t="str">
        <f t="shared" ca="1" si="91"/>
        <v/>
      </c>
      <c r="M505" s="132" t="str">
        <f t="shared" ca="1" si="92"/>
        <v/>
      </c>
      <c r="N505" s="132" t="str">
        <f t="shared" ca="1" si="93"/>
        <v/>
      </c>
      <c r="P505" t="str">
        <f t="shared" ca="1" si="94"/>
        <v/>
      </c>
      <c r="Q505" s="133" t="str">
        <f t="shared" ca="1" si="95"/>
        <v/>
      </c>
      <c r="R505" s="133" t="str">
        <f t="shared" ca="1" si="96"/>
        <v/>
      </c>
      <c r="T505" t="str">
        <f t="shared" ca="1" si="97"/>
        <v/>
      </c>
      <c r="U505" s="134" t="str">
        <f t="shared" ca="1" si="98"/>
        <v/>
      </c>
    </row>
    <row r="506" spans="1:21" x14ac:dyDescent="0.3">
      <c r="A506" s="151" t="str">
        <f ca="1">Returns!$A$504</f>
        <v/>
      </c>
      <c r="B506" s="152" t="str">
        <f ca="1">IF($A506="","",Returns!$J$504)</f>
        <v/>
      </c>
      <c r="C506" s="153" t="str">
        <f t="shared" ca="1" si="99"/>
        <v/>
      </c>
      <c r="D506" s="153" t="str">
        <f ca="1">IF($A506="","",MAX($C$7:C506))</f>
        <v/>
      </c>
      <c r="E506" s="154" t="str">
        <f t="shared" ca="1" si="100"/>
        <v/>
      </c>
      <c r="F506" s="152" t="str">
        <f ca="1">IF($A506="","",Returns!$I$504)</f>
        <v/>
      </c>
      <c r="G506" s="153" t="str">
        <f t="shared" ca="1" si="101"/>
        <v/>
      </c>
      <c r="H506" s="153" t="str">
        <f ca="1">IF($A506="","",MAX($G$7:G506))</f>
        <v/>
      </c>
      <c r="I506" s="154" t="str">
        <f t="shared" ca="1" si="102"/>
        <v/>
      </c>
      <c r="J506" s="59" t="str">
        <f t="shared" ca="1" si="103"/>
        <v/>
      </c>
      <c r="K506" s="3"/>
      <c r="L506" t="str">
        <f t="shared" ca="1" si="91"/>
        <v/>
      </c>
      <c r="M506" s="132" t="str">
        <f t="shared" ca="1" si="92"/>
        <v/>
      </c>
      <c r="N506" s="132" t="str">
        <f t="shared" ca="1" si="93"/>
        <v/>
      </c>
      <c r="P506" t="str">
        <f t="shared" ca="1" si="94"/>
        <v/>
      </c>
      <c r="Q506" s="133" t="str">
        <f t="shared" ca="1" si="95"/>
        <v/>
      </c>
      <c r="R506" s="133" t="str">
        <f t="shared" ca="1" si="96"/>
        <v/>
      </c>
      <c r="T506" t="str">
        <f t="shared" ca="1" si="97"/>
        <v/>
      </c>
      <c r="U506" s="134" t="str">
        <f t="shared" ca="1" si="98"/>
        <v/>
      </c>
    </row>
    <row r="507" spans="1:21" x14ac:dyDescent="0.3">
      <c r="A507" s="151" t="str">
        <f ca="1">Returns!$A$505</f>
        <v/>
      </c>
      <c r="B507" s="152" t="str">
        <f ca="1">IF($A507="","",Returns!$J$505)</f>
        <v/>
      </c>
      <c r="C507" s="153" t="str">
        <f t="shared" ca="1" si="99"/>
        <v/>
      </c>
      <c r="D507" s="153" t="str">
        <f ca="1">IF($A507="","",MAX($C$7:C507))</f>
        <v/>
      </c>
      <c r="E507" s="154" t="str">
        <f t="shared" ca="1" si="100"/>
        <v/>
      </c>
      <c r="F507" s="152" t="str">
        <f ca="1">IF($A507="","",Returns!$I$505)</f>
        <v/>
      </c>
      <c r="G507" s="153" t="str">
        <f t="shared" ca="1" si="101"/>
        <v/>
      </c>
      <c r="H507" s="153" t="str">
        <f ca="1">IF($A507="","",MAX($G$7:G507))</f>
        <v/>
      </c>
      <c r="I507" s="154" t="str">
        <f t="shared" ca="1" si="102"/>
        <v/>
      </c>
      <c r="J507" s="59" t="str">
        <f t="shared" ca="1" si="103"/>
        <v/>
      </c>
      <c r="K507" s="3"/>
      <c r="L507" t="str">
        <f t="shared" ca="1" si="91"/>
        <v/>
      </c>
      <c r="M507" s="132" t="str">
        <f t="shared" ca="1" si="92"/>
        <v/>
      </c>
      <c r="N507" s="132" t="str">
        <f t="shared" ca="1" si="93"/>
        <v/>
      </c>
      <c r="P507" t="str">
        <f t="shared" ca="1" si="94"/>
        <v/>
      </c>
      <c r="Q507" s="133" t="str">
        <f t="shared" ca="1" si="95"/>
        <v/>
      </c>
      <c r="R507" s="133" t="str">
        <f t="shared" ca="1" si="96"/>
        <v/>
      </c>
      <c r="T507" t="str">
        <f t="shared" ca="1" si="97"/>
        <v/>
      </c>
      <c r="U507" s="134" t="str">
        <f t="shared" ca="1" si="98"/>
        <v/>
      </c>
    </row>
    <row r="508" spans="1:21" x14ac:dyDescent="0.3">
      <c r="A508" s="151" t="str">
        <f ca="1">Returns!$A$506</f>
        <v/>
      </c>
      <c r="B508" s="152" t="str">
        <f ca="1">IF($A508="","",Returns!$J$506)</f>
        <v/>
      </c>
      <c r="C508" s="153" t="str">
        <f t="shared" ca="1" si="99"/>
        <v/>
      </c>
      <c r="D508" s="153" t="str">
        <f ca="1">IF($A508="","",MAX($C$7:C508))</f>
        <v/>
      </c>
      <c r="E508" s="154" t="str">
        <f t="shared" ca="1" si="100"/>
        <v/>
      </c>
      <c r="F508" s="152" t="str">
        <f ca="1">IF($A508="","",Returns!$I$506)</f>
        <v/>
      </c>
      <c r="G508" s="153" t="str">
        <f t="shared" ca="1" si="101"/>
        <v/>
      </c>
      <c r="H508" s="153" t="str">
        <f ca="1">IF($A508="","",MAX($G$7:G508))</f>
        <v/>
      </c>
      <c r="I508" s="154" t="str">
        <f t="shared" ca="1" si="102"/>
        <v/>
      </c>
      <c r="J508" s="59" t="str">
        <f t="shared" ca="1" si="103"/>
        <v/>
      </c>
      <c r="K508" s="3"/>
      <c r="L508" t="str">
        <f t="shared" ca="1" si="91"/>
        <v/>
      </c>
      <c r="M508" s="132" t="str">
        <f t="shared" ca="1" si="92"/>
        <v/>
      </c>
      <c r="N508" s="132" t="str">
        <f t="shared" ca="1" si="93"/>
        <v/>
      </c>
      <c r="P508" t="str">
        <f t="shared" ca="1" si="94"/>
        <v/>
      </c>
      <c r="Q508" s="133" t="str">
        <f t="shared" ca="1" si="95"/>
        <v/>
      </c>
      <c r="R508" s="133" t="str">
        <f t="shared" ca="1" si="96"/>
        <v/>
      </c>
      <c r="T508" t="str">
        <f t="shared" ca="1" si="97"/>
        <v/>
      </c>
      <c r="U508" s="134" t="str">
        <f t="shared" ca="1" si="98"/>
        <v/>
      </c>
    </row>
    <row r="509" spans="1:21" x14ac:dyDescent="0.3">
      <c r="A509" s="151" t="str">
        <f ca="1">Returns!$A$507</f>
        <v/>
      </c>
      <c r="B509" s="152" t="str">
        <f ca="1">IF($A509="","",Returns!$J$507)</f>
        <v/>
      </c>
      <c r="C509" s="153" t="str">
        <f t="shared" ca="1" si="99"/>
        <v/>
      </c>
      <c r="D509" s="153" t="str">
        <f ca="1">IF($A509="","",MAX($C$7:C509))</f>
        <v/>
      </c>
      <c r="E509" s="154" t="str">
        <f t="shared" ca="1" si="100"/>
        <v/>
      </c>
      <c r="F509" s="152" t="str">
        <f ca="1">IF($A509="","",Returns!$I$507)</f>
        <v/>
      </c>
      <c r="G509" s="153" t="str">
        <f t="shared" ca="1" si="101"/>
        <v/>
      </c>
      <c r="H509" s="153" t="str">
        <f ca="1">IF($A509="","",MAX($G$7:G509))</f>
        <v/>
      </c>
      <c r="I509" s="154" t="str">
        <f t="shared" ca="1" si="102"/>
        <v/>
      </c>
      <c r="J509" s="59" t="str">
        <f t="shared" ca="1" si="103"/>
        <v/>
      </c>
      <c r="K509" s="3"/>
      <c r="L509" t="str">
        <f t="shared" ca="1" si="91"/>
        <v/>
      </c>
      <c r="M509" s="132" t="str">
        <f t="shared" ca="1" si="92"/>
        <v/>
      </c>
      <c r="N509" s="132" t="str">
        <f t="shared" ca="1" si="93"/>
        <v/>
      </c>
      <c r="P509" t="str">
        <f t="shared" ca="1" si="94"/>
        <v/>
      </c>
      <c r="Q509" s="133" t="str">
        <f t="shared" ca="1" si="95"/>
        <v/>
      </c>
      <c r="R509" s="133" t="str">
        <f t="shared" ca="1" si="96"/>
        <v/>
      </c>
      <c r="T509" t="str">
        <f t="shared" ca="1" si="97"/>
        <v/>
      </c>
      <c r="U509" s="134" t="str">
        <f t="shared" ca="1" si="98"/>
        <v/>
      </c>
    </row>
    <row r="510" spans="1:21" x14ac:dyDescent="0.3">
      <c r="A510" s="151" t="str">
        <f ca="1">Returns!$A$508</f>
        <v/>
      </c>
      <c r="B510" s="152" t="str">
        <f ca="1">IF($A510="","",Returns!$J$508)</f>
        <v/>
      </c>
      <c r="C510" s="153" t="str">
        <f t="shared" ca="1" si="99"/>
        <v/>
      </c>
      <c r="D510" s="153" t="str">
        <f ca="1">IF($A510="","",MAX($C$7:C510))</f>
        <v/>
      </c>
      <c r="E510" s="154" t="str">
        <f t="shared" ca="1" si="100"/>
        <v/>
      </c>
      <c r="F510" s="152" t="str">
        <f ca="1">IF($A510="","",Returns!$I$508)</f>
        <v/>
      </c>
      <c r="G510" s="153" t="str">
        <f t="shared" ca="1" si="101"/>
        <v/>
      </c>
      <c r="H510" s="153" t="str">
        <f ca="1">IF($A510="","",MAX($G$7:G510))</f>
        <v/>
      </c>
      <c r="I510" s="154" t="str">
        <f t="shared" ca="1" si="102"/>
        <v/>
      </c>
      <c r="J510" s="59" t="str">
        <f t="shared" ca="1" si="103"/>
        <v/>
      </c>
      <c r="K510" s="3"/>
      <c r="L510" t="str">
        <f t="shared" ca="1" si="91"/>
        <v/>
      </c>
      <c r="M510" s="132" t="str">
        <f t="shared" ca="1" si="92"/>
        <v/>
      </c>
      <c r="N510" s="132" t="str">
        <f t="shared" ca="1" si="93"/>
        <v/>
      </c>
      <c r="P510" t="str">
        <f t="shared" ca="1" si="94"/>
        <v/>
      </c>
      <c r="Q510" s="133" t="str">
        <f t="shared" ca="1" si="95"/>
        <v/>
      </c>
      <c r="R510" s="133" t="str">
        <f t="shared" ca="1" si="96"/>
        <v/>
      </c>
      <c r="T510" t="str">
        <f t="shared" ca="1" si="97"/>
        <v/>
      </c>
      <c r="U510" s="134" t="str">
        <f t="shared" ca="1" si="98"/>
        <v/>
      </c>
    </row>
    <row r="511" spans="1:21" x14ac:dyDescent="0.3">
      <c r="A511" s="151" t="str">
        <f ca="1">Returns!$A$509</f>
        <v/>
      </c>
      <c r="B511" s="152" t="str">
        <f ca="1">IF($A511="","",Returns!$J$509)</f>
        <v/>
      </c>
      <c r="C511" s="153" t="str">
        <f t="shared" ca="1" si="99"/>
        <v/>
      </c>
      <c r="D511" s="153" t="str">
        <f ca="1">IF($A511="","",MAX($C$7:C511))</f>
        <v/>
      </c>
      <c r="E511" s="154" t="str">
        <f t="shared" ca="1" si="100"/>
        <v/>
      </c>
      <c r="F511" s="152" t="str">
        <f ca="1">IF($A511="","",Returns!$I$509)</f>
        <v/>
      </c>
      <c r="G511" s="153" t="str">
        <f t="shared" ca="1" si="101"/>
        <v/>
      </c>
      <c r="H511" s="153" t="str">
        <f ca="1">IF($A511="","",MAX($G$7:G511))</f>
        <v/>
      </c>
      <c r="I511" s="154" t="str">
        <f t="shared" ca="1" si="102"/>
        <v/>
      </c>
      <c r="J511" s="59" t="str">
        <f t="shared" ca="1" si="103"/>
        <v/>
      </c>
      <c r="K511" s="3"/>
      <c r="L511" t="str">
        <f t="shared" ca="1" si="91"/>
        <v/>
      </c>
      <c r="M511" s="132" t="str">
        <f t="shared" ca="1" si="92"/>
        <v/>
      </c>
      <c r="N511" s="132" t="str">
        <f t="shared" ca="1" si="93"/>
        <v/>
      </c>
      <c r="P511" t="str">
        <f t="shared" ca="1" si="94"/>
        <v/>
      </c>
      <c r="Q511" s="133" t="str">
        <f t="shared" ca="1" si="95"/>
        <v/>
      </c>
      <c r="R511" s="133" t="str">
        <f t="shared" ca="1" si="96"/>
        <v/>
      </c>
      <c r="T511" t="str">
        <f t="shared" ca="1" si="97"/>
        <v/>
      </c>
      <c r="U511" s="134" t="str">
        <f t="shared" ca="1" si="98"/>
        <v/>
      </c>
    </row>
    <row r="512" spans="1:21" x14ac:dyDescent="0.3">
      <c r="A512" s="151" t="str">
        <f ca="1">Returns!$A$510</f>
        <v/>
      </c>
      <c r="B512" s="152" t="str">
        <f ca="1">IF($A512="","",Returns!$J$510)</f>
        <v/>
      </c>
      <c r="C512" s="153" t="str">
        <f t="shared" ca="1" si="99"/>
        <v/>
      </c>
      <c r="D512" s="153" t="str">
        <f ca="1">IF($A512="","",MAX($C$7:C512))</f>
        <v/>
      </c>
      <c r="E512" s="154" t="str">
        <f t="shared" ca="1" si="100"/>
        <v/>
      </c>
      <c r="F512" s="152" t="str">
        <f ca="1">IF($A512="","",Returns!$I$510)</f>
        <v/>
      </c>
      <c r="G512" s="153" t="str">
        <f t="shared" ca="1" si="101"/>
        <v/>
      </c>
      <c r="H512" s="153" t="str">
        <f ca="1">IF($A512="","",MAX($G$7:G512))</f>
        <v/>
      </c>
      <c r="I512" s="154" t="str">
        <f t="shared" ca="1" si="102"/>
        <v/>
      </c>
      <c r="J512" s="59" t="str">
        <f t="shared" ca="1" si="103"/>
        <v/>
      </c>
      <c r="K512" s="3"/>
      <c r="L512" t="str">
        <f t="shared" ca="1" si="91"/>
        <v/>
      </c>
      <c r="M512" s="132" t="str">
        <f t="shared" ca="1" si="92"/>
        <v/>
      </c>
      <c r="N512" s="132" t="str">
        <f t="shared" ca="1" si="93"/>
        <v/>
      </c>
      <c r="P512" t="str">
        <f t="shared" ca="1" si="94"/>
        <v/>
      </c>
      <c r="Q512" s="133" t="str">
        <f t="shared" ca="1" si="95"/>
        <v/>
      </c>
      <c r="R512" s="133" t="str">
        <f t="shared" ca="1" si="96"/>
        <v/>
      </c>
      <c r="T512" t="str">
        <f t="shared" ca="1" si="97"/>
        <v/>
      </c>
      <c r="U512" s="134" t="str">
        <f t="shared" ca="1" si="98"/>
        <v/>
      </c>
    </row>
    <row r="513" spans="1:21" x14ac:dyDescent="0.3">
      <c r="A513" s="151" t="str">
        <f ca="1">Returns!$A$511</f>
        <v/>
      </c>
      <c r="B513" s="152" t="str">
        <f ca="1">IF($A513="","",Returns!$J$511)</f>
        <v/>
      </c>
      <c r="C513" s="153" t="str">
        <f t="shared" ca="1" si="99"/>
        <v/>
      </c>
      <c r="D513" s="153" t="str">
        <f ca="1">IF($A513="","",MAX($C$7:C513))</f>
        <v/>
      </c>
      <c r="E513" s="154" t="str">
        <f t="shared" ca="1" si="100"/>
        <v/>
      </c>
      <c r="F513" s="152" t="str">
        <f ca="1">IF($A513="","",Returns!$I$511)</f>
        <v/>
      </c>
      <c r="G513" s="153" t="str">
        <f t="shared" ca="1" si="101"/>
        <v/>
      </c>
      <c r="H513" s="153" t="str">
        <f ca="1">IF($A513="","",MAX($G$7:G513))</f>
        <v/>
      </c>
      <c r="I513" s="154" t="str">
        <f t="shared" ca="1" si="102"/>
        <v/>
      </c>
      <c r="J513" s="59" t="str">
        <f t="shared" ca="1" si="103"/>
        <v/>
      </c>
      <c r="K513" s="3"/>
      <c r="L513" t="str">
        <f t="shared" ca="1" si="91"/>
        <v/>
      </c>
      <c r="M513" s="132" t="str">
        <f t="shared" ca="1" si="92"/>
        <v/>
      </c>
      <c r="N513" s="132" t="str">
        <f t="shared" ca="1" si="93"/>
        <v/>
      </c>
      <c r="P513" t="str">
        <f t="shared" ca="1" si="94"/>
        <v/>
      </c>
      <c r="Q513" s="133" t="str">
        <f t="shared" ca="1" si="95"/>
        <v/>
      </c>
      <c r="R513" s="133" t="str">
        <f t="shared" ca="1" si="96"/>
        <v/>
      </c>
      <c r="T513" t="str">
        <f t="shared" ca="1" si="97"/>
        <v/>
      </c>
      <c r="U513" s="134" t="str">
        <f t="shared" ca="1" si="98"/>
        <v/>
      </c>
    </row>
    <row r="514" spans="1:21" x14ac:dyDescent="0.3">
      <c r="A514" s="151" t="str">
        <f ca="1">Returns!$A$512</f>
        <v/>
      </c>
      <c r="B514" s="152" t="str">
        <f ca="1">IF($A514="","",Returns!$J$512)</f>
        <v/>
      </c>
      <c r="C514" s="153" t="str">
        <f t="shared" ca="1" si="99"/>
        <v/>
      </c>
      <c r="D514" s="153" t="str">
        <f ca="1">IF($A514="","",MAX($C$7:C514))</f>
        <v/>
      </c>
      <c r="E514" s="154" t="str">
        <f t="shared" ca="1" si="100"/>
        <v/>
      </c>
      <c r="F514" s="152" t="str">
        <f ca="1">IF($A514="","",Returns!$I$512)</f>
        <v/>
      </c>
      <c r="G514" s="153" t="str">
        <f t="shared" ca="1" si="101"/>
        <v/>
      </c>
      <c r="H514" s="153" t="str">
        <f ca="1">IF($A514="","",MAX($G$7:G514))</f>
        <v/>
      </c>
      <c r="I514" s="154" t="str">
        <f t="shared" ca="1" si="102"/>
        <v/>
      </c>
      <c r="J514" s="59" t="str">
        <f t="shared" ca="1" si="103"/>
        <v/>
      </c>
      <c r="K514" s="3"/>
      <c r="L514" t="str">
        <f t="shared" ca="1" si="91"/>
        <v/>
      </c>
      <c r="M514" s="132" t="str">
        <f t="shared" ca="1" si="92"/>
        <v/>
      </c>
      <c r="N514" s="132" t="str">
        <f t="shared" ca="1" si="93"/>
        <v/>
      </c>
      <c r="P514" t="str">
        <f t="shared" ca="1" si="94"/>
        <v/>
      </c>
      <c r="Q514" s="133" t="str">
        <f t="shared" ca="1" si="95"/>
        <v/>
      </c>
      <c r="R514" s="133" t="str">
        <f t="shared" ca="1" si="96"/>
        <v/>
      </c>
      <c r="T514" t="str">
        <f t="shared" ca="1" si="97"/>
        <v/>
      </c>
      <c r="U514" s="134" t="str">
        <f t="shared" ca="1" si="98"/>
        <v/>
      </c>
    </row>
    <row r="515" spans="1:21" x14ac:dyDescent="0.3">
      <c r="A515" s="151" t="str">
        <f ca="1">Returns!$A$513</f>
        <v/>
      </c>
      <c r="B515" s="152" t="str">
        <f ca="1">IF($A515="","",Returns!$J$513)</f>
        <v/>
      </c>
      <c r="C515" s="153" t="str">
        <f t="shared" ca="1" si="99"/>
        <v/>
      </c>
      <c r="D515" s="153" t="str">
        <f ca="1">IF($A515="","",MAX($C$7:C515))</f>
        <v/>
      </c>
      <c r="E515" s="154" t="str">
        <f t="shared" ca="1" si="100"/>
        <v/>
      </c>
      <c r="F515" s="152" t="str">
        <f ca="1">IF($A515="","",Returns!$I$513)</f>
        <v/>
      </c>
      <c r="G515" s="153" t="str">
        <f t="shared" ca="1" si="101"/>
        <v/>
      </c>
      <c r="H515" s="153" t="str">
        <f ca="1">IF($A515="","",MAX($G$7:G515))</f>
        <v/>
      </c>
      <c r="I515" s="154" t="str">
        <f t="shared" ca="1" si="102"/>
        <v/>
      </c>
      <c r="J515" s="59" t="str">
        <f t="shared" ca="1" si="103"/>
        <v/>
      </c>
      <c r="K515" s="3"/>
      <c r="L515" t="str">
        <f t="shared" ca="1" si="91"/>
        <v/>
      </c>
      <c r="M515" s="132" t="str">
        <f t="shared" ca="1" si="92"/>
        <v/>
      </c>
      <c r="N515" s="132" t="str">
        <f t="shared" ca="1" si="93"/>
        <v/>
      </c>
      <c r="P515" t="str">
        <f t="shared" ca="1" si="94"/>
        <v/>
      </c>
      <c r="Q515" s="133" t="str">
        <f t="shared" ca="1" si="95"/>
        <v/>
      </c>
      <c r="R515" s="133" t="str">
        <f t="shared" ca="1" si="96"/>
        <v/>
      </c>
      <c r="T515" t="str">
        <f t="shared" ca="1" si="97"/>
        <v/>
      </c>
      <c r="U515" s="134" t="str">
        <f t="shared" ca="1" si="98"/>
        <v/>
      </c>
    </row>
    <row r="516" spans="1:21" x14ac:dyDescent="0.3">
      <c r="A516" s="151" t="str">
        <f ca="1">Returns!$A$514</f>
        <v/>
      </c>
      <c r="B516" s="152" t="str">
        <f ca="1">IF($A516="","",Returns!$J$514)</f>
        <v/>
      </c>
      <c r="C516" s="153" t="str">
        <f t="shared" ca="1" si="99"/>
        <v/>
      </c>
      <c r="D516" s="153" t="str">
        <f ca="1">IF($A516="","",MAX($C$7:C516))</f>
        <v/>
      </c>
      <c r="E516" s="154" t="str">
        <f t="shared" ca="1" si="100"/>
        <v/>
      </c>
      <c r="F516" s="152" t="str">
        <f ca="1">IF($A516="","",Returns!$I$514)</f>
        <v/>
      </c>
      <c r="G516" s="153" t="str">
        <f t="shared" ca="1" si="101"/>
        <v/>
      </c>
      <c r="H516" s="153" t="str">
        <f ca="1">IF($A516="","",MAX($G$7:G516))</f>
        <v/>
      </c>
      <c r="I516" s="154" t="str">
        <f t="shared" ca="1" si="102"/>
        <v/>
      </c>
      <c r="J516" s="59" t="str">
        <f t="shared" ca="1" si="103"/>
        <v/>
      </c>
      <c r="K516" s="3"/>
      <c r="L516" t="str">
        <f t="shared" ca="1" si="91"/>
        <v/>
      </c>
      <c r="M516" s="132" t="str">
        <f t="shared" ca="1" si="92"/>
        <v/>
      </c>
      <c r="N516" s="132" t="str">
        <f t="shared" ca="1" si="93"/>
        <v/>
      </c>
      <c r="P516" t="str">
        <f t="shared" ca="1" si="94"/>
        <v/>
      </c>
      <c r="Q516" s="133" t="str">
        <f t="shared" ca="1" si="95"/>
        <v/>
      </c>
      <c r="R516" s="133" t="str">
        <f t="shared" ca="1" si="96"/>
        <v/>
      </c>
      <c r="T516" t="str">
        <f t="shared" ca="1" si="97"/>
        <v/>
      </c>
      <c r="U516" s="134" t="str">
        <f t="shared" ca="1" si="98"/>
        <v/>
      </c>
    </row>
    <row r="517" spans="1:21" x14ac:dyDescent="0.3">
      <c r="A517" s="151" t="str">
        <f ca="1">Returns!$A$515</f>
        <v/>
      </c>
      <c r="B517" s="152" t="str">
        <f ca="1">IF($A517="","",Returns!$J$515)</f>
        <v/>
      </c>
      <c r="C517" s="153" t="str">
        <f t="shared" ca="1" si="99"/>
        <v/>
      </c>
      <c r="D517" s="153" t="str">
        <f ca="1">IF($A517="","",MAX($C$7:C517))</f>
        <v/>
      </c>
      <c r="E517" s="154" t="str">
        <f t="shared" ca="1" si="100"/>
        <v/>
      </c>
      <c r="F517" s="152" t="str">
        <f ca="1">IF($A517="","",Returns!$I$515)</f>
        <v/>
      </c>
      <c r="G517" s="153" t="str">
        <f t="shared" ca="1" si="101"/>
        <v/>
      </c>
      <c r="H517" s="153" t="str">
        <f ca="1">IF($A517="","",MAX($G$7:G517))</f>
        <v/>
      </c>
      <c r="I517" s="154" t="str">
        <f t="shared" ca="1" si="102"/>
        <v/>
      </c>
      <c r="J517" s="59" t="str">
        <f t="shared" ca="1" si="103"/>
        <v/>
      </c>
      <c r="K517" s="3"/>
      <c r="L517" t="str">
        <f t="shared" ca="1" si="91"/>
        <v/>
      </c>
      <c r="M517" s="132" t="str">
        <f t="shared" ca="1" si="92"/>
        <v/>
      </c>
      <c r="N517" s="132" t="str">
        <f t="shared" ca="1" si="93"/>
        <v/>
      </c>
      <c r="P517" t="str">
        <f t="shared" ca="1" si="94"/>
        <v/>
      </c>
      <c r="Q517" s="133" t="str">
        <f t="shared" ca="1" si="95"/>
        <v/>
      </c>
      <c r="R517" s="133" t="str">
        <f t="shared" ca="1" si="96"/>
        <v/>
      </c>
      <c r="T517" t="str">
        <f t="shared" ca="1" si="97"/>
        <v/>
      </c>
      <c r="U517" s="134" t="str">
        <f t="shared" ca="1" si="98"/>
        <v/>
      </c>
    </row>
    <row r="518" spans="1:21" x14ac:dyDescent="0.3">
      <c r="A518" s="151" t="str">
        <f ca="1">Returns!$A$516</f>
        <v/>
      </c>
      <c r="B518" s="152" t="str">
        <f ca="1">IF($A518="","",Returns!$J$516)</f>
        <v/>
      </c>
      <c r="C518" s="153" t="str">
        <f t="shared" ca="1" si="99"/>
        <v/>
      </c>
      <c r="D518" s="153" t="str">
        <f ca="1">IF($A518="","",MAX($C$7:C518))</f>
        <v/>
      </c>
      <c r="E518" s="154" t="str">
        <f t="shared" ca="1" si="100"/>
        <v/>
      </c>
      <c r="F518" s="152" t="str">
        <f ca="1">IF($A518="","",Returns!$I$516)</f>
        <v/>
      </c>
      <c r="G518" s="153" t="str">
        <f t="shared" ca="1" si="101"/>
        <v/>
      </c>
      <c r="H518" s="153" t="str">
        <f ca="1">IF($A518="","",MAX($G$7:G518))</f>
        <v/>
      </c>
      <c r="I518" s="154" t="str">
        <f t="shared" ca="1" si="102"/>
        <v/>
      </c>
      <c r="J518" s="59" t="str">
        <f t="shared" ca="1" si="103"/>
        <v/>
      </c>
      <c r="K518" s="3"/>
      <c r="L518" t="str">
        <f t="shared" ca="1" si="91"/>
        <v/>
      </c>
      <c r="M518" s="132" t="str">
        <f t="shared" ca="1" si="92"/>
        <v/>
      </c>
      <c r="N518" s="132" t="str">
        <f t="shared" ca="1" si="93"/>
        <v/>
      </c>
      <c r="P518" t="str">
        <f t="shared" ca="1" si="94"/>
        <v/>
      </c>
      <c r="Q518" s="133" t="str">
        <f t="shared" ca="1" si="95"/>
        <v/>
      </c>
      <c r="R518" s="133" t="str">
        <f t="shared" ca="1" si="96"/>
        <v/>
      </c>
      <c r="T518" t="str">
        <f t="shared" ca="1" si="97"/>
        <v/>
      </c>
      <c r="U518" s="134" t="str">
        <f t="shared" ca="1" si="98"/>
        <v/>
      </c>
    </row>
    <row r="519" spans="1:21" x14ac:dyDescent="0.3">
      <c r="A519" s="151" t="str">
        <f ca="1">Returns!$A$517</f>
        <v/>
      </c>
      <c r="B519" s="152" t="str">
        <f ca="1">IF($A519="","",Returns!$J$517)</f>
        <v/>
      </c>
      <c r="C519" s="153" t="str">
        <f t="shared" ca="1" si="99"/>
        <v/>
      </c>
      <c r="D519" s="153" t="str">
        <f ca="1">IF($A519="","",MAX($C$7:C519))</f>
        <v/>
      </c>
      <c r="E519" s="154" t="str">
        <f t="shared" ca="1" si="100"/>
        <v/>
      </c>
      <c r="F519" s="152" t="str">
        <f ca="1">IF($A519="","",Returns!$I$517)</f>
        <v/>
      </c>
      <c r="G519" s="153" t="str">
        <f t="shared" ca="1" si="101"/>
        <v/>
      </c>
      <c r="H519" s="153" t="str">
        <f ca="1">IF($A519="","",MAX($G$7:G519))</f>
        <v/>
      </c>
      <c r="I519" s="154" t="str">
        <f t="shared" ca="1" si="102"/>
        <v/>
      </c>
      <c r="J519" s="59" t="str">
        <f t="shared" ca="1" si="103"/>
        <v/>
      </c>
      <c r="K519" s="3"/>
      <c r="L519" t="str">
        <f t="shared" ref="L519:L582" ca="1" si="104">$J519</f>
        <v/>
      </c>
      <c r="M519" s="132" t="str">
        <f t="shared" ref="M519:M582" ca="1" si="105">$C519</f>
        <v/>
      </c>
      <c r="N519" s="132" t="str">
        <f t="shared" ref="N519:N582" ca="1" si="106">$G519</f>
        <v/>
      </c>
      <c r="P519" t="str">
        <f t="shared" ref="P519:P582" ca="1" si="107">$J519</f>
        <v/>
      </c>
      <c r="Q519" s="133" t="str">
        <f t="shared" ref="Q519:Q582" ca="1" si="108">$E519</f>
        <v/>
      </c>
      <c r="R519" s="133" t="str">
        <f t="shared" ref="R519:R582" ca="1" si="109">$I519</f>
        <v/>
      </c>
      <c r="T519" t="str">
        <f t="shared" ref="T519:T582" ca="1" si="110">$J519</f>
        <v/>
      </c>
      <c r="U519" s="134" t="str">
        <f t="shared" ref="U519:U582" ca="1" si="111">IF($A519="","",NotionalValue*$C519/IndexBase)</f>
        <v/>
      </c>
    </row>
    <row r="520" spans="1:21" x14ac:dyDescent="0.3">
      <c r="A520" s="151" t="str">
        <f ca="1">Returns!$A$518</f>
        <v/>
      </c>
      <c r="B520" s="152" t="str">
        <f ca="1">IF($A520="","",Returns!$J$518)</f>
        <v/>
      </c>
      <c r="C520" s="153" t="str">
        <f t="shared" ref="C520:C583" ca="1" si="112">IF($A520="","",C519*(1+$B520))</f>
        <v/>
      </c>
      <c r="D520" s="153" t="str">
        <f ca="1">IF($A520="","",MAX($C$7:C520))</f>
        <v/>
      </c>
      <c r="E520" s="154" t="str">
        <f t="shared" ref="E520:E583" ca="1" si="113">IF($A520="","",$C520/$D520-1)</f>
        <v/>
      </c>
      <c r="F520" s="152" t="str">
        <f ca="1">IF($A520="","",Returns!$I$518)</f>
        <v/>
      </c>
      <c r="G520" s="153" t="str">
        <f t="shared" ref="G520:G583" ca="1" si="114">IF($A520="","",G519*(1+$F520))</f>
        <v/>
      </c>
      <c r="H520" s="153" t="str">
        <f ca="1">IF($A520="","",MAX($G$7:G520))</f>
        <v/>
      </c>
      <c r="I520" s="154" t="str">
        <f t="shared" ref="I520:I583" ca="1" si="115">IF($A520="","",$G520/$H520-1)</f>
        <v/>
      </c>
      <c r="J520" s="59" t="str">
        <f t="shared" ref="J520:J583" ca="1" si="116">IF($A520="","",TEXT($A520,"mmm-yy"))</f>
        <v/>
      </c>
      <c r="K520" s="3"/>
      <c r="L520" t="str">
        <f t="shared" ca="1" si="104"/>
        <v/>
      </c>
      <c r="M520" s="132" t="str">
        <f t="shared" ca="1" si="105"/>
        <v/>
      </c>
      <c r="N520" s="132" t="str">
        <f t="shared" ca="1" si="106"/>
        <v/>
      </c>
      <c r="P520" t="str">
        <f t="shared" ca="1" si="107"/>
        <v/>
      </c>
      <c r="Q520" s="133" t="str">
        <f t="shared" ca="1" si="108"/>
        <v/>
      </c>
      <c r="R520" s="133" t="str">
        <f t="shared" ca="1" si="109"/>
        <v/>
      </c>
      <c r="T520" t="str">
        <f t="shared" ca="1" si="110"/>
        <v/>
      </c>
      <c r="U520" s="134" t="str">
        <f t="shared" ca="1" si="111"/>
        <v/>
      </c>
    </row>
    <row r="521" spans="1:21" x14ac:dyDescent="0.3">
      <c r="A521" s="151" t="str">
        <f ca="1">Returns!$A$519</f>
        <v/>
      </c>
      <c r="B521" s="152" t="str">
        <f ca="1">IF($A521="","",Returns!$J$519)</f>
        <v/>
      </c>
      <c r="C521" s="153" t="str">
        <f t="shared" ca="1" si="112"/>
        <v/>
      </c>
      <c r="D521" s="153" t="str">
        <f ca="1">IF($A521="","",MAX($C$7:C521))</f>
        <v/>
      </c>
      <c r="E521" s="154" t="str">
        <f t="shared" ca="1" si="113"/>
        <v/>
      </c>
      <c r="F521" s="152" t="str">
        <f ca="1">IF($A521="","",Returns!$I$519)</f>
        <v/>
      </c>
      <c r="G521" s="153" t="str">
        <f t="shared" ca="1" si="114"/>
        <v/>
      </c>
      <c r="H521" s="153" t="str">
        <f ca="1">IF($A521="","",MAX($G$7:G521))</f>
        <v/>
      </c>
      <c r="I521" s="154" t="str">
        <f t="shared" ca="1" si="115"/>
        <v/>
      </c>
      <c r="J521" s="59" t="str">
        <f t="shared" ca="1" si="116"/>
        <v/>
      </c>
      <c r="K521" s="3"/>
      <c r="L521" t="str">
        <f t="shared" ca="1" si="104"/>
        <v/>
      </c>
      <c r="M521" s="132" t="str">
        <f t="shared" ca="1" si="105"/>
        <v/>
      </c>
      <c r="N521" s="132" t="str">
        <f t="shared" ca="1" si="106"/>
        <v/>
      </c>
      <c r="P521" t="str">
        <f t="shared" ca="1" si="107"/>
        <v/>
      </c>
      <c r="Q521" s="133" t="str">
        <f t="shared" ca="1" si="108"/>
        <v/>
      </c>
      <c r="R521" s="133" t="str">
        <f t="shared" ca="1" si="109"/>
        <v/>
      </c>
      <c r="T521" t="str">
        <f t="shared" ca="1" si="110"/>
        <v/>
      </c>
      <c r="U521" s="134" t="str">
        <f t="shared" ca="1" si="111"/>
        <v/>
      </c>
    </row>
    <row r="522" spans="1:21" x14ac:dyDescent="0.3">
      <c r="A522" s="151" t="str">
        <f ca="1">Returns!$A$520</f>
        <v/>
      </c>
      <c r="B522" s="152" t="str">
        <f ca="1">IF($A522="","",Returns!$J$520)</f>
        <v/>
      </c>
      <c r="C522" s="153" t="str">
        <f t="shared" ca="1" si="112"/>
        <v/>
      </c>
      <c r="D522" s="153" t="str">
        <f ca="1">IF($A522="","",MAX($C$7:C522))</f>
        <v/>
      </c>
      <c r="E522" s="154" t="str">
        <f t="shared" ca="1" si="113"/>
        <v/>
      </c>
      <c r="F522" s="152" t="str">
        <f ca="1">IF($A522="","",Returns!$I$520)</f>
        <v/>
      </c>
      <c r="G522" s="153" t="str">
        <f t="shared" ca="1" si="114"/>
        <v/>
      </c>
      <c r="H522" s="153" t="str">
        <f ca="1">IF($A522="","",MAX($G$7:G522))</f>
        <v/>
      </c>
      <c r="I522" s="154" t="str">
        <f t="shared" ca="1" si="115"/>
        <v/>
      </c>
      <c r="J522" s="59" t="str">
        <f t="shared" ca="1" si="116"/>
        <v/>
      </c>
      <c r="K522" s="3"/>
      <c r="L522" t="str">
        <f t="shared" ca="1" si="104"/>
        <v/>
      </c>
      <c r="M522" s="132" t="str">
        <f t="shared" ca="1" si="105"/>
        <v/>
      </c>
      <c r="N522" s="132" t="str">
        <f t="shared" ca="1" si="106"/>
        <v/>
      </c>
      <c r="P522" t="str">
        <f t="shared" ca="1" si="107"/>
        <v/>
      </c>
      <c r="Q522" s="133" t="str">
        <f t="shared" ca="1" si="108"/>
        <v/>
      </c>
      <c r="R522" s="133" t="str">
        <f t="shared" ca="1" si="109"/>
        <v/>
      </c>
      <c r="T522" t="str">
        <f t="shared" ca="1" si="110"/>
        <v/>
      </c>
      <c r="U522" s="134" t="str">
        <f t="shared" ca="1" si="111"/>
        <v/>
      </c>
    </row>
    <row r="523" spans="1:21" x14ac:dyDescent="0.3">
      <c r="A523" s="151" t="str">
        <f ca="1">Returns!$A$521</f>
        <v/>
      </c>
      <c r="B523" s="152" t="str">
        <f ca="1">IF($A523="","",Returns!$J$521)</f>
        <v/>
      </c>
      <c r="C523" s="153" t="str">
        <f t="shared" ca="1" si="112"/>
        <v/>
      </c>
      <c r="D523" s="153" t="str">
        <f ca="1">IF($A523="","",MAX($C$7:C523))</f>
        <v/>
      </c>
      <c r="E523" s="154" t="str">
        <f t="shared" ca="1" si="113"/>
        <v/>
      </c>
      <c r="F523" s="152" t="str">
        <f ca="1">IF($A523="","",Returns!$I$521)</f>
        <v/>
      </c>
      <c r="G523" s="153" t="str">
        <f t="shared" ca="1" si="114"/>
        <v/>
      </c>
      <c r="H523" s="153" t="str">
        <f ca="1">IF($A523="","",MAX($G$7:G523))</f>
        <v/>
      </c>
      <c r="I523" s="154" t="str">
        <f t="shared" ca="1" si="115"/>
        <v/>
      </c>
      <c r="J523" s="59" t="str">
        <f t="shared" ca="1" si="116"/>
        <v/>
      </c>
      <c r="K523" s="3"/>
      <c r="L523" t="str">
        <f t="shared" ca="1" si="104"/>
        <v/>
      </c>
      <c r="M523" s="132" t="str">
        <f t="shared" ca="1" si="105"/>
        <v/>
      </c>
      <c r="N523" s="132" t="str">
        <f t="shared" ca="1" si="106"/>
        <v/>
      </c>
      <c r="P523" t="str">
        <f t="shared" ca="1" si="107"/>
        <v/>
      </c>
      <c r="Q523" s="133" t="str">
        <f t="shared" ca="1" si="108"/>
        <v/>
      </c>
      <c r="R523" s="133" t="str">
        <f t="shared" ca="1" si="109"/>
        <v/>
      </c>
      <c r="T523" t="str">
        <f t="shared" ca="1" si="110"/>
        <v/>
      </c>
      <c r="U523" s="134" t="str">
        <f t="shared" ca="1" si="111"/>
        <v/>
      </c>
    </row>
    <row r="524" spans="1:21" x14ac:dyDescent="0.3">
      <c r="A524" s="151" t="str">
        <f ca="1">Returns!$A$522</f>
        <v/>
      </c>
      <c r="B524" s="152" t="str">
        <f ca="1">IF($A524="","",Returns!$J$522)</f>
        <v/>
      </c>
      <c r="C524" s="153" t="str">
        <f t="shared" ca="1" si="112"/>
        <v/>
      </c>
      <c r="D524" s="153" t="str">
        <f ca="1">IF($A524="","",MAX($C$7:C524))</f>
        <v/>
      </c>
      <c r="E524" s="154" t="str">
        <f t="shared" ca="1" si="113"/>
        <v/>
      </c>
      <c r="F524" s="152" t="str">
        <f ca="1">IF($A524="","",Returns!$I$522)</f>
        <v/>
      </c>
      <c r="G524" s="153" t="str">
        <f t="shared" ca="1" si="114"/>
        <v/>
      </c>
      <c r="H524" s="153" t="str">
        <f ca="1">IF($A524="","",MAX($G$7:G524))</f>
        <v/>
      </c>
      <c r="I524" s="154" t="str">
        <f t="shared" ca="1" si="115"/>
        <v/>
      </c>
      <c r="J524" s="59" t="str">
        <f t="shared" ca="1" si="116"/>
        <v/>
      </c>
      <c r="K524" s="3"/>
      <c r="L524" t="str">
        <f t="shared" ca="1" si="104"/>
        <v/>
      </c>
      <c r="M524" s="132" t="str">
        <f t="shared" ca="1" si="105"/>
        <v/>
      </c>
      <c r="N524" s="132" t="str">
        <f t="shared" ca="1" si="106"/>
        <v/>
      </c>
      <c r="P524" t="str">
        <f t="shared" ca="1" si="107"/>
        <v/>
      </c>
      <c r="Q524" s="133" t="str">
        <f t="shared" ca="1" si="108"/>
        <v/>
      </c>
      <c r="R524" s="133" t="str">
        <f t="shared" ca="1" si="109"/>
        <v/>
      </c>
      <c r="T524" t="str">
        <f t="shared" ca="1" si="110"/>
        <v/>
      </c>
      <c r="U524" s="134" t="str">
        <f t="shared" ca="1" si="111"/>
        <v/>
      </c>
    </row>
    <row r="525" spans="1:21" x14ac:dyDescent="0.3">
      <c r="A525" s="151" t="str">
        <f ca="1">Returns!$A$523</f>
        <v/>
      </c>
      <c r="B525" s="152" t="str">
        <f ca="1">IF($A525="","",Returns!$J$523)</f>
        <v/>
      </c>
      <c r="C525" s="153" t="str">
        <f t="shared" ca="1" si="112"/>
        <v/>
      </c>
      <c r="D525" s="153" t="str">
        <f ca="1">IF($A525="","",MAX($C$7:C525))</f>
        <v/>
      </c>
      <c r="E525" s="154" t="str">
        <f t="shared" ca="1" si="113"/>
        <v/>
      </c>
      <c r="F525" s="152" t="str">
        <f ca="1">IF($A525="","",Returns!$I$523)</f>
        <v/>
      </c>
      <c r="G525" s="153" t="str">
        <f t="shared" ca="1" si="114"/>
        <v/>
      </c>
      <c r="H525" s="153" t="str">
        <f ca="1">IF($A525="","",MAX($G$7:G525))</f>
        <v/>
      </c>
      <c r="I525" s="154" t="str">
        <f t="shared" ca="1" si="115"/>
        <v/>
      </c>
      <c r="J525" s="59" t="str">
        <f t="shared" ca="1" si="116"/>
        <v/>
      </c>
      <c r="K525" s="3"/>
      <c r="L525" t="str">
        <f t="shared" ca="1" si="104"/>
        <v/>
      </c>
      <c r="M525" s="132" t="str">
        <f t="shared" ca="1" si="105"/>
        <v/>
      </c>
      <c r="N525" s="132" t="str">
        <f t="shared" ca="1" si="106"/>
        <v/>
      </c>
      <c r="P525" t="str">
        <f t="shared" ca="1" si="107"/>
        <v/>
      </c>
      <c r="Q525" s="133" t="str">
        <f t="shared" ca="1" si="108"/>
        <v/>
      </c>
      <c r="R525" s="133" t="str">
        <f t="shared" ca="1" si="109"/>
        <v/>
      </c>
      <c r="T525" t="str">
        <f t="shared" ca="1" si="110"/>
        <v/>
      </c>
      <c r="U525" s="134" t="str">
        <f t="shared" ca="1" si="111"/>
        <v/>
      </c>
    </row>
    <row r="526" spans="1:21" x14ac:dyDescent="0.3">
      <c r="A526" s="151" t="str">
        <f ca="1">Returns!$A$524</f>
        <v/>
      </c>
      <c r="B526" s="152" t="str">
        <f ca="1">IF($A526="","",Returns!$J$524)</f>
        <v/>
      </c>
      <c r="C526" s="153" t="str">
        <f t="shared" ca="1" si="112"/>
        <v/>
      </c>
      <c r="D526" s="153" t="str">
        <f ca="1">IF($A526="","",MAX($C$7:C526))</f>
        <v/>
      </c>
      <c r="E526" s="154" t="str">
        <f t="shared" ca="1" si="113"/>
        <v/>
      </c>
      <c r="F526" s="152" t="str">
        <f ca="1">IF($A526="","",Returns!$I$524)</f>
        <v/>
      </c>
      <c r="G526" s="153" t="str">
        <f t="shared" ca="1" si="114"/>
        <v/>
      </c>
      <c r="H526" s="153" t="str">
        <f ca="1">IF($A526="","",MAX($G$7:G526))</f>
        <v/>
      </c>
      <c r="I526" s="154" t="str">
        <f t="shared" ca="1" si="115"/>
        <v/>
      </c>
      <c r="J526" s="59" t="str">
        <f t="shared" ca="1" si="116"/>
        <v/>
      </c>
      <c r="K526" s="3"/>
      <c r="L526" t="str">
        <f t="shared" ca="1" si="104"/>
        <v/>
      </c>
      <c r="M526" s="132" t="str">
        <f t="shared" ca="1" si="105"/>
        <v/>
      </c>
      <c r="N526" s="132" t="str">
        <f t="shared" ca="1" si="106"/>
        <v/>
      </c>
      <c r="P526" t="str">
        <f t="shared" ca="1" si="107"/>
        <v/>
      </c>
      <c r="Q526" s="133" t="str">
        <f t="shared" ca="1" si="108"/>
        <v/>
      </c>
      <c r="R526" s="133" t="str">
        <f t="shared" ca="1" si="109"/>
        <v/>
      </c>
      <c r="T526" t="str">
        <f t="shared" ca="1" si="110"/>
        <v/>
      </c>
      <c r="U526" s="134" t="str">
        <f t="shared" ca="1" si="111"/>
        <v/>
      </c>
    </row>
    <row r="527" spans="1:21" x14ac:dyDescent="0.3">
      <c r="A527" s="151" t="str">
        <f ca="1">Returns!$A$525</f>
        <v/>
      </c>
      <c r="B527" s="152" t="str">
        <f ca="1">IF($A527="","",Returns!$J$525)</f>
        <v/>
      </c>
      <c r="C527" s="153" t="str">
        <f t="shared" ca="1" si="112"/>
        <v/>
      </c>
      <c r="D527" s="153" t="str">
        <f ca="1">IF($A527="","",MAX($C$7:C527))</f>
        <v/>
      </c>
      <c r="E527" s="154" t="str">
        <f t="shared" ca="1" si="113"/>
        <v/>
      </c>
      <c r="F527" s="152" t="str">
        <f ca="1">IF($A527="","",Returns!$I$525)</f>
        <v/>
      </c>
      <c r="G527" s="153" t="str">
        <f t="shared" ca="1" si="114"/>
        <v/>
      </c>
      <c r="H527" s="153" t="str">
        <f ca="1">IF($A527="","",MAX($G$7:G527))</f>
        <v/>
      </c>
      <c r="I527" s="154" t="str">
        <f t="shared" ca="1" si="115"/>
        <v/>
      </c>
      <c r="J527" s="59" t="str">
        <f t="shared" ca="1" si="116"/>
        <v/>
      </c>
      <c r="K527" s="3"/>
      <c r="L527" t="str">
        <f t="shared" ca="1" si="104"/>
        <v/>
      </c>
      <c r="M527" s="132" t="str">
        <f t="shared" ca="1" si="105"/>
        <v/>
      </c>
      <c r="N527" s="132" t="str">
        <f t="shared" ca="1" si="106"/>
        <v/>
      </c>
      <c r="P527" t="str">
        <f t="shared" ca="1" si="107"/>
        <v/>
      </c>
      <c r="Q527" s="133" t="str">
        <f t="shared" ca="1" si="108"/>
        <v/>
      </c>
      <c r="R527" s="133" t="str">
        <f t="shared" ca="1" si="109"/>
        <v/>
      </c>
      <c r="T527" t="str">
        <f t="shared" ca="1" si="110"/>
        <v/>
      </c>
      <c r="U527" s="134" t="str">
        <f t="shared" ca="1" si="111"/>
        <v/>
      </c>
    </row>
    <row r="528" spans="1:21" x14ac:dyDescent="0.3">
      <c r="A528" s="151" t="str">
        <f ca="1">Returns!$A$526</f>
        <v/>
      </c>
      <c r="B528" s="152" t="str">
        <f ca="1">IF($A528="","",Returns!$J$526)</f>
        <v/>
      </c>
      <c r="C528" s="153" t="str">
        <f t="shared" ca="1" si="112"/>
        <v/>
      </c>
      <c r="D528" s="153" t="str">
        <f ca="1">IF($A528="","",MAX($C$7:C528))</f>
        <v/>
      </c>
      <c r="E528" s="154" t="str">
        <f t="shared" ca="1" si="113"/>
        <v/>
      </c>
      <c r="F528" s="152" t="str">
        <f ca="1">IF($A528="","",Returns!$I$526)</f>
        <v/>
      </c>
      <c r="G528" s="153" t="str">
        <f t="shared" ca="1" si="114"/>
        <v/>
      </c>
      <c r="H528" s="153" t="str">
        <f ca="1">IF($A528="","",MAX($G$7:G528))</f>
        <v/>
      </c>
      <c r="I528" s="154" t="str">
        <f t="shared" ca="1" si="115"/>
        <v/>
      </c>
      <c r="J528" s="59" t="str">
        <f t="shared" ca="1" si="116"/>
        <v/>
      </c>
      <c r="K528" s="3"/>
      <c r="L528" t="str">
        <f t="shared" ca="1" si="104"/>
        <v/>
      </c>
      <c r="M528" s="132" t="str">
        <f t="shared" ca="1" si="105"/>
        <v/>
      </c>
      <c r="N528" s="132" t="str">
        <f t="shared" ca="1" si="106"/>
        <v/>
      </c>
      <c r="P528" t="str">
        <f t="shared" ca="1" si="107"/>
        <v/>
      </c>
      <c r="Q528" s="133" t="str">
        <f t="shared" ca="1" si="108"/>
        <v/>
      </c>
      <c r="R528" s="133" t="str">
        <f t="shared" ca="1" si="109"/>
        <v/>
      </c>
      <c r="T528" t="str">
        <f t="shared" ca="1" si="110"/>
        <v/>
      </c>
      <c r="U528" s="134" t="str">
        <f t="shared" ca="1" si="111"/>
        <v/>
      </c>
    </row>
    <row r="529" spans="1:21" x14ac:dyDescent="0.3">
      <c r="A529" s="151" t="str">
        <f ca="1">Returns!$A$527</f>
        <v/>
      </c>
      <c r="B529" s="152" t="str">
        <f ca="1">IF($A529="","",Returns!$J$527)</f>
        <v/>
      </c>
      <c r="C529" s="153" t="str">
        <f t="shared" ca="1" si="112"/>
        <v/>
      </c>
      <c r="D529" s="153" t="str">
        <f ca="1">IF($A529="","",MAX($C$7:C529))</f>
        <v/>
      </c>
      <c r="E529" s="154" t="str">
        <f t="shared" ca="1" si="113"/>
        <v/>
      </c>
      <c r="F529" s="152" t="str">
        <f ca="1">IF($A529="","",Returns!$I$527)</f>
        <v/>
      </c>
      <c r="G529" s="153" t="str">
        <f t="shared" ca="1" si="114"/>
        <v/>
      </c>
      <c r="H529" s="153" t="str">
        <f ca="1">IF($A529="","",MAX($G$7:G529))</f>
        <v/>
      </c>
      <c r="I529" s="154" t="str">
        <f t="shared" ca="1" si="115"/>
        <v/>
      </c>
      <c r="J529" s="59" t="str">
        <f t="shared" ca="1" si="116"/>
        <v/>
      </c>
      <c r="K529" s="3"/>
      <c r="L529" t="str">
        <f t="shared" ca="1" si="104"/>
        <v/>
      </c>
      <c r="M529" s="132" t="str">
        <f t="shared" ca="1" si="105"/>
        <v/>
      </c>
      <c r="N529" s="132" t="str">
        <f t="shared" ca="1" si="106"/>
        <v/>
      </c>
      <c r="P529" t="str">
        <f t="shared" ca="1" si="107"/>
        <v/>
      </c>
      <c r="Q529" s="133" t="str">
        <f t="shared" ca="1" si="108"/>
        <v/>
      </c>
      <c r="R529" s="133" t="str">
        <f t="shared" ca="1" si="109"/>
        <v/>
      </c>
      <c r="T529" t="str">
        <f t="shared" ca="1" si="110"/>
        <v/>
      </c>
      <c r="U529" s="134" t="str">
        <f t="shared" ca="1" si="111"/>
        <v/>
      </c>
    </row>
    <row r="530" spans="1:21" x14ac:dyDescent="0.3">
      <c r="A530" s="151" t="str">
        <f ca="1">Returns!$A$528</f>
        <v/>
      </c>
      <c r="B530" s="152" t="str">
        <f ca="1">IF($A530="","",Returns!$J$528)</f>
        <v/>
      </c>
      <c r="C530" s="153" t="str">
        <f t="shared" ca="1" si="112"/>
        <v/>
      </c>
      <c r="D530" s="153" t="str">
        <f ca="1">IF($A530="","",MAX($C$7:C530))</f>
        <v/>
      </c>
      <c r="E530" s="154" t="str">
        <f t="shared" ca="1" si="113"/>
        <v/>
      </c>
      <c r="F530" s="152" t="str">
        <f ca="1">IF($A530="","",Returns!$I$528)</f>
        <v/>
      </c>
      <c r="G530" s="153" t="str">
        <f t="shared" ca="1" si="114"/>
        <v/>
      </c>
      <c r="H530" s="153" t="str">
        <f ca="1">IF($A530="","",MAX($G$7:G530))</f>
        <v/>
      </c>
      <c r="I530" s="154" t="str">
        <f t="shared" ca="1" si="115"/>
        <v/>
      </c>
      <c r="J530" s="59" t="str">
        <f t="shared" ca="1" si="116"/>
        <v/>
      </c>
      <c r="K530" s="3"/>
      <c r="L530" t="str">
        <f t="shared" ca="1" si="104"/>
        <v/>
      </c>
      <c r="M530" s="132" t="str">
        <f t="shared" ca="1" si="105"/>
        <v/>
      </c>
      <c r="N530" s="132" t="str">
        <f t="shared" ca="1" si="106"/>
        <v/>
      </c>
      <c r="P530" t="str">
        <f t="shared" ca="1" si="107"/>
        <v/>
      </c>
      <c r="Q530" s="133" t="str">
        <f t="shared" ca="1" si="108"/>
        <v/>
      </c>
      <c r="R530" s="133" t="str">
        <f t="shared" ca="1" si="109"/>
        <v/>
      </c>
      <c r="T530" t="str">
        <f t="shared" ca="1" si="110"/>
        <v/>
      </c>
      <c r="U530" s="134" t="str">
        <f t="shared" ca="1" si="111"/>
        <v/>
      </c>
    </row>
    <row r="531" spans="1:21" x14ac:dyDescent="0.3">
      <c r="A531" s="151" t="str">
        <f ca="1">Returns!$A$529</f>
        <v/>
      </c>
      <c r="B531" s="152" t="str">
        <f ca="1">IF($A531="","",Returns!$J$529)</f>
        <v/>
      </c>
      <c r="C531" s="153" t="str">
        <f t="shared" ca="1" si="112"/>
        <v/>
      </c>
      <c r="D531" s="153" t="str">
        <f ca="1">IF($A531="","",MAX($C$7:C531))</f>
        <v/>
      </c>
      <c r="E531" s="154" t="str">
        <f t="shared" ca="1" si="113"/>
        <v/>
      </c>
      <c r="F531" s="152" t="str">
        <f ca="1">IF($A531="","",Returns!$I$529)</f>
        <v/>
      </c>
      <c r="G531" s="153" t="str">
        <f t="shared" ca="1" si="114"/>
        <v/>
      </c>
      <c r="H531" s="153" t="str">
        <f ca="1">IF($A531="","",MAX($G$7:G531))</f>
        <v/>
      </c>
      <c r="I531" s="154" t="str">
        <f t="shared" ca="1" si="115"/>
        <v/>
      </c>
      <c r="J531" s="59" t="str">
        <f t="shared" ca="1" si="116"/>
        <v/>
      </c>
      <c r="K531" s="3"/>
      <c r="L531" t="str">
        <f t="shared" ca="1" si="104"/>
        <v/>
      </c>
      <c r="M531" s="132" t="str">
        <f t="shared" ca="1" si="105"/>
        <v/>
      </c>
      <c r="N531" s="132" t="str">
        <f t="shared" ca="1" si="106"/>
        <v/>
      </c>
      <c r="P531" t="str">
        <f t="shared" ca="1" si="107"/>
        <v/>
      </c>
      <c r="Q531" s="133" t="str">
        <f t="shared" ca="1" si="108"/>
        <v/>
      </c>
      <c r="R531" s="133" t="str">
        <f t="shared" ca="1" si="109"/>
        <v/>
      </c>
      <c r="T531" t="str">
        <f t="shared" ca="1" si="110"/>
        <v/>
      </c>
      <c r="U531" s="134" t="str">
        <f t="shared" ca="1" si="111"/>
        <v/>
      </c>
    </row>
    <row r="532" spans="1:21" x14ac:dyDescent="0.3">
      <c r="A532" s="151" t="str">
        <f ca="1">Returns!$A$530</f>
        <v/>
      </c>
      <c r="B532" s="152" t="str">
        <f ca="1">IF($A532="","",Returns!$J$530)</f>
        <v/>
      </c>
      <c r="C532" s="153" t="str">
        <f t="shared" ca="1" si="112"/>
        <v/>
      </c>
      <c r="D532" s="153" t="str">
        <f ca="1">IF($A532="","",MAX($C$7:C532))</f>
        <v/>
      </c>
      <c r="E532" s="154" t="str">
        <f t="shared" ca="1" si="113"/>
        <v/>
      </c>
      <c r="F532" s="152" t="str">
        <f ca="1">IF($A532="","",Returns!$I$530)</f>
        <v/>
      </c>
      <c r="G532" s="153" t="str">
        <f t="shared" ca="1" si="114"/>
        <v/>
      </c>
      <c r="H532" s="153" t="str">
        <f ca="1">IF($A532="","",MAX($G$7:G532))</f>
        <v/>
      </c>
      <c r="I532" s="154" t="str">
        <f t="shared" ca="1" si="115"/>
        <v/>
      </c>
      <c r="J532" s="59" t="str">
        <f t="shared" ca="1" si="116"/>
        <v/>
      </c>
      <c r="K532" s="3"/>
      <c r="L532" t="str">
        <f t="shared" ca="1" si="104"/>
        <v/>
      </c>
      <c r="M532" s="132" t="str">
        <f t="shared" ca="1" si="105"/>
        <v/>
      </c>
      <c r="N532" s="132" t="str">
        <f t="shared" ca="1" si="106"/>
        <v/>
      </c>
      <c r="P532" t="str">
        <f t="shared" ca="1" si="107"/>
        <v/>
      </c>
      <c r="Q532" s="133" t="str">
        <f t="shared" ca="1" si="108"/>
        <v/>
      </c>
      <c r="R532" s="133" t="str">
        <f t="shared" ca="1" si="109"/>
        <v/>
      </c>
      <c r="T532" t="str">
        <f t="shared" ca="1" si="110"/>
        <v/>
      </c>
      <c r="U532" s="134" t="str">
        <f t="shared" ca="1" si="111"/>
        <v/>
      </c>
    </row>
    <row r="533" spans="1:21" x14ac:dyDescent="0.3">
      <c r="A533" s="151" t="str">
        <f ca="1">Returns!$A$531</f>
        <v/>
      </c>
      <c r="B533" s="152" t="str">
        <f ca="1">IF($A533="","",Returns!$J$531)</f>
        <v/>
      </c>
      <c r="C533" s="153" t="str">
        <f t="shared" ca="1" si="112"/>
        <v/>
      </c>
      <c r="D533" s="153" t="str">
        <f ca="1">IF($A533="","",MAX($C$7:C533))</f>
        <v/>
      </c>
      <c r="E533" s="154" t="str">
        <f t="shared" ca="1" si="113"/>
        <v/>
      </c>
      <c r="F533" s="152" t="str">
        <f ca="1">IF($A533="","",Returns!$I$531)</f>
        <v/>
      </c>
      <c r="G533" s="153" t="str">
        <f t="shared" ca="1" si="114"/>
        <v/>
      </c>
      <c r="H533" s="153" t="str">
        <f ca="1">IF($A533="","",MAX($G$7:G533))</f>
        <v/>
      </c>
      <c r="I533" s="154" t="str">
        <f t="shared" ca="1" si="115"/>
        <v/>
      </c>
      <c r="J533" s="59" t="str">
        <f t="shared" ca="1" si="116"/>
        <v/>
      </c>
      <c r="K533" s="3"/>
      <c r="L533" t="str">
        <f t="shared" ca="1" si="104"/>
        <v/>
      </c>
      <c r="M533" s="132" t="str">
        <f t="shared" ca="1" si="105"/>
        <v/>
      </c>
      <c r="N533" s="132" t="str">
        <f t="shared" ca="1" si="106"/>
        <v/>
      </c>
      <c r="P533" t="str">
        <f t="shared" ca="1" si="107"/>
        <v/>
      </c>
      <c r="Q533" s="133" t="str">
        <f t="shared" ca="1" si="108"/>
        <v/>
      </c>
      <c r="R533" s="133" t="str">
        <f t="shared" ca="1" si="109"/>
        <v/>
      </c>
      <c r="T533" t="str">
        <f t="shared" ca="1" si="110"/>
        <v/>
      </c>
      <c r="U533" s="134" t="str">
        <f t="shared" ca="1" si="111"/>
        <v/>
      </c>
    </row>
    <row r="534" spans="1:21" x14ac:dyDescent="0.3">
      <c r="A534" s="151" t="str">
        <f ca="1">Returns!$A$532</f>
        <v/>
      </c>
      <c r="B534" s="152" t="str">
        <f ca="1">IF($A534="","",Returns!$J$532)</f>
        <v/>
      </c>
      <c r="C534" s="153" t="str">
        <f t="shared" ca="1" si="112"/>
        <v/>
      </c>
      <c r="D534" s="153" t="str">
        <f ca="1">IF($A534="","",MAX($C$7:C534))</f>
        <v/>
      </c>
      <c r="E534" s="154" t="str">
        <f t="shared" ca="1" si="113"/>
        <v/>
      </c>
      <c r="F534" s="152" t="str">
        <f ca="1">IF($A534="","",Returns!$I$532)</f>
        <v/>
      </c>
      <c r="G534" s="153" t="str">
        <f t="shared" ca="1" si="114"/>
        <v/>
      </c>
      <c r="H534" s="153" t="str">
        <f ca="1">IF($A534="","",MAX($G$7:G534))</f>
        <v/>
      </c>
      <c r="I534" s="154" t="str">
        <f t="shared" ca="1" si="115"/>
        <v/>
      </c>
      <c r="J534" s="59" t="str">
        <f t="shared" ca="1" si="116"/>
        <v/>
      </c>
      <c r="K534" s="3"/>
      <c r="L534" t="str">
        <f t="shared" ca="1" si="104"/>
        <v/>
      </c>
      <c r="M534" s="132" t="str">
        <f t="shared" ca="1" si="105"/>
        <v/>
      </c>
      <c r="N534" s="132" t="str">
        <f t="shared" ca="1" si="106"/>
        <v/>
      </c>
      <c r="P534" t="str">
        <f t="shared" ca="1" si="107"/>
        <v/>
      </c>
      <c r="Q534" s="133" t="str">
        <f t="shared" ca="1" si="108"/>
        <v/>
      </c>
      <c r="R534" s="133" t="str">
        <f t="shared" ca="1" si="109"/>
        <v/>
      </c>
      <c r="T534" t="str">
        <f t="shared" ca="1" si="110"/>
        <v/>
      </c>
      <c r="U534" s="134" t="str">
        <f t="shared" ca="1" si="111"/>
        <v/>
      </c>
    </row>
    <row r="535" spans="1:21" x14ac:dyDescent="0.3">
      <c r="A535" s="151" t="str">
        <f ca="1">Returns!$A$533</f>
        <v/>
      </c>
      <c r="B535" s="152" t="str">
        <f ca="1">IF($A535="","",Returns!$J$533)</f>
        <v/>
      </c>
      <c r="C535" s="153" t="str">
        <f t="shared" ca="1" si="112"/>
        <v/>
      </c>
      <c r="D535" s="153" t="str">
        <f ca="1">IF($A535="","",MAX($C$7:C535))</f>
        <v/>
      </c>
      <c r="E535" s="154" t="str">
        <f t="shared" ca="1" si="113"/>
        <v/>
      </c>
      <c r="F535" s="152" t="str">
        <f ca="1">IF($A535="","",Returns!$I$533)</f>
        <v/>
      </c>
      <c r="G535" s="153" t="str">
        <f t="shared" ca="1" si="114"/>
        <v/>
      </c>
      <c r="H535" s="153" t="str">
        <f ca="1">IF($A535="","",MAX($G$7:G535))</f>
        <v/>
      </c>
      <c r="I535" s="154" t="str">
        <f t="shared" ca="1" si="115"/>
        <v/>
      </c>
      <c r="J535" s="59" t="str">
        <f t="shared" ca="1" si="116"/>
        <v/>
      </c>
      <c r="K535" s="3"/>
      <c r="L535" t="str">
        <f t="shared" ca="1" si="104"/>
        <v/>
      </c>
      <c r="M535" s="132" t="str">
        <f t="shared" ca="1" si="105"/>
        <v/>
      </c>
      <c r="N535" s="132" t="str">
        <f t="shared" ca="1" si="106"/>
        <v/>
      </c>
      <c r="P535" t="str">
        <f t="shared" ca="1" si="107"/>
        <v/>
      </c>
      <c r="Q535" s="133" t="str">
        <f t="shared" ca="1" si="108"/>
        <v/>
      </c>
      <c r="R535" s="133" t="str">
        <f t="shared" ca="1" si="109"/>
        <v/>
      </c>
      <c r="T535" t="str">
        <f t="shared" ca="1" si="110"/>
        <v/>
      </c>
      <c r="U535" s="134" t="str">
        <f t="shared" ca="1" si="111"/>
        <v/>
      </c>
    </row>
    <row r="536" spans="1:21" x14ac:dyDescent="0.3">
      <c r="A536" s="151" t="str">
        <f ca="1">Returns!$A$534</f>
        <v/>
      </c>
      <c r="B536" s="152" t="str">
        <f ca="1">IF($A536="","",Returns!$J$534)</f>
        <v/>
      </c>
      <c r="C536" s="153" t="str">
        <f t="shared" ca="1" si="112"/>
        <v/>
      </c>
      <c r="D536" s="153" t="str">
        <f ca="1">IF($A536="","",MAX($C$7:C536))</f>
        <v/>
      </c>
      <c r="E536" s="154" t="str">
        <f t="shared" ca="1" si="113"/>
        <v/>
      </c>
      <c r="F536" s="152" t="str">
        <f ca="1">IF($A536="","",Returns!$I$534)</f>
        <v/>
      </c>
      <c r="G536" s="153" t="str">
        <f t="shared" ca="1" si="114"/>
        <v/>
      </c>
      <c r="H536" s="153" t="str">
        <f ca="1">IF($A536="","",MAX($G$7:G536))</f>
        <v/>
      </c>
      <c r="I536" s="154" t="str">
        <f t="shared" ca="1" si="115"/>
        <v/>
      </c>
      <c r="J536" s="59" t="str">
        <f t="shared" ca="1" si="116"/>
        <v/>
      </c>
      <c r="K536" s="3"/>
      <c r="L536" t="str">
        <f t="shared" ca="1" si="104"/>
        <v/>
      </c>
      <c r="M536" s="132" t="str">
        <f t="shared" ca="1" si="105"/>
        <v/>
      </c>
      <c r="N536" s="132" t="str">
        <f t="shared" ca="1" si="106"/>
        <v/>
      </c>
      <c r="P536" t="str">
        <f t="shared" ca="1" si="107"/>
        <v/>
      </c>
      <c r="Q536" s="133" t="str">
        <f t="shared" ca="1" si="108"/>
        <v/>
      </c>
      <c r="R536" s="133" t="str">
        <f t="shared" ca="1" si="109"/>
        <v/>
      </c>
      <c r="T536" t="str">
        <f t="shared" ca="1" si="110"/>
        <v/>
      </c>
      <c r="U536" s="134" t="str">
        <f t="shared" ca="1" si="111"/>
        <v/>
      </c>
    </row>
    <row r="537" spans="1:21" x14ac:dyDescent="0.3">
      <c r="A537" s="151" t="str">
        <f ca="1">Returns!$A$535</f>
        <v/>
      </c>
      <c r="B537" s="152" t="str">
        <f ca="1">IF($A537="","",Returns!$J$535)</f>
        <v/>
      </c>
      <c r="C537" s="153" t="str">
        <f t="shared" ca="1" si="112"/>
        <v/>
      </c>
      <c r="D537" s="153" t="str">
        <f ca="1">IF($A537="","",MAX($C$7:C537))</f>
        <v/>
      </c>
      <c r="E537" s="154" t="str">
        <f t="shared" ca="1" si="113"/>
        <v/>
      </c>
      <c r="F537" s="152" t="str">
        <f ca="1">IF($A537="","",Returns!$I$535)</f>
        <v/>
      </c>
      <c r="G537" s="153" t="str">
        <f t="shared" ca="1" si="114"/>
        <v/>
      </c>
      <c r="H537" s="153" t="str">
        <f ca="1">IF($A537="","",MAX($G$7:G537))</f>
        <v/>
      </c>
      <c r="I537" s="154" t="str">
        <f t="shared" ca="1" si="115"/>
        <v/>
      </c>
      <c r="J537" s="59" t="str">
        <f t="shared" ca="1" si="116"/>
        <v/>
      </c>
      <c r="K537" s="3"/>
      <c r="L537" t="str">
        <f t="shared" ca="1" si="104"/>
        <v/>
      </c>
      <c r="M537" s="132" t="str">
        <f t="shared" ca="1" si="105"/>
        <v/>
      </c>
      <c r="N537" s="132" t="str">
        <f t="shared" ca="1" si="106"/>
        <v/>
      </c>
      <c r="P537" t="str">
        <f t="shared" ca="1" si="107"/>
        <v/>
      </c>
      <c r="Q537" s="133" t="str">
        <f t="shared" ca="1" si="108"/>
        <v/>
      </c>
      <c r="R537" s="133" t="str">
        <f t="shared" ca="1" si="109"/>
        <v/>
      </c>
      <c r="T537" t="str">
        <f t="shared" ca="1" si="110"/>
        <v/>
      </c>
      <c r="U537" s="134" t="str">
        <f t="shared" ca="1" si="111"/>
        <v/>
      </c>
    </row>
    <row r="538" spans="1:21" x14ac:dyDescent="0.3">
      <c r="A538" s="151" t="str">
        <f ca="1">Returns!$A$536</f>
        <v/>
      </c>
      <c r="B538" s="152" t="str">
        <f ca="1">IF($A538="","",Returns!$J$536)</f>
        <v/>
      </c>
      <c r="C538" s="153" t="str">
        <f t="shared" ca="1" si="112"/>
        <v/>
      </c>
      <c r="D538" s="153" t="str">
        <f ca="1">IF($A538="","",MAX($C$7:C538))</f>
        <v/>
      </c>
      <c r="E538" s="154" t="str">
        <f t="shared" ca="1" si="113"/>
        <v/>
      </c>
      <c r="F538" s="152" t="str">
        <f ca="1">IF($A538="","",Returns!$I$536)</f>
        <v/>
      </c>
      <c r="G538" s="153" t="str">
        <f t="shared" ca="1" si="114"/>
        <v/>
      </c>
      <c r="H538" s="153" t="str">
        <f ca="1">IF($A538="","",MAX($G$7:G538))</f>
        <v/>
      </c>
      <c r="I538" s="154" t="str">
        <f t="shared" ca="1" si="115"/>
        <v/>
      </c>
      <c r="J538" s="59" t="str">
        <f t="shared" ca="1" si="116"/>
        <v/>
      </c>
      <c r="K538" s="3"/>
      <c r="L538" t="str">
        <f t="shared" ca="1" si="104"/>
        <v/>
      </c>
      <c r="M538" s="132" t="str">
        <f t="shared" ca="1" si="105"/>
        <v/>
      </c>
      <c r="N538" s="132" t="str">
        <f t="shared" ca="1" si="106"/>
        <v/>
      </c>
      <c r="P538" t="str">
        <f t="shared" ca="1" si="107"/>
        <v/>
      </c>
      <c r="Q538" s="133" t="str">
        <f t="shared" ca="1" si="108"/>
        <v/>
      </c>
      <c r="R538" s="133" t="str">
        <f t="shared" ca="1" si="109"/>
        <v/>
      </c>
      <c r="T538" t="str">
        <f t="shared" ca="1" si="110"/>
        <v/>
      </c>
      <c r="U538" s="134" t="str">
        <f t="shared" ca="1" si="111"/>
        <v/>
      </c>
    </row>
    <row r="539" spans="1:21" x14ac:dyDescent="0.3">
      <c r="A539" s="151" t="str">
        <f ca="1">Returns!$A$537</f>
        <v/>
      </c>
      <c r="B539" s="152" t="str">
        <f ca="1">IF($A539="","",Returns!$J$537)</f>
        <v/>
      </c>
      <c r="C539" s="153" t="str">
        <f t="shared" ca="1" si="112"/>
        <v/>
      </c>
      <c r="D539" s="153" t="str">
        <f ca="1">IF($A539="","",MAX($C$7:C539))</f>
        <v/>
      </c>
      <c r="E539" s="154" t="str">
        <f t="shared" ca="1" si="113"/>
        <v/>
      </c>
      <c r="F539" s="152" t="str">
        <f ca="1">IF($A539="","",Returns!$I$537)</f>
        <v/>
      </c>
      <c r="G539" s="153" t="str">
        <f t="shared" ca="1" si="114"/>
        <v/>
      </c>
      <c r="H539" s="153" t="str">
        <f ca="1">IF($A539="","",MAX($G$7:G539))</f>
        <v/>
      </c>
      <c r="I539" s="154" t="str">
        <f t="shared" ca="1" si="115"/>
        <v/>
      </c>
      <c r="J539" s="59" t="str">
        <f t="shared" ca="1" si="116"/>
        <v/>
      </c>
      <c r="K539" s="3"/>
      <c r="L539" t="str">
        <f t="shared" ca="1" si="104"/>
        <v/>
      </c>
      <c r="M539" s="132" t="str">
        <f t="shared" ca="1" si="105"/>
        <v/>
      </c>
      <c r="N539" s="132" t="str">
        <f t="shared" ca="1" si="106"/>
        <v/>
      </c>
      <c r="P539" t="str">
        <f t="shared" ca="1" si="107"/>
        <v/>
      </c>
      <c r="Q539" s="133" t="str">
        <f t="shared" ca="1" si="108"/>
        <v/>
      </c>
      <c r="R539" s="133" t="str">
        <f t="shared" ca="1" si="109"/>
        <v/>
      </c>
      <c r="T539" t="str">
        <f t="shared" ca="1" si="110"/>
        <v/>
      </c>
      <c r="U539" s="134" t="str">
        <f t="shared" ca="1" si="111"/>
        <v/>
      </c>
    </row>
    <row r="540" spans="1:21" x14ac:dyDescent="0.3">
      <c r="A540" s="151" t="str">
        <f ca="1">Returns!$A$538</f>
        <v/>
      </c>
      <c r="B540" s="152" t="str">
        <f ca="1">IF($A540="","",Returns!$J$538)</f>
        <v/>
      </c>
      <c r="C540" s="153" t="str">
        <f t="shared" ca="1" si="112"/>
        <v/>
      </c>
      <c r="D540" s="153" t="str">
        <f ca="1">IF($A540="","",MAX($C$7:C540))</f>
        <v/>
      </c>
      <c r="E540" s="154" t="str">
        <f t="shared" ca="1" si="113"/>
        <v/>
      </c>
      <c r="F540" s="152" t="str">
        <f ca="1">IF($A540="","",Returns!$I$538)</f>
        <v/>
      </c>
      <c r="G540" s="153" t="str">
        <f t="shared" ca="1" si="114"/>
        <v/>
      </c>
      <c r="H540" s="153" t="str">
        <f ca="1">IF($A540="","",MAX($G$7:G540))</f>
        <v/>
      </c>
      <c r="I540" s="154" t="str">
        <f t="shared" ca="1" si="115"/>
        <v/>
      </c>
      <c r="J540" s="59" t="str">
        <f t="shared" ca="1" si="116"/>
        <v/>
      </c>
      <c r="K540" s="3"/>
      <c r="L540" t="str">
        <f t="shared" ca="1" si="104"/>
        <v/>
      </c>
      <c r="M540" s="132" t="str">
        <f t="shared" ca="1" si="105"/>
        <v/>
      </c>
      <c r="N540" s="132" t="str">
        <f t="shared" ca="1" si="106"/>
        <v/>
      </c>
      <c r="P540" t="str">
        <f t="shared" ca="1" si="107"/>
        <v/>
      </c>
      <c r="Q540" s="133" t="str">
        <f t="shared" ca="1" si="108"/>
        <v/>
      </c>
      <c r="R540" s="133" t="str">
        <f t="shared" ca="1" si="109"/>
        <v/>
      </c>
      <c r="T540" t="str">
        <f t="shared" ca="1" si="110"/>
        <v/>
      </c>
      <c r="U540" s="134" t="str">
        <f t="shared" ca="1" si="111"/>
        <v/>
      </c>
    </row>
    <row r="541" spans="1:21" x14ac:dyDescent="0.3">
      <c r="A541" s="151" t="str">
        <f ca="1">Returns!$A$539</f>
        <v/>
      </c>
      <c r="B541" s="152" t="str">
        <f ca="1">IF($A541="","",Returns!$J$539)</f>
        <v/>
      </c>
      <c r="C541" s="153" t="str">
        <f t="shared" ca="1" si="112"/>
        <v/>
      </c>
      <c r="D541" s="153" t="str">
        <f ca="1">IF($A541="","",MAX($C$7:C541))</f>
        <v/>
      </c>
      <c r="E541" s="154" t="str">
        <f t="shared" ca="1" si="113"/>
        <v/>
      </c>
      <c r="F541" s="152" t="str">
        <f ca="1">IF($A541="","",Returns!$I$539)</f>
        <v/>
      </c>
      <c r="G541" s="153" t="str">
        <f t="shared" ca="1" si="114"/>
        <v/>
      </c>
      <c r="H541" s="153" t="str">
        <f ca="1">IF($A541="","",MAX($G$7:G541))</f>
        <v/>
      </c>
      <c r="I541" s="154" t="str">
        <f t="shared" ca="1" si="115"/>
        <v/>
      </c>
      <c r="J541" s="59" t="str">
        <f t="shared" ca="1" si="116"/>
        <v/>
      </c>
      <c r="K541" s="3"/>
      <c r="L541" t="str">
        <f t="shared" ca="1" si="104"/>
        <v/>
      </c>
      <c r="M541" s="132" t="str">
        <f t="shared" ca="1" si="105"/>
        <v/>
      </c>
      <c r="N541" s="132" t="str">
        <f t="shared" ca="1" si="106"/>
        <v/>
      </c>
      <c r="P541" t="str">
        <f t="shared" ca="1" si="107"/>
        <v/>
      </c>
      <c r="Q541" s="133" t="str">
        <f t="shared" ca="1" si="108"/>
        <v/>
      </c>
      <c r="R541" s="133" t="str">
        <f t="shared" ca="1" si="109"/>
        <v/>
      </c>
      <c r="T541" t="str">
        <f t="shared" ca="1" si="110"/>
        <v/>
      </c>
      <c r="U541" s="134" t="str">
        <f t="shared" ca="1" si="111"/>
        <v/>
      </c>
    </row>
    <row r="542" spans="1:21" x14ac:dyDescent="0.3">
      <c r="A542" s="151" t="str">
        <f ca="1">Returns!$A$540</f>
        <v/>
      </c>
      <c r="B542" s="152" t="str">
        <f ca="1">IF($A542="","",Returns!$J$540)</f>
        <v/>
      </c>
      <c r="C542" s="153" t="str">
        <f t="shared" ca="1" si="112"/>
        <v/>
      </c>
      <c r="D542" s="153" t="str">
        <f ca="1">IF($A542="","",MAX($C$7:C542))</f>
        <v/>
      </c>
      <c r="E542" s="154" t="str">
        <f t="shared" ca="1" si="113"/>
        <v/>
      </c>
      <c r="F542" s="152" t="str">
        <f ca="1">IF($A542="","",Returns!$I$540)</f>
        <v/>
      </c>
      <c r="G542" s="153" t="str">
        <f t="shared" ca="1" si="114"/>
        <v/>
      </c>
      <c r="H542" s="153" t="str">
        <f ca="1">IF($A542="","",MAX($G$7:G542))</f>
        <v/>
      </c>
      <c r="I542" s="154" t="str">
        <f t="shared" ca="1" si="115"/>
        <v/>
      </c>
      <c r="J542" s="59" t="str">
        <f t="shared" ca="1" si="116"/>
        <v/>
      </c>
      <c r="K542" s="3"/>
      <c r="L542" t="str">
        <f t="shared" ca="1" si="104"/>
        <v/>
      </c>
      <c r="M542" s="132" t="str">
        <f t="shared" ca="1" si="105"/>
        <v/>
      </c>
      <c r="N542" s="132" t="str">
        <f t="shared" ca="1" si="106"/>
        <v/>
      </c>
      <c r="P542" t="str">
        <f t="shared" ca="1" si="107"/>
        <v/>
      </c>
      <c r="Q542" s="133" t="str">
        <f t="shared" ca="1" si="108"/>
        <v/>
      </c>
      <c r="R542" s="133" t="str">
        <f t="shared" ca="1" si="109"/>
        <v/>
      </c>
      <c r="T542" t="str">
        <f t="shared" ca="1" si="110"/>
        <v/>
      </c>
      <c r="U542" s="134" t="str">
        <f t="shared" ca="1" si="111"/>
        <v/>
      </c>
    </row>
    <row r="543" spans="1:21" x14ac:dyDescent="0.3">
      <c r="A543" s="151" t="str">
        <f ca="1">Returns!$A$541</f>
        <v/>
      </c>
      <c r="B543" s="152" t="str">
        <f ca="1">IF($A543="","",Returns!$J$541)</f>
        <v/>
      </c>
      <c r="C543" s="153" t="str">
        <f t="shared" ca="1" si="112"/>
        <v/>
      </c>
      <c r="D543" s="153" t="str">
        <f ca="1">IF($A543="","",MAX($C$7:C543))</f>
        <v/>
      </c>
      <c r="E543" s="154" t="str">
        <f t="shared" ca="1" si="113"/>
        <v/>
      </c>
      <c r="F543" s="152" t="str">
        <f ca="1">IF($A543="","",Returns!$I$541)</f>
        <v/>
      </c>
      <c r="G543" s="153" t="str">
        <f t="shared" ca="1" si="114"/>
        <v/>
      </c>
      <c r="H543" s="153" t="str">
        <f ca="1">IF($A543="","",MAX($G$7:G543))</f>
        <v/>
      </c>
      <c r="I543" s="154" t="str">
        <f t="shared" ca="1" si="115"/>
        <v/>
      </c>
      <c r="J543" s="59" t="str">
        <f t="shared" ca="1" si="116"/>
        <v/>
      </c>
      <c r="K543" s="3"/>
      <c r="L543" t="str">
        <f t="shared" ca="1" si="104"/>
        <v/>
      </c>
      <c r="M543" s="132" t="str">
        <f t="shared" ca="1" si="105"/>
        <v/>
      </c>
      <c r="N543" s="132" t="str">
        <f t="shared" ca="1" si="106"/>
        <v/>
      </c>
      <c r="P543" t="str">
        <f t="shared" ca="1" si="107"/>
        <v/>
      </c>
      <c r="Q543" s="133" t="str">
        <f t="shared" ca="1" si="108"/>
        <v/>
      </c>
      <c r="R543" s="133" t="str">
        <f t="shared" ca="1" si="109"/>
        <v/>
      </c>
      <c r="T543" t="str">
        <f t="shared" ca="1" si="110"/>
        <v/>
      </c>
      <c r="U543" s="134" t="str">
        <f t="shared" ca="1" si="111"/>
        <v/>
      </c>
    </row>
    <row r="544" spans="1:21" x14ac:dyDescent="0.3">
      <c r="A544" s="151" t="str">
        <f ca="1">Returns!$A$542</f>
        <v/>
      </c>
      <c r="B544" s="152" t="str">
        <f ca="1">IF($A544="","",Returns!$J$542)</f>
        <v/>
      </c>
      <c r="C544" s="153" t="str">
        <f t="shared" ca="1" si="112"/>
        <v/>
      </c>
      <c r="D544" s="153" t="str">
        <f ca="1">IF($A544="","",MAX($C$7:C544))</f>
        <v/>
      </c>
      <c r="E544" s="154" t="str">
        <f t="shared" ca="1" si="113"/>
        <v/>
      </c>
      <c r="F544" s="152" t="str">
        <f ca="1">IF($A544="","",Returns!$I$542)</f>
        <v/>
      </c>
      <c r="G544" s="153" t="str">
        <f t="shared" ca="1" si="114"/>
        <v/>
      </c>
      <c r="H544" s="153" t="str">
        <f ca="1">IF($A544="","",MAX($G$7:G544))</f>
        <v/>
      </c>
      <c r="I544" s="154" t="str">
        <f t="shared" ca="1" si="115"/>
        <v/>
      </c>
      <c r="J544" s="59" t="str">
        <f t="shared" ca="1" si="116"/>
        <v/>
      </c>
      <c r="K544" s="3"/>
      <c r="L544" t="str">
        <f t="shared" ca="1" si="104"/>
        <v/>
      </c>
      <c r="M544" s="132" t="str">
        <f t="shared" ca="1" si="105"/>
        <v/>
      </c>
      <c r="N544" s="132" t="str">
        <f t="shared" ca="1" si="106"/>
        <v/>
      </c>
      <c r="P544" t="str">
        <f t="shared" ca="1" si="107"/>
        <v/>
      </c>
      <c r="Q544" s="133" t="str">
        <f t="shared" ca="1" si="108"/>
        <v/>
      </c>
      <c r="R544" s="133" t="str">
        <f t="shared" ca="1" si="109"/>
        <v/>
      </c>
      <c r="T544" t="str">
        <f t="shared" ca="1" si="110"/>
        <v/>
      </c>
      <c r="U544" s="134" t="str">
        <f t="shared" ca="1" si="111"/>
        <v/>
      </c>
    </row>
    <row r="545" spans="1:21" x14ac:dyDescent="0.3">
      <c r="A545" s="151" t="str">
        <f ca="1">Returns!$A$543</f>
        <v/>
      </c>
      <c r="B545" s="152" t="str">
        <f ca="1">IF($A545="","",Returns!$J$543)</f>
        <v/>
      </c>
      <c r="C545" s="153" t="str">
        <f t="shared" ca="1" si="112"/>
        <v/>
      </c>
      <c r="D545" s="153" t="str">
        <f ca="1">IF($A545="","",MAX($C$7:C545))</f>
        <v/>
      </c>
      <c r="E545" s="154" t="str">
        <f t="shared" ca="1" si="113"/>
        <v/>
      </c>
      <c r="F545" s="152" t="str">
        <f ca="1">IF($A545="","",Returns!$I$543)</f>
        <v/>
      </c>
      <c r="G545" s="153" t="str">
        <f t="shared" ca="1" si="114"/>
        <v/>
      </c>
      <c r="H545" s="153" t="str">
        <f ca="1">IF($A545="","",MAX($G$7:G545))</f>
        <v/>
      </c>
      <c r="I545" s="154" t="str">
        <f t="shared" ca="1" si="115"/>
        <v/>
      </c>
      <c r="J545" s="59" t="str">
        <f t="shared" ca="1" si="116"/>
        <v/>
      </c>
      <c r="K545" s="3"/>
      <c r="L545" t="str">
        <f t="shared" ca="1" si="104"/>
        <v/>
      </c>
      <c r="M545" s="132" t="str">
        <f t="shared" ca="1" si="105"/>
        <v/>
      </c>
      <c r="N545" s="132" t="str">
        <f t="shared" ca="1" si="106"/>
        <v/>
      </c>
      <c r="P545" t="str">
        <f t="shared" ca="1" si="107"/>
        <v/>
      </c>
      <c r="Q545" s="133" t="str">
        <f t="shared" ca="1" si="108"/>
        <v/>
      </c>
      <c r="R545" s="133" t="str">
        <f t="shared" ca="1" si="109"/>
        <v/>
      </c>
      <c r="T545" t="str">
        <f t="shared" ca="1" si="110"/>
        <v/>
      </c>
      <c r="U545" s="134" t="str">
        <f t="shared" ca="1" si="111"/>
        <v/>
      </c>
    </row>
    <row r="546" spans="1:21" x14ac:dyDescent="0.3">
      <c r="A546" s="151" t="str">
        <f ca="1">Returns!$A$544</f>
        <v/>
      </c>
      <c r="B546" s="152" t="str">
        <f ca="1">IF($A546="","",Returns!$J$544)</f>
        <v/>
      </c>
      <c r="C546" s="153" t="str">
        <f t="shared" ca="1" si="112"/>
        <v/>
      </c>
      <c r="D546" s="153" t="str">
        <f ca="1">IF($A546="","",MAX($C$7:C546))</f>
        <v/>
      </c>
      <c r="E546" s="154" t="str">
        <f t="shared" ca="1" si="113"/>
        <v/>
      </c>
      <c r="F546" s="152" t="str">
        <f ca="1">IF($A546="","",Returns!$I$544)</f>
        <v/>
      </c>
      <c r="G546" s="153" t="str">
        <f t="shared" ca="1" si="114"/>
        <v/>
      </c>
      <c r="H546" s="153" t="str">
        <f ca="1">IF($A546="","",MAX($G$7:G546))</f>
        <v/>
      </c>
      <c r="I546" s="154" t="str">
        <f t="shared" ca="1" si="115"/>
        <v/>
      </c>
      <c r="J546" s="59" t="str">
        <f t="shared" ca="1" si="116"/>
        <v/>
      </c>
      <c r="K546" s="3"/>
      <c r="L546" t="str">
        <f t="shared" ca="1" si="104"/>
        <v/>
      </c>
      <c r="M546" s="132" t="str">
        <f t="shared" ca="1" si="105"/>
        <v/>
      </c>
      <c r="N546" s="132" t="str">
        <f t="shared" ca="1" si="106"/>
        <v/>
      </c>
      <c r="P546" t="str">
        <f t="shared" ca="1" si="107"/>
        <v/>
      </c>
      <c r="Q546" s="133" t="str">
        <f t="shared" ca="1" si="108"/>
        <v/>
      </c>
      <c r="R546" s="133" t="str">
        <f t="shared" ca="1" si="109"/>
        <v/>
      </c>
      <c r="T546" t="str">
        <f t="shared" ca="1" si="110"/>
        <v/>
      </c>
      <c r="U546" s="134" t="str">
        <f t="shared" ca="1" si="111"/>
        <v/>
      </c>
    </row>
    <row r="547" spans="1:21" x14ac:dyDescent="0.3">
      <c r="A547" s="151" t="str">
        <f ca="1">Returns!$A$545</f>
        <v/>
      </c>
      <c r="B547" s="152" t="str">
        <f ca="1">IF($A547="","",Returns!$J$545)</f>
        <v/>
      </c>
      <c r="C547" s="153" t="str">
        <f t="shared" ca="1" si="112"/>
        <v/>
      </c>
      <c r="D547" s="153" t="str">
        <f ca="1">IF($A547="","",MAX($C$7:C547))</f>
        <v/>
      </c>
      <c r="E547" s="154" t="str">
        <f t="shared" ca="1" si="113"/>
        <v/>
      </c>
      <c r="F547" s="152" t="str">
        <f ca="1">IF($A547="","",Returns!$I$545)</f>
        <v/>
      </c>
      <c r="G547" s="153" t="str">
        <f t="shared" ca="1" si="114"/>
        <v/>
      </c>
      <c r="H547" s="153" t="str">
        <f ca="1">IF($A547="","",MAX($G$7:G547))</f>
        <v/>
      </c>
      <c r="I547" s="154" t="str">
        <f t="shared" ca="1" si="115"/>
        <v/>
      </c>
      <c r="J547" s="59" t="str">
        <f t="shared" ca="1" si="116"/>
        <v/>
      </c>
      <c r="K547" s="3"/>
      <c r="L547" t="str">
        <f t="shared" ca="1" si="104"/>
        <v/>
      </c>
      <c r="M547" s="132" t="str">
        <f t="shared" ca="1" si="105"/>
        <v/>
      </c>
      <c r="N547" s="132" t="str">
        <f t="shared" ca="1" si="106"/>
        <v/>
      </c>
      <c r="P547" t="str">
        <f t="shared" ca="1" si="107"/>
        <v/>
      </c>
      <c r="Q547" s="133" t="str">
        <f t="shared" ca="1" si="108"/>
        <v/>
      </c>
      <c r="R547" s="133" t="str">
        <f t="shared" ca="1" si="109"/>
        <v/>
      </c>
      <c r="T547" t="str">
        <f t="shared" ca="1" si="110"/>
        <v/>
      </c>
      <c r="U547" s="134" t="str">
        <f t="shared" ca="1" si="111"/>
        <v/>
      </c>
    </row>
    <row r="548" spans="1:21" x14ac:dyDescent="0.3">
      <c r="A548" s="151" t="str">
        <f ca="1">Returns!$A$546</f>
        <v/>
      </c>
      <c r="B548" s="152" t="str">
        <f ca="1">IF($A548="","",Returns!$J$546)</f>
        <v/>
      </c>
      <c r="C548" s="153" t="str">
        <f t="shared" ca="1" si="112"/>
        <v/>
      </c>
      <c r="D548" s="153" t="str">
        <f ca="1">IF($A548="","",MAX($C$7:C548))</f>
        <v/>
      </c>
      <c r="E548" s="154" t="str">
        <f t="shared" ca="1" si="113"/>
        <v/>
      </c>
      <c r="F548" s="152" t="str">
        <f ca="1">IF($A548="","",Returns!$I$546)</f>
        <v/>
      </c>
      <c r="G548" s="153" t="str">
        <f t="shared" ca="1" si="114"/>
        <v/>
      </c>
      <c r="H548" s="153" t="str">
        <f ca="1">IF($A548="","",MAX($G$7:G548))</f>
        <v/>
      </c>
      <c r="I548" s="154" t="str">
        <f t="shared" ca="1" si="115"/>
        <v/>
      </c>
      <c r="J548" s="59" t="str">
        <f t="shared" ca="1" si="116"/>
        <v/>
      </c>
      <c r="K548" s="3"/>
      <c r="L548" t="str">
        <f t="shared" ca="1" si="104"/>
        <v/>
      </c>
      <c r="M548" s="132" t="str">
        <f t="shared" ca="1" si="105"/>
        <v/>
      </c>
      <c r="N548" s="132" t="str">
        <f t="shared" ca="1" si="106"/>
        <v/>
      </c>
      <c r="P548" t="str">
        <f t="shared" ca="1" si="107"/>
        <v/>
      </c>
      <c r="Q548" s="133" t="str">
        <f t="shared" ca="1" si="108"/>
        <v/>
      </c>
      <c r="R548" s="133" t="str">
        <f t="shared" ca="1" si="109"/>
        <v/>
      </c>
      <c r="T548" t="str">
        <f t="shared" ca="1" si="110"/>
        <v/>
      </c>
      <c r="U548" s="134" t="str">
        <f t="shared" ca="1" si="111"/>
        <v/>
      </c>
    </row>
    <row r="549" spans="1:21" x14ac:dyDescent="0.3">
      <c r="A549" s="151" t="str">
        <f ca="1">Returns!$A$547</f>
        <v/>
      </c>
      <c r="B549" s="152" t="str">
        <f ca="1">IF($A549="","",Returns!$J$547)</f>
        <v/>
      </c>
      <c r="C549" s="153" t="str">
        <f t="shared" ca="1" si="112"/>
        <v/>
      </c>
      <c r="D549" s="153" t="str">
        <f ca="1">IF($A549="","",MAX($C$7:C549))</f>
        <v/>
      </c>
      <c r="E549" s="154" t="str">
        <f t="shared" ca="1" si="113"/>
        <v/>
      </c>
      <c r="F549" s="152" t="str">
        <f ca="1">IF($A549="","",Returns!$I$547)</f>
        <v/>
      </c>
      <c r="G549" s="153" t="str">
        <f t="shared" ca="1" si="114"/>
        <v/>
      </c>
      <c r="H549" s="153" t="str">
        <f ca="1">IF($A549="","",MAX($G$7:G549))</f>
        <v/>
      </c>
      <c r="I549" s="154" t="str">
        <f t="shared" ca="1" si="115"/>
        <v/>
      </c>
      <c r="J549" s="59" t="str">
        <f t="shared" ca="1" si="116"/>
        <v/>
      </c>
      <c r="K549" s="3"/>
      <c r="L549" t="str">
        <f t="shared" ca="1" si="104"/>
        <v/>
      </c>
      <c r="M549" s="132" t="str">
        <f t="shared" ca="1" si="105"/>
        <v/>
      </c>
      <c r="N549" s="132" t="str">
        <f t="shared" ca="1" si="106"/>
        <v/>
      </c>
      <c r="P549" t="str">
        <f t="shared" ca="1" si="107"/>
        <v/>
      </c>
      <c r="Q549" s="133" t="str">
        <f t="shared" ca="1" si="108"/>
        <v/>
      </c>
      <c r="R549" s="133" t="str">
        <f t="shared" ca="1" si="109"/>
        <v/>
      </c>
      <c r="T549" t="str">
        <f t="shared" ca="1" si="110"/>
        <v/>
      </c>
      <c r="U549" s="134" t="str">
        <f t="shared" ca="1" si="111"/>
        <v/>
      </c>
    </row>
    <row r="550" spans="1:21" x14ac:dyDescent="0.3">
      <c r="A550" s="151" t="str">
        <f ca="1">Returns!$A$548</f>
        <v/>
      </c>
      <c r="B550" s="152" t="str">
        <f ca="1">IF($A550="","",Returns!$J$548)</f>
        <v/>
      </c>
      <c r="C550" s="153" t="str">
        <f t="shared" ca="1" si="112"/>
        <v/>
      </c>
      <c r="D550" s="153" t="str">
        <f ca="1">IF($A550="","",MAX($C$7:C550))</f>
        <v/>
      </c>
      <c r="E550" s="154" t="str">
        <f t="shared" ca="1" si="113"/>
        <v/>
      </c>
      <c r="F550" s="152" t="str">
        <f ca="1">IF($A550="","",Returns!$I$548)</f>
        <v/>
      </c>
      <c r="G550" s="153" t="str">
        <f t="shared" ca="1" si="114"/>
        <v/>
      </c>
      <c r="H550" s="153" t="str">
        <f ca="1">IF($A550="","",MAX($G$7:G550))</f>
        <v/>
      </c>
      <c r="I550" s="154" t="str">
        <f t="shared" ca="1" si="115"/>
        <v/>
      </c>
      <c r="J550" s="59" t="str">
        <f t="shared" ca="1" si="116"/>
        <v/>
      </c>
      <c r="K550" s="3"/>
      <c r="L550" t="str">
        <f t="shared" ca="1" si="104"/>
        <v/>
      </c>
      <c r="M550" s="132" t="str">
        <f t="shared" ca="1" si="105"/>
        <v/>
      </c>
      <c r="N550" s="132" t="str">
        <f t="shared" ca="1" si="106"/>
        <v/>
      </c>
      <c r="P550" t="str">
        <f t="shared" ca="1" si="107"/>
        <v/>
      </c>
      <c r="Q550" s="133" t="str">
        <f t="shared" ca="1" si="108"/>
        <v/>
      </c>
      <c r="R550" s="133" t="str">
        <f t="shared" ca="1" si="109"/>
        <v/>
      </c>
      <c r="T550" t="str">
        <f t="shared" ca="1" si="110"/>
        <v/>
      </c>
      <c r="U550" s="134" t="str">
        <f t="shared" ca="1" si="111"/>
        <v/>
      </c>
    </row>
    <row r="551" spans="1:21" x14ac:dyDescent="0.3">
      <c r="A551" s="151" t="str">
        <f ca="1">Returns!$A$549</f>
        <v/>
      </c>
      <c r="B551" s="152" t="str">
        <f ca="1">IF($A551="","",Returns!$J$549)</f>
        <v/>
      </c>
      <c r="C551" s="153" t="str">
        <f t="shared" ca="1" si="112"/>
        <v/>
      </c>
      <c r="D551" s="153" t="str">
        <f ca="1">IF($A551="","",MAX($C$7:C551))</f>
        <v/>
      </c>
      <c r="E551" s="154" t="str">
        <f t="shared" ca="1" si="113"/>
        <v/>
      </c>
      <c r="F551" s="152" t="str">
        <f ca="1">IF($A551="","",Returns!$I$549)</f>
        <v/>
      </c>
      <c r="G551" s="153" t="str">
        <f t="shared" ca="1" si="114"/>
        <v/>
      </c>
      <c r="H551" s="153" t="str">
        <f ca="1">IF($A551="","",MAX($G$7:G551))</f>
        <v/>
      </c>
      <c r="I551" s="154" t="str">
        <f t="shared" ca="1" si="115"/>
        <v/>
      </c>
      <c r="J551" s="59" t="str">
        <f t="shared" ca="1" si="116"/>
        <v/>
      </c>
      <c r="K551" s="3"/>
      <c r="L551" t="str">
        <f t="shared" ca="1" si="104"/>
        <v/>
      </c>
      <c r="M551" s="132" t="str">
        <f t="shared" ca="1" si="105"/>
        <v/>
      </c>
      <c r="N551" s="132" t="str">
        <f t="shared" ca="1" si="106"/>
        <v/>
      </c>
      <c r="P551" t="str">
        <f t="shared" ca="1" si="107"/>
        <v/>
      </c>
      <c r="Q551" s="133" t="str">
        <f t="shared" ca="1" si="108"/>
        <v/>
      </c>
      <c r="R551" s="133" t="str">
        <f t="shared" ca="1" si="109"/>
        <v/>
      </c>
      <c r="T551" t="str">
        <f t="shared" ca="1" si="110"/>
        <v/>
      </c>
      <c r="U551" s="134" t="str">
        <f t="shared" ca="1" si="111"/>
        <v/>
      </c>
    </row>
    <row r="552" spans="1:21" x14ac:dyDescent="0.3">
      <c r="A552" s="151" t="str">
        <f ca="1">Returns!$A$550</f>
        <v/>
      </c>
      <c r="B552" s="152" t="str">
        <f ca="1">IF($A552="","",Returns!$J$550)</f>
        <v/>
      </c>
      <c r="C552" s="153" t="str">
        <f t="shared" ca="1" si="112"/>
        <v/>
      </c>
      <c r="D552" s="153" t="str">
        <f ca="1">IF($A552="","",MAX($C$7:C552))</f>
        <v/>
      </c>
      <c r="E552" s="154" t="str">
        <f t="shared" ca="1" si="113"/>
        <v/>
      </c>
      <c r="F552" s="152" t="str">
        <f ca="1">IF($A552="","",Returns!$I$550)</f>
        <v/>
      </c>
      <c r="G552" s="153" t="str">
        <f t="shared" ca="1" si="114"/>
        <v/>
      </c>
      <c r="H552" s="153" t="str">
        <f ca="1">IF($A552="","",MAX($G$7:G552))</f>
        <v/>
      </c>
      <c r="I552" s="154" t="str">
        <f t="shared" ca="1" si="115"/>
        <v/>
      </c>
      <c r="J552" s="59" t="str">
        <f t="shared" ca="1" si="116"/>
        <v/>
      </c>
      <c r="K552" s="3"/>
      <c r="L552" t="str">
        <f t="shared" ca="1" si="104"/>
        <v/>
      </c>
      <c r="M552" s="132" t="str">
        <f t="shared" ca="1" si="105"/>
        <v/>
      </c>
      <c r="N552" s="132" t="str">
        <f t="shared" ca="1" si="106"/>
        <v/>
      </c>
      <c r="P552" t="str">
        <f t="shared" ca="1" si="107"/>
        <v/>
      </c>
      <c r="Q552" s="133" t="str">
        <f t="shared" ca="1" si="108"/>
        <v/>
      </c>
      <c r="R552" s="133" t="str">
        <f t="shared" ca="1" si="109"/>
        <v/>
      </c>
      <c r="T552" t="str">
        <f t="shared" ca="1" si="110"/>
        <v/>
      </c>
      <c r="U552" s="134" t="str">
        <f t="shared" ca="1" si="111"/>
        <v/>
      </c>
    </row>
    <row r="553" spans="1:21" x14ac:dyDescent="0.3">
      <c r="A553" s="151" t="str">
        <f ca="1">Returns!$A$551</f>
        <v/>
      </c>
      <c r="B553" s="152" t="str">
        <f ca="1">IF($A553="","",Returns!$J$551)</f>
        <v/>
      </c>
      <c r="C553" s="153" t="str">
        <f t="shared" ca="1" si="112"/>
        <v/>
      </c>
      <c r="D553" s="153" t="str">
        <f ca="1">IF($A553="","",MAX($C$7:C553))</f>
        <v/>
      </c>
      <c r="E553" s="154" t="str">
        <f t="shared" ca="1" si="113"/>
        <v/>
      </c>
      <c r="F553" s="152" t="str">
        <f ca="1">IF($A553="","",Returns!$I$551)</f>
        <v/>
      </c>
      <c r="G553" s="153" t="str">
        <f t="shared" ca="1" si="114"/>
        <v/>
      </c>
      <c r="H553" s="153" t="str">
        <f ca="1">IF($A553="","",MAX($G$7:G553))</f>
        <v/>
      </c>
      <c r="I553" s="154" t="str">
        <f t="shared" ca="1" si="115"/>
        <v/>
      </c>
      <c r="J553" s="59" t="str">
        <f t="shared" ca="1" si="116"/>
        <v/>
      </c>
      <c r="K553" s="3"/>
      <c r="L553" t="str">
        <f t="shared" ca="1" si="104"/>
        <v/>
      </c>
      <c r="M553" s="132" t="str">
        <f t="shared" ca="1" si="105"/>
        <v/>
      </c>
      <c r="N553" s="132" t="str">
        <f t="shared" ca="1" si="106"/>
        <v/>
      </c>
      <c r="P553" t="str">
        <f t="shared" ca="1" si="107"/>
        <v/>
      </c>
      <c r="Q553" s="133" t="str">
        <f t="shared" ca="1" si="108"/>
        <v/>
      </c>
      <c r="R553" s="133" t="str">
        <f t="shared" ca="1" si="109"/>
        <v/>
      </c>
      <c r="T553" t="str">
        <f t="shared" ca="1" si="110"/>
        <v/>
      </c>
      <c r="U553" s="134" t="str">
        <f t="shared" ca="1" si="111"/>
        <v/>
      </c>
    </row>
    <row r="554" spans="1:21" x14ac:dyDescent="0.3">
      <c r="A554" s="151" t="str">
        <f ca="1">Returns!$A$552</f>
        <v/>
      </c>
      <c r="B554" s="152" t="str">
        <f ca="1">IF($A554="","",Returns!$J$552)</f>
        <v/>
      </c>
      <c r="C554" s="153" t="str">
        <f t="shared" ca="1" si="112"/>
        <v/>
      </c>
      <c r="D554" s="153" t="str">
        <f ca="1">IF($A554="","",MAX($C$7:C554))</f>
        <v/>
      </c>
      <c r="E554" s="154" t="str">
        <f t="shared" ca="1" si="113"/>
        <v/>
      </c>
      <c r="F554" s="152" t="str">
        <f ca="1">IF($A554="","",Returns!$I$552)</f>
        <v/>
      </c>
      <c r="G554" s="153" t="str">
        <f t="shared" ca="1" si="114"/>
        <v/>
      </c>
      <c r="H554" s="153" t="str">
        <f ca="1">IF($A554="","",MAX($G$7:G554))</f>
        <v/>
      </c>
      <c r="I554" s="154" t="str">
        <f t="shared" ca="1" si="115"/>
        <v/>
      </c>
      <c r="J554" s="59" t="str">
        <f t="shared" ca="1" si="116"/>
        <v/>
      </c>
      <c r="K554" s="3"/>
      <c r="L554" t="str">
        <f t="shared" ca="1" si="104"/>
        <v/>
      </c>
      <c r="M554" s="132" t="str">
        <f t="shared" ca="1" si="105"/>
        <v/>
      </c>
      <c r="N554" s="132" t="str">
        <f t="shared" ca="1" si="106"/>
        <v/>
      </c>
      <c r="P554" t="str">
        <f t="shared" ca="1" si="107"/>
        <v/>
      </c>
      <c r="Q554" s="133" t="str">
        <f t="shared" ca="1" si="108"/>
        <v/>
      </c>
      <c r="R554" s="133" t="str">
        <f t="shared" ca="1" si="109"/>
        <v/>
      </c>
      <c r="T554" t="str">
        <f t="shared" ca="1" si="110"/>
        <v/>
      </c>
      <c r="U554" s="134" t="str">
        <f t="shared" ca="1" si="111"/>
        <v/>
      </c>
    </row>
    <row r="555" spans="1:21" x14ac:dyDescent="0.3">
      <c r="A555" s="151" t="str">
        <f ca="1">Returns!$A$553</f>
        <v/>
      </c>
      <c r="B555" s="152" t="str">
        <f ca="1">IF($A555="","",Returns!$J$553)</f>
        <v/>
      </c>
      <c r="C555" s="153" t="str">
        <f t="shared" ca="1" si="112"/>
        <v/>
      </c>
      <c r="D555" s="153" t="str">
        <f ca="1">IF($A555="","",MAX($C$7:C555))</f>
        <v/>
      </c>
      <c r="E555" s="154" t="str">
        <f t="shared" ca="1" si="113"/>
        <v/>
      </c>
      <c r="F555" s="152" t="str">
        <f ca="1">IF($A555="","",Returns!$I$553)</f>
        <v/>
      </c>
      <c r="G555" s="153" t="str">
        <f t="shared" ca="1" si="114"/>
        <v/>
      </c>
      <c r="H555" s="153" t="str">
        <f ca="1">IF($A555="","",MAX($G$7:G555))</f>
        <v/>
      </c>
      <c r="I555" s="154" t="str">
        <f t="shared" ca="1" si="115"/>
        <v/>
      </c>
      <c r="J555" s="59" t="str">
        <f t="shared" ca="1" si="116"/>
        <v/>
      </c>
      <c r="K555" s="3"/>
      <c r="L555" t="str">
        <f t="shared" ca="1" si="104"/>
        <v/>
      </c>
      <c r="M555" s="132" t="str">
        <f t="shared" ca="1" si="105"/>
        <v/>
      </c>
      <c r="N555" s="132" t="str">
        <f t="shared" ca="1" si="106"/>
        <v/>
      </c>
      <c r="P555" t="str">
        <f t="shared" ca="1" si="107"/>
        <v/>
      </c>
      <c r="Q555" s="133" t="str">
        <f t="shared" ca="1" si="108"/>
        <v/>
      </c>
      <c r="R555" s="133" t="str">
        <f t="shared" ca="1" si="109"/>
        <v/>
      </c>
      <c r="T555" t="str">
        <f t="shared" ca="1" si="110"/>
        <v/>
      </c>
      <c r="U555" s="134" t="str">
        <f t="shared" ca="1" si="111"/>
        <v/>
      </c>
    </row>
    <row r="556" spans="1:21" x14ac:dyDescent="0.3">
      <c r="A556" s="151" t="str">
        <f ca="1">Returns!$A$554</f>
        <v/>
      </c>
      <c r="B556" s="152" t="str">
        <f ca="1">IF($A556="","",Returns!$J$554)</f>
        <v/>
      </c>
      <c r="C556" s="153" t="str">
        <f t="shared" ca="1" si="112"/>
        <v/>
      </c>
      <c r="D556" s="153" t="str">
        <f ca="1">IF($A556="","",MAX($C$7:C556))</f>
        <v/>
      </c>
      <c r="E556" s="154" t="str">
        <f t="shared" ca="1" si="113"/>
        <v/>
      </c>
      <c r="F556" s="152" t="str">
        <f ca="1">IF($A556="","",Returns!$I$554)</f>
        <v/>
      </c>
      <c r="G556" s="153" t="str">
        <f t="shared" ca="1" si="114"/>
        <v/>
      </c>
      <c r="H556" s="153" t="str">
        <f ca="1">IF($A556="","",MAX($G$7:G556))</f>
        <v/>
      </c>
      <c r="I556" s="154" t="str">
        <f t="shared" ca="1" si="115"/>
        <v/>
      </c>
      <c r="J556" s="59" t="str">
        <f t="shared" ca="1" si="116"/>
        <v/>
      </c>
      <c r="K556" s="3"/>
      <c r="L556" t="str">
        <f t="shared" ca="1" si="104"/>
        <v/>
      </c>
      <c r="M556" s="132" t="str">
        <f t="shared" ca="1" si="105"/>
        <v/>
      </c>
      <c r="N556" s="132" t="str">
        <f t="shared" ca="1" si="106"/>
        <v/>
      </c>
      <c r="P556" t="str">
        <f t="shared" ca="1" si="107"/>
        <v/>
      </c>
      <c r="Q556" s="133" t="str">
        <f t="shared" ca="1" si="108"/>
        <v/>
      </c>
      <c r="R556" s="133" t="str">
        <f t="shared" ca="1" si="109"/>
        <v/>
      </c>
      <c r="T556" t="str">
        <f t="shared" ca="1" si="110"/>
        <v/>
      </c>
      <c r="U556" s="134" t="str">
        <f t="shared" ca="1" si="111"/>
        <v/>
      </c>
    </row>
    <row r="557" spans="1:21" x14ac:dyDescent="0.3">
      <c r="A557" s="151" t="str">
        <f ca="1">Returns!$A$555</f>
        <v/>
      </c>
      <c r="B557" s="152" t="str">
        <f ca="1">IF($A557="","",Returns!$J$555)</f>
        <v/>
      </c>
      <c r="C557" s="153" t="str">
        <f t="shared" ca="1" si="112"/>
        <v/>
      </c>
      <c r="D557" s="153" t="str">
        <f ca="1">IF($A557="","",MAX($C$7:C557))</f>
        <v/>
      </c>
      <c r="E557" s="154" t="str">
        <f t="shared" ca="1" si="113"/>
        <v/>
      </c>
      <c r="F557" s="152" t="str">
        <f ca="1">IF($A557="","",Returns!$I$555)</f>
        <v/>
      </c>
      <c r="G557" s="153" t="str">
        <f t="shared" ca="1" si="114"/>
        <v/>
      </c>
      <c r="H557" s="153" t="str">
        <f ca="1">IF($A557="","",MAX($G$7:G557))</f>
        <v/>
      </c>
      <c r="I557" s="154" t="str">
        <f t="shared" ca="1" si="115"/>
        <v/>
      </c>
      <c r="J557" s="59" t="str">
        <f t="shared" ca="1" si="116"/>
        <v/>
      </c>
      <c r="K557" s="3"/>
      <c r="L557" t="str">
        <f t="shared" ca="1" si="104"/>
        <v/>
      </c>
      <c r="M557" s="132" t="str">
        <f t="shared" ca="1" si="105"/>
        <v/>
      </c>
      <c r="N557" s="132" t="str">
        <f t="shared" ca="1" si="106"/>
        <v/>
      </c>
      <c r="P557" t="str">
        <f t="shared" ca="1" si="107"/>
        <v/>
      </c>
      <c r="Q557" s="133" t="str">
        <f t="shared" ca="1" si="108"/>
        <v/>
      </c>
      <c r="R557" s="133" t="str">
        <f t="shared" ca="1" si="109"/>
        <v/>
      </c>
      <c r="T557" t="str">
        <f t="shared" ca="1" si="110"/>
        <v/>
      </c>
      <c r="U557" s="134" t="str">
        <f t="shared" ca="1" si="111"/>
        <v/>
      </c>
    </row>
    <row r="558" spans="1:21" x14ac:dyDescent="0.3">
      <c r="A558" s="151" t="str">
        <f ca="1">Returns!$A$556</f>
        <v/>
      </c>
      <c r="B558" s="152" t="str">
        <f ca="1">IF($A558="","",Returns!$J$556)</f>
        <v/>
      </c>
      <c r="C558" s="153" t="str">
        <f t="shared" ca="1" si="112"/>
        <v/>
      </c>
      <c r="D558" s="153" t="str">
        <f ca="1">IF($A558="","",MAX($C$7:C558))</f>
        <v/>
      </c>
      <c r="E558" s="154" t="str">
        <f t="shared" ca="1" si="113"/>
        <v/>
      </c>
      <c r="F558" s="152" t="str">
        <f ca="1">IF($A558="","",Returns!$I$556)</f>
        <v/>
      </c>
      <c r="G558" s="153" t="str">
        <f t="shared" ca="1" si="114"/>
        <v/>
      </c>
      <c r="H558" s="153" t="str">
        <f ca="1">IF($A558="","",MAX($G$7:G558))</f>
        <v/>
      </c>
      <c r="I558" s="154" t="str">
        <f t="shared" ca="1" si="115"/>
        <v/>
      </c>
      <c r="J558" s="59" t="str">
        <f t="shared" ca="1" si="116"/>
        <v/>
      </c>
      <c r="K558" s="3"/>
      <c r="L558" t="str">
        <f t="shared" ca="1" si="104"/>
        <v/>
      </c>
      <c r="M558" s="132" t="str">
        <f t="shared" ca="1" si="105"/>
        <v/>
      </c>
      <c r="N558" s="132" t="str">
        <f t="shared" ca="1" si="106"/>
        <v/>
      </c>
      <c r="P558" t="str">
        <f t="shared" ca="1" si="107"/>
        <v/>
      </c>
      <c r="Q558" s="133" t="str">
        <f t="shared" ca="1" si="108"/>
        <v/>
      </c>
      <c r="R558" s="133" t="str">
        <f t="shared" ca="1" si="109"/>
        <v/>
      </c>
      <c r="T558" t="str">
        <f t="shared" ca="1" si="110"/>
        <v/>
      </c>
      <c r="U558" s="134" t="str">
        <f t="shared" ca="1" si="111"/>
        <v/>
      </c>
    </row>
    <row r="559" spans="1:21" x14ac:dyDescent="0.3">
      <c r="A559" s="151" t="str">
        <f ca="1">Returns!$A$557</f>
        <v/>
      </c>
      <c r="B559" s="152" t="str">
        <f ca="1">IF($A559="","",Returns!$J$557)</f>
        <v/>
      </c>
      <c r="C559" s="153" t="str">
        <f t="shared" ca="1" si="112"/>
        <v/>
      </c>
      <c r="D559" s="153" t="str">
        <f ca="1">IF($A559="","",MAX($C$7:C559))</f>
        <v/>
      </c>
      <c r="E559" s="154" t="str">
        <f t="shared" ca="1" si="113"/>
        <v/>
      </c>
      <c r="F559" s="152" t="str">
        <f ca="1">IF($A559="","",Returns!$I$557)</f>
        <v/>
      </c>
      <c r="G559" s="153" t="str">
        <f t="shared" ca="1" si="114"/>
        <v/>
      </c>
      <c r="H559" s="153" t="str">
        <f ca="1">IF($A559="","",MAX($G$7:G559))</f>
        <v/>
      </c>
      <c r="I559" s="154" t="str">
        <f t="shared" ca="1" si="115"/>
        <v/>
      </c>
      <c r="J559" s="59" t="str">
        <f t="shared" ca="1" si="116"/>
        <v/>
      </c>
      <c r="K559" s="3"/>
      <c r="L559" t="str">
        <f t="shared" ca="1" si="104"/>
        <v/>
      </c>
      <c r="M559" s="132" t="str">
        <f t="shared" ca="1" si="105"/>
        <v/>
      </c>
      <c r="N559" s="132" t="str">
        <f t="shared" ca="1" si="106"/>
        <v/>
      </c>
      <c r="P559" t="str">
        <f t="shared" ca="1" si="107"/>
        <v/>
      </c>
      <c r="Q559" s="133" t="str">
        <f t="shared" ca="1" si="108"/>
        <v/>
      </c>
      <c r="R559" s="133" t="str">
        <f t="shared" ca="1" si="109"/>
        <v/>
      </c>
      <c r="T559" t="str">
        <f t="shared" ca="1" si="110"/>
        <v/>
      </c>
      <c r="U559" s="134" t="str">
        <f t="shared" ca="1" si="111"/>
        <v/>
      </c>
    </row>
    <row r="560" spans="1:21" x14ac:dyDescent="0.3">
      <c r="A560" s="151" t="str">
        <f ca="1">Returns!$A$558</f>
        <v/>
      </c>
      <c r="B560" s="152" t="str">
        <f ca="1">IF($A560="","",Returns!$J$558)</f>
        <v/>
      </c>
      <c r="C560" s="153" t="str">
        <f t="shared" ca="1" si="112"/>
        <v/>
      </c>
      <c r="D560" s="153" t="str">
        <f ca="1">IF($A560="","",MAX($C$7:C560))</f>
        <v/>
      </c>
      <c r="E560" s="154" t="str">
        <f t="shared" ca="1" si="113"/>
        <v/>
      </c>
      <c r="F560" s="152" t="str">
        <f ca="1">IF($A560="","",Returns!$I$558)</f>
        <v/>
      </c>
      <c r="G560" s="153" t="str">
        <f t="shared" ca="1" si="114"/>
        <v/>
      </c>
      <c r="H560" s="153" t="str">
        <f ca="1">IF($A560="","",MAX($G$7:G560))</f>
        <v/>
      </c>
      <c r="I560" s="154" t="str">
        <f t="shared" ca="1" si="115"/>
        <v/>
      </c>
      <c r="J560" s="59" t="str">
        <f t="shared" ca="1" si="116"/>
        <v/>
      </c>
      <c r="K560" s="3"/>
      <c r="L560" t="str">
        <f t="shared" ca="1" si="104"/>
        <v/>
      </c>
      <c r="M560" s="132" t="str">
        <f t="shared" ca="1" si="105"/>
        <v/>
      </c>
      <c r="N560" s="132" t="str">
        <f t="shared" ca="1" si="106"/>
        <v/>
      </c>
      <c r="P560" t="str">
        <f t="shared" ca="1" si="107"/>
        <v/>
      </c>
      <c r="Q560" s="133" t="str">
        <f t="shared" ca="1" si="108"/>
        <v/>
      </c>
      <c r="R560" s="133" t="str">
        <f t="shared" ca="1" si="109"/>
        <v/>
      </c>
      <c r="T560" t="str">
        <f t="shared" ca="1" si="110"/>
        <v/>
      </c>
      <c r="U560" s="134" t="str">
        <f t="shared" ca="1" si="111"/>
        <v/>
      </c>
    </row>
    <row r="561" spans="1:21" x14ac:dyDescent="0.3">
      <c r="A561" s="151" t="str">
        <f ca="1">Returns!$A$559</f>
        <v/>
      </c>
      <c r="B561" s="152" t="str">
        <f ca="1">IF($A561="","",Returns!$J$559)</f>
        <v/>
      </c>
      <c r="C561" s="153" t="str">
        <f t="shared" ca="1" si="112"/>
        <v/>
      </c>
      <c r="D561" s="153" t="str">
        <f ca="1">IF($A561="","",MAX($C$7:C561))</f>
        <v/>
      </c>
      <c r="E561" s="154" t="str">
        <f t="shared" ca="1" si="113"/>
        <v/>
      </c>
      <c r="F561" s="152" t="str">
        <f ca="1">IF($A561="","",Returns!$I$559)</f>
        <v/>
      </c>
      <c r="G561" s="153" t="str">
        <f t="shared" ca="1" si="114"/>
        <v/>
      </c>
      <c r="H561" s="153" t="str">
        <f ca="1">IF($A561="","",MAX($G$7:G561))</f>
        <v/>
      </c>
      <c r="I561" s="154" t="str">
        <f t="shared" ca="1" si="115"/>
        <v/>
      </c>
      <c r="J561" s="59" t="str">
        <f t="shared" ca="1" si="116"/>
        <v/>
      </c>
      <c r="K561" s="3"/>
      <c r="L561" t="str">
        <f t="shared" ca="1" si="104"/>
        <v/>
      </c>
      <c r="M561" s="132" t="str">
        <f t="shared" ca="1" si="105"/>
        <v/>
      </c>
      <c r="N561" s="132" t="str">
        <f t="shared" ca="1" si="106"/>
        <v/>
      </c>
      <c r="P561" t="str">
        <f t="shared" ca="1" si="107"/>
        <v/>
      </c>
      <c r="Q561" s="133" t="str">
        <f t="shared" ca="1" si="108"/>
        <v/>
      </c>
      <c r="R561" s="133" t="str">
        <f t="shared" ca="1" si="109"/>
        <v/>
      </c>
      <c r="T561" t="str">
        <f t="shared" ca="1" si="110"/>
        <v/>
      </c>
      <c r="U561" s="134" t="str">
        <f t="shared" ca="1" si="111"/>
        <v/>
      </c>
    </row>
    <row r="562" spans="1:21" x14ac:dyDescent="0.3">
      <c r="A562" s="151" t="str">
        <f ca="1">Returns!$A$560</f>
        <v/>
      </c>
      <c r="B562" s="152" t="str">
        <f ca="1">IF($A562="","",Returns!$J$560)</f>
        <v/>
      </c>
      <c r="C562" s="153" t="str">
        <f t="shared" ca="1" si="112"/>
        <v/>
      </c>
      <c r="D562" s="153" t="str">
        <f ca="1">IF($A562="","",MAX($C$7:C562))</f>
        <v/>
      </c>
      <c r="E562" s="154" t="str">
        <f t="shared" ca="1" si="113"/>
        <v/>
      </c>
      <c r="F562" s="152" t="str">
        <f ca="1">IF($A562="","",Returns!$I$560)</f>
        <v/>
      </c>
      <c r="G562" s="153" t="str">
        <f t="shared" ca="1" si="114"/>
        <v/>
      </c>
      <c r="H562" s="153" t="str">
        <f ca="1">IF($A562="","",MAX($G$7:G562))</f>
        <v/>
      </c>
      <c r="I562" s="154" t="str">
        <f t="shared" ca="1" si="115"/>
        <v/>
      </c>
      <c r="J562" s="59" t="str">
        <f t="shared" ca="1" si="116"/>
        <v/>
      </c>
      <c r="K562" s="3"/>
      <c r="L562" t="str">
        <f t="shared" ca="1" si="104"/>
        <v/>
      </c>
      <c r="M562" s="132" t="str">
        <f t="shared" ca="1" si="105"/>
        <v/>
      </c>
      <c r="N562" s="132" t="str">
        <f t="shared" ca="1" si="106"/>
        <v/>
      </c>
      <c r="P562" t="str">
        <f t="shared" ca="1" si="107"/>
        <v/>
      </c>
      <c r="Q562" s="133" t="str">
        <f t="shared" ca="1" si="108"/>
        <v/>
      </c>
      <c r="R562" s="133" t="str">
        <f t="shared" ca="1" si="109"/>
        <v/>
      </c>
      <c r="T562" t="str">
        <f t="shared" ca="1" si="110"/>
        <v/>
      </c>
      <c r="U562" s="134" t="str">
        <f t="shared" ca="1" si="111"/>
        <v/>
      </c>
    </row>
    <row r="563" spans="1:21" x14ac:dyDescent="0.3">
      <c r="A563" s="151" t="str">
        <f ca="1">Returns!$A$561</f>
        <v/>
      </c>
      <c r="B563" s="152" t="str">
        <f ca="1">IF($A563="","",Returns!$J$561)</f>
        <v/>
      </c>
      <c r="C563" s="153" t="str">
        <f t="shared" ca="1" si="112"/>
        <v/>
      </c>
      <c r="D563" s="153" t="str">
        <f ca="1">IF($A563="","",MAX($C$7:C563))</f>
        <v/>
      </c>
      <c r="E563" s="154" t="str">
        <f t="shared" ca="1" si="113"/>
        <v/>
      </c>
      <c r="F563" s="152" t="str">
        <f ca="1">IF($A563="","",Returns!$I$561)</f>
        <v/>
      </c>
      <c r="G563" s="153" t="str">
        <f t="shared" ca="1" si="114"/>
        <v/>
      </c>
      <c r="H563" s="153" t="str">
        <f ca="1">IF($A563="","",MAX($G$7:G563))</f>
        <v/>
      </c>
      <c r="I563" s="154" t="str">
        <f t="shared" ca="1" si="115"/>
        <v/>
      </c>
      <c r="J563" s="59" t="str">
        <f t="shared" ca="1" si="116"/>
        <v/>
      </c>
      <c r="K563" s="3"/>
      <c r="L563" t="str">
        <f t="shared" ca="1" si="104"/>
        <v/>
      </c>
      <c r="M563" s="132" t="str">
        <f t="shared" ca="1" si="105"/>
        <v/>
      </c>
      <c r="N563" s="132" t="str">
        <f t="shared" ca="1" si="106"/>
        <v/>
      </c>
      <c r="P563" t="str">
        <f t="shared" ca="1" si="107"/>
        <v/>
      </c>
      <c r="Q563" s="133" t="str">
        <f t="shared" ca="1" si="108"/>
        <v/>
      </c>
      <c r="R563" s="133" t="str">
        <f t="shared" ca="1" si="109"/>
        <v/>
      </c>
      <c r="T563" t="str">
        <f t="shared" ca="1" si="110"/>
        <v/>
      </c>
      <c r="U563" s="134" t="str">
        <f t="shared" ca="1" si="111"/>
        <v/>
      </c>
    </row>
    <row r="564" spans="1:21" x14ac:dyDescent="0.3">
      <c r="A564" s="151" t="str">
        <f ca="1">Returns!$A$562</f>
        <v/>
      </c>
      <c r="B564" s="152" t="str">
        <f ca="1">IF($A564="","",Returns!$J$562)</f>
        <v/>
      </c>
      <c r="C564" s="153" t="str">
        <f t="shared" ca="1" si="112"/>
        <v/>
      </c>
      <c r="D564" s="153" t="str">
        <f ca="1">IF($A564="","",MAX($C$7:C564))</f>
        <v/>
      </c>
      <c r="E564" s="154" t="str">
        <f t="shared" ca="1" si="113"/>
        <v/>
      </c>
      <c r="F564" s="152" t="str">
        <f ca="1">IF($A564="","",Returns!$I$562)</f>
        <v/>
      </c>
      <c r="G564" s="153" t="str">
        <f t="shared" ca="1" si="114"/>
        <v/>
      </c>
      <c r="H564" s="153" t="str">
        <f ca="1">IF($A564="","",MAX($G$7:G564))</f>
        <v/>
      </c>
      <c r="I564" s="154" t="str">
        <f t="shared" ca="1" si="115"/>
        <v/>
      </c>
      <c r="J564" s="59" t="str">
        <f t="shared" ca="1" si="116"/>
        <v/>
      </c>
      <c r="K564" s="3"/>
      <c r="L564" t="str">
        <f t="shared" ca="1" si="104"/>
        <v/>
      </c>
      <c r="M564" s="132" t="str">
        <f t="shared" ca="1" si="105"/>
        <v/>
      </c>
      <c r="N564" s="132" t="str">
        <f t="shared" ca="1" si="106"/>
        <v/>
      </c>
      <c r="P564" t="str">
        <f t="shared" ca="1" si="107"/>
        <v/>
      </c>
      <c r="Q564" s="133" t="str">
        <f t="shared" ca="1" si="108"/>
        <v/>
      </c>
      <c r="R564" s="133" t="str">
        <f t="shared" ca="1" si="109"/>
        <v/>
      </c>
      <c r="T564" t="str">
        <f t="shared" ca="1" si="110"/>
        <v/>
      </c>
      <c r="U564" s="134" t="str">
        <f t="shared" ca="1" si="111"/>
        <v/>
      </c>
    </row>
    <row r="565" spans="1:21" x14ac:dyDescent="0.3">
      <c r="A565" s="151" t="str">
        <f ca="1">Returns!$A$563</f>
        <v/>
      </c>
      <c r="B565" s="152" t="str">
        <f ca="1">IF($A565="","",Returns!$J$563)</f>
        <v/>
      </c>
      <c r="C565" s="153" t="str">
        <f t="shared" ca="1" si="112"/>
        <v/>
      </c>
      <c r="D565" s="153" t="str">
        <f ca="1">IF($A565="","",MAX($C$7:C565))</f>
        <v/>
      </c>
      <c r="E565" s="154" t="str">
        <f t="shared" ca="1" si="113"/>
        <v/>
      </c>
      <c r="F565" s="152" t="str">
        <f ca="1">IF($A565="","",Returns!$I$563)</f>
        <v/>
      </c>
      <c r="G565" s="153" t="str">
        <f t="shared" ca="1" si="114"/>
        <v/>
      </c>
      <c r="H565" s="153" t="str">
        <f ca="1">IF($A565="","",MAX($G$7:G565))</f>
        <v/>
      </c>
      <c r="I565" s="154" t="str">
        <f t="shared" ca="1" si="115"/>
        <v/>
      </c>
      <c r="J565" s="59" t="str">
        <f t="shared" ca="1" si="116"/>
        <v/>
      </c>
      <c r="K565" s="3"/>
      <c r="L565" t="str">
        <f t="shared" ca="1" si="104"/>
        <v/>
      </c>
      <c r="M565" s="132" t="str">
        <f t="shared" ca="1" si="105"/>
        <v/>
      </c>
      <c r="N565" s="132" t="str">
        <f t="shared" ca="1" si="106"/>
        <v/>
      </c>
      <c r="P565" t="str">
        <f t="shared" ca="1" si="107"/>
        <v/>
      </c>
      <c r="Q565" s="133" t="str">
        <f t="shared" ca="1" si="108"/>
        <v/>
      </c>
      <c r="R565" s="133" t="str">
        <f t="shared" ca="1" si="109"/>
        <v/>
      </c>
      <c r="T565" t="str">
        <f t="shared" ca="1" si="110"/>
        <v/>
      </c>
      <c r="U565" s="134" t="str">
        <f t="shared" ca="1" si="111"/>
        <v/>
      </c>
    </row>
    <row r="566" spans="1:21" x14ac:dyDescent="0.3">
      <c r="A566" s="151" t="str">
        <f ca="1">Returns!$A$564</f>
        <v/>
      </c>
      <c r="B566" s="152" t="str">
        <f ca="1">IF($A566="","",Returns!$J$564)</f>
        <v/>
      </c>
      <c r="C566" s="153" t="str">
        <f t="shared" ca="1" si="112"/>
        <v/>
      </c>
      <c r="D566" s="153" t="str">
        <f ca="1">IF($A566="","",MAX($C$7:C566))</f>
        <v/>
      </c>
      <c r="E566" s="154" t="str">
        <f t="shared" ca="1" si="113"/>
        <v/>
      </c>
      <c r="F566" s="152" t="str">
        <f ca="1">IF($A566="","",Returns!$I$564)</f>
        <v/>
      </c>
      <c r="G566" s="153" t="str">
        <f t="shared" ca="1" si="114"/>
        <v/>
      </c>
      <c r="H566" s="153" t="str">
        <f ca="1">IF($A566="","",MAX($G$7:G566))</f>
        <v/>
      </c>
      <c r="I566" s="154" t="str">
        <f t="shared" ca="1" si="115"/>
        <v/>
      </c>
      <c r="J566" s="59" t="str">
        <f t="shared" ca="1" si="116"/>
        <v/>
      </c>
      <c r="K566" s="3"/>
      <c r="L566" t="str">
        <f t="shared" ca="1" si="104"/>
        <v/>
      </c>
      <c r="M566" s="132" t="str">
        <f t="shared" ca="1" si="105"/>
        <v/>
      </c>
      <c r="N566" s="132" t="str">
        <f t="shared" ca="1" si="106"/>
        <v/>
      </c>
      <c r="P566" t="str">
        <f t="shared" ca="1" si="107"/>
        <v/>
      </c>
      <c r="Q566" s="133" t="str">
        <f t="shared" ca="1" si="108"/>
        <v/>
      </c>
      <c r="R566" s="133" t="str">
        <f t="shared" ca="1" si="109"/>
        <v/>
      </c>
      <c r="T566" t="str">
        <f t="shared" ca="1" si="110"/>
        <v/>
      </c>
      <c r="U566" s="134" t="str">
        <f t="shared" ca="1" si="111"/>
        <v/>
      </c>
    </row>
    <row r="567" spans="1:21" x14ac:dyDescent="0.3">
      <c r="A567" s="151" t="str">
        <f ca="1">Returns!$A$565</f>
        <v/>
      </c>
      <c r="B567" s="152" t="str">
        <f ca="1">IF($A567="","",Returns!$J$565)</f>
        <v/>
      </c>
      <c r="C567" s="153" t="str">
        <f t="shared" ca="1" si="112"/>
        <v/>
      </c>
      <c r="D567" s="153" t="str">
        <f ca="1">IF($A567="","",MAX($C$7:C567))</f>
        <v/>
      </c>
      <c r="E567" s="154" t="str">
        <f t="shared" ca="1" si="113"/>
        <v/>
      </c>
      <c r="F567" s="152" t="str">
        <f ca="1">IF($A567="","",Returns!$I$565)</f>
        <v/>
      </c>
      <c r="G567" s="153" t="str">
        <f t="shared" ca="1" si="114"/>
        <v/>
      </c>
      <c r="H567" s="153" t="str">
        <f ca="1">IF($A567="","",MAX($G$7:G567))</f>
        <v/>
      </c>
      <c r="I567" s="154" t="str">
        <f t="shared" ca="1" si="115"/>
        <v/>
      </c>
      <c r="J567" s="59" t="str">
        <f t="shared" ca="1" si="116"/>
        <v/>
      </c>
      <c r="K567" s="3"/>
      <c r="L567" t="str">
        <f t="shared" ca="1" si="104"/>
        <v/>
      </c>
      <c r="M567" s="132" t="str">
        <f t="shared" ca="1" si="105"/>
        <v/>
      </c>
      <c r="N567" s="132" t="str">
        <f t="shared" ca="1" si="106"/>
        <v/>
      </c>
      <c r="P567" t="str">
        <f t="shared" ca="1" si="107"/>
        <v/>
      </c>
      <c r="Q567" s="133" t="str">
        <f t="shared" ca="1" si="108"/>
        <v/>
      </c>
      <c r="R567" s="133" t="str">
        <f t="shared" ca="1" si="109"/>
        <v/>
      </c>
      <c r="T567" t="str">
        <f t="shared" ca="1" si="110"/>
        <v/>
      </c>
      <c r="U567" s="134" t="str">
        <f t="shared" ca="1" si="111"/>
        <v/>
      </c>
    </row>
    <row r="568" spans="1:21" x14ac:dyDescent="0.3">
      <c r="A568" s="151" t="str">
        <f ca="1">Returns!$A$566</f>
        <v/>
      </c>
      <c r="B568" s="152" t="str">
        <f ca="1">IF($A568="","",Returns!$J$566)</f>
        <v/>
      </c>
      <c r="C568" s="153" t="str">
        <f t="shared" ca="1" si="112"/>
        <v/>
      </c>
      <c r="D568" s="153" t="str">
        <f ca="1">IF($A568="","",MAX($C$7:C568))</f>
        <v/>
      </c>
      <c r="E568" s="154" t="str">
        <f t="shared" ca="1" si="113"/>
        <v/>
      </c>
      <c r="F568" s="152" t="str">
        <f ca="1">IF($A568="","",Returns!$I$566)</f>
        <v/>
      </c>
      <c r="G568" s="153" t="str">
        <f t="shared" ca="1" si="114"/>
        <v/>
      </c>
      <c r="H568" s="153" t="str">
        <f ca="1">IF($A568="","",MAX($G$7:G568))</f>
        <v/>
      </c>
      <c r="I568" s="154" t="str">
        <f t="shared" ca="1" si="115"/>
        <v/>
      </c>
      <c r="J568" s="59" t="str">
        <f t="shared" ca="1" si="116"/>
        <v/>
      </c>
      <c r="K568" s="3"/>
      <c r="L568" t="str">
        <f t="shared" ca="1" si="104"/>
        <v/>
      </c>
      <c r="M568" s="132" t="str">
        <f t="shared" ca="1" si="105"/>
        <v/>
      </c>
      <c r="N568" s="132" t="str">
        <f t="shared" ca="1" si="106"/>
        <v/>
      </c>
      <c r="P568" t="str">
        <f t="shared" ca="1" si="107"/>
        <v/>
      </c>
      <c r="Q568" s="133" t="str">
        <f t="shared" ca="1" si="108"/>
        <v/>
      </c>
      <c r="R568" s="133" t="str">
        <f t="shared" ca="1" si="109"/>
        <v/>
      </c>
      <c r="T568" t="str">
        <f t="shared" ca="1" si="110"/>
        <v/>
      </c>
      <c r="U568" s="134" t="str">
        <f t="shared" ca="1" si="111"/>
        <v/>
      </c>
    </row>
    <row r="569" spans="1:21" x14ac:dyDescent="0.3">
      <c r="A569" s="151" t="str">
        <f ca="1">Returns!$A$567</f>
        <v/>
      </c>
      <c r="B569" s="152" t="str">
        <f ca="1">IF($A569="","",Returns!$J$567)</f>
        <v/>
      </c>
      <c r="C569" s="153" t="str">
        <f t="shared" ca="1" si="112"/>
        <v/>
      </c>
      <c r="D569" s="153" t="str">
        <f ca="1">IF($A569="","",MAX($C$7:C569))</f>
        <v/>
      </c>
      <c r="E569" s="154" t="str">
        <f t="shared" ca="1" si="113"/>
        <v/>
      </c>
      <c r="F569" s="152" t="str">
        <f ca="1">IF($A569="","",Returns!$I$567)</f>
        <v/>
      </c>
      <c r="G569" s="153" t="str">
        <f t="shared" ca="1" si="114"/>
        <v/>
      </c>
      <c r="H569" s="153" t="str">
        <f ca="1">IF($A569="","",MAX($G$7:G569))</f>
        <v/>
      </c>
      <c r="I569" s="154" t="str">
        <f t="shared" ca="1" si="115"/>
        <v/>
      </c>
      <c r="J569" s="59" t="str">
        <f t="shared" ca="1" si="116"/>
        <v/>
      </c>
      <c r="K569" s="3"/>
      <c r="L569" t="str">
        <f t="shared" ca="1" si="104"/>
        <v/>
      </c>
      <c r="M569" s="132" t="str">
        <f t="shared" ca="1" si="105"/>
        <v/>
      </c>
      <c r="N569" s="132" t="str">
        <f t="shared" ca="1" si="106"/>
        <v/>
      </c>
      <c r="P569" t="str">
        <f t="shared" ca="1" si="107"/>
        <v/>
      </c>
      <c r="Q569" s="133" t="str">
        <f t="shared" ca="1" si="108"/>
        <v/>
      </c>
      <c r="R569" s="133" t="str">
        <f t="shared" ca="1" si="109"/>
        <v/>
      </c>
      <c r="T569" t="str">
        <f t="shared" ca="1" si="110"/>
        <v/>
      </c>
      <c r="U569" s="134" t="str">
        <f t="shared" ca="1" si="111"/>
        <v/>
      </c>
    </row>
    <row r="570" spans="1:21" x14ac:dyDescent="0.3">
      <c r="A570" s="151" t="str">
        <f ca="1">Returns!$A$568</f>
        <v/>
      </c>
      <c r="B570" s="152" t="str">
        <f ca="1">IF($A570="","",Returns!$J$568)</f>
        <v/>
      </c>
      <c r="C570" s="153" t="str">
        <f t="shared" ca="1" si="112"/>
        <v/>
      </c>
      <c r="D570" s="153" t="str">
        <f ca="1">IF($A570="","",MAX($C$7:C570))</f>
        <v/>
      </c>
      <c r="E570" s="154" t="str">
        <f t="shared" ca="1" si="113"/>
        <v/>
      </c>
      <c r="F570" s="152" t="str">
        <f ca="1">IF($A570="","",Returns!$I$568)</f>
        <v/>
      </c>
      <c r="G570" s="153" t="str">
        <f t="shared" ca="1" si="114"/>
        <v/>
      </c>
      <c r="H570" s="153" t="str">
        <f ca="1">IF($A570="","",MAX($G$7:G570))</f>
        <v/>
      </c>
      <c r="I570" s="154" t="str">
        <f t="shared" ca="1" si="115"/>
        <v/>
      </c>
      <c r="J570" s="59" t="str">
        <f t="shared" ca="1" si="116"/>
        <v/>
      </c>
      <c r="K570" s="3"/>
      <c r="L570" t="str">
        <f t="shared" ca="1" si="104"/>
        <v/>
      </c>
      <c r="M570" s="132" t="str">
        <f t="shared" ca="1" si="105"/>
        <v/>
      </c>
      <c r="N570" s="132" t="str">
        <f t="shared" ca="1" si="106"/>
        <v/>
      </c>
      <c r="P570" t="str">
        <f t="shared" ca="1" si="107"/>
        <v/>
      </c>
      <c r="Q570" s="133" t="str">
        <f t="shared" ca="1" si="108"/>
        <v/>
      </c>
      <c r="R570" s="133" t="str">
        <f t="shared" ca="1" si="109"/>
        <v/>
      </c>
      <c r="T570" t="str">
        <f t="shared" ca="1" si="110"/>
        <v/>
      </c>
      <c r="U570" s="134" t="str">
        <f t="shared" ca="1" si="111"/>
        <v/>
      </c>
    </row>
    <row r="571" spans="1:21" x14ac:dyDescent="0.3">
      <c r="A571" s="151" t="str">
        <f ca="1">Returns!$A$569</f>
        <v/>
      </c>
      <c r="B571" s="152" t="str">
        <f ca="1">IF($A571="","",Returns!$J$569)</f>
        <v/>
      </c>
      <c r="C571" s="153" t="str">
        <f t="shared" ca="1" si="112"/>
        <v/>
      </c>
      <c r="D571" s="153" t="str">
        <f ca="1">IF($A571="","",MAX($C$7:C571))</f>
        <v/>
      </c>
      <c r="E571" s="154" t="str">
        <f t="shared" ca="1" si="113"/>
        <v/>
      </c>
      <c r="F571" s="152" t="str">
        <f ca="1">IF($A571="","",Returns!$I$569)</f>
        <v/>
      </c>
      <c r="G571" s="153" t="str">
        <f t="shared" ca="1" si="114"/>
        <v/>
      </c>
      <c r="H571" s="153" t="str">
        <f ca="1">IF($A571="","",MAX($G$7:G571))</f>
        <v/>
      </c>
      <c r="I571" s="154" t="str">
        <f t="shared" ca="1" si="115"/>
        <v/>
      </c>
      <c r="J571" s="59" t="str">
        <f t="shared" ca="1" si="116"/>
        <v/>
      </c>
      <c r="K571" s="3"/>
      <c r="L571" t="str">
        <f t="shared" ca="1" si="104"/>
        <v/>
      </c>
      <c r="M571" s="132" t="str">
        <f t="shared" ca="1" si="105"/>
        <v/>
      </c>
      <c r="N571" s="132" t="str">
        <f t="shared" ca="1" si="106"/>
        <v/>
      </c>
      <c r="P571" t="str">
        <f t="shared" ca="1" si="107"/>
        <v/>
      </c>
      <c r="Q571" s="133" t="str">
        <f t="shared" ca="1" si="108"/>
        <v/>
      </c>
      <c r="R571" s="133" t="str">
        <f t="shared" ca="1" si="109"/>
        <v/>
      </c>
      <c r="T571" t="str">
        <f t="shared" ca="1" si="110"/>
        <v/>
      </c>
      <c r="U571" s="134" t="str">
        <f t="shared" ca="1" si="111"/>
        <v/>
      </c>
    </row>
    <row r="572" spans="1:21" x14ac:dyDescent="0.3">
      <c r="A572" s="151" t="str">
        <f ca="1">Returns!$A$570</f>
        <v/>
      </c>
      <c r="B572" s="152" t="str">
        <f ca="1">IF($A572="","",Returns!$J$570)</f>
        <v/>
      </c>
      <c r="C572" s="153" t="str">
        <f t="shared" ca="1" si="112"/>
        <v/>
      </c>
      <c r="D572" s="153" t="str">
        <f ca="1">IF($A572="","",MAX($C$7:C572))</f>
        <v/>
      </c>
      <c r="E572" s="154" t="str">
        <f t="shared" ca="1" si="113"/>
        <v/>
      </c>
      <c r="F572" s="152" t="str">
        <f ca="1">IF($A572="","",Returns!$I$570)</f>
        <v/>
      </c>
      <c r="G572" s="153" t="str">
        <f t="shared" ca="1" si="114"/>
        <v/>
      </c>
      <c r="H572" s="153" t="str">
        <f ca="1">IF($A572="","",MAX($G$7:G572))</f>
        <v/>
      </c>
      <c r="I572" s="154" t="str">
        <f t="shared" ca="1" si="115"/>
        <v/>
      </c>
      <c r="J572" s="59" t="str">
        <f t="shared" ca="1" si="116"/>
        <v/>
      </c>
      <c r="K572" s="3"/>
      <c r="L572" t="str">
        <f t="shared" ca="1" si="104"/>
        <v/>
      </c>
      <c r="M572" s="132" t="str">
        <f t="shared" ca="1" si="105"/>
        <v/>
      </c>
      <c r="N572" s="132" t="str">
        <f t="shared" ca="1" si="106"/>
        <v/>
      </c>
      <c r="P572" t="str">
        <f t="shared" ca="1" si="107"/>
        <v/>
      </c>
      <c r="Q572" s="133" t="str">
        <f t="shared" ca="1" si="108"/>
        <v/>
      </c>
      <c r="R572" s="133" t="str">
        <f t="shared" ca="1" si="109"/>
        <v/>
      </c>
      <c r="T572" t="str">
        <f t="shared" ca="1" si="110"/>
        <v/>
      </c>
      <c r="U572" s="134" t="str">
        <f t="shared" ca="1" si="111"/>
        <v/>
      </c>
    </row>
    <row r="573" spans="1:21" x14ac:dyDescent="0.3">
      <c r="A573" s="151" t="str">
        <f ca="1">Returns!$A$571</f>
        <v/>
      </c>
      <c r="B573" s="152" t="str">
        <f ca="1">IF($A573="","",Returns!$J$571)</f>
        <v/>
      </c>
      <c r="C573" s="153" t="str">
        <f t="shared" ca="1" si="112"/>
        <v/>
      </c>
      <c r="D573" s="153" t="str">
        <f ca="1">IF($A573="","",MAX($C$7:C573))</f>
        <v/>
      </c>
      <c r="E573" s="154" t="str">
        <f t="shared" ca="1" si="113"/>
        <v/>
      </c>
      <c r="F573" s="152" t="str">
        <f ca="1">IF($A573="","",Returns!$I$571)</f>
        <v/>
      </c>
      <c r="G573" s="153" t="str">
        <f t="shared" ca="1" si="114"/>
        <v/>
      </c>
      <c r="H573" s="153" t="str">
        <f ca="1">IF($A573="","",MAX($G$7:G573))</f>
        <v/>
      </c>
      <c r="I573" s="154" t="str">
        <f t="shared" ca="1" si="115"/>
        <v/>
      </c>
      <c r="J573" s="59" t="str">
        <f t="shared" ca="1" si="116"/>
        <v/>
      </c>
      <c r="K573" s="3"/>
      <c r="L573" t="str">
        <f t="shared" ca="1" si="104"/>
        <v/>
      </c>
      <c r="M573" s="132" t="str">
        <f t="shared" ca="1" si="105"/>
        <v/>
      </c>
      <c r="N573" s="132" t="str">
        <f t="shared" ca="1" si="106"/>
        <v/>
      </c>
      <c r="P573" t="str">
        <f t="shared" ca="1" si="107"/>
        <v/>
      </c>
      <c r="Q573" s="133" t="str">
        <f t="shared" ca="1" si="108"/>
        <v/>
      </c>
      <c r="R573" s="133" t="str">
        <f t="shared" ca="1" si="109"/>
        <v/>
      </c>
      <c r="T573" t="str">
        <f t="shared" ca="1" si="110"/>
        <v/>
      </c>
      <c r="U573" s="134" t="str">
        <f t="shared" ca="1" si="111"/>
        <v/>
      </c>
    </row>
    <row r="574" spans="1:21" x14ac:dyDescent="0.3">
      <c r="A574" s="151" t="str">
        <f ca="1">Returns!$A$572</f>
        <v/>
      </c>
      <c r="B574" s="152" t="str">
        <f ca="1">IF($A574="","",Returns!$J$572)</f>
        <v/>
      </c>
      <c r="C574" s="153" t="str">
        <f t="shared" ca="1" si="112"/>
        <v/>
      </c>
      <c r="D574" s="153" t="str">
        <f ca="1">IF($A574="","",MAX($C$7:C574))</f>
        <v/>
      </c>
      <c r="E574" s="154" t="str">
        <f t="shared" ca="1" si="113"/>
        <v/>
      </c>
      <c r="F574" s="152" t="str">
        <f ca="1">IF($A574="","",Returns!$I$572)</f>
        <v/>
      </c>
      <c r="G574" s="153" t="str">
        <f t="shared" ca="1" si="114"/>
        <v/>
      </c>
      <c r="H574" s="153" t="str">
        <f ca="1">IF($A574="","",MAX($G$7:G574))</f>
        <v/>
      </c>
      <c r="I574" s="154" t="str">
        <f t="shared" ca="1" si="115"/>
        <v/>
      </c>
      <c r="J574" s="59" t="str">
        <f t="shared" ca="1" si="116"/>
        <v/>
      </c>
      <c r="K574" s="3"/>
      <c r="L574" t="str">
        <f t="shared" ca="1" si="104"/>
        <v/>
      </c>
      <c r="M574" s="132" t="str">
        <f t="shared" ca="1" si="105"/>
        <v/>
      </c>
      <c r="N574" s="132" t="str">
        <f t="shared" ca="1" si="106"/>
        <v/>
      </c>
      <c r="P574" t="str">
        <f t="shared" ca="1" si="107"/>
        <v/>
      </c>
      <c r="Q574" s="133" t="str">
        <f t="shared" ca="1" si="108"/>
        <v/>
      </c>
      <c r="R574" s="133" t="str">
        <f t="shared" ca="1" si="109"/>
        <v/>
      </c>
      <c r="T574" t="str">
        <f t="shared" ca="1" si="110"/>
        <v/>
      </c>
      <c r="U574" s="134" t="str">
        <f t="shared" ca="1" si="111"/>
        <v/>
      </c>
    </row>
    <row r="575" spans="1:21" x14ac:dyDescent="0.3">
      <c r="A575" s="151" t="str">
        <f ca="1">Returns!$A$573</f>
        <v/>
      </c>
      <c r="B575" s="152" t="str">
        <f ca="1">IF($A575="","",Returns!$J$573)</f>
        <v/>
      </c>
      <c r="C575" s="153" t="str">
        <f t="shared" ca="1" si="112"/>
        <v/>
      </c>
      <c r="D575" s="153" t="str">
        <f ca="1">IF($A575="","",MAX($C$7:C575))</f>
        <v/>
      </c>
      <c r="E575" s="154" t="str">
        <f t="shared" ca="1" si="113"/>
        <v/>
      </c>
      <c r="F575" s="152" t="str">
        <f ca="1">IF($A575="","",Returns!$I$573)</f>
        <v/>
      </c>
      <c r="G575" s="153" t="str">
        <f t="shared" ca="1" si="114"/>
        <v/>
      </c>
      <c r="H575" s="153" t="str">
        <f ca="1">IF($A575="","",MAX($G$7:G575))</f>
        <v/>
      </c>
      <c r="I575" s="154" t="str">
        <f t="shared" ca="1" si="115"/>
        <v/>
      </c>
      <c r="J575" s="59" t="str">
        <f t="shared" ca="1" si="116"/>
        <v/>
      </c>
      <c r="K575" s="3"/>
      <c r="L575" t="str">
        <f t="shared" ca="1" si="104"/>
        <v/>
      </c>
      <c r="M575" s="132" t="str">
        <f t="shared" ca="1" si="105"/>
        <v/>
      </c>
      <c r="N575" s="132" t="str">
        <f t="shared" ca="1" si="106"/>
        <v/>
      </c>
      <c r="P575" t="str">
        <f t="shared" ca="1" si="107"/>
        <v/>
      </c>
      <c r="Q575" s="133" t="str">
        <f t="shared" ca="1" si="108"/>
        <v/>
      </c>
      <c r="R575" s="133" t="str">
        <f t="shared" ca="1" si="109"/>
        <v/>
      </c>
      <c r="T575" t="str">
        <f t="shared" ca="1" si="110"/>
        <v/>
      </c>
      <c r="U575" s="134" t="str">
        <f t="shared" ca="1" si="111"/>
        <v/>
      </c>
    </row>
    <row r="576" spans="1:21" x14ac:dyDescent="0.3">
      <c r="A576" s="151" t="str">
        <f ca="1">Returns!$A$574</f>
        <v/>
      </c>
      <c r="B576" s="152" t="str">
        <f ca="1">IF($A576="","",Returns!$J$574)</f>
        <v/>
      </c>
      <c r="C576" s="153" t="str">
        <f t="shared" ca="1" si="112"/>
        <v/>
      </c>
      <c r="D576" s="153" t="str">
        <f ca="1">IF($A576="","",MAX($C$7:C576))</f>
        <v/>
      </c>
      <c r="E576" s="154" t="str">
        <f t="shared" ca="1" si="113"/>
        <v/>
      </c>
      <c r="F576" s="152" t="str">
        <f ca="1">IF($A576="","",Returns!$I$574)</f>
        <v/>
      </c>
      <c r="G576" s="153" t="str">
        <f t="shared" ca="1" si="114"/>
        <v/>
      </c>
      <c r="H576" s="153" t="str">
        <f ca="1">IF($A576="","",MAX($G$7:G576))</f>
        <v/>
      </c>
      <c r="I576" s="154" t="str">
        <f t="shared" ca="1" si="115"/>
        <v/>
      </c>
      <c r="J576" s="59" t="str">
        <f t="shared" ca="1" si="116"/>
        <v/>
      </c>
      <c r="K576" s="3"/>
      <c r="L576" t="str">
        <f t="shared" ca="1" si="104"/>
        <v/>
      </c>
      <c r="M576" s="132" t="str">
        <f t="shared" ca="1" si="105"/>
        <v/>
      </c>
      <c r="N576" s="132" t="str">
        <f t="shared" ca="1" si="106"/>
        <v/>
      </c>
      <c r="P576" t="str">
        <f t="shared" ca="1" si="107"/>
        <v/>
      </c>
      <c r="Q576" s="133" t="str">
        <f t="shared" ca="1" si="108"/>
        <v/>
      </c>
      <c r="R576" s="133" t="str">
        <f t="shared" ca="1" si="109"/>
        <v/>
      </c>
      <c r="T576" t="str">
        <f t="shared" ca="1" si="110"/>
        <v/>
      </c>
      <c r="U576" s="134" t="str">
        <f t="shared" ca="1" si="111"/>
        <v/>
      </c>
    </row>
    <row r="577" spans="1:21" x14ac:dyDescent="0.3">
      <c r="A577" s="151" t="str">
        <f ca="1">Returns!$A$575</f>
        <v/>
      </c>
      <c r="B577" s="152" t="str">
        <f ca="1">IF($A577="","",Returns!$J$575)</f>
        <v/>
      </c>
      <c r="C577" s="153" t="str">
        <f t="shared" ca="1" si="112"/>
        <v/>
      </c>
      <c r="D577" s="153" t="str">
        <f ca="1">IF($A577="","",MAX($C$7:C577))</f>
        <v/>
      </c>
      <c r="E577" s="154" t="str">
        <f t="shared" ca="1" si="113"/>
        <v/>
      </c>
      <c r="F577" s="152" t="str">
        <f ca="1">IF($A577="","",Returns!$I$575)</f>
        <v/>
      </c>
      <c r="G577" s="153" t="str">
        <f t="shared" ca="1" si="114"/>
        <v/>
      </c>
      <c r="H577" s="153" t="str">
        <f ca="1">IF($A577="","",MAX($G$7:G577))</f>
        <v/>
      </c>
      <c r="I577" s="154" t="str">
        <f t="shared" ca="1" si="115"/>
        <v/>
      </c>
      <c r="J577" s="59" t="str">
        <f t="shared" ca="1" si="116"/>
        <v/>
      </c>
      <c r="K577" s="3"/>
      <c r="L577" t="str">
        <f t="shared" ca="1" si="104"/>
        <v/>
      </c>
      <c r="M577" s="132" t="str">
        <f t="shared" ca="1" si="105"/>
        <v/>
      </c>
      <c r="N577" s="132" t="str">
        <f t="shared" ca="1" si="106"/>
        <v/>
      </c>
      <c r="P577" t="str">
        <f t="shared" ca="1" si="107"/>
        <v/>
      </c>
      <c r="Q577" s="133" t="str">
        <f t="shared" ca="1" si="108"/>
        <v/>
      </c>
      <c r="R577" s="133" t="str">
        <f t="shared" ca="1" si="109"/>
        <v/>
      </c>
      <c r="T577" t="str">
        <f t="shared" ca="1" si="110"/>
        <v/>
      </c>
      <c r="U577" s="134" t="str">
        <f t="shared" ca="1" si="111"/>
        <v/>
      </c>
    </row>
    <row r="578" spans="1:21" x14ac:dyDescent="0.3">
      <c r="A578" s="151" t="str">
        <f ca="1">Returns!$A$576</f>
        <v/>
      </c>
      <c r="B578" s="152" t="str">
        <f ca="1">IF($A578="","",Returns!$J$576)</f>
        <v/>
      </c>
      <c r="C578" s="153" t="str">
        <f t="shared" ca="1" si="112"/>
        <v/>
      </c>
      <c r="D578" s="153" t="str">
        <f ca="1">IF($A578="","",MAX($C$7:C578))</f>
        <v/>
      </c>
      <c r="E578" s="154" t="str">
        <f t="shared" ca="1" si="113"/>
        <v/>
      </c>
      <c r="F578" s="152" t="str">
        <f ca="1">IF($A578="","",Returns!$I$576)</f>
        <v/>
      </c>
      <c r="G578" s="153" t="str">
        <f t="shared" ca="1" si="114"/>
        <v/>
      </c>
      <c r="H578" s="153" t="str">
        <f ca="1">IF($A578="","",MAX($G$7:G578))</f>
        <v/>
      </c>
      <c r="I578" s="154" t="str">
        <f t="shared" ca="1" si="115"/>
        <v/>
      </c>
      <c r="J578" s="59" t="str">
        <f t="shared" ca="1" si="116"/>
        <v/>
      </c>
      <c r="K578" s="3"/>
      <c r="L578" t="str">
        <f t="shared" ca="1" si="104"/>
        <v/>
      </c>
      <c r="M578" s="132" t="str">
        <f t="shared" ca="1" si="105"/>
        <v/>
      </c>
      <c r="N578" s="132" t="str">
        <f t="shared" ca="1" si="106"/>
        <v/>
      </c>
      <c r="P578" t="str">
        <f t="shared" ca="1" si="107"/>
        <v/>
      </c>
      <c r="Q578" s="133" t="str">
        <f t="shared" ca="1" si="108"/>
        <v/>
      </c>
      <c r="R578" s="133" t="str">
        <f t="shared" ca="1" si="109"/>
        <v/>
      </c>
      <c r="T578" t="str">
        <f t="shared" ca="1" si="110"/>
        <v/>
      </c>
      <c r="U578" s="134" t="str">
        <f t="shared" ca="1" si="111"/>
        <v/>
      </c>
    </row>
    <row r="579" spans="1:21" x14ac:dyDescent="0.3">
      <c r="A579" s="151" t="str">
        <f ca="1">Returns!$A$577</f>
        <v/>
      </c>
      <c r="B579" s="152" t="str">
        <f ca="1">IF($A579="","",Returns!$J$577)</f>
        <v/>
      </c>
      <c r="C579" s="153" t="str">
        <f t="shared" ca="1" si="112"/>
        <v/>
      </c>
      <c r="D579" s="153" t="str">
        <f ca="1">IF($A579="","",MAX($C$7:C579))</f>
        <v/>
      </c>
      <c r="E579" s="154" t="str">
        <f t="shared" ca="1" si="113"/>
        <v/>
      </c>
      <c r="F579" s="152" t="str">
        <f ca="1">IF($A579="","",Returns!$I$577)</f>
        <v/>
      </c>
      <c r="G579" s="153" t="str">
        <f t="shared" ca="1" si="114"/>
        <v/>
      </c>
      <c r="H579" s="153" t="str">
        <f ca="1">IF($A579="","",MAX($G$7:G579))</f>
        <v/>
      </c>
      <c r="I579" s="154" t="str">
        <f t="shared" ca="1" si="115"/>
        <v/>
      </c>
      <c r="J579" s="59" t="str">
        <f t="shared" ca="1" si="116"/>
        <v/>
      </c>
      <c r="K579" s="3"/>
      <c r="L579" t="str">
        <f t="shared" ca="1" si="104"/>
        <v/>
      </c>
      <c r="M579" s="132" t="str">
        <f t="shared" ca="1" si="105"/>
        <v/>
      </c>
      <c r="N579" s="132" t="str">
        <f t="shared" ca="1" si="106"/>
        <v/>
      </c>
      <c r="P579" t="str">
        <f t="shared" ca="1" si="107"/>
        <v/>
      </c>
      <c r="Q579" s="133" t="str">
        <f t="shared" ca="1" si="108"/>
        <v/>
      </c>
      <c r="R579" s="133" t="str">
        <f t="shared" ca="1" si="109"/>
        <v/>
      </c>
      <c r="T579" t="str">
        <f t="shared" ca="1" si="110"/>
        <v/>
      </c>
      <c r="U579" s="134" t="str">
        <f t="shared" ca="1" si="111"/>
        <v/>
      </c>
    </row>
    <row r="580" spans="1:21" x14ac:dyDescent="0.3">
      <c r="A580" s="151" t="str">
        <f ca="1">Returns!$A$578</f>
        <v/>
      </c>
      <c r="B580" s="152" t="str">
        <f ca="1">IF($A580="","",Returns!$J$578)</f>
        <v/>
      </c>
      <c r="C580" s="153" t="str">
        <f t="shared" ca="1" si="112"/>
        <v/>
      </c>
      <c r="D580" s="153" t="str">
        <f ca="1">IF($A580="","",MAX($C$7:C580))</f>
        <v/>
      </c>
      <c r="E580" s="154" t="str">
        <f t="shared" ca="1" si="113"/>
        <v/>
      </c>
      <c r="F580" s="152" t="str">
        <f ca="1">IF($A580="","",Returns!$I$578)</f>
        <v/>
      </c>
      <c r="G580" s="153" t="str">
        <f t="shared" ca="1" si="114"/>
        <v/>
      </c>
      <c r="H580" s="153" t="str">
        <f ca="1">IF($A580="","",MAX($G$7:G580))</f>
        <v/>
      </c>
      <c r="I580" s="154" t="str">
        <f t="shared" ca="1" si="115"/>
        <v/>
      </c>
      <c r="J580" s="59" t="str">
        <f t="shared" ca="1" si="116"/>
        <v/>
      </c>
      <c r="K580" s="3"/>
      <c r="L580" t="str">
        <f t="shared" ca="1" si="104"/>
        <v/>
      </c>
      <c r="M580" s="132" t="str">
        <f t="shared" ca="1" si="105"/>
        <v/>
      </c>
      <c r="N580" s="132" t="str">
        <f t="shared" ca="1" si="106"/>
        <v/>
      </c>
      <c r="P580" t="str">
        <f t="shared" ca="1" si="107"/>
        <v/>
      </c>
      <c r="Q580" s="133" t="str">
        <f t="shared" ca="1" si="108"/>
        <v/>
      </c>
      <c r="R580" s="133" t="str">
        <f t="shared" ca="1" si="109"/>
        <v/>
      </c>
      <c r="T580" t="str">
        <f t="shared" ca="1" si="110"/>
        <v/>
      </c>
      <c r="U580" s="134" t="str">
        <f t="shared" ca="1" si="111"/>
        <v/>
      </c>
    </row>
    <row r="581" spans="1:21" x14ac:dyDescent="0.3">
      <c r="A581" s="151" t="str">
        <f ca="1">Returns!$A$579</f>
        <v/>
      </c>
      <c r="B581" s="152" t="str">
        <f ca="1">IF($A581="","",Returns!$J$579)</f>
        <v/>
      </c>
      <c r="C581" s="153" t="str">
        <f t="shared" ca="1" si="112"/>
        <v/>
      </c>
      <c r="D581" s="153" t="str">
        <f ca="1">IF($A581="","",MAX($C$7:C581))</f>
        <v/>
      </c>
      <c r="E581" s="154" t="str">
        <f t="shared" ca="1" si="113"/>
        <v/>
      </c>
      <c r="F581" s="152" t="str">
        <f ca="1">IF($A581="","",Returns!$I$579)</f>
        <v/>
      </c>
      <c r="G581" s="153" t="str">
        <f t="shared" ca="1" si="114"/>
        <v/>
      </c>
      <c r="H581" s="153" t="str">
        <f ca="1">IF($A581="","",MAX($G$7:G581))</f>
        <v/>
      </c>
      <c r="I581" s="154" t="str">
        <f t="shared" ca="1" si="115"/>
        <v/>
      </c>
      <c r="J581" s="59" t="str">
        <f t="shared" ca="1" si="116"/>
        <v/>
      </c>
      <c r="K581" s="3"/>
      <c r="L581" t="str">
        <f t="shared" ca="1" si="104"/>
        <v/>
      </c>
      <c r="M581" s="132" t="str">
        <f t="shared" ca="1" si="105"/>
        <v/>
      </c>
      <c r="N581" s="132" t="str">
        <f t="shared" ca="1" si="106"/>
        <v/>
      </c>
      <c r="P581" t="str">
        <f t="shared" ca="1" si="107"/>
        <v/>
      </c>
      <c r="Q581" s="133" t="str">
        <f t="shared" ca="1" si="108"/>
        <v/>
      </c>
      <c r="R581" s="133" t="str">
        <f t="shared" ca="1" si="109"/>
        <v/>
      </c>
      <c r="T581" t="str">
        <f t="shared" ca="1" si="110"/>
        <v/>
      </c>
      <c r="U581" s="134" t="str">
        <f t="shared" ca="1" si="111"/>
        <v/>
      </c>
    </row>
    <row r="582" spans="1:21" x14ac:dyDescent="0.3">
      <c r="A582" s="151" t="str">
        <f ca="1">Returns!$A$580</f>
        <v/>
      </c>
      <c r="B582" s="152" t="str">
        <f ca="1">IF($A582="","",Returns!$J$580)</f>
        <v/>
      </c>
      <c r="C582" s="153" t="str">
        <f t="shared" ca="1" si="112"/>
        <v/>
      </c>
      <c r="D582" s="153" t="str">
        <f ca="1">IF($A582="","",MAX($C$7:C582))</f>
        <v/>
      </c>
      <c r="E582" s="154" t="str">
        <f t="shared" ca="1" si="113"/>
        <v/>
      </c>
      <c r="F582" s="152" t="str">
        <f ca="1">IF($A582="","",Returns!$I$580)</f>
        <v/>
      </c>
      <c r="G582" s="153" t="str">
        <f t="shared" ca="1" si="114"/>
        <v/>
      </c>
      <c r="H582" s="153" t="str">
        <f ca="1">IF($A582="","",MAX($G$7:G582))</f>
        <v/>
      </c>
      <c r="I582" s="154" t="str">
        <f t="shared" ca="1" si="115"/>
        <v/>
      </c>
      <c r="J582" s="59" t="str">
        <f t="shared" ca="1" si="116"/>
        <v/>
      </c>
      <c r="K582" s="3"/>
      <c r="L582" t="str">
        <f t="shared" ca="1" si="104"/>
        <v/>
      </c>
      <c r="M582" s="132" t="str">
        <f t="shared" ca="1" si="105"/>
        <v/>
      </c>
      <c r="N582" s="132" t="str">
        <f t="shared" ca="1" si="106"/>
        <v/>
      </c>
      <c r="P582" t="str">
        <f t="shared" ca="1" si="107"/>
        <v/>
      </c>
      <c r="Q582" s="133" t="str">
        <f t="shared" ca="1" si="108"/>
        <v/>
      </c>
      <c r="R582" s="133" t="str">
        <f t="shared" ca="1" si="109"/>
        <v/>
      </c>
      <c r="T582" t="str">
        <f t="shared" ca="1" si="110"/>
        <v/>
      </c>
      <c r="U582" s="134" t="str">
        <f t="shared" ca="1" si="111"/>
        <v/>
      </c>
    </row>
    <row r="583" spans="1:21" x14ac:dyDescent="0.3">
      <c r="A583" s="151" t="str">
        <f ca="1">Returns!$A$581</f>
        <v/>
      </c>
      <c r="B583" s="152" t="str">
        <f ca="1">IF($A583="","",Returns!$J$581)</f>
        <v/>
      </c>
      <c r="C583" s="153" t="str">
        <f t="shared" ca="1" si="112"/>
        <v/>
      </c>
      <c r="D583" s="153" t="str">
        <f ca="1">IF($A583="","",MAX($C$7:C583))</f>
        <v/>
      </c>
      <c r="E583" s="154" t="str">
        <f t="shared" ca="1" si="113"/>
        <v/>
      </c>
      <c r="F583" s="152" t="str">
        <f ca="1">IF($A583="","",Returns!$I$581)</f>
        <v/>
      </c>
      <c r="G583" s="153" t="str">
        <f t="shared" ca="1" si="114"/>
        <v/>
      </c>
      <c r="H583" s="153" t="str">
        <f ca="1">IF($A583="","",MAX($G$7:G583))</f>
        <v/>
      </c>
      <c r="I583" s="154" t="str">
        <f t="shared" ca="1" si="115"/>
        <v/>
      </c>
      <c r="J583" s="59" t="str">
        <f t="shared" ca="1" si="116"/>
        <v/>
      </c>
      <c r="K583" s="3"/>
      <c r="L583" t="str">
        <f t="shared" ref="L583:L646" ca="1" si="117">$J583</f>
        <v/>
      </c>
      <c r="M583" s="132" t="str">
        <f t="shared" ref="M583:M646" ca="1" si="118">$C583</f>
        <v/>
      </c>
      <c r="N583" s="132" t="str">
        <f t="shared" ref="N583:N646" ca="1" si="119">$G583</f>
        <v/>
      </c>
      <c r="P583" t="str">
        <f t="shared" ref="P583:P646" ca="1" si="120">$J583</f>
        <v/>
      </c>
      <c r="Q583" s="133" t="str">
        <f t="shared" ref="Q583:Q646" ca="1" si="121">$E583</f>
        <v/>
      </c>
      <c r="R583" s="133" t="str">
        <f t="shared" ref="R583:R646" ca="1" si="122">$I583</f>
        <v/>
      </c>
      <c r="T583" t="str">
        <f t="shared" ref="T583:T646" ca="1" si="123">$J583</f>
        <v/>
      </c>
      <c r="U583" s="134" t="str">
        <f t="shared" ref="U583:U646" ca="1" si="124">IF($A583="","",NotionalValue*$C583/IndexBase)</f>
        <v/>
      </c>
    </row>
    <row r="584" spans="1:21" x14ac:dyDescent="0.3">
      <c r="A584" s="151" t="str">
        <f ca="1">Returns!$A$582</f>
        <v/>
      </c>
      <c r="B584" s="152" t="str">
        <f ca="1">IF($A584="","",Returns!$J$582)</f>
        <v/>
      </c>
      <c r="C584" s="153" t="str">
        <f t="shared" ref="C584:C647" ca="1" si="125">IF($A584="","",C583*(1+$B584))</f>
        <v/>
      </c>
      <c r="D584" s="153" t="str">
        <f ca="1">IF($A584="","",MAX($C$7:C584))</f>
        <v/>
      </c>
      <c r="E584" s="154" t="str">
        <f t="shared" ref="E584:E647" ca="1" si="126">IF($A584="","",$C584/$D584-1)</f>
        <v/>
      </c>
      <c r="F584" s="152" t="str">
        <f ca="1">IF($A584="","",Returns!$I$582)</f>
        <v/>
      </c>
      <c r="G584" s="153" t="str">
        <f t="shared" ref="G584:G647" ca="1" si="127">IF($A584="","",G583*(1+$F584))</f>
        <v/>
      </c>
      <c r="H584" s="153" t="str">
        <f ca="1">IF($A584="","",MAX($G$7:G584))</f>
        <v/>
      </c>
      <c r="I584" s="154" t="str">
        <f t="shared" ref="I584:I647" ca="1" si="128">IF($A584="","",$G584/$H584-1)</f>
        <v/>
      </c>
      <c r="J584" s="59" t="str">
        <f t="shared" ref="J584:J647" ca="1" si="129">IF($A584="","",TEXT($A584,"mmm-yy"))</f>
        <v/>
      </c>
      <c r="K584" s="3"/>
      <c r="L584" t="str">
        <f t="shared" ca="1" si="117"/>
        <v/>
      </c>
      <c r="M584" s="132" t="str">
        <f t="shared" ca="1" si="118"/>
        <v/>
      </c>
      <c r="N584" s="132" t="str">
        <f t="shared" ca="1" si="119"/>
        <v/>
      </c>
      <c r="P584" t="str">
        <f t="shared" ca="1" si="120"/>
        <v/>
      </c>
      <c r="Q584" s="133" t="str">
        <f t="shared" ca="1" si="121"/>
        <v/>
      </c>
      <c r="R584" s="133" t="str">
        <f t="shared" ca="1" si="122"/>
        <v/>
      </c>
      <c r="T584" t="str">
        <f t="shared" ca="1" si="123"/>
        <v/>
      </c>
      <c r="U584" s="134" t="str">
        <f t="shared" ca="1" si="124"/>
        <v/>
      </c>
    </row>
    <row r="585" spans="1:21" x14ac:dyDescent="0.3">
      <c r="A585" s="151" t="str">
        <f ca="1">Returns!$A$583</f>
        <v/>
      </c>
      <c r="B585" s="152" t="str">
        <f ca="1">IF($A585="","",Returns!$J$583)</f>
        <v/>
      </c>
      <c r="C585" s="153" t="str">
        <f t="shared" ca="1" si="125"/>
        <v/>
      </c>
      <c r="D585" s="153" t="str">
        <f ca="1">IF($A585="","",MAX($C$7:C585))</f>
        <v/>
      </c>
      <c r="E585" s="154" t="str">
        <f t="shared" ca="1" si="126"/>
        <v/>
      </c>
      <c r="F585" s="152" t="str">
        <f ca="1">IF($A585="","",Returns!$I$583)</f>
        <v/>
      </c>
      <c r="G585" s="153" t="str">
        <f t="shared" ca="1" si="127"/>
        <v/>
      </c>
      <c r="H585" s="153" t="str">
        <f ca="1">IF($A585="","",MAX($G$7:G585))</f>
        <v/>
      </c>
      <c r="I585" s="154" t="str">
        <f t="shared" ca="1" si="128"/>
        <v/>
      </c>
      <c r="J585" s="59" t="str">
        <f t="shared" ca="1" si="129"/>
        <v/>
      </c>
      <c r="K585" s="3"/>
      <c r="L585" t="str">
        <f t="shared" ca="1" si="117"/>
        <v/>
      </c>
      <c r="M585" s="132" t="str">
        <f t="shared" ca="1" si="118"/>
        <v/>
      </c>
      <c r="N585" s="132" t="str">
        <f t="shared" ca="1" si="119"/>
        <v/>
      </c>
      <c r="P585" t="str">
        <f t="shared" ca="1" si="120"/>
        <v/>
      </c>
      <c r="Q585" s="133" t="str">
        <f t="shared" ca="1" si="121"/>
        <v/>
      </c>
      <c r="R585" s="133" t="str">
        <f t="shared" ca="1" si="122"/>
        <v/>
      </c>
      <c r="T585" t="str">
        <f t="shared" ca="1" si="123"/>
        <v/>
      </c>
      <c r="U585" s="134" t="str">
        <f t="shared" ca="1" si="124"/>
        <v/>
      </c>
    </row>
    <row r="586" spans="1:21" x14ac:dyDescent="0.3">
      <c r="A586" s="151" t="str">
        <f ca="1">Returns!$A$584</f>
        <v/>
      </c>
      <c r="B586" s="152" t="str">
        <f ca="1">IF($A586="","",Returns!$J$584)</f>
        <v/>
      </c>
      <c r="C586" s="153" t="str">
        <f t="shared" ca="1" si="125"/>
        <v/>
      </c>
      <c r="D586" s="153" t="str">
        <f ca="1">IF($A586="","",MAX($C$7:C586))</f>
        <v/>
      </c>
      <c r="E586" s="154" t="str">
        <f t="shared" ca="1" si="126"/>
        <v/>
      </c>
      <c r="F586" s="152" t="str">
        <f ca="1">IF($A586="","",Returns!$I$584)</f>
        <v/>
      </c>
      <c r="G586" s="153" t="str">
        <f t="shared" ca="1" si="127"/>
        <v/>
      </c>
      <c r="H586" s="153" t="str">
        <f ca="1">IF($A586="","",MAX($G$7:G586))</f>
        <v/>
      </c>
      <c r="I586" s="154" t="str">
        <f t="shared" ca="1" si="128"/>
        <v/>
      </c>
      <c r="J586" s="59" t="str">
        <f t="shared" ca="1" si="129"/>
        <v/>
      </c>
      <c r="K586" s="3"/>
      <c r="L586" t="str">
        <f t="shared" ca="1" si="117"/>
        <v/>
      </c>
      <c r="M586" s="132" t="str">
        <f t="shared" ca="1" si="118"/>
        <v/>
      </c>
      <c r="N586" s="132" t="str">
        <f t="shared" ca="1" si="119"/>
        <v/>
      </c>
      <c r="P586" t="str">
        <f t="shared" ca="1" si="120"/>
        <v/>
      </c>
      <c r="Q586" s="133" t="str">
        <f t="shared" ca="1" si="121"/>
        <v/>
      </c>
      <c r="R586" s="133" t="str">
        <f t="shared" ca="1" si="122"/>
        <v/>
      </c>
      <c r="T586" t="str">
        <f t="shared" ca="1" si="123"/>
        <v/>
      </c>
      <c r="U586" s="134" t="str">
        <f t="shared" ca="1" si="124"/>
        <v/>
      </c>
    </row>
    <row r="587" spans="1:21" x14ac:dyDescent="0.3">
      <c r="A587" s="151" t="str">
        <f ca="1">Returns!$A$585</f>
        <v/>
      </c>
      <c r="B587" s="152" t="str">
        <f ca="1">IF($A587="","",Returns!$J$585)</f>
        <v/>
      </c>
      <c r="C587" s="153" t="str">
        <f t="shared" ca="1" si="125"/>
        <v/>
      </c>
      <c r="D587" s="153" t="str">
        <f ca="1">IF($A587="","",MAX($C$7:C587))</f>
        <v/>
      </c>
      <c r="E587" s="154" t="str">
        <f t="shared" ca="1" si="126"/>
        <v/>
      </c>
      <c r="F587" s="152" t="str">
        <f ca="1">IF($A587="","",Returns!$I$585)</f>
        <v/>
      </c>
      <c r="G587" s="153" t="str">
        <f t="shared" ca="1" si="127"/>
        <v/>
      </c>
      <c r="H587" s="153" t="str">
        <f ca="1">IF($A587="","",MAX($G$7:G587))</f>
        <v/>
      </c>
      <c r="I587" s="154" t="str">
        <f t="shared" ca="1" si="128"/>
        <v/>
      </c>
      <c r="J587" s="59" t="str">
        <f t="shared" ca="1" si="129"/>
        <v/>
      </c>
      <c r="K587" s="3"/>
      <c r="L587" t="str">
        <f t="shared" ca="1" si="117"/>
        <v/>
      </c>
      <c r="M587" s="132" t="str">
        <f t="shared" ca="1" si="118"/>
        <v/>
      </c>
      <c r="N587" s="132" t="str">
        <f t="shared" ca="1" si="119"/>
        <v/>
      </c>
      <c r="P587" t="str">
        <f t="shared" ca="1" si="120"/>
        <v/>
      </c>
      <c r="Q587" s="133" t="str">
        <f t="shared" ca="1" si="121"/>
        <v/>
      </c>
      <c r="R587" s="133" t="str">
        <f t="shared" ca="1" si="122"/>
        <v/>
      </c>
      <c r="T587" t="str">
        <f t="shared" ca="1" si="123"/>
        <v/>
      </c>
      <c r="U587" s="134" t="str">
        <f t="shared" ca="1" si="124"/>
        <v/>
      </c>
    </row>
    <row r="588" spans="1:21" x14ac:dyDescent="0.3">
      <c r="A588" s="151" t="str">
        <f ca="1">Returns!$A$586</f>
        <v/>
      </c>
      <c r="B588" s="152" t="str">
        <f ca="1">IF($A588="","",Returns!$J$586)</f>
        <v/>
      </c>
      <c r="C588" s="153" t="str">
        <f t="shared" ca="1" si="125"/>
        <v/>
      </c>
      <c r="D588" s="153" t="str">
        <f ca="1">IF($A588="","",MAX($C$7:C588))</f>
        <v/>
      </c>
      <c r="E588" s="154" t="str">
        <f t="shared" ca="1" si="126"/>
        <v/>
      </c>
      <c r="F588" s="152" t="str">
        <f ca="1">IF($A588="","",Returns!$I$586)</f>
        <v/>
      </c>
      <c r="G588" s="153" t="str">
        <f t="shared" ca="1" si="127"/>
        <v/>
      </c>
      <c r="H588" s="153" t="str">
        <f ca="1">IF($A588="","",MAX($G$7:G588))</f>
        <v/>
      </c>
      <c r="I588" s="154" t="str">
        <f t="shared" ca="1" si="128"/>
        <v/>
      </c>
      <c r="J588" s="59" t="str">
        <f t="shared" ca="1" si="129"/>
        <v/>
      </c>
      <c r="K588" s="3"/>
      <c r="L588" t="str">
        <f t="shared" ca="1" si="117"/>
        <v/>
      </c>
      <c r="M588" s="132" t="str">
        <f t="shared" ca="1" si="118"/>
        <v/>
      </c>
      <c r="N588" s="132" t="str">
        <f t="shared" ca="1" si="119"/>
        <v/>
      </c>
      <c r="P588" t="str">
        <f t="shared" ca="1" si="120"/>
        <v/>
      </c>
      <c r="Q588" s="133" t="str">
        <f t="shared" ca="1" si="121"/>
        <v/>
      </c>
      <c r="R588" s="133" t="str">
        <f t="shared" ca="1" si="122"/>
        <v/>
      </c>
      <c r="T588" t="str">
        <f t="shared" ca="1" si="123"/>
        <v/>
      </c>
      <c r="U588" s="134" t="str">
        <f t="shared" ca="1" si="124"/>
        <v/>
      </c>
    </row>
    <row r="589" spans="1:21" x14ac:dyDescent="0.3">
      <c r="A589" s="151" t="str">
        <f ca="1">Returns!$A$587</f>
        <v/>
      </c>
      <c r="B589" s="152" t="str">
        <f ca="1">IF($A589="","",Returns!$J$587)</f>
        <v/>
      </c>
      <c r="C589" s="153" t="str">
        <f t="shared" ca="1" si="125"/>
        <v/>
      </c>
      <c r="D589" s="153" t="str">
        <f ca="1">IF($A589="","",MAX($C$7:C589))</f>
        <v/>
      </c>
      <c r="E589" s="154" t="str">
        <f t="shared" ca="1" si="126"/>
        <v/>
      </c>
      <c r="F589" s="152" t="str">
        <f ca="1">IF($A589="","",Returns!$I$587)</f>
        <v/>
      </c>
      <c r="G589" s="153" t="str">
        <f t="shared" ca="1" si="127"/>
        <v/>
      </c>
      <c r="H589" s="153" t="str">
        <f ca="1">IF($A589="","",MAX($G$7:G589))</f>
        <v/>
      </c>
      <c r="I589" s="154" t="str">
        <f t="shared" ca="1" si="128"/>
        <v/>
      </c>
      <c r="J589" s="59" t="str">
        <f t="shared" ca="1" si="129"/>
        <v/>
      </c>
      <c r="K589" s="3"/>
      <c r="L589" t="str">
        <f t="shared" ca="1" si="117"/>
        <v/>
      </c>
      <c r="M589" s="132" t="str">
        <f t="shared" ca="1" si="118"/>
        <v/>
      </c>
      <c r="N589" s="132" t="str">
        <f t="shared" ca="1" si="119"/>
        <v/>
      </c>
      <c r="P589" t="str">
        <f t="shared" ca="1" si="120"/>
        <v/>
      </c>
      <c r="Q589" s="133" t="str">
        <f t="shared" ca="1" si="121"/>
        <v/>
      </c>
      <c r="R589" s="133" t="str">
        <f t="shared" ca="1" si="122"/>
        <v/>
      </c>
      <c r="T589" t="str">
        <f t="shared" ca="1" si="123"/>
        <v/>
      </c>
      <c r="U589" s="134" t="str">
        <f t="shared" ca="1" si="124"/>
        <v/>
      </c>
    </row>
    <row r="590" spans="1:21" x14ac:dyDescent="0.3">
      <c r="A590" s="151" t="str">
        <f ca="1">Returns!$A$588</f>
        <v/>
      </c>
      <c r="B590" s="152" t="str">
        <f ca="1">IF($A590="","",Returns!$J$588)</f>
        <v/>
      </c>
      <c r="C590" s="153" t="str">
        <f t="shared" ca="1" si="125"/>
        <v/>
      </c>
      <c r="D590" s="153" t="str">
        <f ca="1">IF($A590="","",MAX($C$7:C590))</f>
        <v/>
      </c>
      <c r="E590" s="154" t="str">
        <f t="shared" ca="1" si="126"/>
        <v/>
      </c>
      <c r="F590" s="152" t="str">
        <f ca="1">IF($A590="","",Returns!$I$588)</f>
        <v/>
      </c>
      <c r="G590" s="153" t="str">
        <f t="shared" ca="1" si="127"/>
        <v/>
      </c>
      <c r="H590" s="153" t="str">
        <f ca="1">IF($A590="","",MAX($G$7:G590))</f>
        <v/>
      </c>
      <c r="I590" s="154" t="str">
        <f t="shared" ca="1" si="128"/>
        <v/>
      </c>
      <c r="J590" s="59" t="str">
        <f t="shared" ca="1" si="129"/>
        <v/>
      </c>
      <c r="K590" s="3"/>
      <c r="L590" t="str">
        <f t="shared" ca="1" si="117"/>
        <v/>
      </c>
      <c r="M590" s="132" t="str">
        <f t="shared" ca="1" si="118"/>
        <v/>
      </c>
      <c r="N590" s="132" t="str">
        <f t="shared" ca="1" si="119"/>
        <v/>
      </c>
      <c r="P590" t="str">
        <f t="shared" ca="1" si="120"/>
        <v/>
      </c>
      <c r="Q590" s="133" t="str">
        <f t="shared" ca="1" si="121"/>
        <v/>
      </c>
      <c r="R590" s="133" t="str">
        <f t="shared" ca="1" si="122"/>
        <v/>
      </c>
      <c r="T590" t="str">
        <f t="shared" ca="1" si="123"/>
        <v/>
      </c>
      <c r="U590" s="134" t="str">
        <f t="shared" ca="1" si="124"/>
        <v/>
      </c>
    </row>
    <row r="591" spans="1:21" x14ac:dyDescent="0.3">
      <c r="A591" s="151" t="str">
        <f ca="1">Returns!$A$589</f>
        <v/>
      </c>
      <c r="B591" s="152" t="str">
        <f ca="1">IF($A591="","",Returns!$J$589)</f>
        <v/>
      </c>
      <c r="C591" s="153" t="str">
        <f t="shared" ca="1" si="125"/>
        <v/>
      </c>
      <c r="D591" s="153" t="str">
        <f ca="1">IF($A591="","",MAX($C$7:C591))</f>
        <v/>
      </c>
      <c r="E591" s="154" t="str">
        <f t="shared" ca="1" si="126"/>
        <v/>
      </c>
      <c r="F591" s="152" t="str">
        <f ca="1">IF($A591="","",Returns!$I$589)</f>
        <v/>
      </c>
      <c r="G591" s="153" t="str">
        <f t="shared" ca="1" si="127"/>
        <v/>
      </c>
      <c r="H591" s="153" t="str">
        <f ca="1">IF($A591="","",MAX($G$7:G591))</f>
        <v/>
      </c>
      <c r="I591" s="154" t="str">
        <f t="shared" ca="1" si="128"/>
        <v/>
      </c>
      <c r="J591" s="59" t="str">
        <f t="shared" ca="1" si="129"/>
        <v/>
      </c>
      <c r="K591" s="3"/>
      <c r="L591" t="str">
        <f t="shared" ca="1" si="117"/>
        <v/>
      </c>
      <c r="M591" s="132" t="str">
        <f t="shared" ca="1" si="118"/>
        <v/>
      </c>
      <c r="N591" s="132" t="str">
        <f t="shared" ca="1" si="119"/>
        <v/>
      </c>
      <c r="P591" t="str">
        <f t="shared" ca="1" si="120"/>
        <v/>
      </c>
      <c r="Q591" s="133" t="str">
        <f t="shared" ca="1" si="121"/>
        <v/>
      </c>
      <c r="R591" s="133" t="str">
        <f t="shared" ca="1" si="122"/>
        <v/>
      </c>
      <c r="T591" t="str">
        <f t="shared" ca="1" si="123"/>
        <v/>
      </c>
      <c r="U591" s="134" t="str">
        <f t="shared" ca="1" si="124"/>
        <v/>
      </c>
    </row>
    <row r="592" spans="1:21" x14ac:dyDescent="0.3">
      <c r="A592" s="151" t="str">
        <f ca="1">Returns!$A$590</f>
        <v/>
      </c>
      <c r="B592" s="152" t="str">
        <f ca="1">IF($A592="","",Returns!$J$590)</f>
        <v/>
      </c>
      <c r="C592" s="153" t="str">
        <f t="shared" ca="1" si="125"/>
        <v/>
      </c>
      <c r="D592" s="153" t="str">
        <f ca="1">IF($A592="","",MAX($C$7:C592))</f>
        <v/>
      </c>
      <c r="E592" s="154" t="str">
        <f t="shared" ca="1" si="126"/>
        <v/>
      </c>
      <c r="F592" s="152" t="str">
        <f ca="1">IF($A592="","",Returns!$I$590)</f>
        <v/>
      </c>
      <c r="G592" s="153" t="str">
        <f t="shared" ca="1" si="127"/>
        <v/>
      </c>
      <c r="H592" s="153" t="str">
        <f ca="1">IF($A592="","",MAX($G$7:G592))</f>
        <v/>
      </c>
      <c r="I592" s="154" t="str">
        <f t="shared" ca="1" si="128"/>
        <v/>
      </c>
      <c r="J592" s="59" t="str">
        <f t="shared" ca="1" si="129"/>
        <v/>
      </c>
      <c r="K592" s="3"/>
      <c r="L592" t="str">
        <f t="shared" ca="1" si="117"/>
        <v/>
      </c>
      <c r="M592" s="132" t="str">
        <f t="shared" ca="1" si="118"/>
        <v/>
      </c>
      <c r="N592" s="132" t="str">
        <f t="shared" ca="1" si="119"/>
        <v/>
      </c>
      <c r="P592" t="str">
        <f t="shared" ca="1" si="120"/>
        <v/>
      </c>
      <c r="Q592" s="133" t="str">
        <f t="shared" ca="1" si="121"/>
        <v/>
      </c>
      <c r="R592" s="133" t="str">
        <f t="shared" ca="1" si="122"/>
        <v/>
      </c>
      <c r="T592" t="str">
        <f t="shared" ca="1" si="123"/>
        <v/>
      </c>
      <c r="U592" s="134" t="str">
        <f t="shared" ca="1" si="124"/>
        <v/>
      </c>
    </row>
    <row r="593" spans="1:21" x14ac:dyDescent="0.3">
      <c r="A593" s="151" t="str">
        <f ca="1">Returns!$A$591</f>
        <v/>
      </c>
      <c r="B593" s="152" t="str">
        <f ca="1">IF($A593="","",Returns!$J$591)</f>
        <v/>
      </c>
      <c r="C593" s="153" t="str">
        <f t="shared" ca="1" si="125"/>
        <v/>
      </c>
      <c r="D593" s="153" t="str">
        <f ca="1">IF($A593="","",MAX($C$7:C593))</f>
        <v/>
      </c>
      <c r="E593" s="154" t="str">
        <f t="shared" ca="1" si="126"/>
        <v/>
      </c>
      <c r="F593" s="152" t="str">
        <f ca="1">IF($A593="","",Returns!$I$591)</f>
        <v/>
      </c>
      <c r="G593" s="153" t="str">
        <f t="shared" ca="1" si="127"/>
        <v/>
      </c>
      <c r="H593" s="153" t="str">
        <f ca="1">IF($A593="","",MAX($G$7:G593))</f>
        <v/>
      </c>
      <c r="I593" s="154" t="str">
        <f t="shared" ca="1" si="128"/>
        <v/>
      </c>
      <c r="J593" s="59" t="str">
        <f t="shared" ca="1" si="129"/>
        <v/>
      </c>
      <c r="K593" s="3"/>
      <c r="L593" t="str">
        <f t="shared" ca="1" si="117"/>
        <v/>
      </c>
      <c r="M593" s="132" t="str">
        <f t="shared" ca="1" si="118"/>
        <v/>
      </c>
      <c r="N593" s="132" t="str">
        <f t="shared" ca="1" si="119"/>
        <v/>
      </c>
      <c r="P593" t="str">
        <f t="shared" ca="1" si="120"/>
        <v/>
      </c>
      <c r="Q593" s="133" t="str">
        <f t="shared" ca="1" si="121"/>
        <v/>
      </c>
      <c r="R593" s="133" t="str">
        <f t="shared" ca="1" si="122"/>
        <v/>
      </c>
      <c r="T593" t="str">
        <f t="shared" ca="1" si="123"/>
        <v/>
      </c>
      <c r="U593" s="134" t="str">
        <f t="shared" ca="1" si="124"/>
        <v/>
      </c>
    </row>
    <row r="594" spans="1:21" x14ac:dyDescent="0.3">
      <c r="A594" s="151" t="str">
        <f ca="1">Returns!$A$592</f>
        <v/>
      </c>
      <c r="B594" s="152" t="str">
        <f ca="1">IF($A594="","",Returns!$J$592)</f>
        <v/>
      </c>
      <c r="C594" s="153" t="str">
        <f t="shared" ca="1" si="125"/>
        <v/>
      </c>
      <c r="D594" s="153" t="str">
        <f ca="1">IF($A594="","",MAX($C$7:C594))</f>
        <v/>
      </c>
      <c r="E594" s="154" t="str">
        <f t="shared" ca="1" si="126"/>
        <v/>
      </c>
      <c r="F594" s="152" t="str">
        <f ca="1">IF($A594="","",Returns!$I$592)</f>
        <v/>
      </c>
      <c r="G594" s="153" t="str">
        <f t="shared" ca="1" si="127"/>
        <v/>
      </c>
      <c r="H594" s="153" t="str">
        <f ca="1">IF($A594="","",MAX($G$7:G594))</f>
        <v/>
      </c>
      <c r="I594" s="154" t="str">
        <f t="shared" ca="1" si="128"/>
        <v/>
      </c>
      <c r="J594" s="59" t="str">
        <f t="shared" ca="1" si="129"/>
        <v/>
      </c>
      <c r="K594" s="3"/>
      <c r="L594" t="str">
        <f t="shared" ca="1" si="117"/>
        <v/>
      </c>
      <c r="M594" s="132" t="str">
        <f t="shared" ca="1" si="118"/>
        <v/>
      </c>
      <c r="N594" s="132" t="str">
        <f t="shared" ca="1" si="119"/>
        <v/>
      </c>
      <c r="P594" t="str">
        <f t="shared" ca="1" si="120"/>
        <v/>
      </c>
      <c r="Q594" s="133" t="str">
        <f t="shared" ca="1" si="121"/>
        <v/>
      </c>
      <c r="R594" s="133" t="str">
        <f t="shared" ca="1" si="122"/>
        <v/>
      </c>
      <c r="T594" t="str">
        <f t="shared" ca="1" si="123"/>
        <v/>
      </c>
      <c r="U594" s="134" t="str">
        <f t="shared" ca="1" si="124"/>
        <v/>
      </c>
    </row>
    <row r="595" spans="1:21" x14ac:dyDescent="0.3">
      <c r="A595" s="151" t="str">
        <f ca="1">Returns!$A$593</f>
        <v/>
      </c>
      <c r="B595" s="152" t="str">
        <f ca="1">IF($A595="","",Returns!$J$593)</f>
        <v/>
      </c>
      <c r="C595" s="153" t="str">
        <f t="shared" ca="1" si="125"/>
        <v/>
      </c>
      <c r="D595" s="153" t="str">
        <f ca="1">IF($A595="","",MAX($C$7:C595))</f>
        <v/>
      </c>
      <c r="E595" s="154" t="str">
        <f t="shared" ca="1" si="126"/>
        <v/>
      </c>
      <c r="F595" s="152" t="str">
        <f ca="1">IF($A595="","",Returns!$I$593)</f>
        <v/>
      </c>
      <c r="G595" s="153" t="str">
        <f t="shared" ca="1" si="127"/>
        <v/>
      </c>
      <c r="H595" s="153" t="str">
        <f ca="1">IF($A595="","",MAX($G$7:G595))</f>
        <v/>
      </c>
      <c r="I595" s="154" t="str">
        <f t="shared" ca="1" si="128"/>
        <v/>
      </c>
      <c r="J595" s="59" t="str">
        <f t="shared" ca="1" si="129"/>
        <v/>
      </c>
      <c r="K595" s="3"/>
      <c r="L595" t="str">
        <f t="shared" ca="1" si="117"/>
        <v/>
      </c>
      <c r="M595" s="132" t="str">
        <f t="shared" ca="1" si="118"/>
        <v/>
      </c>
      <c r="N595" s="132" t="str">
        <f t="shared" ca="1" si="119"/>
        <v/>
      </c>
      <c r="P595" t="str">
        <f t="shared" ca="1" si="120"/>
        <v/>
      </c>
      <c r="Q595" s="133" t="str">
        <f t="shared" ca="1" si="121"/>
        <v/>
      </c>
      <c r="R595" s="133" t="str">
        <f t="shared" ca="1" si="122"/>
        <v/>
      </c>
      <c r="T595" t="str">
        <f t="shared" ca="1" si="123"/>
        <v/>
      </c>
      <c r="U595" s="134" t="str">
        <f t="shared" ca="1" si="124"/>
        <v/>
      </c>
    </row>
    <row r="596" spans="1:21" x14ac:dyDescent="0.3">
      <c r="A596" s="151" t="str">
        <f ca="1">Returns!$A$594</f>
        <v/>
      </c>
      <c r="B596" s="152" t="str">
        <f ca="1">IF($A596="","",Returns!$J$594)</f>
        <v/>
      </c>
      <c r="C596" s="153" t="str">
        <f t="shared" ca="1" si="125"/>
        <v/>
      </c>
      <c r="D596" s="153" t="str">
        <f ca="1">IF($A596="","",MAX($C$7:C596))</f>
        <v/>
      </c>
      <c r="E596" s="154" t="str">
        <f t="shared" ca="1" si="126"/>
        <v/>
      </c>
      <c r="F596" s="152" t="str">
        <f ca="1">IF($A596="","",Returns!$I$594)</f>
        <v/>
      </c>
      <c r="G596" s="153" t="str">
        <f t="shared" ca="1" si="127"/>
        <v/>
      </c>
      <c r="H596" s="153" t="str">
        <f ca="1">IF($A596="","",MAX($G$7:G596))</f>
        <v/>
      </c>
      <c r="I596" s="154" t="str">
        <f t="shared" ca="1" si="128"/>
        <v/>
      </c>
      <c r="J596" s="59" t="str">
        <f t="shared" ca="1" si="129"/>
        <v/>
      </c>
      <c r="K596" s="3"/>
      <c r="L596" t="str">
        <f t="shared" ca="1" si="117"/>
        <v/>
      </c>
      <c r="M596" s="132" t="str">
        <f t="shared" ca="1" si="118"/>
        <v/>
      </c>
      <c r="N596" s="132" t="str">
        <f t="shared" ca="1" si="119"/>
        <v/>
      </c>
      <c r="P596" t="str">
        <f t="shared" ca="1" si="120"/>
        <v/>
      </c>
      <c r="Q596" s="133" t="str">
        <f t="shared" ca="1" si="121"/>
        <v/>
      </c>
      <c r="R596" s="133" t="str">
        <f t="shared" ca="1" si="122"/>
        <v/>
      </c>
      <c r="T596" t="str">
        <f t="shared" ca="1" si="123"/>
        <v/>
      </c>
      <c r="U596" s="134" t="str">
        <f t="shared" ca="1" si="124"/>
        <v/>
      </c>
    </row>
    <row r="597" spans="1:21" x14ac:dyDescent="0.3">
      <c r="A597" s="151" t="str">
        <f ca="1">Returns!$A$595</f>
        <v/>
      </c>
      <c r="B597" s="152" t="str">
        <f ca="1">IF($A597="","",Returns!$J$595)</f>
        <v/>
      </c>
      <c r="C597" s="153" t="str">
        <f t="shared" ca="1" si="125"/>
        <v/>
      </c>
      <c r="D597" s="153" t="str">
        <f ca="1">IF($A597="","",MAX($C$7:C597))</f>
        <v/>
      </c>
      <c r="E597" s="154" t="str">
        <f t="shared" ca="1" si="126"/>
        <v/>
      </c>
      <c r="F597" s="152" t="str">
        <f ca="1">IF($A597="","",Returns!$I$595)</f>
        <v/>
      </c>
      <c r="G597" s="153" t="str">
        <f t="shared" ca="1" si="127"/>
        <v/>
      </c>
      <c r="H597" s="153" t="str">
        <f ca="1">IF($A597="","",MAX($G$7:G597))</f>
        <v/>
      </c>
      <c r="I597" s="154" t="str">
        <f t="shared" ca="1" si="128"/>
        <v/>
      </c>
      <c r="J597" s="59" t="str">
        <f t="shared" ca="1" si="129"/>
        <v/>
      </c>
      <c r="K597" s="3"/>
      <c r="L597" t="str">
        <f t="shared" ca="1" si="117"/>
        <v/>
      </c>
      <c r="M597" s="132" t="str">
        <f t="shared" ca="1" si="118"/>
        <v/>
      </c>
      <c r="N597" s="132" t="str">
        <f t="shared" ca="1" si="119"/>
        <v/>
      </c>
      <c r="P597" t="str">
        <f t="shared" ca="1" si="120"/>
        <v/>
      </c>
      <c r="Q597" s="133" t="str">
        <f t="shared" ca="1" si="121"/>
        <v/>
      </c>
      <c r="R597" s="133" t="str">
        <f t="shared" ca="1" si="122"/>
        <v/>
      </c>
      <c r="T597" t="str">
        <f t="shared" ca="1" si="123"/>
        <v/>
      </c>
      <c r="U597" s="134" t="str">
        <f t="shared" ca="1" si="124"/>
        <v/>
      </c>
    </row>
    <row r="598" spans="1:21" x14ac:dyDescent="0.3">
      <c r="A598" s="151" t="str">
        <f ca="1">Returns!$A$596</f>
        <v/>
      </c>
      <c r="B598" s="152" t="str">
        <f ca="1">IF($A598="","",Returns!$J$596)</f>
        <v/>
      </c>
      <c r="C598" s="153" t="str">
        <f t="shared" ca="1" si="125"/>
        <v/>
      </c>
      <c r="D598" s="153" t="str">
        <f ca="1">IF($A598="","",MAX($C$7:C598))</f>
        <v/>
      </c>
      <c r="E598" s="154" t="str">
        <f t="shared" ca="1" si="126"/>
        <v/>
      </c>
      <c r="F598" s="152" t="str">
        <f ca="1">IF($A598="","",Returns!$I$596)</f>
        <v/>
      </c>
      <c r="G598" s="153" t="str">
        <f t="shared" ca="1" si="127"/>
        <v/>
      </c>
      <c r="H598" s="153" t="str">
        <f ca="1">IF($A598="","",MAX($G$7:G598))</f>
        <v/>
      </c>
      <c r="I598" s="154" t="str">
        <f t="shared" ca="1" si="128"/>
        <v/>
      </c>
      <c r="J598" s="59" t="str">
        <f t="shared" ca="1" si="129"/>
        <v/>
      </c>
      <c r="K598" s="3"/>
      <c r="L598" t="str">
        <f t="shared" ca="1" si="117"/>
        <v/>
      </c>
      <c r="M598" s="132" t="str">
        <f t="shared" ca="1" si="118"/>
        <v/>
      </c>
      <c r="N598" s="132" t="str">
        <f t="shared" ca="1" si="119"/>
        <v/>
      </c>
      <c r="P598" t="str">
        <f t="shared" ca="1" si="120"/>
        <v/>
      </c>
      <c r="Q598" s="133" t="str">
        <f t="shared" ca="1" si="121"/>
        <v/>
      </c>
      <c r="R598" s="133" t="str">
        <f t="shared" ca="1" si="122"/>
        <v/>
      </c>
      <c r="T598" t="str">
        <f t="shared" ca="1" si="123"/>
        <v/>
      </c>
      <c r="U598" s="134" t="str">
        <f t="shared" ca="1" si="124"/>
        <v/>
      </c>
    </row>
    <row r="599" spans="1:21" x14ac:dyDescent="0.3">
      <c r="A599" s="151" t="str">
        <f ca="1">Returns!$A$597</f>
        <v/>
      </c>
      <c r="B599" s="152" t="str">
        <f ca="1">IF($A599="","",Returns!$J$597)</f>
        <v/>
      </c>
      <c r="C599" s="153" t="str">
        <f t="shared" ca="1" si="125"/>
        <v/>
      </c>
      <c r="D599" s="153" t="str">
        <f ca="1">IF($A599="","",MAX($C$7:C599))</f>
        <v/>
      </c>
      <c r="E599" s="154" t="str">
        <f t="shared" ca="1" si="126"/>
        <v/>
      </c>
      <c r="F599" s="152" t="str">
        <f ca="1">IF($A599="","",Returns!$I$597)</f>
        <v/>
      </c>
      <c r="G599" s="153" t="str">
        <f t="shared" ca="1" si="127"/>
        <v/>
      </c>
      <c r="H599" s="153" t="str">
        <f ca="1">IF($A599="","",MAX($G$7:G599))</f>
        <v/>
      </c>
      <c r="I599" s="154" t="str">
        <f t="shared" ca="1" si="128"/>
        <v/>
      </c>
      <c r="J599" s="59" t="str">
        <f t="shared" ca="1" si="129"/>
        <v/>
      </c>
      <c r="K599" s="3"/>
      <c r="L599" t="str">
        <f t="shared" ca="1" si="117"/>
        <v/>
      </c>
      <c r="M599" s="132" t="str">
        <f t="shared" ca="1" si="118"/>
        <v/>
      </c>
      <c r="N599" s="132" t="str">
        <f t="shared" ca="1" si="119"/>
        <v/>
      </c>
      <c r="P599" t="str">
        <f t="shared" ca="1" si="120"/>
        <v/>
      </c>
      <c r="Q599" s="133" t="str">
        <f t="shared" ca="1" si="121"/>
        <v/>
      </c>
      <c r="R599" s="133" t="str">
        <f t="shared" ca="1" si="122"/>
        <v/>
      </c>
      <c r="T599" t="str">
        <f t="shared" ca="1" si="123"/>
        <v/>
      </c>
      <c r="U599" s="134" t="str">
        <f t="shared" ca="1" si="124"/>
        <v/>
      </c>
    </row>
    <row r="600" spans="1:21" x14ac:dyDescent="0.3">
      <c r="A600" s="151" t="str">
        <f ca="1">Returns!$A$598</f>
        <v/>
      </c>
      <c r="B600" s="152" t="str">
        <f ca="1">IF($A600="","",Returns!$J$598)</f>
        <v/>
      </c>
      <c r="C600" s="153" t="str">
        <f t="shared" ca="1" si="125"/>
        <v/>
      </c>
      <c r="D600" s="153" t="str">
        <f ca="1">IF($A600="","",MAX($C$7:C600))</f>
        <v/>
      </c>
      <c r="E600" s="154" t="str">
        <f t="shared" ca="1" si="126"/>
        <v/>
      </c>
      <c r="F600" s="152" t="str">
        <f ca="1">IF($A600="","",Returns!$I$598)</f>
        <v/>
      </c>
      <c r="G600" s="153" t="str">
        <f t="shared" ca="1" si="127"/>
        <v/>
      </c>
      <c r="H600" s="153" t="str">
        <f ca="1">IF($A600="","",MAX($G$7:G600))</f>
        <v/>
      </c>
      <c r="I600" s="154" t="str">
        <f t="shared" ca="1" si="128"/>
        <v/>
      </c>
      <c r="J600" s="59" t="str">
        <f t="shared" ca="1" si="129"/>
        <v/>
      </c>
      <c r="K600" s="3"/>
      <c r="L600" t="str">
        <f t="shared" ca="1" si="117"/>
        <v/>
      </c>
      <c r="M600" s="132" t="str">
        <f t="shared" ca="1" si="118"/>
        <v/>
      </c>
      <c r="N600" s="132" t="str">
        <f t="shared" ca="1" si="119"/>
        <v/>
      </c>
      <c r="P600" t="str">
        <f t="shared" ca="1" si="120"/>
        <v/>
      </c>
      <c r="Q600" s="133" t="str">
        <f t="shared" ca="1" si="121"/>
        <v/>
      </c>
      <c r="R600" s="133" t="str">
        <f t="shared" ca="1" si="122"/>
        <v/>
      </c>
      <c r="T600" t="str">
        <f t="shared" ca="1" si="123"/>
        <v/>
      </c>
      <c r="U600" s="134" t="str">
        <f t="shared" ca="1" si="124"/>
        <v/>
      </c>
    </row>
    <row r="601" spans="1:21" x14ac:dyDescent="0.3">
      <c r="A601" s="151" t="str">
        <f ca="1">Returns!$A$599</f>
        <v/>
      </c>
      <c r="B601" s="152" t="str">
        <f ca="1">IF($A601="","",Returns!$J$599)</f>
        <v/>
      </c>
      <c r="C601" s="153" t="str">
        <f t="shared" ca="1" si="125"/>
        <v/>
      </c>
      <c r="D601" s="153" t="str">
        <f ca="1">IF($A601="","",MAX($C$7:C601))</f>
        <v/>
      </c>
      <c r="E601" s="154" t="str">
        <f t="shared" ca="1" si="126"/>
        <v/>
      </c>
      <c r="F601" s="152" t="str">
        <f ca="1">IF($A601="","",Returns!$I$599)</f>
        <v/>
      </c>
      <c r="G601" s="153" t="str">
        <f t="shared" ca="1" si="127"/>
        <v/>
      </c>
      <c r="H601" s="153" t="str">
        <f ca="1">IF($A601="","",MAX($G$7:G601))</f>
        <v/>
      </c>
      <c r="I601" s="154" t="str">
        <f t="shared" ca="1" si="128"/>
        <v/>
      </c>
      <c r="J601" s="59" t="str">
        <f t="shared" ca="1" si="129"/>
        <v/>
      </c>
      <c r="K601" s="3"/>
      <c r="L601" t="str">
        <f t="shared" ca="1" si="117"/>
        <v/>
      </c>
      <c r="M601" s="132" t="str">
        <f t="shared" ca="1" si="118"/>
        <v/>
      </c>
      <c r="N601" s="132" t="str">
        <f t="shared" ca="1" si="119"/>
        <v/>
      </c>
      <c r="P601" t="str">
        <f t="shared" ca="1" si="120"/>
        <v/>
      </c>
      <c r="Q601" s="133" t="str">
        <f t="shared" ca="1" si="121"/>
        <v/>
      </c>
      <c r="R601" s="133" t="str">
        <f t="shared" ca="1" si="122"/>
        <v/>
      </c>
      <c r="T601" t="str">
        <f t="shared" ca="1" si="123"/>
        <v/>
      </c>
      <c r="U601" s="134" t="str">
        <f t="shared" ca="1" si="124"/>
        <v/>
      </c>
    </row>
    <row r="602" spans="1:21" x14ac:dyDescent="0.3">
      <c r="A602" s="151" t="str">
        <f ca="1">Returns!$A$600</f>
        <v/>
      </c>
      <c r="B602" s="152" t="str">
        <f ca="1">IF($A602="","",Returns!$J$600)</f>
        <v/>
      </c>
      <c r="C602" s="153" t="str">
        <f t="shared" ca="1" si="125"/>
        <v/>
      </c>
      <c r="D602" s="153" t="str">
        <f ca="1">IF($A602="","",MAX($C$7:C602))</f>
        <v/>
      </c>
      <c r="E602" s="154" t="str">
        <f t="shared" ca="1" si="126"/>
        <v/>
      </c>
      <c r="F602" s="152" t="str">
        <f ca="1">IF($A602="","",Returns!$I$600)</f>
        <v/>
      </c>
      <c r="G602" s="153" t="str">
        <f t="shared" ca="1" si="127"/>
        <v/>
      </c>
      <c r="H602" s="153" t="str">
        <f ca="1">IF($A602="","",MAX($G$7:G602))</f>
        <v/>
      </c>
      <c r="I602" s="154" t="str">
        <f t="shared" ca="1" si="128"/>
        <v/>
      </c>
      <c r="J602" s="59" t="str">
        <f t="shared" ca="1" si="129"/>
        <v/>
      </c>
      <c r="K602" s="3"/>
      <c r="L602" t="str">
        <f t="shared" ca="1" si="117"/>
        <v/>
      </c>
      <c r="M602" s="132" t="str">
        <f t="shared" ca="1" si="118"/>
        <v/>
      </c>
      <c r="N602" s="132" t="str">
        <f t="shared" ca="1" si="119"/>
        <v/>
      </c>
      <c r="P602" t="str">
        <f t="shared" ca="1" si="120"/>
        <v/>
      </c>
      <c r="Q602" s="133" t="str">
        <f t="shared" ca="1" si="121"/>
        <v/>
      </c>
      <c r="R602" s="133" t="str">
        <f t="shared" ca="1" si="122"/>
        <v/>
      </c>
      <c r="T602" t="str">
        <f t="shared" ca="1" si="123"/>
        <v/>
      </c>
      <c r="U602" s="134" t="str">
        <f t="shared" ca="1" si="124"/>
        <v/>
      </c>
    </row>
    <row r="603" spans="1:21" x14ac:dyDescent="0.3">
      <c r="A603" s="151" t="str">
        <f ca="1">Returns!$A$601</f>
        <v/>
      </c>
      <c r="B603" s="152" t="str">
        <f ca="1">IF($A603="","",Returns!$J$601)</f>
        <v/>
      </c>
      <c r="C603" s="153" t="str">
        <f t="shared" ca="1" si="125"/>
        <v/>
      </c>
      <c r="D603" s="153" t="str">
        <f ca="1">IF($A603="","",MAX($C$7:C603))</f>
        <v/>
      </c>
      <c r="E603" s="154" t="str">
        <f t="shared" ca="1" si="126"/>
        <v/>
      </c>
      <c r="F603" s="152" t="str">
        <f ca="1">IF($A603="","",Returns!$I$601)</f>
        <v/>
      </c>
      <c r="G603" s="153" t="str">
        <f t="shared" ca="1" si="127"/>
        <v/>
      </c>
      <c r="H603" s="153" t="str">
        <f ca="1">IF($A603="","",MAX($G$7:G603))</f>
        <v/>
      </c>
      <c r="I603" s="154" t="str">
        <f t="shared" ca="1" si="128"/>
        <v/>
      </c>
      <c r="J603" s="59" t="str">
        <f t="shared" ca="1" si="129"/>
        <v/>
      </c>
      <c r="K603" s="3"/>
      <c r="L603" t="str">
        <f t="shared" ca="1" si="117"/>
        <v/>
      </c>
      <c r="M603" s="132" t="str">
        <f t="shared" ca="1" si="118"/>
        <v/>
      </c>
      <c r="N603" s="132" t="str">
        <f t="shared" ca="1" si="119"/>
        <v/>
      </c>
      <c r="P603" t="str">
        <f t="shared" ca="1" si="120"/>
        <v/>
      </c>
      <c r="Q603" s="133" t="str">
        <f t="shared" ca="1" si="121"/>
        <v/>
      </c>
      <c r="R603" s="133" t="str">
        <f t="shared" ca="1" si="122"/>
        <v/>
      </c>
      <c r="T603" t="str">
        <f t="shared" ca="1" si="123"/>
        <v/>
      </c>
      <c r="U603" s="134" t="str">
        <f t="shared" ca="1" si="124"/>
        <v/>
      </c>
    </row>
    <row r="604" spans="1:21" x14ac:dyDescent="0.3">
      <c r="A604" s="151" t="str">
        <f ca="1">Returns!$A$602</f>
        <v/>
      </c>
      <c r="B604" s="152" t="str">
        <f ca="1">IF($A604="","",Returns!$J$602)</f>
        <v/>
      </c>
      <c r="C604" s="153" t="str">
        <f t="shared" ca="1" si="125"/>
        <v/>
      </c>
      <c r="D604" s="153" t="str">
        <f ca="1">IF($A604="","",MAX($C$7:C604))</f>
        <v/>
      </c>
      <c r="E604" s="154" t="str">
        <f t="shared" ca="1" si="126"/>
        <v/>
      </c>
      <c r="F604" s="152" t="str">
        <f ca="1">IF($A604="","",Returns!$I$602)</f>
        <v/>
      </c>
      <c r="G604" s="153" t="str">
        <f t="shared" ca="1" si="127"/>
        <v/>
      </c>
      <c r="H604" s="153" t="str">
        <f ca="1">IF($A604="","",MAX($G$7:G604))</f>
        <v/>
      </c>
      <c r="I604" s="154" t="str">
        <f t="shared" ca="1" si="128"/>
        <v/>
      </c>
      <c r="J604" s="59" t="str">
        <f t="shared" ca="1" si="129"/>
        <v/>
      </c>
      <c r="K604" s="3"/>
      <c r="L604" t="str">
        <f t="shared" ca="1" si="117"/>
        <v/>
      </c>
      <c r="M604" s="132" t="str">
        <f t="shared" ca="1" si="118"/>
        <v/>
      </c>
      <c r="N604" s="132" t="str">
        <f t="shared" ca="1" si="119"/>
        <v/>
      </c>
      <c r="P604" t="str">
        <f t="shared" ca="1" si="120"/>
        <v/>
      </c>
      <c r="Q604" s="133" t="str">
        <f t="shared" ca="1" si="121"/>
        <v/>
      </c>
      <c r="R604" s="133" t="str">
        <f t="shared" ca="1" si="122"/>
        <v/>
      </c>
      <c r="T604" t="str">
        <f t="shared" ca="1" si="123"/>
        <v/>
      </c>
      <c r="U604" s="134" t="str">
        <f t="shared" ca="1" si="124"/>
        <v/>
      </c>
    </row>
    <row r="605" spans="1:21" x14ac:dyDescent="0.3">
      <c r="A605" s="151" t="str">
        <f ca="1">Returns!$A$603</f>
        <v/>
      </c>
      <c r="B605" s="152" t="str">
        <f ca="1">IF($A605="","",Returns!$J$603)</f>
        <v/>
      </c>
      <c r="C605" s="153" t="str">
        <f t="shared" ca="1" si="125"/>
        <v/>
      </c>
      <c r="D605" s="153" t="str">
        <f ca="1">IF($A605="","",MAX($C$7:C605))</f>
        <v/>
      </c>
      <c r="E605" s="154" t="str">
        <f t="shared" ca="1" si="126"/>
        <v/>
      </c>
      <c r="F605" s="152" t="str">
        <f ca="1">IF($A605="","",Returns!$I$603)</f>
        <v/>
      </c>
      <c r="G605" s="153" t="str">
        <f t="shared" ca="1" si="127"/>
        <v/>
      </c>
      <c r="H605" s="153" t="str">
        <f ca="1">IF($A605="","",MAX($G$7:G605))</f>
        <v/>
      </c>
      <c r="I605" s="154" t="str">
        <f t="shared" ca="1" si="128"/>
        <v/>
      </c>
      <c r="J605" s="59" t="str">
        <f t="shared" ca="1" si="129"/>
        <v/>
      </c>
      <c r="K605" s="3"/>
      <c r="L605" t="str">
        <f t="shared" ca="1" si="117"/>
        <v/>
      </c>
      <c r="M605" s="132" t="str">
        <f t="shared" ca="1" si="118"/>
        <v/>
      </c>
      <c r="N605" s="132" t="str">
        <f t="shared" ca="1" si="119"/>
        <v/>
      </c>
      <c r="P605" t="str">
        <f t="shared" ca="1" si="120"/>
        <v/>
      </c>
      <c r="Q605" s="133" t="str">
        <f t="shared" ca="1" si="121"/>
        <v/>
      </c>
      <c r="R605" s="133" t="str">
        <f t="shared" ca="1" si="122"/>
        <v/>
      </c>
      <c r="T605" t="str">
        <f t="shared" ca="1" si="123"/>
        <v/>
      </c>
      <c r="U605" s="134" t="str">
        <f t="shared" ca="1" si="124"/>
        <v/>
      </c>
    </row>
    <row r="606" spans="1:21" x14ac:dyDescent="0.3">
      <c r="A606" s="151" t="str">
        <f ca="1">Returns!$A$604</f>
        <v/>
      </c>
      <c r="B606" s="152" t="str">
        <f ca="1">IF($A606="","",Returns!$J$604)</f>
        <v/>
      </c>
      <c r="C606" s="153" t="str">
        <f t="shared" ca="1" si="125"/>
        <v/>
      </c>
      <c r="D606" s="153" t="str">
        <f ca="1">IF($A606="","",MAX($C$7:C606))</f>
        <v/>
      </c>
      <c r="E606" s="154" t="str">
        <f t="shared" ca="1" si="126"/>
        <v/>
      </c>
      <c r="F606" s="152" t="str">
        <f ca="1">IF($A606="","",Returns!$I$604)</f>
        <v/>
      </c>
      <c r="G606" s="153" t="str">
        <f t="shared" ca="1" si="127"/>
        <v/>
      </c>
      <c r="H606" s="153" t="str">
        <f ca="1">IF($A606="","",MAX($G$7:G606))</f>
        <v/>
      </c>
      <c r="I606" s="154" t="str">
        <f t="shared" ca="1" si="128"/>
        <v/>
      </c>
      <c r="J606" s="59" t="str">
        <f t="shared" ca="1" si="129"/>
        <v/>
      </c>
      <c r="K606" s="3"/>
      <c r="L606" t="str">
        <f t="shared" ca="1" si="117"/>
        <v/>
      </c>
      <c r="M606" s="132" t="str">
        <f t="shared" ca="1" si="118"/>
        <v/>
      </c>
      <c r="N606" s="132" t="str">
        <f t="shared" ca="1" si="119"/>
        <v/>
      </c>
      <c r="P606" t="str">
        <f t="shared" ca="1" si="120"/>
        <v/>
      </c>
      <c r="Q606" s="133" t="str">
        <f t="shared" ca="1" si="121"/>
        <v/>
      </c>
      <c r="R606" s="133" t="str">
        <f t="shared" ca="1" si="122"/>
        <v/>
      </c>
      <c r="T606" t="str">
        <f t="shared" ca="1" si="123"/>
        <v/>
      </c>
      <c r="U606" s="134" t="str">
        <f t="shared" ca="1" si="124"/>
        <v/>
      </c>
    </row>
    <row r="607" spans="1:21" x14ac:dyDescent="0.3">
      <c r="A607" s="151" t="str">
        <f ca="1">Returns!$A$605</f>
        <v/>
      </c>
      <c r="B607" s="152" t="str">
        <f ca="1">IF($A607="","",Returns!$J$605)</f>
        <v/>
      </c>
      <c r="C607" s="153" t="str">
        <f t="shared" ca="1" si="125"/>
        <v/>
      </c>
      <c r="D607" s="153" t="str">
        <f ca="1">IF($A607="","",MAX($C$7:C607))</f>
        <v/>
      </c>
      <c r="E607" s="154" t="str">
        <f t="shared" ca="1" si="126"/>
        <v/>
      </c>
      <c r="F607" s="152" t="str">
        <f ca="1">IF($A607="","",Returns!$I$605)</f>
        <v/>
      </c>
      <c r="G607" s="153" t="str">
        <f t="shared" ca="1" si="127"/>
        <v/>
      </c>
      <c r="H607" s="153" t="str">
        <f ca="1">IF($A607="","",MAX($G$7:G607))</f>
        <v/>
      </c>
      <c r="I607" s="154" t="str">
        <f t="shared" ca="1" si="128"/>
        <v/>
      </c>
      <c r="J607" s="59" t="str">
        <f t="shared" ca="1" si="129"/>
        <v/>
      </c>
      <c r="K607" s="3"/>
      <c r="L607" t="str">
        <f t="shared" ca="1" si="117"/>
        <v/>
      </c>
      <c r="M607" s="132" t="str">
        <f t="shared" ca="1" si="118"/>
        <v/>
      </c>
      <c r="N607" s="132" t="str">
        <f t="shared" ca="1" si="119"/>
        <v/>
      </c>
      <c r="P607" t="str">
        <f t="shared" ca="1" si="120"/>
        <v/>
      </c>
      <c r="Q607" s="133" t="str">
        <f t="shared" ca="1" si="121"/>
        <v/>
      </c>
      <c r="R607" s="133" t="str">
        <f t="shared" ca="1" si="122"/>
        <v/>
      </c>
      <c r="T607" t="str">
        <f t="shared" ca="1" si="123"/>
        <v/>
      </c>
      <c r="U607" s="134" t="str">
        <f t="shared" ca="1" si="124"/>
        <v/>
      </c>
    </row>
    <row r="608" spans="1:21" x14ac:dyDescent="0.3">
      <c r="A608" s="151" t="str">
        <f ca="1">Returns!$A$606</f>
        <v/>
      </c>
      <c r="B608" s="152" t="str">
        <f ca="1">IF($A608="","",Returns!$J$606)</f>
        <v/>
      </c>
      <c r="C608" s="153" t="str">
        <f t="shared" ca="1" si="125"/>
        <v/>
      </c>
      <c r="D608" s="153" t="str">
        <f ca="1">IF($A608="","",MAX($C$7:C608))</f>
        <v/>
      </c>
      <c r="E608" s="154" t="str">
        <f t="shared" ca="1" si="126"/>
        <v/>
      </c>
      <c r="F608" s="152" t="str">
        <f ca="1">IF($A608="","",Returns!$I$606)</f>
        <v/>
      </c>
      <c r="G608" s="153" t="str">
        <f t="shared" ca="1" si="127"/>
        <v/>
      </c>
      <c r="H608" s="153" t="str">
        <f ca="1">IF($A608="","",MAX($G$7:G608))</f>
        <v/>
      </c>
      <c r="I608" s="154" t="str">
        <f t="shared" ca="1" si="128"/>
        <v/>
      </c>
      <c r="J608" s="59" t="str">
        <f t="shared" ca="1" si="129"/>
        <v/>
      </c>
      <c r="K608" s="3"/>
      <c r="L608" t="str">
        <f t="shared" ca="1" si="117"/>
        <v/>
      </c>
      <c r="M608" s="132" t="str">
        <f t="shared" ca="1" si="118"/>
        <v/>
      </c>
      <c r="N608" s="132" t="str">
        <f t="shared" ca="1" si="119"/>
        <v/>
      </c>
      <c r="P608" t="str">
        <f t="shared" ca="1" si="120"/>
        <v/>
      </c>
      <c r="Q608" s="133" t="str">
        <f t="shared" ca="1" si="121"/>
        <v/>
      </c>
      <c r="R608" s="133" t="str">
        <f t="shared" ca="1" si="122"/>
        <v/>
      </c>
      <c r="T608" t="str">
        <f t="shared" ca="1" si="123"/>
        <v/>
      </c>
      <c r="U608" s="134" t="str">
        <f t="shared" ca="1" si="124"/>
        <v/>
      </c>
    </row>
    <row r="609" spans="1:21" x14ac:dyDescent="0.3">
      <c r="A609" s="151" t="str">
        <f ca="1">Returns!$A$607</f>
        <v/>
      </c>
      <c r="B609" s="152" t="str">
        <f ca="1">IF($A609="","",Returns!$J$607)</f>
        <v/>
      </c>
      <c r="C609" s="153" t="str">
        <f t="shared" ca="1" si="125"/>
        <v/>
      </c>
      <c r="D609" s="153" t="str">
        <f ca="1">IF($A609="","",MAX($C$7:C609))</f>
        <v/>
      </c>
      <c r="E609" s="154" t="str">
        <f t="shared" ca="1" si="126"/>
        <v/>
      </c>
      <c r="F609" s="152" t="str">
        <f ca="1">IF($A609="","",Returns!$I$607)</f>
        <v/>
      </c>
      <c r="G609" s="153" t="str">
        <f t="shared" ca="1" si="127"/>
        <v/>
      </c>
      <c r="H609" s="153" t="str">
        <f ca="1">IF($A609="","",MAX($G$7:G609))</f>
        <v/>
      </c>
      <c r="I609" s="154" t="str">
        <f t="shared" ca="1" si="128"/>
        <v/>
      </c>
      <c r="J609" s="59" t="str">
        <f t="shared" ca="1" si="129"/>
        <v/>
      </c>
      <c r="K609" s="3"/>
      <c r="L609" t="str">
        <f t="shared" ca="1" si="117"/>
        <v/>
      </c>
      <c r="M609" s="132" t="str">
        <f t="shared" ca="1" si="118"/>
        <v/>
      </c>
      <c r="N609" s="132" t="str">
        <f t="shared" ca="1" si="119"/>
        <v/>
      </c>
      <c r="P609" t="str">
        <f t="shared" ca="1" si="120"/>
        <v/>
      </c>
      <c r="Q609" s="133" t="str">
        <f t="shared" ca="1" si="121"/>
        <v/>
      </c>
      <c r="R609" s="133" t="str">
        <f t="shared" ca="1" si="122"/>
        <v/>
      </c>
      <c r="T609" t="str">
        <f t="shared" ca="1" si="123"/>
        <v/>
      </c>
      <c r="U609" s="134" t="str">
        <f t="shared" ca="1" si="124"/>
        <v/>
      </c>
    </row>
    <row r="610" spans="1:21" x14ac:dyDescent="0.3">
      <c r="A610" s="151" t="str">
        <f ca="1">Returns!$A$608</f>
        <v/>
      </c>
      <c r="B610" s="152" t="str">
        <f ca="1">IF($A610="","",Returns!$J$608)</f>
        <v/>
      </c>
      <c r="C610" s="153" t="str">
        <f t="shared" ca="1" si="125"/>
        <v/>
      </c>
      <c r="D610" s="153" t="str">
        <f ca="1">IF($A610="","",MAX($C$7:C610))</f>
        <v/>
      </c>
      <c r="E610" s="154" t="str">
        <f t="shared" ca="1" si="126"/>
        <v/>
      </c>
      <c r="F610" s="152" t="str">
        <f ca="1">IF($A610="","",Returns!$I$608)</f>
        <v/>
      </c>
      <c r="G610" s="153" t="str">
        <f t="shared" ca="1" si="127"/>
        <v/>
      </c>
      <c r="H610" s="153" t="str">
        <f ca="1">IF($A610="","",MAX($G$7:G610))</f>
        <v/>
      </c>
      <c r="I610" s="154" t="str">
        <f t="shared" ca="1" si="128"/>
        <v/>
      </c>
      <c r="J610" s="59" t="str">
        <f t="shared" ca="1" si="129"/>
        <v/>
      </c>
      <c r="K610" s="3"/>
      <c r="L610" t="str">
        <f t="shared" ca="1" si="117"/>
        <v/>
      </c>
      <c r="M610" s="132" t="str">
        <f t="shared" ca="1" si="118"/>
        <v/>
      </c>
      <c r="N610" s="132" t="str">
        <f t="shared" ca="1" si="119"/>
        <v/>
      </c>
      <c r="P610" t="str">
        <f t="shared" ca="1" si="120"/>
        <v/>
      </c>
      <c r="Q610" s="133" t="str">
        <f t="shared" ca="1" si="121"/>
        <v/>
      </c>
      <c r="R610" s="133" t="str">
        <f t="shared" ca="1" si="122"/>
        <v/>
      </c>
      <c r="T610" t="str">
        <f t="shared" ca="1" si="123"/>
        <v/>
      </c>
      <c r="U610" s="134" t="str">
        <f t="shared" ca="1" si="124"/>
        <v/>
      </c>
    </row>
    <row r="611" spans="1:21" x14ac:dyDescent="0.3">
      <c r="A611" s="151" t="str">
        <f ca="1">Returns!$A$609</f>
        <v/>
      </c>
      <c r="B611" s="152" t="str">
        <f ca="1">IF($A611="","",Returns!$J$609)</f>
        <v/>
      </c>
      <c r="C611" s="153" t="str">
        <f t="shared" ca="1" si="125"/>
        <v/>
      </c>
      <c r="D611" s="153" t="str">
        <f ca="1">IF($A611="","",MAX($C$7:C611))</f>
        <v/>
      </c>
      <c r="E611" s="154" t="str">
        <f t="shared" ca="1" si="126"/>
        <v/>
      </c>
      <c r="F611" s="152" t="str">
        <f ca="1">IF($A611="","",Returns!$I$609)</f>
        <v/>
      </c>
      <c r="G611" s="153" t="str">
        <f t="shared" ca="1" si="127"/>
        <v/>
      </c>
      <c r="H611" s="153" t="str">
        <f ca="1">IF($A611="","",MAX($G$7:G611))</f>
        <v/>
      </c>
      <c r="I611" s="154" t="str">
        <f t="shared" ca="1" si="128"/>
        <v/>
      </c>
      <c r="J611" s="59" t="str">
        <f t="shared" ca="1" si="129"/>
        <v/>
      </c>
      <c r="K611" s="3"/>
      <c r="L611" t="str">
        <f t="shared" ca="1" si="117"/>
        <v/>
      </c>
      <c r="M611" s="132" t="str">
        <f t="shared" ca="1" si="118"/>
        <v/>
      </c>
      <c r="N611" s="132" t="str">
        <f t="shared" ca="1" si="119"/>
        <v/>
      </c>
      <c r="P611" t="str">
        <f t="shared" ca="1" si="120"/>
        <v/>
      </c>
      <c r="Q611" s="133" t="str">
        <f t="shared" ca="1" si="121"/>
        <v/>
      </c>
      <c r="R611" s="133" t="str">
        <f t="shared" ca="1" si="122"/>
        <v/>
      </c>
      <c r="T611" t="str">
        <f t="shared" ca="1" si="123"/>
        <v/>
      </c>
      <c r="U611" s="134" t="str">
        <f t="shared" ca="1" si="124"/>
        <v/>
      </c>
    </row>
    <row r="612" spans="1:21" x14ac:dyDescent="0.3">
      <c r="A612" s="151" t="str">
        <f ca="1">Returns!$A$610</f>
        <v/>
      </c>
      <c r="B612" s="152" t="str">
        <f ca="1">IF($A612="","",Returns!$J$610)</f>
        <v/>
      </c>
      <c r="C612" s="153" t="str">
        <f t="shared" ca="1" si="125"/>
        <v/>
      </c>
      <c r="D612" s="153" t="str">
        <f ca="1">IF($A612="","",MAX($C$7:C612))</f>
        <v/>
      </c>
      <c r="E612" s="154" t="str">
        <f t="shared" ca="1" si="126"/>
        <v/>
      </c>
      <c r="F612" s="152" t="str">
        <f ca="1">IF($A612="","",Returns!$I$610)</f>
        <v/>
      </c>
      <c r="G612" s="153" t="str">
        <f t="shared" ca="1" si="127"/>
        <v/>
      </c>
      <c r="H612" s="153" t="str">
        <f ca="1">IF($A612="","",MAX($G$7:G612))</f>
        <v/>
      </c>
      <c r="I612" s="154" t="str">
        <f t="shared" ca="1" si="128"/>
        <v/>
      </c>
      <c r="J612" s="59" t="str">
        <f t="shared" ca="1" si="129"/>
        <v/>
      </c>
      <c r="K612" s="3"/>
      <c r="L612" t="str">
        <f t="shared" ca="1" si="117"/>
        <v/>
      </c>
      <c r="M612" s="132" t="str">
        <f t="shared" ca="1" si="118"/>
        <v/>
      </c>
      <c r="N612" s="132" t="str">
        <f t="shared" ca="1" si="119"/>
        <v/>
      </c>
      <c r="P612" t="str">
        <f t="shared" ca="1" si="120"/>
        <v/>
      </c>
      <c r="Q612" s="133" t="str">
        <f t="shared" ca="1" si="121"/>
        <v/>
      </c>
      <c r="R612" s="133" t="str">
        <f t="shared" ca="1" si="122"/>
        <v/>
      </c>
      <c r="T612" t="str">
        <f t="shared" ca="1" si="123"/>
        <v/>
      </c>
      <c r="U612" s="134" t="str">
        <f t="shared" ca="1" si="124"/>
        <v/>
      </c>
    </row>
    <row r="613" spans="1:21" x14ac:dyDescent="0.3">
      <c r="A613" s="151" t="str">
        <f ca="1">Returns!$A$611</f>
        <v/>
      </c>
      <c r="B613" s="152" t="str">
        <f ca="1">IF($A613="","",Returns!$J$611)</f>
        <v/>
      </c>
      <c r="C613" s="153" t="str">
        <f t="shared" ca="1" si="125"/>
        <v/>
      </c>
      <c r="D613" s="153" t="str">
        <f ca="1">IF($A613="","",MAX($C$7:C613))</f>
        <v/>
      </c>
      <c r="E613" s="154" t="str">
        <f t="shared" ca="1" si="126"/>
        <v/>
      </c>
      <c r="F613" s="152" t="str">
        <f ca="1">IF($A613="","",Returns!$I$611)</f>
        <v/>
      </c>
      <c r="G613" s="153" t="str">
        <f t="shared" ca="1" si="127"/>
        <v/>
      </c>
      <c r="H613" s="153" t="str">
        <f ca="1">IF($A613="","",MAX($G$7:G613))</f>
        <v/>
      </c>
      <c r="I613" s="154" t="str">
        <f t="shared" ca="1" si="128"/>
        <v/>
      </c>
      <c r="J613" s="59" t="str">
        <f t="shared" ca="1" si="129"/>
        <v/>
      </c>
      <c r="K613" s="3"/>
      <c r="L613" t="str">
        <f t="shared" ca="1" si="117"/>
        <v/>
      </c>
      <c r="M613" s="132" t="str">
        <f t="shared" ca="1" si="118"/>
        <v/>
      </c>
      <c r="N613" s="132" t="str">
        <f t="shared" ca="1" si="119"/>
        <v/>
      </c>
      <c r="P613" t="str">
        <f t="shared" ca="1" si="120"/>
        <v/>
      </c>
      <c r="Q613" s="133" t="str">
        <f t="shared" ca="1" si="121"/>
        <v/>
      </c>
      <c r="R613" s="133" t="str">
        <f t="shared" ca="1" si="122"/>
        <v/>
      </c>
      <c r="T613" t="str">
        <f t="shared" ca="1" si="123"/>
        <v/>
      </c>
      <c r="U613" s="134" t="str">
        <f t="shared" ca="1" si="124"/>
        <v/>
      </c>
    </row>
    <row r="614" spans="1:21" x14ac:dyDescent="0.3">
      <c r="A614" s="151" t="str">
        <f ca="1">Returns!$A$612</f>
        <v/>
      </c>
      <c r="B614" s="152" t="str">
        <f ca="1">IF($A614="","",Returns!$J$612)</f>
        <v/>
      </c>
      <c r="C614" s="153" t="str">
        <f t="shared" ca="1" si="125"/>
        <v/>
      </c>
      <c r="D614" s="153" t="str">
        <f ca="1">IF($A614="","",MAX($C$7:C614))</f>
        <v/>
      </c>
      <c r="E614" s="154" t="str">
        <f t="shared" ca="1" si="126"/>
        <v/>
      </c>
      <c r="F614" s="152" t="str">
        <f ca="1">IF($A614="","",Returns!$I$612)</f>
        <v/>
      </c>
      <c r="G614" s="153" t="str">
        <f t="shared" ca="1" si="127"/>
        <v/>
      </c>
      <c r="H614" s="153" t="str">
        <f ca="1">IF($A614="","",MAX($G$7:G614))</f>
        <v/>
      </c>
      <c r="I614" s="154" t="str">
        <f t="shared" ca="1" si="128"/>
        <v/>
      </c>
      <c r="J614" s="59" t="str">
        <f t="shared" ca="1" si="129"/>
        <v/>
      </c>
      <c r="K614" s="3"/>
      <c r="L614" t="str">
        <f t="shared" ca="1" si="117"/>
        <v/>
      </c>
      <c r="M614" s="132" t="str">
        <f t="shared" ca="1" si="118"/>
        <v/>
      </c>
      <c r="N614" s="132" t="str">
        <f t="shared" ca="1" si="119"/>
        <v/>
      </c>
      <c r="P614" t="str">
        <f t="shared" ca="1" si="120"/>
        <v/>
      </c>
      <c r="Q614" s="133" t="str">
        <f t="shared" ca="1" si="121"/>
        <v/>
      </c>
      <c r="R614" s="133" t="str">
        <f t="shared" ca="1" si="122"/>
        <v/>
      </c>
      <c r="T614" t="str">
        <f t="shared" ca="1" si="123"/>
        <v/>
      </c>
      <c r="U614" s="134" t="str">
        <f t="shared" ca="1" si="124"/>
        <v/>
      </c>
    </row>
    <row r="615" spans="1:21" x14ac:dyDescent="0.3">
      <c r="A615" s="151" t="str">
        <f ca="1">Returns!$A$613</f>
        <v/>
      </c>
      <c r="B615" s="152" t="str">
        <f ca="1">IF($A615="","",Returns!$J$613)</f>
        <v/>
      </c>
      <c r="C615" s="153" t="str">
        <f t="shared" ca="1" si="125"/>
        <v/>
      </c>
      <c r="D615" s="153" t="str">
        <f ca="1">IF($A615="","",MAX($C$7:C615))</f>
        <v/>
      </c>
      <c r="E615" s="154" t="str">
        <f t="shared" ca="1" si="126"/>
        <v/>
      </c>
      <c r="F615" s="152" t="str">
        <f ca="1">IF($A615="","",Returns!$I$613)</f>
        <v/>
      </c>
      <c r="G615" s="153" t="str">
        <f t="shared" ca="1" si="127"/>
        <v/>
      </c>
      <c r="H615" s="153" t="str">
        <f ca="1">IF($A615="","",MAX($G$7:G615))</f>
        <v/>
      </c>
      <c r="I615" s="154" t="str">
        <f t="shared" ca="1" si="128"/>
        <v/>
      </c>
      <c r="J615" s="59" t="str">
        <f t="shared" ca="1" si="129"/>
        <v/>
      </c>
      <c r="K615" s="3"/>
      <c r="L615" t="str">
        <f t="shared" ca="1" si="117"/>
        <v/>
      </c>
      <c r="M615" s="132" t="str">
        <f t="shared" ca="1" si="118"/>
        <v/>
      </c>
      <c r="N615" s="132" t="str">
        <f t="shared" ca="1" si="119"/>
        <v/>
      </c>
      <c r="P615" t="str">
        <f t="shared" ca="1" si="120"/>
        <v/>
      </c>
      <c r="Q615" s="133" t="str">
        <f t="shared" ca="1" si="121"/>
        <v/>
      </c>
      <c r="R615" s="133" t="str">
        <f t="shared" ca="1" si="122"/>
        <v/>
      </c>
      <c r="T615" t="str">
        <f t="shared" ca="1" si="123"/>
        <v/>
      </c>
      <c r="U615" s="134" t="str">
        <f t="shared" ca="1" si="124"/>
        <v/>
      </c>
    </row>
    <row r="616" spans="1:21" x14ac:dyDescent="0.3">
      <c r="A616" s="151" t="str">
        <f ca="1">Returns!$A$614</f>
        <v/>
      </c>
      <c r="B616" s="152" t="str">
        <f ca="1">IF($A616="","",Returns!$J$614)</f>
        <v/>
      </c>
      <c r="C616" s="153" t="str">
        <f t="shared" ca="1" si="125"/>
        <v/>
      </c>
      <c r="D616" s="153" t="str">
        <f ca="1">IF($A616="","",MAX($C$7:C616))</f>
        <v/>
      </c>
      <c r="E616" s="154" t="str">
        <f t="shared" ca="1" si="126"/>
        <v/>
      </c>
      <c r="F616" s="152" t="str">
        <f ca="1">IF($A616="","",Returns!$I$614)</f>
        <v/>
      </c>
      <c r="G616" s="153" t="str">
        <f t="shared" ca="1" si="127"/>
        <v/>
      </c>
      <c r="H616" s="153" t="str">
        <f ca="1">IF($A616="","",MAX($G$7:G616))</f>
        <v/>
      </c>
      <c r="I616" s="154" t="str">
        <f t="shared" ca="1" si="128"/>
        <v/>
      </c>
      <c r="J616" s="59" t="str">
        <f t="shared" ca="1" si="129"/>
        <v/>
      </c>
      <c r="K616" s="3"/>
      <c r="L616" t="str">
        <f t="shared" ca="1" si="117"/>
        <v/>
      </c>
      <c r="M616" s="132" t="str">
        <f t="shared" ca="1" si="118"/>
        <v/>
      </c>
      <c r="N616" s="132" t="str">
        <f t="shared" ca="1" si="119"/>
        <v/>
      </c>
      <c r="P616" t="str">
        <f t="shared" ca="1" si="120"/>
        <v/>
      </c>
      <c r="Q616" s="133" t="str">
        <f t="shared" ca="1" si="121"/>
        <v/>
      </c>
      <c r="R616" s="133" t="str">
        <f t="shared" ca="1" si="122"/>
        <v/>
      </c>
      <c r="T616" t="str">
        <f t="shared" ca="1" si="123"/>
        <v/>
      </c>
      <c r="U616" s="134" t="str">
        <f t="shared" ca="1" si="124"/>
        <v/>
      </c>
    </row>
    <row r="617" spans="1:21" x14ac:dyDescent="0.3">
      <c r="A617" s="151" t="str">
        <f ca="1">Returns!$A$615</f>
        <v/>
      </c>
      <c r="B617" s="152" t="str">
        <f ca="1">IF($A617="","",Returns!$J$615)</f>
        <v/>
      </c>
      <c r="C617" s="153" t="str">
        <f t="shared" ca="1" si="125"/>
        <v/>
      </c>
      <c r="D617" s="153" t="str">
        <f ca="1">IF($A617="","",MAX($C$7:C617))</f>
        <v/>
      </c>
      <c r="E617" s="154" t="str">
        <f t="shared" ca="1" si="126"/>
        <v/>
      </c>
      <c r="F617" s="152" t="str">
        <f ca="1">IF($A617="","",Returns!$I$615)</f>
        <v/>
      </c>
      <c r="G617" s="153" t="str">
        <f t="shared" ca="1" si="127"/>
        <v/>
      </c>
      <c r="H617" s="153" t="str">
        <f ca="1">IF($A617="","",MAX($G$7:G617))</f>
        <v/>
      </c>
      <c r="I617" s="154" t="str">
        <f t="shared" ca="1" si="128"/>
        <v/>
      </c>
      <c r="J617" s="59" t="str">
        <f t="shared" ca="1" si="129"/>
        <v/>
      </c>
      <c r="K617" s="3"/>
      <c r="L617" t="str">
        <f t="shared" ca="1" si="117"/>
        <v/>
      </c>
      <c r="M617" s="132" t="str">
        <f t="shared" ca="1" si="118"/>
        <v/>
      </c>
      <c r="N617" s="132" t="str">
        <f t="shared" ca="1" si="119"/>
        <v/>
      </c>
      <c r="P617" t="str">
        <f t="shared" ca="1" si="120"/>
        <v/>
      </c>
      <c r="Q617" s="133" t="str">
        <f t="shared" ca="1" si="121"/>
        <v/>
      </c>
      <c r="R617" s="133" t="str">
        <f t="shared" ca="1" si="122"/>
        <v/>
      </c>
      <c r="T617" t="str">
        <f t="shared" ca="1" si="123"/>
        <v/>
      </c>
      <c r="U617" s="134" t="str">
        <f t="shared" ca="1" si="124"/>
        <v/>
      </c>
    </row>
    <row r="618" spans="1:21" x14ac:dyDescent="0.3">
      <c r="A618" s="151" t="str">
        <f ca="1">Returns!$A$616</f>
        <v/>
      </c>
      <c r="B618" s="152" t="str">
        <f ca="1">IF($A618="","",Returns!$J$616)</f>
        <v/>
      </c>
      <c r="C618" s="153" t="str">
        <f t="shared" ca="1" si="125"/>
        <v/>
      </c>
      <c r="D618" s="153" t="str">
        <f ca="1">IF($A618="","",MAX($C$7:C618))</f>
        <v/>
      </c>
      <c r="E618" s="154" t="str">
        <f t="shared" ca="1" si="126"/>
        <v/>
      </c>
      <c r="F618" s="152" t="str">
        <f ca="1">IF($A618="","",Returns!$I$616)</f>
        <v/>
      </c>
      <c r="G618" s="153" t="str">
        <f t="shared" ca="1" si="127"/>
        <v/>
      </c>
      <c r="H618" s="153" t="str">
        <f ca="1">IF($A618="","",MAX($G$7:G618))</f>
        <v/>
      </c>
      <c r="I618" s="154" t="str">
        <f t="shared" ca="1" si="128"/>
        <v/>
      </c>
      <c r="J618" s="59" t="str">
        <f t="shared" ca="1" si="129"/>
        <v/>
      </c>
      <c r="K618" s="3"/>
      <c r="L618" t="str">
        <f t="shared" ca="1" si="117"/>
        <v/>
      </c>
      <c r="M618" s="132" t="str">
        <f t="shared" ca="1" si="118"/>
        <v/>
      </c>
      <c r="N618" s="132" t="str">
        <f t="shared" ca="1" si="119"/>
        <v/>
      </c>
      <c r="P618" t="str">
        <f t="shared" ca="1" si="120"/>
        <v/>
      </c>
      <c r="Q618" s="133" t="str">
        <f t="shared" ca="1" si="121"/>
        <v/>
      </c>
      <c r="R618" s="133" t="str">
        <f t="shared" ca="1" si="122"/>
        <v/>
      </c>
      <c r="T618" t="str">
        <f t="shared" ca="1" si="123"/>
        <v/>
      </c>
      <c r="U618" s="134" t="str">
        <f t="shared" ca="1" si="124"/>
        <v/>
      </c>
    </row>
    <row r="619" spans="1:21" x14ac:dyDescent="0.3">
      <c r="A619" s="151" t="str">
        <f ca="1">Returns!$A$617</f>
        <v/>
      </c>
      <c r="B619" s="152" t="str">
        <f ca="1">IF($A619="","",Returns!$J$617)</f>
        <v/>
      </c>
      <c r="C619" s="153" t="str">
        <f t="shared" ca="1" si="125"/>
        <v/>
      </c>
      <c r="D619" s="153" t="str">
        <f ca="1">IF($A619="","",MAX($C$7:C619))</f>
        <v/>
      </c>
      <c r="E619" s="154" t="str">
        <f t="shared" ca="1" si="126"/>
        <v/>
      </c>
      <c r="F619" s="152" t="str">
        <f ca="1">IF($A619="","",Returns!$I$617)</f>
        <v/>
      </c>
      <c r="G619" s="153" t="str">
        <f t="shared" ca="1" si="127"/>
        <v/>
      </c>
      <c r="H619" s="153" t="str">
        <f ca="1">IF($A619="","",MAX($G$7:G619))</f>
        <v/>
      </c>
      <c r="I619" s="154" t="str">
        <f t="shared" ca="1" si="128"/>
        <v/>
      </c>
      <c r="J619" s="59" t="str">
        <f t="shared" ca="1" si="129"/>
        <v/>
      </c>
      <c r="K619" s="3"/>
      <c r="L619" t="str">
        <f t="shared" ca="1" si="117"/>
        <v/>
      </c>
      <c r="M619" s="132" t="str">
        <f t="shared" ca="1" si="118"/>
        <v/>
      </c>
      <c r="N619" s="132" t="str">
        <f t="shared" ca="1" si="119"/>
        <v/>
      </c>
      <c r="P619" t="str">
        <f t="shared" ca="1" si="120"/>
        <v/>
      </c>
      <c r="Q619" s="133" t="str">
        <f t="shared" ca="1" si="121"/>
        <v/>
      </c>
      <c r="R619" s="133" t="str">
        <f t="shared" ca="1" si="122"/>
        <v/>
      </c>
      <c r="T619" t="str">
        <f t="shared" ca="1" si="123"/>
        <v/>
      </c>
      <c r="U619" s="134" t="str">
        <f t="shared" ca="1" si="124"/>
        <v/>
      </c>
    </row>
    <row r="620" spans="1:21" x14ac:dyDescent="0.3">
      <c r="A620" s="151" t="str">
        <f ca="1">Returns!$A$618</f>
        <v/>
      </c>
      <c r="B620" s="152" t="str">
        <f ca="1">IF($A620="","",Returns!$J$618)</f>
        <v/>
      </c>
      <c r="C620" s="153" t="str">
        <f t="shared" ca="1" si="125"/>
        <v/>
      </c>
      <c r="D620" s="153" t="str">
        <f ca="1">IF($A620="","",MAX($C$7:C620))</f>
        <v/>
      </c>
      <c r="E620" s="154" t="str">
        <f t="shared" ca="1" si="126"/>
        <v/>
      </c>
      <c r="F620" s="152" t="str">
        <f ca="1">IF($A620="","",Returns!$I$618)</f>
        <v/>
      </c>
      <c r="G620" s="153" t="str">
        <f t="shared" ca="1" si="127"/>
        <v/>
      </c>
      <c r="H620" s="153" t="str">
        <f ca="1">IF($A620="","",MAX($G$7:G620))</f>
        <v/>
      </c>
      <c r="I620" s="154" t="str">
        <f t="shared" ca="1" si="128"/>
        <v/>
      </c>
      <c r="J620" s="59" t="str">
        <f t="shared" ca="1" si="129"/>
        <v/>
      </c>
      <c r="K620" s="3"/>
      <c r="L620" t="str">
        <f t="shared" ca="1" si="117"/>
        <v/>
      </c>
      <c r="M620" s="132" t="str">
        <f t="shared" ca="1" si="118"/>
        <v/>
      </c>
      <c r="N620" s="132" t="str">
        <f t="shared" ca="1" si="119"/>
        <v/>
      </c>
      <c r="P620" t="str">
        <f t="shared" ca="1" si="120"/>
        <v/>
      </c>
      <c r="Q620" s="133" t="str">
        <f t="shared" ca="1" si="121"/>
        <v/>
      </c>
      <c r="R620" s="133" t="str">
        <f t="shared" ca="1" si="122"/>
        <v/>
      </c>
      <c r="T620" t="str">
        <f t="shared" ca="1" si="123"/>
        <v/>
      </c>
      <c r="U620" s="134" t="str">
        <f t="shared" ca="1" si="124"/>
        <v/>
      </c>
    </row>
    <row r="621" spans="1:21" x14ac:dyDescent="0.3">
      <c r="A621" s="151" t="str">
        <f ca="1">Returns!$A$619</f>
        <v/>
      </c>
      <c r="B621" s="152" t="str">
        <f ca="1">IF($A621="","",Returns!$J$619)</f>
        <v/>
      </c>
      <c r="C621" s="153" t="str">
        <f t="shared" ca="1" si="125"/>
        <v/>
      </c>
      <c r="D621" s="153" t="str">
        <f ca="1">IF($A621="","",MAX($C$7:C621))</f>
        <v/>
      </c>
      <c r="E621" s="154" t="str">
        <f t="shared" ca="1" si="126"/>
        <v/>
      </c>
      <c r="F621" s="152" t="str">
        <f ca="1">IF($A621="","",Returns!$I$619)</f>
        <v/>
      </c>
      <c r="G621" s="153" t="str">
        <f t="shared" ca="1" si="127"/>
        <v/>
      </c>
      <c r="H621" s="153" t="str">
        <f ca="1">IF($A621="","",MAX($G$7:G621))</f>
        <v/>
      </c>
      <c r="I621" s="154" t="str">
        <f t="shared" ca="1" si="128"/>
        <v/>
      </c>
      <c r="J621" s="59" t="str">
        <f t="shared" ca="1" si="129"/>
        <v/>
      </c>
      <c r="K621" s="3"/>
      <c r="L621" t="str">
        <f t="shared" ca="1" si="117"/>
        <v/>
      </c>
      <c r="M621" s="132" t="str">
        <f t="shared" ca="1" si="118"/>
        <v/>
      </c>
      <c r="N621" s="132" t="str">
        <f t="shared" ca="1" si="119"/>
        <v/>
      </c>
      <c r="P621" t="str">
        <f t="shared" ca="1" si="120"/>
        <v/>
      </c>
      <c r="Q621" s="133" t="str">
        <f t="shared" ca="1" si="121"/>
        <v/>
      </c>
      <c r="R621" s="133" t="str">
        <f t="shared" ca="1" si="122"/>
        <v/>
      </c>
      <c r="T621" t="str">
        <f t="shared" ca="1" si="123"/>
        <v/>
      </c>
      <c r="U621" s="134" t="str">
        <f t="shared" ca="1" si="124"/>
        <v/>
      </c>
    </row>
    <row r="622" spans="1:21" x14ac:dyDescent="0.3">
      <c r="A622" s="151" t="str">
        <f ca="1">Returns!$A$620</f>
        <v/>
      </c>
      <c r="B622" s="152" t="str">
        <f ca="1">IF($A622="","",Returns!$J$620)</f>
        <v/>
      </c>
      <c r="C622" s="153" t="str">
        <f t="shared" ca="1" si="125"/>
        <v/>
      </c>
      <c r="D622" s="153" t="str">
        <f ca="1">IF($A622="","",MAX($C$7:C622))</f>
        <v/>
      </c>
      <c r="E622" s="154" t="str">
        <f t="shared" ca="1" si="126"/>
        <v/>
      </c>
      <c r="F622" s="152" t="str">
        <f ca="1">IF($A622="","",Returns!$I$620)</f>
        <v/>
      </c>
      <c r="G622" s="153" t="str">
        <f t="shared" ca="1" si="127"/>
        <v/>
      </c>
      <c r="H622" s="153" t="str">
        <f ca="1">IF($A622="","",MAX($G$7:G622))</f>
        <v/>
      </c>
      <c r="I622" s="154" t="str">
        <f t="shared" ca="1" si="128"/>
        <v/>
      </c>
      <c r="J622" s="59" t="str">
        <f t="shared" ca="1" si="129"/>
        <v/>
      </c>
      <c r="K622" s="3"/>
      <c r="L622" t="str">
        <f t="shared" ca="1" si="117"/>
        <v/>
      </c>
      <c r="M622" s="132" t="str">
        <f t="shared" ca="1" si="118"/>
        <v/>
      </c>
      <c r="N622" s="132" t="str">
        <f t="shared" ca="1" si="119"/>
        <v/>
      </c>
      <c r="P622" t="str">
        <f t="shared" ca="1" si="120"/>
        <v/>
      </c>
      <c r="Q622" s="133" t="str">
        <f t="shared" ca="1" si="121"/>
        <v/>
      </c>
      <c r="R622" s="133" t="str">
        <f t="shared" ca="1" si="122"/>
        <v/>
      </c>
      <c r="T622" t="str">
        <f t="shared" ca="1" si="123"/>
        <v/>
      </c>
      <c r="U622" s="134" t="str">
        <f t="shared" ca="1" si="124"/>
        <v/>
      </c>
    </row>
    <row r="623" spans="1:21" x14ac:dyDescent="0.3">
      <c r="A623" s="151" t="str">
        <f ca="1">Returns!$A$621</f>
        <v/>
      </c>
      <c r="B623" s="152" t="str">
        <f ca="1">IF($A623="","",Returns!$J$621)</f>
        <v/>
      </c>
      <c r="C623" s="153" t="str">
        <f t="shared" ca="1" si="125"/>
        <v/>
      </c>
      <c r="D623" s="153" t="str">
        <f ca="1">IF($A623="","",MAX($C$7:C623))</f>
        <v/>
      </c>
      <c r="E623" s="154" t="str">
        <f t="shared" ca="1" si="126"/>
        <v/>
      </c>
      <c r="F623" s="152" t="str">
        <f ca="1">IF($A623="","",Returns!$I$621)</f>
        <v/>
      </c>
      <c r="G623" s="153" t="str">
        <f t="shared" ca="1" si="127"/>
        <v/>
      </c>
      <c r="H623" s="153" t="str">
        <f ca="1">IF($A623="","",MAX($G$7:G623))</f>
        <v/>
      </c>
      <c r="I623" s="154" t="str">
        <f t="shared" ca="1" si="128"/>
        <v/>
      </c>
      <c r="J623" s="59" t="str">
        <f t="shared" ca="1" si="129"/>
        <v/>
      </c>
      <c r="K623" s="3"/>
      <c r="L623" t="str">
        <f t="shared" ca="1" si="117"/>
        <v/>
      </c>
      <c r="M623" s="132" t="str">
        <f t="shared" ca="1" si="118"/>
        <v/>
      </c>
      <c r="N623" s="132" t="str">
        <f t="shared" ca="1" si="119"/>
        <v/>
      </c>
      <c r="P623" t="str">
        <f t="shared" ca="1" si="120"/>
        <v/>
      </c>
      <c r="Q623" s="133" t="str">
        <f t="shared" ca="1" si="121"/>
        <v/>
      </c>
      <c r="R623" s="133" t="str">
        <f t="shared" ca="1" si="122"/>
        <v/>
      </c>
      <c r="T623" t="str">
        <f t="shared" ca="1" si="123"/>
        <v/>
      </c>
      <c r="U623" s="134" t="str">
        <f t="shared" ca="1" si="124"/>
        <v/>
      </c>
    </row>
    <row r="624" spans="1:21" x14ac:dyDescent="0.3">
      <c r="A624" s="151" t="str">
        <f ca="1">Returns!$A$622</f>
        <v/>
      </c>
      <c r="B624" s="152" t="str">
        <f ca="1">IF($A624="","",Returns!$J$622)</f>
        <v/>
      </c>
      <c r="C624" s="153" t="str">
        <f t="shared" ca="1" si="125"/>
        <v/>
      </c>
      <c r="D624" s="153" t="str">
        <f ca="1">IF($A624="","",MAX($C$7:C624))</f>
        <v/>
      </c>
      <c r="E624" s="154" t="str">
        <f t="shared" ca="1" si="126"/>
        <v/>
      </c>
      <c r="F624" s="152" t="str">
        <f ca="1">IF($A624="","",Returns!$I$622)</f>
        <v/>
      </c>
      <c r="G624" s="153" t="str">
        <f t="shared" ca="1" si="127"/>
        <v/>
      </c>
      <c r="H624" s="153" t="str">
        <f ca="1">IF($A624="","",MAX($G$7:G624))</f>
        <v/>
      </c>
      <c r="I624" s="154" t="str">
        <f t="shared" ca="1" si="128"/>
        <v/>
      </c>
      <c r="J624" s="59" t="str">
        <f t="shared" ca="1" si="129"/>
        <v/>
      </c>
      <c r="K624" s="3"/>
      <c r="L624" t="str">
        <f t="shared" ca="1" si="117"/>
        <v/>
      </c>
      <c r="M624" s="132" t="str">
        <f t="shared" ca="1" si="118"/>
        <v/>
      </c>
      <c r="N624" s="132" t="str">
        <f t="shared" ca="1" si="119"/>
        <v/>
      </c>
      <c r="P624" t="str">
        <f t="shared" ca="1" si="120"/>
        <v/>
      </c>
      <c r="Q624" s="133" t="str">
        <f t="shared" ca="1" si="121"/>
        <v/>
      </c>
      <c r="R624" s="133" t="str">
        <f t="shared" ca="1" si="122"/>
        <v/>
      </c>
      <c r="T624" t="str">
        <f t="shared" ca="1" si="123"/>
        <v/>
      </c>
      <c r="U624" s="134" t="str">
        <f t="shared" ca="1" si="124"/>
        <v/>
      </c>
    </row>
    <row r="625" spans="1:21" x14ac:dyDescent="0.3">
      <c r="A625" s="151" t="str">
        <f ca="1">Returns!$A$623</f>
        <v/>
      </c>
      <c r="B625" s="152" t="str">
        <f ca="1">IF($A625="","",Returns!$J$623)</f>
        <v/>
      </c>
      <c r="C625" s="153" t="str">
        <f t="shared" ca="1" si="125"/>
        <v/>
      </c>
      <c r="D625" s="153" t="str">
        <f ca="1">IF($A625="","",MAX($C$7:C625))</f>
        <v/>
      </c>
      <c r="E625" s="154" t="str">
        <f t="shared" ca="1" si="126"/>
        <v/>
      </c>
      <c r="F625" s="152" t="str">
        <f ca="1">IF($A625="","",Returns!$I$623)</f>
        <v/>
      </c>
      <c r="G625" s="153" t="str">
        <f t="shared" ca="1" si="127"/>
        <v/>
      </c>
      <c r="H625" s="153" t="str">
        <f ca="1">IF($A625="","",MAX($G$7:G625))</f>
        <v/>
      </c>
      <c r="I625" s="154" t="str">
        <f t="shared" ca="1" si="128"/>
        <v/>
      </c>
      <c r="J625" s="59" t="str">
        <f t="shared" ca="1" si="129"/>
        <v/>
      </c>
      <c r="K625" s="3"/>
      <c r="L625" t="str">
        <f t="shared" ca="1" si="117"/>
        <v/>
      </c>
      <c r="M625" s="132" t="str">
        <f t="shared" ca="1" si="118"/>
        <v/>
      </c>
      <c r="N625" s="132" t="str">
        <f t="shared" ca="1" si="119"/>
        <v/>
      </c>
      <c r="P625" t="str">
        <f t="shared" ca="1" si="120"/>
        <v/>
      </c>
      <c r="Q625" s="133" t="str">
        <f t="shared" ca="1" si="121"/>
        <v/>
      </c>
      <c r="R625" s="133" t="str">
        <f t="shared" ca="1" si="122"/>
        <v/>
      </c>
      <c r="T625" t="str">
        <f t="shared" ca="1" si="123"/>
        <v/>
      </c>
      <c r="U625" s="134" t="str">
        <f t="shared" ca="1" si="124"/>
        <v/>
      </c>
    </row>
    <row r="626" spans="1:21" x14ac:dyDescent="0.3">
      <c r="A626" s="151" t="str">
        <f ca="1">Returns!$A$624</f>
        <v/>
      </c>
      <c r="B626" s="152" t="str">
        <f ca="1">IF($A626="","",Returns!$J$624)</f>
        <v/>
      </c>
      <c r="C626" s="153" t="str">
        <f t="shared" ca="1" si="125"/>
        <v/>
      </c>
      <c r="D626" s="153" t="str">
        <f ca="1">IF($A626="","",MAX($C$7:C626))</f>
        <v/>
      </c>
      <c r="E626" s="154" t="str">
        <f t="shared" ca="1" si="126"/>
        <v/>
      </c>
      <c r="F626" s="152" t="str">
        <f ca="1">IF($A626="","",Returns!$I$624)</f>
        <v/>
      </c>
      <c r="G626" s="153" t="str">
        <f t="shared" ca="1" si="127"/>
        <v/>
      </c>
      <c r="H626" s="153" t="str">
        <f ca="1">IF($A626="","",MAX($G$7:G626))</f>
        <v/>
      </c>
      <c r="I626" s="154" t="str">
        <f t="shared" ca="1" si="128"/>
        <v/>
      </c>
      <c r="J626" s="59" t="str">
        <f t="shared" ca="1" si="129"/>
        <v/>
      </c>
      <c r="K626" s="3"/>
      <c r="L626" t="str">
        <f t="shared" ca="1" si="117"/>
        <v/>
      </c>
      <c r="M626" s="132" t="str">
        <f t="shared" ca="1" si="118"/>
        <v/>
      </c>
      <c r="N626" s="132" t="str">
        <f t="shared" ca="1" si="119"/>
        <v/>
      </c>
      <c r="P626" t="str">
        <f t="shared" ca="1" si="120"/>
        <v/>
      </c>
      <c r="Q626" s="133" t="str">
        <f t="shared" ca="1" si="121"/>
        <v/>
      </c>
      <c r="R626" s="133" t="str">
        <f t="shared" ca="1" si="122"/>
        <v/>
      </c>
      <c r="T626" t="str">
        <f t="shared" ca="1" si="123"/>
        <v/>
      </c>
      <c r="U626" s="134" t="str">
        <f t="shared" ca="1" si="124"/>
        <v/>
      </c>
    </row>
    <row r="627" spans="1:21" x14ac:dyDescent="0.3">
      <c r="A627" s="151" t="str">
        <f ca="1">Returns!$A$625</f>
        <v/>
      </c>
      <c r="B627" s="152" t="str">
        <f ca="1">IF($A627="","",Returns!$J$625)</f>
        <v/>
      </c>
      <c r="C627" s="153" t="str">
        <f t="shared" ca="1" si="125"/>
        <v/>
      </c>
      <c r="D627" s="153" t="str">
        <f ca="1">IF($A627="","",MAX($C$7:C627))</f>
        <v/>
      </c>
      <c r="E627" s="154" t="str">
        <f t="shared" ca="1" si="126"/>
        <v/>
      </c>
      <c r="F627" s="152" t="str">
        <f ca="1">IF($A627="","",Returns!$I$625)</f>
        <v/>
      </c>
      <c r="G627" s="153" t="str">
        <f t="shared" ca="1" si="127"/>
        <v/>
      </c>
      <c r="H627" s="153" t="str">
        <f ca="1">IF($A627="","",MAX($G$7:G627))</f>
        <v/>
      </c>
      <c r="I627" s="154" t="str">
        <f t="shared" ca="1" si="128"/>
        <v/>
      </c>
      <c r="J627" s="59" t="str">
        <f t="shared" ca="1" si="129"/>
        <v/>
      </c>
      <c r="K627" s="3"/>
      <c r="L627" t="str">
        <f t="shared" ca="1" si="117"/>
        <v/>
      </c>
      <c r="M627" s="132" t="str">
        <f t="shared" ca="1" si="118"/>
        <v/>
      </c>
      <c r="N627" s="132" t="str">
        <f t="shared" ca="1" si="119"/>
        <v/>
      </c>
      <c r="P627" t="str">
        <f t="shared" ca="1" si="120"/>
        <v/>
      </c>
      <c r="Q627" s="133" t="str">
        <f t="shared" ca="1" si="121"/>
        <v/>
      </c>
      <c r="R627" s="133" t="str">
        <f t="shared" ca="1" si="122"/>
        <v/>
      </c>
      <c r="T627" t="str">
        <f t="shared" ca="1" si="123"/>
        <v/>
      </c>
      <c r="U627" s="134" t="str">
        <f t="shared" ca="1" si="124"/>
        <v/>
      </c>
    </row>
    <row r="628" spans="1:21" x14ac:dyDescent="0.3">
      <c r="A628" s="151" t="str">
        <f ca="1">Returns!$A$626</f>
        <v/>
      </c>
      <c r="B628" s="152" t="str">
        <f ca="1">IF($A628="","",Returns!$J$626)</f>
        <v/>
      </c>
      <c r="C628" s="153" t="str">
        <f t="shared" ca="1" si="125"/>
        <v/>
      </c>
      <c r="D628" s="153" t="str">
        <f ca="1">IF($A628="","",MAX($C$7:C628))</f>
        <v/>
      </c>
      <c r="E628" s="154" t="str">
        <f t="shared" ca="1" si="126"/>
        <v/>
      </c>
      <c r="F628" s="152" t="str">
        <f ca="1">IF($A628="","",Returns!$I$626)</f>
        <v/>
      </c>
      <c r="G628" s="153" t="str">
        <f t="shared" ca="1" si="127"/>
        <v/>
      </c>
      <c r="H628" s="153" t="str">
        <f ca="1">IF($A628="","",MAX($G$7:G628))</f>
        <v/>
      </c>
      <c r="I628" s="154" t="str">
        <f t="shared" ca="1" si="128"/>
        <v/>
      </c>
      <c r="J628" s="59" t="str">
        <f t="shared" ca="1" si="129"/>
        <v/>
      </c>
      <c r="K628" s="3"/>
      <c r="L628" t="str">
        <f t="shared" ca="1" si="117"/>
        <v/>
      </c>
      <c r="M628" s="132" t="str">
        <f t="shared" ca="1" si="118"/>
        <v/>
      </c>
      <c r="N628" s="132" t="str">
        <f t="shared" ca="1" si="119"/>
        <v/>
      </c>
      <c r="P628" t="str">
        <f t="shared" ca="1" si="120"/>
        <v/>
      </c>
      <c r="Q628" s="133" t="str">
        <f t="shared" ca="1" si="121"/>
        <v/>
      </c>
      <c r="R628" s="133" t="str">
        <f t="shared" ca="1" si="122"/>
        <v/>
      </c>
      <c r="T628" t="str">
        <f t="shared" ca="1" si="123"/>
        <v/>
      </c>
      <c r="U628" s="134" t="str">
        <f t="shared" ca="1" si="124"/>
        <v/>
      </c>
    </row>
    <row r="629" spans="1:21" x14ac:dyDescent="0.3">
      <c r="A629" s="151" t="str">
        <f ca="1">Returns!$A$627</f>
        <v/>
      </c>
      <c r="B629" s="152" t="str">
        <f ca="1">IF($A629="","",Returns!$J$627)</f>
        <v/>
      </c>
      <c r="C629" s="153" t="str">
        <f t="shared" ca="1" si="125"/>
        <v/>
      </c>
      <c r="D629" s="153" t="str">
        <f ca="1">IF($A629="","",MAX($C$7:C629))</f>
        <v/>
      </c>
      <c r="E629" s="154" t="str">
        <f t="shared" ca="1" si="126"/>
        <v/>
      </c>
      <c r="F629" s="152" t="str">
        <f ca="1">IF($A629="","",Returns!$I$627)</f>
        <v/>
      </c>
      <c r="G629" s="153" t="str">
        <f t="shared" ca="1" si="127"/>
        <v/>
      </c>
      <c r="H629" s="153" t="str">
        <f ca="1">IF($A629="","",MAX($G$7:G629))</f>
        <v/>
      </c>
      <c r="I629" s="154" t="str">
        <f t="shared" ca="1" si="128"/>
        <v/>
      </c>
      <c r="J629" s="59" t="str">
        <f t="shared" ca="1" si="129"/>
        <v/>
      </c>
      <c r="K629" s="3"/>
      <c r="L629" t="str">
        <f t="shared" ca="1" si="117"/>
        <v/>
      </c>
      <c r="M629" s="132" t="str">
        <f t="shared" ca="1" si="118"/>
        <v/>
      </c>
      <c r="N629" s="132" t="str">
        <f t="shared" ca="1" si="119"/>
        <v/>
      </c>
      <c r="P629" t="str">
        <f t="shared" ca="1" si="120"/>
        <v/>
      </c>
      <c r="Q629" s="133" t="str">
        <f t="shared" ca="1" si="121"/>
        <v/>
      </c>
      <c r="R629" s="133" t="str">
        <f t="shared" ca="1" si="122"/>
        <v/>
      </c>
      <c r="T629" t="str">
        <f t="shared" ca="1" si="123"/>
        <v/>
      </c>
      <c r="U629" s="134" t="str">
        <f t="shared" ca="1" si="124"/>
        <v/>
      </c>
    </row>
    <row r="630" spans="1:21" x14ac:dyDescent="0.3">
      <c r="A630" s="151" t="str">
        <f ca="1">Returns!$A$628</f>
        <v/>
      </c>
      <c r="B630" s="152" t="str">
        <f ca="1">IF($A630="","",Returns!$J$628)</f>
        <v/>
      </c>
      <c r="C630" s="153" t="str">
        <f t="shared" ca="1" si="125"/>
        <v/>
      </c>
      <c r="D630" s="153" t="str">
        <f ca="1">IF($A630="","",MAX($C$7:C630))</f>
        <v/>
      </c>
      <c r="E630" s="154" t="str">
        <f t="shared" ca="1" si="126"/>
        <v/>
      </c>
      <c r="F630" s="152" t="str">
        <f ca="1">IF($A630="","",Returns!$I$628)</f>
        <v/>
      </c>
      <c r="G630" s="153" t="str">
        <f t="shared" ca="1" si="127"/>
        <v/>
      </c>
      <c r="H630" s="153" t="str">
        <f ca="1">IF($A630="","",MAX($G$7:G630))</f>
        <v/>
      </c>
      <c r="I630" s="154" t="str">
        <f t="shared" ca="1" si="128"/>
        <v/>
      </c>
      <c r="J630" s="59" t="str">
        <f t="shared" ca="1" si="129"/>
        <v/>
      </c>
      <c r="K630" s="3"/>
      <c r="L630" t="str">
        <f t="shared" ca="1" si="117"/>
        <v/>
      </c>
      <c r="M630" s="132" t="str">
        <f t="shared" ca="1" si="118"/>
        <v/>
      </c>
      <c r="N630" s="132" t="str">
        <f t="shared" ca="1" si="119"/>
        <v/>
      </c>
      <c r="P630" t="str">
        <f t="shared" ca="1" si="120"/>
        <v/>
      </c>
      <c r="Q630" s="133" t="str">
        <f t="shared" ca="1" si="121"/>
        <v/>
      </c>
      <c r="R630" s="133" t="str">
        <f t="shared" ca="1" si="122"/>
        <v/>
      </c>
      <c r="T630" t="str">
        <f t="shared" ca="1" si="123"/>
        <v/>
      </c>
      <c r="U630" s="134" t="str">
        <f t="shared" ca="1" si="124"/>
        <v/>
      </c>
    </row>
    <row r="631" spans="1:21" x14ac:dyDescent="0.3">
      <c r="A631" s="151" t="str">
        <f ca="1">Returns!$A$629</f>
        <v/>
      </c>
      <c r="B631" s="152" t="str">
        <f ca="1">IF($A631="","",Returns!$J$629)</f>
        <v/>
      </c>
      <c r="C631" s="153" t="str">
        <f t="shared" ca="1" si="125"/>
        <v/>
      </c>
      <c r="D631" s="153" t="str">
        <f ca="1">IF($A631="","",MAX($C$7:C631))</f>
        <v/>
      </c>
      <c r="E631" s="154" t="str">
        <f t="shared" ca="1" si="126"/>
        <v/>
      </c>
      <c r="F631" s="152" t="str">
        <f ca="1">IF($A631="","",Returns!$I$629)</f>
        <v/>
      </c>
      <c r="G631" s="153" t="str">
        <f t="shared" ca="1" si="127"/>
        <v/>
      </c>
      <c r="H631" s="153" t="str">
        <f ca="1">IF($A631="","",MAX($G$7:G631))</f>
        <v/>
      </c>
      <c r="I631" s="154" t="str">
        <f t="shared" ca="1" si="128"/>
        <v/>
      </c>
      <c r="J631" s="59" t="str">
        <f t="shared" ca="1" si="129"/>
        <v/>
      </c>
      <c r="K631" s="3"/>
      <c r="L631" t="str">
        <f t="shared" ca="1" si="117"/>
        <v/>
      </c>
      <c r="M631" s="132" t="str">
        <f t="shared" ca="1" si="118"/>
        <v/>
      </c>
      <c r="N631" s="132" t="str">
        <f t="shared" ca="1" si="119"/>
        <v/>
      </c>
      <c r="P631" t="str">
        <f t="shared" ca="1" si="120"/>
        <v/>
      </c>
      <c r="Q631" s="133" t="str">
        <f t="shared" ca="1" si="121"/>
        <v/>
      </c>
      <c r="R631" s="133" t="str">
        <f t="shared" ca="1" si="122"/>
        <v/>
      </c>
      <c r="T631" t="str">
        <f t="shared" ca="1" si="123"/>
        <v/>
      </c>
      <c r="U631" s="134" t="str">
        <f t="shared" ca="1" si="124"/>
        <v/>
      </c>
    </row>
    <row r="632" spans="1:21" x14ac:dyDescent="0.3">
      <c r="A632" s="151" t="str">
        <f ca="1">Returns!$A$630</f>
        <v/>
      </c>
      <c r="B632" s="152" t="str">
        <f ca="1">IF($A632="","",Returns!$J$630)</f>
        <v/>
      </c>
      <c r="C632" s="153" t="str">
        <f t="shared" ca="1" si="125"/>
        <v/>
      </c>
      <c r="D632" s="153" t="str">
        <f ca="1">IF($A632="","",MAX($C$7:C632))</f>
        <v/>
      </c>
      <c r="E632" s="154" t="str">
        <f t="shared" ca="1" si="126"/>
        <v/>
      </c>
      <c r="F632" s="152" t="str">
        <f ca="1">IF($A632="","",Returns!$I$630)</f>
        <v/>
      </c>
      <c r="G632" s="153" t="str">
        <f t="shared" ca="1" si="127"/>
        <v/>
      </c>
      <c r="H632" s="153" t="str">
        <f ca="1">IF($A632="","",MAX($G$7:G632))</f>
        <v/>
      </c>
      <c r="I632" s="154" t="str">
        <f t="shared" ca="1" si="128"/>
        <v/>
      </c>
      <c r="J632" s="59" t="str">
        <f t="shared" ca="1" si="129"/>
        <v/>
      </c>
      <c r="K632" s="3"/>
      <c r="L632" t="str">
        <f t="shared" ca="1" si="117"/>
        <v/>
      </c>
      <c r="M632" s="132" t="str">
        <f t="shared" ca="1" si="118"/>
        <v/>
      </c>
      <c r="N632" s="132" t="str">
        <f t="shared" ca="1" si="119"/>
        <v/>
      </c>
      <c r="P632" t="str">
        <f t="shared" ca="1" si="120"/>
        <v/>
      </c>
      <c r="Q632" s="133" t="str">
        <f t="shared" ca="1" si="121"/>
        <v/>
      </c>
      <c r="R632" s="133" t="str">
        <f t="shared" ca="1" si="122"/>
        <v/>
      </c>
      <c r="T632" t="str">
        <f t="shared" ca="1" si="123"/>
        <v/>
      </c>
      <c r="U632" s="134" t="str">
        <f t="shared" ca="1" si="124"/>
        <v/>
      </c>
    </row>
    <row r="633" spans="1:21" x14ac:dyDescent="0.3">
      <c r="A633" s="151" t="str">
        <f ca="1">Returns!$A$631</f>
        <v/>
      </c>
      <c r="B633" s="152" t="str">
        <f ca="1">IF($A633="","",Returns!$J$631)</f>
        <v/>
      </c>
      <c r="C633" s="153" t="str">
        <f t="shared" ca="1" si="125"/>
        <v/>
      </c>
      <c r="D633" s="153" t="str">
        <f ca="1">IF($A633="","",MAX($C$7:C633))</f>
        <v/>
      </c>
      <c r="E633" s="154" t="str">
        <f t="shared" ca="1" si="126"/>
        <v/>
      </c>
      <c r="F633" s="152" t="str">
        <f ca="1">IF($A633="","",Returns!$I$631)</f>
        <v/>
      </c>
      <c r="G633" s="153" t="str">
        <f t="shared" ca="1" si="127"/>
        <v/>
      </c>
      <c r="H633" s="153" t="str">
        <f ca="1">IF($A633="","",MAX($G$7:G633))</f>
        <v/>
      </c>
      <c r="I633" s="154" t="str">
        <f t="shared" ca="1" si="128"/>
        <v/>
      </c>
      <c r="J633" s="59" t="str">
        <f t="shared" ca="1" si="129"/>
        <v/>
      </c>
      <c r="K633" s="3"/>
      <c r="L633" t="str">
        <f t="shared" ca="1" si="117"/>
        <v/>
      </c>
      <c r="M633" s="132" t="str">
        <f t="shared" ca="1" si="118"/>
        <v/>
      </c>
      <c r="N633" s="132" t="str">
        <f t="shared" ca="1" si="119"/>
        <v/>
      </c>
      <c r="P633" t="str">
        <f t="shared" ca="1" si="120"/>
        <v/>
      </c>
      <c r="Q633" s="133" t="str">
        <f t="shared" ca="1" si="121"/>
        <v/>
      </c>
      <c r="R633" s="133" t="str">
        <f t="shared" ca="1" si="122"/>
        <v/>
      </c>
      <c r="T633" t="str">
        <f t="shared" ca="1" si="123"/>
        <v/>
      </c>
      <c r="U633" s="134" t="str">
        <f t="shared" ca="1" si="124"/>
        <v/>
      </c>
    </row>
    <row r="634" spans="1:21" x14ac:dyDescent="0.3">
      <c r="A634" s="151" t="str">
        <f ca="1">Returns!$A$632</f>
        <v/>
      </c>
      <c r="B634" s="152" t="str">
        <f ca="1">IF($A634="","",Returns!$J$632)</f>
        <v/>
      </c>
      <c r="C634" s="153" t="str">
        <f t="shared" ca="1" si="125"/>
        <v/>
      </c>
      <c r="D634" s="153" t="str">
        <f ca="1">IF($A634="","",MAX($C$7:C634))</f>
        <v/>
      </c>
      <c r="E634" s="154" t="str">
        <f t="shared" ca="1" si="126"/>
        <v/>
      </c>
      <c r="F634" s="152" t="str">
        <f ca="1">IF($A634="","",Returns!$I$632)</f>
        <v/>
      </c>
      <c r="G634" s="153" t="str">
        <f t="shared" ca="1" si="127"/>
        <v/>
      </c>
      <c r="H634" s="153" t="str">
        <f ca="1">IF($A634="","",MAX($G$7:G634))</f>
        <v/>
      </c>
      <c r="I634" s="154" t="str">
        <f t="shared" ca="1" si="128"/>
        <v/>
      </c>
      <c r="J634" s="59" t="str">
        <f t="shared" ca="1" si="129"/>
        <v/>
      </c>
      <c r="K634" s="3"/>
      <c r="L634" t="str">
        <f t="shared" ca="1" si="117"/>
        <v/>
      </c>
      <c r="M634" s="132" t="str">
        <f t="shared" ca="1" si="118"/>
        <v/>
      </c>
      <c r="N634" s="132" t="str">
        <f t="shared" ca="1" si="119"/>
        <v/>
      </c>
      <c r="P634" t="str">
        <f t="shared" ca="1" si="120"/>
        <v/>
      </c>
      <c r="Q634" s="133" t="str">
        <f t="shared" ca="1" si="121"/>
        <v/>
      </c>
      <c r="R634" s="133" t="str">
        <f t="shared" ca="1" si="122"/>
        <v/>
      </c>
      <c r="T634" t="str">
        <f t="shared" ca="1" si="123"/>
        <v/>
      </c>
      <c r="U634" s="134" t="str">
        <f t="shared" ca="1" si="124"/>
        <v/>
      </c>
    </row>
    <row r="635" spans="1:21" x14ac:dyDescent="0.3">
      <c r="A635" s="151" t="str">
        <f ca="1">Returns!$A$633</f>
        <v/>
      </c>
      <c r="B635" s="152" t="str">
        <f ca="1">IF($A635="","",Returns!$J$633)</f>
        <v/>
      </c>
      <c r="C635" s="153" t="str">
        <f t="shared" ca="1" si="125"/>
        <v/>
      </c>
      <c r="D635" s="153" t="str">
        <f ca="1">IF($A635="","",MAX($C$7:C635))</f>
        <v/>
      </c>
      <c r="E635" s="154" t="str">
        <f t="shared" ca="1" si="126"/>
        <v/>
      </c>
      <c r="F635" s="152" t="str">
        <f ca="1">IF($A635="","",Returns!$I$633)</f>
        <v/>
      </c>
      <c r="G635" s="153" t="str">
        <f t="shared" ca="1" si="127"/>
        <v/>
      </c>
      <c r="H635" s="153" t="str">
        <f ca="1">IF($A635="","",MAX($G$7:G635))</f>
        <v/>
      </c>
      <c r="I635" s="154" t="str">
        <f t="shared" ca="1" si="128"/>
        <v/>
      </c>
      <c r="J635" s="59" t="str">
        <f t="shared" ca="1" si="129"/>
        <v/>
      </c>
      <c r="K635" s="3"/>
      <c r="L635" t="str">
        <f t="shared" ca="1" si="117"/>
        <v/>
      </c>
      <c r="M635" s="132" t="str">
        <f t="shared" ca="1" si="118"/>
        <v/>
      </c>
      <c r="N635" s="132" t="str">
        <f t="shared" ca="1" si="119"/>
        <v/>
      </c>
      <c r="P635" t="str">
        <f t="shared" ca="1" si="120"/>
        <v/>
      </c>
      <c r="Q635" s="133" t="str">
        <f t="shared" ca="1" si="121"/>
        <v/>
      </c>
      <c r="R635" s="133" t="str">
        <f t="shared" ca="1" si="122"/>
        <v/>
      </c>
      <c r="T635" t="str">
        <f t="shared" ca="1" si="123"/>
        <v/>
      </c>
      <c r="U635" s="134" t="str">
        <f t="shared" ca="1" si="124"/>
        <v/>
      </c>
    </row>
    <row r="636" spans="1:21" x14ac:dyDescent="0.3">
      <c r="A636" s="151" t="str">
        <f ca="1">Returns!$A$634</f>
        <v/>
      </c>
      <c r="B636" s="152" t="str">
        <f ca="1">IF($A636="","",Returns!$J$634)</f>
        <v/>
      </c>
      <c r="C636" s="153" t="str">
        <f t="shared" ca="1" si="125"/>
        <v/>
      </c>
      <c r="D636" s="153" t="str">
        <f ca="1">IF($A636="","",MAX($C$7:C636))</f>
        <v/>
      </c>
      <c r="E636" s="154" t="str">
        <f t="shared" ca="1" si="126"/>
        <v/>
      </c>
      <c r="F636" s="152" t="str">
        <f ca="1">IF($A636="","",Returns!$I$634)</f>
        <v/>
      </c>
      <c r="G636" s="153" t="str">
        <f t="shared" ca="1" si="127"/>
        <v/>
      </c>
      <c r="H636" s="153" t="str">
        <f ca="1">IF($A636="","",MAX($G$7:G636))</f>
        <v/>
      </c>
      <c r="I636" s="154" t="str">
        <f t="shared" ca="1" si="128"/>
        <v/>
      </c>
      <c r="J636" s="59" t="str">
        <f t="shared" ca="1" si="129"/>
        <v/>
      </c>
      <c r="K636" s="3"/>
      <c r="L636" t="str">
        <f t="shared" ca="1" si="117"/>
        <v/>
      </c>
      <c r="M636" s="132" t="str">
        <f t="shared" ca="1" si="118"/>
        <v/>
      </c>
      <c r="N636" s="132" t="str">
        <f t="shared" ca="1" si="119"/>
        <v/>
      </c>
      <c r="P636" t="str">
        <f t="shared" ca="1" si="120"/>
        <v/>
      </c>
      <c r="Q636" s="133" t="str">
        <f t="shared" ca="1" si="121"/>
        <v/>
      </c>
      <c r="R636" s="133" t="str">
        <f t="shared" ca="1" si="122"/>
        <v/>
      </c>
      <c r="T636" t="str">
        <f t="shared" ca="1" si="123"/>
        <v/>
      </c>
      <c r="U636" s="134" t="str">
        <f t="shared" ca="1" si="124"/>
        <v/>
      </c>
    </row>
    <row r="637" spans="1:21" x14ac:dyDescent="0.3">
      <c r="A637" s="151" t="str">
        <f ca="1">Returns!$A$635</f>
        <v/>
      </c>
      <c r="B637" s="152" t="str">
        <f ca="1">IF($A637="","",Returns!$J$635)</f>
        <v/>
      </c>
      <c r="C637" s="153" t="str">
        <f t="shared" ca="1" si="125"/>
        <v/>
      </c>
      <c r="D637" s="153" t="str">
        <f ca="1">IF($A637="","",MAX($C$7:C637))</f>
        <v/>
      </c>
      <c r="E637" s="154" t="str">
        <f t="shared" ca="1" si="126"/>
        <v/>
      </c>
      <c r="F637" s="152" t="str">
        <f ca="1">IF($A637="","",Returns!$I$635)</f>
        <v/>
      </c>
      <c r="G637" s="153" t="str">
        <f t="shared" ca="1" si="127"/>
        <v/>
      </c>
      <c r="H637" s="153" t="str">
        <f ca="1">IF($A637="","",MAX($G$7:G637))</f>
        <v/>
      </c>
      <c r="I637" s="154" t="str">
        <f t="shared" ca="1" si="128"/>
        <v/>
      </c>
      <c r="J637" s="59" t="str">
        <f t="shared" ca="1" si="129"/>
        <v/>
      </c>
      <c r="K637" s="3"/>
      <c r="L637" t="str">
        <f t="shared" ca="1" si="117"/>
        <v/>
      </c>
      <c r="M637" s="132" t="str">
        <f t="shared" ca="1" si="118"/>
        <v/>
      </c>
      <c r="N637" s="132" t="str">
        <f t="shared" ca="1" si="119"/>
        <v/>
      </c>
      <c r="P637" t="str">
        <f t="shared" ca="1" si="120"/>
        <v/>
      </c>
      <c r="Q637" s="133" t="str">
        <f t="shared" ca="1" si="121"/>
        <v/>
      </c>
      <c r="R637" s="133" t="str">
        <f t="shared" ca="1" si="122"/>
        <v/>
      </c>
      <c r="T637" t="str">
        <f t="shared" ca="1" si="123"/>
        <v/>
      </c>
      <c r="U637" s="134" t="str">
        <f t="shared" ca="1" si="124"/>
        <v/>
      </c>
    </row>
    <row r="638" spans="1:21" x14ac:dyDescent="0.3">
      <c r="A638" s="151" t="str">
        <f ca="1">Returns!$A$636</f>
        <v/>
      </c>
      <c r="B638" s="152" t="str">
        <f ca="1">IF($A638="","",Returns!$J$636)</f>
        <v/>
      </c>
      <c r="C638" s="153" t="str">
        <f t="shared" ca="1" si="125"/>
        <v/>
      </c>
      <c r="D638" s="153" t="str">
        <f ca="1">IF($A638="","",MAX($C$7:C638))</f>
        <v/>
      </c>
      <c r="E638" s="154" t="str">
        <f t="shared" ca="1" si="126"/>
        <v/>
      </c>
      <c r="F638" s="152" t="str">
        <f ca="1">IF($A638="","",Returns!$I$636)</f>
        <v/>
      </c>
      <c r="G638" s="153" t="str">
        <f t="shared" ca="1" si="127"/>
        <v/>
      </c>
      <c r="H638" s="153" t="str">
        <f ca="1">IF($A638="","",MAX($G$7:G638))</f>
        <v/>
      </c>
      <c r="I638" s="154" t="str">
        <f t="shared" ca="1" si="128"/>
        <v/>
      </c>
      <c r="J638" s="59" t="str">
        <f t="shared" ca="1" si="129"/>
        <v/>
      </c>
      <c r="K638" s="3"/>
      <c r="L638" t="str">
        <f t="shared" ca="1" si="117"/>
        <v/>
      </c>
      <c r="M638" s="132" t="str">
        <f t="shared" ca="1" si="118"/>
        <v/>
      </c>
      <c r="N638" s="132" t="str">
        <f t="shared" ca="1" si="119"/>
        <v/>
      </c>
      <c r="P638" t="str">
        <f t="shared" ca="1" si="120"/>
        <v/>
      </c>
      <c r="Q638" s="133" t="str">
        <f t="shared" ca="1" si="121"/>
        <v/>
      </c>
      <c r="R638" s="133" t="str">
        <f t="shared" ca="1" si="122"/>
        <v/>
      </c>
      <c r="T638" t="str">
        <f t="shared" ca="1" si="123"/>
        <v/>
      </c>
      <c r="U638" s="134" t="str">
        <f t="shared" ca="1" si="124"/>
        <v/>
      </c>
    </row>
    <row r="639" spans="1:21" x14ac:dyDescent="0.3">
      <c r="A639" s="151" t="str">
        <f ca="1">Returns!$A$637</f>
        <v/>
      </c>
      <c r="B639" s="152" t="str">
        <f ca="1">IF($A639="","",Returns!$J$637)</f>
        <v/>
      </c>
      <c r="C639" s="153" t="str">
        <f t="shared" ca="1" si="125"/>
        <v/>
      </c>
      <c r="D639" s="153" t="str">
        <f ca="1">IF($A639="","",MAX($C$7:C639))</f>
        <v/>
      </c>
      <c r="E639" s="154" t="str">
        <f t="shared" ca="1" si="126"/>
        <v/>
      </c>
      <c r="F639" s="152" t="str">
        <f ca="1">IF($A639="","",Returns!$I$637)</f>
        <v/>
      </c>
      <c r="G639" s="153" t="str">
        <f t="shared" ca="1" si="127"/>
        <v/>
      </c>
      <c r="H639" s="153" t="str">
        <f ca="1">IF($A639="","",MAX($G$7:G639))</f>
        <v/>
      </c>
      <c r="I639" s="154" t="str">
        <f t="shared" ca="1" si="128"/>
        <v/>
      </c>
      <c r="J639" s="59" t="str">
        <f t="shared" ca="1" si="129"/>
        <v/>
      </c>
      <c r="K639" s="3"/>
      <c r="L639" t="str">
        <f t="shared" ca="1" si="117"/>
        <v/>
      </c>
      <c r="M639" s="132" t="str">
        <f t="shared" ca="1" si="118"/>
        <v/>
      </c>
      <c r="N639" s="132" t="str">
        <f t="shared" ca="1" si="119"/>
        <v/>
      </c>
      <c r="P639" t="str">
        <f t="shared" ca="1" si="120"/>
        <v/>
      </c>
      <c r="Q639" s="133" t="str">
        <f t="shared" ca="1" si="121"/>
        <v/>
      </c>
      <c r="R639" s="133" t="str">
        <f t="shared" ca="1" si="122"/>
        <v/>
      </c>
      <c r="T639" t="str">
        <f t="shared" ca="1" si="123"/>
        <v/>
      </c>
      <c r="U639" s="134" t="str">
        <f t="shared" ca="1" si="124"/>
        <v/>
      </c>
    </row>
    <row r="640" spans="1:21" x14ac:dyDescent="0.3">
      <c r="A640" s="151" t="str">
        <f ca="1">Returns!$A$638</f>
        <v/>
      </c>
      <c r="B640" s="152" t="str">
        <f ca="1">IF($A640="","",Returns!$J$638)</f>
        <v/>
      </c>
      <c r="C640" s="153" t="str">
        <f t="shared" ca="1" si="125"/>
        <v/>
      </c>
      <c r="D640" s="153" t="str">
        <f ca="1">IF($A640="","",MAX($C$7:C640))</f>
        <v/>
      </c>
      <c r="E640" s="154" t="str">
        <f t="shared" ca="1" si="126"/>
        <v/>
      </c>
      <c r="F640" s="152" t="str">
        <f ca="1">IF($A640="","",Returns!$I$638)</f>
        <v/>
      </c>
      <c r="G640" s="153" t="str">
        <f t="shared" ca="1" si="127"/>
        <v/>
      </c>
      <c r="H640" s="153" t="str">
        <f ca="1">IF($A640="","",MAX($G$7:G640))</f>
        <v/>
      </c>
      <c r="I640" s="154" t="str">
        <f t="shared" ca="1" si="128"/>
        <v/>
      </c>
      <c r="J640" s="59" t="str">
        <f t="shared" ca="1" si="129"/>
        <v/>
      </c>
      <c r="K640" s="3"/>
      <c r="L640" t="str">
        <f t="shared" ca="1" si="117"/>
        <v/>
      </c>
      <c r="M640" s="132" t="str">
        <f t="shared" ca="1" si="118"/>
        <v/>
      </c>
      <c r="N640" s="132" t="str">
        <f t="shared" ca="1" si="119"/>
        <v/>
      </c>
      <c r="P640" t="str">
        <f t="shared" ca="1" si="120"/>
        <v/>
      </c>
      <c r="Q640" s="133" t="str">
        <f t="shared" ca="1" si="121"/>
        <v/>
      </c>
      <c r="R640" s="133" t="str">
        <f t="shared" ca="1" si="122"/>
        <v/>
      </c>
      <c r="T640" t="str">
        <f t="shared" ca="1" si="123"/>
        <v/>
      </c>
      <c r="U640" s="134" t="str">
        <f t="shared" ca="1" si="124"/>
        <v/>
      </c>
    </row>
    <row r="641" spans="1:21" x14ac:dyDescent="0.3">
      <c r="A641" s="151" t="str">
        <f ca="1">Returns!$A$639</f>
        <v/>
      </c>
      <c r="B641" s="152" t="str">
        <f ca="1">IF($A641="","",Returns!$J$639)</f>
        <v/>
      </c>
      <c r="C641" s="153" t="str">
        <f t="shared" ca="1" si="125"/>
        <v/>
      </c>
      <c r="D641" s="153" t="str">
        <f ca="1">IF($A641="","",MAX($C$7:C641))</f>
        <v/>
      </c>
      <c r="E641" s="154" t="str">
        <f t="shared" ca="1" si="126"/>
        <v/>
      </c>
      <c r="F641" s="152" t="str">
        <f ca="1">IF($A641="","",Returns!$I$639)</f>
        <v/>
      </c>
      <c r="G641" s="153" t="str">
        <f t="shared" ca="1" si="127"/>
        <v/>
      </c>
      <c r="H641" s="153" t="str">
        <f ca="1">IF($A641="","",MAX($G$7:G641))</f>
        <v/>
      </c>
      <c r="I641" s="154" t="str">
        <f t="shared" ca="1" si="128"/>
        <v/>
      </c>
      <c r="J641" s="59" t="str">
        <f t="shared" ca="1" si="129"/>
        <v/>
      </c>
      <c r="K641" s="3"/>
      <c r="L641" t="str">
        <f t="shared" ca="1" si="117"/>
        <v/>
      </c>
      <c r="M641" s="132" t="str">
        <f t="shared" ca="1" si="118"/>
        <v/>
      </c>
      <c r="N641" s="132" t="str">
        <f t="shared" ca="1" si="119"/>
        <v/>
      </c>
      <c r="P641" t="str">
        <f t="shared" ca="1" si="120"/>
        <v/>
      </c>
      <c r="Q641" s="133" t="str">
        <f t="shared" ca="1" si="121"/>
        <v/>
      </c>
      <c r="R641" s="133" t="str">
        <f t="shared" ca="1" si="122"/>
        <v/>
      </c>
      <c r="T641" t="str">
        <f t="shared" ca="1" si="123"/>
        <v/>
      </c>
      <c r="U641" s="134" t="str">
        <f t="shared" ca="1" si="124"/>
        <v/>
      </c>
    </row>
    <row r="642" spans="1:21" x14ac:dyDescent="0.3">
      <c r="A642" s="151" t="str">
        <f ca="1">Returns!$A$640</f>
        <v/>
      </c>
      <c r="B642" s="152" t="str">
        <f ca="1">IF($A642="","",Returns!$J$640)</f>
        <v/>
      </c>
      <c r="C642" s="153" t="str">
        <f t="shared" ca="1" si="125"/>
        <v/>
      </c>
      <c r="D642" s="153" t="str">
        <f ca="1">IF($A642="","",MAX($C$7:C642))</f>
        <v/>
      </c>
      <c r="E642" s="154" t="str">
        <f t="shared" ca="1" si="126"/>
        <v/>
      </c>
      <c r="F642" s="152" t="str">
        <f ca="1">IF($A642="","",Returns!$I$640)</f>
        <v/>
      </c>
      <c r="G642" s="153" t="str">
        <f t="shared" ca="1" si="127"/>
        <v/>
      </c>
      <c r="H642" s="153" t="str">
        <f ca="1">IF($A642="","",MAX($G$7:G642))</f>
        <v/>
      </c>
      <c r="I642" s="154" t="str">
        <f t="shared" ca="1" si="128"/>
        <v/>
      </c>
      <c r="J642" s="59" t="str">
        <f t="shared" ca="1" si="129"/>
        <v/>
      </c>
      <c r="K642" s="3"/>
      <c r="L642" t="str">
        <f t="shared" ca="1" si="117"/>
        <v/>
      </c>
      <c r="M642" s="132" t="str">
        <f t="shared" ca="1" si="118"/>
        <v/>
      </c>
      <c r="N642" s="132" t="str">
        <f t="shared" ca="1" si="119"/>
        <v/>
      </c>
      <c r="P642" t="str">
        <f t="shared" ca="1" si="120"/>
        <v/>
      </c>
      <c r="Q642" s="133" t="str">
        <f t="shared" ca="1" si="121"/>
        <v/>
      </c>
      <c r="R642" s="133" t="str">
        <f t="shared" ca="1" si="122"/>
        <v/>
      </c>
      <c r="T642" t="str">
        <f t="shared" ca="1" si="123"/>
        <v/>
      </c>
      <c r="U642" s="134" t="str">
        <f t="shared" ca="1" si="124"/>
        <v/>
      </c>
    </row>
    <row r="643" spans="1:21" x14ac:dyDescent="0.3">
      <c r="A643" s="151" t="str">
        <f ca="1">Returns!$A$641</f>
        <v/>
      </c>
      <c r="B643" s="152" t="str">
        <f ca="1">IF($A643="","",Returns!$J$641)</f>
        <v/>
      </c>
      <c r="C643" s="153" t="str">
        <f t="shared" ca="1" si="125"/>
        <v/>
      </c>
      <c r="D643" s="153" t="str">
        <f ca="1">IF($A643="","",MAX($C$7:C643))</f>
        <v/>
      </c>
      <c r="E643" s="154" t="str">
        <f t="shared" ca="1" si="126"/>
        <v/>
      </c>
      <c r="F643" s="152" t="str">
        <f ca="1">IF($A643="","",Returns!$I$641)</f>
        <v/>
      </c>
      <c r="G643" s="153" t="str">
        <f t="shared" ca="1" si="127"/>
        <v/>
      </c>
      <c r="H643" s="153" t="str">
        <f ca="1">IF($A643="","",MAX($G$7:G643))</f>
        <v/>
      </c>
      <c r="I643" s="154" t="str">
        <f t="shared" ca="1" si="128"/>
        <v/>
      </c>
      <c r="J643" s="59" t="str">
        <f t="shared" ca="1" si="129"/>
        <v/>
      </c>
      <c r="K643" s="3"/>
      <c r="L643" t="str">
        <f t="shared" ca="1" si="117"/>
        <v/>
      </c>
      <c r="M643" s="132" t="str">
        <f t="shared" ca="1" si="118"/>
        <v/>
      </c>
      <c r="N643" s="132" t="str">
        <f t="shared" ca="1" si="119"/>
        <v/>
      </c>
      <c r="P643" t="str">
        <f t="shared" ca="1" si="120"/>
        <v/>
      </c>
      <c r="Q643" s="133" t="str">
        <f t="shared" ca="1" si="121"/>
        <v/>
      </c>
      <c r="R643" s="133" t="str">
        <f t="shared" ca="1" si="122"/>
        <v/>
      </c>
      <c r="T643" t="str">
        <f t="shared" ca="1" si="123"/>
        <v/>
      </c>
      <c r="U643" s="134" t="str">
        <f t="shared" ca="1" si="124"/>
        <v/>
      </c>
    </row>
    <row r="644" spans="1:21" x14ac:dyDescent="0.3">
      <c r="A644" s="151" t="str">
        <f ca="1">Returns!$A$642</f>
        <v/>
      </c>
      <c r="B644" s="152" t="str">
        <f ca="1">IF($A644="","",Returns!$J$642)</f>
        <v/>
      </c>
      <c r="C644" s="153" t="str">
        <f t="shared" ca="1" si="125"/>
        <v/>
      </c>
      <c r="D644" s="153" t="str">
        <f ca="1">IF($A644="","",MAX($C$7:C644))</f>
        <v/>
      </c>
      <c r="E644" s="154" t="str">
        <f t="shared" ca="1" si="126"/>
        <v/>
      </c>
      <c r="F644" s="152" t="str">
        <f ca="1">IF($A644="","",Returns!$I$642)</f>
        <v/>
      </c>
      <c r="G644" s="153" t="str">
        <f t="shared" ca="1" si="127"/>
        <v/>
      </c>
      <c r="H644" s="153" t="str">
        <f ca="1">IF($A644="","",MAX($G$7:G644))</f>
        <v/>
      </c>
      <c r="I644" s="154" t="str">
        <f t="shared" ca="1" si="128"/>
        <v/>
      </c>
      <c r="J644" s="59" t="str">
        <f t="shared" ca="1" si="129"/>
        <v/>
      </c>
      <c r="K644" s="3"/>
      <c r="L644" t="str">
        <f t="shared" ca="1" si="117"/>
        <v/>
      </c>
      <c r="M644" s="132" t="str">
        <f t="shared" ca="1" si="118"/>
        <v/>
      </c>
      <c r="N644" s="132" t="str">
        <f t="shared" ca="1" si="119"/>
        <v/>
      </c>
      <c r="P644" t="str">
        <f t="shared" ca="1" si="120"/>
        <v/>
      </c>
      <c r="Q644" s="133" t="str">
        <f t="shared" ca="1" si="121"/>
        <v/>
      </c>
      <c r="R644" s="133" t="str">
        <f t="shared" ca="1" si="122"/>
        <v/>
      </c>
      <c r="T644" t="str">
        <f t="shared" ca="1" si="123"/>
        <v/>
      </c>
      <c r="U644" s="134" t="str">
        <f t="shared" ca="1" si="124"/>
        <v/>
      </c>
    </row>
    <row r="645" spans="1:21" x14ac:dyDescent="0.3">
      <c r="A645" s="151" t="str">
        <f ca="1">Returns!$A$643</f>
        <v/>
      </c>
      <c r="B645" s="152" t="str">
        <f ca="1">IF($A645="","",Returns!$J$643)</f>
        <v/>
      </c>
      <c r="C645" s="153" t="str">
        <f t="shared" ca="1" si="125"/>
        <v/>
      </c>
      <c r="D645" s="153" t="str">
        <f ca="1">IF($A645="","",MAX($C$7:C645))</f>
        <v/>
      </c>
      <c r="E645" s="154" t="str">
        <f t="shared" ca="1" si="126"/>
        <v/>
      </c>
      <c r="F645" s="152" t="str">
        <f ca="1">IF($A645="","",Returns!$I$643)</f>
        <v/>
      </c>
      <c r="G645" s="153" t="str">
        <f t="shared" ca="1" si="127"/>
        <v/>
      </c>
      <c r="H645" s="153" t="str">
        <f ca="1">IF($A645="","",MAX($G$7:G645))</f>
        <v/>
      </c>
      <c r="I645" s="154" t="str">
        <f t="shared" ca="1" si="128"/>
        <v/>
      </c>
      <c r="J645" s="59" t="str">
        <f t="shared" ca="1" si="129"/>
        <v/>
      </c>
      <c r="K645" s="3"/>
      <c r="L645" t="str">
        <f t="shared" ca="1" si="117"/>
        <v/>
      </c>
      <c r="M645" s="132" t="str">
        <f t="shared" ca="1" si="118"/>
        <v/>
      </c>
      <c r="N645" s="132" t="str">
        <f t="shared" ca="1" si="119"/>
        <v/>
      </c>
      <c r="P645" t="str">
        <f t="shared" ca="1" si="120"/>
        <v/>
      </c>
      <c r="Q645" s="133" t="str">
        <f t="shared" ca="1" si="121"/>
        <v/>
      </c>
      <c r="R645" s="133" t="str">
        <f t="shared" ca="1" si="122"/>
        <v/>
      </c>
      <c r="T645" t="str">
        <f t="shared" ca="1" si="123"/>
        <v/>
      </c>
      <c r="U645" s="134" t="str">
        <f t="shared" ca="1" si="124"/>
        <v/>
      </c>
    </row>
    <row r="646" spans="1:21" x14ac:dyDescent="0.3">
      <c r="A646" s="151" t="str">
        <f ca="1">Returns!$A$644</f>
        <v/>
      </c>
      <c r="B646" s="152" t="str">
        <f ca="1">IF($A646="","",Returns!$J$644)</f>
        <v/>
      </c>
      <c r="C646" s="153" t="str">
        <f t="shared" ca="1" si="125"/>
        <v/>
      </c>
      <c r="D646" s="153" t="str">
        <f ca="1">IF($A646="","",MAX($C$7:C646))</f>
        <v/>
      </c>
      <c r="E646" s="154" t="str">
        <f t="shared" ca="1" si="126"/>
        <v/>
      </c>
      <c r="F646" s="152" t="str">
        <f ca="1">IF($A646="","",Returns!$I$644)</f>
        <v/>
      </c>
      <c r="G646" s="153" t="str">
        <f t="shared" ca="1" si="127"/>
        <v/>
      </c>
      <c r="H646" s="153" t="str">
        <f ca="1">IF($A646="","",MAX($G$7:G646))</f>
        <v/>
      </c>
      <c r="I646" s="154" t="str">
        <f t="shared" ca="1" si="128"/>
        <v/>
      </c>
      <c r="J646" s="59" t="str">
        <f t="shared" ca="1" si="129"/>
        <v/>
      </c>
      <c r="K646" s="3"/>
      <c r="L646" t="str">
        <f t="shared" ca="1" si="117"/>
        <v/>
      </c>
      <c r="M646" s="132" t="str">
        <f t="shared" ca="1" si="118"/>
        <v/>
      </c>
      <c r="N646" s="132" t="str">
        <f t="shared" ca="1" si="119"/>
        <v/>
      </c>
      <c r="P646" t="str">
        <f t="shared" ca="1" si="120"/>
        <v/>
      </c>
      <c r="Q646" s="133" t="str">
        <f t="shared" ca="1" si="121"/>
        <v/>
      </c>
      <c r="R646" s="133" t="str">
        <f t="shared" ca="1" si="122"/>
        <v/>
      </c>
      <c r="T646" t="str">
        <f t="shared" ca="1" si="123"/>
        <v/>
      </c>
      <c r="U646" s="134" t="str">
        <f t="shared" ca="1" si="124"/>
        <v/>
      </c>
    </row>
    <row r="647" spans="1:21" x14ac:dyDescent="0.3">
      <c r="A647" s="151" t="str">
        <f ca="1">Returns!$A$645</f>
        <v/>
      </c>
      <c r="B647" s="152" t="str">
        <f ca="1">IF($A647="","",Returns!$J$645)</f>
        <v/>
      </c>
      <c r="C647" s="153" t="str">
        <f t="shared" ca="1" si="125"/>
        <v/>
      </c>
      <c r="D647" s="153" t="str">
        <f ca="1">IF($A647="","",MAX($C$7:C647))</f>
        <v/>
      </c>
      <c r="E647" s="154" t="str">
        <f t="shared" ca="1" si="126"/>
        <v/>
      </c>
      <c r="F647" s="152" t="str">
        <f ca="1">IF($A647="","",Returns!$I$645)</f>
        <v/>
      </c>
      <c r="G647" s="153" t="str">
        <f t="shared" ca="1" si="127"/>
        <v/>
      </c>
      <c r="H647" s="153" t="str">
        <f ca="1">IF($A647="","",MAX($G$7:G647))</f>
        <v/>
      </c>
      <c r="I647" s="154" t="str">
        <f t="shared" ca="1" si="128"/>
        <v/>
      </c>
      <c r="J647" s="59" t="str">
        <f t="shared" ca="1" si="129"/>
        <v/>
      </c>
      <c r="K647" s="3"/>
      <c r="L647" t="str">
        <f t="shared" ref="L647:L710" ca="1" si="130">$J647</f>
        <v/>
      </c>
      <c r="M647" s="132" t="str">
        <f t="shared" ref="M647:M710" ca="1" si="131">$C647</f>
        <v/>
      </c>
      <c r="N647" s="132" t="str">
        <f t="shared" ref="N647:N710" ca="1" si="132">$G647</f>
        <v/>
      </c>
      <c r="P647" t="str">
        <f t="shared" ref="P647:P710" ca="1" si="133">$J647</f>
        <v/>
      </c>
      <c r="Q647" s="133" t="str">
        <f t="shared" ref="Q647:Q710" ca="1" si="134">$E647</f>
        <v/>
      </c>
      <c r="R647" s="133" t="str">
        <f t="shared" ref="R647:R710" ca="1" si="135">$I647</f>
        <v/>
      </c>
      <c r="T647" t="str">
        <f t="shared" ref="T647:T710" ca="1" si="136">$J647</f>
        <v/>
      </c>
      <c r="U647" s="134" t="str">
        <f t="shared" ref="U647:U710" ca="1" si="137">IF($A647="","",NotionalValue*$C647/IndexBase)</f>
        <v/>
      </c>
    </row>
    <row r="648" spans="1:21" x14ac:dyDescent="0.3">
      <c r="A648" s="151" t="str">
        <f ca="1">Returns!$A$646</f>
        <v/>
      </c>
      <c r="B648" s="152" t="str">
        <f ca="1">IF($A648="","",Returns!$J$646)</f>
        <v/>
      </c>
      <c r="C648" s="153" t="str">
        <f t="shared" ref="C648:C711" ca="1" si="138">IF($A648="","",C647*(1+$B648))</f>
        <v/>
      </c>
      <c r="D648" s="153" t="str">
        <f ca="1">IF($A648="","",MAX($C$7:C648))</f>
        <v/>
      </c>
      <c r="E648" s="154" t="str">
        <f t="shared" ref="E648:E711" ca="1" si="139">IF($A648="","",$C648/$D648-1)</f>
        <v/>
      </c>
      <c r="F648" s="152" t="str">
        <f ca="1">IF($A648="","",Returns!$I$646)</f>
        <v/>
      </c>
      <c r="G648" s="153" t="str">
        <f t="shared" ref="G648:G711" ca="1" si="140">IF($A648="","",G647*(1+$F648))</f>
        <v/>
      </c>
      <c r="H648" s="153" t="str">
        <f ca="1">IF($A648="","",MAX($G$7:G648))</f>
        <v/>
      </c>
      <c r="I648" s="154" t="str">
        <f t="shared" ref="I648:I711" ca="1" si="141">IF($A648="","",$G648/$H648-1)</f>
        <v/>
      </c>
      <c r="J648" s="59" t="str">
        <f t="shared" ref="J648:J711" ca="1" si="142">IF($A648="","",TEXT($A648,"mmm-yy"))</f>
        <v/>
      </c>
      <c r="K648" s="3"/>
      <c r="L648" t="str">
        <f t="shared" ca="1" si="130"/>
        <v/>
      </c>
      <c r="M648" s="132" t="str">
        <f t="shared" ca="1" si="131"/>
        <v/>
      </c>
      <c r="N648" s="132" t="str">
        <f t="shared" ca="1" si="132"/>
        <v/>
      </c>
      <c r="P648" t="str">
        <f t="shared" ca="1" si="133"/>
        <v/>
      </c>
      <c r="Q648" s="133" t="str">
        <f t="shared" ca="1" si="134"/>
        <v/>
      </c>
      <c r="R648" s="133" t="str">
        <f t="shared" ca="1" si="135"/>
        <v/>
      </c>
      <c r="T648" t="str">
        <f t="shared" ca="1" si="136"/>
        <v/>
      </c>
      <c r="U648" s="134" t="str">
        <f t="shared" ca="1" si="137"/>
        <v/>
      </c>
    </row>
    <row r="649" spans="1:21" x14ac:dyDescent="0.3">
      <c r="A649" s="151" t="str">
        <f ca="1">Returns!$A$647</f>
        <v/>
      </c>
      <c r="B649" s="152" t="str">
        <f ca="1">IF($A649="","",Returns!$J$647)</f>
        <v/>
      </c>
      <c r="C649" s="153" t="str">
        <f t="shared" ca="1" si="138"/>
        <v/>
      </c>
      <c r="D649" s="153" t="str">
        <f ca="1">IF($A649="","",MAX($C$7:C649))</f>
        <v/>
      </c>
      <c r="E649" s="154" t="str">
        <f t="shared" ca="1" si="139"/>
        <v/>
      </c>
      <c r="F649" s="152" t="str">
        <f ca="1">IF($A649="","",Returns!$I$647)</f>
        <v/>
      </c>
      <c r="G649" s="153" t="str">
        <f t="shared" ca="1" si="140"/>
        <v/>
      </c>
      <c r="H649" s="153" t="str">
        <f ca="1">IF($A649="","",MAX($G$7:G649))</f>
        <v/>
      </c>
      <c r="I649" s="154" t="str">
        <f t="shared" ca="1" si="141"/>
        <v/>
      </c>
      <c r="J649" s="59" t="str">
        <f t="shared" ca="1" si="142"/>
        <v/>
      </c>
      <c r="K649" s="3"/>
      <c r="L649" t="str">
        <f t="shared" ca="1" si="130"/>
        <v/>
      </c>
      <c r="M649" s="132" t="str">
        <f t="shared" ca="1" si="131"/>
        <v/>
      </c>
      <c r="N649" s="132" t="str">
        <f t="shared" ca="1" si="132"/>
        <v/>
      </c>
      <c r="P649" t="str">
        <f t="shared" ca="1" si="133"/>
        <v/>
      </c>
      <c r="Q649" s="133" t="str">
        <f t="shared" ca="1" si="134"/>
        <v/>
      </c>
      <c r="R649" s="133" t="str">
        <f t="shared" ca="1" si="135"/>
        <v/>
      </c>
      <c r="T649" t="str">
        <f t="shared" ca="1" si="136"/>
        <v/>
      </c>
      <c r="U649" s="134" t="str">
        <f t="shared" ca="1" si="137"/>
        <v/>
      </c>
    </row>
    <row r="650" spans="1:21" x14ac:dyDescent="0.3">
      <c r="A650" s="151" t="str">
        <f ca="1">Returns!$A$648</f>
        <v/>
      </c>
      <c r="B650" s="152" t="str">
        <f ca="1">IF($A650="","",Returns!$J$648)</f>
        <v/>
      </c>
      <c r="C650" s="153" t="str">
        <f t="shared" ca="1" si="138"/>
        <v/>
      </c>
      <c r="D650" s="153" t="str">
        <f ca="1">IF($A650="","",MAX($C$7:C650))</f>
        <v/>
      </c>
      <c r="E650" s="154" t="str">
        <f t="shared" ca="1" si="139"/>
        <v/>
      </c>
      <c r="F650" s="152" t="str">
        <f ca="1">IF($A650="","",Returns!$I$648)</f>
        <v/>
      </c>
      <c r="G650" s="153" t="str">
        <f t="shared" ca="1" si="140"/>
        <v/>
      </c>
      <c r="H650" s="153" t="str">
        <f ca="1">IF($A650="","",MAX($G$7:G650))</f>
        <v/>
      </c>
      <c r="I650" s="154" t="str">
        <f t="shared" ca="1" si="141"/>
        <v/>
      </c>
      <c r="J650" s="59" t="str">
        <f t="shared" ca="1" si="142"/>
        <v/>
      </c>
      <c r="K650" s="3"/>
      <c r="L650" t="str">
        <f t="shared" ca="1" si="130"/>
        <v/>
      </c>
      <c r="M650" s="132" t="str">
        <f t="shared" ca="1" si="131"/>
        <v/>
      </c>
      <c r="N650" s="132" t="str">
        <f t="shared" ca="1" si="132"/>
        <v/>
      </c>
      <c r="P650" t="str">
        <f t="shared" ca="1" si="133"/>
        <v/>
      </c>
      <c r="Q650" s="133" t="str">
        <f t="shared" ca="1" si="134"/>
        <v/>
      </c>
      <c r="R650" s="133" t="str">
        <f t="shared" ca="1" si="135"/>
        <v/>
      </c>
      <c r="T650" t="str">
        <f t="shared" ca="1" si="136"/>
        <v/>
      </c>
      <c r="U650" s="134" t="str">
        <f t="shared" ca="1" si="137"/>
        <v/>
      </c>
    </row>
    <row r="651" spans="1:21" x14ac:dyDescent="0.3">
      <c r="A651" s="151" t="str">
        <f ca="1">Returns!$A$649</f>
        <v/>
      </c>
      <c r="B651" s="152" t="str">
        <f ca="1">IF($A651="","",Returns!$J$649)</f>
        <v/>
      </c>
      <c r="C651" s="153" t="str">
        <f t="shared" ca="1" si="138"/>
        <v/>
      </c>
      <c r="D651" s="153" t="str">
        <f ca="1">IF($A651="","",MAX($C$7:C651))</f>
        <v/>
      </c>
      <c r="E651" s="154" t="str">
        <f t="shared" ca="1" si="139"/>
        <v/>
      </c>
      <c r="F651" s="152" t="str">
        <f ca="1">IF($A651="","",Returns!$I$649)</f>
        <v/>
      </c>
      <c r="G651" s="153" t="str">
        <f t="shared" ca="1" si="140"/>
        <v/>
      </c>
      <c r="H651" s="153" t="str">
        <f ca="1">IF($A651="","",MAX($G$7:G651))</f>
        <v/>
      </c>
      <c r="I651" s="154" t="str">
        <f t="shared" ca="1" si="141"/>
        <v/>
      </c>
      <c r="J651" s="59" t="str">
        <f t="shared" ca="1" si="142"/>
        <v/>
      </c>
      <c r="K651" s="3"/>
      <c r="L651" t="str">
        <f t="shared" ca="1" si="130"/>
        <v/>
      </c>
      <c r="M651" s="132" t="str">
        <f t="shared" ca="1" si="131"/>
        <v/>
      </c>
      <c r="N651" s="132" t="str">
        <f t="shared" ca="1" si="132"/>
        <v/>
      </c>
      <c r="P651" t="str">
        <f t="shared" ca="1" si="133"/>
        <v/>
      </c>
      <c r="Q651" s="133" t="str">
        <f t="shared" ca="1" si="134"/>
        <v/>
      </c>
      <c r="R651" s="133" t="str">
        <f t="shared" ca="1" si="135"/>
        <v/>
      </c>
      <c r="T651" t="str">
        <f t="shared" ca="1" si="136"/>
        <v/>
      </c>
      <c r="U651" s="134" t="str">
        <f t="shared" ca="1" si="137"/>
        <v/>
      </c>
    </row>
    <row r="652" spans="1:21" x14ac:dyDescent="0.3">
      <c r="A652" s="151" t="str">
        <f ca="1">Returns!$A$650</f>
        <v/>
      </c>
      <c r="B652" s="152" t="str">
        <f ca="1">IF($A652="","",Returns!$J$650)</f>
        <v/>
      </c>
      <c r="C652" s="153" t="str">
        <f t="shared" ca="1" si="138"/>
        <v/>
      </c>
      <c r="D652" s="153" t="str">
        <f ca="1">IF($A652="","",MAX($C$7:C652))</f>
        <v/>
      </c>
      <c r="E652" s="154" t="str">
        <f t="shared" ca="1" si="139"/>
        <v/>
      </c>
      <c r="F652" s="152" t="str">
        <f ca="1">IF($A652="","",Returns!$I$650)</f>
        <v/>
      </c>
      <c r="G652" s="153" t="str">
        <f t="shared" ca="1" si="140"/>
        <v/>
      </c>
      <c r="H652" s="153" t="str">
        <f ca="1">IF($A652="","",MAX($G$7:G652))</f>
        <v/>
      </c>
      <c r="I652" s="154" t="str">
        <f t="shared" ca="1" si="141"/>
        <v/>
      </c>
      <c r="J652" s="59" t="str">
        <f t="shared" ca="1" si="142"/>
        <v/>
      </c>
      <c r="K652" s="3"/>
      <c r="L652" t="str">
        <f t="shared" ca="1" si="130"/>
        <v/>
      </c>
      <c r="M652" s="132" t="str">
        <f t="shared" ca="1" si="131"/>
        <v/>
      </c>
      <c r="N652" s="132" t="str">
        <f t="shared" ca="1" si="132"/>
        <v/>
      </c>
      <c r="P652" t="str">
        <f t="shared" ca="1" si="133"/>
        <v/>
      </c>
      <c r="Q652" s="133" t="str">
        <f t="shared" ca="1" si="134"/>
        <v/>
      </c>
      <c r="R652" s="133" t="str">
        <f t="shared" ca="1" si="135"/>
        <v/>
      </c>
      <c r="T652" t="str">
        <f t="shared" ca="1" si="136"/>
        <v/>
      </c>
      <c r="U652" s="134" t="str">
        <f t="shared" ca="1" si="137"/>
        <v/>
      </c>
    </row>
    <row r="653" spans="1:21" x14ac:dyDescent="0.3">
      <c r="A653" s="151" t="str">
        <f ca="1">Returns!$A$651</f>
        <v/>
      </c>
      <c r="B653" s="152" t="str">
        <f ca="1">IF($A653="","",Returns!$J$651)</f>
        <v/>
      </c>
      <c r="C653" s="153" t="str">
        <f t="shared" ca="1" si="138"/>
        <v/>
      </c>
      <c r="D653" s="153" t="str">
        <f ca="1">IF($A653="","",MAX($C$7:C653))</f>
        <v/>
      </c>
      <c r="E653" s="154" t="str">
        <f t="shared" ca="1" si="139"/>
        <v/>
      </c>
      <c r="F653" s="152" t="str">
        <f ca="1">IF($A653="","",Returns!$I$651)</f>
        <v/>
      </c>
      <c r="G653" s="153" t="str">
        <f t="shared" ca="1" si="140"/>
        <v/>
      </c>
      <c r="H653" s="153" t="str">
        <f ca="1">IF($A653="","",MAX($G$7:G653))</f>
        <v/>
      </c>
      <c r="I653" s="154" t="str">
        <f t="shared" ca="1" si="141"/>
        <v/>
      </c>
      <c r="J653" s="59" t="str">
        <f t="shared" ca="1" si="142"/>
        <v/>
      </c>
      <c r="K653" s="3"/>
      <c r="L653" t="str">
        <f t="shared" ca="1" si="130"/>
        <v/>
      </c>
      <c r="M653" s="132" t="str">
        <f t="shared" ca="1" si="131"/>
        <v/>
      </c>
      <c r="N653" s="132" t="str">
        <f t="shared" ca="1" si="132"/>
        <v/>
      </c>
      <c r="P653" t="str">
        <f t="shared" ca="1" si="133"/>
        <v/>
      </c>
      <c r="Q653" s="133" t="str">
        <f t="shared" ca="1" si="134"/>
        <v/>
      </c>
      <c r="R653" s="133" t="str">
        <f t="shared" ca="1" si="135"/>
        <v/>
      </c>
      <c r="T653" t="str">
        <f t="shared" ca="1" si="136"/>
        <v/>
      </c>
      <c r="U653" s="134" t="str">
        <f t="shared" ca="1" si="137"/>
        <v/>
      </c>
    </row>
    <row r="654" spans="1:21" x14ac:dyDescent="0.3">
      <c r="A654" s="151" t="str">
        <f ca="1">Returns!$A$652</f>
        <v/>
      </c>
      <c r="B654" s="152" t="str">
        <f ca="1">IF($A654="","",Returns!$J$652)</f>
        <v/>
      </c>
      <c r="C654" s="153" t="str">
        <f t="shared" ca="1" si="138"/>
        <v/>
      </c>
      <c r="D654" s="153" t="str">
        <f ca="1">IF($A654="","",MAX($C$7:C654))</f>
        <v/>
      </c>
      <c r="E654" s="154" t="str">
        <f t="shared" ca="1" si="139"/>
        <v/>
      </c>
      <c r="F654" s="152" t="str">
        <f ca="1">IF($A654="","",Returns!$I$652)</f>
        <v/>
      </c>
      <c r="G654" s="153" t="str">
        <f t="shared" ca="1" si="140"/>
        <v/>
      </c>
      <c r="H654" s="153" t="str">
        <f ca="1">IF($A654="","",MAX($G$7:G654))</f>
        <v/>
      </c>
      <c r="I654" s="154" t="str">
        <f t="shared" ca="1" si="141"/>
        <v/>
      </c>
      <c r="J654" s="59" t="str">
        <f t="shared" ca="1" si="142"/>
        <v/>
      </c>
      <c r="K654" s="3"/>
      <c r="L654" t="str">
        <f t="shared" ca="1" si="130"/>
        <v/>
      </c>
      <c r="M654" s="132" t="str">
        <f t="shared" ca="1" si="131"/>
        <v/>
      </c>
      <c r="N654" s="132" t="str">
        <f t="shared" ca="1" si="132"/>
        <v/>
      </c>
      <c r="P654" t="str">
        <f t="shared" ca="1" si="133"/>
        <v/>
      </c>
      <c r="Q654" s="133" t="str">
        <f t="shared" ca="1" si="134"/>
        <v/>
      </c>
      <c r="R654" s="133" t="str">
        <f t="shared" ca="1" si="135"/>
        <v/>
      </c>
      <c r="T654" t="str">
        <f t="shared" ca="1" si="136"/>
        <v/>
      </c>
      <c r="U654" s="134" t="str">
        <f t="shared" ca="1" si="137"/>
        <v/>
      </c>
    </row>
    <row r="655" spans="1:21" x14ac:dyDescent="0.3">
      <c r="A655" s="151" t="str">
        <f ca="1">Returns!$A$653</f>
        <v/>
      </c>
      <c r="B655" s="152" t="str">
        <f ca="1">IF($A655="","",Returns!$J$653)</f>
        <v/>
      </c>
      <c r="C655" s="153" t="str">
        <f t="shared" ca="1" si="138"/>
        <v/>
      </c>
      <c r="D655" s="153" t="str">
        <f ca="1">IF($A655="","",MAX($C$7:C655))</f>
        <v/>
      </c>
      <c r="E655" s="154" t="str">
        <f t="shared" ca="1" si="139"/>
        <v/>
      </c>
      <c r="F655" s="152" t="str">
        <f ca="1">IF($A655="","",Returns!$I$653)</f>
        <v/>
      </c>
      <c r="G655" s="153" t="str">
        <f t="shared" ca="1" si="140"/>
        <v/>
      </c>
      <c r="H655" s="153" t="str">
        <f ca="1">IF($A655="","",MAX($G$7:G655))</f>
        <v/>
      </c>
      <c r="I655" s="154" t="str">
        <f t="shared" ca="1" si="141"/>
        <v/>
      </c>
      <c r="J655" s="59" t="str">
        <f t="shared" ca="1" si="142"/>
        <v/>
      </c>
      <c r="K655" s="3"/>
      <c r="L655" t="str">
        <f t="shared" ca="1" si="130"/>
        <v/>
      </c>
      <c r="M655" s="132" t="str">
        <f t="shared" ca="1" si="131"/>
        <v/>
      </c>
      <c r="N655" s="132" t="str">
        <f t="shared" ca="1" si="132"/>
        <v/>
      </c>
      <c r="P655" t="str">
        <f t="shared" ca="1" si="133"/>
        <v/>
      </c>
      <c r="Q655" s="133" t="str">
        <f t="shared" ca="1" si="134"/>
        <v/>
      </c>
      <c r="R655" s="133" t="str">
        <f t="shared" ca="1" si="135"/>
        <v/>
      </c>
      <c r="T655" t="str">
        <f t="shared" ca="1" si="136"/>
        <v/>
      </c>
      <c r="U655" s="134" t="str">
        <f t="shared" ca="1" si="137"/>
        <v/>
      </c>
    </row>
    <row r="656" spans="1:21" x14ac:dyDescent="0.3">
      <c r="A656" s="151" t="str">
        <f ca="1">Returns!$A$654</f>
        <v/>
      </c>
      <c r="B656" s="152" t="str">
        <f ca="1">IF($A656="","",Returns!$J$654)</f>
        <v/>
      </c>
      <c r="C656" s="153" t="str">
        <f t="shared" ca="1" si="138"/>
        <v/>
      </c>
      <c r="D656" s="153" t="str">
        <f ca="1">IF($A656="","",MAX($C$7:C656))</f>
        <v/>
      </c>
      <c r="E656" s="154" t="str">
        <f t="shared" ca="1" si="139"/>
        <v/>
      </c>
      <c r="F656" s="152" t="str">
        <f ca="1">IF($A656="","",Returns!$I$654)</f>
        <v/>
      </c>
      <c r="G656" s="153" t="str">
        <f t="shared" ca="1" si="140"/>
        <v/>
      </c>
      <c r="H656" s="153" t="str">
        <f ca="1">IF($A656="","",MAX($G$7:G656))</f>
        <v/>
      </c>
      <c r="I656" s="154" t="str">
        <f t="shared" ca="1" si="141"/>
        <v/>
      </c>
      <c r="J656" s="59" t="str">
        <f t="shared" ca="1" si="142"/>
        <v/>
      </c>
      <c r="K656" s="3"/>
      <c r="L656" t="str">
        <f t="shared" ca="1" si="130"/>
        <v/>
      </c>
      <c r="M656" s="132" t="str">
        <f t="shared" ca="1" si="131"/>
        <v/>
      </c>
      <c r="N656" s="132" t="str">
        <f t="shared" ca="1" si="132"/>
        <v/>
      </c>
      <c r="P656" t="str">
        <f t="shared" ca="1" si="133"/>
        <v/>
      </c>
      <c r="Q656" s="133" t="str">
        <f t="shared" ca="1" si="134"/>
        <v/>
      </c>
      <c r="R656" s="133" t="str">
        <f t="shared" ca="1" si="135"/>
        <v/>
      </c>
      <c r="T656" t="str">
        <f t="shared" ca="1" si="136"/>
        <v/>
      </c>
      <c r="U656" s="134" t="str">
        <f t="shared" ca="1" si="137"/>
        <v/>
      </c>
    </row>
    <row r="657" spans="1:21" x14ac:dyDescent="0.3">
      <c r="A657" s="151" t="str">
        <f ca="1">Returns!$A$655</f>
        <v/>
      </c>
      <c r="B657" s="152" t="str">
        <f ca="1">IF($A657="","",Returns!$J$655)</f>
        <v/>
      </c>
      <c r="C657" s="153" t="str">
        <f t="shared" ca="1" si="138"/>
        <v/>
      </c>
      <c r="D657" s="153" t="str">
        <f ca="1">IF($A657="","",MAX($C$7:C657))</f>
        <v/>
      </c>
      <c r="E657" s="154" t="str">
        <f t="shared" ca="1" si="139"/>
        <v/>
      </c>
      <c r="F657" s="152" t="str">
        <f ca="1">IF($A657="","",Returns!$I$655)</f>
        <v/>
      </c>
      <c r="G657" s="153" t="str">
        <f t="shared" ca="1" si="140"/>
        <v/>
      </c>
      <c r="H657" s="153" t="str">
        <f ca="1">IF($A657="","",MAX($G$7:G657))</f>
        <v/>
      </c>
      <c r="I657" s="154" t="str">
        <f t="shared" ca="1" si="141"/>
        <v/>
      </c>
      <c r="J657" s="59" t="str">
        <f t="shared" ca="1" si="142"/>
        <v/>
      </c>
      <c r="K657" s="3"/>
      <c r="L657" t="str">
        <f t="shared" ca="1" si="130"/>
        <v/>
      </c>
      <c r="M657" s="132" t="str">
        <f t="shared" ca="1" si="131"/>
        <v/>
      </c>
      <c r="N657" s="132" t="str">
        <f t="shared" ca="1" si="132"/>
        <v/>
      </c>
      <c r="P657" t="str">
        <f t="shared" ca="1" si="133"/>
        <v/>
      </c>
      <c r="Q657" s="133" t="str">
        <f t="shared" ca="1" si="134"/>
        <v/>
      </c>
      <c r="R657" s="133" t="str">
        <f t="shared" ca="1" si="135"/>
        <v/>
      </c>
      <c r="T657" t="str">
        <f t="shared" ca="1" si="136"/>
        <v/>
      </c>
      <c r="U657" s="134" t="str">
        <f t="shared" ca="1" si="137"/>
        <v/>
      </c>
    </row>
    <row r="658" spans="1:21" x14ac:dyDescent="0.3">
      <c r="A658" s="151" t="str">
        <f ca="1">Returns!$A$656</f>
        <v/>
      </c>
      <c r="B658" s="152" t="str">
        <f ca="1">IF($A658="","",Returns!$J$656)</f>
        <v/>
      </c>
      <c r="C658" s="153" t="str">
        <f t="shared" ca="1" si="138"/>
        <v/>
      </c>
      <c r="D658" s="153" t="str">
        <f ca="1">IF($A658="","",MAX($C$7:C658))</f>
        <v/>
      </c>
      <c r="E658" s="154" t="str">
        <f t="shared" ca="1" si="139"/>
        <v/>
      </c>
      <c r="F658" s="152" t="str">
        <f ca="1">IF($A658="","",Returns!$I$656)</f>
        <v/>
      </c>
      <c r="G658" s="153" t="str">
        <f t="shared" ca="1" si="140"/>
        <v/>
      </c>
      <c r="H658" s="153" t="str">
        <f ca="1">IF($A658="","",MAX($G$7:G658))</f>
        <v/>
      </c>
      <c r="I658" s="154" t="str">
        <f t="shared" ca="1" si="141"/>
        <v/>
      </c>
      <c r="J658" s="59" t="str">
        <f t="shared" ca="1" si="142"/>
        <v/>
      </c>
      <c r="K658" s="3"/>
      <c r="L658" t="str">
        <f t="shared" ca="1" si="130"/>
        <v/>
      </c>
      <c r="M658" s="132" t="str">
        <f t="shared" ca="1" si="131"/>
        <v/>
      </c>
      <c r="N658" s="132" t="str">
        <f t="shared" ca="1" si="132"/>
        <v/>
      </c>
      <c r="P658" t="str">
        <f t="shared" ca="1" si="133"/>
        <v/>
      </c>
      <c r="Q658" s="133" t="str">
        <f t="shared" ca="1" si="134"/>
        <v/>
      </c>
      <c r="R658" s="133" t="str">
        <f t="shared" ca="1" si="135"/>
        <v/>
      </c>
      <c r="T658" t="str">
        <f t="shared" ca="1" si="136"/>
        <v/>
      </c>
      <c r="U658" s="134" t="str">
        <f t="shared" ca="1" si="137"/>
        <v/>
      </c>
    </row>
    <row r="659" spans="1:21" x14ac:dyDescent="0.3">
      <c r="A659" s="151" t="str">
        <f ca="1">Returns!$A$657</f>
        <v/>
      </c>
      <c r="B659" s="152" t="str">
        <f ca="1">IF($A659="","",Returns!$J$657)</f>
        <v/>
      </c>
      <c r="C659" s="153" t="str">
        <f t="shared" ca="1" si="138"/>
        <v/>
      </c>
      <c r="D659" s="153" t="str">
        <f ca="1">IF($A659="","",MAX($C$7:C659))</f>
        <v/>
      </c>
      <c r="E659" s="154" t="str">
        <f t="shared" ca="1" si="139"/>
        <v/>
      </c>
      <c r="F659" s="152" t="str">
        <f ca="1">IF($A659="","",Returns!$I$657)</f>
        <v/>
      </c>
      <c r="G659" s="153" t="str">
        <f t="shared" ca="1" si="140"/>
        <v/>
      </c>
      <c r="H659" s="153" t="str">
        <f ca="1">IF($A659="","",MAX($G$7:G659))</f>
        <v/>
      </c>
      <c r="I659" s="154" t="str">
        <f t="shared" ca="1" si="141"/>
        <v/>
      </c>
      <c r="J659" s="59" t="str">
        <f t="shared" ca="1" si="142"/>
        <v/>
      </c>
      <c r="K659" s="3"/>
      <c r="L659" t="str">
        <f t="shared" ca="1" si="130"/>
        <v/>
      </c>
      <c r="M659" s="132" t="str">
        <f t="shared" ca="1" si="131"/>
        <v/>
      </c>
      <c r="N659" s="132" t="str">
        <f t="shared" ca="1" si="132"/>
        <v/>
      </c>
      <c r="P659" t="str">
        <f t="shared" ca="1" si="133"/>
        <v/>
      </c>
      <c r="Q659" s="133" t="str">
        <f t="shared" ca="1" si="134"/>
        <v/>
      </c>
      <c r="R659" s="133" t="str">
        <f t="shared" ca="1" si="135"/>
        <v/>
      </c>
      <c r="T659" t="str">
        <f t="shared" ca="1" si="136"/>
        <v/>
      </c>
      <c r="U659" s="134" t="str">
        <f t="shared" ca="1" si="137"/>
        <v/>
      </c>
    </row>
    <row r="660" spans="1:21" x14ac:dyDescent="0.3">
      <c r="A660" s="151" t="str">
        <f ca="1">Returns!$A$658</f>
        <v/>
      </c>
      <c r="B660" s="152" t="str">
        <f ca="1">IF($A660="","",Returns!$J$658)</f>
        <v/>
      </c>
      <c r="C660" s="153" t="str">
        <f t="shared" ca="1" si="138"/>
        <v/>
      </c>
      <c r="D660" s="153" t="str">
        <f ca="1">IF($A660="","",MAX($C$7:C660))</f>
        <v/>
      </c>
      <c r="E660" s="154" t="str">
        <f t="shared" ca="1" si="139"/>
        <v/>
      </c>
      <c r="F660" s="152" t="str">
        <f ca="1">IF($A660="","",Returns!$I$658)</f>
        <v/>
      </c>
      <c r="G660" s="153" t="str">
        <f t="shared" ca="1" si="140"/>
        <v/>
      </c>
      <c r="H660" s="153" t="str">
        <f ca="1">IF($A660="","",MAX($G$7:G660))</f>
        <v/>
      </c>
      <c r="I660" s="154" t="str">
        <f t="shared" ca="1" si="141"/>
        <v/>
      </c>
      <c r="J660" s="59" t="str">
        <f t="shared" ca="1" si="142"/>
        <v/>
      </c>
      <c r="K660" s="3"/>
      <c r="L660" t="str">
        <f t="shared" ca="1" si="130"/>
        <v/>
      </c>
      <c r="M660" s="132" t="str">
        <f t="shared" ca="1" si="131"/>
        <v/>
      </c>
      <c r="N660" s="132" t="str">
        <f t="shared" ca="1" si="132"/>
        <v/>
      </c>
      <c r="P660" t="str">
        <f t="shared" ca="1" si="133"/>
        <v/>
      </c>
      <c r="Q660" s="133" t="str">
        <f t="shared" ca="1" si="134"/>
        <v/>
      </c>
      <c r="R660" s="133" t="str">
        <f t="shared" ca="1" si="135"/>
        <v/>
      </c>
      <c r="T660" t="str">
        <f t="shared" ca="1" si="136"/>
        <v/>
      </c>
      <c r="U660" s="134" t="str">
        <f t="shared" ca="1" si="137"/>
        <v/>
      </c>
    </row>
    <row r="661" spans="1:21" x14ac:dyDescent="0.3">
      <c r="A661" s="151" t="str">
        <f ca="1">Returns!$A$659</f>
        <v/>
      </c>
      <c r="B661" s="152" t="str">
        <f ca="1">IF($A661="","",Returns!$J$659)</f>
        <v/>
      </c>
      <c r="C661" s="153" t="str">
        <f t="shared" ca="1" si="138"/>
        <v/>
      </c>
      <c r="D661" s="153" t="str">
        <f ca="1">IF($A661="","",MAX($C$7:C661))</f>
        <v/>
      </c>
      <c r="E661" s="154" t="str">
        <f t="shared" ca="1" si="139"/>
        <v/>
      </c>
      <c r="F661" s="152" t="str">
        <f ca="1">IF($A661="","",Returns!$I$659)</f>
        <v/>
      </c>
      <c r="G661" s="153" t="str">
        <f t="shared" ca="1" si="140"/>
        <v/>
      </c>
      <c r="H661" s="153" t="str">
        <f ca="1">IF($A661="","",MAX($G$7:G661))</f>
        <v/>
      </c>
      <c r="I661" s="154" t="str">
        <f t="shared" ca="1" si="141"/>
        <v/>
      </c>
      <c r="J661" s="59" t="str">
        <f t="shared" ca="1" si="142"/>
        <v/>
      </c>
      <c r="K661" s="3"/>
      <c r="L661" t="str">
        <f t="shared" ca="1" si="130"/>
        <v/>
      </c>
      <c r="M661" s="132" t="str">
        <f t="shared" ca="1" si="131"/>
        <v/>
      </c>
      <c r="N661" s="132" t="str">
        <f t="shared" ca="1" si="132"/>
        <v/>
      </c>
      <c r="P661" t="str">
        <f t="shared" ca="1" si="133"/>
        <v/>
      </c>
      <c r="Q661" s="133" t="str">
        <f t="shared" ca="1" si="134"/>
        <v/>
      </c>
      <c r="R661" s="133" t="str">
        <f t="shared" ca="1" si="135"/>
        <v/>
      </c>
      <c r="T661" t="str">
        <f t="shared" ca="1" si="136"/>
        <v/>
      </c>
      <c r="U661" s="134" t="str">
        <f t="shared" ca="1" si="137"/>
        <v/>
      </c>
    </row>
    <row r="662" spans="1:21" x14ac:dyDescent="0.3">
      <c r="A662" s="151" t="str">
        <f ca="1">Returns!$A$660</f>
        <v/>
      </c>
      <c r="B662" s="152" t="str">
        <f ca="1">IF($A662="","",Returns!$J$660)</f>
        <v/>
      </c>
      <c r="C662" s="153" t="str">
        <f t="shared" ca="1" si="138"/>
        <v/>
      </c>
      <c r="D662" s="153" t="str">
        <f ca="1">IF($A662="","",MAX($C$7:C662))</f>
        <v/>
      </c>
      <c r="E662" s="154" t="str">
        <f t="shared" ca="1" si="139"/>
        <v/>
      </c>
      <c r="F662" s="152" t="str">
        <f ca="1">IF($A662="","",Returns!$I$660)</f>
        <v/>
      </c>
      <c r="G662" s="153" t="str">
        <f t="shared" ca="1" si="140"/>
        <v/>
      </c>
      <c r="H662" s="153" t="str">
        <f ca="1">IF($A662="","",MAX($G$7:G662))</f>
        <v/>
      </c>
      <c r="I662" s="154" t="str">
        <f t="shared" ca="1" si="141"/>
        <v/>
      </c>
      <c r="J662" s="59" t="str">
        <f t="shared" ca="1" si="142"/>
        <v/>
      </c>
      <c r="K662" s="3"/>
      <c r="L662" t="str">
        <f t="shared" ca="1" si="130"/>
        <v/>
      </c>
      <c r="M662" s="132" t="str">
        <f t="shared" ca="1" si="131"/>
        <v/>
      </c>
      <c r="N662" s="132" t="str">
        <f t="shared" ca="1" si="132"/>
        <v/>
      </c>
      <c r="P662" t="str">
        <f t="shared" ca="1" si="133"/>
        <v/>
      </c>
      <c r="Q662" s="133" t="str">
        <f t="shared" ca="1" si="134"/>
        <v/>
      </c>
      <c r="R662" s="133" t="str">
        <f t="shared" ca="1" si="135"/>
        <v/>
      </c>
      <c r="T662" t="str">
        <f t="shared" ca="1" si="136"/>
        <v/>
      </c>
      <c r="U662" s="134" t="str">
        <f t="shared" ca="1" si="137"/>
        <v/>
      </c>
    </row>
    <row r="663" spans="1:21" x14ac:dyDescent="0.3">
      <c r="A663" s="151" t="str">
        <f ca="1">Returns!$A$661</f>
        <v/>
      </c>
      <c r="B663" s="152" t="str">
        <f ca="1">IF($A663="","",Returns!$J$661)</f>
        <v/>
      </c>
      <c r="C663" s="153" t="str">
        <f t="shared" ca="1" si="138"/>
        <v/>
      </c>
      <c r="D663" s="153" t="str">
        <f ca="1">IF($A663="","",MAX($C$7:C663))</f>
        <v/>
      </c>
      <c r="E663" s="154" t="str">
        <f t="shared" ca="1" si="139"/>
        <v/>
      </c>
      <c r="F663" s="152" t="str">
        <f ca="1">IF($A663="","",Returns!$I$661)</f>
        <v/>
      </c>
      <c r="G663" s="153" t="str">
        <f t="shared" ca="1" si="140"/>
        <v/>
      </c>
      <c r="H663" s="153" t="str">
        <f ca="1">IF($A663="","",MAX($G$7:G663))</f>
        <v/>
      </c>
      <c r="I663" s="154" t="str">
        <f t="shared" ca="1" si="141"/>
        <v/>
      </c>
      <c r="J663" s="59" t="str">
        <f t="shared" ca="1" si="142"/>
        <v/>
      </c>
      <c r="K663" s="3"/>
      <c r="L663" t="str">
        <f t="shared" ca="1" si="130"/>
        <v/>
      </c>
      <c r="M663" s="132" t="str">
        <f t="shared" ca="1" si="131"/>
        <v/>
      </c>
      <c r="N663" s="132" t="str">
        <f t="shared" ca="1" si="132"/>
        <v/>
      </c>
      <c r="P663" t="str">
        <f t="shared" ca="1" si="133"/>
        <v/>
      </c>
      <c r="Q663" s="133" t="str">
        <f t="shared" ca="1" si="134"/>
        <v/>
      </c>
      <c r="R663" s="133" t="str">
        <f t="shared" ca="1" si="135"/>
        <v/>
      </c>
      <c r="T663" t="str">
        <f t="shared" ca="1" si="136"/>
        <v/>
      </c>
      <c r="U663" s="134" t="str">
        <f t="shared" ca="1" si="137"/>
        <v/>
      </c>
    </row>
    <row r="664" spans="1:21" x14ac:dyDescent="0.3">
      <c r="A664" s="151" t="str">
        <f ca="1">Returns!$A$662</f>
        <v/>
      </c>
      <c r="B664" s="152" t="str">
        <f ca="1">IF($A664="","",Returns!$J$662)</f>
        <v/>
      </c>
      <c r="C664" s="153" t="str">
        <f t="shared" ca="1" si="138"/>
        <v/>
      </c>
      <c r="D664" s="153" t="str">
        <f ca="1">IF($A664="","",MAX($C$7:C664))</f>
        <v/>
      </c>
      <c r="E664" s="154" t="str">
        <f t="shared" ca="1" si="139"/>
        <v/>
      </c>
      <c r="F664" s="152" t="str">
        <f ca="1">IF($A664="","",Returns!$I$662)</f>
        <v/>
      </c>
      <c r="G664" s="153" t="str">
        <f t="shared" ca="1" si="140"/>
        <v/>
      </c>
      <c r="H664" s="153" t="str">
        <f ca="1">IF($A664="","",MAX($G$7:G664))</f>
        <v/>
      </c>
      <c r="I664" s="154" t="str">
        <f t="shared" ca="1" si="141"/>
        <v/>
      </c>
      <c r="J664" s="59" t="str">
        <f t="shared" ca="1" si="142"/>
        <v/>
      </c>
      <c r="K664" s="3"/>
      <c r="L664" t="str">
        <f t="shared" ca="1" si="130"/>
        <v/>
      </c>
      <c r="M664" s="132" t="str">
        <f t="shared" ca="1" si="131"/>
        <v/>
      </c>
      <c r="N664" s="132" t="str">
        <f t="shared" ca="1" si="132"/>
        <v/>
      </c>
      <c r="P664" t="str">
        <f t="shared" ca="1" si="133"/>
        <v/>
      </c>
      <c r="Q664" s="133" t="str">
        <f t="shared" ca="1" si="134"/>
        <v/>
      </c>
      <c r="R664" s="133" t="str">
        <f t="shared" ca="1" si="135"/>
        <v/>
      </c>
      <c r="T664" t="str">
        <f t="shared" ca="1" si="136"/>
        <v/>
      </c>
      <c r="U664" s="134" t="str">
        <f t="shared" ca="1" si="137"/>
        <v/>
      </c>
    </row>
    <row r="665" spans="1:21" x14ac:dyDescent="0.3">
      <c r="A665" s="151" t="str">
        <f ca="1">Returns!$A$663</f>
        <v/>
      </c>
      <c r="B665" s="152" t="str">
        <f ca="1">IF($A665="","",Returns!$J$663)</f>
        <v/>
      </c>
      <c r="C665" s="153" t="str">
        <f t="shared" ca="1" si="138"/>
        <v/>
      </c>
      <c r="D665" s="153" t="str">
        <f ca="1">IF($A665="","",MAX($C$7:C665))</f>
        <v/>
      </c>
      <c r="E665" s="154" t="str">
        <f t="shared" ca="1" si="139"/>
        <v/>
      </c>
      <c r="F665" s="152" t="str">
        <f ca="1">IF($A665="","",Returns!$I$663)</f>
        <v/>
      </c>
      <c r="G665" s="153" t="str">
        <f t="shared" ca="1" si="140"/>
        <v/>
      </c>
      <c r="H665" s="153" t="str">
        <f ca="1">IF($A665="","",MAX($G$7:G665))</f>
        <v/>
      </c>
      <c r="I665" s="154" t="str">
        <f t="shared" ca="1" si="141"/>
        <v/>
      </c>
      <c r="J665" s="59" t="str">
        <f t="shared" ca="1" si="142"/>
        <v/>
      </c>
      <c r="K665" s="3"/>
      <c r="L665" t="str">
        <f t="shared" ca="1" si="130"/>
        <v/>
      </c>
      <c r="M665" s="132" t="str">
        <f t="shared" ca="1" si="131"/>
        <v/>
      </c>
      <c r="N665" s="132" t="str">
        <f t="shared" ca="1" si="132"/>
        <v/>
      </c>
      <c r="P665" t="str">
        <f t="shared" ca="1" si="133"/>
        <v/>
      </c>
      <c r="Q665" s="133" t="str">
        <f t="shared" ca="1" si="134"/>
        <v/>
      </c>
      <c r="R665" s="133" t="str">
        <f t="shared" ca="1" si="135"/>
        <v/>
      </c>
      <c r="T665" t="str">
        <f t="shared" ca="1" si="136"/>
        <v/>
      </c>
      <c r="U665" s="134" t="str">
        <f t="shared" ca="1" si="137"/>
        <v/>
      </c>
    </row>
    <row r="666" spans="1:21" x14ac:dyDescent="0.3">
      <c r="A666" s="151" t="str">
        <f ca="1">Returns!$A$664</f>
        <v/>
      </c>
      <c r="B666" s="152" t="str">
        <f ca="1">IF($A666="","",Returns!$J$664)</f>
        <v/>
      </c>
      <c r="C666" s="153" t="str">
        <f t="shared" ca="1" si="138"/>
        <v/>
      </c>
      <c r="D666" s="153" t="str">
        <f ca="1">IF($A666="","",MAX($C$7:C666))</f>
        <v/>
      </c>
      <c r="E666" s="154" t="str">
        <f t="shared" ca="1" si="139"/>
        <v/>
      </c>
      <c r="F666" s="152" t="str">
        <f ca="1">IF($A666="","",Returns!$I$664)</f>
        <v/>
      </c>
      <c r="G666" s="153" t="str">
        <f t="shared" ca="1" si="140"/>
        <v/>
      </c>
      <c r="H666" s="153" t="str">
        <f ca="1">IF($A666="","",MAX($G$7:G666))</f>
        <v/>
      </c>
      <c r="I666" s="154" t="str">
        <f t="shared" ca="1" si="141"/>
        <v/>
      </c>
      <c r="J666" s="59" t="str">
        <f t="shared" ca="1" si="142"/>
        <v/>
      </c>
      <c r="K666" s="3"/>
      <c r="L666" t="str">
        <f t="shared" ca="1" si="130"/>
        <v/>
      </c>
      <c r="M666" s="132" t="str">
        <f t="shared" ca="1" si="131"/>
        <v/>
      </c>
      <c r="N666" s="132" t="str">
        <f t="shared" ca="1" si="132"/>
        <v/>
      </c>
      <c r="P666" t="str">
        <f t="shared" ca="1" si="133"/>
        <v/>
      </c>
      <c r="Q666" s="133" t="str">
        <f t="shared" ca="1" si="134"/>
        <v/>
      </c>
      <c r="R666" s="133" t="str">
        <f t="shared" ca="1" si="135"/>
        <v/>
      </c>
      <c r="T666" t="str">
        <f t="shared" ca="1" si="136"/>
        <v/>
      </c>
      <c r="U666" s="134" t="str">
        <f t="shared" ca="1" si="137"/>
        <v/>
      </c>
    </row>
    <row r="667" spans="1:21" x14ac:dyDescent="0.3">
      <c r="A667" s="151" t="str">
        <f ca="1">Returns!$A$665</f>
        <v/>
      </c>
      <c r="B667" s="152" t="str">
        <f ca="1">IF($A667="","",Returns!$J$665)</f>
        <v/>
      </c>
      <c r="C667" s="153" t="str">
        <f t="shared" ca="1" si="138"/>
        <v/>
      </c>
      <c r="D667" s="153" t="str">
        <f ca="1">IF($A667="","",MAX($C$7:C667))</f>
        <v/>
      </c>
      <c r="E667" s="154" t="str">
        <f t="shared" ca="1" si="139"/>
        <v/>
      </c>
      <c r="F667" s="152" t="str">
        <f ca="1">IF($A667="","",Returns!$I$665)</f>
        <v/>
      </c>
      <c r="G667" s="153" t="str">
        <f t="shared" ca="1" si="140"/>
        <v/>
      </c>
      <c r="H667" s="153" t="str">
        <f ca="1">IF($A667="","",MAX($G$7:G667))</f>
        <v/>
      </c>
      <c r="I667" s="154" t="str">
        <f t="shared" ca="1" si="141"/>
        <v/>
      </c>
      <c r="J667" s="59" t="str">
        <f t="shared" ca="1" si="142"/>
        <v/>
      </c>
      <c r="K667" s="3"/>
      <c r="L667" t="str">
        <f t="shared" ca="1" si="130"/>
        <v/>
      </c>
      <c r="M667" s="132" t="str">
        <f t="shared" ca="1" si="131"/>
        <v/>
      </c>
      <c r="N667" s="132" t="str">
        <f t="shared" ca="1" si="132"/>
        <v/>
      </c>
      <c r="P667" t="str">
        <f t="shared" ca="1" si="133"/>
        <v/>
      </c>
      <c r="Q667" s="133" t="str">
        <f t="shared" ca="1" si="134"/>
        <v/>
      </c>
      <c r="R667" s="133" t="str">
        <f t="shared" ca="1" si="135"/>
        <v/>
      </c>
      <c r="T667" t="str">
        <f t="shared" ca="1" si="136"/>
        <v/>
      </c>
      <c r="U667" s="134" t="str">
        <f t="shared" ca="1" si="137"/>
        <v/>
      </c>
    </row>
    <row r="668" spans="1:21" x14ac:dyDescent="0.3">
      <c r="A668" s="151" t="str">
        <f ca="1">Returns!$A$666</f>
        <v/>
      </c>
      <c r="B668" s="152" t="str">
        <f ca="1">IF($A668="","",Returns!$J$666)</f>
        <v/>
      </c>
      <c r="C668" s="153" t="str">
        <f t="shared" ca="1" si="138"/>
        <v/>
      </c>
      <c r="D668" s="153" t="str">
        <f ca="1">IF($A668="","",MAX($C$7:C668))</f>
        <v/>
      </c>
      <c r="E668" s="154" t="str">
        <f t="shared" ca="1" si="139"/>
        <v/>
      </c>
      <c r="F668" s="152" t="str">
        <f ca="1">IF($A668="","",Returns!$I$666)</f>
        <v/>
      </c>
      <c r="G668" s="153" t="str">
        <f t="shared" ca="1" si="140"/>
        <v/>
      </c>
      <c r="H668" s="153" t="str">
        <f ca="1">IF($A668="","",MAX($G$7:G668))</f>
        <v/>
      </c>
      <c r="I668" s="154" t="str">
        <f t="shared" ca="1" si="141"/>
        <v/>
      </c>
      <c r="J668" s="59" t="str">
        <f t="shared" ca="1" si="142"/>
        <v/>
      </c>
      <c r="K668" s="3"/>
      <c r="L668" t="str">
        <f t="shared" ca="1" si="130"/>
        <v/>
      </c>
      <c r="M668" s="132" t="str">
        <f t="shared" ca="1" si="131"/>
        <v/>
      </c>
      <c r="N668" s="132" t="str">
        <f t="shared" ca="1" si="132"/>
        <v/>
      </c>
      <c r="P668" t="str">
        <f t="shared" ca="1" si="133"/>
        <v/>
      </c>
      <c r="Q668" s="133" t="str">
        <f t="shared" ca="1" si="134"/>
        <v/>
      </c>
      <c r="R668" s="133" t="str">
        <f t="shared" ca="1" si="135"/>
        <v/>
      </c>
      <c r="T668" t="str">
        <f t="shared" ca="1" si="136"/>
        <v/>
      </c>
      <c r="U668" s="134" t="str">
        <f t="shared" ca="1" si="137"/>
        <v/>
      </c>
    </row>
    <row r="669" spans="1:21" x14ac:dyDescent="0.3">
      <c r="A669" s="151" t="str">
        <f ca="1">Returns!$A$667</f>
        <v/>
      </c>
      <c r="B669" s="152" t="str">
        <f ca="1">IF($A669="","",Returns!$J$667)</f>
        <v/>
      </c>
      <c r="C669" s="153" t="str">
        <f t="shared" ca="1" si="138"/>
        <v/>
      </c>
      <c r="D669" s="153" t="str">
        <f ca="1">IF($A669="","",MAX($C$7:C669))</f>
        <v/>
      </c>
      <c r="E669" s="154" t="str">
        <f t="shared" ca="1" si="139"/>
        <v/>
      </c>
      <c r="F669" s="152" t="str">
        <f ca="1">IF($A669="","",Returns!$I$667)</f>
        <v/>
      </c>
      <c r="G669" s="153" t="str">
        <f t="shared" ca="1" si="140"/>
        <v/>
      </c>
      <c r="H669" s="153" t="str">
        <f ca="1">IF($A669="","",MAX($G$7:G669))</f>
        <v/>
      </c>
      <c r="I669" s="154" t="str">
        <f t="shared" ca="1" si="141"/>
        <v/>
      </c>
      <c r="J669" s="59" t="str">
        <f t="shared" ca="1" si="142"/>
        <v/>
      </c>
      <c r="K669" s="3"/>
      <c r="L669" t="str">
        <f t="shared" ca="1" si="130"/>
        <v/>
      </c>
      <c r="M669" s="132" t="str">
        <f t="shared" ca="1" si="131"/>
        <v/>
      </c>
      <c r="N669" s="132" t="str">
        <f t="shared" ca="1" si="132"/>
        <v/>
      </c>
      <c r="P669" t="str">
        <f t="shared" ca="1" si="133"/>
        <v/>
      </c>
      <c r="Q669" s="133" t="str">
        <f t="shared" ca="1" si="134"/>
        <v/>
      </c>
      <c r="R669" s="133" t="str">
        <f t="shared" ca="1" si="135"/>
        <v/>
      </c>
      <c r="T669" t="str">
        <f t="shared" ca="1" si="136"/>
        <v/>
      </c>
      <c r="U669" s="134" t="str">
        <f t="shared" ca="1" si="137"/>
        <v/>
      </c>
    </row>
    <row r="670" spans="1:21" x14ac:dyDescent="0.3">
      <c r="A670" s="151" t="str">
        <f ca="1">Returns!$A$668</f>
        <v/>
      </c>
      <c r="B670" s="152" t="str">
        <f ca="1">IF($A670="","",Returns!$J$668)</f>
        <v/>
      </c>
      <c r="C670" s="153" t="str">
        <f t="shared" ca="1" si="138"/>
        <v/>
      </c>
      <c r="D670" s="153" t="str">
        <f ca="1">IF($A670="","",MAX($C$7:C670))</f>
        <v/>
      </c>
      <c r="E670" s="154" t="str">
        <f t="shared" ca="1" si="139"/>
        <v/>
      </c>
      <c r="F670" s="152" t="str">
        <f ca="1">IF($A670="","",Returns!$I$668)</f>
        <v/>
      </c>
      <c r="G670" s="153" t="str">
        <f t="shared" ca="1" si="140"/>
        <v/>
      </c>
      <c r="H670" s="153" t="str">
        <f ca="1">IF($A670="","",MAX($G$7:G670))</f>
        <v/>
      </c>
      <c r="I670" s="154" t="str">
        <f t="shared" ca="1" si="141"/>
        <v/>
      </c>
      <c r="J670" s="59" t="str">
        <f t="shared" ca="1" si="142"/>
        <v/>
      </c>
      <c r="K670" s="3"/>
      <c r="L670" t="str">
        <f t="shared" ca="1" si="130"/>
        <v/>
      </c>
      <c r="M670" s="132" t="str">
        <f t="shared" ca="1" si="131"/>
        <v/>
      </c>
      <c r="N670" s="132" t="str">
        <f t="shared" ca="1" si="132"/>
        <v/>
      </c>
      <c r="P670" t="str">
        <f t="shared" ca="1" si="133"/>
        <v/>
      </c>
      <c r="Q670" s="133" t="str">
        <f t="shared" ca="1" si="134"/>
        <v/>
      </c>
      <c r="R670" s="133" t="str">
        <f t="shared" ca="1" si="135"/>
        <v/>
      </c>
      <c r="T670" t="str">
        <f t="shared" ca="1" si="136"/>
        <v/>
      </c>
      <c r="U670" s="134" t="str">
        <f t="shared" ca="1" si="137"/>
        <v/>
      </c>
    </row>
    <row r="671" spans="1:21" x14ac:dyDescent="0.3">
      <c r="A671" s="151" t="str">
        <f ca="1">Returns!$A$669</f>
        <v/>
      </c>
      <c r="B671" s="152" t="str">
        <f ca="1">IF($A671="","",Returns!$J$669)</f>
        <v/>
      </c>
      <c r="C671" s="153" t="str">
        <f t="shared" ca="1" si="138"/>
        <v/>
      </c>
      <c r="D671" s="153" t="str">
        <f ca="1">IF($A671="","",MAX($C$7:C671))</f>
        <v/>
      </c>
      <c r="E671" s="154" t="str">
        <f t="shared" ca="1" si="139"/>
        <v/>
      </c>
      <c r="F671" s="152" t="str">
        <f ca="1">IF($A671="","",Returns!$I$669)</f>
        <v/>
      </c>
      <c r="G671" s="153" t="str">
        <f t="shared" ca="1" si="140"/>
        <v/>
      </c>
      <c r="H671" s="153" t="str">
        <f ca="1">IF($A671="","",MAX($G$7:G671))</f>
        <v/>
      </c>
      <c r="I671" s="154" t="str">
        <f t="shared" ca="1" si="141"/>
        <v/>
      </c>
      <c r="J671" s="59" t="str">
        <f t="shared" ca="1" si="142"/>
        <v/>
      </c>
      <c r="K671" s="3"/>
      <c r="L671" t="str">
        <f t="shared" ca="1" si="130"/>
        <v/>
      </c>
      <c r="M671" s="132" t="str">
        <f t="shared" ca="1" si="131"/>
        <v/>
      </c>
      <c r="N671" s="132" t="str">
        <f t="shared" ca="1" si="132"/>
        <v/>
      </c>
      <c r="P671" t="str">
        <f t="shared" ca="1" si="133"/>
        <v/>
      </c>
      <c r="Q671" s="133" t="str">
        <f t="shared" ca="1" si="134"/>
        <v/>
      </c>
      <c r="R671" s="133" t="str">
        <f t="shared" ca="1" si="135"/>
        <v/>
      </c>
      <c r="T671" t="str">
        <f t="shared" ca="1" si="136"/>
        <v/>
      </c>
      <c r="U671" s="134" t="str">
        <f t="shared" ca="1" si="137"/>
        <v/>
      </c>
    </row>
    <row r="672" spans="1:21" x14ac:dyDescent="0.3">
      <c r="A672" s="151" t="str">
        <f ca="1">Returns!$A$670</f>
        <v/>
      </c>
      <c r="B672" s="152" t="str">
        <f ca="1">IF($A672="","",Returns!$J$670)</f>
        <v/>
      </c>
      <c r="C672" s="153" t="str">
        <f t="shared" ca="1" si="138"/>
        <v/>
      </c>
      <c r="D672" s="153" t="str">
        <f ca="1">IF($A672="","",MAX($C$7:C672))</f>
        <v/>
      </c>
      <c r="E672" s="154" t="str">
        <f t="shared" ca="1" si="139"/>
        <v/>
      </c>
      <c r="F672" s="152" t="str">
        <f ca="1">IF($A672="","",Returns!$I$670)</f>
        <v/>
      </c>
      <c r="G672" s="153" t="str">
        <f t="shared" ca="1" si="140"/>
        <v/>
      </c>
      <c r="H672" s="153" t="str">
        <f ca="1">IF($A672="","",MAX($G$7:G672))</f>
        <v/>
      </c>
      <c r="I672" s="154" t="str">
        <f t="shared" ca="1" si="141"/>
        <v/>
      </c>
      <c r="J672" s="59" t="str">
        <f t="shared" ca="1" si="142"/>
        <v/>
      </c>
      <c r="K672" s="3"/>
      <c r="L672" t="str">
        <f t="shared" ca="1" si="130"/>
        <v/>
      </c>
      <c r="M672" s="132" t="str">
        <f t="shared" ca="1" si="131"/>
        <v/>
      </c>
      <c r="N672" s="132" t="str">
        <f t="shared" ca="1" si="132"/>
        <v/>
      </c>
      <c r="P672" t="str">
        <f t="shared" ca="1" si="133"/>
        <v/>
      </c>
      <c r="Q672" s="133" t="str">
        <f t="shared" ca="1" si="134"/>
        <v/>
      </c>
      <c r="R672" s="133" t="str">
        <f t="shared" ca="1" si="135"/>
        <v/>
      </c>
      <c r="T672" t="str">
        <f t="shared" ca="1" si="136"/>
        <v/>
      </c>
      <c r="U672" s="134" t="str">
        <f t="shared" ca="1" si="137"/>
        <v/>
      </c>
    </row>
    <row r="673" spans="1:21" x14ac:dyDescent="0.3">
      <c r="A673" s="151" t="str">
        <f ca="1">Returns!$A$671</f>
        <v/>
      </c>
      <c r="B673" s="152" t="str">
        <f ca="1">IF($A673="","",Returns!$J$671)</f>
        <v/>
      </c>
      <c r="C673" s="153" t="str">
        <f t="shared" ca="1" si="138"/>
        <v/>
      </c>
      <c r="D673" s="153" t="str">
        <f ca="1">IF($A673="","",MAX($C$7:C673))</f>
        <v/>
      </c>
      <c r="E673" s="154" t="str">
        <f t="shared" ca="1" si="139"/>
        <v/>
      </c>
      <c r="F673" s="152" t="str">
        <f ca="1">IF($A673="","",Returns!$I$671)</f>
        <v/>
      </c>
      <c r="G673" s="153" t="str">
        <f t="shared" ca="1" si="140"/>
        <v/>
      </c>
      <c r="H673" s="153" t="str">
        <f ca="1">IF($A673="","",MAX($G$7:G673))</f>
        <v/>
      </c>
      <c r="I673" s="154" t="str">
        <f t="shared" ca="1" si="141"/>
        <v/>
      </c>
      <c r="J673" s="59" t="str">
        <f t="shared" ca="1" si="142"/>
        <v/>
      </c>
      <c r="K673" s="3"/>
      <c r="L673" t="str">
        <f t="shared" ca="1" si="130"/>
        <v/>
      </c>
      <c r="M673" s="132" t="str">
        <f t="shared" ca="1" si="131"/>
        <v/>
      </c>
      <c r="N673" s="132" t="str">
        <f t="shared" ca="1" si="132"/>
        <v/>
      </c>
      <c r="P673" t="str">
        <f t="shared" ca="1" si="133"/>
        <v/>
      </c>
      <c r="Q673" s="133" t="str">
        <f t="shared" ca="1" si="134"/>
        <v/>
      </c>
      <c r="R673" s="133" t="str">
        <f t="shared" ca="1" si="135"/>
        <v/>
      </c>
      <c r="T673" t="str">
        <f t="shared" ca="1" si="136"/>
        <v/>
      </c>
      <c r="U673" s="134" t="str">
        <f t="shared" ca="1" si="137"/>
        <v/>
      </c>
    </row>
    <row r="674" spans="1:21" x14ac:dyDescent="0.3">
      <c r="A674" s="151" t="str">
        <f ca="1">Returns!$A$672</f>
        <v/>
      </c>
      <c r="B674" s="152" t="str">
        <f ca="1">IF($A674="","",Returns!$J$672)</f>
        <v/>
      </c>
      <c r="C674" s="153" t="str">
        <f t="shared" ca="1" si="138"/>
        <v/>
      </c>
      <c r="D674" s="153" t="str">
        <f ca="1">IF($A674="","",MAX($C$7:C674))</f>
        <v/>
      </c>
      <c r="E674" s="154" t="str">
        <f t="shared" ca="1" si="139"/>
        <v/>
      </c>
      <c r="F674" s="152" t="str">
        <f ca="1">IF($A674="","",Returns!$I$672)</f>
        <v/>
      </c>
      <c r="G674" s="153" t="str">
        <f t="shared" ca="1" si="140"/>
        <v/>
      </c>
      <c r="H674" s="153" t="str">
        <f ca="1">IF($A674="","",MAX($G$7:G674))</f>
        <v/>
      </c>
      <c r="I674" s="154" t="str">
        <f t="shared" ca="1" si="141"/>
        <v/>
      </c>
      <c r="J674" s="59" t="str">
        <f t="shared" ca="1" si="142"/>
        <v/>
      </c>
      <c r="K674" s="3"/>
      <c r="L674" t="str">
        <f t="shared" ca="1" si="130"/>
        <v/>
      </c>
      <c r="M674" s="132" t="str">
        <f t="shared" ca="1" si="131"/>
        <v/>
      </c>
      <c r="N674" s="132" t="str">
        <f t="shared" ca="1" si="132"/>
        <v/>
      </c>
      <c r="P674" t="str">
        <f t="shared" ca="1" si="133"/>
        <v/>
      </c>
      <c r="Q674" s="133" t="str">
        <f t="shared" ca="1" si="134"/>
        <v/>
      </c>
      <c r="R674" s="133" t="str">
        <f t="shared" ca="1" si="135"/>
        <v/>
      </c>
      <c r="T674" t="str">
        <f t="shared" ca="1" si="136"/>
        <v/>
      </c>
      <c r="U674" s="134" t="str">
        <f t="shared" ca="1" si="137"/>
        <v/>
      </c>
    </row>
    <row r="675" spans="1:21" x14ac:dyDescent="0.3">
      <c r="A675" s="151" t="str">
        <f ca="1">Returns!$A$673</f>
        <v/>
      </c>
      <c r="B675" s="152" t="str">
        <f ca="1">IF($A675="","",Returns!$J$673)</f>
        <v/>
      </c>
      <c r="C675" s="153" t="str">
        <f t="shared" ca="1" si="138"/>
        <v/>
      </c>
      <c r="D675" s="153" t="str">
        <f ca="1">IF($A675="","",MAX($C$7:C675))</f>
        <v/>
      </c>
      <c r="E675" s="154" t="str">
        <f t="shared" ca="1" si="139"/>
        <v/>
      </c>
      <c r="F675" s="152" t="str">
        <f ca="1">IF($A675="","",Returns!$I$673)</f>
        <v/>
      </c>
      <c r="G675" s="153" t="str">
        <f t="shared" ca="1" si="140"/>
        <v/>
      </c>
      <c r="H675" s="153" t="str">
        <f ca="1">IF($A675="","",MAX($G$7:G675))</f>
        <v/>
      </c>
      <c r="I675" s="154" t="str">
        <f t="shared" ca="1" si="141"/>
        <v/>
      </c>
      <c r="J675" s="59" t="str">
        <f t="shared" ca="1" si="142"/>
        <v/>
      </c>
      <c r="K675" s="3"/>
      <c r="L675" t="str">
        <f t="shared" ca="1" si="130"/>
        <v/>
      </c>
      <c r="M675" s="132" t="str">
        <f t="shared" ca="1" si="131"/>
        <v/>
      </c>
      <c r="N675" s="132" t="str">
        <f t="shared" ca="1" si="132"/>
        <v/>
      </c>
      <c r="P675" t="str">
        <f t="shared" ca="1" si="133"/>
        <v/>
      </c>
      <c r="Q675" s="133" t="str">
        <f t="shared" ca="1" si="134"/>
        <v/>
      </c>
      <c r="R675" s="133" t="str">
        <f t="shared" ca="1" si="135"/>
        <v/>
      </c>
      <c r="T675" t="str">
        <f t="shared" ca="1" si="136"/>
        <v/>
      </c>
      <c r="U675" s="134" t="str">
        <f t="shared" ca="1" si="137"/>
        <v/>
      </c>
    </row>
    <row r="676" spans="1:21" x14ac:dyDescent="0.3">
      <c r="A676" s="151" t="str">
        <f ca="1">Returns!$A$674</f>
        <v/>
      </c>
      <c r="B676" s="152" t="str">
        <f ca="1">IF($A676="","",Returns!$J$674)</f>
        <v/>
      </c>
      <c r="C676" s="153" t="str">
        <f t="shared" ca="1" si="138"/>
        <v/>
      </c>
      <c r="D676" s="153" t="str">
        <f ca="1">IF($A676="","",MAX($C$7:C676))</f>
        <v/>
      </c>
      <c r="E676" s="154" t="str">
        <f t="shared" ca="1" si="139"/>
        <v/>
      </c>
      <c r="F676" s="152" t="str">
        <f ca="1">IF($A676="","",Returns!$I$674)</f>
        <v/>
      </c>
      <c r="G676" s="153" t="str">
        <f t="shared" ca="1" si="140"/>
        <v/>
      </c>
      <c r="H676" s="153" t="str">
        <f ca="1">IF($A676="","",MAX($G$7:G676))</f>
        <v/>
      </c>
      <c r="I676" s="154" t="str">
        <f t="shared" ca="1" si="141"/>
        <v/>
      </c>
      <c r="J676" s="59" t="str">
        <f t="shared" ca="1" si="142"/>
        <v/>
      </c>
      <c r="K676" s="3"/>
      <c r="L676" t="str">
        <f t="shared" ca="1" si="130"/>
        <v/>
      </c>
      <c r="M676" s="132" t="str">
        <f t="shared" ca="1" si="131"/>
        <v/>
      </c>
      <c r="N676" s="132" t="str">
        <f t="shared" ca="1" si="132"/>
        <v/>
      </c>
      <c r="P676" t="str">
        <f t="shared" ca="1" si="133"/>
        <v/>
      </c>
      <c r="Q676" s="133" t="str">
        <f t="shared" ca="1" si="134"/>
        <v/>
      </c>
      <c r="R676" s="133" t="str">
        <f t="shared" ca="1" si="135"/>
        <v/>
      </c>
      <c r="T676" t="str">
        <f t="shared" ca="1" si="136"/>
        <v/>
      </c>
      <c r="U676" s="134" t="str">
        <f t="shared" ca="1" si="137"/>
        <v/>
      </c>
    </row>
    <row r="677" spans="1:21" x14ac:dyDescent="0.3">
      <c r="A677" s="151" t="str">
        <f ca="1">Returns!$A$675</f>
        <v/>
      </c>
      <c r="B677" s="152" t="str">
        <f ca="1">IF($A677="","",Returns!$J$675)</f>
        <v/>
      </c>
      <c r="C677" s="153" t="str">
        <f t="shared" ca="1" si="138"/>
        <v/>
      </c>
      <c r="D677" s="153" t="str">
        <f ca="1">IF($A677="","",MAX($C$7:C677))</f>
        <v/>
      </c>
      <c r="E677" s="154" t="str">
        <f t="shared" ca="1" si="139"/>
        <v/>
      </c>
      <c r="F677" s="152" t="str">
        <f ca="1">IF($A677="","",Returns!$I$675)</f>
        <v/>
      </c>
      <c r="G677" s="153" t="str">
        <f t="shared" ca="1" si="140"/>
        <v/>
      </c>
      <c r="H677" s="153" t="str">
        <f ca="1">IF($A677="","",MAX($G$7:G677))</f>
        <v/>
      </c>
      <c r="I677" s="154" t="str">
        <f t="shared" ca="1" si="141"/>
        <v/>
      </c>
      <c r="J677" s="59" t="str">
        <f t="shared" ca="1" si="142"/>
        <v/>
      </c>
      <c r="K677" s="3"/>
      <c r="L677" t="str">
        <f t="shared" ca="1" si="130"/>
        <v/>
      </c>
      <c r="M677" s="132" t="str">
        <f t="shared" ca="1" si="131"/>
        <v/>
      </c>
      <c r="N677" s="132" t="str">
        <f t="shared" ca="1" si="132"/>
        <v/>
      </c>
      <c r="P677" t="str">
        <f t="shared" ca="1" si="133"/>
        <v/>
      </c>
      <c r="Q677" s="133" t="str">
        <f t="shared" ca="1" si="134"/>
        <v/>
      </c>
      <c r="R677" s="133" t="str">
        <f t="shared" ca="1" si="135"/>
        <v/>
      </c>
      <c r="T677" t="str">
        <f t="shared" ca="1" si="136"/>
        <v/>
      </c>
      <c r="U677" s="134" t="str">
        <f t="shared" ca="1" si="137"/>
        <v/>
      </c>
    </row>
    <row r="678" spans="1:21" x14ac:dyDescent="0.3">
      <c r="A678" s="151" t="str">
        <f ca="1">Returns!$A$676</f>
        <v/>
      </c>
      <c r="B678" s="152" t="str">
        <f ca="1">IF($A678="","",Returns!$J$676)</f>
        <v/>
      </c>
      <c r="C678" s="153" t="str">
        <f t="shared" ca="1" si="138"/>
        <v/>
      </c>
      <c r="D678" s="153" t="str">
        <f ca="1">IF($A678="","",MAX($C$7:C678))</f>
        <v/>
      </c>
      <c r="E678" s="154" t="str">
        <f t="shared" ca="1" si="139"/>
        <v/>
      </c>
      <c r="F678" s="152" t="str">
        <f ca="1">IF($A678="","",Returns!$I$676)</f>
        <v/>
      </c>
      <c r="G678" s="153" t="str">
        <f t="shared" ca="1" si="140"/>
        <v/>
      </c>
      <c r="H678" s="153" t="str">
        <f ca="1">IF($A678="","",MAX($G$7:G678))</f>
        <v/>
      </c>
      <c r="I678" s="154" t="str">
        <f t="shared" ca="1" si="141"/>
        <v/>
      </c>
      <c r="J678" s="59" t="str">
        <f t="shared" ca="1" si="142"/>
        <v/>
      </c>
      <c r="K678" s="3"/>
      <c r="L678" t="str">
        <f t="shared" ca="1" si="130"/>
        <v/>
      </c>
      <c r="M678" s="132" t="str">
        <f t="shared" ca="1" si="131"/>
        <v/>
      </c>
      <c r="N678" s="132" t="str">
        <f t="shared" ca="1" si="132"/>
        <v/>
      </c>
      <c r="P678" t="str">
        <f t="shared" ca="1" si="133"/>
        <v/>
      </c>
      <c r="Q678" s="133" t="str">
        <f t="shared" ca="1" si="134"/>
        <v/>
      </c>
      <c r="R678" s="133" t="str">
        <f t="shared" ca="1" si="135"/>
        <v/>
      </c>
      <c r="T678" t="str">
        <f t="shared" ca="1" si="136"/>
        <v/>
      </c>
      <c r="U678" s="134" t="str">
        <f t="shared" ca="1" si="137"/>
        <v/>
      </c>
    </row>
    <row r="679" spans="1:21" x14ac:dyDescent="0.3">
      <c r="A679" s="151" t="str">
        <f ca="1">Returns!$A$677</f>
        <v/>
      </c>
      <c r="B679" s="152" t="str">
        <f ca="1">IF($A679="","",Returns!$J$677)</f>
        <v/>
      </c>
      <c r="C679" s="153" t="str">
        <f t="shared" ca="1" si="138"/>
        <v/>
      </c>
      <c r="D679" s="153" t="str">
        <f ca="1">IF($A679="","",MAX($C$7:C679))</f>
        <v/>
      </c>
      <c r="E679" s="154" t="str">
        <f t="shared" ca="1" si="139"/>
        <v/>
      </c>
      <c r="F679" s="152" t="str">
        <f ca="1">IF($A679="","",Returns!$I$677)</f>
        <v/>
      </c>
      <c r="G679" s="153" t="str">
        <f t="shared" ca="1" si="140"/>
        <v/>
      </c>
      <c r="H679" s="153" t="str">
        <f ca="1">IF($A679="","",MAX($G$7:G679))</f>
        <v/>
      </c>
      <c r="I679" s="154" t="str">
        <f t="shared" ca="1" si="141"/>
        <v/>
      </c>
      <c r="J679" s="59" t="str">
        <f t="shared" ca="1" si="142"/>
        <v/>
      </c>
      <c r="K679" s="3"/>
      <c r="L679" t="str">
        <f t="shared" ca="1" si="130"/>
        <v/>
      </c>
      <c r="M679" s="132" t="str">
        <f t="shared" ca="1" si="131"/>
        <v/>
      </c>
      <c r="N679" s="132" t="str">
        <f t="shared" ca="1" si="132"/>
        <v/>
      </c>
      <c r="P679" t="str">
        <f t="shared" ca="1" si="133"/>
        <v/>
      </c>
      <c r="Q679" s="133" t="str">
        <f t="shared" ca="1" si="134"/>
        <v/>
      </c>
      <c r="R679" s="133" t="str">
        <f t="shared" ca="1" si="135"/>
        <v/>
      </c>
      <c r="T679" t="str">
        <f t="shared" ca="1" si="136"/>
        <v/>
      </c>
      <c r="U679" s="134" t="str">
        <f t="shared" ca="1" si="137"/>
        <v/>
      </c>
    </row>
    <row r="680" spans="1:21" x14ac:dyDescent="0.3">
      <c r="A680" s="151" t="str">
        <f ca="1">Returns!$A$678</f>
        <v/>
      </c>
      <c r="B680" s="152" t="str">
        <f ca="1">IF($A680="","",Returns!$J$678)</f>
        <v/>
      </c>
      <c r="C680" s="153" t="str">
        <f t="shared" ca="1" si="138"/>
        <v/>
      </c>
      <c r="D680" s="153" t="str">
        <f ca="1">IF($A680="","",MAX($C$7:C680))</f>
        <v/>
      </c>
      <c r="E680" s="154" t="str">
        <f t="shared" ca="1" si="139"/>
        <v/>
      </c>
      <c r="F680" s="152" t="str">
        <f ca="1">IF($A680="","",Returns!$I$678)</f>
        <v/>
      </c>
      <c r="G680" s="153" t="str">
        <f t="shared" ca="1" si="140"/>
        <v/>
      </c>
      <c r="H680" s="153" t="str">
        <f ca="1">IF($A680="","",MAX($G$7:G680))</f>
        <v/>
      </c>
      <c r="I680" s="154" t="str">
        <f t="shared" ca="1" si="141"/>
        <v/>
      </c>
      <c r="J680" s="59" t="str">
        <f t="shared" ca="1" si="142"/>
        <v/>
      </c>
      <c r="K680" s="3"/>
      <c r="L680" t="str">
        <f t="shared" ca="1" si="130"/>
        <v/>
      </c>
      <c r="M680" s="132" t="str">
        <f t="shared" ca="1" si="131"/>
        <v/>
      </c>
      <c r="N680" s="132" t="str">
        <f t="shared" ca="1" si="132"/>
        <v/>
      </c>
      <c r="P680" t="str">
        <f t="shared" ca="1" si="133"/>
        <v/>
      </c>
      <c r="Q680" s="133" t="str">
        <f t="shared" ca="1" si="134"/>
        <v/>
      </c>
      <c r="R680" s="133" t="str">
        <f t="shared" ca="1" si="135"/>
        <v/>
      </c>
      <c r="T680" t="str">
        <f t="shared" ca="1" si="136"/>
        <v/>
      </c>
      <c r="U680" s="134" t="str">
        <f t="shared" ca="1" si="137"/>
        <v/>
      </c>
    </row>
    <row r="681" spans="1:21" x14ac:dyDescent="0.3">
      <c r="A681" s="151" t="str">
        <f ca="1">Returns!$A$679</f>
        <v/>
      </c>
      <c r="B681" s="152" t="str">
        <f ca="1">IF($A681="","",Returns!$J$679)</f>
        <v/>
      </c>
      <c r="C681" s="153" t="str">
        <f t="shared" ca="1" si="138"/>
        <v/>
      </c>
      <c r="D681" s="153" t="str">
        <f ca="1">IF($A681="","",MAX($C$7:C681))</f>
        <v/>
      </c>
      <c r="E681" s="154" t="str">
        <f t="shared" ca="1" si="139"/>
        <v/>
      </c>
      <c r="F681" s="152" t="str">
        <f ca="1">IF($A681="","",Returns!$I$679)</f>
        <v/>
      </c>
      <c r="G681" s="153" t="str">
        <f t="shared" ca="1" si="140"/>
        <v/>
      </c>
      <c r="H681" s="153" t="str">
        <f ca="1">IF($A681="","",MAX($G$7:G681))</f>
        <v/>
      </c>
      <c r="I681" s="154" t="str">
        <f t="shared" ca="1" si="141"/>
        <v/>
      </c>
      <c r="J681" s="59" t="str">
        <f t="shared" ca="1" si="142"/>
        <v/>
      </c>
      <c r="K681" s="3"/>
      <c r="L681" t="str">
        <f t="shared" ca="1" si="130"/>
        <v/>
      </c>
      <c r="M681" s="132" t="str">
        <f t="shared" ca="1" si="131"/>
        <v/>
      </c>
      <c r="N681" s="132" t="str">
        <f t="shared" ca="1" si="132"/>
        <v/>
      </c>
      <c r="P681" t="str">
        <f t="shared" ca="1" si="133"/>
        <v/>
      </c>
      <c r="Q681" s="133" t="str">
        <f t="shared" ca="1" si="134"/>
        <v/>
      </c>
      <c r="R681" s="133" t="str">
        <f t="shared" ca="1" si="135"/>
        <v/>
      </c>
      <c r="T681" t="str">
        <f t="shared" ca="1" si="136"/>
        <v/>
      </c>
      <c r="U681" s="134" t="str">
        <f t="shared" ca="1" si="137"/>
        <v/>
      </c>
    </row>
    <row r="682" spans="1:21" x14ac:dyDescent="0.3">
      <c r="A682" s="151" t="str">
        <f ca="1">Returns!$A$680</f>
        <v/>
      </c>
      <c r="B682" s="152" t="str">
        <f ca="1">IF($A682="","",Returns!$J$680)</f>
        <v/>
      </c>
      <c r="C682" s="153" t="str">
        <f t="shared" ca="1" si="138"/>
        <v/>
      </c>
      <c r="D682" s="153" t="str">
        <f ca="1">IF($A682="","",MAX($C$7:C682))</f>
        <v/>
      </c>
      <c r="E682" s="154" t="str">
        <f t="shared" ca="1" si="139"/>
        <v/>
      </c>
      <c r="F682" s="152" t="str">
        <f ca="1">IF($A682="","",Returns!$I$680)</f>
        <v/>
      </c>
      <c r="G682" s="153" t="str">
        <f t="shared" ca="1" si="140"/>
        <v/>
      </c>
      <c r="H682" s="153" t="str">
        <f ca="1">IF($A682="","",MAX($G$7:G682))</f>
        <v/>
      </c>
      <c r="I682" s="154" t="str">
        <f t="shared" ca="1" si="141"/>
        <v/>
      </c>
      <c r="J682" s="59" t="str">
        <f t="shared" ca="1" si="142"/>
        <v/>
      </c>
      <c r="K682" s="3"/>
      <c r="L682" t="str">
        <f t="shared" ca="1" si="130"/>
        <v/>
      </c>
      <c r="M682" s="132" t="str">
        <f t="shared" ca="1" si="131"/>
        <v/>
      </c>
      <c r="N682" s="132" t="str">
        <f t="shared" ca="1" si="132"/>
        <v/>
      </c>
      <c r="P682" t="str">
        <f t="shared" ca="1" si="133"/>
        <v/>
      </c>
      <c r="Q682" s="133" t="str">
        <f t="shared" ca="1" si="134"/>
        <v/>
      </c>
      <c r="R682" s="133" t="str">
        <f t="shared" ca="1" si="135"/>
        <v/>
      </c>
      <c r="T682" t="str">
        <f t="shared" ca="1" si="136"/>
        <v/>
      </c>
      <c r="U682" s="134" t="str">
        <f t="shared" ca="1" si="137"/>
        <v/>
      </c>
    </row>
    <row r="683" spans="1:21" x14ac:dyDescent="0.3">
      <c r="A683" s="151" t="str">
        <f ca="1">Returns!$A$681</f>
        <v/>
      </c>
      <c r="B683" s="152" t="str">
        <f ca="1">IF($A683="","",Returns!$J$681)</f>
        <v/>
      </c>
      <c r="C683" s="153" t="str">
        <f t="shared" ca="1" si="138"/>
        <v/>
      </c>
      <c r="D683" s="153" t="str">
        <f ca="1">IF($A683="","",MAX($C$7:C683))</f>
        <v/>
      </c>
      <c r="E683" s="154" t="str">
        <f t="shared" ca="1" si="139"/>
        <v/>
      </c>
      <c r="F683" s="152" t="str">
        <f ca="1">IF($A683="","",Returns!$I$681)</f>
        <v/>
      </c>
      <c r="G683" s="153" t="str">
        <f t="shared" ca="1" si="140"/>
        <v/>
      </c>
      <c r="H683" s="153" t="str">
        <f ca="1">IF($A683="","",MAX($G$7:G683))</f>
        <v/>
      </c>
      <c r="I683" s="154" t="str">
        <f t="shared" ca="1" si="141"/>
        <v/>
      </c>
      <c r="J683" s="59" t="str">
        <f t="shared" ca="1" si="142"/>
        <v/>
      </c>
      <c r="K683" s="3"/>
      <c r="L683" t="str">
        <f t="shared" ca="1" si="130"/>
        <v/>
      </c>
      <c r="M683" s="132" t="str">
        <f t="shared" ca="1" si="131"/>
        <v/>
      </c>
      <c r="N683" s="132" t="str">
        <f t="shared" ca="1" si="132"/>
        <v/>
      </c>
      <c r="P683" t="str">
        <f t="shared" ca="1" si="133"/>
        <v/>
      </c>
      <c r="Q683" s="133" t="str">
        <f t="shared" ca="1" si="134"/>
        <v/>
      </c>
      <c r="R683" s="133" t="str">
        <f t="shared" ca="1" si="135"/>
        <v/>
      </c>
      <c r="T683" t="str">
        <f t="shared" ca="1" si="136"/>
        <v/>
      </c>
      <c r="U683" s="134" t="str">
        <f t="shared" ca="1" si="137"/>
        <v/>
      </c>
    </row>
    <row r="684" spans="1:21" x14ac:dyDescent="0.3">
      <c r="A684" s="151" t="str">
        <f ca="1">Returns!$A$682</f>
        <v/>
      </c>
      <c r="B684" s="152" t="str">
        <f ca="1">IF($A684="","",Returns!$J$682)</f>
        <v/>
      </c>
      <c r="C684" s="153" t="str">
        <f t="shared" ca="1" si="138"/>
        <v/>
      </c>
      <c r="D684" s="153" t="str">
        <f ca="1">IF($A684="","",MAX($C$7:C684))</f>
        <v/>
      </c>
      <c r="E684" s="154" t="str">
        <f t="shared" ca="1" si="139"/>
        <v/>
      </c>
      <c r="F684" s="152" t="str">
        <f ca="1">IF($A684="","",Returns!$I$682)</f>
        <v/>
      </c>
      <c r="G684" s="153" t="str">
        <f t="shared" ca="1" si="140"/>
        <v/>
      </c>
      <c r="H684" s="153" t="str">
        <f ca="1">IF($A684="","",MAX($G$7:G684))</f>
        <v/>
      </c>
      <c r="I684" s="154" t="str">
        <f t="shared" ca="1" si="141"/>
        <v/>
      </c>
      <c r="J684" s="59" t="str">
        <f t="shared" ca="1" si="142"/>
        <v/>
      </c>
      <c r="K684" s="3"/>
      <c r="L684" t="str">
        <f t="shared" ca="1" si="130"/>
        <v/>
      </c>
      <c r="M684" s="132" t="str">
        <f t="shared" ca="1" si="131"/>
        <v/>
      </c>
      <c r="N684" s="132" t="str">
        <f t="shared" ca="1" si="132"/>
        <v/>
      </c>
      <c r="P684" t="str">
        <f t="shared" ca="1" si="133"/>
        <v/>
      </c>
      <c r="Q684" s="133" t="str">
        <f t="shared" ca="1" si="134"/>
        <v/>
      </c>
      <c r="R684" s="133" t="str">
        <f t="shared" ca="1" si="135"/>
        <v/>
      </c>
      <c r="T684" t="str">
        <f t="shared" ca="1" si="136"/>
        <v/>
      </c>
      <c r="U684" s="134" t="str">
        <f t="shared" ca="1" si="137"/>
        <v/>
      </c>
    </row>
    <row r="685" spans="1:21" x14ac:dyDescent="0.3">
      <c r="A685" s="151" t="str">
        <f ca="1">Returns!$A$683</f>
        <v/>
      </c>
      <c r="B685" s="152" t="str">
        <f ca="1">IF($A685="","",Returns!$J$683)</f>
        <v/>
      </c>
      <c r="C685" s="153" t="str">
        <f t="shared" ca="1" si="138"/>
        <v/>
      </c>
      <c r="D685" s="153" t="str">
        <f ca="1">IF($A685="","",MAX($C$7:C685))</f>
        <v/>
      </c>
      <c r="E685" s="154" t="str">
        <f t="shared" ca="1" si="139"/>
        <v/>
      </c>
      <c r="F685" s="152" t="str">
        <f ca="1">IF($A685="","",Returns!$I$683)</f>
        <v/>
      </c>
      <c r="G685" s="153" t="str">
        <f t="shared" ca="1" si="140"/>
        <v/>
      </c>
      <c r="H685" s="153" t="str">
        <f ca="1">IF($A685="","",MAX($G$7:G685))</f>
        <v/>
      </c>
      <c r="I685" s="154" t="str">
        <f t="shared" ca="1" si="141"/>
        <v/>
      </c>
      <c r="J685" s="59" t="str">
        <f t="shared" ca="1" si="142"/>
        <v/>
      </c>
      <c r="K685" s="3"/>
      <c r="L685" t="str">
        <f t="shared" ca="1" si="130"/>
        <v/>
      </c>
      <c r="M685" s="132" t="str">
        <f t="shared" ca="1" si="131"/>
        <v/>
      </c>
      <c r="N685" s="132" t="str">
        <f t="shared" ca="1" si="132"/>
        <v/>
      </c>
      <c r="P685" t="str">
        <f t="shared" ca="1" si="133"/>
        <v/>
      </c>
      <c r="Q685" s="133" t="str">
        <f t="shared" ca="1" si="134"/>
        <v/>
      </c>
      <c r="R685" s="133" t="str">
        <f t="shared" ca="1" si="135"/>
        <v/>
      </c>
      <c r="T685" t="str">
        <f t="shared" ca="1" si="136"/>
        <v/>
      </c>
      <c r="U685" s="134" t="str">
        <f t="shared" ca="1" si="137"/>
        <v/>
      </c>
    </row>
    <row r="686" spans="1:21" x14ac:dyDescent="0.3">
      <c r="A686" s="151" t="str">
        <f ca="1">Returns!$A$684</f>
        <v/>
      </c>
      <c r="B686" s="152" t="str">
        <f ca="1">IF($A686="","",Returns!$J$684)</f>
        <v/>
      </c>
      <c r="C686" s="153" t="str">
        <f t="shared" ca="1" si="138"/>
        <v/>
      </c>
      <c r="D686" s="153" t="str">
        <f ca="1">IF($A686="","",MAX($C$7:C686))</f>
        <v/>
      </c>
      <c r="E686" s="154" t="str">
        <f t="shared" ca="1" si="139"/>
        <v/>
      </c>
      <c r="F686" s="152" t="str">
        <f ca="1">IF($A686="","",Returns!$I$684)</f>
        <v/>
      </c>
      <c r="G686" s="153" t="str">
        <f t="shared" ca="1" si="140"/>
        <v/>
      </c>
      <c r="H686" s="153" t="str">
        <f ca="1">IF($A686="","",MAX($G$7:G686))</f>
        <v/>
      </c>
      <c r="I686" s="154" t="str">
        <f t="shared" ca="1" si="141"/>
        <v/>
      </c>
      <c r="J686" s="59" t="str">
        <f t="shared" ca="1" si="142"/>
        <v/>
      </c>
      <c r="K686" s="3"/>
      <c r="L686" t="str">
        <f t="shared" ca="1" si="130"/>
        <v/>
      </c>
      <c r="M686" s="132" t="str">
        <f t="shared" ca="1" si="131"/>
        <v/>
      </c>
      <c r="N686" s="132" t="str">
        <f t="shared" ca="1" si="132"/>
        <v/>
      </c>
      <c r="P686" t="str">
        <f t="shared" ca="1" si="133"/>
        <v/>
      </c>
      <c r="Q686" s="133" t="str">
        <f t="shared" ca="1" si="134"/>
        <v/>
      </c>
      <c r="R686" s="133" t="str">
        <f t="shared" ca="1" si="135"/>
        <v/>
      </c>
      <c r="T686" t="str">
        <f t="shared" ca="1" si="136"/>
        <v/>
      </c>
      <c r="U686" s="134" t="str">
        <f t="shared" ca="1" si="137"/>
        <v/>
      </c>
    </row>
    <row r="687" spans="1:21" x14ac:dyDescent="0.3">
      <c r="A687" s="151" t="str">
        <f ca="1">Returns!$A$685</f>
        <v/>
      </c>
      <c r="B687" s="152" t="str">
        <f ca="1">IF($A687="","",Returns!$J$685)</f>
        <v/>
      </c>
      <c r="C687" s="153" t="str">
        <f t="shared" ca="1" si="138"/>
        <v/>
      </c>
      <c r="D687" s="153" t="str">
        <f ca="1">IF($A687="","",MAX($C$7:C687))</f>
        <v/>
      </c>
      <c r="E687" s="154" t="str">
        <f t="shared" ca="1" si="139"/>
        <v/>
      </c>
      <c r="F687" s="152" t="str">
        <f ca="1">IF($A687="","",Returns!$I$685)</f>
        <v/>
      </c>
      <c r="G687" s="153" t="str">
        <f t="shared" ca="1" si="140"/>
        <v/>
      </c>
      <c r="H687" s="153" t="str">
        <f ca="1">IF($A687="","",MAX($G$7:G687))</f>
        <v/>
      </c>
      <c r="I687" s="154" t="str">
        <f t="shared" ca="1" si="141"/>
        <v/>
      </c>
      <c r="J687" s="59" t="str">
        <f t="shared" ca="1" si="142"/>
        <v/>
      </c>
      <c r="K687" s="3"/>
      <c r="L687" t="str">
        <f t="shared" ca="1" si="130"/>
        <v/>
      </c>
      <c r="M687" s="132" t="str">
        <f t="shared" ca="1" si="131"/>
        <v/>
      </c>
      <c r="N687" s="132" t="str">
        <f t="shared" ca="1" si="132"/>
        <v/>
      </c>
      <c r="P687" t="str">
        <f t="shared" ca="1" si="133"/>
        <v/>
      </c>
      <c r="Q687" s="133" t="str">
        <f t="shared" ca="1" si="134"/>
        <v/>
      </c>
      <c r="R687" s="133" t="str">
        <f t="shared" ca="1" si="135"/>
        <v/>
      </c>
      <c r="T687" t="str">
        <f t="shared" ca="1" si="136"/>
        <v/>
      </c>
      <c r="U687" s="134" t="str">
        <f t="shared" ca="1" si="137"/>
        <v/>
      </c>
    </row>
    <row r="688" spans="1:21" x14ac:dyDescent="0.3">
      <c r="A688" s="151" t="str">
        <f ca="1">Returns!$A$686</f>
        <v/>
      </c>
      <c r="B688" s="152" t="str">
        <f ca="1">IF($A688="","",Returns!$J$686)</f>
        <v/>
      </c>
      <c r="C688" s="153" t="str">
        <f t="shared" ca="1" si="138"/>
        <v/>
      </c>
      <c r="D688" s="153" t="str">
        <f ca="1">IF($A688="","",MAX($C$7:C688))</f>
        <v/>
      </c>
      <c r="E688" s="154" t="str">
        <f t="shared" ca="1" si="139"/>
        <v/>
      </c>
      <c r="F688" s="152" t="str">
        <f ca="1">IF($A688="","",Returns!$I$686)</f>
        <v/>
      </c>
      <c r="G688" s="153" t="str">
        <f t="shared" ca="1" si="140"/>
        <v/>
      </c>
      <c r="H688" s="153" t="str">
        <f ca="1">IF($A688="","",MAX($G$7:G688))</f>
        <v/>
      </c>
      <c r="I688" s="154" t="str">
        <f t="shared" ca="1" si="141"/>
        <v/>
      </c>
      <c r="J688" s="59" t="str">
        <f t="shared" ca="1" si="142"/>
        <v/>
      </c>
      <c r="K688" s="3"/>
      <c r="L688" t="str">
        <f t="shared" ca="1" si="130"/>
        <v/>
      </c>
      <c r="M688" s="132" t="str">
        <f t="shared" ca="1" si="131"/>
        <v/>
      </c>
      <c r="N688" s="132" t="str">
        <f t="shared" ca="1" si="132"/>
        <v/>
      </c>
      <c r="P688" t="str">
        <f t="shared" ca="1" si="133"/>
        <v/>
      </c>
      <c r="Q688" s="133" t="str">
        <f t="shared" ca="1" si="134"/>
        <v/>
      </c>
      <c r="R688" s="133" t="str">
        <f t="shared" ca="1" si="135"/>
        <v/>
      </c>
      <c r="T688" t="str">
        <f t="shared" ca="1" si="136"/>
        <v/>
      </c>
      <c r="U688" s="134" t="str">
        <f t="shared" ca="1" si="137"/>
        <v/>
      </c>
    </row>
    <row r="689" spans="1:21" x14ac:dyDescent="0.3">
      <c r="A689" s="151" t="str">
        <f ca="1">Returns!$A$687</f>
        <v/>
      </c>
      <c r="B689" s="152" t="str">
        <f ca="1">IF($A689="","",Returns!$J$687)</f>
        <v/>
      </c>
      <c r="C689" s="153" t="str">
        <f t="shared" ca="1" si="138"/>
        <v/>
      </c>
      <c r="D689" s="153" t="str">
        <f ca="1">IF($A689="","",MAX($C$7:C689))</f>
        <v/>
      </c>
      <c r="E689" s="154" t="str">
        <f t="shared" ca="1" si="139"/>
        <v/>
      </c>
      <c r="F689" s="152" t="str">
        <f ca="1">IF($A689="","",Returns!$I$687)</f>
        <v/>
      </c>
      <c r="G689" s="153" t="str">
        <f t="shared" ca="1" si="140"/>
        <v/>
      </c>
      <c r="H689" s="153" t="str">
        <f ca="1">IF($A689="","",MAX($G$7:G689))</f>
        <v/>
      </c>
      <c r="I689" s="154" t="str">
        <f t="shared" ca="1" si="141"/>
        <v/>
      </c>
      <c r="J689" s="59" t="str">
        <f t="shared" ca="1" si="142"/>
        <v/>
      </c>
      <c r="K689" s="3"/>
      <c r="L689" t="str">
        <f t="shared" ca="1" si="130"/>
        <v/>
      </c>
      <c r="M689" s="132" t="str">
        <f t="shared" ca="1" si="131"/>
        <v/>
      </c>
      <c r="N689" s="132" t="str">
        <f t="shared" ca="1" si="132"/>
        <v/>
      </c>
      <c r="P689" t="str">
        <f t="shared" ca="1" si="133"/>
        <v/>
      </c>
      <c r="Q689" s="133" t="str">
        <f t="shared" ca="1" si="134"/>
        <v/>
      </c>
      <c r="R689" s="133" t="str">
        <f t="shared" ca="1" si="135"/>
        <v/>
      </c>
      <c r="T689" t="str">
        <f t="shared" ca="1" si="136"/>
        <v/>
      </c>
      <c r="U689" s="134" t="str">
        <f t="shared" ca="1" si="137"/>
        <v/>
      </c>
    </row>
    <row r="690" spans="1:21" x14ac:dyDescent="0.3">
      <c r="A690" s="151" t="str">
        <f ca="1">Returns!$A$688</f>
        <v/>
      </c>
      <c r="B690" s="152" t="str">
        <f ca="1">IF($A690="","",Returns!$J$688)</f>
        <v/>
      </c>
      <c r="C690" s="153" t="str">
        <f t="shared" ca="1" si="138"/>
        <v/>
      </c>
      <c r="D690" s="153" t="str">
        <f ca="1">IF($A690="","",MAX($C$7:C690))</f>
        <v/>
      </c>
      <c r="E690" s="154" t="str">
        <f t="shared" ca="1" si="139"/>
        <v/>
      </c>
      <c r="F690" s="152" t="str">
        <f ca="1">IF($A690="","",Returns!$I$688)</f>
        <v/>
      </c>
      <c r="G690" s="153" t="str">
        <f t="shared" ca="1" si="140"/>
        <v/>
      </c>
      <c r="H690" s="153" t="str">
        <f ca="1">IF($A690="","",MAX($G$7:G690))</f>
        <v/>
      </c>
      <c r="I690" s="154" t="str">
        <f t="shared" ca="1" si="141"/>
        <v/>
      </c>
      <c r="J690" s="59" t="str">
        <f t="shared" ca="1" si="142"/>
        <v/>
      </c>
      <c r="K690" s="3"/>
      <c r="L690" t="str">
        <f t="shared" ca="1" si="130"/>
        <v/>
      </c>
      <c r="M690" s="132" t="str">
        <f t="shared" ca="1" si="131"/>
        <v/>
      </c>
      <c r="N690" s="132" t="str">
        <f t="shared" ca="1" si="132"/>
        <v/>
      </c>
      <c r="P690" t="str">
        <f t="shared" ca="1" si="133"/>
        <v/>
      </c>
      <c r="Q690" s="133" t="str">
        <f t="shared" ca="1" si="134"/>
        <v/>
      </c>
      <c r="R690" s="133" t="str">
        <f t="shared" ca="1" si="135"/>
        <v/>
      </c>
      <c r="T690" t="str">
        <f t="shared" ca="1" si="136"/>
        <v/>
      </c>
      <c r="U690" s="134" t="str">
        <f t="shared" ca="1" si="137"/>
        <v/>
      </c>
    </row>
    <row r="691" spans="1:21" x14ac:dyDescent="0.3">
      <c r="A691" s="151" t="str">
        <f ca="1">Returns!$A$689</f>
        <v/>
      </c>
      <c r="B691" s="152" t="str">
        <f ca="1">IF($A691="","",Returns!$J$689)</f>
        <v/>
      </c>
      <c r="C691" s="153" t="str">
        <f t="shared" ca="1" si="138"/>
        <v/>
      </c>
      <c r="D691" s="153" t="str">
        <f ca="1">IF($A691="","",MAX($C$7:C691))</f>
        <v/>
      </c>
      <c r="E691" s="154" t="str">
        <f t="shared" ca="1" si="139"/>
        <v/>
      </c>
      <c r="F691" s="152" t="str">
        <f ca="1">IF($A691="","",Returns!$I$689)</f>
        <v/>
      </c>
      <c r="G691" s="153" t="str">
        <f t="shared" ca="1" si="140"/>
        <v/>
      </c>
      <c r="H691" s="153" t="str">
        <f ca="1">IF($A691="","",MAX($G$7:G691))</f>
        <v/>
      </c>
      <c r="I691" s="154" t="str">
        <f t="shared" ca="1" si="141"/>
        <v/>
      </c>
      <c r="J691" s="59" t="str">
        <f t="shared" ca="1" si="142"/>
        <v/>
      </c>
      <c r="K691" s="3"/>
      <c r="L691" t="str">
        <f t="shared" ca="1" si="130"/>
        <v/>
      </c>
      <c r="M691" s="132" t="str">
        <f t="shared" ca="1" si="131"/>
        <v/>
      </c>
      <c r="N691" s="132" t="str">
        <f t="shared" ca="1" si="132"/>
        <v/>
      </c>
      <c r="P691" t="str">
        <f t="shared" ca="1" si="133"/>
        <v/>
      </c>
      <c r="Q691" s="133" t="str">
        <f t="shared" ca="1" si="134"/>
        <v/>
      </c>
      <c r="R691" s="133" t="str">
        <f t="shared" ca="1" si="135"/>
        <v/>
      </c>
      <c r="T691" t="str">
        <f t="shared" ca="1" si="136"/>
        <v/>
      </c>
      <c r="U691" s="134" t="str">
        <f t="shared" ca="1" si="137"/>
        <v/>
      </c>
    </row>
    <row r="692" spans="1:21" x14ac:dyDescent="0.3">
      <c r="A692" s="151" t="str">
        <f ca="1">Returns!$A$690</f>
        <v/>
      </c>
      <c r="B692" s="152" t="str">
        <f ca="1">IF($A692="","",Returns!$J$690)</f>
        <v/>
      </c>
      <c r="C692" s="153" t="str">
        <f t="shared" ca="1" si="138"/>
        <v/>
      </c>
      <c r="D692" s="153" t="str">
        <f ca="1">IF($A692="","",MAX($C$7:C692))</f>
        <v/>
      </c>
      <c r="E692" s="154" t="str">
        <f t="shared" ca="1" si="139"/>
        <v/>
      </c>
      <c r="F692" s="152" t="str">
        <f ca="1">IF($A692="","",Returns!$I$690)</f>
        <v/>
      </c>
      <c r="G692" s="153" t="str">
        <f t="shared" ca="1" si="140"/>
        <v/>
      </c>
      <c r="H692" s="153" t="str">
        <f ca="1">IF($A692="","",MAX($G$7:G692))</f>
        <v/>
      </c>
      <c r="I692" s="154" t="str">
        <f t="shared" ca="1" si="141"/>
        <v/>
      </c>
      <c r="J692" s="59" t="str">
        <f t="shared" ca="1" si="142"/>
        <v/>
      </c>
      <c r="K692" s="3"/>
      <c r="L692" t="str">
        <f t="shared" ca="1" si="130"/>
        <v/>
      </c>
      <c r="M692" s="132" t="str">
        <f t="shared" ca="1" si="131"/>
        <v/>
      </c>
      <c r="N692" s="132" t="str">
        <f t="shared" ca="1" si="132"/>
        <v/>
      </c>
      <c r="P692" t="str">
        <f t="shared" ca="1" si="133"/>
        <v/>
      </c>
      <c r="Q692" s="133" t="str">
        <f t="shared" ca="1" si="134"/>
        <v/>
      </c>
      <c r="R692" s="133" t="str">
        <f t="shared" ca="1" si="135"/>
        <v/>
      </c>
      <c r="T692" t="str">
        <f t="shared" ca="1" si="136"/>
        <v/>
      </c>
      <c r="U692" s="134" t="str">
        <f t="shared" ca="1" si="137"/>
        <v/>
      </c>
    </row>
    <row r="693" spans="1:21" x14ac:dyDescent="0.3">
      <c r="A693" s="151" t="str">
        <f ca="1">Returns!$A$691</f>
        <v/>
      </c>
      <c r="B693" s="152" t="str">
        <f ca="1">IF($A693="","",Returns!$J$691)</f>
        <v/>
      </c>
      <c r="C693" s="153" t="str">
        <f t="shared" ca="1" si="138"/>
        <v/>
      </c>
      <c r="D693" s="153" t="str">
        <f ca="1">IF($A693="","",MAX($C$7:C693))</f>
        <v/>
      </c>
      <c r="E693" s="154" t="str">
        <f t="shared" ca="1" si="139"/>
        <v/>
      </c>
      <c r="F693" s="152" t="str">
        <f ca="1">IF($A693="","",Returns!$I$691)</f>
        <v/>
      </c>
      <c r="G693" s="153" t="str">
        <f t="shared" ca="1" si="140"/>
        <v/>
      </c>
      <c r="H693" s="153" t="str">
        <f ca="1">IF($A693="","",MAX($G$7:G693))</f>
        <v/>
      </c>
      <c r="I693" s="154" t="str">
        <f t="shared" ca="1" si="141"/>
        <v/>
      </c>
      <c r="J693" s="59" t="str">
        <f t="shared" ca="1" si="142"/>
        <v/>
      </c>
      <c r="K693" s="3"/>
      <c r="L693" t="str">
        <f t="shared" ca="1" si="130"/>
        <v/>
      </c>
      <c r="M693" s="132" t="str">
        <f t="shared" ca="1" si="131"/>
        <v/>
      </c>
      <c r="N693" s="132" t="str">
        <f t="shared" ca="1" si="132"/>
        <v/>
      </c>
      <c r="P693" t="str">
        <f t="shared" ca="1" si="133"/>
        <v/>
      </c>
      <c r="Q693" s="133" t="str">
        <f t="shared" ca="1" si="134"/>
        <v/>
      </c>
      <c r="R693" s="133" t="str">
        <f t="shared" ca="1" si="135"/>
        <v/>
      </c>
      <c r="T693" t="str">
        <f t="shared" ca="1" si="136"/>
        <v/>
      </c>
      <c r="U693" s="134" t="str">
        <f t="shared" ca="1" si="137"/>
        <v/>
      </c>
    </row>
    <row r="694" spans="1:21" x14ac:dyDescent="0.3">
      <c r="A694" s="151" t="str">
        <f ca="1">Returns!$A$692</f>
        <v/>
      </c>
      <c r="B694" s="152" t="str">
        <f ca="1">IF($A694="","",Returns!$J$692)</f>
        <v/>
      </c>
      <c r="C694" s="153" t="str">
        <f t="shared" ca="1" si="138"/>
        <v/>
      </c>
      <c r="D694" s="153" t="str">
        <f ca="1">IF($A694="","",MAX($C$7:C694))</f>
        <v/>
      </c>
      <c r="E694" s="154" t="str">
        <f t="shared" ca="1" si="139"/>
        <v/>
      </c>
      <c r="F694" s="152" t="str">
        <f ca="1">IF($A694="","",Returns!$I$692)</f>
        <v/>
      </c>
      <c r="G694" s="153" t="str">
        <f t="shared" ca="1" si="140"/>
        <v/>
      </c>
      <c r="H694" s="153" t="str">
        <f ca="1">IF($A694="","",MAX($G$7:G694))</f>
        <v/>
      </c>
      <c r="I694" s="154" t="str">
        <f t="shared" ca="1" si="141"/>
        <v/>
      </c>
      <c r="J694" s="59" t="str">
        <f t="shared" ca="1" si="142"/>
        <v/>
      </c>
      <c r="K694" s="3"/>
      <c r="L694" t="str">
        <f t="shared" ca="1" si="130"/>
        <v/>
      </c>
      <c r="M694" s="132" t="str">
        <f t="shared" ca="1" si="131"/>
        <v/>
      </c>
      <c r="N694" s="132" t="str">
        <f t="shared" ca="1" si="132"/>
        <v/>
      </c>
      <c r="P694" t="str">
        <f t="shared" ca="1" si="133"/>
        <v/>
      </c>
      <c r="Q694" s="133" t="str">
        <f t="shared" ca="1" si="134"/>
        <v/>
      </c>
      <c r="R694" s="133" t="str">
        <f t="shared" ca="1" si="135"/>
        <v/>
      </c>
      <c r="T694" t="str">
        <f t="shared" ca="1" si="136"/>
        <v/>
      </c>
      <c r="U694" s="134" t="str">
        <f t="shared" ca="1" si="137"/>
        <v/>
      </c>
    </row>
    <row r="695" spans="1:21" x14ac:dyDescent="0.3">
      <c r="A695" s="151" t="str">
        <f ca="1">Returns!$A$693</f>
        <v/>
      </c>
      <c r="B695" s="152" t="str">
        <f ca="1">IF($A695="","",Returns!$J$693)</f>
        <v/>
      </c>
      <c r="C695" s="153" t="str">
        <f t="shared" ca="1" si="138"/>
        <v/>
      </c>
      <c r="D695" s="153" t="str">
        <f ca="1">IF($A695="","",MAX($C$7:C695))</f>
        <v/>
      </c>
      <c r="E695" s="154" t="str">
        <f t="shared" ca="1" si="139"/>
        <v/>
      </c>
      <c r="F695" s="152" t="str">
        <f ca="1">IF($A695="","",Returns!$I$693)</f>
        <v/>
      </c>
      <c r="G695" s="153" t="str">
        <f t="shared" ca="1" si="140"/>
        <v/>
      </c>
      <c r="H695" s="153" t="str">
        <f ca="1">IF($A695="","",MAX($G$7:G695))</f>
        <v/>
      </c>
      <c r="I695" s="154" t="str">
        <f t="shared" ca="1" si="141"/>
        <v/>
      </c>
      <c r="J695" s="59" t="str">
        <f t="shared" ca="1" si="142"/>
        <v/>
      </c>
      <c r="K695" s="3"/>
      <c r="L695" t="str">
        <f t="shared" ca="1" si="130"/>
        <v/>
      </c>
      <c r="M695" s="132" t="str">
        <f t="shared" ca="1" si="131"/>
        <v/>
      </c>
      <c r="N695" s="132" t="str">
        <f t="shared" ca="1" si="132"/>
        <v/>
      </c>
      <c r="P695" t="str">
        <f t="shared" ca="1" si="133"/>
        <v/>
      </c>
      <c r="Q695" s="133" t="str">
        <f t="shared" ca="1" si="134"/>
        <v/>
      </c>
      <c r="R695" s="133" t="str">
        <f t="shared" ca="1" si="135"/>
        <v/>
      </c>
      <c r="T695" t="str">
        <f t="shared" ca="1" si="136"/>
        <v/>
      </c>
      <c r="U695" s="134" t="str">
        <f t="shared" ca="1" si="137"/>
        <v/>
      </c>
    </row>
    <row r="696" spans="1:21" x14ac:dyDescent="0.3">
      <c r="A696" s="151" t="str">
        <f ca="1">Returns!$A$694</f>
        <v/>
      </c>
      <c r="B696" s="152" t="str">
        <f ca="1">IF($A696="","",Returns!$J$694)</f>
        <v/>
      </c>
      <c r="C696" s="153" t="str">
        <f t="shared" ca="1" si="138"/>
        <v/>
      </c>
      <c r="D696" s="153" t="str">
        <f ca="1">IF($A696="","",MAX($C$7:C696))</f>
        <v/>
      </c>
      <c r="E696" s="154" t="str">
        <f t="shared" ca="1" si="139"/>
        <v/>
      </c>
      <c r="F696" s="152" t="str">
        <f ca="1">IF($A696="","",Returns!$I$694)</f>
        <v/>
      </c>
      <c r="G696" s="153" t="str">
        <f t="shared" ca="1" si="140"/>
        <v/>
      </c>
      <c r="H696" s="153" t="str">
        <f ca="1">IF($A696="","",MAX($G$7:G696))</f>
        <v/>
      </c>
      <c r="I696" s="154" t="str">
        <f t="shared" ca="1" si="141"/>
        <v/>
      </c>
      <c r="J696" s="59" t="str">
        <f t="shared" ca="1" si="142"/>
        <v/>
      </c>
      <c r="K696" s="3"/>
      <c r="L696" t="str">
        <f t="shared" ca="1" si="130"/>
        <v/>
      </c>
      <c r="M696" s="132" t="str">
        <f t="shared" ca="1" si="131"/>
        <v/>
      </c>
      <c r="N696" s="132" t="str">
        <f t="shared" ca="1" si="132"/>
        <v/>
      </c>
      <c r="P696" t="str">
        <f t="shared" ca="1" si="133"/>
        <v/>
      </c>
      <c r="Q696" s="133" t="str">
        <f t="shared" ca="1" si="134"/>
        <v/>
      </c>
      <c r="R696" s="133" t="str">
        <f t="shared" ca="1" si="135"/>
        <v/>
      </c>
      <c r="T696" t="str">
        <f t="shared" ca="1" si="136"/>
        <v/>
      </c>
      <c r="U696" s="134" t="str">
        <f t="shared" ca="1" si="137"/>
        <v/>
      </c>
    </row>
    <row r="697" spans="1:21" x14ac:dyDescent="0.3">
      <c r="A697" s="151" t="str">
        <f ca="1">Returns!$A$695</f>
        <v/>
      </c>
      <c r="B697" s="152" t="str">
        <f ca="1">IF($A697="","",Returns!$J$695)</f>
        <v/>
      </c>
      <c r="C697" s="153" t="str">
        <f t="shared" ca="1" si="138"/>
        <v/>
      </c>
      <c r="D697" s="153" t="str">
        <f ca="1">IF($A697="","",MAX($C$7:C697))</f>
        <v/>
      </c>
      <c r="E697" s="154" t="str">
        <f t="shared" ca="1" si="139"/>
        <v/>
      </c>
      <c r="F697" s="152" t="str">
        <f ca="1">IF($A697="","",Returns!$I$695)</f>
        <v/>
      </c>
      <c r="G697" s="153" t="str">
        <f t="shared" ca="1" si="140"/>
        <v/>
      </c>
      <c r="H697" s="153" t="str">
        <f ca="1">IF($A697="","",MAX($G$7:G697))</f>
        <v/>
      </c>
      <c r="I697" s="154" t="str">
        <f t="shared" ca="1" si="141"/>
        <v/>
      </c>
      <c r="J697" s="59" t="str">
        <f t="shared" ca="1" si="142"/>
        <v/>
      </c>
      <c r="K697" s="3"/>
      <c r="L697" t="str">
        <f t="shared" ca="1" si="130"/>
        <v/>
      </c>
      <c r="M697" s="132" t="str">
        <f t="shared" ca="1" si="131"/>
        <v/>
      </c>
      <c r="N697" s="132" t="str">
        <f t="shared" ca="1" si="132"/>
        <v/>
      </c>
      <c r="P697" t="str">
        <f t="shared" ca="1" si="133"/>
        <v/>
      </c>
      <c r="Q697" s="133" t="str">
        <f t="shared" ca="1" si="134"/>
        <v/>
      </c>
      <c r="R697" s="133" t="str">
        <f t="shared" ca="1" si="135"/>
        <v/>
      </c>
      <c r="T697" t="str">
        <f t="shared" ca="1" si="136"/>
        <v/>
      </c>
      <c r="U697" s="134" t="str">
        <f t="shared" ca="1" si="137"/>
        <v/>
      </c>
    </row>
    <row r="698" spans="1:21" x14ac:dyDescent="0.3">
      <c r="A698" s="151" t="str">
        <f ca="1">Returns!$A$696</f>
        <v/>
      </c>
      <c r="B698" s="152" t="str">
        <f ca="1">IF($A698="","",Returns!$J$696)</f>
        <v/>
      </c>
      <c r="C698" s="153" t="str">
        <f t="shared" ca="1" si="138"/>
        <v/>
      </c>
      <c r="D698" s="153" t="str">
        <f ca="1">IF($A698="","",MAX($C$7:C698))</f>
        <v/>
      </c>
      <c r="E698" s="154" t="str">
        <f t="shared" ca="1" si="139"/>
        <v/>
      </c>
      <c r="F698" s="152" t="str">
        <f ca="1">IF($A698="","",Returns!$I$696)</f>
        <v/>
      </c>
      <c r="G698" s="153" t="str">
        <f t="shared" ca="1" si="140"/>
        <v/>
      </c>
      <c r="H698" s="153" t="str">
        <f ca="1">IF($A698="","",MAX($G$7:G698))</f>
        <v/>
      </c>
      <c r="I698" s="154" t="str">
        <f t="shared" ca="1" si="141"/>
        <v/>
      </c>
      <c r="J698" s="59" t="str">
        <f t="shared" ca="1" si="142"/>
        <v/>
      </c>
      <c r="K698" s="3"/>
      <c r="L698" t="str">
        <f t="shared" ca="1" si="130"/>
        <v/>
      </c>
      <c r="M698" s="132" t="str">
        <f t="shared" ca="1" si="131"/>
        <v/>
      </c>
      <c r="N698" s="132" t="str">
        <f t="shared" ca="1" si="132"/>
        <v/>
      </c>
      <c r="P698" t="str">
        <f t="shared" ca="1" si="133"/>
        <v/>
      </c>
      <c r="Q698" s="133" t="str">
        <f t="shared" ca="1" si="134"/>
        <v/>
      </c>
      <c r="R698" s="133" t="str">
        <f t="shared" ca="1" si="135"/>
        <v/>
      </c>
      <c r="T698" t="str">
        <f t="shared" ca="1" si="136"/>
        <v/>
      </c>
      <c r="U698" s="134" t="str">
        <f t="shared" ca="1" si="137"/>
        <v/>
      </c>
    </row>
    <row r="699" spans="1:21" x14ac:dyDescent="0.3">
      <c r="A699" s="151" t="str">
        <f ca="1">Returns!$A$697</f>
        <v/>
      </c>
      <c r="B699" s="152" t="str">
        <f ca="1">IF($A699="","",Returns!$J$697)</f>
        <v/>
      </c>
      <c r="C699" s="153" t="str">
        <f t="shared" ca="1" si="138"/>
        <v/>
      </c>
      <c r="D699" s="153" t="str">
        <f ca="1">IF($A699="","",MAX($C$7:C699))</f>
        <v/>
      </c>
      <c r="E699" s="154" t="str">
        <f t="shared" ca="1" si="139"/>
        <v/>
      </c>
      <c r="F699" s="152" t="str">
        <f ca="1">IF($A699="","",Returns!$I$697)</f>
        <v/>
      </c>
      <c r="G699" s="153" t="str">
        <f t="shared" ca="1" si="140"/>
        <v/>
      </c>
      <c r="H699" s="153" t="str">
        <f ca="1">IF($A699="","",MAX($G$7:G699))</f>
        <v/>
      </c>
      <c r="I699" s="154" t="str">
        <f t="shared" ca="1" si="141"/>
        <v/>
      </c>
      <c r="J699" s="59" t="str">
        <f t="shared" ca="1" si="142"/>
        <v/>
      </c>
      <c r="K699" s="3"/>
      <c r="L699" t="str">
        <f t="shared" ca="1" si="130"/>
        <v/>
      </c>
      <c r="M699" s="132" t="str">
        <f t="shared" ca="1" si="131"/>
        <v/>
      </c>
      <c r="N699" s="132" t="str">
        <f t="shared" ca="1" si="132"/>
        <v/>
      </c>
      <c r="P699" t="str">
        <f t="shared" ca="1" si="133"/>
        <v/>
      </c>
      <c r="Q699" s="133" t="str">
        <f t="shared" ca="1" si="134"/>
        <v/>
      </c>
      <c r="R699" s="133" t="str">
        <f t="shared" ca="1" si="135"/>
        <v/>
      </c>
      <c r="T699" t="str">
        <f t="shared" ca="1" si="136"/>
        <v/>
      </c>
      <c r="U699" s="134" t="str">
        <f t="shared" ca="1" si="137"/>
        <v/>
      </c>
    </row>
    <row r="700" spans="1:21" x14ac:dyDescent="0.3">
      <c r="A700" s="151" t="str">
        <f ca="1">Returns!$A$698</f>
        <v/>
      </c>
      <c r="B700" s="152" t="str">
        <f ca="1">IF($A700="","",Returns!$J$698)</f>
        <v/>
      </c>
      <c r="C700" s="153" t="str">
        <f t="shared" ca="1" si="138"/>
        <v/>
      </c>
      <c r="D700" s="153" t="str">
        <f ca="1">IF($A700="","",MAX($C$7:C700))</f>
        <v/>
      </c>
      <c r="E700" s="154" t="str">
        <f t="shared" ca="1" si="139"/>
        <v/>
      </c>
      <c r="F700" s="152" t="str">
        <f ca="1">IF($A700="","",Returns!$I$698)</f>
        <v/>
      </c>
      <c r="G700" s="153" t="str">
        <f t="shared" ca="1" si="140"/>
        <v/>
      </c>
      <c r="H700" s="153" t="str">
        <f ca="1">IF($A700="","",MAX($G$7:G700))</f>
        <v/>
      </c>
      <c r="I700" s="154" t="str">
        <f t="shared" ca="1" si="141"/>
        <v/>
      </c>
      <c r="J700" s="59" t="str">
        <f t="shared" ca="1" si="142"/>
        <v/>
      </c>
      <c r="K700" s="3"/>
      <c r="L700" t="str">
        <f t="shared" ca="1" si="130"/>
        <v/>
      </c>
      <c r="M700" s="132" t="str">
        <f t="shared" ca="1" si="131"/>
        <v/>
      </c>
      <c r="N700" s="132" t="str">
        <f t="shared" ca="1" si="132"/>
        <v/>
      </c>
      <c r="P700" t="str">
        <f t="shared" ca="1" si="133"/>
        <v/>
      </c>
      <c r="Q700" s="133" t="str">
        <f t="shared" ca="1" si="134"/>
        <v/>
      </c>
      <c r="R700" s="133" t="str">
        <f t="shared" ca="1" si="135"/>
        <v/>
      </c>
      <c r="T700" t="str">
        <f t="shared" ca="1" si="136"/>
        <v/>
      </c>
      <c r="U700" s="134" t="str">
        <f t="shared" ca="1" si="137"/>
        <v/>
      </c>
    </row>
    <row r="701" spans="1:21" x14ac:dyDescent="0.3">
      <c r="A701" s="151" t="str">
        <f ca="1">Returns!$A$699</f>
        <v/>
      </c>
      <c r="B701" s="152" t="str">
        <f ca="1">IF($A701="","",Returns!$J$699)</f>
        <v/>
      </c>
      <c r="C701" s="153" t="str">
        <f t="shared" ca="1" si="138"/>
        <v/>
      </c>
      <c r="D701" s="153" t="str">
        <f ca="1">IF($A701="","",MAX($C$7:C701))</f>
        <v/>
      </c>
      <c r="E701" s="154" t="str">
        <f t="shared" ca="1" si="139"/>
        <v/>
      </c>
      <c r="F701" s="152" t="str">
        <f ca="1">IF($A701="","",Returns!$I$699)</f>
        <v/>
      </c>
      <c r="G701" s="153" t="str">
        <f t="shared" ca="1" si="140"/>
        <v/>
      </c>
      <c r="H701" s="153" t="str">
        <f ca="1">IF($A701="","",MAX($G$7:G701))</f>
        <v/>
      </c>
      <c r="I701" s="154" t="str">
        <f t="shared" ca="1" si="141"/>
        <v/>
      </c>
      <c r="J701" s="59" t="str">
        <f t="shared" ca="1" si="142"/>
        <v/>
      </c>
      <c r="K701" s="3"/>
      <c r="L701" t="str">
        <f t="shared" ca="1" si="130"/>
        <v/>
      </c>
      <c r="M701" s="132" t="str">
        <f t="shared" ca="1" si="131"/>
        <v/>
      </c>
      <c r="N701" s="132" t="str">
        <f t="shared" ca="1" si="132"/>
        <v/>
      </c>
      <c r="P701" t="str">
        <f t="shared" ca="1" si="133"/>
        <v/>
      </c>
      <c r="Q701" s="133" t="str">
        <f t="shared" ca="1" si="134"/>
        <v/>
      </c>
      <c r="R701" s="133" t="str">
        <f t="shared" ca="1" si="135"/>
        <v/>
      </c>
      <c r="T701" t="str">
        <f t="shared" ca="1" si="136"/>
        <v/>
      </c>
      <c r="U701" s="134" t="str">
        <f t="shared" ca="1" si="137"/>
        <v/>
      </c>
    </row>
    <row r="702" spans="1:21" x14ac:dyDescent="0.3">
      <c r="A702" s="151" t="str">
        <f ca="1">Returns!$A$700</f>
        <v/>
      </c>
      <c r="B702" s="152" t="str">
        <f ca="1">IF($A702="","",Returns!$J$700)</f>
        <v/>
      </c>
      <c r="C702" s="153" t="str">
        <f t="shared" ca="1" si="138"/>
        <v/>
      </c>
      <c r="D702" s="153" t="str">
        <f ca="1">IF($A702="","",MAX($C$7:C702))</f>
        <v/>
      </c>
      <c r="E702" s="154" t="str">
        <f t="shared" ca="1" si="139"/>
        <v/>
      </c>
      <c r="F702" s="152" t="str">
        <f ca="1">IF($A702="","",Returns!$I$700)</f>
        <v/>
      </c>
      <c r="G702" s="153" t="str">
        <f t="shared" ca="1" si="140"/>
        <v/>
      </c>
      <c r="H702" s="153" t="str">
        <f ca="1">IF($A702="","",MAX($G$7:G702))</f>
        <v/>
      </c>
      <c r="I702" s="154" t="str">
        <f t="shared" ca="1" si="141"/>
        <v/>
      </c>
      <c r="J702" s="59" t="str">
        <f t="shared" ca="1" si="142"/>
        <v/>
      </c>
      <c r="K702" s="3"/>
      <c r="L702" t="str">
        <f t="shared" ca="1" si="130"/>
        <v/>
      </c>
      <c r="M702" s="132" t="str">
        <f t="shared" ca="1" si="131"/>
        <v/>
      </c>
      <c r="N702" s="132" t="str">
        <f t="shared" ca="1" si="132"/>
        <v/>
      </c>
      <c r="P702" t="str">
        <f t="shared" ca="1" si="133"/>
        <v/>
      </c>
      <c r="Q702" s="133" t="str">
        <f t="shared" ca="1" si="134"/>
        <v/>
      </c>
      <c r="R702" s="133" t="str">
        <f t="shared" ca="1" si="135"/>
        <v/>
      </c>
      <c r="T702" t="str">
        <f t="shared" ca="1" si="136"/>
        <v/>
      </c>
      <c r="U702" s="134" t="str">
        <f t="shared" ca="1" si="137"/>
        <v/>
      </c>
    </row>
    <row r="703" spans="1:21" x14ac:dyDescent="0.3">
      <c r="A703" s="151" t="str">
        <f ca="1">Returns!$A$701</f>
        <v/>
      </c>
      <c r="B703" s="152" t="str">
        <f ca="1">IF($A703="","",Returns!$J$701)</f>
        <v/>
      </c>
      <c r="C703" s="153" t="str">
        <f t="shared" ca="1" si="138"/>
        <v/>
      </c>
      <c r="D703" s="153" t="str">
        <f ca="1">IF($A703="","",MAX($C$7:C703))</f>
        <v/>
      </c>
      <c r="E703" s="154" t="str">
        <f t="shared" ca="1" si="139"/>
        <v/>
      </c>
      <c r="F703" s="152" t="str">
        <f ca="1">IF($A703="","",Returns!$I$701)</f>
        <v/>
      </c>
      <c r="G703" s="153" t="str">
        <f t="shared" ca="1" si="140"/>
        <v/>
      </c>
      <c r="H703" s="153" t="str">
        <f ca="1">IF($A703="","",MAX($G$7:G703))</f>
        <v/>
      </c>
      <c r="I703" s="154" t="str">
        <f t="shared" ca="1" si="141"/>
        <v/>
      </c>
      <c r="J703" s="59" t="str">
        <f t="shared" ca="1" si="142"/>
        <v/>
      </c>
      <c r="K703" s="3"/>
      <c r="L703" t="str">
        <f t="shared" ca="1" si="130"/>
        <v/>
      </c>
      <c r="M703" s="132" t="str">
        <f t="shared" ca="1" si="131"/>
        <v/>
      </c>
      <c r="N703" s="132" t="str">
        <f t="shared" ca="1" si="132"/>
        <v/>
      </c>
      <c r="P703" t="str">
        <f t="shared" ca="1" si="133"/>
        <v/>
      </c>
      <c r="Q703" s="133" t="str">
        <f t="shared" ca="1" si="134"/>
        <v/>
      </c>
      <c r="R703" s="133" t="str">
        <f t="shared" ca="1" si="135"/>
        <v/>
      </c>
      <c r="T703" t="str">
        <f t="shared" ca="1" si="136"/>
        <v/>
      </c>
      <c r="U703" s="134" t="str">
        <f t="shared" ca="1" si="137"/>
        <v/>
      </c>
    </row>
    <row r="704" spans="1:21" x14ac:dyDescent="0.3">
      <c r="A704" s="151" t="str">
        <f ca="1">Returns!$A$702</f>
        <v/>
      </c>
      <c r="B704" s="152" t="str">
        <f ca="1">IF($A704="","",Returns!$J$702)</f>
        <v/>
      </c>
      <c r="C704" s="153" t="str">
        <f t="shared" ca="1" si="138"/>
        <v/>
      </c>
      <c r="D704" s="153" t="str">
        <f ca="1">IF($A704="","",MAX($C$7:C704))</f>
        <v/>
      </c>
      <c r="E704" s="154" t="str">
        <f t="shared" ca="1" si="139"/>
        <v/>
      </c>
      <c r="F704" s="152" t="str">
        <f ca="1">IF($A704="","",Returns!$I$702)</f>
        <v/>
      </c>
      <c r="G704" s="153" t="str">
        <f t="shared" ca="1" si="140"/>
        <v/>
      </c>
      <c r="H704" s="153" t="str">
        <f ca="1">IF($A704="","",MAX($G$7:G704))</f>
        <v/>
      </c>
      <c r="I704" s="154" t="str">
        <f t="shared" ca="1" si="141"/>
        <v/>
      </c>
      <c r="J704" s="59" t="str">
        <f t="shared" ca="1" si="142"/>
        <v/>
      </c>
      <c r="K704" s="3"/>
      <c r="L704" t="str">
        <f t="shared" ca="1" si="130"/>
        <v/>
      </c>
      <c r="M704" s="132" t="str">
        <f t="shared" ca="1" si="131"/>
        <v/>
      </c>
      <c r="N704" s="132" t="str">
        <f t="shared" ca="1" si="132"/>
        <v/>
      </c>
      <c r="P704" t="str">
        <f t="shared" ca="1" si="133"/>
        <v/>
      </c>
      <c r="Q704" s="133" t="str">
        <f t="shared" ca="1" si="134"/>
        <v/>
      </c>
      <c r="R704" s="133" t="str">
        <f t="shared" ca="1" si="135"/>
        <v/>
      </c>
      <c r="T704" t="str">
        <f t="shared" ca="1" si="136"/>
        <v/>
      </c>
      <c r="U704" s="134" t="str">
        <f t="shared" ca="1" si="137"/>
        <v/>
      </c>
    </row>
    <row r="705" spans="1:21" x14ac:dyDescent="0.3">
      <c r="A705" s="151" t="str">
        <f ca="1">Returns!$A$703</f>
        <v/>
      </c>
      <c r="B705" s="152" t="str">
        <f ca="1">IF($A705="","",Returns!$J$703)</f>
        <v/>
      </c>
      <c r="C705" s="153" t="str">
        <f t="shared" ca="1" si="138"/>
        <v/>
      </c>
      <c r="D705" s="153" t="str">
        <f ca="1">IF($A705="","",MAX($C$7:C705))</f>
        <v/>
      </c>
      <c r="E705" s="154" t="str">
        <f t="shared" ca="1" si="139"/>
        <v/>
      </c>
      <c r="F705" s="152" t="str">
        <f ca="1">IF($A705="","",Returns!$I$703)</f>
        <v/>
      </c>
      <c r="G705" s="153" t="str">
        <f t="shared" ca="1" si="140"/>
        <v/>
      </c>
      <c r="H705" s="153" t="str">
        <f ca="1">IF($A705="","",MAX($G$7:G705))</f>
        <v/>
      </c>
      <c r="I705" s="154" t="str">
        <f t="shared" ca="1" si="141"/>
        <v/>
      </c>
      <c r="J705" s="59" t="str">
        <f t="shared" ca="1" si="142"/>
        <v/>
      </c>
      <c r="K705" s="3"/>
      <c r="L705" t="str">
        <f t="shared" ca="1" si="130"/>
        <v/>
      </c>
      <c r="M705" s="132" t="str">
        <f t="shared" ca="1" si="131"/>
        <v/>
      </c>
      <c r="N705" s="132" t="str">
        <f t="shared" ca="1" si="132"/>
        <v/>
      </c>
      <c r="P705" t="str">
        <f t="shared" ca="1" si="133"/>
        <v/>
      </c>
      <c r="Q705" s="133" t="str">
        <f t="shared" ca="1" si="134"/>
        <v/>
      </c>
      <c r="R705" s="133" t="str">
        <f t="shared" ca="1" si="135"/>
        <v/>
      </c>
      <c r="T705" t="str">
        <f t="shared" ca="1" si="136"/>
        <v/>
      </c>
      <c r="U705" s="134" t="str">
        <f t="shared" ca="1" si="137"/>
        <v/>
      </c>
    </row>
    <row r="706" spans="1:21" x14ac:dyDescent="0.3">
      <c r="A706" s="151" t="str">
        <f ca="1">Returns!$A$704</f>
        <v/>
      </c>
      <c r="B706" s="152" t="str">
        <f ca="1">IF($A706="","",Returns!$J$704)</f>
        <v/>
      </c>
      <c r="C706" s="153" t="str">
        <f t="shared" ca="1" si="138"/>
        <v/>
      </c>
      <c r="D706" s="153" t="str">
        <f ca="1">IF($A706="","",MAX($C$7:C706))</f>
        <v/>
      </c>
      <c r="E706" s="154" t="str">
        <f t="shared" ca="1" si="139"/>
        <v/>
      </c>
      <c r="F706" s="152" t="str">
        <f ca="1">IF($A706="","",Returns!$I$704)</f>
        <v/>
      </c>
      <c r="G706" s="153" t="str">
        <f t="shared" ca="1" si="140"/>
        <v/>
      </c>
      <c r="H706" s="153" t="str">
        <f ca="1">IF($A706="","",MAX($G$7:G706))</f>
        <v/>
      </c>
      <c r="I706" s="154" t="str">
        <f t="shared" ca="1" si="141"/>
        <v/>
      </c>
      <c r="J706" s="59" t="str">
        <f t="shared" ca="1" si="142"/>
        <v/>
      </c>
      <c r="K706" s="3"/>
      <c r="L706" t="str">
        <f t="shared" ca="1" si="130"/>
        <v/>
      </c>
      <c r="M706" s="132" t="str">
        <f t="shared" ca="1" si="131"/>
        <v/>
      </c>
      <c r="N706" s="132" t="str">
        <f t="shared" ca="1" si="132"/>
        <v/>
      </c>
      <c r="P706" t="str">
        <f t="shared" ca="1" si="133"/>
        <v/>
      </c>
      <c r="Q706" s="133" t="str">
        <f t="shared" ca="1" si="134"/>
        <v/>
      </c>
      <c r="R706" s="133" t="str">
        <f t="shared" ca="1" si="135"/>
        <v/>
      </c>
      <c r="T706" t="str">
        <f t="shared" ca="1" si="136"/>
        <v/>
      </c>
      <c r="U706" s="134" t="str">
        <f t="shared" ca="1" si="137"/>
        <v/>
      </c>
    </row>
    <row r="707" spans="1:21" x14ac:dyDescent="0.3">
      <c r="A707" s="151" t="str">
        <f ca="1">Returns!$A$705</f>
        <v/>
      </c>
      <c r="B707" s="152" t="str">
        <f ca="1">IF($A707="","",Returns!$J$705)</f>
        <v/>
      </c>
      <c r="C707" s="153" t="str">
        <f t="shared" ca="1" si="138"/>
        <v/>
      </c>
      <c r="D707" s="153" t="str">
        <f ca="1">IF($A707="","",MAX($C$7:C707))</f>
        <v/>
      </c>
      <c r="E707" s="154" t="str">
        <f t="shared" ca="1" si="139"/>
        <v/>
      </c>
      <c r="F707" s="152" t="str">
        <f ca="1">IF($A707="","",Returns!$I$705)</f>
        <v/>
      </c>
      <c r="G707" s="153" t="str">
        <f t="shared" ca="1" si="140"/>
        <v/>
      </c>
      <c r="H707" s="153" t="str">
        <f ca="1">IF($A707="","",MAX($G$7:G707))</f>
        <v/>
      </c>
      <c r="I707" s="154" t="str">
        <f t="shared" ca="1" si="141"/>
        <v/>
      </c>
      <c r="J707" s="59" t="str">
        <f t="shared" ca="1" si="142"/>
        <v/>
      </c>
      <c r="K707" s="3"/>
      <c r="L707" t="str">
        <f t="shared" ca="1" si="130"/>
        <v/>
      </c>
      <c r="M707" s="132" t="str">
        <f t="shared" ca="1" si="131"/>
        <v/>
      </c>
      <c r="N707" s="132" t="str">
        <f t="shared" ca="1" si="132"/>
        <v/>
      </c>
      <c r="P707" t="str">
        <f t="shared" ca="1" si="133"/>
        <v/>
      </c>
      <c r="Q707" s="133" t="str">
        <f t="shared" ca="1" si="134"/>
        <v/>
      </c>
      <c r="R707" s="133" t="str">
        <f t="shared" ca="1" si="135"/>
        <v/>
      </c>
      <c r="T707" t="str">
        <f t="shared" ca="1" si="136"/>
        <v/>
      </c>
      <c r="U707" s="134" t="str">
        <f t="shared" ca="1" si="137"/>
        <v/>
      </c>
    </row>
    <row r="708" spans="1:21" x14ac:dyDescent="0.3">
      <c r="A708" s="151" t="str">
        <f ca="1">Returns!$A$706</f>
        <v/>
      </c>
      <c r="B708" s="152" t="str">
        <f ca="1">IF($A708="","",Returns!$J$706)</f>
        <v/>
      </c>
      <c r="C708" s="153" t="str">
        <f t="shared" ca="1" si="138"/>
        <v/>
      </c>
      <c r="D708" s="153" t="str">
        <f ca="1">IF($A708="","",MAX($C$7:C708))</f>
        <v/>
      </c>
      <c r="E708" s="154" t="str">
        <f t="shared" ca="1" si="139"/>
        <v/>
      </c>
      <c r="F708" s="152" t="str">
        <f ca="1">IF($A708="","",Returns!$I$706)</f>
        <v/>
      </c>
      <c r="G708" s="153" t="str">
        <f t="shared" ca="1" si="140"/>
        <v/>
      </c>
      <c r="H708" s="153" t="str">
        <f ca="1">IF($A708="","",MAX($G$7:G708))</f>
        <v/>
      </c>
      <c r="I708" s="154" t="str">
        <f t="shared" ca="1" si="141"/>
        <v/>
      </c>
      <c r="J708" s="59" t="str">
        <f t="shared" ca="1" si="142"/>
        <v/>
      </c>
      <c r="K708" s="3"/>
      <c r="L708" t="str">
        <f t="shared" ca="1" si="130"/>
        <v/>
      </c>
      <c r="M708" s="132" t="str">
        <f t="shared" ca="1" si="131"/>
        <v/>
      </c>
      <c r="N708" s="132" t="str">
        <f t="shared" ca="1" si="132"/>
        <v/>
      </c>
      <c r="P708" t="str">
        <f t="shared" ca="1" si="133"/>
        <v/>
      </c>
      <c r="Q708" s="133" t="str">
        <f t="shared" ca="1" si="134"/>
        <v/>
      </c>
      <c r="R708" s="133" t="str">
        <f t="shared" ca="1" si="135"/>
        <v/>
      </c>
      <c r="T708" t="str">
        <f t="shared" ca="1" si="136"/>
        <v/>
      </c>
      <c r="U708" s="134" t="str">
        <f t="shared" ca="1" si="137"/>
        <v/>
      </c>
    </row>
    <row r="709" spans="1:21" x14ac:dyDescent="0.3">
      <c r="A709" s="151" t="str">
        <f ca="1">Returns!$A$707</f>
        <v/>
      </c>
      <c r="B709" s="152" t="str">
        <f ca="1">IF($A709="","",Returns!$J$707)</f>
        <v/>
      </c>
      <c r="C709" s="153" t="str">
        <f t="shared" ca="1" si="138"/>
        <v/>
      </c>
      <c r="D709" s="153" t="str">
        <f ca="1">IF($A709="","",MAX($C$7:C709))</f>
        <v/>
      </c>
      <c r="E709" s="154" t="str">
        <f t="shared" ca="1" si="139"/>
        <v/>
      </c>
      <c r="F709" s="152" t="str">
        <f ca="1">IF($A709="","",Returns!$I$707)</f>
        <v/>
      </c>
      <c r="G709" s="153" t="str">
        <f t="shared" ca="1" si="140"/>
        <v/>
      </c>
      <c r="H709" s="153" t="str">
        <f ca="1">IF($A709="","",MAX($G$7:G709))</f>
        <v/>
      </c>
      <c r="I709" s="154" t="str">
        <f t="shared" ca="1" si="141"/>
        <v/>
      </c>
      <c r="J709" s="59" t="str">
        <f t="shared" ca="1" si="142"/>
        <v/>
      </c>
      <c r="K709" s="3"/>
      <c r="L709" t="str">
        <f t="shared" ca="1" si="130"/>
        <v/>
      </c>
      <c r="M709" s="132" t="str">
        <f t="shared" ca="1" si="131"/>
        <v/>
      </c>
      <c r="N709" s="132" t="str">
        <f t="shared" ca="1" si="132"/>
        <v/>
      </c>
      <c r="P709" t="str">
        <f t="shared" ca="1" si="133"/>
        <v/>
      </c>
      <c r="Q709" s="133" t="str">
        <f t="shared" ca="1" si="134"/>
        <v/>
      </c>
      <c r="R709" s="133" t="str">
        <f t="shared" ca="1" si="135"/>
        <v/>
      </c>
      <c r="T709" t="str">
        <f t="shared" ca="1" si="136"/>
        <v/>
      </c>
      <c r="U709" s="134" t="str">
        <f t="shared" ca="1" si="137"/>
        <v/>
      </c>
    </row>
    <row r="710" spans="1:21" x14ac:dyDescent="0.3">
      <c r="A710" s="151" t="str">
        <f ca="1">Returns!$A$708</f>
        <v/>
      </c>
      <c r="B710" s="152" t="str">
        <f ca="1">IF($A710="","",Returns!$J$708)</f>
        <v/>
      </c>
      <c r="C710" s="153" t="str">
        <f t="shared" ca="1" si="138"/>
        <v/>
      </c>
      <c r="D710" s="153" t="str">
        <f ca="1">IF($A710="","",MAX($C$7:C710))</f>
        <v/>
      </c>
      <c r="E710" s="154" t="str">
        <f t="shared" ca="1" si="139"/>
        <v/>
      </c>
      <c r="F710" s="152" t="str">
        <f ca="1">IF($A710="","",Returns!$I$708)</f>
        <v/>
      </c>
      <c r="G710" s="153" t="str">
        <f t="shared" ca="1" si="140"/>
        <v/>
      </c>
      <c r="H710" s="153" t="str">
        <f ca="1">IF($A710="","",MAX($G$7:G710))</f>
        <v/>
      </c>
      <c r="I710" s="154" t="str">
        <f t="shared" ca="1" si="141"/>
        <v/>
      </c>
      <c r="J710" s="59" t="str">
        <f t="shared" ca="1" si="142"/>
        <v/>
      </c>
      <c r="K710" s="3"/>
      <c r="L710" t="str">
        <f t="shared" ca="1" si="130"/>
        <v/>
      </c>
      <c r="M710" s="132" t="str">
        <f t="shared" ca="1" si="131"/>
        <v/>
      </c>
      <c r="N710" s="132" t="str">
        <f t="shared" ca="1" si="132"/>
        <v/>
      </c>
      <c r="P710" t="str">
        <f t="shared" ca="1" si="133"/>
        <v/>
      </c>
      <c r="Q710" s="133" t="str">
        <f t="shared" ca="1" si="134"/>
        <v/>
      </c>
      <c r="R710" s="133" t="str">
        <f t="shared" ca="1" si="135"/>
        <v/>
      </c>
      <c r="T710" t="str">
        <f t="shared" ca="1" si="136"/>
        <v/>
      </c>
      <c r="U710" s="134" t="str">
        <f t="shared" ca="1" si="137"/>
        <v/>
      </c>
    </row>
    <row r="711" spans="1:21" x14ac:dyDescent="0.3">
      <c r="A711" s="151" t="str">
        <f ca="1">Returns!$A$709</f>
        <v/>
      </c>
      <c r="B711" s="152" t="str">
        <f ca="1">IF($A711="","",Returns!$J$709)</f>
        <v/>
      </c>
      <c r="C711" s="153" t="str">
        <f t="shared" ca="1" si="138"/>
        <v/>
      </c>
      <c r="D711" s="153" t="str">
        <f ca="1">IF($A711="","",MAX($C$7:C711))</f>
        <v/>
      </c>
      <c r="E711" s="154" t="str">
        <f t="shared" ca="1" si="139"/>
        <v/>
      </c>
      <c r="F711" s="152" t="str">
        <f ca="1">IF($A711="","",Returns!$I$709)</f>
        <v/>
      </c>
      <c r="G711" s="153" t="str">
        <f t="shared" ca="1" si="140"/>
        <v/>
      </c>
      <c r="H711" s="153" t="str">
        <f ca="1">IF($A711="","",MAX($G$7:G711))</f>
        <v/>
      </c>
      <c r="I711" s="154" t="str">
        <f t="shared" ca="1" si="141"/>
        <v/>
      </c>
      <c r="J711" s="59" t="str">
        <f t="shared" ca="1" si="142"/>
        <v/>
      </c>
      <c r="K711" s="3"/>
      <c r="L711" t="str">
        <f t="shared" ref="L711:L774" ca="1" si="143">$J711</f>
        <v/>
      </c>
      <c r="M711" s="132" t="str">
        <f t="shared" ref="M711:M774" ca="1" si="144">$C711</f>
        <v/>
      </c>
      <c r="N711" s="132" t="str">
        <f t="shared" ref="N711:N774" ca="1" si="145">$G711</f>
        <v/>
      </c>
      <c r="P711" t="str">
        <f t="shared" ref="P711:P774" ca="1" si="146">$J711</f>
        <v/>
      </c>
      <c r="Q711" s="133" t="str">
        <f t="shared" ref="Q711:Q774" ca="1" si="147">$E711</f>
        <v/>
      </c>
      <c r="R711" s="133" t="str">
        <f t="shared" ref="R711:R774" ca="1" si="148">$I711</f>
        <v/>
      </c>
      <c r="T711" t="str">
        <f t="shared" ref="T711:T774" ca="1" si="149">$J711</f>
        <v/>
      </c>
      <c r="U711" s="134" t="str">
        <f t="shared" ref="U711:U774" ca="1" si="150">IF($A711="","",NotionalValue*$C711/IndexBase)</f>
        <v/>
      </c>
    </row>
    <row r="712" spans="1:21" x14ac:dyDescent="0.3">
      <c r="A712" s="151" t="str">
        <f ca="1">Returns!$A$710</f>
        <v/>
      </c>
      <c r="B712" s="152" t="str">
        <f ca="1">IF($A712="","",Returns!$J$710)</f>
        <v/>
      </c>
      <c r="C712" s="153" t="str">
        <f t="shared" ref="C712:C775" ca="1" si="151">IF($A712="","",C711*(1+$B712))</f>
        <v/>
      </c>
      <c r="D712" s="153" t="str">
        <f ca="1">IF($A712="","",MAX($C$7:C712))</f>
        <v/>
      </c>
      <c r="E712" s="154" t="str">
        <f t="shared" ref="E712:E775" ca="1" si="152">IF($A712="","",$C712/$D712-1)</f>
        <v/>
      </c>
      <c r="F712" s="152" t="str">
        <f ca="1">IF($A712="","",Returns!$I$710)</f>
        <v/>
      </c>
      <c r="G712" s="153" t="str">
        <f t="shared" ref="G712:G775" ca="1" si="153">IF($A712="","",G711*(1+$F712))</f>
        <v/>
      </c>
      <c r="H712" s="153" t="str">
        <f ca="1">IF($A712="","",MAX($G$7:G712))</f>
        <v/>
      </c>
      <c r="I712" s="154" t="str">
        <f t="shared" ref="I712:I775" ca="1" si="154">IF($A712="","",$G712/$H712-1)</f>
        <v/>
      </c>
      <c r="J712" s="59" t="str">
        <f t="shared" ref="J712:J775" ca="1" si="155">IF($A712="","",TEXT($A712,"mmm-yy"))</f>
        <v/>
      </c>
      <c r="K712" s="3"/>
      <c r="L712" t="str">
        <f t="shared" ca="1" si="143"/>
        <v/>
      </c>
      <c r="M712" s="132" t="str">
        <f t="shared" ca="1" si="144"/>
        <v/>
      </c>
      <c r="N712" s="132" t="str">
        <f t="shared" ca="1" si="145"/>
        <v/>
      </c>
      <c r="P712" t="str">
        <f t="shared" ca="1" si="146"/>
        <v/>
      </c>
      <c r="Q712" s="133" t="str">
        <f t="shared" ca="1" si="147"/>
        <v/>
      </c>
      <c r="R712" s="133" t="str">
        <f t="shared" ca="1" si="148"/>
        <v/>
      </c>
      <c r="T712" t="str">
        <f t="shared" ca="1" si="149"/>
        <v/>
      </c>
      <c r="U712" s="134" t="str">
        <f t="shared" ca="1" si="150"/>
        <v/>
      </c>
    </row>
    <row r="713" spans="1:21" x14ac:dyDescent="0.3">
      <c r="A713" s="151" t="str">
        <f ca="1">Returns!$A$711</f>
        <v/>
      </c>
      <c r="B713" s="152" t="str">
        <f ca="1">IF($A713="","",Returns!$J$711)</f>
        <v/>
      </c>
      <c r="C713" s="153" t="str">
        <f t="shared" ca="1" si="151"/>
        <v/>
      </c>
      <c r="D713" s="153" t="str">
        <f ca="1">IF($A713="","",MAX($C$7:C713))</f>
        <v/>
      </c>
      <c r="E713" s="154" t="str">
        <f t="shared" ca="1" si="152"/>
        <v/>
      </c>
      <c r="F713" s="152" t="str">
        <f ca="1">IF($A713="","",Returns!$I$711)</f>
        <v/>
      </c>
      <c r="G713" s="153" t="str">
        <f t="shared" ca="1" si="153"/>
        <v/>
      </c>
      <c r="H713" s="153" t="str">
        <f ca="1">IF($A713="","",MAX($G$7:G713))</f>
        <v/>
      </c>
      <c r="I713" s="154" t="str">
        <f t="shared" ca="1" si="154"/>
        <v/>
      </c>
      <c r="J713" s="59" t="str">
        <f t="shared" ca="1" si="155"/>
        <v/>
      </c>
      <c r="K713" s="3"/>
      <c r="L713" t="str">
        <f t="shared" ca="1" si="143"/>
        <v/>
      </c>
      <c r="M713" s="132" t="str">
        <f t="shared" ca="1" si="144"/>
        <v/>
      </c>
      <c r="N713" s="132" t="str">
        <f t="shared" ca="1" si="145"/>
        <v/>
      </c>
      <c r="P713" t="str">
        <f t="shared" ca="1" si="146"/>
        <v/>
      </c>
      <c r="Q713" s="133" t="str">
        <f t="shared" ca="1" si="147"/>
        <v/>
      </c>
      <c r="R713" s="133" t="str">
        <f t="shared" ca="1" si="148"/>
        <v/>
      </c>
      <c r="T713" t="str">
        <f t="shared" ca="1" si="149"/>
        <v/>
      </c>
      <c r="U713" s="134" t="str">
        <f t="shared" ca="1" si="150"/>
        <v/>
      </c>
    </row>
    <row r="714" spans="1:21" x14ac:dyDescent="0.3">
      <c r="A714" s="151" t="str">
        <f ca="1">Returns!$A$712</f>
        <v/>
      </c>
      <c r="B714" s="152" t="str">
        <f ca="1">IF($A714="","",Returns!$J$712)</f>
        <v/>
      </c>
      <c r="C714" s="153" t="str">
        <f t="shared" ca="1" si="151"/>
        <v/>
      </c>
      <c r="D714" s="153" t="str">
        <f ca="1">IF($A714="","",MAX($C$7:C714))</f>
        <v/>
      </c>
      <c r="E714" s="154" t="str">
        <f t="shared" ca="1" si="152"/>
        <v/>
      </c>
      <c r="F714" s="152" t="str">
        <f ca="1">IF($A714="","",Returns!$I$712)</f>
        <v/>
      </c>
      <c r="G714" s="153" t="str">
        <f t="shared" ca="1" si="153"/>
        <v/>
      </c>
      <c r="H714" s="153" t="str">
        <f ca="1">IF($A714="","",MAX($G$7:G714))</f>
        <v/>
      </c>
      <c r="I714" s="154" t="str">
        <f t="shared" ca="1" si="154"/>
        <v/>
      </c>
      <c r="J714" s="59" t="str">
        <f t="shared" ca="1" si="155"/>
        <v/>
      </c>
      <c r="K714" s="3"/>
      <c r="L714" t="str">
        <f t="shared" ca="1" si="143"/>
        <v/>
      </c>
      <c r="M714" s="132" t="str">
        <f t="shared" ca="1" si="144"/>
        <v/>
      </c>
      <c r="N714" s="132" t="str">
        <f t="shared" ca="1" si="145"/>
        <v/>
      </c>
      <c r="P714" t="str">
        <f t="shared" ca="1" si="146"/>
        <v/>
      </c>
      <c r="Q714" s="133" t="str">
        <f t="shared" ca="1" si="147"/>
        <v/>
      </c>
      <c r="R714" s="133" t="str">
        <f t="shared" ca="1" si="148"/>
        <v/>
      </c>
      <c r="T714" t="str">
        <f t="shared" ca="1" si="149"/>
        <v/>
      </c>
      <c r="U714" s="134" t="str">
        <f t="shared" ca="1" si="150"/>
        <v/>
      </c>
    </row>
    <row r="715" spans="1:21" x14ac:dyDescent="0.3">
      <c r="A715" s="151" t="str">
        <f ca="1">Returns!$A$713</f>
        <v/>
      </c>
      <c r="B715" s="152" t="str">
        <f ca="1">IF($A715="","",Returns!$J$713)</f>
        <v/>
      </c>
      <c r="C715" s="153" t="str">
        <f t="shared" ca="1" si="151"/>
        <v/>
      </c>
      <c r="D715" s="153" t="str">
        <f ca="1">IF($A715="","",MAX($C$7:C715))</f>
        <v/>
      </c>
      <c r="E715" s="154" t="str">
        <f t="shared" ca="1" si="152"/>
        <v/>
      </c>
      <c r="F715" s="152" t="str">
        <f ca="1">IF($A715="","",Returns!$I$713)</f>
        <v/>
      </c>
      <c r="G715" s="153" t="str">
        <f t="shared" ca="1" si="153"/>
        <v/>
      </c>
      <c r="H715" s="153" t="str">
        <f ca="1">IF($A715="","",MAX($G$7:G715))</f>
        <v/>
      </c>
      <c r="I715" s="154" t="str">
        <f t="shared" ca="1" si="154"/>
        <v/>
      </c>
      <c r="J715" s="59" t="str">
        <f t="shared" ca="1" si="155"/>
        <v/>
      </c>
      <c r="K715" s="3"/>
      <c r="L715" t="str">
        <f t="shared" ca="1" si="143"/>
        <v/>
      </c>
      <c r="M715" s="132" t="str">
        <f t="shared" ca="1" si="144"/>
        <v/>
      </c>
      <c r="N715" s="132" t="str">
        <f t="shared" ca="1" si="145"/>
        <v/>
      </c>
      <c r="P715" t="str">
        <f t="shared" ca="1" si="146"/>
        <v/>
      </c>
      <c r="Q715" s="133" t="str">
        <f t="shared" ca="1" si="147"/>
        <v/>
      </c>
      <c r="R715" s="133" t="str">
        <f t="shared" ca="1" si="148"/>
        <v/>
      </c>
      <c r="T715" t="str">
        <f t="shared" ca="1" si="149"/>
        <v/>
      </c>
      <c r="U715" s="134" t="str">
        <f t="shared" ca="1" si="150"/>
        <v/>
      </c>
    </row>
    <row r="716" spans="1:21" x14ac:dyDescent="0.3">
      <c r="A716" s="151" t="str">
        <f ca="1">Returns!$A$714</f>
        <v/>
      </c>
      <c r="B716" s="152" t="str">
        <f ca="1">IF($A716="","",Returns!$J$714)</f>
        <v/>
      </c>
      <c r="C716" s="153" t="str">
        <f t="shared" ca="1" si="151"/>
        <v/>
      </c>
      <c r="D716" s="153" t="str">
        <f ca="1">IF($A716="","",MAX($C$7:C716))</f>
        <v/>
      </c>
      <c r="E716" s="154" t="str">
        <f t="shared" ca="1" si="152"/>
        <v/>
      </c>
      <c r="F716" s="152" t="str">
        <f ca="1">IF($A716="","",Returns!$I$714)</f>
        <v/>
      </c>
      <c r="G716" s="153" t="str">
        <f t="shared" ca="1" si="153"/>
        <v/>
      </c>
      <c r="H716" s="153" t="str">
        <f ca="1">IF($A716="","",MAX($G$7:G716))</f>
        <v/>
      </c>
      <c r="I716" s="154" t="str">
        <f t="shared" ca="1" si="154"/>
        <v/>
      </c>
      <c r="J716" s="59" t="str">
        <f t="shared" ca="1" si="155"/>
        <v/>
      </c>
      <c r="K716" s="3"/>
      <c r="L716" t="str">
        <f t="shared" ca="1" si="143"/>
        <v/>
      </c>
      <c r="M716" s="132" t="str">
        <f t="shared" ca="1" si="144"/>
        <v/>
      </c>
      <c r="N716" s="132" t="str">
        <f t="shared" ca="1" si="145"/>
        <v/>
      </c>
      <c r="P716" t="str">
        <f t="shared" ca="1" si="146"/>
        <v/>
      </c>
      <c r="Q716" s="133" t="str">
        <f t="shared" ca="1" si="147"/>
        <v/>
      </c>
      <c r="R716" s="133" t="str">
        <f t="shared" ca="1" si="148"/>
        <v/>
      </c>
      <c r="T716" t="str">
        <f t="shared" ca="1" si="149"/>
        <v/>
      </c>
      <c r="U716" s="134" t="str">
        <f t="shared" ca="1" si="150"/>
        <v/>
      </c>
    </row>
    <row r="717" spans="1:21" x14ac:dyDescent="0.3">
      <c r="A717" s="151" t="str">
        <f ca="1">Returns!$A$715</f>
        <v/>
      </c>
      <c r="B717" s="152" t="str">
        <f ca="1">IF($A717="","",Returns!$J$715)</f>
        <v/>
      </c>
      <c r="C717" s="153" t="str">
        <f t="shared" ca="1" si="151"/>
        <v/>
      </c>
      <c r="D717" s="153" t="str">
        <f ca="1">IF($A717="","",MAX($C$7:C717))</f>
        <v/>
      </c>
      <c r="E717" s="154" t="str">
        <f t="shared" ca="1" si="152"/>
        <v/>
      </c>
      <c r="F717" s="152" t="str">
        <f ca="1">IF($A717="","",Returns!$I$715)</f>
        <v/>
      </c>
      <c r="G717" s="153" t="str">
        <f t="shared" ca="1" si="153"/>
        <v/>
      </c>
      <c r="H717" s="153" t="str">
        <f ca="1">IF($A717="","",MAX($G$7:G717))</f>
        <v/>
      </c>
      <c r="I717" s="154" t="str">
        <f t="shared" ca="1" si="154"/>
        <v/>
      </c>
      <c r="J717" s="59" t="str">
        <f t="shared" ca="1" si="155"/>
        <v/>
      </c>
      <c r="K717" s="3"/>
      <c r="L717" t="str">
        <f t="shared" ca="1" si="143"/>
        <v/>
      </c>
      <c r="M717" s="132" t="str">
        <f t="shared" ca="1" si="144"/>
        <v/>
      </c>
      <c r="N717" s="132" t="str">
        <f t="shared" ca="1" si="145"/>
        <v/>
      </c>
      <c r="P717" t="str">
        <f t="shared" ca="1" si="146"/>
        <v/>
      </c>
      <c r="Q717" s="133" t="str">
        <f t="shared" ca="1" si="147"/>
        <v/>
      </c>
      <c r="R717" s="133" t="str">
        <f t="shared" ca="1" si="148"/>
        <v/>
      </c>
      <c r="T717" t="str">
        <f t="shared" ca="1" si="149"/>
        <v/>
      </c>
      <c r="U717" s="134" t="str">
        <f t="shared" ca="1" si="150"/>
        <v/>
      </c>
    </row>
    <row r="718" spans="1:21" x14ac:dyDescent="0.3">
      <c r="A718" s="151" t="str">
        <f ca="1">Returns!$A$716</f>
        <v/>
      </c>
      <c r="B718" s="152" t="str">
        <f ca="1">IF($A718="","",Returns!$J$716)</f>
        <v/>
      </c>
      <c r="C718" s="153" t="str">
        <f t="shared" ca="1" si="151"/>
        <v/>
      </c>
      <c r="D718" s="153" t="str">
        <f ca="1">IF($A718="","",MAX($C$7:C718))</f>
        <v/>
      </c>
      <c r="E718" s="154" t="str">
        <f t="shared" ca="1" si="152"/>
        <v/>
      </c>
      <c r="F718" s="152" t="str">
        <f ca="1">IF($A718="","",Returns!$I$716)</f>
        <v/>
      </c>
      <c r="G718" s="153" t="str">
        <f t="shared" ca="1" si="153"/>
        <v/>
      </c>
      <c r="H718" s="153" t="str">
        <f ca="1">IF($A718="","",MAX($G$7:G718))</f>
        <v/>
      </c>
      <c r="I718" s="154" t="str">
        <f t="shared" ca="1" si="154"/>
        <v/>
      </c>
      <c r="J718" s="59" t="str">
        <f t="shared" ca="1" si="155"/>
        <v/>
      </c>
      <c r="K718" s="3"/>
      <c r="L718" t="str">
        <f t="shared" ca="1" si="143"/>
        <v/>
      </c>
      <c r="M718" s="132" t="str">
        <f t="shared" ca="1" si="144"/>
        <v/>
      </c>
      <c r="N718" s="132" t="str">
        <f t="shared" ca="1" si="145"/>
        <v/>
      </c>
      <c r="P718" t="str">
        <f t="shared" ca="1" si="146"/>
        <v/>
      </c>
      <c r="Q718" s="133" t="str">
        <f t="shared" ca="1" si="147"/>
        <v/>
      </c>
      <c r="R718" s="133" t="str">
        <f t="shared" ca="1" si="148"/>
        <v/>
      </c>
      <c r="T718" t="str">
        <f t="shared" ca="1" si="149"/>
        <v/>
      </c>
      <c r="U718" s="134" t="str">
        <f t="shared" ca="1" si="150"/>
        <v/>
      </c>
    </row>
    <row r="719" spans="1:21" x14ac:dyDescent="0.3">
      <c r="A719" s="151" t="str">
        <f ca="1">Returns!$A$717</f>
        <v/>
      </c>
      <c r="B719" s="152" t="str">
        <f ca="1">IF($A719="","",Returns!$J$717)</f>
        <v/>
      </c>
      <c r="C719" s="153" t="str">
        <f t="shared" ca="1" si="151"/>
        <v/>
      </c>
      <c r="D719" s="153" t="str">
        <f ca="1">IF($A719="","",MAX($C$7:C719))</f>
        <v/>
      </c>
      <c r="E719" s="154" t="str">
        <f t="shared" ca="1" si="152"/>
        <v/>
      </c>
      <c r="F719" s="152" t="str">
        <f ca="1">IF($A719="","",Returns!$I$717)</f>
        <v/>
      </c>
      <c r="G719" s="153" t="str">
        <f t="shared" ca="1" si="153"/>
        <v/>
      </c>
      <c r="H719" s="153" t="str">
        <f ca="1">IF($A719="","",MAX($G$7:G719))</f>
        <v/>
      </c>
      <c r="I719" s="154" t="str">
        <f t="shared" ca="1" si="154"/>
        <v/>
      </c>
      <c r="J719" s="59" t="str">
        <f t="shared" ca="1" si="155"/>
        <v/>
      </c>
      <c r="K719" s="3"/>
      <c r="L719" t="str">
        <f t="shared" ca="1" si="143"/>
        <v/>
      </c>
      <c r="M719" s="132" t="str">
        <f t="shared" ca="1" si="144"/>
        <v/>
      </c>
      <c r="N719" s="132" t="str">
        <f t="shared" ca="1" si="145"/>
        <v/>
      </c>
      <c r="P719" t="str">
        <f t="shared" ca="1" si="146"/>
        <v/>
      </c>
      <c r="Q719" s="133" t="str">
        <f t="shared" ca="1" si="147"/>
        <v/>
      </c>
      <c r="R719" s="133" t="str">
        <f t="shared" ca="1" si="148"/>
        <v/>
      </c>
      <c r="T719" t="str">
        <f t="shared" ca="1" si="149"/>
        <v/>
      </c>
      <c r="U719" s="134" t="str">
        <f t="shared" ca="1" si="150"/>
        <v/>
      </c>
    </row>
    <row r="720" spans="1:21" x14ac:dyDescent="0.3">
      <c r="A720" s="151" t="str">
        <f ca="1">Returns!$A$718</f>
        <v/>
      </c>
      <c r="B720" s="152" t="str">
        <f ca="1">IF($A720="","",Returns!$J$718)</f>
        <v/>
      </c>
      <c r="C720" s="153" t="str">
        <f t="shared" ca="1" si="151"/>
        <v/>
      </c>
      <c r="D720" s="153" t="str">
        <f ca="1">IF($A720="","",MAX($C$7:C720))</f>
        <v/>
      </c>
      <c r="E720" s="154" t="str">
        <f t="shared" ca="1" si="152"/>
        <v/>
      </c>
      <c r="F720" s="152" t="str">
        <f ca="1">IF($A720="","",Returns!$I$718)</f>
        <v/>
      </c>
      <c r="G720" s="153" t="str">
        <f t="shared" ca="1" si="153"/>
        <v/>
      </c>
      <c r="H720" s="153" t="str">
        <f ca="1">IF($A720="","",MAX($G$7:G720))</f>
        <v/>
      </c>
      <c r="I720" s="154" t="str">
        <f t="shared" ca="1" si="154"/>
        <v/>
      </c>
      <c r="J720" s="59" t="str">
        <f t="shared" ca="1" si="155"/>
        <v/>
      </c>
      <c r="K720" s="3"/>
      <c r="L720" t="str">
        <f t="shared" ca="1" si="143"/>
        <v/>
      </c>
      <c r="M720" s="132" t="str">
        <f t="shared" ca="1" si="144"/>
        <v/>
      </c>
      <c r="N720" s="132" t="str">
        <f t="shared" ca="1" si="145"/>
        <v/>
      </c>
      <c r="P720" t="str">
        <f t="shared" ca="1" si="146"/>
        <v/>
      </c>
      <c r="Q720" s="133" t="str">
        <f t="shared" ca="1" si="147"/>
        <v/>
      </c>
      <c r="R720" s="133" t="str">
        <f t="shared" ca="1" si="148"/>
        <v/>
      </c>
      <c r="T720" t="str">
        <f t="shared" ca="1" si="149"/>
        <v/>
      </c>
      <c r="U720" s="134" t="str">
        <f t="shared" ca="1" si="150"/>
        <v/>
      </c>
    </row>
    <row r="721" spans="1:21" x14ac:dyDescent="0.3">
      <c r="A721" s="151" t="str">
        <f ca="1">Returns!$A$719</f>
        <v/>
      </c>
      <c r="B721" s="152" t="str">
        <f ca="1">IF($A721="","",Returns!$J$719)</f>
        <v/>
      </c>
      <c r="C721" s="153" t="str">
        <f t="shared" ca="1" si="151"/>
        <v/>
      </c>
      <c r="D721" s="153" t="str">
        <f ca="1">IF($A721="","",MAX($C$7:C721))</f>
        <v/>
      </c>
      <c r="E721" s="154" t="str">
        <f t="shared" ca="1" si="152"/>
        <v/>
      </c>
      <c r="F721" s="152" t="str">
        <f ca="1">IF($A721="","",Returns!$I$719)</f>
        <v/>
      </c>
      <c r="G721" s="153" t="str">
        <f t="shared" ca="1" si="153"/>
        <v/>
      </c>
      <c r="H721" s="153" t="str">
        <f ca="1">IF($A721="","",MAX($G$7:G721))</f>
        <v/>
      </c>
      <c r="I721" s="154" t="str">
        <f t="shared" ca="1" si="154"/>
        <v/>
      </c>
      <c r="J721" s="59" t="str">
        <f t="shared" ca="1" si="155"/>
        <v/>
      </c>
      <c r="K721" s="3"/>
      <c r="L721" t="str">
        <f t="shared" ca="1" si="143"/>
        <v/>
      </c>
      <c r="M721" s="132" t="str">
        <f t="shared" ca="1" si="144"/>
        <v/>
      </c>
      <c r="N721" s="132" t="str">
        <f t="shared" ca="1" si="145"/>
        <v/>
      </c>
      <c r="P721" t="str">
        <f t="shared" ca="1" si="146"/>
        <v/>
      </c>
      <c r="Q721" s="133" t="str">
        <f t="shared" ca="1" si="147"/>
        <v/>
      </c>
      <c r="R721" s="133" t="str">
        <f t="shared" ca="1" si="148"/>
        <v/>
      </c>
      <c r="T721" t="str">
        <f t="shared" ca="1" si="149"/>
        <v/>
      </c>
      <c r="U721" s="134" t="str">
        <f t="shared" ca="1" si="150"/>
        <v/>
      </c>
    </row>
    <row r="722" spans="1:21" x14ac:dyDescent="0.3">
      <c r="A722" s="151" t="str">
        <f ca="1">Returns!$A$720</f>
        <v/>
      </c>
      <c r="B722" s="152" t="str">
        <f ca="1">IF($A722="","",Returns!$J$720)</f>
        <v/>
      </c>
      <c r="C722" s="153" t="str">
        <f t="shared" ca="1" si="151"/>
        <v/>
      </c>
      <c r="D722" s="153" t="str">
        <f ca="1">IF($A722="","",MAX($C$7:C722))</f>
        <v/>
      </c>
      <c r="E722" s="154" t="str">
        <f t="shared" ca="1" si="152"/>
        <v/>
      </c>
      <c r="F722" s="152" t="str">
        <f ca="1">IF($A722="","",Returns!$I$720)</f>
        <v/>
      </c>
      <c r="G722" s="153" t="str">
        <f t="shared" ca="1" si="153"/>
        <v/>
      </c>
      <c r="H722" s="153" t="str">
        <f ca="1">IF($A722="","",MAX($G$7:G722))</f>
        <v/>
      </c>
      <c r="I722" s="154" t="str">
        <f t="shared" ca="1" si="154"/>
        <v/>
      </c>
      <c r="J722" s="59" t="str">
        <f t="shared" ca="1" si="155"/>
        <v/>
      </c>
      <c r="K722" s="3"/>
      <c r="L722" t="str">
        <f t="shared" ca="1" si="143"/>
        <v/>
      </c>
      <c r="M722" s="132" t="str">
        <f t="shared" ca="1" si="144"/>
        <v/>
      </c>
      <c r="N722" s="132" t="str">
        <f t="shared" ca="1" si="145"/>
        <v/>
      </c>
      <c r="P722" t="str">
        <f t="shared" ca="1" si="146"/>
        <v/>
      </c>
      <c r="Q722" s="133" t="str">
        <f t="shared" ca="1" si="147"/>
        <v/>
      </c>
      <c r="R722" s="133" t="str">
        <f t="shared" ca="1" si="148"/>
        <v/>
      </c>
      <c r="T722" t="str">
        <f t="shared" ca="1" si="149"/>
        <v/>
      </c>
      <c r="U722" s="134" t="str">
        <f t="shared" ca="1" si="150"/>
        <v/>
      </c>
    </row>
    <row r="723" spans="1:21" x14ac:dyDescent="0.3">
      <c r="A723" s="151" t="str">
        <f ca="1">Returns!$A$721</f>
        <v/>
      </c>
      <c r="B723" s="152" t="str">
        <f ca="1">IF($A723="","",Returns!$J$721)</f>
        <v/>
      </c>
      <c r="C723" s="153" t="str">
        <f t="shared" ca="1" si="151"/>
        <v/>
      </c>
      <c r="D723" s="153" t="str">
        <f ca="1">IF($A723="","",MAX($C$7:C723))</f>
        <v/>
      </c>
      <c r="E723" s="154" t="str">
        <f t="shared" ca="1" si="152"/>
        <v/>
      </c>
      <c r="F723" s="152" t="str">
        <f ca="1">IF($A723="","",Returns!$I$721)</f>
        <v/>
      </c>
      <c r="G723" s="153" t="str">
        <f t="shared" ca="1" si="153"/>
        <v/>
      </c>
      <c r="H723" s="153" t="str">
        <f ca="1">IF($A723="","",MAX($G$7:G723))</f>
        <v/>
      </c>
      <c r="I723" s="154" t="str">
        <f t="shared" ca="1" si="154"/>
        <v/>
      </c>
      <c r="J723" s="59" t="str">
        <f t="shared" ca="1" si="155"/>
        <v/>
      </c>
      <c r="K723" s="3"/>
      <c r="L723" t="str">
        <f t="shared" ca="1" si="143"/>
        <v/>
      </c>
      <c r="M723" s="132" t="str">
        <f t="shared" ca="1" si="144"/>
        <v/>
      </c>
      <c r="N723" s="132" t="str">
        <f t="shared" ca="1" si="145"/>
        <v/>
      </c>
      <c r="P723" t="str">
        <f t="shared" ca="1" si="146"/>
        <v/>
      </c>
      <c r="Q723" s="133" t="str">
        <f t="shared" ca="1" si="147"/>
        <v/>
      </c>
      <c r="R723" s="133" t="str">
        <f t="shared" ca="1" si="148"/>
        <v/>
      </c>
      <c r="T723" t="str">
        <f t="shared" ca="1" si="149"/>
        <v/>
      </c>
      <c r="U723" s="134" t="str">
        <f t="shared" ca="1" si="150"/>
        <v/>
      </c>
    </row>
    <row r="724" spans="1:21" x14ac:dyDescent="0.3">
      <c r="A724" s="151" t="str">
        <f ca="1">Returns!$A$722</f>
        <v/>
      </c>
      <c r="B724" s="152" t="str">
        <f ca="1">IF($A724="","",Returns!$J$722)</f>
        <v/>
      </c>
      <c r="C724" s="153" t="str">
        <f t="shared" ca="1" si="151"/>
        <v/>
      </c>
      <c r="D724" s="153" t="str">
        <f ca="1">IF($A724="","",MAX($C$7:C724))</f>
        <v/>
      </c>
      <c r="E724" s="154" t="str">
        <f t="shared" ca="1" si="152"/>
        <v/>
      </c>
      <c r="F724" s="152" t="str">
        <f ca="1">IF($A724="","",Returns!$I$722)</f>
        <v/>
      </c>
      <c r="G724" s="153" t="str">
        <f t="shared" ca="1" si="153"/>
        <v/>
      </c>
      <c r="H724" s="153" t="str">
        <f ca="1">IF($A724="","",MAX($G$7:G724))</f>
        <v/>
      </c>
      <c r="I724" s="154" t="str">
        <f t="shared" ca="1" si="154"/>
        <v/>
      </c>
      <c r="J724" s="59" t="str">
        <f t="shared" ca="1" si="155"/>
        <v/>
      </c>
      <c r="K724" s="3"/>
      <c r="L724" t="str">
        <f t="shared" ca="1" si="143"/>
        <v/>
      </c>
      <c r="M724" s="132" t="str">
        <f t="shared" ca="1" si="144"/>
        <v/>
      </c>
      <c r="N724" s="132" t="str">
        <f t="shared" ca="1" si="145"/>
        <v/>
      </c>
      <c r="P724" t="str">
        <f t="shared" ca="1" si="146"/>
        <v/>
      </c>
      <c r="Q724" s="133" t="str">
        <f t="shared" ca="1" si="147"/>
        <v/>
      </c>
      <c r="R724" s="133" t="str">
        <f t="shared" ca="1" si="148"/>
        <v/>
      </c>
      <c r="T724" t="str">
        <f t="shared" ca="1" si="149"/>
        <v/>
      </c>
      <c r="U724" s="134" t="str">
        <f t="shared" ca="1" si="150"/>
        <v/>
      </c>
    </row>
    <row r="725" spans="1:21" x14ac:dyDescent="0.3">
      <c r="A725" s="151" t="str">
        <f ca="1">Returns!$A$723</f>
        <v/>
      </c>
      <c r="B725" s="152" t="str">
        <f ca="1">IF($A725="","",Returns!$J$723)</f>
        <v/>
      </c>
      <c r="C725" s="153" t="str">
        <f t="shared" ca="1" si="151"/>
        <v/>
      </c>
      <c r="D725" s="153" t="str">
        <f ca="1">IF($A725="","",MAX($C$7:C725))</f>
        <v/>
      </c>
      <c r="E725" s="154" t="str">
        <f t="shared" ca="1" si="152"/>
        <v/>
      </c>
      <c r="F725" s="152" t="str">
        <f ca="1">IF($A725="","",Returns!$I$723)</f>
        <v/>
      </c>
      <c r="G725" s="153" t="str">
        <f t="shared" ca="1" si="153"/>
        <v/>
      </c>
      <c r="H725" s="153" t="str">
        <f ca="1">IF($A725="","",MAX($G$7:G725))</f>
        <v/>
      </c>
      <c r="I725" s="154" t="str">
        <f t="shared" ca="1" si="154"/>
        <v/>
      </c>
      <c r="J725" s="59" t="str">
        <f t="shared" ca="1" si="155"/>
        <v/>
      </c>
      <c r="K725" s="3"/>
      <c r="L725" t="str">
        <f t="shared" ca="1" si="143"/>
        <v/>
      </c>
      <c r="M725" s="132" t="str">
        <f t="shared" ca="1" si="144"/>
        <v/>
      </c>
      <c r="N725" s="132" t="str">
        <f t="shared" ca="1" si="145"/>
        <v/>
      </c>
      <c r="P725" t="str">
        <f t="shared" ca="1" si="146"/>
        <v/>
      </c>
      <c r="Q725" s="133" t="str">
        <f t="shared" ca="1" si="147"/>
        <v/>
      </c>
      <c r="R725" s="133" t="str">
        <f t="shared" ca="1" si="148"/>
        <v/>
      </c>
      <c r="T725" t="str">
        <f t="shared" ca="1" si="149"/>
        <v/>
      </c>
      <c r="U725" s="134" t="str">
        <f t="shared" ca="1" si="150"/>
        <v/>
      </c>
    </row>
    <row r="726" spans="1:21" x14ac:dyDescent="0.3">
      <c r="A726" s="151" t="str">
        <f ca="1">Returns!$A$724</f>
        <v/>
      </c>
      <c r="B726" s="152" t="str">
        <f ca="1">IF($A726="","",Returns!$J$724)</f>
        <v/>
      </c>
      <c r="C726" s="153" t="str">
        <f t="shared" ca="1" si="151"/>
        <v/>
      </c>
      <c r="D726" s="153" t="str">
        <f ca="1">IF($A726="","",MAX($C$7:C726))</f>
        <v/>
      </c>
      <c r="E726" s="154" t="str">
        <f t="shared" ca="1" si="152"/>
        <v/>
      </c>
      <c r="F726" s="152" t="str">
        <f ca="1">IF($A726="","",Returns!$I$724)</f>
        <v/>
      </c>
      <c r="G726" s="153" t="str">
        <f t="shared" ca="1" si="153"/>
        <v/>
      </c>
      <c r="H726" s="153" t="str">
        <f ca="1">IF($A726="","",MAX($G$7:G726))</f>
        <v/>
      </c>
      <c r="I726" s="154" t="str">
        <f t="shared" ca="1" si="154"/>
        <v/>
      </c>
      <c r="J726" s="59" t="str">
        <f t="shared" ca="1" si="155"/>
        <v/>
      </c>
      <c r="K726" s="3"/>
      <c r="L726" t="str">
        <f t="shared" ca="1" si="143"/>
        <v/>
      </c>
      <c r="M726" s="132" t="str">
        <f t="shared" ca="1" si="144"/>
        <v/>
      </c>
      <c r="N726" s="132" t="str">
        <f t="shared" ca="1" si="145"/>
        <v/>
      </c>
      <c r="P726" t="str">
        <f t="shared" ca="1" si="146"/>
        <v/>
      </c>
      <c r="Q726" s="133" t="str">
        <f t="shared" ca="1" si="147"/>
        <v/>
      </c>
      <c r="R726" s="133" t="str">
        <f t="shared" ca="1" si="148"/>
        <v/>
      </c>
      <c r="T726" t="str">
        <f t="shared" ca="1" si="149"/>
        <v/>
      </c>
      <c r="U726" s="134" t="str">
        <f t="shared" ca="1" si="150"/>
        <v/>
      </c>
    </row>
    <row r="727" spans="1:21" x14ac:dyDescent="0.3">
      <c r="A727" s="151" t="str">
        <f ca="1">Returns!$A$725</f>
        <v/>
      </c>
      <c r="B727" s="152" t="str">
        <f ca="1">IF($A727="","",Returns!$J$725)</f>
        <v/>
      </c>
      <c r="C727" s="153" t="str">
        <f t="shared" ca="1" si="151"/>
        <v/>
      </c>
      <c r="D727" s="153" t="str">
        <f ca="1">IF($A727="","",MAX($C$7:C727))</f>
        <v/>
      </c>
      <c r="E727" s="154" t="str">
        <f t="shared" ca="1" si="152"/>
        <v/>
      </c>
      <c r="F727" s="152" t="str">
        <f ca="1">IF($A727="","",Returns!$I$725)</f>
        <v/>
      </c>
      <c r="G727" s="153" t="str">
        <f t="shared" ca="1" si="153"/>
        <v/>
      </c>
      <c r="H727" s="153" t="str">
        <f ca="1">IF($A727="","",MAX($G$7:G727))</f>
        <v/>
      </c>
      <c r="I727" s="154" t="str">
        <f t="shared" ca="1" si="154"/>
        <v/>
      </c>
      <c r="J727" s="59" t="str">
        <f t="shared" ca="1" si="155"/>
        <v/>
      </c>
      <c r="K727" s="3"/>
      <c r="L727" t="str">
        <f t="shared" ca="1" si="143"/>
        <v/>
      </c>
      <c r="M727" s="132" t="str">
        <f t="shared" ca="1" si="144"/>
        <v/>
      </c>
      <c r="N727" s="132" t="str">
        <f t="shared" ca="1" si="145"/>
        <v/>
      </c>
      <c r="P727" t="str">
        <f t="shared" ca="1" si="146"/>
        <v/>
      </c>
      <c r="Q727" s="133" t="str">
        <f t="shared" ca="1" si="147"/>
        <v/>
      </c>
      <c r="R727" s="133" t="str">
        <f t="shared" ca="1" si="148"/>
        <v/>
      </c>
      <c r="T727" t="str">
        <f t="shared" ca="1" si="149"/>
        <v/>
      </c>
      <c r="U727" s="134" t="str">
        <f t="shared" ca="1" si="150"/>
        <v/>
      </c>
    </row>
    <row r="728" spans="1:21" x14ac:dyDescent="0.3">
      <c r="A728" s="151" t="str">
        <f ca="1">Returns!$A$726</f>
        <v/>
      </c>
      <c r="B728" s="152" t="str">
        <f ca="1">IF($A728="","",Returns!$J$726)</f>
        <v/>
      </c>
      <c r="C728" s="153" t="str">
        <f t="shared" ca="1" si="151"/>
        <v/>
      </c>
      <c r="D728" s="153" t="str">
        <f ca="1">IF($A728="","",MAX($C$7:C728))</f>
        <v/>
      </c>
      <c r="E728" s="154" t="str">
        <f t="shared" ca="1" si="152"/>
        <v/>
      </c>
      <c r="F728" s="152" t="str">
        <f ca="1">IF($A728="","",Returns!$I$726)</f>
        <v/>
      </c>
      <c r="G728" s="153" t="str">
        <f t="shared" ca="1" si="153"/>
        <v/>
      </c>
      <c r="H728" s="153" t="str">
        <f ca="1">IF($A728="","",MAX($G$7:G728))</f>
        <v/>
      </c>
      <c r="I728" s="154" t="str">
        <f t="shared" ca="1" si="154"/>
        <v/>
      </c>
      <c r="J728" s="59" t="str">
        <f t="shared" ca="1" si="155"/>
        <v/>
      </c>
      <c r="K728" s="3"/>
      <c r="L728" t="str">
        <f t="shared" ca="1" si="143"/>
        <v/>
      </c>
      <c r="M728" s="132" t="str">
        <f t="shared" ca="1" si="144"/>
        <v/>
      </c>
      <c r="N728" s="132" t="str">
        <f t="shared" ca="1" si="145"/>
        <v/>
      </c>
      <c r="P728" t="str">
        <f t="shared" ca="1" si="146"/>
        <v/>
      </c>
      <c r="Q728" s="133" t="str">
        <f t="shared" ca="1" si="147"/>
        <v/>
      </c>
      <c r="R728" s="133" t="str">
        <f t="shared" ca="1" si="148"/>
        <v/>
      </c>
      <c r="T728" t="str">
        <f t="shared" ca="1" si="149"/>
        <v/>
      </c>
      <c r="U728" s="134" t="str">
        <f t="shared" ca="1" si="150"/>
        <v/>
      </c>
    </row>
    <row r="729" spans="1:21" x14ac:dyDescent="0.3">
      <c r="A729" s="151" t="str">
        <f ca="1">Returns!$A$727</f>
        <v/>
      </c>
      <c r="B729" s="152" t="str">
        <f ca="1">IF($A729="","",Returns!$J$727)</f>
        <v/>
      </c>
      <c r="C729" s="153" t="str">
        <f t="shared" ca="1" si="151"/>
        <v/>
      </c>
      <c r="D729" s="153" t="str">
        <f ca="1">IF($A729="","",MAX($C$7:C729))</f>
        <v/>
      </c>
      <c r="E729" s="154" t="str">
        <f t="shared" ca="1" si="152"/>
        <v/>
      </c>
      <c r="F729" s="152" t="str">
        <f ca="1">IF($A729="","",Returns!$I$727)</f>
        <v/>
      </c>
      <c r="G729" s="153" t="str">
        <f t="shared" ca="1" si="153"/>
        <v/>
      </c>
      <c r="H729" s="153" t="str">
        <f ca="1">IF($A729="","",MAX($G$7:G729))</f>
        <v/>
      </c>
      <c r="I729" s="154" t="str">
        <f t="shared" ca="1" si="154"/>
        <v/>
      </c>
      <c r="J729" s="59" t="str">
        <f t="shared" ca="1" si="155"/>
        <v/>
      </c>
      <c r="K729" s="3"/>
      <c r="L729" t="str">
        <f t="shared" ca="1" si="143"/>
        <v/>
      </c>
      <c r="M729" s="132" t="str">
        <f t="shared" ca="1" si="144"/>
        <v/>
      </c>
      <c r="N729" s="132" t="str">
        <f t="shared" ca="1" si="145"/>
        <v/>
      </c>
      <c r="P729" t="str">
        <f t="shared" ca="1" si="146"/>
        <v/>
      </c>
      <c r="Q729" s="133" t="str">
        <f t="shared" ca="1" si="147"/>
        <v/>
      </c>
      <c r="R729" s="133" t="str">
        <f t="shared" ca="1" si="148"/>
        <v/>
      </c>
      <c r="T729" t="str">
        <f t="shared" ca="1" si="149"/>
        <v/>
      </c>
      <c r="U729" s="134" t="str">
        <f t="shared" ca="1" si="150"/>
        <v/>
      </c>
    </row>
    <row r="730" spans="1:21" x14ac:dyDescent="0.3">
      <c r="A730" s="151" t="str">
        <f ca="1">Returns!$A$728</f>
        <v/>
      </c>
      <c r="B730" s="152" t="str">
        <f ca="1">IF($A730="","",Returns!$J$728)</f>
        <v/>
      </c>
      <c r="C730" s="153" t="str">
        <f t="shared" ca="1" si="151"/>
        <v/>
      </c>
      <c r="D730" s="153" t="str">
        <f ca="1">IF($A730="","",MAX($C$7:C730))</f>
        <v/>
      </c>
      <c r="E730" s="154" t="str">
        <f t="shared" ca="1" si="152"/>
        <v/>
      </c>
      <c r="F730" s="152" t="str">
        <f ca="1">IF($A730="","",Returns!$I$728)</f>
        <v/>
      </c>
      <c r="G730" s="153" t="str">
        <f t="shared" ca="1" si="153"/>
        <v/>
      </c>
      <c r="H730" s="153" t="str">
        <f ca="1">IF($A730="","",MAX($G$7:G730))</f>
        <v/>
      </c>
      <c r="I730" s="154" t="str">
        <f t="shared" ca="1" si="154"/>
        <v/>
      </c>
      <c r="J730" s="59" t="str">
        <f t="shared" ca="1" si="155"/>
        <v/>
      </c>
      <c r="K730" s="3"/>
      <c r="L730" t="str">
        <f t="shared" ca="1" si="143"/>
        <v/>
      </c>
      <c r="M730" s="132" t="str">
        <f t="shared" ca="1" si="144"/>
        <v/>
      </c>
      <c r="N730" s="132" t="str">
        <f t="shared" ca="1" si="145"/>
        <v/>
      </c>
      <c r="P730" t="str">
        <f t="shared" ca="1" si="146"/>
        <v/>
      </c>
      <c r="Q730" s="133" t="str">
        <f t="shared" ca="1" si="147"/>
        <v/>
      </c>
      <c r="R730" s="133" t="str">
        <f t="shared" ca="1" si="148"/>
        <v/>
      </c>
      <c r="T730" t="str">
        <f t="shared" ca="1" si="149"/>
        <v/>
      </c>
      <c r="U730" s="134" t="str">
        <f t="shared" ca="1" si="150"/>
        <v/>
      </c>
    </row>
    <row r="731" spans="1:21" x14ac:dyDescent="0.3">
      <c r="A731" s="151" t="str">
        <f ca="1">Returns!$A$729</f>
        <v/>
      </c>
      <c r="B731" s="152" t="str">
        <f ca="1">IF($A731="","",Returns!$J$729)</f>
        <v/>
      </c>
      <c r="C731" s="153" t="str">
        <f t="shared" ca="1" si="151"/>
        <v/>
      </c>
      <c r="D731" s="153" t="str">
        <f ca="1">IF($A731="","",MAX($C$7:C731))</f>
        <v/>
      </c>
      <c r="E731" s="154" t="str">
        <f t="shared" ca="1" si="152"/>
        <v/>
      </c>
      <c r="F731" s="152" t="str">
        <f ca="1">IF($A731="","",Returns!$I$729)</f>
        <v/>
      </c>
      <c r="G731" s="153" t="str">
        <f t="shared" ca="1" si="153"/>
        <v/>
      </c>
      <c r="H731" s="153" t="str">
        <f ca="1">IF($A731="","",MAX($G$7:G731))</f>
        <v/>
      </c>
      <c r="I731" s="154" t="str">
        <f t="shared" ca="1" si="154"/>
        <v/>
      </c>
      <c r="J731" s="59" t="str">
        <f t="shared" ca="1" si="155"/>
        <v/>
      </c>
      <c r="K731" s="3"/>
      <c r="L731" t="str">
        <f t="shared" ca="1" si="143"/>
        <v/>
      </c>
      <c r="M731" s="132" t="str">
        <f t="shared" ca="1" si="144"/>
        <v/>
      </c>
      <c r="N731" s="132" t="str">
        <f t="shared" ca="1" si="145"/>
        <v/>
      </c>
      <c r="P731" t="str">
        <f t="shared" ca="1" si="146"/>
        <v/>
      </c>
      <c r="Q731" s="133" t="str">
        <f t="shared" ca="1" si="147"/>
        <v/>
      </c>
      <c r="R731" s="133" t="str">
        <f t="shared" ca="1" si="148"/>
        <v/>
      </c>
      <c r="T731" t="str">
        <f t="shared" ca="1" si="149"/>
        <v/>
      </c>
      <c r="U731" s="134" t="str">
        <f t="shared" ca="1" si="150"/>
        <v/>
      </c>
    </row>
    <row r="732" spans="1:21" x14ac:dyDescent="0.3">
      <c r="A732" s="151" t="str">
        <f ca="1">Returns!$A$730</f>
        <v/>
      </c>
      <c r="B732" s="152" t="str">
        <f ca="1">IF($A732="","",Returns!$J$730)</f>
        <v/>
      </c>
      <c r="C732" s="153" t="str">
        <f t="shared" ca="1" si="151"/>
        <v/>
      </c>
      <c r="D732" s="153" t="str">
        <f ca="1">IF($A732="","",MAX($C$7:C732))</f>
        <v/>
      </c>
      <c r="E732" s="154" t="str">
        <f t="shared" ca="1" si="152"/>
        <v/>
      </c>
      <c r="F732" s="152" t="str">
        <f ca="1">IF($A732="","",Returns!$I$730)</f>
        <v/>
      </c>
      <c r="G732" s="153" t="str">
        <f t="shared" ca="1" si="153"/>
        <v/>
      </c>
      <c r="H732" s="153" t="str">
        <f ca="1">IF($A732="","",MAX($G$7:G732))</f>
        <v/>
      </c>
      <c r="I732" s="154" t="str">
        <f t="shared" ca="1" si="154"/>
        <v/>
      </c>
      <c r="J732" s="59" t="str">
        <f t="shared" ca="1" si="155"/>
        <v/>
      </c>
      <c r="K732" s="3"/>
      <c r="L732" t="str">
        <f t="shared" ca="1" si="143"/>
        <v/>
      </c>
      <c r="M732" s="132" t="str">
        <f t="shared" ca="1" si="144"/>
        <v/>
      </c>
      <c r="N732" s="132" t="str">
        <f t="shared" ca="1" si="145"/>
        <v/>
      </c>
      <c r="P732" t="str">
        <f t="shared" ca="1" si="146"/>
        <v/>
      </c>
      <c r="Q732" s="133" t="str">
        <f t="shared" ca="1" si="147"/>
        <v/>
      </c>
      <c r="R732" s="133" t="str">
        <f t="shared" ca="1" si="148"/>
        <v/>
      </c>
      <c r="T732" t="str">
        <f t="shared" ca="1" si="149"/>
        <v/>
      </c>
      <c r="U732" s="134" t="str">
        <f t="shared" ca="1" si="150"/>
        <v/>
      </c>
    </row>
    <row r="733" spans="1:21" x14ac:dyDescent="0.3">
      <c r="A733" s="151" t="str">
        <f ca="1">Returns!$A$731</f>
        <v/>
      </c>
      <c r="B733" s="152" t="str">
        <f ca="1">IF($A733="","",Returns!$J$731)</f>
        <v/>
      </c>
      <c r="C733" s="153" t="str">
        <f t="shared" ca="1" si="151"/>
        <v/>
      </c>
      <c r="D733" s="153" t="str">
        <f ca="1">IF($A733="","",MAX($C$7:C733))</f>
        <v/>
      </c>
      <c r="E733" s="154" t="str">
        <f t="shared" ca="1" si="152"/>
        <v/>
      </c>
      <c r="F733" s="152" t="str">
        <f ca="1">IF($A733="","",Returns!$I$731)</f>
        <v/>
      </c>
      <c r="G733" s="153" t="str">
        <f t="shared" ca="1" si="153"/>
        <v/>
      </c>
      <c r="H733" s="153" t="str">
        <f ca="1">IF($A733="","",MAX($G$7:G733))</f>
        <v/>
      </c>
      <c r="I733" s="154" t="str">
        <f t="shared" ca="1" si="154"/>
        <v/>
      </c>
      <c r="J733" s="59" t="str">
        <f t="shared" ca="1" si="155"/>
        <v/>
      </c>
      <c r="K733" s="3"/>
      <c r="L733" t="str">
        <f t="shared" ca="1" si="143"/>
        <v/>
      </c>
      <c r="M733" s="132" t="str">
        <f t="shared" ca="1" si="144"/>
        <v/>
      </c>
      <c r="N733" s="132" t="str">
        <f t="shared" ca="1" si="145"/>
        <v/>
      </c>
      <c r="P733" t="str">
        <f t="shared" ca="1" si="146"/>
        <v/>
      </c>
      <c r="Q733" s="133" t="str">
        <f t="shared" ca="1" si="147"/>
        <v/>
      </c>
      <c r="R733" s="133" t="str">
        <f t="shared" ca="1" si="148"/>
        <v/>
      </c>
      <c r="T733" t="str">
        <f t="shared" ca="1" si="149"/>
        <v/>
      </c>
      <c r="U733" s="134" t="str">
        <f t="shared" ca="1" si="150"/>
        <v/>
      </c>
    </row>
    <row r="734" spans="1:21" x14ac:dyDescent="0.3">
      <c r="A734" s="151" t="str">
        <f ca="1">Returns!$A$732</f>
        <v/>
      </c>
      <c r="B734" s="152" t="str">
        <f ca="1">IF($A734="","",Returns!$J$732)</f>
        <v/>
      </c>
      <c r="C734" s="153" t="str">
        <f t="shared" ca="1" si="151"/>
        <v/>
      </c>
      <c r="D734" s="153" t="str">
        <f ca="1">IF($A734="","",MAX($C$7:C734))</f>
        <v/>
      </c>
      <c r="E734" s="154" t="str">
        <f t="shared" ca="1" si="152"/>
        <v/>
      </c>
      <c r="F734" s="152" t="str">
        <f ca="1">IF($A734="","",Returns!$I$732)</f>
        <v/>
      </c>
      <c r="G734" s="153" t="str">
        <f t="shared" ca="1" si="153"/>
        <v/>
      </c>
      <c r="H734" s="153" t="str">
        <f ca="1">IF($A734="","",MAX($G$7:G734))</f>
        <v/>
      </c>
      <c r="I734" s="154" t="str">
        <f t="shared" ca="1" si="154"/>
        <v/>
      </c>
      <c r="J734" s="59" t="str">
        <f t="shared" ca="1" si="155"/>
        <v/>
      </c>
      <c r="K734" s="3"/>
      <c r="L734" t="str">
        <f t="shared" ca="1" si="143"/>
        <v/>
      </c>
      <c r="M734" s="132" t="str">
        <f t="shared" ca="1" si="144"/>
        <v/>
      </c>
      <c r="N734" s="132" t="str">
        <f t="shared" ca="1" si="145"/>
        <v/>
      </c>
      <c r="P734" t="str">
        <f t="shared" ca="1" si="146"/>
        <v/>
      </c>
      <c r="Q734" s="133" t="str">
        <f t="shared" ca="1" si="147"/>
        <v/>
      </c>
      <c r="R734" s="133" t="str">
        <f t="shared" ca="1" si="148"/>
        <v/>
      </c>
      <c r="T734" t="str">
        <f t="shared" ca="1" si="149"/>
        <v/>
      </c>
      <c r="U734" s="134" t="str">
        <f t="shared" ca="1" si="150"/>
        <v/>
      </c>
    </row>
    <row r="735" spans="1:21" x14ac:dyDescent="0.3">
      <c r="A735" s="151" t="str">
        <f ca="1">Returns!$A$733</f>
        <v/>
      </c>
      <c r="B735" s="152" t="str">
        <f ca="1">IF($A735="","",Returns!$J$733)</f>
        <v/>
      </c>
      <c r="C735" s="153" t="str">
        <f t="shared" ca="1" si="151"/>
        <v/>
      </c>
      <c r="D735" s="153" t="str">
        <f ca="1">IF($A735="","",MAX($C$7:C735))</f>
        <v/>
      </c>
      <c r="E735" s="154" t="str">
        <f t="shared" ca="1" si="152"/>
        <v/>
      </c>
      <c r="F735" s="152" t="str">
        <f ca="1">IF($A735="","",Returns!$I$733)</f>
        <v/>
      </c>
      <c r="G735" s="153" t="str">
        <f t="shared" ca="1" si="153"/>
        <v/>
      </c>
      <c r="H735" s="153" t="str">
        <f ca="1">IF($A735="","",MAX($G$7:G735))</f>
        <v/>
      </c>
      <c r="I735" s="154" t="str">
        <f t="shared" ca="1" si="154"/>
        <v/>
      </c>
      <c r="J735" s="59" t="str">
        <f t="shared" ca="1" si="155"/>
        <v/>
      </c>
      <c r="K735" s="3"/>
      <c r="L735" t="str">
        <f t="shared" ca="1" si="143"/>
        <v/>
      </c>
      <c r="M735" s="132" t="str">
        <f t="shared" ca="1" si="144"/>
        <v/>
      </c>
      <c r="N735" s="132" t="str">
        <f t="shared" ca="1" si="145"/>
        <v/>
      </c>
      <c r="P735" t="str">
        <f t="shared" ca="1" si="146"/>
        <v/>
      </c>
      <c r="Q735" s="133" t="str">
        <f t="shared" ca="1" si="147"/>
        <v/>
      </c>
      <c r="R735" s="133" t="str">
        <f t="shared" ca="1" si="148"/>
        <v/>
      </c>
      <c r="T735" t="str">
        <f t="shared" ca="1" si="149"/>
        <v/>
      </c>
      <c r="U735" s="134" t="str">
        <f t="shared" ca="1" si="150"/>
        <v/>
      </c>
    </row>
    <row r="736" spans="1:21" x14ac:dyDescent="0.3">
      <c r="A736" s="151" t="str">
        <f ca="1">Returns!$A$734</f>
        <v/>
      </c>
      <c r="B736" s="152" t="str">
        <f ca="1">IF($A736="","",Returns!$J$734)</f>
        <v/>
      </c>
      <c r="C736" s="153" t="str">
        <f t="shared" ca="1" si="151"/>
        <v/>
      </c>
      <c r="D736" s="153" t="str">
        <f ca="1">IF($A736="","",MAX($C$7:C736))</f>
        <v/>
      </c>
      <c r="E736" s="154" t="str">
        <f t="shared" ca="1" si="152"/>
        <v/>
      </c>
      <c r="F736" s="152" t="str">
        <f ca="1">IF($A736="","",Returns!$I$734)</f>
        <v/>
      </c>
      <c r="G736" s="153" t="str">
        <f t="shared" ca="1" si="153"/>
        <v/>
      </c>
      <c r="H736" s="153" t="str">
        <f ca="1">IF($A736="","",MAX($G$7:G736))</f>
        <v/>
      </c>
      <c r="I736" s="154" t="str">
        <f t="shared" ca="1" si="154"/>
        <v/>
      </c>
      <c r="J736" s="59" t="str">
        <f t="shared" ca="1" si="155"/>
        <v/>
      </c>
      <c r="K736" s="3"/>
      <c r="L736" t="str">
        <f t="shared" ca="1" si="143"/>
        <v/>
      </c>
      <c r="M736" s="132" t="str">
        <f t="shared" ca="1" si="144"/>
        <v/>
      </c>
      <c r="N736" s="132" t="str">
        <f t="shared" ca="1" si="145"/>
        <v/>
      </c>
      <c r="P736" t="str">
        <f t="shared" ca="1" si="146"/>
        <v/>
      </c>
      <c r="Q736" s="133" t="str">
        <f t="shared" ca="1" si="147"/>
        <v/>
      </c>
      <c r="R736" s="133" t="str">
        <f t="shared" ca="1" si="148"/>
        <v/>
      </c>
      <c r="T736" t="str">
        <f t="shared" ca="1" si="149"/>
        <v/>
      </c>
      <c r="U736" s="134" t="str">
        <f t="shared" ca="1" si="150"/>
        <v/>
      </c>
    </row>
    <row r="737" spans="1:21" x14ac:dyDescent="0.3">
      <c r="A737" s="151" t="str">
        <f ca="1">Returns!$A$735</f>
        <v/>
      </c>
      <c r="B737" s="152" t="str">
        <f ca="1">IF($A737="","",Returns!$J$735)</f>
        <v/>
      </c>
      <c r="C737" s="153" t="str">
        <f t="shared" ca="1" si="151"/>
        <v/>
      </c>
      <c r="D737" s="153" t="str">
        <f ca="1">IF($A737="","",MAX($C$7:C737))</f>
        <v/>
      </c>
      <c r="E737" s="154" t="str">
        <f t="shared" ca="1" si="152"/>
        <v/>
      </c>
      <c r="F737" s="152" t="str">
        <f ca="1">IF($A737="","",Returns!$I$735)</f>
        <v/>
      </c>
      <c r="G737" s="153" t="str">
        <f t="shared" ca="1" si="153"/>
        <v/>
      </c>
      <c r="H737" s="153" t="str">
        <f ca="1">IF($A737="","",MAX($G$7:G737))</f>
        <v/>
      </c>
      <c r="I737" s="154" t="str">
        <f t="shared" ca="1" si="154"/>
        <v/>
      </c>
      <c r="J737" s="59" t="str">
        <f t="shared" ca="1" si="155"/>
        <v/>
      </c>
      <c r="K737" s="3"/>
      <c r="L737" t="str">
        <f t="shared" ca="1" si="143"/>
        <v/>
      </c>
      <c r="M737" s="132" t="str">
        <f t="shared" ca="1" si="144"/>
        <v/>
      </c>
      <c r="N737" s="132" t="str">
        <f t="shared" ca="1" si="145"/>
        <v/>
      </c>
      <c r="P737" t="str">
        <f t="shared" ca="1" si="146"/>
        <v/>
      </c>
      <c r="Q737" s="133" t="str">
        <f t="shared" ca="1" si="147"/>
        <v/>
      </c>
      <c r="R737" s="133" t="str">
        <f t="shared" ca="1" si="148"/>
        <v/>
      </c>
      <c r="T737" t="str">
        <f t="shared" ca="1" si="149"/>
        <v/>
      </c>
      <c r="U737" s="134" t="str">
        <f t="shared" ca="1" si="150"/>
        <v/>
      </c>
    </row>
    <row r="738" spans="1:21" x14ac:dyDescent="0.3">
      <c r="A738" s="151" t="str">
        <f ca="1">Returns!$A$736</f>
        <v/>
      </c>
      <c r="B738" s="152" t="str">
        <f ca="1">IF($A738="","",Returns!$J$736)</f>
        <v/>
      </c>
      <c r="C738" s="153" t="str">
        <f t="shared" ca="1" si="151"/>
        <v/>
      </c>
      <c r="D738" s="153" t="str">
        <f ca="1">IF($A738="","",MAX($C$7:C738))</f>
        <v/>
      </c>
      <c r="E738" s="154" t="str">
        <f t="shared" ca="1" si="152"/>
        <v/>
      </c>
      <c r="F738" s="152" t="str">
        <f ca="1">IF($A738="","",Returns!$I$736)</f>
        <v/>
      </c>
      <c r="G738" s="153" t="str">
        <f t="shared" ca="1" si="153"/>
        <v/>
      </c>
      <c r="H738" s="153" t="str">
        <f ca="1">IF($A738="","",MAX($G$7:G738))</f>
        <v/>
      </c>
      <c r="I738" s="154" t="str">
        <f t="shared" ca="1" si="154"/>
        <v/>
      </c>
      <c r="J738" s="59" t="str">
        <f t="shared" ca="1" si="155"/>
        <v/>
      </c>
      <c r="K738" s="3"/>
      <c r="L738" t="str">
        <f t="shared" ca="1" si="143"/>
        <v/>
      </c>
      <c r="M738" s="132" t="str">
        <f t="shared" ca="1" si="144"/>
        <v/>
      </c>
      <c r="N738" s="132" t="str">
        <f t="shared" ca="1" si="145"/>
        <v/>
      </c>
      <c r="P738" t="str">
        <f t="shared" ca="1" si="146"/>
        <v/>
      </c>
      <c r="Q738" s="133" t="str">
        <f t="shared" ca="1" si="147"/>
        <v/>
      </c>
      <c r="R738" s="133" t="str">
        <f t="shared" ca="1" si="148"/>
        <v/>
      </c>
      <c r="T738" t="str">
        <f t="shared" ca="1" si="149"/>
        <v/>
      </c>
      <c r="U738" s="134" t="str">
        <f t="shared" ca="1" si="150"/>
        <v/>
      </c>
    </row>
    <row r="739" spans="1:21" x14ac:dyDescent="0.3">
      <c r="A739" s="151" t="str">
        <f ca="1">Returns!$A$737</f>
        <v/>
      </c>
      <c r="B739" s="152" t="str">
        <f ca="1">IF($A739="","",Returns!$J$737)</f>
        <v/>
      </c>
      <c r="C739" s="153" t="str">
        <f t="shared" ca="1" si="151"/>
        <v/>
      </c>
      <c r="D739" s="153" t="str">
        <f ca="1">IF($A739="","",MAX($C$7:C739))</f>
        <v/>
      </c>
      <c r="E739" s="154" t="str">
        <f t="shared" ca="1" si="152"/>
        <v/>
      </c>
      <c r="F739" s="152" t="str">
        <f ca="1">IF($A739="","",Returns!$I$737)</f>
        <v/>
      </c>
      <c r="G739" s="153" t="str">
        <f t="shared" ca="1" si="153"/>
        <v/>
      </c>
      <c r="H739" s="153" t="str">
        <f ca="1">IF($A739="","",MAX($G$7:G739))</f>
        <v/>
      </c>
      <c r="I739" s="154" t="str">
        <f t="shared" ca="1" si="154"/>
        <v/>
      </c>
      <c r="J739" s="59" t="str">
        <f t="shared" ca="1" si="155"/>
        <v/>
      </c>
      <c r="K739" s="3"/>
      <c r="L739" t="str">
        <f t="shared" ca="1" si="143"/>
        <v/>
      </c>
      <c r="M739" s="132" t="str">
        <f t="shared" ca="1" si="144"/>
        <v/>
      </c>
      <c r="N739" s="132" t="str">
        <f t="shared" ca="1" si="145"/>
        <v/>
      </c>
      <c r="P739" t="str">
        <f t="shared" ca="1" si="146"/>
        <v/>
      </c>
      <c r="Q739" s="133" t="str">
        <f t="shared" ca="1" si="147"/>
        <v/>
      </c>
      <c r="R739" s="133" t="str">
        <f t="shared" ca="1" si="148"/>
        <v/>
      </c>
      <c r="T739" t="str">
        <f t="shared" ca="1" si="149"/>
        <v/>
      </c>
      <c r="U739" s="134" t="str">
        <f t="shared" ca="1" si="150"/>
        <v/>
      </c>
    </row>
    <row r="740" spans="1:21" x14ac:dyDescent="0.3">
      <c r="A740" s="151" t="str">
        <f ca="1">Returns!$A$738</f>
        <v/>
      </c>
      <c r="B740" s="152" t="str">
        <f ca="1">IF($A740="","",Returns!$J$738)</f>
        <v/>
      </c>
      <c r="C740" s="153" t="str">
        <f t="shared" ca="1" si="151"/>
        <v/>
      </c>
      <c r="D740" s="153" t="str">
        <f ca="1">IF($A740="","",MAX($C$7:C740))</f>
        <v/>
      </c>
      <c r="E740" s="154" t="str">
        <f t="shared" ca="1" si="152"/>
        <v/>
      </c>
      <c r="F740" s="152" t="str">
        <f ca="1">IF($A740="","",Returns!$I$738)</f>
        <v/>
      </c>
      <c r="G740" s="153" t="str">
        <f t="shared" ca="1" si="153"/>
        <v/>
      </c>
      <c r="H740" s="153" t="str">
        <f ca="1">IF($A740="","",MAX($G$7:G740))</f>
        <v/>
      </c>
      <c r="I740" s="154" t="str">
        <f t="shared" ca="1" si="154"/>
        <v/>
      </c>
      <c r="J740" s="59" t="str">
        <f t="shared" ca="1" si="155"/>
        <v/>
      </c>
      <c r="K740" s="3"/>
      <c r="L740" t="str">
        <f t="shared" ca="1" si="143"/>
        <v/>
      </c>
      <c r="M740" s="132" t="str">
        <f t="shared" ca="1" si="144"/>
        <v/>
      </c>
      <c r="N740" s="132" t="str">
        <f t="shared" ca="1" si="145"/>
        <v/>
      </c>
      <c r="P740" t="str">
        <f t="shared" ca="1" si="146"/>
        <v/>
      </c>
      <c r="Q740" s="133" t="str">
        <f t="shared" ca="1" si="147"/>
        <v/>
      </c>
      <c r="R740" s="133" t="str">
        <f t="shared" ca="1" si="148"/>
        <v/>
      </c>
      <c r="T740" t="str">
        <f t="shared" ca="1" si="149"/>
        <v/>
      </c>
      <c r="U740" s="134" t="str">
        <f t="shared" ca="1" si="150"/>
        <v/>
      </c>
    </row>
    <row r="741" spans="1:21" x14ac:dyDescent="0.3">
      <c r="A741" s="151" t="str">
        <f ca="1">Returns!$A$739</f>
        <v/>
      </c>
      <c r="B741" s="152" t="str">
        <f ca="1">IF($A741="","",Returns!$J$739)</f>
        <v/>
      </c>
      <c r="C741" s="153" t="str">
        <f t="shared" ca="1" si="151"/>
        <v/>
      </c>
      <c r="D741" s="153" t="str">
        <f ca="1">IF($A741="","",MAX($C$7:C741))</f>
        <v/>
      </c>
      <c r="E741" s="154" t="str">
        <f t="shared" ca="1" si="152"/>
        <v/>
      </c>
      <c r="F741" s="152" t="str">
        <f ca="1">IF($A741="","",Returns!$I$739)</f>
        <v/>
      </c>
      <c r="G741" s="153" t="str">
        <f t="shared" ca="1" si="153"/>
        <v/>
      </c>
      <c r="H741" s="153" t="str">
        <f ca="1">IF($A741="","",MAX($G$7:G741))</f>
        <v/>
      </c>
      <c r="I741" s="154" t="str">
        <f t="shared" ca="1" si="154"/>
        <v/>
      </c>
      <c r="J741" s="59" t="str">
        <f t="shared" ca="1" si="155"/>
        <v/>
      </c>
      <c r="K741" s="3"/>
      <c r="L741" t="str">
        <f t="shared" ca="1" si="143"/>
        <v/>
      </c>
      <c r="M741" s="132" t="str">
        <f t="shared" ca="1" si="144"/>
        <v/>
      </c>
      <c r="N741" s="132" t="str">
        <f t="shared" ca="1" si="145"/>
        <v/>
      </c>
      <c r="P741" t="str">
        <f t="shared" ca="1" si="146"/>
        <v/>
      </c>
      <c r="Q741" s="133" t="str">
        <f t="shared" ca="1" si="147"/>
        <v/>
      </c>
      <c r="R741" s="133" t="str">
        <f t="shared" ca="1" si="148"/>
        <v/>
      </c>
      <c r="T741" t="str">
        <f t="shared" ca="1" si="149"/>
        <v/>
      </c>
      <c r="U741" s="134" t="str">
        <f t="shared" ca="1" si="150"/>
        <v/>
      </c>
    </row>
    <row r="742" spans="1:21" x14ac:dyDescent="0.3">
      <c r="A742" s="151" t="str">
        <f ca="1">Returns!$A$740</f>
        <v/>
      </c>
      <c r="B742" s="152" t="str">
        <f ca="1">IF($A742="","",Returns!$J$740)</f>
        <v/>
      </c>
      <c r="C742" s="153" t="str">
        <f t="shared" ca="1" si="151"/>
        <v/>
      </c>
      <c r="D742" s="153" t="str">
        <f ca="1">IF($A742="","",MAX($C$7:C742))</f>
        <v/>
      </c>
      <c r="E742" s="154" t="str">
        <f t="shared" ca="1" si="152"/>
        <v/>
      </c>
      <c r="F742" s="152" t="str">
        <f ca="1">IF($A742="","",Returns!$I$740)</f>
        <v/>
      </c>
      <c r="G742" s="153" t="str">
        <f t="shared" ca="1" si="153"/>
        <v/>
      </c>
      <c r="H742" s="153" t="str">
        <f ca="1">IF($A742="","",MAX($G$7:G742))</f>
        <v/>
      </c>
      <c r="I742" s="154" t="str">
        <f t="shared" ca="1" si="154"/>
        <v/>
      </c>
      <c r="J742" s="59" t="str">
        <f t="shared" ca="1" si="155"/>
        <v/>
      </c>
      <c r="K742" s="3"/>
      <c r="L742" t="str">
        <f t="shared" ca="1" si="143"/>
        <v/>
      </c>
      <c r="M742" s="132" t="str">
        <f t="shared" ca="1" si="144"/>
        <v/>
      </c>
      <c r="N742" s="132" t="str">
        <f t="shared" ca="1" si="145"/>
        <v/>
      </c>
      <c r="P742" t="str">
        <f t="shared" ca="1" si="146"/>
        <v/>
      </c>
      <c r="Q742" s="133" t="str">
        <f t="shared" ca="1" si="147"/>
        <v/>
      </c>
      <c r="R742" s="133" t="str">
        <f t="shared" ca="1" si="148"/>
        <v/>
      </c>
      <c r="T742" t="str">
        <f t="shared" ca="1" si="149"/>
        <v/>
      </c>
      <c r="U742" s="134" t="str">
        <f t="shared" ca="1" si="150"/>
        <v/>
      </c>
    </row>
    <row r="743" spans="1:21" x14ac:dyDescent="0.3">
      <c r="A743" s="151" t="str">
        <f ca="1">Returns!$A$741</f>
        <v/>
      </c>
      <c r="B743" s="152" t="str">
        <f ca="1">IF($A743="","",Returns!$J$741)</f>
        <v/>
      </c>
      <c r="C743" s="153" t="str">
        <f t="shared" ca="1" si="151"/>
        <v/>
      </c>
      <c r="D743" s="153" t="str">
        <f ca="1">IF($A743="","",MAX($C$7:C743))</f>
        <v/>
      </c>
      <c r="E743" s="154" t="str">
        <f t="shared" ca="1" si="152"/>
        <v/>
      </c>
      <c r="F743" s="152" t="str">
        <f ca="1">IF($A743="","",Returns!$I$741)</f>
        <v/>
      </c>
      <c r="G743" s="153" t="str">
        <f t="shared" ca="1" si="153"/>
        <v/>
      </c>
      <c r="H743" s="153" t="str">
        <f ca="1">IF($A743="","",MAX($G$7:G743))</f>
        <v/>
      </c>
      <c r="I743" s="154" t="str">
        <f t="shared" ca="1" si="154"/>
        <v/>
      </c>
      <c r="J743" s="59" t="str">
        <f t="shared" ca="1" si="155"/>
        <v/>
      </c>
      <c r="K743" s="3"/>
      <c r="L743" t="str">
        <f t="shared" ca="1" si="143"/>
        <v/>
      </c>
      <c r="M743" s="132" t="str">
        <f t="shared" ca="1" si="144"/>
        <v/>
      </c>
      <c r="N743" s="132" t="str">
        <f t="shared" ca="1" si="145"/>
        <v/>
      </c>
      <c r="P743" t="str">
        <f t="shared" ca="1" si="146"/>
        <v/>
      </c>
      <c r="Q743" s="133" t="str">
        <f t="shared" ca="1" si="147"/>
        <v/>
      </c>
      <c r="R743" s="133" t="str">
        <f t="shared" ca="1" si="148"/>
        <v/>
      </c>
      <c r="T743" t="str">
        <f t="shared" ca="1" si="149"/>
        <v/>
      </c>
      <c r="U743" s="134" t="str">
        <f t="shared" ca="1" si="150"/>
        <v/>
      </c>
    </row>
    <row r="744" spans="1:21" x14ac:dyDescent="0.3">
      <c r="A744" s="151" t="str">
        <f ca="1">Returns!$A$742</f>
        <v/>
      </c>
      <c r="B744" s="152" t="str">
        <f ca="1">IF($A744="","",Returns!$J$742)</f>
        <v/>
      </c>
      <c r="C744" s="153" t="str">
        <f t="shared" ca="1" si="151"/>
        <v/>
      </c>
      <c r="D744" s="153" t="str">
        <f ca="1">IF($A744="","",MAX($C$7:C744))</f>
        <v/>
      </c>
      <c r="E744" s="154" t="str">
        <f t="shared" ca="1" si="152"/>
        <v/>
      </c>
      <c r="F744" s="152" t="str">
        <f ca="1">IF($A744="","",Returns!$I$742)</f>
        <v/>
      </c>
      <c r="G744" s="153" t="str">
        <f t="shared" ca="1" si="153"/>
        <v/>
      </c>
      <c r="H744" s="153" t="str">
        <f ca="1">IF($A744="","",MAX($G$7:G744))</f>
        <v/>
      </c>
      <c r="I744" s="154" t="str">
        <f t="shared" ca="1" si="154"/>
        <v/>
      </c>
      <c r="J744" s="59" t="str">
        <f t="shared" ca="1" si="155"/>
        <v/>
      </c>
      <c r="K744" s="3"/>
      <c r="L744" t="str">
        <f t="shared" ca="1" si="143"/>
        <v/>
      </c>
      <c r="M744" s="132" t="str">
        <f t="shared" ca="1" si="144"/>
        <v/>
      </c>
      <c r="N744" s="132" t="str">
        <f t="shared" ca="1" si="145"/>
        <v/>
      </c>
      <c r="P744" t="str">
        <f t="shared" ca="1" si="146"/>
        <v/>
      </c>
      <c r="Q744" s="133" t="str">
        <f t="shared" ca="1" si="147"/>
        <v/>
      </c>
      <c r="R744" s="133" t="str">
        <f t="shared" ca="1" si="148"/>
        <v/>
      </c>
      <c r="T744" t="str">
        <f t="shared" ca="1" si="149"/>
        <v/>
      </c>
      <c r="U744" s="134" t="str">
        <f t="shared" ca="1" si="150"/>
        <v/>
      </c>
    </row>
    <row r="745" spans="1:21" x14ac:dyDescent="0.3">
      <c r="A745" s="151" t="str">
        <f ca="1">Returns!$A$743</f>
        <v/>
      </c>
      <c r="B745" s="152" t="str">
        <f ca="1">IF($A745="","",Returns!$J$743)</f>
        <v/>
      </c>
      <c r="C745" s="153" t="str">
        <f t="shared" ca="1" si="151"/>
        <v/>
      </c>
      <c r="D745" s="153" t="str">
        <f ca="1">IF($A745="","",MAX($C$7:C745))</f>
        <v/>
      </c>
      <c r="E745" s="154" t="str">
        <f t="shared" ca="1" si="152"/>
        <v/>
      </c>
      <c r="F745" s="152" t="str">
        <f ca="1">IF($A745="","",Returns!$I$743)</f>
        <v/>
      </c>
      <c r="G745" s="153" t="str">
        <f t="shared" ca="1" si="153"/>
        <v/>
      </c>
      <c r="H745" s="153" t="str">
        <f ca="1">IF($A745="","",MAX($G$7:G745))</f>
        <v/>
      </c>
      <c r="I745" s="154" t="str">
        <f t="shared" ca="1" si="154"/>
        <v/>
      </c>
      <c r="J745" s="59" t="str">
        <f t="shared" ca="1" si="155"/>
        <v/>
      </c>
      <c r="K745" s="3"/>
      <c r="L745" t="str">
        <f t="shared" ca="1" si="143"/>
        <v/>
      </c>
      <c r="M745" s="132" t="str">
        <f t="shared" ca="1" si="144"/>
        <v/>
      </c>
      <c r="N745" s="132" t="str">
        <f t="shared" ca="1" si="145"/>
        <v/>
      </c>
      <c r="P745" t="str">
        <f t="shared" ca="1" si="146"/>
        <v/>
      </c>
      <c r="Q745" s="133" t="str">
        <f t="shared" ca="1" si="147"/>
        <v/>
      </c>
      <c r="R745" s="133" t="str">
        <f t="shared" ca="1" si="148"/>
        <v/>
      </c>
      <c r="T745" t="str">
        <f t="shared" ca="1" si="149"/>
        <v/>
      </c>
      <c r="U745" s="134" t="str">
        <f t="shared" ca="1" si="150"/>
        <v/>
      </c>
    </row>
    <row r="746" spans="1:21" x14ac:dyDescent="0.3">
      <c r="A746" s="151" t="str">
        <f ca="1">Returns!$A$744</f>
        <v/>
      </c>
      <c r="B746" s="152" t="str">
        <f ca="1">IF($A746="","",Returns!$J$744)</f>
        <v/>
      </c>
      <c r="C746" s="153" t="str">
        <f t="shared" ca="1" si="151"/>
        <v/>
      </c>
      <c r="D746" s="153" t="str">
        <f ca="1">IF($A746="","",MAX($C$7:C746))</f>
        <v/>
      </c>
      <c r="E746" s="154" t="str">
        <f t="shared" ca="1" si="152"/>
        <v/>
      </c>
      <c r="F746" s="152" t="str">
        <f ca="1">IF($A746="","",Returns!$I$744)</f>
        <v/>
      </c>
      <c r="G746" s="153" t="str">
        <f t="shared" ca="1" si="153"/>
        <v/>
      </c>
      <c r="H746" s="153" t="str">
        <f ca="1">IF($A746="","",MAX($G$7:G746))</f>
        <v/>
      </c>
      <c r="I746" s="154" t="str">
        <f t="shared" ca="1" si="154"/>
        <v/>
      </c>
      <c r="J746" s="59" t="str">
        <f t="shared" ca="1" si="155"/>
        <v/>
      </c>
      <c r="K746" s="3"/>
      <c r="L746" t="str">
        <f t="shared" ca="1" si="143"/>
        <v/>
      </c>
      <c r="M746" s="132" t="str">
        <f t="shared" ca="1" si="144"/>
        <v/>
      </c>
      <c r="N746" s="132" t="str">
        <f t="shared" ca="1" si="145"/>
        <v/>
      </c>
      <c r="P746" t="str">
        <f t="shared" ca="1" si="146"/>
        <v/>
      </c>
      <c r="Q746" s="133" t="str">
        <f t="shared" ca="1" si="147"/>
        <v/>
      </c>
      <c r="R746" s="133" t="str">
        <f t="shared" ca="1" si="148"/>
        <v/>
      </c>
      <c r="T746" t="str">
        <f t="shared" ca="1" si="149"/>
        <v/>
      </c>
      <c r="U746" s="134" t="str">
        <f t="shared" ca="1" si="150"/>
        <v/>
      </c>
    </row>
    <row r="747" spans="1:21" x14ac:dyDescent="0.3">
      <c r="A747" s="151" t="str">
        <f ca="1">Returns!$A$745</f>
        <v/>
      </c>
      <c r="B747" s="152" t="str">
        <f ca="1">IF($A747="","",Returns!$J$745)</f>
        <v/>
      </c>
      <c r="C747" s="153" t="str">
        <f t="shared" ca="1" si="151"/>
        <v/>
      </c>
      <c r="D747" s="153" t="str">
        <f ca="1">IF($A747="","",MAX($C$7:C747))</f>
        <v/>
      </c>
      <c r="E747" s="154" t="str">
        <f t="shared" ca="1" si="152"/>
        <v/>
      </c>
      <c r="F747" s="152" t="str">
        <f ca="1">IF($A747="","",Returns!$I$745)</f>
        <v/>
      </c>
      <c r="G747" s="153" t="str">
        <f t="shared" ca="1" si="153"/>
        <v/>
      </c>
      <c r="H747" s="153" t="str">
        <f ca="1">IF($A747="","",MAX($G$7:G747))</f>
        <v/>
      </c>
      <c r="I747" s="154" t="str">
        <f t="shared" ca="1" si="154"/>
        <v/>
      </c>
      <c r="J747" s="59" t="str">
        <f t="shared" ca="1" si="155"/>
        <v/>
      </c>
      <c r="K747" s="3"/>
      <c r="L747" t="str">
        <f t="shared" ca="1" si="143"/>
        <v/>
      </c>
      <c r="M747" s="132" t="str">
        <f t="shared" ca="1" si="144"/>
        <v/>
      </c>
      <c r="N747" s="132" t="str">
        <f t="shared" ca="1" si="145"/>
        <v/>
      </c>
      <c r="P747" t="str">
        <f t="shared" ca="1" si="146"/>
        <v/>
      </c>
      <c r="Q747" s="133" t="str">
        <f t="shared" ca="1" si="147"/>
        <v/>
      </c>
      <c r="R747" s="133" t="str">
        <f t="shared" ca="1" si="148"/>
        <v/>
      </c>
      <c r="T747" t="str">
        <f t="shared" ca="1" si="149"/>
        <v/>
      </c>
      <c r="U747" s="134" t="str">
        <f t="shared" ca="1" si="150"/>
        <v/>
      </c>
    </row>
    <row r="748" spans="1:21" x14ac:dyDescent="0.3">
      <c r="A748" s="151" t="str">
        <f ca="1">Returns!$A$746</f>
        <v/>
      </c>
      <c r="B748" s="152" t="str">
        <f ca="1">IF($A748="","",Returns!$J$746)</f>
        <v/>
      </c>
      <c r="C748" s="153" t="str">
        <f t="shared" ca="1" si="151"/>
        <v/>
      </c>
      <c r="D748" s="153" t="str">
        <f ca="1">IF($A748="","",MAX($C$7:C748))</f>
        <v/>
      </c>
      <c r="E748" s="154" t="str">
        <f t="shared" ca="1" si="152"/>
        <v/>
      </c>
      <c r="F748" s="152" t="str">
        <f ca="1">IF($A748="","",Returns!$I$746)</f>
        <v/>
      </c>
      <c r="G748" s="153" t="str">
        <f t="shared" ca="1" si="153"/>
        <v/>
      </c>
      <c r="H748" s="153" t="str">
        <f ca="1">IF($A748="","",MAX($G$7:G748))</f>
        <v/>
      </c>
      <c r="I748" s="154" t="str">
        <f t="shared" ca="1" si="154"/>
        <v/>
      </c>
      <c r="J748" s="59" t="str">
        <f t="shared" ca="1" si="155"/>
        <v/>
      </c>
      <c r="K748" s="3"/>
      <c r="L748" t="str">
        <f t="shared" ca="1" si="143"/>
        <v/>
      </c>
      <c r="M748" s="132" t="str">
        <f t="shared" ca="1" si="144"/>
        <v/>
      </c>
      <c r="N748" s="132" t="str">
        <f t="shared" ca="1" si="145"/>
        <v/>
      </c>
      <c r="P748" t="str">
        <f t="shared" ca="1" si="146"/>
        <v/>
      </c>
      <c r="Q748" s="133" t="str">
        <f t="shared" ca="1" si="147"/>
        <v/>
      </c>
      <c r="R748" s="133" t="str">
        <f t="shared" ca="1" si="148"/>
        <v/>
      </c>
      <c r="T748" t="str">
        <f t="shared" ca="1" si="149"/>
        <v/>
      </c>
      <c r="U748" s="134" t="str">
        <f t="shared" ca="1" si="150"/>
        <v/>
      </c>
    </row>
    <row r="749" spans="1:21" x14ac:dyDescent="0.3">
      <c r="A749" s="151" t="str">
        <f ca="1">Returns!$A$747</f>
        <v/>
      </c>
      <c r="B749" s="152" t="str">
        <f ca="1">IF($A749="","",Returns!$J$747)</f>
        <v/>
      </c>
      <c r="C749" s="153" t="str">
        <f t="shared" ca="1" si="151"/>
        <v/>
      </c>
      <c r="D749" s="153" t="str">
        <f ca="1">IF($A749="","",MAX($C$7:C749))</f>
        <v/>
      </c>
      <c r="E749" s="154" t="str">
        <f t="shared" ca="1" si="152"/>
        <v/>
      </c>
      <c r="F749" s="152" t="str">
        <f ca="1">IF($A749="","",Returns!$I$747)</f>
        <v/>
      </c>
      <c r="G749" s="153" t="str">
        <f t="shared" ca="1" si="153"/>
        <v/>
      </c>
      <c r="H749" s="153" t="str">
        <f ca="1">IF($A749="","",MAX($G$7:G749))</f>
        <v/>
      </c>
      <c r="I749" s="154" t="str">
        <f t="shared" ca="1" si="154"/>
        <v/>
      </c>
      <c r="J749" s="59" t="str">
        <f t="shared" ca="1" si="155"/>
        <v/>
      </c>
      <c r="K749" s="3"/>
      <c r="L749" t="str">
        <f t="shared" ca="1" si="143"/>
        <v/>
      </c>
      <c r="M749" s="132" t="str">
        <f t="shared" ca="1" si="144"/>
        <v/>
      </c>
      <c r="N749" s="132" t="str">
        <f t="shared" ca="1" si="145"/>
        <v/>
      </c>
      <c r="P749" t="str">
        <f t="shared" ca="1" si="146"/>
        <v/>
      </c>
      <c r="Q749" s="133" t="str">
        <f t="shared" ca="1" si="147"/>
        <v/>
      </c>
      <c r="R749" s="133" t="str">
        <f t="shared" ca="1" si="148"/>
        <v/>
      </c>
      <c r="T749" t="str">
        <f t="shared" ca="1" si="149"/>
        <v/>
      </c>
      <c r="U749" s="134" t="str">
        <f t="shared" ca="1" si="150"/>
        <v/>
      </c>
    </row>
    <row r="750" spans="1:21" x14ac:dyDescent="0.3">
      <c r="A750" s="151" t="str">
        <f ca="1">Returns!$A$748</f>
        <v/>
      </c>
      <c r="B750" s="152" t="str">
        <f ca="1">IF($A750="","",Returns!$J$748)</f>
        <v/>
      </c>
      <c r="C750" s="153" t="str">
        <f t="shared" ca="1" si="151"/>
        <v/>
      </c>
      <c r="D750" s="153" t="str">
        <f ca="1">IF($A750="","",MAX($C$7:C750))</f>
        <v/>
      </c>
      <c r="E750" s="154" t="str">
        <f t="shared" ca="1" si="152"/>
        <v/>
      </c>
      <c r="F750" s="152" t="str">
        <f ca="1">IF($A750="","",Returns!$I$748)</f>
        <v/>
      </c>
      <c r="G750" s="153" t="str">
        <f t="shared" ca="1" si="153"/>
        <v/>
      </c>
      <c r="H750" s="153" t="str">
        <f ca="1">IF($A750="","",MAX($G$7:G750))</f>
        <v/>
      </c>
      <c r="I750" s="154" t="str">
        <f t="shared" ca="1" si="154"/>
        <v/>
      </c>
      <c r="J750" s="59" t="str">
        <f t="shared" ca="1" si="155"/>
        <v/>
      </c>
      <c r="K750" s="3"/>
      <c r="L750" t="str">
        <f t="shared" ca="1" si="143"/>
        <v/>
      </c>
      <c r="M750" s="132" t="str">
        <f t="shared" ca="1" si="144"/>
        <v/>
      </c>
      <c r="N750" s="132" t="str">
        <f t="shared" ca="1" si="145"/>
        <v/>
      </c>
      <c r="P750" t="str">
        <f t="shared" ca="1" si="146"/>
        <v/>
      </c>
      <c r="Q750" s="133" t="str">
        <f t="shared" ca="1" si="147"/>
        <v/>
      </c>
      <c r="R750" s="133" t="str">
        <f t="shared" ca="1" si="148"/>
        <v/>
      </c>
      <c r="T750" t="str">
        <f t="shared" ca="1" si="149"/>
        <v/>
      </c>
      <c r="U750" s="134" t="str">
        <f t="shared" ca="1" si="150"/>
        <v/>
      </c>
    </row>
    <row r="751" spans="1:21" x14ac:dyDescent="0.3">
      <c r="A751" s="151" t="str">
        <f ca="1">Returns!$A$749</f>
        <v/>
      </c>
      <c r="B751" s="152" t="str">
        <f ca="1">IF($A751="","",Returns!$J$749)</f>
        <v/>
      </c>
      <c r="C751" s="153" t="str">
        <f t="shared" ca="1" si="151"/>
        <v/>
      </c>
      <c r="D751" s="153" t="str">
        <f ca="1">IF($A751="","",MAX($C$7:C751))</f>
        <v/>
      </c>
      <c r="E751" s="154" t="str">
        <f t="shared" ca="1" si="152"/>
        <v/>
      </c>
      <c r="F751" s="152" t="str">
        <f ca="1">IF($A751="","",Returns!$I$749)</f>
        <v/>
      </c>
      <c r="G751" s="153" t="str">
        <f t="shared" ca="1" si="153"/>
        <v/>
      </c>
      <c r="H751" s="153" t="str">
        <f ca="1">IF($A751="","",MAX($G$7:G751))</f>
        <v/>
      </c>
      <c r="I751" s="154" t="str">
        <f t="shared" ca="1" si="154"/>
        <v/>
      </c>
      <c r="J751" s="59" t="str">
        <f t="shared" ca="1" si="155"/>
        <v/>
      </c>
      <c r="K751" s="3"/>
      <c r="L751" t="str">
        <f t="shared" ca="1" si="143"/>
        <v/>
      </c>
      <c r="M751" s="132" t="str">
        <f t="shared" ca="1" si="144"/>
        <v/>
      </c>
      <c r="N751" s="132" t="str">
        <f t="shared" ca="1" si="145"/>
        <v/>
      </c>
      <c r="P751" t="str">
        <f t="shared" ca="1" si="146"/>
        <v/>
      </c>
      <c r="Q751" s="133" t="str">
        <f t="shared" ca="1" si="147"/>
        <v/>
      </c>
      <c r="R751" s="133" t="str">
        <f t="shared" ca="1" si="148"/>
        <v/>
      </c>
      <c r="T751" t="str">
        <f t="shared" ca="1" si="149"/>
        <v/>
      </c>
      <c r="U751" s="134" t="str">
        <f t="shared" ca="1" si="150"/>
        <v/>
      </c>
    </row>
    <row r="752" spans="1:21" x14ac:dyDescent="0.3">
      <c r="A752" s="151" t="str">
        <f ca="1">Returns!$A$750</f>
        <v/>
      </c>
      <c r="B752" s="152" t="str">
        <f ca="1">IF($A752="","",Returns!$J$750)</f>
        <v/>
      </c>
      <c r="C752" s="153" t="str">
        <f t="shared" ca="1" si="151"/>
        <v/>
      </c>
      <c r="D752" s="153" t="str">
        <f ca="1">IF($A752="","",MAX($C$7:C752))</f>
        <v/>
      </c>
      <c r="E752" s="154" t="str">
        <f t="shared" ca="1" si="152"/>
        <v/>
      </c>
      <c r="F752" s="152" t="str">
        <f ca="1">IF($A752="","",Returns!$I$750)</f>
        <v/>
      </c>
      <c r="G752" s="153" t="str">
        <f t="shared" ca="1" si="153"/>
        <v/>
      </c>
      <c r="H752" s="153" t="str">
        <f ca="1">IF($A752="","",MAX($G$7:G752))</f>
        <v/>
      </c>
      <c r="I752" s="154" t="str">
        <f t="shared" ca="1" si="154"/>
        <v/>
      </c>
      <c r="J752" s="59" t="str">
        <f t="shared" ca="1" si="155"/>
        <v/>
      </c>
      <c r="K752" s="3"/>
      <c r="L752" t="str">
        <f t="shared" ca="1" si="143"/>
        <v/>
      </c>
      <c r="M752" s="132" t="str">
        <f t="shared" ca="1" si="144"/>
        <v/>
      </c>
      <c r="N752" s="132" t="str">
        <f t="shared" ca="1" si="145"/>
        <v/>
      </c>
      <c r="P752" t="str">
        <f t="shared" ca="1" si="146"/>
        <v/>
      </c>
      <c r="Q752" s="133" t="str">
        <f t="shared" ca="1" si="147"/>
        <v/>
      </c>
      <c r="R752" s="133" t="str">
        <f t="shared" ca="1" si="148"/>
        <v/>
      </c>
      <c r="T752" t="str">
        <f t="shared" ca="1" si="149"/>
        <v/>
      </c>
      <c r="U752" s="134" t="str">
        <f t="shared" ca="1" si="150"/>
        <v/>
      </c>
    </row>
    <row r="753" spans="1:21" x14ac:dyDescent="0.3">
      <c r="A753" s="151" t="str">
        <f ca="1">Returns!$A$751</f>
        <v/>
      </c>
      <c r="B753" s="152" t="str">
        <f ca="1">IF($A753="","",Returns!$J$751)</f>
        <v/>
      </c>
      <c r="C753" s="153" t="str">
        <f t="shared" ca="1" si="151"/>
        <v/>
      </c>
      <c r="D753" s="153" t="str">
        <f ca="1">IF($A753="","",MAX($C$7:C753))</f>
        <v/>
      </c>
      <c r="E753" s="154" t="str">
        <f t="shared" ca="1" si="152"/>
        <v/>
      </c>
      <c r="F753" s="152" t="str">
        <f ca="1">IF($A753="","",Returns!$I$751)</f>
        <v/>
      </c>
      <c r="G753" s="153" t="str">
        <f t="shared" ca="1" si="153"/>
        <v/>
      </c>
      <c r="H753" s="153" t="str">
        <f ca="1">IF($A753="","",MAX($G$7:G753))</f>
        <v/>
      </c>
      <c r="I753" s="154" t="str">
        <f t="shared" ca="1" si="154"/>
        <v/>
      </c>
      <c r="J753" s="59" t="str">
        <f t="shared" ca="1" si="155"/>
        <v/>
      </c>
      <c r="K753" s="3"/>
      <c r="L753" t="str">
        <f t="shared" ca="1" si="143"/>
        <v/>
      </c>
      <c r="M753" s="132" t="str">
        <f t="shared" ca="1" si="144"/>
        <v/>
      </c>
      <c r="N753" s="132" t="str">
        <f t="shared" ca="1" si="145"/>
        <v/>
      </c>
      <c r="P753" t="str">
        <f t="shared" ca="1" si="146"/>
        <v/>
      </c>
      <c r="Q753" s="133" t="str">
        <f t="shared" ca="1" si="147"/>
        <v/>
      </c>
      <c r="R753" s="133" t="str">
        <f t="shared" ca="1" si="148"/>
        <v/>
      </c>
      <c r="T753" t="str">
        <f t="shared" ca="1" si="149"/>
        <v/>
      </c>
      <c r="U753" s="134" t="str">
        <f t="shared" ca="1" si="150"/>
        <v/>
      </c>
    </row>
    <row r="754" spans="1:21" x14ac:dyDescent="0.3">
      <c r="A754" s="151" t="str">
        <f ca="1">Returns!$A$752</f>
        <v/>
      </c>
      <c r="B754" s="152" t="str">
        <f ca="1">IF($A754="","",Returns!$J$752)</f>
        <v/>
      </c>
      <c r="C754" s="153" t="str">
        <f t="shared" ca="1" si="151"/>
        <v/>
      </c>
      <c r="D754" s="153" t="str">
        <f ca="1">IF($A754="","",MAX($C$7:C754))</f>
        <v/>
      </c>
      <c r="E754" s="154" t="str">
        <f t="shared" ca="1" si="152"/>
        <v/>
      </c>
      <c r="F754" s="152" t="str">
        <f ca="1">IF($A754="","",Returns!$I$752)</f>
        <v/>
      </c>
      <c r="G754" s="153" t="str">
        <f t="shared" ca="1" si="153"/>
        <v/>
      </c>
      <c r="H754" s="153" t="str">
        <f ca="1">IF($A754="","",MAX($G$7:G754))</f>
        <v/>
      </c>
      <c r="I754" s="154" t="str">
        <f t="shared" ca="1" si="154"/>
        <v/>
      </c>
      <c r="J754" s="59" t="str">
        <f t="shared" ca="1" si="155"/>
        <v/>
      </c>
      <c r="K754" s="3"/>
      <c r="L754" t="str">
        <f t="shared" ca="1" si="143"/>
        <v/>
      </c>
      <c r="M754" s="132" t="str">
        <f t="shared" ca="1" si="144"/>
        <v/>
      </c>
      <c r="N754" s="132" t="str">
        <f t="shared" ca="1" si="145"/>
        <v/>
      </c>
      <c r="P754" t="str">
        <f t="shared" ca="1" si="146"/>
        <v/>
      </c>
      <c r="Q754" s="133" t="str">
        <f t="shared" ca="1" si="147"/>
        <v/>
      </c>
      <c r="R754" s="133" t="str">
        <f t="shared" ca="1" si="148"/>
        <v/>
      </c>
      <c r="T754" t="str">
        <f t="shared" ca="1" si="149"/>
        <v/>
      </c>
      <c r="U754" s="134" t="str">
        <f t="shared" ca="1" si="150"/>
        <v/>
      </c>
    </row>
    <row r="755" spans="1:21" x14ac:dyDescent="0.3">
      <c r="A755" s="151" t="str">
        <f ca="1">Returns!$A$753</f>
        <v/>
      </c>
      <c r="B755" s="152" t="str">
        <f ca="1">IF($A755="","",Returns!$J$753)</f>
        <v/>
      </c>
      <c r="C755" s="153" t="str">
        <f t="shared" ca="1" si="151"/>
        <v/>
      </c>
      <c r="D755" s="153" t="str">
        <f ca="1">IF($A755="","",MAX($C$7:C755))</f>
        <v/>
      </c>
      <c r="E755" s="154" t="str">
        <f t="shared" ca="1" si="152"/>
        <v/>
      </c>
      <c r="F755" s="152" t="str">
        <f ca="1">IF($A755="","",Returns!$I$753)</f>
        <v/>
      </c>
      <c r="G755" s="153" t="str">
        <f t="shared" ca="1" si="153"/>
        <v/>
      </c>
      <c r="H755" s="153" t="str">
        <f ca="1">IF($A755="","",MAX($G$7:G755))</f>
        <v/>
      </c>
      <c r="I755" s="154" t="str">
        <f t="shared" ca="1" si="154"/>
        <v/>
      </c>
      <c r="J755" s="59" t="str">
        <f t="shared" ca="1" si="155"/>
        <v/>
      </c>
      <c r="K755" s="3"/>
      <c r="L755" t="str">
        <f t="shared" ca="1" si="143"/>
        <v/>
      </c>
      <c r="M755" s="132" t="str">
        <f t="shared" ca="1" si="144"/>
        <v/>
      </c>
      <c r="N755" s="132" t="str">
        <f t="shared" ca="1" si="145"/>
        <v/>
      </c>
      <c r="P755" t="str">
        <f t="shared" ca="1" si="146"/>
        <v/>
      </c>
      <c r="Q755" s="133" t="str">
        <f t="shared" ca="1" si="147"/>
        <v/>
      </c>
      <c r="R755" s="133" t="str">
        <f t="shared" ca="1" si="148"/>
        <v/>
      </c>
      <c r="T755" t="str">
        <f t="shared" ca="1" si="149"/>
        <v/>
      </c>
      <c r="U755" s="134" t="str">
        <f t="shared" ca="1" si="150"/>
        <v/>
      </c>
    </row>
    <row r="756" spans="1:21" x14ac:dyDescent="0.3">
      <c r="A756" s="151" t="str">
        <f ca="1">Returns!$A$754</f>
        <v/>
      </c>
      <c r="B756" s="152" t="str">
        <f ca="1">IF($A756="","",Returns!$J$754)</f>
        <v/>
      </c>
      <c r="C756" s="153" t="str">
        <f t="shared" ca="1" si="151"/>
        <v/>
      </c>
      <c r="D756" s="153" t="str">
        <f ca="1">IF($A756="","",MAX($C$7:C756))</f>
        <v/>
      </c>
      <c r="E756" s="154" t="str">
        <f t="shared" ca="1" si="152"/>
        <v/>
      </c>
      <c r="F756" s="152" t="str">
        <f ca="1">IF($A756="","",Returns!$I$754)</f>
        <v/>
      </c>
      <c r="G756" s="153" t="str">
        <f t="shared" ca="1" si="153"/>
        <v/>
      </c>
      <c r="H756" s="153" t="str">
        <f ca="1">IF($A756="","",MAX($G$7:G756))</f>
        <v/>
      </c>
      <c r="I756" s="154" t="str">
        <f t="shared" ca="1" si="154"/>
        <v/>
      </c>
      <c r="J756" s="59" t="str">
        <f t="shared" ca="1" si="155"/>
        <v/>
      </c>
      <c r="K756" s="3"/>
      <c r="L756" t="str">
        <f t="shared" ca="1" si="143"/>
        <v/>
      </c>
      <c r="M756" s="132" t="str">
        <f t="shared" ca="1" si="144"/>
        <v/>
      </c>
      <c r="N756" s="132" t="str">
        <f t="shared" ca="1" si="145"/>
        <v/>
      </c>
      <c r="P756" t="str">
        <f t="shared" ca="1" si="146"/>
        <v/>
      </c>
      <c r="Q756" s="133" t="str">
        <f t="shared" ca="1" si="147"/>
        <v/>
      </c>
      <c r="R756" s="133" t="str">
        <f t="shared" ca="1" si="148"/>
        <v/>
      </c>
      <c r="T756" t="str">
        <f t="shared" ca="1" si="149"/>
        <v/>
      </c>
      <c r="U756" s="134" t="str">
        <f t="shared" ca="1" si="150"/>
        <v/>
      </c>
    </row>
    <row r="757" spans="1:21" x14ac:dyDescent="0.3">
      <c r="A757" s="151" t="str">
        <f ca="1">Returns!$A$755</f>
        <v/>
      </c>
      <c r="B757" s="152" t="str">
        <f ca="1">IF($A757="","",Returns!$J$755)</f>
        <v/>
      </c>
      <c r="C757" s="153" t="str">
        <f t="shared" ca="1" si="151"/>
        <v/>
      </c>
      <c r="D757" s="153" t="str">
        <f ca="1">IF($A757="","",MAX($C$7:C757))</f>
        <v/>
      </c>
      <c r="E757" s="154" t="str">
        <f t="shared" ca="1" si="152"/>
        <v/>
      </c>
      <c r="F757" s="152" t="str">
        <f ca="1">IF($A757="","",Returns!$I$755)</f>
        <v/>
      </c>
      <c r="G757" s="153" t="str">
        <f t="shared" ca="1" si="153"/>
        <v/>
      </c>
      <c r="H757" s="153" t="str">
        <f ca="1">IF($A757="","",MAX($G$7:G757))</f>
        <v/>
      </c>
      <c r="I757" s="154" t="str">
        <f t="shared" ca="1" si="154"/>
        <v/>
      </c>
      <c r="J757" s="59" t="str">
        <f t="shared" ca="1" si="155"/>
        <v/>
      </c>
      <c r="K757" s="3"/>
      <c r="L757" t="str">
        <f t="shared" ca="1" si="143"/>
        <v/>
      </c>
      <c r="M757" s="132" t="str">
        <f t="shared" ca="1" si="144"/>
        <v/>
      </c>
      <c r="N757" s="132" t="str">
        <f t="shared" ca="1" si="145"/>
        <v/>
      </c>
      <c r="P757" t="str">
        <f t="shared" ca="1" si="146"/>
        <v/>
      </c>
      <c r="Q757" s="133" t="str">
        <f t="shared" ca="1" si="147"/>
        <v/>
      </c>
      <c r="R757" s="133" t="str">
        <f t="shared" ca="1" si="148"/>
        <v/>
      </c>
      <c r="T757" t="str">
        <f t="shared" ca="1" si="149"/>
        <v/>
      </c>
      <c r="U757" s="134" t="str">
        <f t="shared" ca="1" si="150"/>
        <v/>
      </c>
    </row>
    <row r="758" spans="1:21" x14ac:dyDescent="0.3">
      <c r="A758" s="151" t="str">
        <f ca="1">Returns!$A$756</f>
        <v/>
      </c>
      <c r="B758" s="152" t="str">
        <f ca="1">IF($A758="","",Returns!$J$756)</f>
        <v/>
      </c>
      <c r="C758" s="153" t="str">
        <f t="shared" ca="1" si="151"/>
        <v/>
      </c>
      <c r="D758" s="153" t="str">
        <f ca="1">IF($A758="","",MAX($C$7:C758))</f>
        <v/>
      </c>
      <c r="E758" s="154" t="str">
        <f t="shared" ca="1" si="152"/>
        <v/>
      </c>
      <c r="F758" s="152" t="str">
        <f ca="1">IF($A758="","",Returns!$I$756)</f>
        <v/>
      </c>
      <c r="G758" s="153" t="str">
        <f t="shared" ca="1" si="153"/>
        <v/>
      </c>
      <c r="H758" s="153" t="str">
        <f ca="1">IF($A758="","",MAX($G$7:G758))</f>
        <v/>
      </c>
      <c r="I758" s="154" t="str">
        <f t="shared" ca="1" si="154"/>
        <v/>
      </c>
      <c r="J758" s="59" t="str">
        <f t="shared" ca="1" si="155"/>
        <v/>
      </c>
      <c r="K758" s="3"/>
      <c r="L758" t="str">
        <f t="shared" ca="1" si="143"/>
        <v/>
      </c>
      <c r="M758" s="132" t="str">
        <f t="shared" ca="1" si="144"/>
        <v/>
      </c>
      <c r="N758" s="132" t="str">
        <f t="shared" ca="1" si="145"/>
        <v/>
      </c>
      <c r="P758" t="str">
        <f t="shared" ca="1" si="146"/>
        <v/>
      </c>
      <c r="Q758" s="133" t="str">
        <f t="shared" ca="1" si="147"/>
        <v/>
      </c>
      <c r="R758" s="133" t="str">
        <f t="shared" ca="1" si="148"/>
        <v/>
      </c>
      <c r="T758" t="str">
        <f t="shared" ca="1" si="149"/>
        <v/>
      </c>
      <c r="U758" s="134" t="str">
        <f t="shared" ca="1" si="150"/>
        <v/>
      </c>
    </row>
    <row r="759" spans="1:21" x14ac:dyDescent="0.3">
      <c r="A759" s="151" t="str">
        <f ca="1">Returns!$A$757</f>
        <v/>
      </c>
      <c r="B759" s="152" t="str">
        <f ca="1">IF($A759="","",Returns!$J$757)</f>
        <v/>
      </c>
      <c r="C759" s="153" t="str">
        <f t="shared" ca="1" si="151"/>
        <v/>
      </c>
      <c r="D759" s="153" t="str">
        <f ca="1">IF($A759="","",MAX($C$7:C759))</f>
        <v/>
      </c>
      <c r="E759" s="154" t="str">
        <f t="shared" ca="1" si="152"/>
        <v/>
      </c>
      <c r="F759" s="152" t="str">
        <f ca="1">IF($A759="","",Returns!$I$757)</f>
        <v/>
      </c>
      <c r="G759" s="153" t="str">
        <f t="shared" ca="1" si="153"/>
        <v/>
      </c>
      <c r="H759" s="153" t="str">
        <f ca="1">IF($A759="","",MAX($G$7:G759))</f>
        <v/>
      </c>
      <c r="I759" s="154" t="str">
        <f t="shared" ca="1" si="154"/>
        <v/>
      </c>
      <c r="J759" s="59" t="str">
        <f t="shared" ca="1" si="155"/>
        <v/>
      </c>
      <c r="K759" s="3"/>
      <c r="L759" t="str">
        <f t="shared" ca="1" si="143"/>
        <v/>
      </c>
      <c r="M759" s="132" t="str">
        <f t="shared" ca="1" si="144"/>
        <v/>
      </c>
      <c r="N759" s="132" t="str">
        <f t="shared" ca="1" si="145"/>
        <v/>
      </c>
      <c r="P759" t="str">
        <f t="shared" ca="1" si="146"/>
        <v/>
      </c>
      <c r="Q759" s="133" t="str">
        <f t="shared" ca="1" si="147"/>
        <v/>
      </c>
      <c r="R759" s="133" t="str">
        <f t="shared" ca="1" si="148"/>
        <v/>
      </c>
      <c r="T759" t="str">
        <f t="shared" ca="1" si="149"/>
        <v/>
      </c>
      <c r="U759" s="134" t="str">
        <f t="shared" ca="1" si="150"/>
        <v/>
      </c>
    </row>
    <row r="760" spans="1:21" x14ac:dyDescent="0.3">
      <c r="A760" s="151" t="str">
        <f ca="1">Returns!$A$758</f>
        <v/>
      </c>
      <c r="B760" s="152" t="str">
        <f ca="1">IF($A760="","",Returns!$J$758)</f>
        <v/>
      </c>
      <c r="C760" s="153" t="str">
        <f t="shared" ca="1" si="151"/>
        <v/>
      </c>
      <c r="D760" s="153" t="str">
        <f ca="1">IF($A760="","",MAX($C$7:C760))</f>
        <v/>
      </c>
      <c r="E760" s="154" t="str">
        <f t="shared" ca="1" si="152"/>
        <v/>
      </c>
      <c r="F760" s="152" t="str">
        <f ca="1">IF($A760="","",Returns!$I$758)</f>
        <v/>
      </c>
      <c r="G760" s="153" t="str">
        <f t="shared" ca="1" si="153"/>
        <v/>
      </c>
      <c r="H760" s="153" t="str">
        <f ca="1">IF($A760="","",MAX($G$7:G760))</f>
        <v/>
      </c>
      <c r="I760" s="154" t="str">
        <f t="shared" ca="1" si="154"/>
        <v/>
      </c>
      <c r="J760" s="59" t="str">
        <f t="shared" ca="1" si="155"/>
        <v/>
      </c>
      <c r="K760" s="3"/>
      <c r="L760" t="str">
        <f t="shared" ca="1" si="143"/>
        <v/>
      </c>
      <c r="M760" s="132" t="str">
        <f t="shared" ca="1" si="144"/>
        <v/>
      </c>
      <c r="N760" s="132" t="str">
        <f t="shared" ca="1" si="145"/>
        <v/>
      </c>
      <c r="P760" t="str">
        <f t="shared" ca="1" si="146"/>
        <v/>
      </c>
      <c r="Q760" s="133" t="str">
        <f t="shared" ca="1" si="147"/>
        <v/>
      </c>
      <c r="R760" s="133" t="str">
        <f t="shared" ca="1" si="148"/>
        <v/>
      </c>
      <c r="T760" t="str">
        <f t="shared" ca="1" si="149"/>
        <v/>
      </c>
      <c r="U760" s="134" t="str">
        <f t="shared" ca="1" si="150"/>
        <v/>
      </c>
    </row>
    <row r="761" spans="1:21" x14ac:dyDescent="0.3">
      <c r="A761" s="151" t="str">
        <f ca="1">Returns!$A$759</f>
        <v/>
      </c>
      <c r="B761" s="152" t="str">
        <f ca="1">IF($A761="","",Returns!$J$759)</f>
        <v/>
      </c>
      <c r="C761" s="153" t="str">
        <f t="shared" ca="1" si="151"/>
        <v/>
      </c>
      <c r="D761" s="153" t="str">
        <f ca="1">IF($A761="","",MAX($C$7:C761))</f>
        <v/>
      </c>
      <c r="E761" s="154" t="str">
        <f t="shared" ca="1" si="152"/>
        <v/>
      </c>
      <c r="F761" s="152" t="str">
        <f ca="1">IF($A761="","",Returns!$I$759)</f>
        <v/>
      </c>
      <c r="G761" s="153" t="str">
        <f t="shared" ca="1" si="153"/>
        <v/>
      </c>
      <c r="H761" s="153" t="str">
        <f ca="1">IF($A761="","",MAX($G$7:G761))</f>
        <v/>
      </c>
      <c r="I761" s="154" t="str">
        <f t="shared" ca="1" si="154"/>
        <v/>
      </c>
      <c r="J761" s="59" t="str">
        <f t="shared" ca="1" si="155"/>
        <v/>
      </c>
      <c r="K761" s="3"/>
      <c r="L761" t="str">
        <f t="shared" ca="1" si="143"/>
        <v/>
      </c>
      <c r="M761" s="132" t="str">
        <f t="shared" ca="1" si="144"/>
        <v/>
      </c>
      <c r="N761" s="132" t="str">
        <f t="shared" ca="1" si="145"/>
        <v/>
      </c>
      <c r="P761" t="str">
        <f t="shared" ca="1" si="146"/>
        <v/>
      </c>
      <c r="Q761" s="133" t="str">
        <f t="shared" ca="1" si="147"/>
        <v/>
      </c>
      <c r="R761" s="133" t="str">
        <f t="shared" ca="1" si="148"/>
        <v/>
      </c>
      <c r="T761" t="str">
        <f t="shared" ca="1" si="149"/>
        <v/>
      </c>
      <c r="U761" s="134" t="str">
        <f t="shared" ca="1" si="150"/>
        <v/>
      </c>
    </row>
    <row r="762" spans="1:21" x14ac:dyDescent="0.3">
      <c r="A762" s="151" t="str">
        <f ca="1">Returns!$A$760</f>
        <v/>
      </c>
      <c r="B762" s="152" t="str">
        <f ca="1">IF($A762="","",Returns!$J$760)</f>
        <v/>
      </c>
      <c r="C762" s="153" t="str">
        <f t="shared" ca="1" si="151"/>
        <v/>
      </c>
      <c r="D762" s="153" t="str">
        <f ca="1">IF($A762="","",MAX($C$7:C762))</f>
        <v/>
      </c>
      <c r="E762" s="154" t="str">
        <f t="shared" ca="1" si="152"/>
        <v/>
      </c>
      <c r="F762" s="152" t="str">
        <f ca="1">IF($A762="","",Returns!$I$760)</f>
        <v/>
      </c>
      <c r="G762" s="153" t="str">
        <f t="shared" ca="1" si="153"/>
        <v/>
      </c>
      <c r="H762" s="153" t="str">
        <f ca="1">IF($A762="","",MAX($G$7:G762))</f>
        <v/>
      </c>
      <c r="I762" s="154" t="str">
        <f t="shared" ca="1" si="154"/>
        <v/>
      </c>
      <c r="J762" s="59" t="str">
        <f t="shared" ca="1" si="155"/>
        <v/>
      </c>
      <c r="K762" s="3"/>
      <c r="L762" t="str">
        <f t="shared" ca="1" si="143"/>
        <v/>
      </c>
      <c r="M762" s="132" t="str">
        <f t="shared" ca="1" si="144"/>
        <v/>
      </c>
      <c r="N762" s="132" t="str">
        <f t="shared" ca="1" si="145"/>
        <v/>
      </c>
      <c r="P762" t="str">
        <f t="shared" ca="1" si="146"/>
        <v/>
      </c>
      <c r="Q762" s="133" t="str">
        <f t="shared" ca="1" si="147"/>
        <v/>
      </c>
      <c r="R762" s="133" t="str">
        <f t="shared" ca="1" si="148"/>
        <v/>
      </c>
      <c r="T762" t="str">
        <f t="shared" ca="1" si="149"/>
        <v/>
      </c>
      <c r="U762" s="134" t="str">
        <f t="shared" ca="1" si="150"/>
        <v/>
      </c>
    </row>
    <row r="763" spans="1:21" x14ac:dyDescent="0.3">
      <c r="A763" s="151" t="str">
        <f ca="1">Returns!$A$761</f>
        <v/>
      </c>
      <c r="B763" s="152" t="str">
        <f ca="1">IF($A763="","",Returns!$J$761)</f>
        <v/>
      </c>
      <c r="C763" s="153" t="str">
        <f t="shared" ca="1" si="151"/>
        <v/>
      </c>
      <c r="D763" s="153" t="str">
        <f ca="1">IF($A763="","",MAX($C$7:C763))</f>
        <v/>
      </c>
      <c r="E763" s="154" t="str">
        <f t="shared" ca="1" si="152"/>
        <v/>
      </c>
      <c r="F763" s="152" t="str">
        <f ca="1">IF($A763="","",Returns!$I$761)</f>
        <v/>
      </c>
      <c r="G763" s="153" t="str">
        <f t="shared" ca="1" si="153"/>
        <v/>
      </c>
      <c r="H763" s="153" t="str">
        <f ca="1">IF($A763="","",MAX($G$7:G763))</f>
        <v/>
      </c>
      <c r="I763" s="154" t="str">
        <f t="shared" ca="1" si="154"/>
        <v/>
      </c>
      <c r="J763" s="59" t="str">
        <f t="shared" ca="1" si="155"/>
        <v/>
      </c>
      <c r="K763" s="3"/>
      <c r="L763" t="str">
        <f t="shared" ca="1" si="143"/>
        <v/>
      </c>
      <c r="M763" s="132" t="str">
        <f t="shared" ca="1" si="144"/>
        <v/>
      </c>
      <c r="N763" s="132" t="str">
        <f t="shared" ca="1" si="145"/>
        <v/>
      </c>
      <c r="P763" t="str">
        <f t="shared" ca="1" si="146"/>
        <v/>
      </c>
      <c r="Q763" s="133" t="str">
        <f t="shared" ca="1" si="147"/>
        <v/>
      </c>
      <c r="R763" s="133" t="str">
        <f t="shared" ca="1" si="148"/>
        <v/>
      </c>
      <c r="T763" t="str">
        <f t="shared" ca="1" si="149"/>
        <v/>
      </c>
      <c r="U763" s="134" t="str">
        <f t="shared" ca="1" si="150"/>
        <v/>
      </c>
    </row>
    <row r="764" spans="1:21" x14ac:dyDescent="0.3">
      <c r="A764" s="151" t="str">
        <f ca="1">Returns!$A$762</f>
        <v/>
      </c>
      <c r="B764" s="152" t="str">
        <f ca="1">IF($A764="","",Returns!$J$762)</f>
        <v/>
      </c>
      <c r="C764" s="153" t="str">
        <f t="shared" ca="1" si="151"/>
        <v/>
      </c>
      <c r="D764" s="153" t="str">
        <f ca="1">IF($A764="","",MAX($C$7:C764))</f>
        <v/>
      </c>
      <c r="E764" s="154" t="str">
        <f t="shared" ca="1" si="152"/>
        <v/>
      </c>
      <c r="F764" s="152" t="str">
        <f ca="1">IF($A764="","",Returns!$I$762)</f>
        <v/>
      </c>
      <c r="G764" s="153" t="str">
        <f t="shared" ca="1" si="153"/>
        <v/>
      </c>
      <c r="H764" s="153" t="str">
        <f ca="1">IF($A764="","",MAX($G$7:G764))</f>
        <v/>
      </c>
      <c r="I764" s="154" t="str">
        <f t="shared" ca="1" si="154"/>
        <v/>
      </c>
      <c r="J764" s="59" t="str">
        <f t="shared" ca="1" si="155"/>
        <v/>
      </c>
      <c r="K764" s="3"/>
      <c r="L764" t="str">
        <f t="shared" ca="1" si="143"/>
        <v/>
      </c>
      <c r="M764" s="132" t="str">
        <f t="shared" ca="1" si="144"/>
        <v/>
      </c>
      <c r="N764" s="132" t="str">
        <f t="shared" ca="1" si="145"/>
        <v/>
      </c>
      <c r="P764" t="str">
        <f t="shared" ca="1" si="146"/>
        <v/>
      </c>
      <c r="Q764" s="133" t="str">
        <f t="shared" ca="1" si="147"/>
        <v/>
      </c>
      <c r="R764" s="133" t="str">
        <f t="shared" ca="1" si="148"/>
        <v/>
      </c>
      <c r="T764" t="str">
        <f t="shared" ca="1" si="149"/>
        <v/>
      </c>
      <c r="U764" s="134" t="str">
        <f t="shared" ca="1" si="150"/>
        <v/>
      </c>
    </row>
    <row r="765" spans="1:21" x14ac:dyDescent="0.3">
      <c r="A765" s="151" t="str">
        <f ca="1">Returns!$A$763</f>
        <v/>
      </c>
      <c r="B765" s="152" t="str">
        <f ca="1">IF($A765="","",Returns!$J$763)</f>
        <v/>
      </c>
      <c r="C765" s="153" t="str">
        <f t="shared" ca="1" si="151"/>
        <v/>
      </c>
      <c r="D765" s="153" t="str">
        <f ca="1">IF($A765="","",MAX($C$7:C765))</f>
        <v/>
      </c>
      <c r="E765" s="154" t="str">
        <f t="shared" ca="1" si="152"/>
        <v/>
      </c>
      <c r="F765" s="152" t="str">
        <f ca="1">IF($A765="","",Returns!$I$763)</f>
        <v/>
      </c>
      <c r="G765" s="153" t="str">
        <f t="shared" ca="1" si="153"/>
        <v/>
      </c>
      <c r="H765" s="153" t="str">
        <f ca="1">IF($A765="","",MAX($G$7:G765))</f>
        <v/>
      </c>
      <c r="I765" s="154" t="str">
        <f t="shared" ca="1" si="154"/>
        <v/>
      </c>
      <c r="J765" s="59" t="str">
        <f t="shared" ca="1" si="155"/>
        <v/>
      </c>
      <c r="K765" s="3"/>
      <c r="L765" t="str">
        <f t="shared" ca="1" si="143"/>
        <v/>
      </c>
      <c r="M765" s="132" t="str">
        <f t="shared" ca="1" si="144"/>
        <v/>
      </c>
      <c r="N765" s="132" t="str">
        <f t="shared" ca="1" si="145"/>
        <v/>
      </c>
      <c r="P765" t="str">
        <f t="shared" ca="1" si="146"/>
        <v/>
      </c>
      <c r="Q765" s="133" t="str">
        <f t="shared" ca="1" si="147"/>
        <v/>
      </c>
      <c r="R765" s="133" t="str">
        <f t="shared" ca="1" si="148"/>
        <v/>
      </c>
      <c r="T765" t="str">
        <f t="shared" ca="1" si="149"/>
        <v/>
      </c>
      <c r="U765" s="134" t="str">
        <f t="shared" ca="1" si="150"/>
        <v/>
      </c>
    </row>
    <row r="766" spans="1:21" x14ac:dyDescent="0.3">
      <c r="A766" s="151" t="str">
        <f ca="1">Returns!$A$764</f>
        <v/>
      </c>
      <c r="B766" s="152" t="str">
        <f ca="1">IF($A766="","",Returns!$J$764)</f>
        <v/>
      </c>
      <c r="C766" s="153" t="str">
        <f t="shared" ca="1" si="151"/>
        <v/>
      </c>
      <c r="D766" s="153" t="str">
        <f ca="1">IF($A766="","",MAX($C$7:C766))</f>
        <v/>
      </c>
      <c r="E766" s="154" t="str">
        <f t="shared" ca="1" si="152"/>
        <v/>
      </c>
      <c r="F766" s="152" t="str">
        <f ca="1">IF($A766="","",Returns!$I$764)</f>
        <v/>
      </c>
      <c r="G766" s="153" t="str">
        <f t="shared" ca="1" si="153"/>
        <v/>
      </c>
      <c r="H766" s="153" t="str">
        <f ca="1">IF($A766="","",MAX($G$7:G766))</f>
        <v/>
      </c>
      <c r="I766" s="154" t="str">
        <f t="shared" ca="1" si="154"/>
        <v/>
      </c>
      <c r="J766" s="59" t="str">
        <f t="shared" ca="1" si="155"/>
        <v/>
      </c>
      <c r="K766" s="3"/>
      <c r="L766" t="str">
        <f t="shared" ca="1" si="143"/>
        <v/>
      </c>
      <c r="M766" s="132" t="str">
        <f t="shared" ca="1" si="144"/>
        <v/>
      </c>
      <c r="N766" s="132" t="str">
        <f t="shared" ca="1" si="145"/>
        <v/>
      </c>
      <c r="P766" t="str">
        <f t="shared" ca="1" si="146"/>
        <v/>
      </c>
      <c r="Q766" s="133" t="str">
        <f t="shared" ca="1" si="147"/>
        <v/>
      </c>
      <c r="R766" s="133" t="str">
        <f t="shared" ca="1" si="148"/>
        <v/>
      </c>
      <c r="T766" t="str">
        <f t="shared" ca="1" si="149"/>
        <v/>
      </c>
      <c r="U766" s="134" t="str">
        <f t="shared" ca="1" si="150"/>
        <v/>
      </c>
    </row>
    <row r="767" spans="1:21" x14ac:dyDescent="0.3">
      <c r="A767" s="151" t="str">
        <f ca="1">Returns!$A$765</f>
        <v/>
      </c>
      <c r="B767" s="152" t="str">
        <f ca="1">IF($A767="","",Returns!$J$765)</f>
        <v/>
      </c>
      <c r="C767" s="153" t="str">
        <f t="shared" ca="1" si="151"/>
        <v/>
      </c>
      <c r="D767" s="153" t="str">
        <f ca="1">IF($A767="","",MAX($C$7:C767))</f>
        <v/>
      </c>
      <c r="E767" s="154" t="str">
        <f t="shared" ca="1" si="152"/>
        <v/>
      </c>
      <c r="F767" s="152" t="str">
        <f ca="1">IF($A767="","",Returns!$I$765)</f>
        <v/>
      </c>
      <c r="G767" s="153" t="str">
        <f t="shared" ca="1" si="153"/>
        <v/>
      </c>
      <c r="H767" s="153" t="str">
        <f ca="1">IF($A767="","",MAX($G$7:G767))</f>
        <v/>
      </c>
      <c r="I767" s="154" t="str">
        <f t="shared" ca="1" si="154"/>
        <v/>
      </c>
      <c r="J767" s="59" t="str">
        <f t="shared" ca="1" si="155"/>
        <v/>
      </c>
      <c r="K767" s="3"/>
      <c r="L767" t="str">
        <f t="shared" ca="1" si="143"/>
        <v/>
      </c>
      <c r="M767" s="132" t="str">
        <f t="shared" ca="1" si="144"/>
        <v/>
      </c>
      <c r="N767" s="132" t="str">
        <f t="shared" ca="1" si="145"/>
        <v/>
      </c>
      <c r="P767" t="str">
        <f t="shared" ca="1" si="146"/>
        <v/>
      </c>
      <c r="Q767" s="133" t="str">
        <f t="shared" ca="1" si="147"/>
        <v/>
      </c>
      <c r="R767" s="133" t="str">
        <f t="shared" ca="1" si="148"/>
        <v/>
      </c>
      <c r="T767" t="str">
        <f t="shared" ca="1" si="149"/>
        <v/>
      </c>
      <c r="U767" s="134" t="str">
        <f t="shared" ca="1" si="150"/>
        <v/>
      </c>
    </row>
    <row r="768" spans="1:21" x14ac:dyDescent="0.3">
      <c r="A768" s="151" t="str">
        <f ca="1">Returns!$A$766</f>
        <v/>
      </c>
      <c r="B768" s="152" t="str">
        <f ca="1">IF($A768="","",Returns!$J$766)</f>
        <v/>
      </c>
      <c r="C768" s="153" t="str">
        <f t="shared" ca="1" si="151"/>
        <v/>
      </c>
      <c r="D768" s="153" t="str">
        <f ca="1">IF($A768="","",MAX($C$7:C768))</f>
        <v/>
      </c>
      <c r="E768" s="154" t="str">
        <f t="shared" ca="1" si="152"/>
        <v/>
      </c>
      <c r="F768" s="152" t="str">
        <f ca="1">IF($A768="","",Returns!$I$766)</f>
        <v/>
      </c>
      <c r="G768" s="153" t="str">
        <f t="shared" ca="1" si="153"/>
        <v/>
      </c>
      <c r="H768" s="153" t="str">
        <f ca="1">IF($A768="","",MAX($G$7:G768))</f>
        <v/>
      </c>
      <c r="I768" s="154" t="str">
        <f t="shared" ca="1" si="154"/>
        <v/>
      </c>
      <c r="J768" s="59" t="str">
        <f t="shared" ca="1" si="155"/>
        <v/>
      </c>
      <c r="K768" s="3"/>
      <c r="L768" t="str">
        <f t="shared" ca="1" si="143"/>
        <v/>
      </c>
      <c r="M768" s="132" t="str">
        <f t="shared" ca="1" si="144"/>
        <v/>
      </c>
      <c r="N768" s="132" t="str">
        <f t="shared" ca="1" si="145"/>
        <v/>
      </c>
      <c r="P768" t="str">
        <f t="shared" ca="1" si="146"/>
        <v/>
      </c>
      <c r="Q768" s="133" t="str">
        <f t="shared" ca="1" si="147"/>
        <v/>
      </c>
      <c r="R768" s="133" t="str">
        <f t="shared" ca="1" si="148"/>
        <v/>
      </c>
      <c r="T768" t="str">
        <f t="shared" ca="1" si="149"/>
        <v/>
      </c>
      <c r="U768" s="134" t="str">
        <f t="shared" ca="1" si="150"/>
        <v/>
      </c>
    </row>
    <row r="769" spans="1:21" x14ac:dyDescent="0.3">
      <c r="A769" s="151" t="str">
        <f ca="1">Returns!$A$767</f>
        <v/>
      </c>
      <c r="B769" s="152" t="str">
        <f ca="1">IF($A769="","",Returns!$J$767)</f>
        <v/>
      </c>
      <c r="C769" s="153" t="str">
        <f t="shared" ca="1" si="151"/>
        <v/>
      </c>
      <c r="D769" s="153" t="str">
        <f ca="1">IF($A769="","",MAX($C$7:C769))</f>
        <v/>
      </c>
      <c r="E769" s="154" t="str">
        <f t="shared" ca="1" si="152"/>
        <v/>
      </c>
      <c r="F769" s="152" t="str">
        <f ca="1">IF($A769="","",Returns!$I$767)</f>
        <v/>
      </c>
      <c r="G769" s="153" t="str">
        <f t="shared" ca="1" si="153"/>
        <v/>
      </c>
      <c r="H769" s="153" t="str">
        <f ca="1">IF($A769="","",MAX($G$7:G769))</f>
        <v/>
      </c>
      <c r="I769" s="154" t="str">
        <f t="shared" ca="1" si="154"/>
        <v/>
      </c>
      <c r="J769" s="59" t="str">
        <f t="shared" ca="1" si="155"/>
        <v/>
      </c>
      <c r="K769" s="3"/>
      <c r="L769" t="str">
        <f t="shared" ca="1" si="143"/>
        <v/>
      </c>
      <c r="M769" s="132" t="str">
        <f t="shared" ca="1" si="144"/>
        <v/>
      </c>
      <c r="N769" s="132" t="str">
        <f t="shared" ca="1" si="145"/>
        <v/>
      </c>
      <c r="P769" t="str">
        <f t="shared" ca="1" si="146"/>
        <v/>
      </c>
      <c r="Q769" s="133" t="str">
        <f t="shared" ca="1" si="147"/>
        <v/>
      </c>
      <c r="R769" s="133" t="str">
        <f t="shared" ca="1" si="148"/>
        <v/>
      </c>
      <c r="T769" t="str">
        <f t="shared" ca="1" si="149"/>
        <v/>
      </c>
      <c r="U769" s="134" t="str">
        <f t="shared" ca="1" si="150"/>
        <v/>
      </c>
    </row>
    <row r="770" spans="1:21" x14ac:dyDescent="0.3">
      <c r="A770" s="151" t="str">
        <f ca="1">Returns!$A$768</f>
        <v/>
      </c>
      <c r="B770" s="152" t="str">
        <f ca="1">IF($A770="","",Returns!$J$768)</f>
        <v/>
      </c>
      <c r="C770" s="153" t="str">
        <f t="shared" ca="1" si="151"/>
        <v/>
      </c>
      <c r="D770" s="153" t="str">
        <f ca="1">IF($A770="","",MAX($C$7:C770))</f>
        <v/>
      </c>
      <c r="E770" s="154" t="str">
        <f t="shared" ca="1" si="152"/>
        <v/>
      </c>
      <c r="F770" s="152" t="str">
        <f ca="1">IF($A770="","",Returns!$I$768)</f>
        <v/>
      </c>
      <c r="G770" s="153" t="str">
        <f t="shared" ca="1" si="153"/>
        <v/>
      </c>
      <c r="H770" s="153" t="str">
        <f ca="1">IF($A770="","",MAX($G$7:G770))</f>
        <v/>
      </c>
      <c r="I770" s="154" t="str">
        <f t="shared" ca="1" si="154"/>
        <v/>
      </c>
      <c r="J770" s="59" t="str">
        <f t="shared" ca="1" si="155"/>
        <v/>
      </c>
      <c r="K770" s="3"/>
      <c r="L770" t="str">
        <f t="shared" ca="1" si="143"/>
        <v/>
      </c>
      <c r="M770" s="132" t="str">
        <f t="shared" ca="1" si="144"/>
        <v/>
      </c>
      <c r="N770" s="132" t="str">
        <f t="shared" ca="1" si="145"/>
        <v/>
      </c>
      <c r="P770" t="str">
        <f t="shared" ca="1" si="146"/>
        <v/>
      </c>
      <c r="Q770" s="133" t="str">
        <f t="shared" ca="1" si="147"/>
        <v/>
      </c>
      <c r="R770" s="133" t="str">
        <f t="shared" ca="1" si="148"/>
        <v/>
      </c>
      <c r="T770" t="str">
        <f t="shared" ca="1" si="149"/>
        <v/>
      </c>
      <c r="U770" s="134" t="str">
        <f t="shared" ca="1" si="150"/>
        <v/>
      </c>
    </row>
    <row r="771" spans="1:21" x14ac:dyDescent="0.3">
      <c r="A771" s="151" t="str">
        <f ca="1">Returns!$A$769</f>
        <v/>
      </c>
      <c r="B771" s="152" t="str">
        <f ca="1">IF($A771="","",Returns!$J$769)</f>
        <v/>
      </c>
      <c r="C771" s="153" t="str">
        <f t="shared" ca="1" si="151"/>
        <v/>
      </c>
      <c r="D771" s="153" t="str">
        <f ca="1">IF($A771="","",MAX($C$7:C771))</f>
        <v/>
      </c>
      <c r="E771" s="154" t="str">
        <f t="shared" ca="1" si="152"/>
        <v/>
      </c>
      <c r="F771" s="152" t="str">
        <f ca="1">IF($A771="","",Returns!$I$769)</f>
        <v/>
      </c>
      <c r="G771" s="153" t="str">
        <f t="shared" ca="1" si="153"/>
        <v/>
      </c>
      <c r="H771" s="153" t="str">
        <f ca="1">IF($A771="","",MAX($G$7:G771))</f>
        <v/>
      </c>
      <c r="I771" s="154" t="str">
        <f t="shared" ca="1" si="154"/>
        <v/>
      </c>
      <c r="J771" s="59" t="str">
        <f t="shared" ca="1" si="155"/>
        <v/>
      </c>
      <c r="K771" s="3"/>
      <c r="L771" t="str">
        <f t="shared" ca="1" si="143"/>
        <v/>
      </c>
      <c r="M771" s="132" t="str">
        <f t="shared" ca="1" si="144"/>
        <v/>
      </c>
      <c r="N771" s="132" t="str">
        <f t="shared" ca="1" si="145"/>
        <v/>
      </c>
      <c r="P771" t="str">
        <f t="shared" ca="1" si="146"/>
        <v/>
      </c>
      <c r="Q771" s="133" t="str">
        <f t="shared" ca="1" si="147"/>
        <v/>
      </c>
      <c r="R771" s="133" t="str">
        <f t="shared" ca="1" si="148"/>
        <v/>
      </c>
      <c r="T771" t="str">
        <f t="shared" ca="1" si="149"/>
        <v/>
      </c>
      <c r="U771" s="134" t="str">
        <f t="shared" ca="1" si="150"/>
        <v/>
      </c>
    </row>
    <row r="772" spans="1:21" x14ac:dyDescent="0.3">
      <c r="A772" s="151" t="str">
        <f ca="1">Returns!$A$770</f>
        <v/>
      </c>
      <c r="B772" s="152" t="str">
        <f ca="1">IF($A772="","",Returns!$J$770)</f>
        <v/>
      </c>
      <c r="C772" s="153" t="str">
        <f t="shared" ca="1" si="151"/>
        <v/>
      </c>
      <c r="D772" s="153" t="str">
        <f ca="1">IF($A772="","",MAX($C$7:C772))</f>
        <v/>
      </c>
      <c r="E772" s="154" t="str">
        <f t="shared" ca="1" si="152"/>
        <v/>
      </c>
      <c r="F772" s="152" t="str">
        <f ca="1">IF($A772="","",Returns!$I$770)</f>
        <v/>
      </c>
      <c r="G772" s="153" t="str">
        <f t="shared" ca="1" si="153"/>
        <v/>
      </c>
      <c r="H772" s="153" t="str">
        <f ca="1">IF($A772="","",MAX($G$7:G772))</f>
        <v/>
      </c>
      <c r="I772" s="154" t="str">
        <f t="shared" ca="1" si="154"/>
        <v/>
      </c>
      <c r="J772" s="59" t="str">
        <f t="shared" ca="1" si="155"/>
        <v/>
      </c>
      <c r="K772" s="3"/>
      <c r="L772" t="str">
        <f t="shared" ca="1" si="143"/>
        <v/>
      </c>
      <c r="M772" s="132" t="str">
        <f t="shared" ca="1" si="144"/>
        <v/>
      </c>
      <c r="N772" s="132" t="str">
        <f t="shared" ca="1" si="145"/>
        <v/>
      </c>
      <c r="P772" t="str">
        <f t="shared" ca="1" si="146"/>
        <v/>
      </c>
      <c r="Q772" s="133" t="str">
        <f t="shared" ca="1" si="147"/>
        <v/>
      </c>
      <c r="R772" s="133" t="str">
        <f t="shared" ca="1" si="148"/>
        <v/>
      </c>
      <c r="T772" t="str">
        <f t="shared" ca="1" si="149"/>
        <v/>
      </c>
      <c r="U772" s="134" t="str">
        <f t="shared" ca="1" si="150"/>
        <v/>
      </c>
    </row>
    <row r="773" spans="1:21" x14ac:dyDescent="0.3">
      <c r="A773" s="151" t="str">
        <f ca="1">Returns!$A$771</f>
        <v/>
      </c>
      <c r="B773" s="152" t="str">
        <f ca="1">IF($A773="","",Returns!$J$771)</f>
        <v/>
      </c>
      <c r="C773" s="153" t="str">
        <f t="shared" ca="1" si="151"/>
        <v/>
      </c>
      <c r="D773" s="153" t="str">
        <f ca="1">IF($A773="","",MAX($C$7:C773))</f>
        <v/>
      </c>
      <c r="E773" s="154" t="str">
        <f t="shared" ca="1" si="152"/>
        <v/>
      </c>
      <c r="F773" s="152" t="str">
        <f ca="1">IF($A773="","",Returns!$I$771)</f>
        <v/>
      </c>
      <c r="G773" s="153" t="str">
        <f t="shared" ca="1" si="153"/>
        <v/>
      </c>
      <c r="H773" s="153" t="str">
        <f ca="1">IF($A773="","",MAX($G$7:G773))</f>
        <v/>
      </c>
      <c r="I773" s="154" t="str">
        <f t="shared" ca="1" si="154"/>
        <v/>
      </c>
      <c r="J773" s="59" t="str">
        <f t="shared" ca="1" si="155"/>
        <v/>
      </c>
      <c r="K773" s="3"/>
      <c r="L773" t="str">
        <f t="shared" ca="1" si="143"/>
        <v/>
      </c>
      <c r="M773" s="132" t="str">
        <f t="shared" ca="1" si="144"/>
        <v/>
      </c>
      <c r="N773" s="132" t="str">
        <f t="shared" ca="1" si="145"/>
        <v/>
      </c>
      <c r="P773" t="str">
        <f t="shared" ca="1" si="146"/>
        <v/>
      </c>
      <c r="Q773" s="133" t="str">
        <f t="shared" ca="1" si="147"/>
        <v/>
      </c>
      <c r="R773" s="133" t="str">
        <f t="shared" ca="1" si="148"/>
        <v/>
      </c>
      <c r="T773" t="str">
        <f t="shared" ca="1" si="149"/>
        <v/>
      </c>
      <c r="U773" s="134" t="str">
        <f t="shared" ca="1" si="150"/>
        <v/>
      </c>
    </row>
    <row r="774" spans="1:21" x14ac:dyDescent="0.3">
      <c r="A774" s="151" t="str">
        <f ca="1">Returns!$A$772</f>
        <v/>
      </c>
      <c r="B774" s="152" t="str">
        <f ca="1">IF($A774="","",Returns!$J$772)</f>
        <v/>
      </c>
      <c r="C774" s="153" t="str">
        <f t="shared" ca="1" si="151"/>
        <v/>
      </c>
      <c r="D774" s="153" t="str">
        <f ca="1">IF($A774="","",MAX($C$7:C774))</f>
        <v/>
      </c>
      <c r="E774" s="154" t="str">
        <f t="shared" ca="1" si="152"/>
        <v/>
      </c>
      <c r="F774" s="152" t="str">
        <f ca="1">IF($A774="","",Returns!$I$772)</f>
        <v/>
      </c>
      <c r="G774" s="153" t="str">
        <f t="shared" ca="1" si="153"/>
        <v/>
      </c>
      <c r="H774" s="153" t="str">
        <f ca="1">IF($A774="","",MAX($G$7:G774))</f>
        <v/>
      </c>
      <c r="I774" s="154" t="str">
        <f t="shared" ca="1" si="154"/>
        <v/>
      </c>
      <c r="J774" s="59" t="str">
        <f t="shared" ca="1" si="155"/>
        <v/>
      </c>
      <c r="K774" s="3"/>
      <c r="L774" t="str">
        <f t="shared" ca="1" si="143"/>
        <v/>
      </c>
      <c r="M774" s="132" t="str">
        <f t="shared" ca="1" si="144"/>
        <v/>
      </c>
      <c r="N774" s="132" t="str">
        <f t="shared" ca="1" si="145"/>
        <v/>
      </c>
      <c r="P774" t="str">
        <f t="shared" ca="1" si="146"/>
        <v/>
      </c>
      <c r="Q774" s="133" t="str">
        <f t="shared" ca="1" si="147"/>
        <v/>
      </c>
      <c r="R774" s="133" t="str">
        <f t="shared" ca="1" si="148"/>
        <v/>
      </c>
      <c r="T774" t="str">
        <f t="shared" ca="1" si="149"/>
        <v/>
      </c>
      <c r="U774" s="134" t="str">
        <f t="shared" ca="1" si="150"/>
        <v/>
      </c>
    </row>
    <row r="775" spans="1:21" x14ac:dyDescent="0.3">
      <c r="A775" s="151" t="str">
        <f ca="1">Returns!$A$773</f>
        <v/>
      </c>
      <c r="B775" s="152" t="str">
        <f ca="1">IF($A775="","",Returns!$J$773)</f>
        <v/>
      </c>
      <c r="C775" s="153" t="str">
        <f t="shared" ca="1" si="151"/>
        <v/>
      </c>
      <c r="D775" s="153" t="str">
        <f ca="1">IF($A775="","",MAX($C$7:C775))</f>
        <v/>
      </c>
      <c r="E775" s="154" t="str">
        <f t="shared" ca="1" si="152"/>
        <v/>
      </c>
      <c r="F775" s="152" t="str">
        <f ca="1">IF($A775="","",Returns!$I$773)</f>
        <v/>
      </c>
      <c r="G775" s="153" t="str">
        <f t="shared" ca="1" si="153"/>
        <v/>
      </c>
      <c r="H775" s="153" t="str">
        <f ca="1">IF($A775="","",MAX($G$7:G775))</f>
        <v/>
      </c>
      <c r="I775" s="154" t="str">
        <f t="shared" ca="1" si="154"/>
        <v/>
      </c>
      <c r="J775" s="59" t="str">
        <f t="shared" ca="1" si="155"/>
        <v/>
      </c>
      <c r="K775" s="3"/>
      <c r="L775" t="str">
        <f t="shared" ref="L775:L838" ca="1" si="156">$J775</f>
        <v/>
      </c>
      <c r="M775" s="132" t="str">
        <f t="shared" ref="M775:M838" ca="1" si="157">$C775</f>
        <v/>
      </c>
      <c r="N775" s="132" t="str">
        <f t="shared" ref="N775:N838" ca="1" si="158">$G775</f>
        <v/>
      </c>
      <c r="P775" t="str">
        <f t="shared" ref="P775:P838" ca="1" si="159">$J775</f>
        <v/>
      </c>
      <c r="Q775" s="133" t="str">
        <f t="shared" ref="Q775:Q838" ca="1" si="160">$E775</f>
        <v/>
      </c>
      <c r="R775" s="133" t="str">
        <f t="shared" ref="R775:R838" ca="1" si="161">$I775</f>
        <v/>
      </c>
      <c r="T775" t="str">
        <f t="shared" ref="T775:T838" ca="1" si="162">$J775</f>
        <v/>
      </c>
      <c r="U775" s="134" t="str">
        <f t="shared" ref="U775:U838" ca="1" si="163">IF($A775="","",NotionalValue*$C775/IndexBase)</f>
        <v/>
      </c>
    </row>
    <row r="776" spans="1:21" x14ac:dyDescent="0.3">
      <c r="A776" s="151" t="str">
        <f ca="1">Returns!$A$774</f>
        <v/>
      </c>
      <c r="B776" s="152" t="str">
        <f ca="1">IF($A776="","",Returns!$J$774)</f>
        <v/>
      </c>
      <c r="C776" s="153" t="str">
        <f t="shared" ref="C776:C839" ca="1" si="164">IF($A776="","",C775*(1+$B776))</f>
        <v/>
      </c>
      <c r="D776" s="153" t="str">
        <f ca="1">IF($A776="","",MAX($C$7:C776))</f>
        <v/>
      </c>
      <c r="E776" s="154" t="str">
        <f t="shared" ref="E776:E839" ca="1" si="165">IF($A776="","",$C776/$D776-1)</f>
        <v/>
      </c>
      <c r="F776" s="152" t="str">
        <f ca="1">IF($A776="","",Returns!$I$774)</f>
        <v/>
      </c>
      <c r="G776" s="153" t="str">
        <f t="shared" ref="G776:G839" ca="1" si="166">IF($A776="","",G775*(1+$F776))</f>
        <v/>
      </c>
      <c r="H776" s="153" t="str">
        <f ca="1">IF($A776="","",MAX($G$7:G776))</f>
        <v/>
      </c>
      <c r="I776" s="154" t="str">
        <f t="shared" ref="I776:I839" ca="1" si="167">IF($A776="","",$G776/$H776-1)</f>
        <v/>
      </c>
      <c r="J776" s="59" t="str">
        <f t="shared" ref="J776:J839" ca="1" si="168">IF($A776="","",TEXT($A776,"mmm-yy"))</f>
        <v/>
      </c>
      <c r="K776" s="3"/>
      <c r="L776" t="str">
        <f t="shared" ca="1" si="156"/>
        <v/>
      </c>
      <c r="M776" s="132" t="str">
        <f t="shared" ca="1" si="157"/>
        <v/>
      </c>
      <c r="N776" s="132" t="str">
        <f t="shared" ca="1" si="158"/>
        <v/>
      </c>
      <c r="P776" t="str">
        <f t="shared" ca="1" si="159"/>
        <v/>
      </c>
      <c r="Q776" s="133" t="str">
        <f t="shared" ca="1" si="160"/>
        <v/>
      </c>
      <c r="R776" s="133" t="str">
        <f t="shared" ca="1" si="161"/>
        <v/>
      </c>
      <c r="T776" t="str">
        <f t="shared" ca="1" si="162"/>
        <v/>
      </c>
      <c r="U776" s="134" t="str">
        <f t="shared" ca="1" si="163"/>
        <v/>
      </c>
    </row>
    <row r="777" spans="1:21" x14ac:dyDescent="0.3">
      <c r="A777" s="151" t="str">
        <f ca="1">Returns!$A$775</f>
        <v/>
      </c>
      <c r="B777" s="152" t="str">
        <f ca="1">IF($A777="","",Returns!$J$775)</f>
        <v/>
      </c>
      <c r="C777" s="153" t="str">
        <f t="shared" ca="1" si="164"/>
        <v/>
      </c>
      <c r="D777" s="153" t="str">
        <f ca="1">IF($A777="","",MAX($C$7:C777))</f>
        <v/>
      </c>
      <c r="E777" s="154" t="str">
        <f t="shared" ca="1" si="165"/>
        <v/>
      </c>
      <c r="F777" s="152" t="str">
        <f ca="1">IF($A777="","",Returns!$I$775)</f>
        <v/>
      </c>
      <c r="G777" s="153" t="str">
        <f t="shared" ca="1" si="166"/>
        <v/>
      </c>
      <c r="H777" s="153" t="str">
        <f ca="1">IF($A777="","",MAX($G$7:G777))</f>
        <v/>
      </c>
      <c r="I777" s="154" t="str">
        <f t="shared" ca="1" si="167"/>
        <v/>
      </c>
      <c r="J777" s="59" t="str">
        <f t="shared" ca="1" si="168"/>
        <v/>
      </c>
      <c r="K777" s="3"/>
      <c r="L777" t="str">
        <f t="shared" ca="1" si="156"/>
        <v/>
      </c>
      <c r="M777" s="132" t="str">
        <f t="shared" ca="1" si="157"/>
        <v/>
      </c>
      <c r="N777" s="132" t="str">
        <f t="shared" ca="1" si="158"/>
        <v/>
      </c>
      <c r="P777" t="str">
        <f t="shared" ca="1" si="159"/>
        <v/>
      </c>
      <c r="Q777" s="133" t="str">
        <f t="shared" ca="1" si="160"/>
        <v/>
      </c>
      <c r="R777" s="133" t="str">
        <f t="shared" ca="1" si="161"/>
        <v/>
      </c>
      <c r="T777" t="str">
        <f t="shared" ca="1" si="162"/>
        <v/>
      </c>
      <c r="U777" s="134" t="str">
        <f t="shared" ca="1" si="163"/>
        <v/>
      </c>
    </row>
    <row r="778" spans="1:21" x14ac:dyDescent="0.3">
      <c r="A778" s="151" t="str">
        <f ca="1">Returns!$A$776</f>
        <v/>
      </c>
      <c r="B778" s="152" t="str">
        <f ca="1">IF($A778="","",Returns!$J$776)</f>
        <v/>
      </c>
      <c r="C778" s="153" t="str">
        <f t="shared" ca="1" si="164"/>
        <v/>
      </c>
      <c r="D778" s="153" t="str">
        <f ca="1">IF($A778="","",MAX($C$7:C778))</f>
        <v/>
      </c>
      <c r="E778" s="154" t="str">
        <f t="shared" ca="1" si="165"/>
        <v/>
      </c>
      <c r="F778" s="152" t="str">
        <f ca="1">IF($A778="","",Returns!$I$776)</f>
        <v/>
      </c>
      <c r="G778" s="153" t="str">
        <f t="shared" ca="1" si="166"/>
        <v/>
      </c>
      <c r="H778" s="153" t="str">
        <f ca="1">IF($A778="","",MAX($G$7:G778))</f>
        <v/>
      </c>
      <c r="I778" s="154" t="str">
        <f t="shared" ca="1" si="167"/>
        <v/>
      </c>
      <c r="J778" s="59" t="str">
        <f t="shared" ca="1" si="168"/>
        <v/>
      </c>
      <c r="K778" s="3"/>
      <c r="L778" t="str">
        <f t="shared" ca="1" si="156"/>
        <v/>
      </c>
      <c r="M778" s="132" t="str">
        <f t="shared" ca="1" si="157"/>
        <v/>
      </c>
      <c r="N778" s="132" t="str">
        <f t="shared" ca="1" si="158"/>
        <v/>
      </c>
      <c r="P778" t="str">
        <f t="shared" ca="1" si="159"/>
        <v/>
      </c>
      <c r="Q778" s="133" t="str">
        <f t="shared" ca="1" si="160"/>
        <v/>
      </c>
      <c r="R778" s="133" t="str">
        <f t="shared" ca="1" si="161"/>
        <v/>
      </c>
      <c r="T778" t="str">
        <f t="shared" ca="1" si="162"/>
        <v/>
      </c>
      <c r="U778" s="134" t="str">
        <f t="shared" ca="1" si="163"/>
        <v/>
      </c>
    </row>
    <row r="779" spans="1:21" x14ac:dyDescent="0.3">
      <c r="A779" s="151" t="str">
        <f ca="1">Returns!$A$777</f>
        <v/>
      </c>
      <c r="B779" s="152" t="str">
        <f ca="1">IF($A779="","",Returns!$J$777)</f>
        <v/>
      </c>
      <c r="C779" s="153" t="str">
        <f t="shared" ca="1" si="164"/>
        <v/>
      </c>
      <c r="D779" s="153" t="str">
        <f ca="1">IF($A779="","",MAX($C$7:C779))</f>
        <v/>
      </c>
      <c r="E779" s="154" t="str">
        <f t="shared" ca="1" si="165"/>
        <v/>
      </c>
      <c r="F779" s="152" t="str">
        <f ca="1">IF($A779="","",Returns!$I$777)</f>
        <v/>
      </c>
      <c r="G779" s="153" t="str">
        <f t="shared" ca="1" si="166"/>
        <v/>
      </c>
      <c r="H779" s="153" t="str">
        <f ca="1">IF($A779="","",MAX($G$7:G779))</f>
        <v/>
      </c>
      <c r="I779" s="154" t="str">
        <f t="shared" ca="1" si="167"/>
        <v/>
      </c>
      <c r="J779" s="59" t="str">
        <f t="shared" ca="1" si="168"/>
        <v/>
      </c>
      <c r="K779" s="3"/>
      <c r="L779" t="str">
        <f t="shared" ca="1" si="156"/>
        <v/>
      </c>
      <c r="M779" s="132" t="str">
        <f t="shared" ca="1" si="157"/>
        <v/>
      </c>
      <c r="N779" s="132" t="str">
        <f t="shared" ca="1" si="158"/>
        <v/>
      </c>
      <c r="P779" t="str">
        <f t="shared" ca="1" si="159"/>
        <v/>
      </c>
      <c r="Q779" s="133" t="str">
        <f t="shared" ca="1" si="160"/>
        <v/>
      </c>
      <c r="R779" s="133" t="str">
        <f t="shared" ca="1" si="161"/>
        <v/>
      </c>
      <c r="T779" t="str">
        <f t="shared" ca="1" si="162"/>
        <v/>
      </c>
      <c r="U779" s="134" t="str">
        <f t="shared" ca="1" si="163"/>
        <v/>
      </c>
    </row>
    <row r="780" spans="1:21" x14ac:dyDescent="0.3">
      <c r="A780" s="151" t="str">
        <f ca="1">Returns!$A$778</f>
        <v/>
      </c>
      <c r="B780" s="152" t="str">
        <f ca="1">IF($A780="","",Returns!$J$778)</f>
        <v/>
      </c>
      <c r="C780" s="153" t="str">
        <f t="shared" ca="1" si="164"/>
        <v/>
      </c>
      <c r="D780" s="153" t="str">
        <f ca="1">IF($A780="","",MAX($C$7:C780))</f>
        <v/>
      </c>
      <c r="E780" s="154" t="str">
        <f t="shared" ca="1" si="165"/>
        <v/>
      </c>
      <c r="F780" s="152" t="str">
        <f ca="1">IF($A780="","",Returns!$I$778)</f>
        <v/>
      </c>
      <c r="G780" s="153" t="str">
        <f t="shared" ca="1" si="166"/>
        <v/>
      </c>
      <c r="H780" s="153" t="str">
        <f ca="1">IF($A780="","",MAX($G$7:G780))</f>
        <v/>
      </c>
      <c r="I780" s="154" t="str">
        <f t="shared" ca="1" si="167"/>
        <v/>
      </c>
      <c r="J780" s="59" t="str">
        <f t="shared" ca="1" si="168"/>
        <v/>
      </c>
      <c r="K780" s="3"/>
      <c r="L780" t="str">
        <f t="shared" ca="1" si="156"/>
        <v/>
      </c>
      <c r="M780" s="132" t="str">
        <f t="shared" ca="1" si="157"/>
        <v/>
      </c>
      <c r="N780" s="132" t="str">
        <f t="shared" ca="1" si="158"/>
        <v/>
      </c>
      <c r="P780" t="str">
        <f t="shared" ca="1" si="159"/>
        <v/>
      </c>
      <c r="Q780" s="133" t="str">
        <f t="shared" ca="1" si="160"/>
        <v/>
      </c>
      <c r="R780" s="133" t="str">
        <f t="shared" ca="1" si="161"/>
        <v/>
      </c>
      <c r="T780" t="str">
        <f t="shared" ca="1" si="162"/>
        <v/>
      </c>
      <c r="U780" s="134" t="str">
        <f t="shared" ca="1" si="163"/>
        <v/>
      </c>
    </row>
    <row r="781" spans="1:21" x14ac:dyDescent="0.3">
      <c r="A781" s="151" t="str">
        <f ca="1">Returns!$A$779</f>
        <v/>
      </c>
      <c r="B781" s="152" t="str">
        <f ca="1">IF($A781="","",Returns!$J$779)</f>
        <v/>
      </c>
      <c r="C781" s="153" t="str">
        <f t="shared" ca="1" si="164"/>
        <v/>
      </c>
      <c r="D781" s="153" t="str">
        <f ca="1">IF($A781="","",MAX($C$7:C781))</f>
        <v/>
      </c>
      <c r="E781" s="154" t="str">
        <f t="shared" ca="1" si="165"/>
        <v/>
      </c>
      <c r="F781" s="152" t="str">
        <f ca="1">IF($A781="","",Returns!$I$779)</f>
        <v/>
      </c>
      <c r="G781" s="153" t="str">
        <f t="shared" ca="1" si="166"/>
        <v/>
      </c>
      <c r="H781" s="153" t="str">
        <f ca="1">IF($A781="","",MAX($G$7:G781))</f>
        <v/>
      </c>
      <c r="I781" s="154" t="str">
        <f t="shared" ca="1" si="167"/>
        <v/>
      </c>
      <c r="J781" s="59" t="str">
        <f t="shared" ca="1" si="168"/>
        <v/>
      </c>
      <c r="K781" s="3"/>
      <c r="L781" t="str">
        <f t="shared" ca="1" si="156"/>
        <v/>
      </c>
      <c r="M781" s="132" t="str">
        <f t="shared" ca="1" si="157"/>
        <v/>
      </c>
      <c r="N781" s="132" t="str">
        <f t="shared" ca="1" si="158"/>
        <v/>
      </c>
      <c r="P781" t="str">
        <f t="shared" ca="1" si="159"/>
        <v/>
      </c>
      <c r="Q781" s="133" t="str">
        <f t="shared" ca="1" si="160"/>
        <v/>
      </c>
      <c r="R781" s="133" t="str">
        <f t="shared" ca="1" si="161"/>
        <v/>
      </c>
      <c r="T781" t="str">
        <f t="shared" ca="1" si="162"/>
        <v/>
      </c>
      <c r="U781" s="134" t="str">
        <f t="shared" ca="1" si="163"/>
        <v/>
      </c>
    </row>
    <row r="782" spans="1:21" x14ac:dyDescent="0.3">
      <c r="A782" s="151" t="str">
        <f ca="1">Returns!$A$780</f>
        <v/>
      </c>
      <c r="B782" s="152" t="str">
        <f ca="1">IF($A782="","",Returns!$J$780)</f>
        <v/>
      </c>
      <c r="C782" s="153" t="str">
        <f t="shared" ca="1" si="164"/>
        <v/>
      </c>
      <c r="D782" s="153" t="str">
        <f ca="1">IF($A782="","",MAX($C$7:C782))</f>
        <v/>
      </c>
      <c r="E782" s="154" t="str">
        <f t="shared" ca="1" si="165"/>
        <v/>
      </c>
      <c r="F782" s="152" t="str">
        <f ca="1">IF($A782="","",Returns!$I$780)</f>
        <v/>
      </c>
      <c r="G782" s="153" t="str">
        <f t="shared" ca="1" si="166"/>
        <v/>
      </c>
      <c r="H782" s="153" t="str">
        <f ca="1">IF($A782="","",MAX($G$7:G782))</f>
        <v/>
      </c>
      <c r="I782" s="154" t="str">
        <f t="shared" ca="1" si="167"/>
        <v/>
      </c>
      <c r="J782" s="59" t="str">
        <f t="shared" ca="1" si="168"/>
        <v/>
      </c>
      <c r="K782" s="3"/>
      <c r="L782" t="str">
        <f t="shared" ca="1" si="156"/>
        <v/>
      </c>
      <c r="M782" s="132" t="str">
        <f t="shared" ca="1" si="157"/>
        <v/>
      </c>
      <c r="N782" s="132" t="str">
        <f t="shared" ca="1" si="158"/>
        <v/>
      </c>
      <c r="P782" t="str">
        <f t="shared" ca="1" si="159"/>
        <v/>
      </c>
      <c r="Q782" s="133" t="str">
        <f t="shared" ca="1" si="160"/>
        <v/>
      </c>
      <c r="R782" s="133" t="str">
        <f t="shared" ca="1" si="161"/>
        <v/>
      </c>
      <c r="T782" t="str">
        <f t="shared" ca="1" si="162"/>
        <v/>
      </c>
      <c r="U782" s="134" t="str">
        <f t="shared" ca="1" si="163"/>
        <v/>
      </c>
    </row>
    <row r="783" spans="1:21" x14ac:dyDescent="0.3">
      <c r="A783" s="151" t="str">
        <f ca="1">Returns!$A$781</f>
        <v/>
      </c>
      <c r="B783" s="152" t="str">
        <f ca="1">IF($A783="","",Returns!$J$781)</f>
        <v/>
      </c>
      <c r="C783" s="153" t="str">
        <f t="shared" ca="1" si="164"/>
        <v/>
      </c>
      <c r="D783" s="153" t="str">
        <f ca="1">IF($A783="","",MAX($C$7:C783))</f>
        <v/>
      </c>
      <c r="E783" s="154" t="str">
        <f t="shared" ca="1" si="165"/>
        <v/>
      </c>
      <c r="F783" s="152" t="str">
        <f ca="1">IF($A783="","",Returns!$I$781)</f>
        <v/>
      </c>
      <c r="G783" s="153" t="str">
        <f t="shared" ca="1" si="166"/>
        <v/>
      </c>
      <c r="H783" s="153" t="str">
        <f ca="1">IF($A783="","",MAX($G$7:G783))</f>
        <v/>
      </c>
      <c r="I783" s="154" t="str">
        <f t="shared" ca="1" si="167"/>
        <v/>
      </c>
      <c r="J783" s="59" t="str">
        <f t="shared" ca="1" si="168"/>
        <v/>
      </c>
      <c r="K783" s="3"/>
      <c r="L783" t="str">
        <f t="shared" ca="1" si="156"/>
        <v/>
      </c>
      <c r="M783" s="132" t="str">
        <f t="shared" ca="1" si="157"/>
        <v/>
      </c>
      <c r="N783" s="132" t="str">
        <f t="shared" ca="1" si="158"/>
        <v/>
      </c>
      <c r="P783" t="str">
        <f t="shared" ca="1" si="159"/>
        <v/>
      </c>
      <c r="Q783" s="133" t="str">
        <f t="shared" ca="1" si="160"/>
        <v/>
      </c>
      <c r="R783" s="133" t="str">
        <f t="shared" ca="1" si="161"/>
        <v/>
      </c>
      <c r="T783" t="str">
        <f t="shared" ca="1" si="162"/>
        <v/>
      </c>
      <c r="U783" s="134" t="str">
        <f t="shared" ca="1" si="163"/>
        <v/>
      </c>
    </row>
    <row r="784" spans="1:21" x14ac:dyDescent="0.3">
      <c r="A784" s="151" t="str">
        <f ca="1">Returns!$A$782</f>
        <v/>
      </c>
      <c r="B784" s="152" t="str">
        <f ca="1">IF($A784="","",Returns!$J$782)</f>
        <v/>
      </c>
      <c r="C784" s="153" t="str">
        <f t="shared" ca="1" si="164"/>
        <v/>
      </c>
      <c r="D784" s="153" t="str">
        <f ca="1">IF($A784="","",MAX($C$7:C784))</f>
        <v/>
      </c>
      <c r="E784" s="154" t="str">
        <f t="shared" ca="1" si="165"/>
        <v/>
      </c>
      <c r="F784" s="152" t="str">
        <f ca="1">IF($A784="","",Returns!$I$782)</f>
        <v/>
      </c>
      <c r="G784" s="153" t="str">
        <f t="shared" ca="1" si="166"/>
        <v/>
      </c>
      <c r="H784" s="153" t="str">
        <f ca="1">IF($A784="","",MAX($G$7:G784))</f>
        <v/>
      </c>
      <c r="I784" s="154" t="str">
        <f t="shared" ca="1" si="167"/>
        <v/>
      </c>
      <c r="J784" s="59" t="str">
        <f t="shared" ca="1" si="168"/>
        <v/>
      </c>
      <c r="K784" s="3"/>
      <c r="L784" t="str">
        <f t="shared" ca="1" si="156"/>
        <v/>
      </c>
      <c r="M784" s="132" t="str">
        <f t="shared" ca="1" si="157"/>
        <v/>
      </c>
      <c r="N784" s="132" t="str">
        <f t="shared" ca="1" si="158"/>
        <v/>
      </c>
      <c r="P784" t="str">
        <f t="shared" ca="1" si="159"/>
        <v/>
      </c>
      <c r="Q784" s="133" t="str">
        <f t="shared" ca="1" si="160"/>
        <v/>
      </c>
      <c r="R784" s="133" t="str">
        <f t="shared" ca="1" si="161"/>
        <v/>
      </c>
      <c r="T784" t="str">
        <f t="shared" ca="1" si="162"/>
        <v/>
      </c>
      <c r="U784" s="134" t="str">
        <f t="shared" ca="1" si="163"/>
        <v/>
      </c>
    </row>
    <row r="785" spans="1:21" x14ac:dyDescent="0.3">
      <c r="A785" s="151" t="str">
        <f ca="1">Returns!$A$783</f>
        <v/>
      </c>
      <c r="B785" s="152" t="str">
        <f ca="1">IF($A785="","",Returns!$J$783)</f>
        <v/>
      </c>
      <c r="C785" s="153" t="str">
        <f t="shared" ca="1" si="164"/>
        <v/>
      </c>
      <c r="D785" s="153" t="str">
        <f ca="1">IF($A785="","",MAX($C$7:C785))</f>
        <v/>
      </c>
      <c r="E785" s="154" t="str">
        <f t="shared" ca="1" si="165"/>
        <v/>
      </c>
      <c r="F785" s="152" t="str">
        <f ca="1">IF($A785="","",Returns!$I$783)</f>
        <v/>
      </c>
      <c r="G785" s="153" t="str">
        <f t="shared" ca="1" si="166"/>
        <v/>
      </c>
      <c r="H785" s="153" t="str">
        <f ca="1">IF($A785="","",MAX($G$7:G785))</f>
        <v/>
      </c>
      <c r="I785" s="154" t="str">
        <f t="shared" ca="1" si="167"/>
        <v/>
      </c>
      <c r="J785" s="59" t="str">
        <f t="shared" ca="1" si="168"/>
        <v/>
      </c>
      <c r="K785" s="3"/>
      <c r="L785" t="str">
        <f t="shared" ca="1" si="156"/>
        <v/>
      </c>
      <c r="M785" s="132" t="str">
        <f t="shared" ca="1" si="157"/>
        <v/>
      </c>
      <c r="N785" s="132" t="str">
        <f t="shared" ca="1" si="158"/>
        <v/>
      </c>
      <c r="P785" t="str">
        <f t="shared" ca="1" si="159"/>
        <v/>
      </c>
      <c r="Q785" s="133" t="str">
        <f t="shared" ca="1" si="160"/>
        <v/>
      </c>
      <c r="R785" s="133" t="str">
        <f t="shared" ca="1" si="161"/>
        <v/>
      </c>
      <c r="T785" t="str">
        <f t="shared" ca="1" si="162"/>
        <v/>
      </c>
      <c r="U785" s="134" t="str">
        <f t="shared" ca="1" si="163"/>
        <v/>
      </c>
    </row>
    <row r="786" spans="1:21" x14ac:dyDescent="0.3">
      <c r="A786" s="151" t="str">
        <f ca="1">Returns!$A$784</f>
        <v/>
      </c>
      <c r="B786" s="152" t="str">
        <f ca="1">IF($A786="","",Returns!$J$784)</f>
        <v/>
      </c>
      <c r="C786" s="153" t="str">
        <f t="shared" ca="1" si="164"/>
        <v/>
      </c>
      <c r="D786" s="153" t="str">
        <f ca="1">IF($A786="","",MAX($C$7:C786))</f>
        <v/>
      </c>
      <c r="E786" s="154" t="str">
        <f t="shared" ca="1" si="165"/>
        <v/>
      </c>
      <c r="F786" s="152" t="str">
        <f ca="1">IF($A786="","",Returns!$I$784)</f>
        <v/>
      </c>
      <c r="G786" s="153" t="str">
        <f t="shared" ca="1" si="166"/>
        <v/>
      </c>
      <c r="H786" s="153" t="str">
        <f ca="1">IF($A786="","",MAX($G$7:G786))</f>
        <v/>
      </c>
      <c r="I786" s="154" t="str">
        <f t="shared" ca="1" si="167"/>
        <v/>
      </c>
      <c r="J786" s="59" t="str">
        <f t="shared" ca="1" si="168"/>
        <v/>
      </c>
      <c r="K786" s="3"/>
      <c r="L786" t="str">
        <f t="shared" ca="1" si="156"/>
        <v/>
      </c>
      <c r="M786" s="132" t="str">
        <f t="shared" ca="1" si="157"/>
        <v/>
      </c>
      <c r="N786" s="132" t="str">
        <f t="shared" ca="1" si="158"/>
        <v/>
      </c>
      <c r="P786" t="str">
        <f t="shared" ca="1" si="159"/>
        <v/>
      </c>
      <c r="Q786" s="133" t="str">
        <f t="shared" ca="1" si="160"/>
        <v/>
      </c>
      <c r="R786" s="133" t="str">
        <f t="shared" ca="1" si="161"/>
        <v/>
      </c>
      <c r="T786" t="str">
        <f t="shared" ca="1" si="162"/>
        <v/>
      </c>
      <c r="U786" s="134" t="str">
        <f t="shared" ca="1" si="163"/>
        <v/>
      </c>
    </row>
    <row r="787" spans="1:21" x14ac:dyDescent="0.3">
      <c r="A787" s="151" t="str">
        <f ca="1">Returns!$A$785</f>
        <v/>
      </c>
      <c r="B787" s="152" t="str">
        <f ca="1">IF($A787="","",Returns!$J$785)</f>
        <v/>
      </c>
      <c r="C787" s="153" t="str">
        <f t="shared" ca="1" si="164"/>
        <v/>
      </c>
      <c r="D787" s="153" t="str">
        <f ca="1">IF($A787="","",MAX($C$7:C787))</f>
        <v/>
      </c>
      <c r="E787" s="154" t="str">
        <f t="shared" ca="1" si="165"/>
        <v/>
      </c>
      <c r="F787" s="152" t="str">
        <f ca="1">IF($A787="","",Returns!$I$785)</f>
        <v/>
      </c>
      <c r="G787" s="153" t="str">
        <f t="shared" ca="1" si="166"/>
        <v/>
      </c>
      <c r="H787" s="153" t="str">
        <f ca="1">IF($A787="","",MAX($G$7:G787))</f>
        <v/>
      </c>
      <c r="I787" s="154" t="str">
        <f t="shared" ca="1" si="167"/>
        <v/>
      </c>
      <c r="J787" s="59" t="str">
        <f t="shared" ca="1" si="168"/>
        <v/>
      </c>
      <c r="K787" s="3"/>
      <c r="L787" t="str">
        <f t="shared" ca="1" si="156"/>
        <v/>
      </c>
      <c r="M787" s="132" t="str">
        <f t="shared" ca="1" si="157"/>
        <v/>
      </c>
      <c r="N787" s="132" t="str">
        <f t="shared" ca="1" si="158"/>
        <v/>
      </c>
      <c r="P787" t="str">
        <f t="shared" ca="1" si="159"/>
        <v/>
      </c>
      <c r="Q787" s="133" t="str">
        <f t="shared" ca="1" si="160"/>
        <v/>
      </c>
      <c r="R787" s="133" t="str">
        <f t="shared" ca="1" si="161"/>
        <v/>
      </c>
      <c r="T787" t="str">
        <f t="shared" ca="1" si="162"/>
        <v/>
      </c>
      <c r="U787" s="134" t="str">
        <f t="shared" ca="1" si="163"/>
        <v/>
      </c>
    </row>
    <row r="788" spans="1:21" x14ac:dyDescent="0.3">
      <c r="A788" s="151" t="str">
        <f ca="1">Returns!$A$786</f>
        <v/>
      </c>
      <c r="B788" s="152" t="str">
        <f ca="1">IF($A788="","",Returns!$J$786)</f>
        <v/>
      </c>
      <c r="C788" s="153" t="str">
        <f t="shared" ca="1" si="164"/>
        <v/>
      </c>
      <c r="D788" s="153" t="str">
        <f ca="1">IF($A788="","",MAX($C$7:C788))</f>
        <v/>
      </c>
      <c r="E788" s="154" t="str">
        <f t="shared" ca="1" si="165"/>
        <v/>
      </c>
      <c r="F788" s="152" t="str">
        <f ca="1">IF($A788="","",Returns!$I$786)</f>
        <v/>
      </c>
      <c r="G788" s="153" t="str">
        <f t="shared" ca="1" si="166"/>
        <v/>
      </c>
      <c r="H788" s="153" t="str">
        <f ca="1">IF($A788="","",MAX($G$7:G788))</f>
        <v/>
      </c>
      <c r="I788" s="154" t="str">
        <f t="shared" ca="1" si="167"/>
        <v/>
      </c>
      <c r="J788" s="59" t="str">
        <f t="shared" ca="1" si="168"/>
        <v/>
      </c>
      <c r="K788" s="3"/>
      <c r="L788" t="str">
        <f t="shared" ca="1" si="156"/>
        <v/>
      </c>
      <c r="M788" s="132" t="str">
        <f t="shared" ca="1" si="157"/>
        <v/>
      </c>
      <c r="N788" s="132" t="str">
        <f t="shared" ca="1" si="158"/>
        <v/>
      </c>
      <c r="P788" t="str">
        <f t="shared" ca="1" si="159"/>
        <v/>
      </c>
      <c r="Q788" s="133" t="str">
        <f t="shared" ca="1" si="160"/>
        <v/>
      </c>
      <c r="R788" s="133" t="str">
        <f t="shared" ca="1" si="161"/>
        <v/>
      </c>
      <c r="T788" t="str">
        <f t="shared" ca="1" si="162"/>
        <v/>
      </c>
      <c r="U788" s="134" t="str">
        <f t="shared" ca="1" si="163"/>
        <v/>
      </c>
    </row>
    <row r="789" spans="1:21" x14ac:dyDescent="0.3">
      <c r="A789" s="151" t="str">
        <f ca="1">Returns!$A$787</f>
        <v/>
      </c>
      <c r="B789" s="152" t="str">
        <f ca="1">IF($A789="","",Returns!$J$787)</f>
        <v/>
      </c>
      <c r="C789" s="153" t="str">
        <f t="shared" ca="1" si="164"/>
        <v/>
      </c>
      <c r="D789" s="153" t="str">
        <f ca="1">IF($A789="","",MAX($C$7:C789))</f>
        <v/>
      </c>
      <c r="E789" s="154" t="str">
        <f t="shared" ca="1" si="165"/>
        <v/>
      </c>
      <c r="F789" s="152" t="str">
        <f ca="1">IF($A789="","",Returns!$I$787)</f>
        <v/>
      </c>
      <c r="G789" s="153" t="str">
        <f t="shared" ca="1" si="166"/>
        <v/>
      </c>
      <c r="H789" s="153" t="str">
        <f ca="1">IF($A789="","",MAX($G$7:G789))</f>
        <v/>
      </c>
      <c r="I789" s="154" t="str">
        <f t="shared" ca="1" si="167"/>
        <v/>
      </c>
      <c r="J789" s="59" t="str">
        <f t="shared" ca="1" si="168"/>
        <v/>
      </c>
      <c r="K789" s="3"/>
      <c r="L789" t="str">
        <f t="shared" ca="1" si="156"/>
        <v/>
      </c>
      <c r="M789" s="132" t="str">
        <f t="shared" ca="1" si="157"/>
        <v/>
      </c>
      <c r="N789" s="132" t="str">
        <f t="shared" ca="1" si="158"/>
        <v/>
      </c>
      <c r="P789" t="str">
        <f t="shared" ca="1" si="159"/>
        <v/>
      </c>
      <c r="Q789" s="133" t="str">
        <f t="shared" ca="1" si="160"/>
        <v/>
      </c>
      <c r="R789" s="133" t="str">
        <f t="shared" ca="1" si="161"/>
        <v/>
      </c>
      <c r="T789" t="str">
        <f t="shared" ca="1" si="162"/>
        <v/>
      </c>
      <c r="U789" s="134" t="str">
        <f t="shared" ca="1" si="163"/>
        <v/>
      </c>
    </row>
    <row r="790" spans="1:21" x14ac:dyDescent="0.3">
      <c r="A790" s="151" t="str">
        <f ca="1">Returns!$A$788</f>
        <v/>
      </c>
      <c r="B790" s="152" t="str">
        <f ca="1">IF($A790="","",Returns!$J$788)</f>
        <v/>
      </c>
      <c r="C790" s="153" t="str">
        <f t="shared" ca="1" si="164"/>
        <v/>
      </c>
      <c r="D790" s="153" t="str">
        <f ca="1">IF($A790="","",MAX($C$7:C790))</f>
        <v/>
      </c>
      <c r="E790" s="154" t="str">
        <f t="shared" ca="1" si="165"/>
        <v/>
      </c>
      <c r="F790" s="152" t="str">
        <f ca="1">IF($A790="","",Returns!$I$788)</f>
        <v/>
      </c>
      <c r="G790" s="153" t="str">
        <f t="shared" ca="1" si="166"/>
        <v/>
      </c>
      <c r="H790" s="153" t="str">
        <f ca="1">IF($A790="","",MAX($G$7:G790))</f>
        <v/>
      </c>
      <c r="I790" s="154" t="str">
        <f t="shared" ca="1" si="167"/>
        <v/>
      </c>
      <c r="J790" s="59" t="str">
        <f t="shared" ca="1" si="168"/>
        <v/>
      </c>
      <c r="K790" s="3"/>
      <c r="L790" t="str">
        <f t="shared" ca="1" si="156"/>
        <v/>
      </c>
      <c r="M790" s="132" t="str">
        <f t="shared" ca="1" si="157"/>
        <v/>
      </c>
      <c r="N790" s="132" t="str">
        <f t="shared" ca="1" si="158"/>
        <v/>
      </c>
      <c r="P790" t="str">
        <f t="shared" ca="1" si="159"/>
        <v/>
      </c>
      <c r="Q790" s="133" t="str">
        <f t="shared" ca="1" si="160"/>
        <v/>
      </c>
      <c r="R790" s="133" t="str">
        <f t="shared" ca="1" si="161"/>
        <v/>
      </c>
      <c r="T790" t="str">
        <f t="shared" ca="1" si="162"/>
        <v/>
      </c>
      <c r="U790" s="134" t="str">
        <f t="shared" ca="1" si="163"/>
        <v/>
      </c>
    </row>
    <row r="791" spans="1:21" x14ac:dyDescent="0.3">
      <c r="A791" s="151" t="str">
        <f ca="1">Returns!$A$789</f>
        <v/>
      </c>
      <c r="B791" s="152" t="str">
        <f ca="1">IF($A791="","",Returns!$J$789)</f>
        <v/>
      </c>
      <c r="C791" s="153" t="str">
        <f t="shared" ca="1" si="164"/>
        <v/>
      </c>
      <c r="D791" s="153" t="str">
        <f ca="1">IF($A791="","",MAX($C$7:C791))</f>
        <v/>
      </c>
      <c r="E791" s="154" t="str">
        <f t="shared" ca="1" si="165"/>
        <v/>
      </c>
      <c r="F791" s="152" t="str">
        <f ca="1">IF($A791="","",Returns!$I$789)</f>
        <v/>
      </c>
      <c r="G791" s="153" t="str">
        <f t="shared" ca="1" si="166"/>
        <v/>
      </c>
      <c r="H791" s="153" t="str">
        <f ca="1">IF($A791="","",MAX($G$7:G791))</f>
        <v/>
      </c>
      <c r="I791" s="154" t="str">
        <f t="shared" ca="1" si="167"/>
        <v/>
      </c>
      <c r="J791" s="59" t="str">
        <f t="shared" ca="1" si="168"/>
        <v/>
      </c>
      <c r="K791" s="3"/>
      <c r="L791" t="str">
        <f t="shared" ca="1" si="156"/>
        <v/>
      </c>
      <c r="M791" s="132" t="str">
        <f t="shared" ca="1" si="157"/>
        <v/>
      </c>
      <c r="N791" s="132" t="str">
        <f t="shared" ca="1" si="158"/>
        <v/>
      </c>
      <c r="P791" t="str">
        <f t="shared" ca="1" si="159"/>
        <v/>
      </c>
      <c r="Q791" s="133" t="str">
        <f t="shared" ca="1" si="160"/>
        <v/>
      </c>
      <c r="R791" s="133" t="str">
        <f t="shared" ca="1" si="161"/>
        <v/>
      </c>
      <c r="T791" t="str">
        <f t="shared" ca="1" si="162"/>
        <v/>
      </c>
      <c r="U791" s="134" t="str">
        <f t="shared" ca="1" si="163"/>
        <v/>
      </c>
    </row>
    <row r="792" spans="1:21" x14ac:dyDescent="0.3">
      <c r="A792" s="151" t="str">
        <f ca="1">Returns!$A$790</f>
        <v/>
      </c>
      <c r="B792" s="152" t="str">
        <f ca="1">IF($A792="","",Returns!$J$790)</f>
        <v/>
      </c>
      <c r="C792" s="153" t="str">
        <f t="shared" ca="1" si="164"/>
        <v/>
      </c>
      <c r="D792" s="153" t="str">
        <f ca="1">IF($A792="","",MAX($C$7:C792))</f>
        <v/>
      </c>
      <c r="E792" s="154" t="str">
        <f t="shared" ca="1" si="165"/>
        <v/>
      </c>
      <c r="F792" s="152" t="str">
        <f ca="1">IF($A792="","",Returns!$I$790)</f>
        <v/>
      </c>
      <c r="G792" s="153" t="str">
        <f t="shared" ca="1" si="166"/>
        <v/>
      </c>
      <c r="H792" s="153" t="str">
        <f ca="1">IF($A792="","",MAX($G$7:G792))</f>
        <v/>
      </c>
      <c r="I792" s="154" t="str">
        <f t="shared" ca="1" si="167"/>
        <v/>
      </c>
      <c r="J792" s="59" t="str">
        <f t="shared" ca="1" si="168"/>
        <v/>
      </c>
      <c r="K792" s="3"/>
      <c r="L792" t="str">
        <f t="shared" ca="1" si="156"/>
        <v/>
      </c>
      <c r="M792" s="132" t="str">
        <f t="shared" ca="1" si="157"/>
        <v/>
      </c>
      <c r="N792" s="132" t="str">
        <f t="shared" ca="1" si="158"/>
        <v/>
      </c>
      <c r="P792" t="str">
        <f t="shared" ca="1" si="159"/>
        <v/>
      </c>
      <c r="Q792" s="133" t="str">
        <f t="shared" ca="1" si="160"/>
        <v/>
      </c>
      <c r="R792" s="133" t="str">
        <f t="shared" ca="1" si="161"/>
        <v/>
      </c>
      <c r="T792" t="str">
        <f t="shared" ca="1" si="162"/>
        <v/>
      </c>
      <c r="U792" s="134" t="str">
        <f t="shared" ca="1" si="163"/>
        <v/>
      </c>
    </row>
    <row r="793" spans="1:21" x14ac:dyDescent="0.3">
      <c r="A793" s="151" t="str">
        <f ca="1">Returns!$A$791</f>
        <v/>
      </c>
      <c r="B793" s="152" t="str">
        <f ca="1">IF($A793="","",Returns!$J$791)</f>
        <v/>
      </c>
      <c r="C793" s="153" t="str">
        <f t="shared" ca="1" si="164"/>
        <v/>
      </c>
      <c r="D793" s="153" t="str">
        <f ca="1">IF($A793="","",MAX($C$7:C793))</f>
        <v/>
      </c>
      <c r="E793" s="154" t="str">
        <f t="shared" ca="1" si="165"/>
        <v/>
      </c>
      <c r="F793" s="152" t="str">
        <f ca="1">IF($A793="","",Returns!$I$791)</f>
        <v/>
      </c>
      <c r="G793" s="153" t="str">
        <f t="shared" ca="1" si="166"/>
        <v/>
      </c>
      <c r="H793" s="153" t="str">
        <f ca="1">IF($A793="","",MAX($G$7:G793))</f>
        <v/>
      </c>
      <c r="I793" s="154" t="str">
        <f t="shared" ca="1" si="167"/>
        <v/>
      </c>
      <c r="J793" s="59" t="str">
        <f t="shared" ca="1" si="168"/>
        <v/>
      </c>
      <c r="K793" s="3"/>
      <c r="L793" t="str">
        <f t="shared" ca="1" si="156"/>
        <v/>
      </c>
      <c r="M793" s="132" t="str">
        <f t="shared" ca="1" si="157"/>
        <v/>
      </c>
      <c r="N793" s="132" t="str">
        <f t="shared" ca="1" si="158"/>
        <v/>
      </c>
      <c r="P793" t="str">
        <f t="shared" ca="1" si="159"/>
        <v/>
      </c>
      <c r="Q793" s="133" t="str">
        <f t="shared" ca="1" si="160"/>
        <v/>
      </c>
      <c r="R793" s="133" t="str">
        <f t="shared" ca="1" si="161"/>
        <v/>
      </c>
      <c r="T793" t="str">
        <f t="shared" ca="1" si="162"/>
        <v/>
      </c>
      <c r="U793" s="134" t="str">
        <f t="shared" ca="1" si="163"/>
        <v/>
      </c>
    </row>
    <row r="794" spans="1:21" x14ac:dyDescent="0.3">
      <c r="A794" s="151" t="str">
        <f ca="1">Returns!$A$792</f>
        <v/>
      </c>
      <c r="B794" s="152" t="str">
        <f ca="1">IF($A794="","",Returns!$J$792)</f>
        <v/>
      </c>
      <c r="C794" s="153" t="str">
        <f t="shared" ca="1" si="164"/>
        <v/>
      </c>
      <c r="D794" s="153" t="str">
        <f ca="1">IF($A794="","",MAX($C$7:C794))</f>
        <v/>
      </c>
      <c r="E794" s="154" t="str">
        <f t="shared" ca="1" si="165"/>
        <v/>
      </c>
      <c r="F794" s="152" t="str">
        <f ca="1">IF($A794="","",Returns!$I$792)</f>
        <v/>
      </c>
      <c r="G794" s="153" t="str">
        <f t="shared" ca="1" si="166"/>
        <v/>
      </c>
      <c r="H794" s="153" t="str">
        <f ca="1">IF($A794="","",MAX($G$7:G794))</f>
        <v/>
      </c>
      <c r="I794" s="154" t="str">
        <f t="shared" ca="1" si="167"/>
        <v/>
      </c>
      <c r="J794" s="59" t="str">
        <f t="shared" ca="1" si="168"/>
        <v/>
      </c>
      <c r="K794" s="3"/>
      <c r="L794" t="str">
        <f t="shared" ca="1" si="156"/>
        <v/>
      </c>
      <c r="M794" s="132" t="str">
        <f t="shared" ca="1" si="157"/>
        <v/>
      </c>
      <c r="N794" s="132" t="str">
        <f t="shared" ca="1" si="158"/>
        <v/>
      </c>
      <c r="P794" t="str">
        <f t="shared" ca="1" si="159"/>
        <v/>
      </c>
      <c r="Q794" s="133" t="str">
        <f t="shared" ca="1" si="160"/>
        <v/>
      </c>
      <c r="R794" s="133" t="str">
        <f t="shared" ca="1" si="161"/>
        <v/>
      </c>
      <c r="T794" t="str">
        <f t="shared" ca="1" si="162"/>
        <v/>
      </c>
      <c r="U794" s="134" t="str">
        <f t="shared" ca="1" si="163"/>
        <v/>
      </c>
    </row>
    <row r="795" spans="1:21" x14ac:dyDescent="0.3">
      <c r="A795" s="151" t="str">
        <f ca="1">Returns!$A$793</f>
        <v/>
      </c>
      <c r="B795" s="152" t="str">
        <f ca="1">IF($A795="","",Returns!$J$793)</f>
        <v/>
      </c>
      <c r="C795" s="153" t="str">
        <f t="shared" ca="1" si="164"/>
        <v/>
      </c>
      <c r="D795" s="153" t="str">
        <f ca="1">IF($A795="","",MAX($C$7:C795))</f>
        <v/>
      </c>
      <c r="E795" s="154" t="str">
        <f t="shared" ca="1" si="165"/>
        <v/>
      </c>
      <c r="F795" s="152" t="str">
        <f ca="1">IF($A795="","",Returns!$I$793)</f>
        <v/>
      </c>
      <c r="G795" s="153" t="str">
        <f t="shared" ca="1" si="166"/>
        <v/>
      </c>
      <c r="H795" s="153" t="str">
        <f ca="1">IF($A795="","",MAX($G$7:G795))</f>
        <v/>
      </c>
      <c r="I795" s="154" t="str">
        <f t="shared" ca="1" si="167"/>
        <v/>
      </c>
      <c r="J795" s="59" t="str">
        <f t="shared" ca="1" si="168"/>
        <v/>
      </c>
      <c r="K795" s="3"/>
      <c r="L795" t="str">
        <f t="shared" ca="1" si="156"/>
        <v/>
      </c>
      <c r="M795" s="132" t="str">
        <f t="shared" ca="1" si="157"/>
        <v/>
      </c>
      <c r="N795" s="132" t="str">
        <f t="shared" ca="1" si="158"/>
        <v/>
      </c>
      <c r="P795" t="str">
        <f t="shared" ca="1" si="159"/>
        <v/>
      </c>
      <c r="Q795" s="133" t="str">
        <f t="shared" ca="1" si="160"/>
        <v/>
      </c>
      <c r="R795" s="133" t="str">
        <f t="shared" ca="1" si="161"/>
        <v/>
      </c>
      <c r="T795" t="str">
        <f t="shared" ca="1" si="162"/>
        <v/>
      </c>
      <c r="U795" s="134" t="str">
        <f t="shared" ca="1" si="163"/>
        <v/>
      </c>
    </row>
    <row r="796" spans="1:21" x14ac:dyDescent="0.3">
      <c r="A796" s="151" t="str">
        <f ca="1">Returns!$A$794</f>
        <v/>
      </c>
      <c r="B796" s="152" t="str">
        <f ca="1">IF($A796="","",Returns!$J$794)</f>
        <v/>
      </c>
      <c r="C796" s="153" t="str">
        <f t="shared" ca="1" si="164"/>
        <v/>
      </c>
      <c r="D796" s="153" t="str">
        <f ca="1">IF($A796="","",MAX($C$7:C796))</f>
        <v/>
      </c>
      <c r="E796" s="154" t="str">
        <f t="shared" ca="1" si="165"/>
        <v/>
      </c>
      <c r="F796" s="152" t="str">
        <f ca="1">IF($A796="","",Returns!$I$794)</f>
        <v/>
      </c>
      <c r="G796" s="153" t="str">
        <f t="shared" ca="1" si="166"/>
        <v/>
      </c>
      <c r="H796" s="153" t="str">
        <f ca="1">IF($A796="","",MAX($G$7:G796))</f>
        <v/>
      </c>
      <c r="I796" s="154" t="str">
        <f t="shared" ca="1" si="167"/>
        <v/>
      </c>
      <c r="J796" s="59" t="str">
        <f t="shared" ca="1" si="168"/>
        <v/>
      </c>
      <c r="K796" s="3"/>
      <c r="L796" t="str">
        <f t="shared" ca="1" si="156"/>
        <v/>
      </c>
      <c r="M796" s="132" t="str">
        <f t="shared" ca="1" si="157"/>
        <v/>
      </c>
      <c r="N796" s="132" t="str">
        <f t="shared" ca="1" si="158"/>
        <v/>
      </c>
      <c r="P796" t="str">
        <f t="shared" ca="1" si="159"/>
        <v/>
      </c>
      <c r="Q796" s="133" t="str">
        <f t="shared" ca="1" si="160"/>
        <v/>
      </c>
      <c r="R796" s="133" t="str">
        <f t="shared" ca="1" si="161"/>
        <v/>
      </c>
      <c r="T796" t="str">
        <f t="shared" ca="1" si="162"/>
        <v/>
      </c>
      <c r="U796" s="134" t="str">
        <f t="shared" ca="1" si="163"/>
        <v/>
      </c>
    </row>
    <row r="797" spans="1:21" x14ac:dyDescent="0.3">
      <c r="A797" s="151" t="str">
        <f ca="1">Returns!$A$795</f>
        <v/>
      </c>
      <c r="B797" s="152" t="str">
        <f ca="1">IF($A797="","",Returns!$J$795)</f>
        <v/>
      </c>
      <c r="C797" s="153" t="str">
        <f t="shared" ca="1" si="164"/>
        <v/>
      </c>
      <c r="D797" s="153" t="str">
        <f ca="1">IF($A797="","",MAX($C$7:C797))</f>
        <v/>
      </c>
      <c r="E797" s="154" t="str">
        <f t="shared" ca="1" si="165"/>
        <v/>
      </c>
      <c r="F797" s="152" t="str">
        <f ca="1">IF($A797="","",Returns!$I$795)</f>
        <v/>
      </c>
      <c r="G797" s="153" t="str">
        <f t="shared" ca="1" si="166"/>
        <v/>
      </c>
      <c r="H797" s="153" t="str">
        <f ca="1">IF($A797="","",MAX($G$7:G797))</f>
        <v/>
      </c>
      <c r="I797" s="154" t="str">
        <f t="shared" ca="1" si="167"/>
        <v/>
      </c>
      <c r="J797" s="59" t="str">
        <f t="shared" ca="1" si="168"/>
        <v/>
      </c>
      <c r="K797" s="3"/>
      <c r="L797" t="str">
        <f t="shared" ca="1" si="156"/>
        <v/>
      </c>
      <c r="M797" s="132" t="str">
        <f t="shared" ca="1" si="157"/>
        <v/>
      </c>
      <c r="N797" s="132" t="str">
        <f t="shared" ca="1" si="158"/>
        <v/>
      </c>
      <c r="P797" t="str">
        <f t="shared" ca="1" si="159"/>
        <v/>
      </c>
      <c r="Q797" s="133" t="str">
        <f t="shared" ca="1" si="160"/>
        <v/>
      </c>
      <c r="R797" s="133" t="str">
        <f t="shared" ca="1" si="161"/>
        <v/>
      </c>
      <c r="T797" t="str">
        <f t="shared" ca="1" si="162"/>
        <v/>
      </c>
      <c r="U797" s="134" t="str">
        <f t="shared" ca="1" si="163"/>
        <v/>
      </c>
    </row>
    <row r="798" spans="1:21" x14ac:dyDescent="0.3">
      <c r="A798" s="151" t="str">
        <f ca="1">Returns!$A$796</f>
        <v/>
      </c>
      <c r="B798" s="152" t="str">
        <f ca="1">IF($A798="","",Returns!$J$796)</f>
        <v/>
      </c>
      <c r="C798" s="153" t="str">
        <f t="shared" ca="1" si="164"/>
        <v/>
      </c>
      <c r="D798" s="153" t="str">
        <f ca="1">IF($A798="","",MAX($C$7:C798))</f>
        <v/>
      </c>
      <c r="E798" s="154" t="str">
        <f t="shared" ca="1" si="165"/>
        <v/>
      </c>
      <c r="F798" s="152" t="str">
        <f ca="1">IF($A798="","",Returns!$I$796)</f>
        <v/>
      </c>
      <c r="G798" s="153" t="str">
        <f t="shared" ca="1" si="166"/>
        <v/>
      </c>
      <c r="H798" s="153" t="str">
        <f ca="1">IF($A798="","",MAX($G$7:G798))</f>
        <v/>
      </c>
      <c r="I798" s="154" t="str">
        <f t="shared" ca="1" si="167"/>
        <v/>
      </c>
      <c r="J798" s="59" t="str">
        <f t="shared" ca="1" si="168"/>
        <v/>
      </c>
      <c r="K798" s="3"/>
      <c r="L798" t="str">
        <f t="shared" ca="1" si="156"/>
        <v/>
      </c>
      <c r="M798" s="132" t="str">
        <f t="shared" ca="1" si="157"/>
        <v/>
      </c>
      <c r="N798" s="132" t="str">
        <f t="shared" ca="1" si="158"/>
        <v/>
      </c>
      <c r="P798" t="str">
        <f t="shared" ca="1" si="159"/>
        <v/>
      </c>
      <c r="Q798" s="133" t="str">
        <f t="shared" ca="1" si="160"/>
        <v/>
      </c>
      <c r="R798" s="133" t="str">
        <f t="shared" ca="1" si="161"/>
        <v/>
      </c>
      <c r="T798" t="str">
        <f t="shared" ca="1" si="162"/>
        <v/>
      </c>
      <c r="U798" s="134" t="str">
        <f t="shared" ca="1" si="163"/>
        <v/>
      </c>
    </row>
    <row r="799" spans="1:21" x14ac:dyDescent="0.3">
      <c r="A799" s="151" t="str">
        <f ca="1">Returns!$A$797</f>
        <v/>
      </c>
      <c r="B799" s="152" t="str">
        <f ca="1">IF($A799="","",Returns!$J$797)</f>
        <v/>
      </c>
      <c r="C799" s="153" t="str">
        <f t="shared" ca="1" si="164"/>
        <v/>
      </c>
      <c r="D799" s="153" t="str">
        <f ca="1">IF($A799="","",MAX($C$7:C799))</f>
        <v/>
      </c>
      <c r="E799" s="154" t="str">
        <f t="shared" ca="1" si="165"/>
        <v/>
      </c>
      <c r="F799" s="152" t="str">
        <f ca="1">IF($A799="","",Returns!$I$797)</f>
        <v/>
      </c>
      <c r="G799" s="153" t="str">
        <f t="shared" ca="1" si="166"/>
        <v/>
      </c>
      <c r="H799" s="153" t="str">
        <f ca="1">IF($A799="","",MAX($G$7:G799))</f>
        <v/>
      </c>
      <c r="I799" s="154" t="str">
        <f t="shared" ca="1" si="167"/>
        <v/>
      </c>
      <c r="J799" s="59" t="str">
        <f t="shared" ca="1" si="168"/>
        <v/>
      </c>
      <c r="K799" s="3"/>
      <c r="L799" t="str">
        <f t="shared" ca="1" si="156"/>
        <v/>
      </c>
      <c r="M799" s="132" t="str">
        <f t="shared" ca="1" si="157"/>
        <v/>
      </c>
      <c r="N799" s="132" t="str">
        <f t="shared" ca="1" si="158"/>
        <v/>
      </c>
      <c r="P799" t="str">
        <f t="shared" ca="1" si="159"/>
        <v/>
      </c>
      <c r="Q799" s="133" t="str">
        <f t="shared" ca="1" si="160"/>
        <v/>
      </c>
      <c r="R799" s="133" t="str">
        <f t="shared" ca="1" si="161"/>
        <v/>
      </c>
      <c r="T799" t="str">
        <f t="shared" ca="1" si="162"/>
        <v/>
      </c>
      <c r="U799" s="134" t="str">
        <f t="shared" ca="1" si="163"/>
        <v/>
      </c>
    </row>
    <row r="800" spans="1:21" x14ac:dyDescent="0.3">
      <c r="A800" s="151" t="str">
        <f ca="1">Returns!$A$798</f>
        <v/>
      </c>
      <c r="B800" s="152" t="str">
        <f ca="1">IF($A800="","",Returns!$J$798)</f>
        <v/>
      </c>
      <c r="C800" s="153" t="str">
        <f t="shared" ca="1" si="164"/>
        <v/>
      </c>
      <c r="D800" s="153" t="str">
        <f ca="1">IF($A800="","",MAX($C$7:C800))</f>
        <v/>
      </c>
      <c r="E800" s="154" t="str">
        <f t="shared" ca="1" si="165"/>
        <v/>
      </c>
      <c r="F800" s="152" t="str">
        <f ca="1">IF($A800="","",Returns!$I$798)</f>
        <v/>
      </c>
      <c r="G800" s="153" t="str">
        <f t="shared" ca="1" si="166"/>
        <v/>
      </c>
      <c r="H800" s="153" t="str">
        <f ca="1">IF($A800="","",MAX($G$7:G800))</f>
        <v/>
      </c>
      <c r="I800" s="154" t="str">
        <f t="shared" ca="1" si="167"/>
        <v/>
      </c>
      <c r="J800" s="59" t="str">
        <f t="shared" ca="1" si="168"/>
        <v/>
      </c>
      <c r="K800" s="3"/>
      <c r="L800" t="str">
        <f t="shared" ca="1" si="156"/>
        <v/>
      </c>
      <c r="M800" s="132" t="str">
        <f t="shared" ca="1" si="157"/>
        <v/>
      </c>
      <c r="N800" s="132" t="str">
        <f t="shared" ca="1" si="158"/>
        <v/>
      </c>
      <c r="P800" t="str">
        <f t="shared" ca="1" si="159"/>
        <v/>
      </c>
      <c r="Q800" s="133" t="str">
        <f t="shared" ca="1" si="160"/>
        <v/>
      </c>
      <c r="R800" s="133" t="str">
        <f t="shared" ca="1" si="161"/>
        <v/>
      </c>
      <c r="T800" t="str">
        <f t="shared" ca="1" si="162"/>
        <v/>
      </c>
      <c r="U800" s="134" t="str">
        <f t="shared" ca="1" si="163"/>
        <v/>
      </c>
    </row>
    <row r="801" spans="1:21" x14ac:dyDescent="0.3">
      <c r="A801" s="151" t="str">
        <f ca="1">Returns!$A$799</f>
        <v/>
      </c>
      <c r="B801" s="152" t="str">
        <f ca="1">IF($A801="","",Returns!$J$799)</f>
        <v/>
      </c>
      <c r="C801" s="153" t="str">
        <f t="shared" ca="1" si="164"/>
        <v/>
      </c>
      <c r="D801" s="153" t="str">
        <f ca="1">IF($A801="","",MAX($C$7:C801))</f>
        <v/>
      </c>
      <c r="E801" s="154" t="str">
        <f t="shared" ca="1" si="165"/>
        <v/>
      </c>
      <c r="F801" s="152" t="str">
        <f ca="1">IF($A801="","",Returns!$I$799)</f>
        <v/>
      </c>
      <c r="G801" s="153" t="str">
        <f t="shared" ca="1" si="166"/>
        <v/>
      </c>
      <c r="H801" s="153" t="str">
        <f ca="1">IF($A801="","",MAX($G$7:G801))</f>
        <v/>
      </c>
      <c r="I801" s="154" t="str">
        <f t="shared" ca="1" si="167"/>
        <v/>
      </c>
      <c r="J801" s="59" t="str">
        <f t="shared" ca="1" si="168"/>
        <v/>
      </c>
      <c r="K801" s="3"/>
      <c r="L801" t="str">
        <f t="shared" ca="1" si="156"/>
        <v/>
      </c>
      <c r="M801" s="132" t="str">
        <f t="shared" ca="1" si="157"/>
        <v/>
      </c>
      <c r="N801" s="132" t="str">
        <f t="shared" ca="1" si="158"/>
        <v/>
      </c>
      <c r="P801" t="str">
        <f t="shared" ca="1" si="159"/>
        <v/>
      </c>
      <c r="Q801" s="133" t="str">
        <f t="shared" ca="1" si="160"/>
        <v/>
      </c>
      <c r="R801" s="133" t="str">
        <f t="shared" ca="1" si="161"/>
        <v/>
      </c>
      <c r="T801" t="str">
        <f t="shared" ca="1" si="162"/>
        <v/>
      </c>
      <c r="U801" s="134" t="str">
        <f t="shared" ca="1" si="163"/>
        <v/>
      </c>
    </row>
    <row r="802" spans="1:21" x14ac:dyDescent="0.3">
      <c r="A802" s="151" t="str">
        <f ca="1">Returns!$A$800</f>
        <v/>
      </c>
      <c r="B802" s="152" t="str">
        <f ca="1">IF($A802="","",Returns!$J$800)</f>
        <v/>
      </c>
      <c r="C802" s="153" t="str">
        <f t="shared" ca="1" si="164"/>
        <v/>
      </c>
      <c r="D802" s="153" t="str">
        <f ca="1">IF($A802="","",MAX($C$7:C802))</f>
        <v/>
      </c>
      <c r="E802" s="154" t="str">
        <f t="shared" ca="1" si="165"/>
        <v/>
      </c>
      <c r="F802" s="152" t="str">
        <f ca="1">IF($A802="","",Returns!$I$800)</f>
        <v/>
      </c>
      <c r="G802" s="153" t="str">
        <f t="shared" ca="1" si="166"/>
        <v/>
      </c>
      <c r="H802" s="153" t="str">
        <f ca="1">IF($A802="","",MAX($G$7:G802))</f>
        <v/>
      </c>
      <c r="I802" s="154" t="str">
        <f t="shared" ca="1" si="167"/>
        <v/>
      </c>
      <c r="J802" s="59" t="str">
        <f t="shared" ca="1" si="168"/>
        <v/>
      </c>
      <c r="K802" s="3"/>
      <c r="L802" t="str">
        <f t="shared" ca="1" si="156"/>
        <v/>
      </c>
      <c r="M802" s="132" t="str">
        <f t="shared" ca="1" si="157"/>
        <v/>
      </c>
      <c r="N802" s="132" t="str">
        <f t="shared" ca="1" si="158"/>
        <v/>
      </c>
      <c r="P802" t="str">
        <f t="shared" ca="1" si="159"/>
        <v/>
      </c>
      <c r="Q802" s="133" t="str">
        <f t="shared" ca="1" si="160"/>
        <v/>
      </c>
      <c r="R802" s="133" t="str">
        <f t="shared" ca="1" si="161"/>
        <v/>
      </c>
      <c r="T802" t="str">
        <f t="shared" ca="1" si="162"/>
        <v/>
      </c>
      <c r="U802" s="134" t="str">
        <f t="shared" ca="1" si="163"/>
        <v/>
      </c>
    </row>
    <row r="803" spans="1:21" x14ac:dyDescent="0.3">
      <c r="A803" s="151" t="str">
        <f ca="1">Returns!$A$801</f>
        <v/>
      </c>
      <c r="B803" s="152" t="str">
        <f ca="1">IF($A803="","",Returns!$J$801)</f>
        <v/>
      </c>
      <c r="C803" s="153" t="str">
        <f t="shared" ca="1" si="164"/>
        <v/>
      </c>
      <c r="D803" s="153" t="str">
        <f ca="1">IF($A803="","",MAX($C$7:C803))</f>
        <v/>
      </c>
      <c r="E803" s="154" t="str">
        <f t="shared" ca="1" si="165"/>
        <v/>
      </c>
      <c r="F803" s="152" t="str">
        <f ca="1">IF($A803="","",Returns!$I$801)</f>
        <v/>
      </c>
      <c r="G803" s="153" t="str">
        <f t="shared" ca="1" si="166"/>
        <v/>
      </c>
      <c r="H803" s="153" t="str">
        <f ca="1">IF($A803="","",MAX($G$7:G803))</f>
        <v/>
      </c>
      <c r="I803" s="154" t="str">
        <f t="shared" ca="1" si="167"/>
        <v/>
      </c>
      <c r="J803" s="59" t="str">
        <f t="shared" ca="1" si="168"/>
        <v/>
      </c>
      <c r="K803" s="3"/>
      <c r="L803" t="str">
        <f t="shared" ca="1" si="156"/>
        <v/>
      </c>
      <c r="M803" s="132" t="str">
        <f t="shared" ca="1" si="157"/>
        <v/>
      </c>
      <c r="N803" s="132" t="str">
        <f t="shared" ca="1" si="158"/>
        <v/>
      </c>
      <c r="P803" t="str">
        <f t="shared" ca="1" si="159"/>
        <v/>
      </c>
      <c r="Q803" s="133" t="str">
        <f t="shared" ca="1" si="160"/>
        <v/>
      </c>
      <c r="R803" s="133" t="str">
        <f t="shared" ca="1" si="161"/>
        <v/>
      </c>
      <c r="T803" t="str">
        <f t="shared" ca="1" si="162"/>
        <v/>
      </c>
      <c r="U803" s="134" t="str">
        <f t="shared" ca="1" si="163"/>
        <v/>
      </c>
    </row>
    <row r="804" spans="1:21" x14ac:dyDescent="0.3">
      <c r="A804" s="151" t="str">
        <f ca="1">Returns!$A$802</f>
        <v/>
      </c>
      <c r="B804" s="152" t="str">
        <f ca="1">IF($A804="","",Returns!$J$802)</f>
        <v/>
      </c>
      <c r="C804" s="153" t="str">
        <f t="shared" ca="1" si="164"/>
        <v/>
      </c>
      <c r="D804" s="153" t="str">
        <f ca="1">IF($A804="","",MAX($C$7:C804))</f>
        <v/>
      </c>
      <c r="E804" s="154" t="str">
        <f t="shared" ca="1" si="165"/>
        <v/>
      </c>
      <c r="F804" s="152" t="str">
        <f ca="1">IF($A804="","",Returns!$I$802)</f>
        <v/>
      </c>
      <c r="G804" s="153" t="str">
        <f t="shared" ca="1" si="166"/>
        <v/>
      </c>
      <c r="H804" s="153" t="str">
        <f ca="1">IF($A804="","",MAX($G$7:G804))</f>
        <v/>
      </c>
      <c r="I804" s="154" t="str">
        <f t="shared" ca="1" si="167"/>
        <v/>
      </c>
      <c r="J804" s="59" t="str">
        <f t="shared" ca="1" si="168"/>
        <v/>
      </c>
      <c r="K804" s="3"/>
      <c r="L804" t="str">
        <f t="shared" ca="1" si="156"/>
        <v/>
      </c>
      <c r="M804" s="132" t="str">
        <f t="shared" ca="1" si="157"/>
        <v/>
      </c>
      <c r="N804" s="132" t="str">
        <f t="shared" ca="1" si="158"/>
        <v/>
      </c>
      <c r="P804" t="str">
        <f t="shared" ca="1" si="159"/>
        <v/>
      </c>
      <c r="Q804" s="133" t="str">
        <f t="shared" ca="1" si="160"/>
        <v/>
      </c>
      <c r="R804" s="133" t="str">
        <f t="shared" ca="1" si="161"/>
        <v/>
      </c>
      <c r="T804" t="str">
        <f t="shared" ca="1" si="162"/>
        <v/>
      </c>
      <c r="U804" s="134" t="str">
        <f t="shared" ca="1" si="163"/>
        <v/>
      </c>
    </row>
    <row r="805" spans="1:21" x14ac:dyDescent="0.3">
      <c r="A805" s="151" t="str">
        <f ca="1">Returns!$A$803</f>
        <v/>
      </c>
      <c r="B805" s="152" t="str">
        <f ca="1">IF($A805="","",Returns!$J$803)</f>
        <v/>
      </c>
      <c r="C805" s="153" t="str">
        <f t="shared" ca="1" si="164"/>
        <v/>
      </c>
      <c r="D805" s="153" t="str">
        <f ca="1">IF($A805="","",MAX($C$7:C805))</f>
        <v/>
      </c>
      <c r="E805" s="154" t="str">
        <f t="shared" ca="1" si="165"/>
        <v/>
      </c>
      <c r="F805" s="152" t="str">
        <f ca="1">IF($A805="","",Returns!$I$803)</f>
        <v/>
      </c>
      <c r="G805" s="153" t="str">
        <f t="shared" ca="1" si="166"/>
        <v/>
      </c>
      <c r="H805" s="153" t="str">
        <f ca="1">IF($A805="","",MAX($G$7:G805))</f>
        <v/>
      </c>
      <c r="I805" s="154" t="str">
        <f t="shared" ca="1" si="167"/>
        <v/>
      </c>
      <c r="J805" s="59" t="str">
        <f t="shared" ca="1" si="168"/>
        <v/>
      </c>
      <c r="K805" s="3"/>
      <c r="L805" t="str">
        <f t="shared" ca="1" si="156"/>
        <v/>
      </c>
      <c r="M805" s="132" t="str">
        <f t="shared" ca="1" si="157"/>
        <v/>
      </c>
      <c r="N805" s="132" t="str">
        <f t="shared" ca="1" si="158"/>
        <v/>
      </c>
      <c r="P805" t="str">
        <f t="shared" ca="1" si="159"/>
        <v/>
      </c>
      <c r="Q805" s="133" t="str">
        <f t="shared" ca="1" si="160"/>
        <v/>
      </c>
      <c r="R805" s="133" t="str">
        <f t="shared" ca="1" si="161"/>
        <v/>
      </c>
      <c r="T805" t="str">
        <f t="shared" ca="1" si="162"/>
        <v/>
      </c>
      <c r="U805" s="134" t="str">
        <f t="shared" ca="1" si="163"/>
        <v/>
      </c>
    </row>
    <row r="806" spans="1:21" x14ac:dyDescent="0.3">
      <c r="A806" s="151" t="str">
        <f ca="1">Returns!$A$804</f>
        <v/>
      </c>
      <c r="B806" s="152" t="str">
        <f ca="1">IF($A806="","",Returns!$J$804)</f>
        <v/>
      </c>
      <c r="C806" s="153" t="str">
        <f t="shared" ca="1" si="164"/>
        <v/>
      </c>
      <c r="D806" s="153" t="str">
        <f ca="1">IF($A806="","",MAX($C$7:C806))</f>
        <v/>
      </c>
      <c r="E806" s="154" t="str">
        <f t="shared" ca="1" si="165"/>
        <v/>
      </c>
      <c r="F806" s="152" t="str">
        <f ca="1">IF($A806="","",Returns!$I$804)</f>
        <v/>
      </c>
      <c r="G806" s="153" t="str">
        <f t="shared" ca="1" si="166"/>
        <v/>
      </c>
      <c r="H806" s="153" t="str">
        <f ca="1">IF($A806="","",MAX($G$7:G806))</f>
        <v/>
      </c>
      <c r="I806" s="154" t="str">
        <f t="shared" ca="1" si="167"/>
        <v/>
      </c>
      <c r="J806" s="59" t="str">
        <f t="shared" ca="1" si="168"/>
        <v/>
      </c>
      <c r="K806" s="3"/>
      <c r="L806" t="str">
        <f t="shared" ca="1" si="156"/>
        <v/>
      </c>
      <c r="M806" s="132" t="str">
        <f t="shared" ca="1" si="157"/>
        <v/>
      </c>
      <c r="N806" s="132" t="str">
        <f t="shared" ca="1" si="158"/>
        <v/>
      </c>
      <c r="P806" t="str">
        <f t="shared" ca="1" si="159"/>
        <v/>
      </c>
      <c r="Q806" s="133" t="str">
        <f t="shared" ca="1" si="160"/>
        <v/>
      </c>
      <c r="R806" s="133" t="str">
        <f t="shared" ca="1" si="161"/>
        <v/>
      </c>
      <c r="T806" t="str">
        <f t="shared" ca="1" si="162"/>
        <v/>
      </c>
      <c r="U806" s="134" t="str">
        <f t="shared" ca="1" si="163"/>
        <v/>
      </c>
    </row>
    <row r="807" spans="1:21" x14ac:dyDescent="0.3">
      <c r="A807" s="151" t="str">
        <f ca="1">Returns!$A$805</f>
        <v/>
      </c>
      <c r="B807" s="152" t="str">
        <f ca="1">IF($A807="","",Returns!$J$805)</f>
        <v/>
      </c>
      <c r="C807" s="153" t="str">
        <f t="shared" ca="1" si="164"/>
        <v/>
      </c>
      <c r="D807" s="153" t="str">
        <f ca="1">IF($A807="","",MAX($C$7:C807))</f>
        <v/>
      </c>
      <c r="E807" s="154" t="str">
        <f t="shared" ca="1" si="165"/>
        <v/>
      </c>
      <c r="F807" s="152" t="str">
        <f ca="1">IF($A807="","",Returns!$I$805)</f>
        <v/>
      </c>
      <c r="G807" s="153" t="str">
        <f t="shared" ca="1" si="166"/>
        <v/>
      </c>
      <c r="H807" s="153" t="str">
        <f ca="1">IF($A807="","",MAX($G$7:G807))</f>
        <v/>
      </c>
      <c r="I807" s="154" t="str">
        <f t="shared" ca="1" si="167"/>
        <v/>
      </c>
      <c r="J807" s="59" t="str">
        <f t="shared" ca="1" si="168"/>
        <v/>
      </c>
      <c r="K807" s="3"/>
      <c r="L807" t="str">
        <f t="shared" ca="1" si="156"/>
        <v/>
      </c>
      <c r="M807" s="132" t="str">
        <f t="shared" ca="1" si="157"/>
        <v/>
      </c>
      <c r="N807" s="132" t="str">
        <f t="shared" ca="1" si="158"/>
        <v/>
      </c>
      <c r="P807" t="str">
        <f t="shared" ca="1" si="159"/>
        <v/>
      </c>
      <c r="Q807" s="133" t="str">
        <f t="shared" ca="1" si="160"/>
        <v/>
      </c>
      <c r="R807" s="133" t="str">
        <f t="shared" ca="1" si="161"/>
        <v/>
      </c>
      <c r="T807" t="str">
        <f t="shared" ca="1" si="162"/>
        <v/>
      </c>
      <c r="U807" s="134" t="str">
        <f t="shared" ca="1" si="163"/>
        <v/>
      </c>
    </row>
    <row r="808" spans="1:21" x14ac:dyDescent="0.3">
      <c r="A808" s="151" t="str">
        <f ca="1">Returns!$A$806</f>
        <v/>
      </c>
      <c r="B808" s="152" t="str">
        <f ca="1">IF($A808="","",Returns!$J$806)</f>
        <v/>
      </c>
      <c r="C808" s="153" t="str">
        <f t="shared" ca="1" si="164"/>
        <v/>
      </c>
      <c r="D808" s="153" t="str">
        <f ca="1">IF($A808="","",MAX($C$7:C808))</f>
        <v/>
      </c>
      <c r="E808" s="154" t="str">
        <f t="shared" ca="1" si="165"/>
        <v/>
      </c>
      <c r="F808" s="152" t="str">
        <f ca="1">IF($A808="","",Returns!$I$806)</f>
        <v/>
      </c>
      <c r="G808" s="153" t="str">
        <f t="shared" ca="1" si="166"/>
        <v/>
      </c>
      <c r="H808" s="153" t="str">
        <f ca="1">IF($A808="","",MAX($G$7:G808))</f>
        <v/>
      </c>
      <c r="I808" s="154" t="str">
        <f t="shared" ca="1" si="167"/>
        <v/>
      </c>
      <c r="J808" s="59" t="str">
        <f t="shared" ca="1" si="168"/>
        <v/>
      </c>
      <c r="K808" s="3"/>
      <c r="L808" t="str">
        <f t="shared" ca="1" si="156"/>
        <v/>
      </c>
      <c r="M808" s="132" t="str">
        <f t="shared" ca="1" si="157"/>
        <v/>
      </c>
      <c r="N808" s="132" t="str">
        <f t="shared" ca="1" si="158"/>
        <v/>
      </c>
      <c r="P808" t="str">
        <f t="shared" ca="1" si="159"/>
        <v/>
      </c>
      <c r="Q808" s="133" t="str">
        <f t="shared" ca="1" si="160"/>
        <v/>
      </c>
      <c r="R808" s="133" t="str">
        <f t="shared" ca="1" si="161"/>
        <v/>
      </c>
      <c r="T808" t="str">
        <f t="shared" ca="1" si="162"/>
        <v/>
      </c>
      <c r="U808" s="134" t="str">
        <f t="shared" ca="1" si="163"/>
        <v/>
      </c>
    </row>
    <row r="809" spans="1:21" x14ac:dyDescent="0.3">
      <c r="A809" s="151" t="str">
        <f ca="1">Returns!$A$807</f>
        <v/>
      </c>
      <c r="B809" s="152" t="str">
        <f ca="1">IF($A809="","",Returns!$J$807)</f>
        <v/>
      </c>
      <c r="C809" s="153" t="str">
        <f t="shared" ca="1" si="164"/>
        <v/>
      </c>
      <c r="D809" s="153" t="str">
        <f ca="1">IF($A809="","",MAX($C$7:C809))</f>
        <v/>
      </c>
      <c r="E809" s="154" t="str">
        <f t="shared" ca="1" si="165"/>
        <v/>
      </c>
      <c r="F809" s="152" t="str">
        <f ca="1">IF($A809="","",Returns!$I$807)</f>
        <v/>
      </c>
      <c r="G809" s="153" t="str">
        <f t="shared" ca="1" si="166"/>
        <v/>
      </c>
      <c r="H809" s="153" t="str">
        <f ca="1">IF($A809="","",MAX($G$7:G809))</f>
        <v/>
      </c>
      <c r="I809" s="154" t="str">
        <f t="shared" ca="1" si="167"/>
        <v/>
      </c>
      <c r="J809" s="59" t="str">
        <f t="shared" ca="1" si="168"/>
        <v/>
      </c>
      <c r="K809" s="3"/>
      <c r="L809" t="str">
        <f t="shared" ca="1" si="156"/>
        <v/>
      </c>
      <c r="M809" s="132" t="str">
        <f t="shared" ca="1" si="157"/>
        <v/>
      </c>
      <c r="N809" s="132" t="str">
        <f t="shared" ca="1" si="158"/>
        <v/>
      </c>
      <c r="P809" t="str">
        <f t="shared" ca="1" si="159"/>
        <v/>
      </c>
      <c r="Q809" s="133" t="str">
        <f t="shared" ca="1" si="160"/>
        <v/>
      </c>
      <c r="R809" s="133" t="str">
        <f t="shared" ca="1" si="161"/>
        <v/>
      </c>
      <c r="T809" t="str">
        <f t="shared" ca="1" si="162"/>
        <v/>
      </c>
      <c r="U809" s="134" t="str">
        <f t="shared" ca="1" si="163"/>
        <v/>
      </c>
    </row>
    <row r="810" spans="1:21" x14ac:dyDescent="0.3">
      <c r="A810" s="151" t="str">
        <f ca="1">Returns!$A$808</f>
        <v/>
      </c>
      <c r="B810" s="152" t="str">
        <f ca="1">IF($A810="","",Returns!$J$808)</f>
        <v/>
      </c>
      <c r="C810" s="153" t="str">
        <f t="shared" ca="1" si="164"/>
        <v/>
      </c>
      <c r="D810" s="153" t="str">
        <f ca="1">IF($A810="","",MAX($C$7:C810))</f>
        <v/>
      </c>
      <c r="E810" s="154" t="str">
        <f t="shared" ca="1" si="165"/>
        <v/>
      </c>
      <c r="F810" s="152" t="str">
        <f ca="1">IF($A810="","",Returns!$I$808)</f>
        <v/>
      </c>
      <c r="G810" s="153" t="str">
        <f t="shared" ca="1" si="166"/>
        <v/>
      </c>
      <c r="H810" s="153" t="str">
        <f ca="1">IF($A810="","",MAX($G$7:G810))</f>
        <v/>
      </c>
      <c r="I810" s="154" t="str">
        <f t="shared" ca="1" si="167"/>
        <v/>
      </c>
      <c r="J810" s="59" t="str">
        <f t="shared" ca="1" si="168"/>
        <v/>
      </c>
      <c r="K810" s="3"/>
      <c r="L810" t="str">
        <f t="shared" ca="1" si="156"/>
        <v/>
      </c>
      <c r="M810" s="132" t="str">
        <f t="shared" ca="1" si="157"/>
        <v/>
      </c>
      <c r="N810" s="132" t="str">
        <f t="shared" ca="1" si="158"/>
        <v/>
      </c>
      <c r="P810" t="str">
        <f t="shared" ca="1" si="159"/>
        <v/>
      </c>
      <c r="Q810" s="133" t="str">
        <f t="shared" ca="1" si="160"/>
        <v/>
      </c>
      <c r="R810" s="133" t="str">
        <f t="shared" ca="1" si="161"/>
        <v/>
      </c>
      <c r="T810" t="str">
        <f t="shared" ca="1" si="162"/>
        <v/>
      </c>
      <c r="U810" s="134" t="str">
        <f t="shared" ca="1" si="163"/>
        <v/>
      </c>
    </row>
    <row r="811" spans="1:21" x14ac:dyDescent="0.3">
      <c r="A811" s="151" t="str">
        <f ca="1">Returns!$A$809</f>
        <v/>
      </c>
      <c r="B811" s="152" t="str">
        <f ca="1">IF($A811="","",Returns!$J$809)</f>
        <v/>
      </c>
      <c r="C811" s="153" t="str">
        <f t="shared" ca="1" si="164"/>
        <v/>
      </c>
      <c r="D811" s="153" t="str">
        <f ca="1">IF($A811="","",MAX($C$7:C811))</f>
        <v/>
      </c>
      <c r="E811" s="154" t="str">
        <f t="shared" ca="1" si="165"/>
        <v/>
      </c>
      <c r="F811" s="152" t="str">
        <f ca="1">IF($A811="","",Returns!$I$809)</f>
        <v/>
      </c>
      <c r="G811" s="153" t="str">
        <f t="shared" ca="1" si="166"/>
        <v/>
      </c>
      <c r="H811" s="153" t="str">
        <f ca="1">IF($A811="","",MAX($G$7:G811))</f>
        <v/>
      </c>
      <c r="I811" s="154" t="str">
        <f t="shared" ca="1" si="167"/>
        <v/>
      </c>
      <c r="J811" s="59" t="str">
        <f t="shared" ca="1" si="168"/>
        <v/>
      </c>
      <c r="K811" s="3"/>
      <c r="L811" t="str">
        <f t="shared" ca="1" si="156"/>
        <v/>
      </c>
      <c r="M811" s="132" t="str">
        <f t="shared" ca="1" si="157"/>
        <v/>
      </c>
      <c r="N811" s="132" t="str">
        <f t="shared" ca="1" si="158"/>
        <v/>
      </c>
      <c r="P811" t="str">
        <f t="shared" ca="1" si="159"/>
        <v/>
      </c>
      <c r="Q811" s="133" t="str">
        <f t="shared" ca="1" si="160"/>
        <v/>
      </c>
      <c r="R811" s="133" t="str">
        <f t="shared" ca="1" si="161"/>
        <v/>
      </c>
      <c r="T811" t="str">
        <f t="shared" ca="1" si="162"/>
        <v/>
      </c>
      <c r="U811" s="134" t="str">
        <f t="shared" ca="1" si="163"/>
        <v/>
      </c>
    </row>
    <row r="812" spans="1:21" x14ac:dyDescent="0.3">
      <c r="A812" s="151" t="str">
        <f ca="1">Returns!$A$810</f>
        <v/>
      </c>
      <c r="B812" s="152" t="str">
        <f ca="1">IF($A812="","",Returns!$J$810)</f>
        <v/>
      </c>
      <c r="C812" s="153" t="str">
        <f t="shared" ca="1" si="164"/>
        <v/>
      </c>
      <c r="D812" s="153" t="str">
        <f ca="1">IF($A812="","",MAX($C$7:C812))</f>
        <v/>
      </c>
      <c r="E812" s="154" t="str">
        <f t="shared" ca="1" si="165"/>
        <v/>
      </c>
      <c r="F812" s="152" t="str">
        <f ca="1">IF($A812="","",Returns!$I$810)</f>
        <v/>
      </c>
      <c r="G812" s="153" t="str">
        <f t="shared" ca="1" si="166"/>
        <v/>
      </c>
      <c r="H812" s="153" t="str">
        <f ca="1">IF($A812="","",MAX($G$7:G812))</f>
        <v/>
      </c>
      <c r="I812" s="154" t="str">
        <f t="shared" ca="1" si="167"/>
        <v/>
      </c>
      <c r="J812" s="59" t="str">
        <f t="shared" ca="1" si="168"/>
        <v/>
      </c>
      <c r="K812" s="3"/>
      <c r="L812" t="str">
        <f t="shared" ca="1" si="156"/>
        <v/>
      </c>
      <c r="M812" s="132" t="str">
        <f t="shared" ca="1" si="157"/>
        <v/>
      </c>
      <c r="N812" s="132" t="str">
        <f t="shared" ca="1" si="158"/>
        <v/>
      </c>
      <c r="P812" t="str">
        <f t="shared" ca="1" si="159"/>
        <v/>
      </c>
      <c r="Q812" s="133" t="str">
        <f t="shared" ca="1" si="160"/>
        <v/>
      </c>
      <c r="R812" s="133" t="str">
        <f t="shared" ca="1" si="161"/>
        <v/>
      </c>
      <c r="T812" t="str">
        <f t="shared" ca="1" si="162"/>
        <v/>
      </c>
      <c r="U812" s="134" t="str">
        <f t="shared" ca="1" si="163"/>
        <v/>
      </c>
    </row>
    <row r="813" spans="1:21" x14ac:dyDescent="0.3">
      <c r="A813" s="151" t="str">
        <f ca="1">Returns!$A$811</f>
        <v/>
      </c>
      <c r="B813" s="152" t="str">
        <f ca="1">IF($A813="","",Returns!$J$811)</f>
        <v/>
      </c>
      <c r="C813" s="153" t="str">
        <f t="shared" ca="1" si="164"/>
        <v/>
      </c>
      <c r="D813" s="153" t="str">
        <f ca="1">IF($A813="","",MAX($C$7:C813))</f>
        <v/>
      </c>
      <c r="E813" s="154" t="str">
        <f t="shared" ca="1" si="165"/>
        <v/>
      </c>
      <c r="F813" s="152" t="str">
        <f ca="1">IF($A813="","",Returns!$I$811)</f>
        <v/>
      </c>
      <c r="G813" s="153" t="str">
        <f t="shared" ca="1" si="166"/>
        <v/>
      </c>
      <c r="H813" s="153" t="str">
        <f ca="1">IF($A813="","",MAX($G$7:G813))</f>
        <v/>
      </c>
      <c r="I813" s="154" t="str">
        <f t="shared" ca="1" si="167"/>
        <v/>
      </c>
      <c r="J813" s="59" t="str">
        <f t="shared" ca="1" si="168"/>
        <v/>
      </c>
      <c r="K813" s="3"/>
      <c r="L813" t="str">
        <f t="shared" ca="1" si="156"/>
        <v/>
      </c>
      <c r="M813" s="132" t="str">
        <f t="shared" ca="1" si="157"/>
        <v/>
      </c>
      <c r="N813" s="132" t="str">
        <f t="shared" ca="1" si="158"/>
        <v/>
      </c>
      <c r="P813" t="str">
        <f t="shared" ca="1" si="159"/>
        <v/>
      </c>
      <c r="Q813" s="133" t="str">
        <f t="shared" ca="1" si="160"/>
        <v/>
      </c>
      <c r="R813" s="133" t="str">
        <f t="shared" ca="1" si="161"/>
        <v/>
      </c>
      <c r="T813" t="str">
        <f t="shared" ca="1" si="162"/>
        <v/>
      </c>
      <c r="U813" s="134" t="str">
        <f t="shared" ca="1" si="163"/>
        <v/>
      </c>
    </row>
    <row r="814" spans="1:21" x14ac:dyDescent="0.3">
      <c r="A814" s="151" t="str">
        <f ca="1">Returns!$A$812</f>
        <v/>
      </c>
      <c r="B814" s="152" t="str">
        <f ca="1">IF($A814="","",Returns!$J$812)</f>
        <v/>
      </c>
      <c r="C814" s="153" t="str">
        <f t="shared" ca="1" si="164"/>
        <v/>
      </c>
      <c r="D814" s="153" t="str">
        <f ca="1">IF($A814="","",MAX($C$7:C814))</f>
        <v/>
      </c>
      <c r="E814" s="154" t="str">
        <f t="shared" ca="1" si="165"/>
        <v/>
      </c>
      <c r="F814" s="152" t="str">
        <f ca="1">IF($A814="","",Returns!$I$812)</f>
        <v/>
      </c>
      <c r="G814" s="153" t="str">
        <f t="shared" ca="1" si="166"/>
        <v/>
      </c>
      <c r="H814" s="153" t="str">
        <f ca="1">IF($A814="","",MAX($G$7:G814))</f>
        <v/>
      </c>
      <c r="I814" s="154" t="str">
        <f t="shared" ca="1" si="167"/>
        <v/>
      </c>
      <c r="J814" s="59" t="str">
        <f t="shared" ca="1" si="168"/>
        <v/>
      </c>
      <c r="K814" s="3"/>
      <c r="L814" t="str">
        <f t="shared" ca="1" si="156"/>
        <v/>
      </c>
      <c r="M814" s="132" t="str">
        <f t="shared" ca="1" si="157"/>
        <v/>
      </c>
      <c r="N814" s="132" t="str">
        <f t="shared" ca="1" si="158"/>
        <v/>
      </c>
      <c r="P814" t="str">
        <f t="shared" ca="1" si="159"/>
        <v/>
      </c>
      <c r="Q814" s="133" t="str">
        <f t="shared" ca="1" si="160"/>
        <v/>
      </c>
      <c r="R814" s="133" t="str">
        <f t="shared" ca="1" si="161"/>
        <v/>
      </c>
      <c r="T814" t="str">
        <f t="shared" ca="1" si="162"/>
        <v/>
      </c>
      <c r="U814" s="134" t="str">
        <f t="shared" ca="1" si="163"/>
        <v/>
      </c>
    </row>
    <row r="815" spans="1:21" x14ac:dyDescent="0.3">
      <c r="A815" s="151" t="str">
        <f ca="1">Returns!$A$813</f>
        <v/>
      </c>
      <c r="B815" s="152" t="str">
        <f ca="1">IF($A815="","",Returns!$J$813)</f>
        <v/>
      </c>
      <c r="C815" s="153" t="str">
        <f t="shared" ca="1" si="164"/>
        <v/>
      </c>
      <c r="D815" s="153" t="str">
        <f ca="1">IF($A815="","",MAX($C$7:C815))</f>
        <v/>
      </c>
      <c r="E815" s="154" t="str">
        <f t="shared" ca="1" si="165"/>
        <v/>
      </c>
      <c r="F815" s="152" t="str">
        <f ca="1">IF($A815="","",Returns!$I$813)</f>
        <v/>
      </c>
      <c r="G815" s="153" t="str">
        <f t="shared" ca="1" si="166"/>
        <v/>
      </c>
      <c r="H815" s="153" t="str">
        <f ca="1">IF($A815="","",MAX($G$7:G815))</f>
        <v/>
      </c>
      <c r="I815" s="154" t="str">
        <f t="shared" ca="1" si="167"/>
        <v/>
      </c>
      <c r="J815" s="59" t="str">
        <f t="shared" ca="1" si="168"/>
        <v/>
      </c>
      <c r="K815" s="3"/>
      <c r="L815" t="str">
        <f t="shared" ca="1" si="156"/>
        <v/>
      </c>
      <c r="M815" s="132" t="str">
        <f t="shared" ca="1" si="157"/>
        <v/>
      </c>
      <c r="N815" s="132" t="str">
        <f t="shared" ca="1" si="158"/>
        <v/>
      </c>
      <c r="P815" t="str">
        <f t="shared" ca="1" si="159"/>
        <v/>
      </c>
      <c r="Q815" s="133" t="str">
        <f t="shared" ca="1" si="160"/>
        <v/>
      </c>
      <c r="R815" s="133" t="str">
        <f t="shared" ca="1" si="161"/>
        <v/>
      </c>
      <c r="T815" t="str">
        <f t="shared" ca="1" si="162"/>
        <v/>
      </c>
      <c r="U815" s="134" t="str">
        <f t="shared" ca="1" si="163"/>
        <v/>
      </c>
    </row>
    <row r="816" spans="1:21" x14ac:dyDescent="0.3">
      <c r="A816" s="151" t="str">
        <f ca="1">Returns!$A$814</f>
        <v/>
      </c>
      <c r="B816" s="152" t="str">
        <f ca="1">IF($A816="","",Returns!$J$814)</f>
        <v/>
      </c>
      <c r="C816" s="153" t="str">
        <f t="shared" ca="1" si="164"/>
        <v/>
      </c>
      <c r="D816" s="153" t="str">
        <f ca="1">IF($A816="","",MAX($C$7:C816))</f>
        <v/>
      </c>
      <c r="E816" s="154" t="str">
        <f t="shared" ca="1" si="165"/>
        <v/>
      </c>
      <c r="F816" s="152" t="str">
        <f ca="1">IF($A816="","",Returns!$I$814)</f>
        <v/>
      </c>
      <c r="G816" s="153" t="str">
        <f t="shared" ca="1" si="166"/>
        <v/>
      </c>
      <c r="H816" s="153" t="str">
        <f ca="1">IF($A816="","",MAX($G$7:G816))</f>
        <v/>
      </c>
      <c r="I816" s="154" t="str">
        <f t="shared" ca="1" si="167"/>
        <v/>
      </c>
      <c r="J816" s="59" t="str">
        <f t="shared" ca="1" si="168"/>
        <v/>
      </c>
      <c r="K816" s="3"/>
      <c r="L816" t="str">
        <f t="shared" ca="1" si="156"/>
        <v/>
      </c>
      <c r="M816" s="132" t="str">
        <f t="shared" ca="1" si="157"/>
        <v/>
      </c>
      <c r="N816" s="132" t="str">
        <f t="shared" ca="1" si="158"/>
        <v/>
      </c>
      <c r="P816" t="str">
        <f t="shared" ca="1" si="159"/>
        <v/>
      </c>
      <c r="Q816" s="133" t="str">
        <f t="shared" ca="1" si="160"/>
        <v/>
      </c>
      <c r="R816" s="133" t="str">
        <f t="shared" ca="1" si="161"/>
        <v/>
      </c>
      <c r="T816" t="str">
        <f t="shared" ca="1" si="162"/>
        <v/>
      </c>
      <c r="U816" s="134" t="str">
        <f t="shared" ca="1" si="163"/>
        <v/>
      </c>
    </row>
    <row r="817" spans="1:21" x14ac:dyDescent="0.3">
      <c r="A817" s="151" t="str">
        <f ca="1">Returns!$A$815</f>
        <v/>
      </c>
      <c r="B817" s="152" t="str">
        <f ca="1">IF($A817="","",Returns!$J$815)</f>
        <v/>
      </c>
      <c r="C817" s="153" t="str">
        <f t="shared" ca="1" si="164"/>
        <v/>
      </c>
      <c r="D817" s="153" t="str">
        <f ca="1">IF($A817="","",MAX($C$7:C817))</f>
        <v/>
      </c>
      <c r="E817" s="154" t="str">
        <f t="shared" ca="1" si="165"/>
        <v/>
      </c>
      <c r="F817" s="152" t="str">
        <f ca="1">IF($A817="","",Returns!$I$815)</f>
        <v/>
      </c>
      <c r="G817" s="153" t="str">
        <f t="shared" ca="1" si="166"/>
        <v/>
      </c>
      <c r="H817" s="153" t="str">
        <f ca="1">IF($A817="","",MAX($G$7:G817))</f>
        <v/>
      </c>
      <c r="I817" s="154" t="str">
        <f t="shared" ca="1" si="167"/>
        <v/>
      </c>
      <c r="J817" s="59" t="str">
        <f t="shared" ca="1" si="168"/>
        <v/>
      </c>
      <c r="K817" s="3"/>
      <c r="L817" t="str">
        <f t="shared" ca="1" si="156"/>
        <v/>
      </c>
      <c r="M817" s="132" t="str">
        <f t="shared" ca="1" si="157"/>
        <v/>
      </c>
      <c r="N817" s="132" t="str">
        <f t="shared" ca="1" si="158"/>
        <v/>
      </c>
      <c r="P817" t="str">
        <f t="shared" ca="1" si="159"/>
        <v/>
      </c>
      <c r="Q817" s="133" t="str">
        <f t="shared" ca="1" si="160"/>
        <v/>
      </c>
      <c r="R817" s="133" t="str">
        <f t="shared" ca="1" si="161"/>
        <v/>
      </c>
      <c r="T817" t="str">
        <f t="shared" ca="1" si="162"/>
        <v/>
      </c>
      <c r="U817" s="134" t="str">
        <f t="shared" ca="1" si="163"/>
        <v/>
      </c>
    </row>
    <row r="818" spans="1:21" x14ac:dyDescent="0.3">
      <c r="A818" s="151" t="str">
        <f ca="1">Returns!$A$816</f>
        <v/>
      </c>
      <c r="B818" s="152" t="str">
        <f ca="1">IF($A818="","",Returns!$J$816)</f>
        <v/>
      </c>
      <c r="C818" s="153" t="str">
        <f t="shared" ca="1" si="164"/>
        <v/>
      </c>
      <c r="D818" s="153" t="str">
        <f ca="1">IF($A818="","",MAX($C$7:C818))</f>
        <v/>
      </c>
      <c r="E818" s="154" t="str">
        <f t="shared" ca="1" si="165"/>
        <v/>
      </c>
      <c r="F818" s="152" t="str">
        <f ca="1">IF($A818="","",Returns!$I$816)</f>
        <v/>
      </c>
      <c r="G818" s="153" t="str">
        <f t="shared" ca="1" si="166"/>
        <v/>
      </c>
      <c r="H818" s="153" t="str">
        <f ca="1">IF($A818="","",MAX($G$7:G818))</f>
        <v/>
      </c>
      <c r="I818" s="154" t="str">
        <f t="shared" ca="1" si="167"/>
        <v/>
      </c>
      <c r="J818" s="59" t="str">
        <f t="shared" ca="1" si="168"/>
        <v/>
      </c>
      <c r="K818" s="3"/>
      <c r="L818" t="str">
        <f t="shared" ca="1" si="156"/>
        <v/>
      </c>
      <c r="M818" s="132" t="str">
        <f t="shared" ca="1" si="157"/>
        <v/>
      </c>
      <c r="N818" s="132" t="str">
        <f t="shared" ca="1" si="158"/>
        <v/>
      </c>
      <c r="P818" t="str">
        <f t="shared" ca="1" si="159"/>
        <v/>
      </c>
      <c r="Q818" s="133" t="str">
        <f t="shared" ca="1" si="160"/>
        <v/>
      </c>
      <c r="R818" s="133" t="str">
        <f t="shared" ca="1" si="161"/>
        <v/>
      </c>
      <c r="T818" t="str">
        <f t="shared" ca="1" si="162"/>
        <v/>
      </c>
      <c r="U818" s="134" t="str">
        <f t="shared" ca="1" si="163"/>
        <v/>
      </c>
    </row>
    <row r="819" spans="1:21" x14ac:dyDescent="0.3">
      <c r="A819" s="151" t="str">
        <f ca="1">Returns!$A$817</f>
        <v/>
      </c>
      <c r="B819" s="152" t="str">
        <f ca="1">IF($A819="","",Returns!$J$817)</f>
        <v/>
      </c>
      <c r="C819" s="153" t="str">
        <f t="shared" ca="1" si="164"/>
        <v/>
      </c>
      <c r="D819" s="153" t="str">
        <f ca="1">IF($A819="","",MAX($C$7:C819))</f>
        <v/>
      </c>
      <c r="E819" s="154" t="str">
        <f t="shared" ca="1" si="165"/>
        <v/>
      </c>
      <c r="F819" s="152" t="str">
        <f ca="1">IF($A819="","",Returns!$I$817)</f>
        <v/>
      </c>
      <c r="G819" s="153" t="str">
        <f t="shared" ca="1" si="166"/>
        <v/>
      </c>
      <c r="H819" s="153" t="str">
        <f ca="1">IF($A819="","",MAX($G$7:G819))</f>
        <v/>
      </c>
      <c r="I819" s="154" t="str">
        <f t="shared" ca="1" si="167"/>
        <v/>
      </c>
      <c r="J819" s="59" t="str">
        <f t="shared" ca="1" si="168"/>
        <v/>
      </c>
      <c r="K819" s="3"/>
      <c r="L819" t="str">
        <f t="shared" ca="1" si="156"/>
        <v/>
      </c>
      <c r="M819" s="132" t="str">
        <f t="shared" ca="1" si="157"/>
        <v/>
      </c>
      <c r="N819" s="132" t="str">
        <f t="shared" ca="1" si="158"/>
        <v/>
      </c>
      <c r="P819" t="str">
        <f t="shared" ca="1" si="159"/>
        <v/>
      </c>
      <c r="Q819" s="133" t="str">
        <f t="shared" ca="1" si="160"/>
        <v/>
      </c>
      <c r="R819" s="133" t="str">
        <f t="shared" ca="1" si="161"/>
        <v/>
      </c>
      <c r="T819" t="str">
        <f t="shared" ca="1" si="162"/>
        <v/>
      </c>
      <c r="U819" s="134" t="str">
        <f t="shared" ca="1" si="163"/>
        <v/>
      </c>
    </row>
    <row r="820" spans="1:21" x14ac:dyDescent="0.3">
      <c r="A820" s="151" t="str">
        <f ca="1">Returns!$A$818</f>
        <v/>
      </c>
      <c r="B820" s="152" t="str">
        <f ca="1">IF($A820="","",Returns!$J$818)</f>
        <v/>
      </c>
      <c r="C820" s="153" t="str">
        <f t="shared" ca="1" si="164"/>
        <v/>
      </c>
      <c r="D820" s="153" t="str">
        <f ca="1">IF($A820="","",MAX($C$7:C820))</f>
        <v/>
      </c>
      <c r="E820" s="154" t="str">
        <f t="shared" ca="1" si="165"/>
        <v/>
      </c>
      <c r="F820" s="152" t="str">
        <f ca="1">IF($A820="","",Returns!$I$818)</f>
        <v/>
      </c>
      <c r="G820" s="153" t="str">
        <f t="shared" ca="1" si="166"/>
        <v/>
      </c>
      <c r="H820" s="153" t="str">
        <f ca="1">IF($A820="","",MAX($G$7:G820))</f>
        <v/>
      </c>
      <c r="I820" s="154" t="str">
        <f t="shared" ca="1" si="167"/>
        <v/>
      </c>
      <c r="J820" s="59" t="str">
        <f t="shared" ca="1" si="168"/>
        <v/>
      </c>
      <c r="K820" s="3"/>
      <c r="L820" t="str">
        <f t="shared" ca="1" si="156"/>
        <v/>
      </c>
      <c r="M820" s="132" t="str">
        <f t="shared" ca="1" si="157"/>
        <v/>
      </c>
      <c r="N820" s="132" t="str">
        <f t="shared" ca="1" si="158"/>
        <v/>
      </c>
      <c r="P820" t="str">
        <f t="shared" ca="1" si="159"/>
        <v/>
      </c>
      <c r="Q820" s="133" t="str">
        <f t="shared" ca="1" si="160"/>
        <v/>
      </c>
      <c r="R820" s="133" t="str">
        <f t="shared" ca="1" si="161"/>
        <v/>
      </c>
      <c r="T820" t="str">
        <f t="shared" ca="1" si="162"/>
        <v/>
      </c>
      <c r="U820" s="134" t="str">
        <f t="shared" ca="1" si="163"/>
        <v/>
      </c>
    </row>
    <row r="821" spans="1:21" x14ac:dyDescent="0.3">
      <c r="A821" s="151" t="str">
        <f ca="1">Returns!$A$819</f>
        <v/>
      </c>
      <c r="B821" s="152" t="str">
        <f ca="1">IF($A821="","",Returns!$J$819)</f>
        <v/>
      </c>
      <c r="C821" s="153" t="str">
        <f t="shared" ca="1" si="164"/>
        <v/>
      </c>
      <c r="D821" s="153" t="str">
        <f ca="1">IF($A821="","",MAX($C$7:C821))</f>
        <v/>
      </c>
      <c r="E821" s="154" t="str">
        <f t="shared" ca="1" si="165"/>
        <v/>
      </c>
      <c r="F821" s="152" t="str">
        <f ca="1">IF($A821="","",Returns!$I$819)</f>
        <v/>
      </c>
      <c r="G821" s="153" t="str">
        <f t="shared" ca="1" si="166"/>
        <v/>
      </c>
      <c r="H821" s="153" t="str">
        <f ca="1">IF($A821="","",MAX($G$7:G821))</f>
        <v/>
      </c>
      <c r="I821" s="154" t="str">
        <f t="shared" ca="1" si="167"/>
        <v/>
      </c>
      <c r="J821" s="59" t="str">
        <f t="shared" ca="1" si="168"/>
        <v/>
      </c>
      <c r="K821" s="3"/>
      <c r="L821" t="str">
        <f t="shared" ca="1" si="156"/>
        <v/>
      </c>
      <c r="M821" s="132" t="str">
        <f t="shared" ca="1" si="157"/>
        <v/>
      </c>
      <c r="N821" s="132" t="str">
        <f t="shared" ca="1" si="158"/>
        <v/>
      </c>
      <c r="P821" t="str">
        <f t="shared" ca="1" si="159"/>
        <v/>
      </c>
      <c r="Q821" s="133" t="str">
        <f t="shared" ca="1" si="160"/>
        <v/>
      </c>
      <c r="R821" s="133" t="str">
        <f t="shared" ca="1" si="161"/>
        <v/>
      </c>
      <c r="T821" t="str">
        <f t="shared" ca="1" si="162"/>
        <v/>
      </c>
      <c r="U821" s="134" t="str">
        <f t="shared" ca="1" si="163"/>
        <v/>
      </c>
    </row>
    <row r="822" spans="1:21" x14ac:dyDescent="0.3">
      <c r="A822" s="151" t="str">
        <f ca="1">Returns!$A$820</f>
        <v/>
      </c>
      <c r="B822" s="152" t="str">
        <f ca="1">IF($A822="","",Returns!$J$820)</f>
        <v/>
      </c>
      <c r="C822" s="153" t="str">
        <f t="shared" ca="1" si="164"/>
        <v/>
      </c>
      <c r="D822" s="153" t="str">
        <f ca="1">IF($A822="","",MAX($C$7:C822))</f>
        <v/>
      </c>
      <c r="E822" s="154" t="str">
        <f t="shared" ca="1" si="165"/>
        <v/>
      </c>
      <c r="F822" s="152" t="str">
        <f ca="1">IF($A822="","",Returns!$I$820)</f>
        <v/>
      </c>
      <c r="G822" s="153" t="str">
        <f t="shared" ca="1" si="166"/>
        <v/>
      </c>
      <c r="H822" s="153" t="str">
        <f ca="1">IF($A822="","",MAX($G$7:G822))</f>
        <v/>
      </c>
      <c r="I822" s="154" t="str">
        <f t="shared" ca="1" si="167"/>
        <v/>
      </c>
      <c r="J822" s="59" t="str">
        <f t="shared" ca="1" si="168"/>
        <v/>
      </c>
      <c r="K822" s="3"/>
      <c r="L822" t="str">
        <f t="shared" ca="1" si="156"/>
        <v/>
      </c>
      <c r="M822" s="132" t="str">
        <f t="shared" ca="1" si="157"/>
        <v/>
      </c>
      <c r="N822" s="132" t="str">
        <f t="shared" ca="1" si="158"/>
        <v/>
      </c>
      <c r="P822" t="str">
        <f t="shared" ca="1" si="159"/>
        <v/>
      </c>
      <c r="Q822" s="133" t="str">
        <f t="shared" ca="1" si="160"/>
        <v/>
      </c>
      <c r="R822" s="133" t="str">
        <f t="shared" ca="1" si="161"/>
        <v/>
      </c>
      <c r="T822" t="str">
        <f t="shared" ca="1" si="162"/>
        <v/>
      </c>
      <c r="U822" s="134" t="str">
        <f t="shared" ca="1" si="163"/>
        <v/>
      </c>
    </row>
    <row r="823" spans="1:21" x14ac:dyDescent="0.3">
      <c r="A823" s="151" t="str">
        <f ca="1">Returns!$A$821</f>
        <v/>
      </c>
      <c r="B823" s="152" t="str">
        <f ca="1">IF($A823="","",Returns!$J$821)</f>
        <v/>
      </c>
      <c r="C823" s="153" t="str">
        <f t="shared" ca="1" si="164"/>
        <v/>
      </c>
      <c r="D823" s="153" t="str">
        <f ca="1">IF($A823="","",MAX($C$7:C823))</f>
        <v/>
      </c>
      <c r="E823" s="154" t="str">
        <f t="shared" ca="1" si="165"/>
        <v/>
      </c>
      <c r="F823" s="152" t="str">
        <f ca="1">IF($A823="","",Returns!$I$821)</f>
        <v/>
      </c>
      <c r="G823" s="153" t="str">
        <f t="shared" ca="1" si="166"/>
        <v/>
      </c>
      <c r="H823" s="153" t="str">
        <f ca="1">IF($A823="","",MAX($G$7:G823))</f>
        <v/>
      </c>
      <c r="I823" s="154" t="str">
        <f t="shared" ca="1" si="167"/>
        <v/>
      </c>
      <c r="J823" s="59" t="str">
        <f t="shared" ca="1" si="168"/>
        <v/>
      </c>
      <c r="K823" s="3"/>
      <c r="L823" t="str">
        <f t="shared" ca="1" si="156"/>
        <v/>
      </c>
      <c r="M823" s="132" t="str">
        <f t="shared" ca="1" si="157"/>
        <v/>
      </c>
      <c r="N823" s="132" t="str">
        <f t="shared" ca="1" si="158"/>
        <v/>
      </c>
      <c r="P823" t="str">
        <f t="shared" ca="1" si="159"/>
        <v/>
      </c>
      <c r="Q823" s="133" t="str">
        <f t="shared" ca="1" si="160"/>
        <v/>
      </c>
      <c r="R823" s="133" t="str">
        <f t="shared" ca="1" si="161"/>
        <v/>
      </c>
      <c r="T823" t="str">
        <f t="shared" ca="1" si="162"/>
        <v/>
      </c>
      <c r="U823" s="134" t="str">
        <f t="shared" ca="1" si="163"/>
        <v/>
      </c>
    </row>
    <row r="824" spans="1:21" x14ac:dyDescent="0.3">
      <c r="A824" s="151" t="str">
        <f ca="1">Returns!$A$822</f>
        <v/>
      </c>
      <c r="B824" s="152" t="str">
        <f ca="1">IF($A824="","",Returns!$J$822)</f>
        <v/>
      </c>
      <c r="C824" s="153" t="str">
        <f t="shared" ca="1" si="164"/>
        <v/>
      </c>
      <c r="D824" s="153" t="str">
        <f ca="1">IF($A824="","",MAX($C$7:C824))</f>
        <v/>
      </c>
      <c r="E824" s="154" t="str">
        <f t="shared" ca="1" si="165"/>
        <v/>
      </c>
      <c r="F824" s="152" t="str">
        <f ca="1">IF($A824="","",Returns!$I$822)</f>
        <v/>
      </c>
      <c r="G824" s="153" t="str">
        <f t="shared" ca="1" si="166"/>
        <v/>
      </c>
      <c r="H824" s="153" t="str">
        <f ca="1">IF($A824="","",MAX($G$7:G824))</f>
        <v/>
      </c>
      <c r="I824" s="154" t="str">
        <f t="shared" ca="1" si="167"/>
        <v/>
      </c>
      <c r="J824" s="59" t="str">
        <f t="shared" ca="1" si="168"/>
        <v/>
      </c>
      <c r="K824" s="3"/>
      <c r="L824" t="str">
        <f t="shared" ca="1" si="156"/>
        <v/>
      </c>
      <c r="M824" s="132" t="str">
        <f t="shared" ca="1" si="157"/>
        <v/>
      </c>
      <c r="N824" s="132" t="str">
        <f t="shared" ca="1" si="158"/>
        <v/>
      </c>
      <c r="P824" t="str">
        <f t="shared" ca="1" si="159"/>
        <v/>
      </c>
      <c r="Q824" s="133" t="str">
        <f t="shared" ca="1" si="160"/>
        <v/>
      </c>
      <c r="R824" s="133" t="str">
        <f t="shared" ca="1" si="161"/>
        <v/>
      </c>
      <c r="T824" t="str">
        <f t="shared" ca="1" si="162"/>
        <v/>
      </c>
      <c r="U824" s="134" t="str">
        <f t="shared" ca="1" si="163"/>
        <v/>
      </c>
    </row>
    <row r="825" spans="1:21" x14ac:dyDescent="0.3">
      <c r="A825" s="151" t="str">
        <f ca="1">Returns!$A$823</f>
        <v/>
      </c>
      <c r="B825" s="152" t="str">
        <f ca="1">IF($A825="","",Returns!$J$823)</f>
        <v/>
      </c>
      <c r="C825" s="153" t="str">
        <f t="shared" ca="1" si="164"/>
        <v/>
      </c>
      <c r="D825" s="153" t="str">
        <f ca="1">IF($A825="","",MAX($C$7:C825))</f>
        <v/>
      </c>
      <c r="E825" s="154" t="str">
        <f t="shared" ca="1" si="165"/>
        <v/>
      </c>
      <c r="F825" s="152" t="str">
        <f ca="1">IF($A825="","",Returns!$I$823)</f>
        <v/>
      </c>
      <c r="G825" s="153" t="str">
        <f t="shared" ca="1" si="166"/>
        <v/>
      </c>
      <c r="H825" s="153" t="str">
        <f ca="1">IF($A825="","",MAX($G$7:G825))</f>
        <v/>
      </c>
      <c r="I825" s="154" t="str">
        <f t="shared" ca="1" si="167"/>
        <v/>
      </c>
      <c r="J825" s="59" t="str">
        <f t="shared" ca="1" si="168"/>
        <v/>
      </c>
      <c r="K825" s="3"/>
      <c r="L825" t="str">
        <f t="shared" ca="1" si="156"/>
        <v/>
      </c>
      <c r="M825" s="132" t="str">
        <f t="shared" ca="1" si="157"/>
        <v/>
      </c>
      <c r="N825" s="132" t="str">
        <f t="shared" ca="1" si="158"/>
        <v/>
      </c>
      <c r="P825" t="str">
        <f t="shared" ca="1" si="159"/>
        <v/>
      </c>
      <c r="Q825" s="133" t="str">
        <f t="shared" ca="1" si="160"/>
        <v/>
      </c>
      <c r="R825" s="133" t="str">
        <f t="shared" ca="1" si="161"/>
        <v/>
      </c>
      <c r="T825" t="str">
        <f t="shared" ca="1" si="162"/>
        <v/>
      </c>
      <c r="U825" s="134" t="str">
        <f t="shared" ca="1" si="163"/>
        <v/>
      </c>
    </row>
    <row r="826" spans="1:21" x14ac:dyDescent="0.3">
      <c r="A826" s="151" t="str">
        <f ca="1">Returns!$A$824</f>
        <v/>
      </c>
      <c r="B826" s="152" t="str">
        <f ca="1">IF($A826="","",Returns!$J$824)</f>
        <v/>
      </c>
      <c r="C826" s="153" t="str">
        <f t="shared" ca="1" si="164"/>
        <v/>
      </c>
      <c r="D826" s="153" t="str">
        <f ca="1">IF($A826="","",MAX($C$7:C826))</f>
        <v/>
      </c>
      <c r="E826" s="154" t="str">
        <f t="shared" ca="1" si="165"/>
        <v/>
      </c>
      <c r="F826" s="152" t="str">
        <f ca="1">IF($A826="","",Returns!$I$824)</f>
        <v/>
      </c>
      <c r="G826" s="153" t="str">
        <f t="shared" ca="1" si="166"/>
        <v/>
      </c>
      <c r="H826" s="153" t="str">
        <f ca="1">IF($A826="","",MAX($G$7:G826))</f>
        <v/>
      </c>
      <c r="I826" s="154" t="str">
        <f t="shared" ca="1" si="167"/>
        <v/>
      </c>
      <c r="J826" s="59" t="str">
        <f t="shared" ca="1" si="168"/>
        <v/>
      </c>
      <c r="K826" s="3"/>
      <c r="L826" t="str">
        <f t="shared" ca="1" si="156"/>
        <v/>
      </c>
      <c r="M826" s="132" t="str">
        <f t="shared" ca="1" si="157"/>
        <v/>
      </c>
      <c r="N826" s="132" t="str">
        <f t="shared" ca="1" si="158"/>
        <v/>
      </c>
      <c r="P826" t="str">
        <f t="shared" ca="1" si="159"/>
        <v/>
      </c>
      <c r="Q826" s="133" t="str">
        <f t="shared" ca="1" si="160"/>
        <v/>
      </c>
      <c r="R826" s="133" t="str">
        <f t="shared" ca="1" si="161"/>
        <v/>
      </c>
      <c r="T826" t="str">
        <f t="shared" ca="1" si="162"/>
        <v/>
      </c>
      <c r="U826" s="134" t="str">
        <f t="shared" ca="1" si="163"/>
        <v/>
      </c>
    </row>
    <row r="827" spans="1:21" x14ac:dyDescent="0.3">
      <c r="A827" s="151" t="str">
        <f ca="1">Returns!$A$825</f>
        <v/>
      </c>
      <c r="B827" s="152" t="str">
        <f ca="1">IF($A827="","",Returns!$J$825)</f>
        <v/>
      </c>
      <c r="C827" s="153" t="str">
        <f t="shared" ca="1" si="164"/>
        <v/>
      </c>
      <c r="D827" s="153" t="str">
        <f ca="1">IF($A827="","",MAX($C$7:C827))</f>
        <v/>
      </c>
      <c r="E827" s="154" t="str">
        <f t="shared" ca="1" si="165"/>
        <v/>
      </c>
      <c r="F827" s="152" t="str">
        <f ca="1">IF($A827="","",Returns!$I$825)</f>
        <v/>
      </c>
      <c r="G827" s="153" t="str">
        <f t="shared" ca="1" si="166"/>
        <v/>
      </c>
      <c r="H827" s="153" t="str">
        <f ca="1">IF($A827="","",MAX($G$7:G827))</f>
        <v/>
      </c>
      <c r="I827" s="154" t="str">
        <f t="shared" ca="1" si="167"/>
        <v/>
      </c>
      <c r="J827" s="59" t="str">
        <f t="shared" ca="1" si="168"/>
        <v/>
      </c>
      <c r="K827" s="3"/>
      <c r="L827" t="str">
        <f t="shared" ca="1" si="156"/>
        <v/>
      </c>
      <c r="M827" s="132" t="str">
        <f t="shared" ca="1" si="157"/>
        <v/>
      </c>
      <c r="N827" s="132" t="str">
        <f t="shared" ca="1" si="158"/>
        <v/>
      </c>
      <c r="P827" t="str">
        <f t="shared" ca="1" si="159"/>
        <v/>
      </c>
      <c r="Q827" s="133" t="str">
        <f t="shared" ca="1" si="160"/>
        <v/>
      </c>
      <c r="R827" s="133" t="str">
        <f t="shared" ca="1" si="161"/>
        <v/>
      </c>
      <c r="T827" t="str">
        <f t="shared" ca="1" si="162"/>
        <v/>
      </c>
      <c r="U827" s="134" t="str">
        <f t="shared" ca="1" si="163"/>
        <v/>
      </c>
    </row>
    <row r="828" spans="1:21" x14ac:dyDescent="0.3">
      <c r="A828" s="151" t="str">
        <f ca="1">Returns!$A$826</f>
        <v/>
      </c>
      <c r="B828" s="152" t="str">
        <f ca="1">IF($A828="","",Returns!$J$826)</f>
        <v/>
      </c>
      <c r="C828" s="153" t="str">
        <f t="shared" ca="1" si="164"/>
        <v/>
      </c>
      <c r="D828" s="153" t="str">
        <f ca="1">IF($A828="","",MAX($C$7:C828))</f>
        <v/>
      </c>
      <c r="E828" s="154" t="str">
        <f t="shared" ca="1" si="165"/>
        <v/>
      </c>
      <c r="F828" s="152" t="str">
        <f ca="1">IF($A828="","",Returns!$I$826)</f>
        <v/>
      </c>
      <c r="G828" s="153" t="str">
        <f t="shared" ca="1" si="166"/>
        <v/>
      </c>
      <c r="H828" s="153" t="str">
        <f ca="1">IF($A828="","",MAX($G$7:G828))</f>
        <v/>
      </c>
      <c r="I828" s="154" t="str">
        <f t="shared" ca="1" si="167"/>
        <v/>
      </c>
      <c r="J828" s="59" t="str">
        <f t="shared" ca="1" si="168"/>
        <v/>
      </c>
      <c r="K828" s="3"/>
      <c r="L828" t="str">
        <f t="shared" ca="1" si="156"/>
        <v/>
      </c>
      <c r="M828" s="132" t="str">
        <f t="shared" ca="1" si="157"/>
        <v/>
      </c>
      <c r="N828" s="132" t="str">
        <f t="shared" ca="1" si="158"/>
        <v/>
      </c>
      <c r="P828" t="str">
        <f t="shared" ca="1" si="159"/>
        <v/>
      </c>
      <c r="Q828" s="133" t="str">
        <f t="shared" ca="1" si="160"/>
        <v/>
      </c>
      <c r="R828" s="133" t="str">
        <f t="shared" ca="1" si="161"/>
        <v/>
      </c>
      <c r="T828" t="str">
        <f t="shared" ca="1" si="162"/>
        <v/>
      </c>
      <c r="U828" s="134" t="str">
        <f t="shared" ca="1" si="163"/>
        <v/>
      </c>
    </row>
    <row r="829" spans="1:21" x14ac:dyDescent="0.3">
      <c r="A829" s="151" t="str">
        <f ca="1">Returns!$A$827</f>
        <v/>
      </c>
      <c r="B829" s="152" t="str">
        <f ca="1">IF($A829="","",Returns!$J$827)</f>
        <v/>
      </c>
      <c r="C829" s="153" t="str">
        <f t="shared" ca="1" si="164"/>
        <v/>
      </c>
      <c r="D829" s="153" t="str">
        <f ca="1">IF($A829="","",MAX($C$7:C829))</f>
        <v/>
      </c>
      <c r="E829" s="154" t="str">
        <f t="shared" ca="1" si="165"/>
        <v/>
      </c>
      <c r="F829" s="152" t="str">
        <f ca="1">IF($A829="","",Returns!$I$827)</f>
        <v/>
      </c>
      <c r="G829" s="153" t="str">
        <f t="shared" ca="1" si="166"/>
        <v/>
      </c>
      <c r="H829" s="153" t="str">
        <f ca="1">IF($A829="","",MAX($G$7:G829))</f>
        <v/>
      </c>
      <c r="I829" s="154" t="str">
        <f t="shared" ca="1" si="167"/>
        <v/>
      </c>
      <c r="J829" s="59" t="str">
        <f t="shared" ca="1" si="168"/>
        <v/>
      </c>
      <c r="K829" s="3"/>
      <c r="L829" t="str">
        <f t="shared" ca="1" si="156"/>
        <v/>
      </c>
      <c r="M829" s="132" t="str">
        <f t="shared" ca="1" si="157"/>
        <v/>
      </c>
      <c r="N829" s="132" t="str">
        <f t="shared" ca="1" si="158"/>
        <v/>
      </c>
      <c r="P829" t="str">
        <f t="shared" ca="1" si="159"/>
        <v/>
      </c>
      <c r="Q829" s="133" t="str">
        <f t="shared" ca="1" si="160"/>
        <v/>
      </c>
      <c r="R829" s="133" t="str">
        <f t="shared" ca="1" si="161"/>
        <v/>
      </c>
      <c r="T829" t="str">
        <f t="shared" ca="1" si="162"/>
        <v/>
      </c>
      <c r="U829" s="134" t="str">
        <f t="shared" ca="1" si="163"/>
        <v/>
      </c>
    </row>
    <row r="830" spans="1:21" x14ac:dyDescent="0.3">
      <c r="A830" s="151" t="str">
        <f ca="1">Returns!$A$828</f>
        <v/>
      </c>
      <c r="B830" s="152" t="str">
        <f ca="1">IF($A830="","",Returns!$J$828)</f>
        <v/>
      </c>
      <c r="C830" s="153" t="str">
        <f t="shared" ca="1" si="164"/>
        <v/>
      </c>
      <c r="D830" s="153" t="str">
        <f ca="1">IF($A830="","",MAX($C$7:C830))</f>
        <v/>
      </c>
      <c r="E830" s="154" t="str">
        <f t="shared" ca="1" si="165"/>
        <v/>
      </c>
      <c r="F830" s="152" t="str">
        <f ca="1">IF($A830="","",Returns!$I$828)</f>
        <v/>
      </c>
      <c r="G830" s="153" t="str">
        <f t="shared" ca="1" si="166"/>
        <v/>
      </c>
      <c r="H830" s="153" t="str">
        <f ca="1">IF($A830="","",MAX($G$7:G830))</f>
        <v/>
      </c>
      <c r="I830" s="154" t="str">
        <f t="shared" ca="1" si="167"/>
        <v/>
      </c>
      <c r="J830" s="59" t="str">
        <f t="shared" ca="1" si="168"/>
        <v/>
      </c>
      <c r="K830" s="3"/>
      <c r="L830" t="str">
        <f t="shared" ca="1" si="156"/>
        <v/>
      </c>
      <c r="M830" s="132" t="str">
        <f t="shared" ca="1" si="157"/>
        <v/>
      </c>
      <c r="N830" s="132" t="str">
        <f t="shared" ca="1" si="158"/>
        <v/>
      </c>
      <c r="P830" t="str">
        <f t="shared" ca="1" si="159"/>
        <v/>
      </c>
      <c r="Q830" s="133" t="str">
        <f t="shared" ca="1" si="160"/>
        <v/>
      </c>
      <c r="R830" s="133" t="str">
        <f t="shared" ca="1" si="161"/>
        <v/>
      </c>
      <c r="T830" t="str">
        <f t="shared" ca="1" si="162"/>
        <v/>
      </c>
      <c r="U830" s="134" t="str">
        <f t="shared" ca="1" si="163"/>
        <v/>
      </c>
    </row>
    <row r="831" spans="1:21" x14ac:dyDescent="0.3">
      <c r="A831" s="151" t="str">
        <f ca="1">Returns!$A$829</f>
        <v/>
      </c>
      <c r="B831" s="152" t="str">
        <f ca="1">IF($A831="","",Returns!$J$829)</f>
        <v/>
      </c>
      <c r="C831" s="153" t="str">
        <f t="shared" ca="1" si="164"/>
        <v/>
      </c>
      <c r="D831" s="153" t="str">
        <f ca="1">IF($A831="","",MAX($C$7:C831))</f>
        <v/>
      </c>
      <c r="E831" s="154" t="str">
        <f t="shared" ca="1" si="165"/>
        <v/>
      </c>
      <c r="F831" s="152" t="str">
        <f ca="1">IF($A831="","",Returns!$I$829)</f>
        <v/>
      </c>
      <c r="G831" s="153" t="str">
        <f t="shared" ca="1" si="166"/>
        <v/>
      </c>
      <c r="H831" s="153" t="str">
        <f ca="1">IF($A831="","",MAX($G$7:G831))</f>
        <v/>
      </c>
      <c r="I831" s="154" t="str">
        <f t="shared" ca="1" si="167"/>
        <v/>
      </c>
      <c r="J831" s="59" t="str">
        <f t="shared" ca="1" si="168"/>
        <v/>
      </c>
      <c r="K831" s="3"/>
      <c r="L831" t="str">
        <f t="shared" ca="1" si="156"/>
        <v/>
      </c>
      <c r="M831" s="132" t="str">
        <f t="shared" ca="1" si="157"/>
        <v/>
      </c>
      <c r="N831" s="132" t="str">
        <f t="shared" ca="1" si="158"/>
        <v/>
      </c>
      <c r="P831" t="str">
        <f t="shared" ca="1" si="159"/>
        <v/>
      </c>
      <c r="Q831" s="133" t="str">
        <f t="shared" ca="1" si="160"/>
        <v/>
      </c>
      <c r="R831" s="133" t="str">
        <f t="shared" ca="1" si="161"/>
        <v/>
      </c>
      <c r="T831" t="str">
        <f t="shared" ca="1" si="162"/>
        <v/>
      </c>
      <c r="U831" s="134" t="str">
        <f t="shared" ca="1" si="163"/>
        <v/>
      </c>
    </row>
    <row r="832" spans="1:21" x14ac:dyDescent="0.3">
      <c r="A832" s="151" t="str">
        <f ca="1">Returns!$A$830</f>
        <v/>
      </c>
      <c r="B832" s="152" t="str">
        <f ca="1">IF($A832="","",Returns!$J$830)</f>
        <v/>
      </c>
      <c r="C832" s="153" t="str">
        <f t="shared" ca="1" si="164"/>
        <v/>
      </c>
      <c r="D832" s="153" t="str">
        <f ca="1">IF($A832="","",MAX($C$7:C832))</f>
        <v/>
      </c>
      <c r="E832" s="154" t="str">
        <f t="shared" ca="1" si="165"/>
        <v/>
      </c>
      <c r="F832" s="152" t="str">
        <f ca="1">IF($A832="","",Returns!$I$830)</f>
        <v/>
      </c>
      <c r="G832" s="153" t="str">
        <f t="shared" ca="1" si="166"/>
        <v/>
      </c>
      <c r="H832" s="153" t="str">
        <f ca="1">IF($A832="","",MAX($G$7:G832))</f>
        <v/>
      </c>
      <c r="I832" s="154" t="str">
        <f t="shared" ca="1" si="167"/>
        <v/>
      </c>
      <c r="J832" s="59" t="str">
        <f t="shared" ca="1" si="168"/>
        <v/>
      </c>
      <c r="K832" s="3"/>
      <c r="L832" t="str">
        <f t="shared" ca="1" si="156"/>
        <v/>
      </c>
      <c r="M832" s="132" t="str">
        <f t="shared" ca="1" si="157"/>
        <v/>
      </c>
      <c r="N832" s="132" t="str">
        <f t="shared" ca="1" si="158"/>
        <v/>
      </c>
      <c r="P832" t="str">
        <f t="shared" ca="1" si="159"/>
        <v/>
      </c>
      <c r="Q832" s="133" t="str">
        <f t="shared" ca="1" si="160"/>
        <v/>
      </c>
      <c r="R832" s="133" t="str">
        <f t="shared" ca="1" si="161"/>
        <v/>
      </c>
      <c r="T832" t="str">
        <f t="shared" ca="1" si="162"/>
        <v/>
      </c>
      <c r="U832" s="134" t="str">
        <f t="shared" ca="1" si="163"/>
        <v/>
      </c>
    </row>
    <row r="833" spans="1:21" x14ac:dyDescent="0.3">
      <c r="A833" s="151" t="str">
        <f ca="1">Returns!$A$831</f>
        <v/>
      </c>
      <c r="B833" s="152" t="str">
        <f ca="1">IF($A833="","",Returns!$J$831)</f>
        <v/>
      </c>
      <c r="C833" s="153" t="str">
        <f t="shared" ca="1" si="164"/>
        <v/>
      </c>
      <c r="D833" s="153" t="str">
        <f ca="1">IF($A833="","",MAX($C$7:C833))</f>
        <v/>
      </c>
      <c r="E833" s="154" t="str">
        <f t="shared" ca="1" si="165"/>
        <v/>
      </c>
      <c r="F833" s="152" t="str">
        <f ca="1">IF($A833="","",Returns!$I$831)</f>
        <v/>
      </c>
      <c r="G833" s="153" t="str">
        <f t="shared" ca="1" si="166"/>
        <v/>
      </c>
      <c r="H833" s="153" t="str">
        <f ca="1">IF($A833="","",MAX($G$7:G833))</f>
        <v/>
      </c>
      <c r="I833" s="154" t="str">
        <f t="shared" ca="1" si="167"/>
        <v/>
      </c>
      <c r="J833" s="59" t="str">
        <f t="shared" ca="1" si="168"/>
        <v/>
      </c>
      <c r="K833" s="3"/>
      <c r="L833" t="str">
        <f t="shared" ca="1" si="156"/>
        <v/>
      </c>
      <c r="M833" s="132" t="str">
        <f t="shared" ca="1" si="157"/>
        <v/>
      </c>
      <c r="N833" s="132" t="str">
        <f t="shared" ca="1" si="158"/>
        <v/>
      </c>
      <c r="P833" t="str">
        <f t="shared" ca="1" si="159"/>
        <v/>
      </c>
      <c r="Q833" s="133" t="str">
        <f t="shared" ca="1" si="160"/>
        <v/>
      </c>
      <c r="R833" s="133" t="str">
        <f t="shared" ca="1" si="161"/>
        <v/>
      </c>
      <c r="T833" t="str">
        <f t="shared" ca="1" si="162"/>
        <v/>
      </c>
      <c r="U833" s="134" t="str">
        <f t="shared" ca="1" si="163"/>
        <v/>
      </c>
    </row>
    <row r="834" spans="1:21" x14ac:dyDescent="0.3">
      <c r="A834" s="151" t="str">
        <f ca="1">Returns!$A$832</f>
        <v/>
      </c>
      <c r="B834" s="152" t="str">
        <f ca="1">IF($A834="","",Returns!$J$832)</f>
        <v/>
      </c>
      <c r="C834" s="153" t="str">
        <f t="shared" ca="1" si="164"/>
        <v/>
      </c>
      <c r="D834" s="153" t="str">
        <f ca="1">IF($A834="","",MAX($C$7:C834))</f>
        <v/>
      </c>
      <c r="E834" s="154" t="str">
        <f t="shared" ca="1" si="165"/>
        <v/>
      </c>
      <c r="F834" s="152" t="str">
        <f ca="1">IF($A834="","",Returns!$I$832)</f>
        <v/>
      </c>
      <c r="G834" s="153" t="str">
        <f t="shared" ca="1" si="166"/>
        <v/>
      </c>
      <c r="H834" s="153" t="str">
        <f ca="1">IF($A834="","",MAX($G$7:G834))</f>
        <v/>
      </c>
      <c r="I834" s="154" t="str">
        <f t="shared" ca="1" si="167"/>
        <v/>
      </c>
      <c r="J834" s="59" t="str">
        <f t="shared" ca="1" si="168"/>
        <v/>
      </c>
      <c r="K834" s="3"/>
      <c r="L834" t="str">
        <f t="shared" ca="1" si="156"/>
        <v/>
      </c>
      <c r="M834" s="132" t="str">
        <f t="shared" ca="1" si="157"/>
        <v/>
      </c>
      <c r="N834" s="132" t="str">
        <f t="shared" ca="1" si="158"/>
        <v/>
      </c>
      <c r="P834" t="str">
        <f t="shared" ca="1" si="159"/>
        <v/>
      </c>
      <c r="Q834" s="133" t="str">
        <f t="shared" ca="1" si="160"/>
        <v/>
      </c>
      <c r="R834" s="133" t="str">
        <f t="shared" ca="1" si="161"/>
        <v/>
      </c>
      <c r="T834" t="str">
        <f t="shared" ca="1" si="162"/>
        <v/>
      </c>
      <c r="U834" s="134" t="str">
        <f t="shared" ca="1" si="163"/>
        <v/>
      </c>
    </row>
    <row r="835" spans="1:21" x14ac:dyDescent="0.3">
      <c r="A835" s="151" t="str">
        <f ca="1">Returns!$A$833</f>
        <v/>
      </c>
      <c r="B835" s="152" t="str">
        <f ca="1">IF($A835="","",Returns!$J$833)</f>
        <v/>
      </c>
      <c r="C835" s="153" t="str">
        <f t="shared" ca="1" si="164"/>
        <v/>
      </c>
      <c r="D835" s="153" t="str">
        <f ca="1">IF($A835="","",MAX($C$7:C835))</f>
        <v/>
      </c>
      <c r="E835" s="154" t="str">
        <f t="shared" ca="1" si="165"/>
        <v/>
      </c>
      <c r="F835" s="152" t="str">
        <f ca="1">IF($A835="","",Returns!$I$833)</f>
        <v/>
      </c>
      <c r="G835" s="153" t="str">
        <f t="shared" ca="1" si="166"/>
        <v/>
      </c>
      <c r="H835" s="153" t="str">
        <f ca="1">IF($A835="","",MAX($G$7:G835))</f>
        <v/>
      </c>
      <c r="I835" s="154" t="str">
        <f t="shared" ca="1" si="167"/>
        <v/>
      </c>
      <c r="J835" s="59" t="str">
        <f t="shared" ca="1" si="168"/>
        <v/>
      </c>
      <c r="K835" s="3"/>
      <c r="L835" t="str">
        <f t="shared" ca="1" si="156"/>
        <v/>
      </c>
      <c r="M835" s="132" t="str">
        <f t="shared" ca="1" si="157"/>
        <v/>
      </c>
      <c r="N835" s="132" t="str">
        <f t="shared" ca="1" si="158"/>
        <v/>
      </c>
      <c r="P835" t="str">
        <f t="shared" ca="1" si="159"/>
        <v/>
      </c>
      <c r="Q835" s="133" t="str">
        <f t="shared" ca="1" si="160"/>
        <v/>
      </c>
      <c r="R835" s="133" t="str">
        <f t="shared" ca="1" si="161"/>
        <v/>
      </c>
      <c r="T835" t="str">
        <f t="shared" ca="1" si="162"/>
        <v/>
      </c>
      <c r="U835" s="134" t="str">
        <f t="shared" ca="1" si="163"/>
        <v/>
      </c>
    </row>
    <row r="836" spans="1:21" x14ac:dyDescent="0.3">
      <c r="A836" s="151" t="str">
        <f ca="1">Returns!$A$834</f>
        <v/>
      </c>
      <c r="B836" s="152" t="str">
        <f ca="1">IF($A836="","",Returns!$J$834)</f>
        <v/>
      </c>
      <c r="C836" s="153" t="str">
        <f t="shared" ca="1" si="164"/>
        <v/>
      </c>
      <c r="D836" s="153" t="str">
        <f ca="1">IF($A836="","",MAX($C$7:C836))</f>
        <v/>
      </c>
      <c r="E836" s="154" t="str">
        <f t="shared" ca="1" si="165"/>
        <v/>
      </c>
      <c r="F836" s="152" t="str">
        <f ca="1">IF($A836="","",Returns!$I$834)</f>
        <v/>
      </c>
      <c r="G836" s="153" t="str">
        <f t="shared" ca="1" si="166"/>
        <v/>
      </c>
      <c r="H836" s="153" t="str">
        <f ca="1">IF($A836="","",MAX($G$7:G836))</f>
        <v/>
      </c>
      <c r="I836" s="154" t="str">
        <f t="shared" ca="1" si="167"/>
        <v/>
      </c>
      <c r="J836" s="59" t="str">
        <f t="shared" ca="1" si="168"/>
        <v/>
      </c>
      <c r="K836" s="3"/>
      <c r="L836" t="str">
        <f t="shared" ca="1" si="156"/>
        <v/>
      </c>
      <c r="M836" s="132" t="str">
        <f t="shared" ca="1" si="157"/>
        <v/>
      </c>
      <c r="N836" s="132" t="str">
        <f t="shared" ca="1" si="158"/>
        <v/>
      </c>
      <c r="P836" t="str">
        <f t="shared" ca="1" si="159"/>
        <v/>
      </c>
      <c r="Q836" s="133" t="str">
        <f t="shared" ca="1" si="160"/>
        <v/>
      </c>
      <c r="R836" s="133" t="str">
        <f t="shared" ca="1" si="161"/>
        <v/>
      </c>
      <c r="T836" t="str">
        <f t="shared" ca="1" si="162"/>
        <v/>
      </c>
      <c r="U836" s="134" t="str">
        <f t="shared" ca="1" si="163"/>
        <v/>
      </c>
    </row>
    <row r="837" spans="1:21" x14ac:dyDescent="0.3">
      <c r="A837" s="151" t="str">
        <f ca="1">Returns!$A$835</f>
        <v/>
      </c>
      <c r="B837" s="152" t="str">
        <f ca="1">IF($A837="","",Returns!$J$835)</f>
        <v/>
      </c>
      <c r="C837" s="153" t="str">
        <f t="shared" ca="1" si="164"/>
        <v/>
      </c>
      <c r="D837" s="153" t="str">
        <f ca="1">IF($A837="","",MAX($C$7:C837))</f>
        <v/>
      </c>
      <c r="E837" s="154" t="str">
        <f t="shared" ca="1" si="165"/>
        <v/>
      </c>
      <c r="F837" s="152" t="str">
        <f ca="1">IF($A837="","",Returns!$I$835)</f>
        <v/>
      </c>
      <c r="G837" s="153" t="str">
        <f t="shared" ca="1" si="166"/>
        <v/>
      </c>
      <c r="H837" s="153" t="str">
        <f ca="1">IF($A837="","",MAX($G$7:G837))</f>
        <v/>
      </c>
      <c r="I837" s="154" t="str">
        <f t="shared" ca="1" si="167"/>
        <v/>
      </c>
      <c r="J837" s="59" t="str">
        <f t="shared" ca="1" si="168"/>
        <v/>
      </c>
      <c r="K837" s="3"/>
      <c r="L837" t="str">
        <f t="shared" ca="1" si="156"/>
        <v/>
      </c>
      <c r="M837" s="132" t="str">
        <f t="shared" ca="1" si="157"/>
        <v/>
      </c>
      <c r="N837" s="132" t="str">
        <f t="shared" ca="1" si="158"/>
        <v/>
      </c>
      <c r="P837" t="str">
        <f t="shared" ca="1" si="159"/>
        <v/>
      </c>
      <c r="Q837" s="133" t="str">
        <f t="shared" ca="1" si="160"/>
        <v/>
      </c>
      <c r="R837" s="133" t="str">
        <f t="shared" ca="1" si="161"/>
        <v/>
      </c>
      <c r="T837" t="str">
        <f t="shared" ca="1" si="162"/>
        <v/>
      </c>
      <c r="U837" s="134" t="str">
        <f t="shared" ca="1" si="163"/>
        <v/>
      </c>
    </row>
    <row r="838" spans="1:21" x14ac:dyDescent="0.3">
      <c r="A838" s="151" t="str">
        <f ca="1">Returns!$A$836</f>
        <v/>
      </c>
      <c r="B838" s="152" t="str">
        <f ca="1">IF($A838="","",Returns!$J$836)</f>
        <v/>
      </c>
      <c r="C838" s="153" t="str">
        <f t="shared" ca="1" si="164"/>
        <v/>
      </c>
      <c r="D838" s="153" t="str">
        <f ca="1">IF($A838="","",MAX($C$7:C838))</f>
        <v/>
      </c>
      <c r="E838" s="154" t="str">
        <f t="shared" ca="1" si="165"/>
        <v/>
      </c>
      <c r="F838" s="152" t="str">
        <f ca="1">IF($A838="","",Returns!$I$836)</f>
        <v/>
      </c>
      <c r="G838" s="153" t="str">
        <f t="shared" ca="1" si="166"/>
        <v/>
      </c>
      <c r="H838" s="153" t="str">
        <f ca="1">IF($A838="","",MAX($G$7:G838))</f>
        <v/>
      </c>
      <c r="I838" s="154" t="str">
        <f t="shared" ca="1" si="167"/>
        <v/>
      </c>
      <c r="J838" s="59" t="str">
        <f t="shared" ca="1" si="168"/>
        <v/>
      </c>
      <c r="K838" s="3"/>
      <c r="L838" t="str">
        <f t="shared" ca="1" si="156"/>
        <v/>
      </c>
      <c r="M838" s="132" t="str">
        <f t="shared" ca="1" si="157"/>
        <v/>
      </c>
      <c r="N838" s="132" t="str">
        <f t="shared" ca="1" si="158"/>
        <v/>
      </c>
      <c r="P838" t="str">
        <f t="shared" ca="1" si="159"/>
        <v/>
      </c>
      <c r="Q838" s="133" t="str">
        <f t="shared" ca="1" si="160"/>
        <v/>
      </c>
      <c r="R838" s="133" t="str">
        <f t="shared" ca="1" si="161"/>
        <v/>
      </c>
      <c r="T838" t="str">
        <f t="shared" ca="1" si="162"/>
        <v/>
      </c>
      <c r="U838" s="134" t="str">
        <f t="shared" ca="1" si="163"/>
        <v/>
      </c>
    </row>
    <row r="839" spans="1:21" x14ac:dyDescent="0.3">
      <c r="A839" s="151" t="str">
        <f ca="1">Returns!$A$837</f>
        <v/>
      </c>
      <c r="B839" s="152" t="str">
        <f ca="1">IF($A839="","",Returns!$J$837)</f>
        <v/>
      </c>
      <c r="C839" s="153" t="str">
        <f t="shared" ca="1" si="164"/>
        <v/>
      </c>
      <c r="D839" s="153" t="str">
        <f ca="1">IF($A839="","",MAX($C$7:C839))</f>
        <v/>
      </c>
      <c r="E839" s="154" t="str">
        <f t="shared" ca="1" si="165"/>
        <v/>
      </c>
      <c r="F839" s="152" t="str">
        <f ca="1">IF($A839="","",Returns!$I$837)</f>
        <v/>
      </c>
      <c r="G839" s="153" t="str">
        <f t="shared" ca="1" si="166"/>
        <v/>
      </c>
      <c r="H839" s="153" t="str">
        <f ca="1">IF($A839="","",MAX($G$7:G839))</f>
        <v/>
      </c>
      <c r="I839" s="154" t="str">
        <f t="shared" ca="1" si="167"/>
        <v/>
      </c>
      <c r="J839" s="59" t="str">
        <f t="shared" ca="1" si="168"/>
        <v/>
      </c>
      <c r="K839" s="3"/>
      <c r="L839" t="str">
        <f t="shared" ref="L839:L902" ca="1" si="169">$J839</f>
        <v/>
      </c>
      <c r="M839" s="132" t="str">
        <f t="shared" ref="M839:M902" ca="1" si="170">$C839</f>
        <v/>
      </c>
      <c r="N839" s="132" t="str">
        <f t="shared" ref="N839:N902" ca="1" si="171">$G839</f>
        <v/>
      </c>
      <c r="P839" t="str">
        <f t="shared" ref="P839:P902" ca="1" si="172">$J839</f>
        <v/>
      </c>
      <c r="Q839" s="133" t="str">
        <f t="shared" ref="Q839:Q902" ca="1" si="173">$E839</f>
        <v/>
      </c>
      <c r="R839" s="133" t="str">
        <f t="shared" ref="R839:R902" ca="1" si="174">$I839</f>
        <v/>
      </c>
      <c r="T839" t="str">
        <f t="shared" ref="T839:T902" ca="1" si="175">$J839</f>
        <v/>
      </c>
      <c r="U839" s="134" t="str">
        <f t="shared" ref="U839:U902" ca="1" si="176">IF($A839="","",NotionalValue*$C839/IndexBase)</f>
        <v/>
      </c>
    </row>
    <row r="840" spans="1:21" x14ac:dyDescent="0.3">
      <c r="A840" s="151" t="str">
        <f ca="1">Returns!$A$838</f>
        <v/>
      </c>
      <c r="B840" s="152" t="str">
        <f ca="1">IF($A840="","",Returns!$J$838)</f>
        <v/>
      </c>
      <c r="C840" s="153" t="str">
        <f t="shared" ref="C840:C903" ca="1" si="177">IF($A840="","",C839*(1+$B840))</f>
        <v/>
      </c>
      <c r="D840" s="153" t="str">
        <f ca="1">IF($A840="","",MAX($C$7:C840))</f>
        <v/>
      </c>
      <c r="E840" s="154" t="str">
        <f t="shared" ref="E840:E903" ca="1" si="178">IF($A840="","",$C840/$D840-1)</f>
        <v/>
      </c>
      <c r="F840" s="152" t="str">
        <f ca="1">IF($A840="","",Returns!$I$838)</f>
        <v/>
      </c>
      <c r="G840" s="153" t="str">
        <f t="shared" ref="G840:G903" ca="1" si="179">IF($A840="","",G839*(1+$F840))</f>
        <v/>
      </c>
      <c r="H840" s="153" t="str">
        <f ca="1">IF($A840="","",MAX($G$7:G840))</f>
        <v/>
      </c>
      <c r="I840" s="154" t="str">
        <f t="shared" ref="I840:I903" ca="1" si="180">IF($A840="","",$G840/$H840-1)</f>
        <v/>
      </c>
      <c r="J840" s="59" t="str">
        <f t="shared" ref="J840:J903" ca="1" si="181">IF($A840="","",TEXT($A840,"mmm-yy"))</f>
        <v/>
      </c>
      <c r="K840" s="3"/>
      <c r="L840" t="str">
        <f t="shared" ca="1" si="169"/>
        <v/>
      </c>
      <c r="M840" s="132" t="str">
        <f t="shared" ca="1" si="170"/>
        <v/>
      </c>
      <c r="N840" s="132" t="str">
        <f t="shared" ca="1" si="171"/>
        <v/>
      </c>
      <c r="P840" t="str">
        <f t="shared" ca="1" si="172"/>
        <v/>
      </c>
      <c r="Q840" s="133" t="str">
        <f t="shared" ca="1" si="173"/>
        <v/>
      </c>
      <c r="R840" s="133" t="str">
        <f t="shared" ca="1" si="174"/>
        <v/>
      </c>
      <c r="T840" t="str">
        <f t="shared" ca="1" si="175"/>
        <v/>
      </c>
      <c r="U840" s="134" t="str">
        <f t="shared" ca="1" si="176"/>
        <v/>
      </c>
    </row>
    <row r="841" spans="1:21" x14ac:dyDescent="0.3">
      <c r="A841" s="151" t="str">
        <f ca="1">Returns!$A$839</f>
        <v/>
      </c>
      <c r="B841" s="152" t="str">
        <f ca="1">IF($A841="","",Returns!$J$839)</f>
        <v/>
      </c>
      <c r="C841" s="153" t="str">
        <f t="shared" ca="1" si="177"/>
        <v/>
      </c>
      <c r="D841" s="153" t="str">
        <f ca="1">IF($A841="","",MAX($C$7:C841))</f>
        <v/>
      </c>
      <c r="E841" s="154" t="str">
        <f t="shared" ca="1" si="178"/>
        <v/>
      </c>
      <c r="F841" s="152" t="str">
        <f ca="1">IF($A841="","",Returns!$I$839)</f>
        <v/>
      </c>
      <c r="G841" s="153" t="str">
        <f t="shared" ca="1" si="179"/>
        <v/>
      </c>
      <c r="H841" s="153" t="str">
        <f ca="1">IF($A841="","",MAX($G$7:G841))</f>
        <v/>
      </c>
      <c r="I841" s="154" t="str">
        <f t="shared" ca="1" si="180"/>
        <v/>
      </c>
      <c r="J841" s="59" t="str">
        <f t="shared" ca="1" si="181"/>
        <v/>
      </c>
      <c r="K841" s="3"/>
      <c r="L841" t="str">
        <f t="shared" ca="1" si="169"/>
        <v/>
      </c>
      <c r="M841" s="132" t="str">
        <f t="shared" ca="1" si="170"/>
        <v/>
      </c>
      <c r="N841" s="132" t="str">
        <f t="shared" ca="1" si="171"/>
        <v/>
      </c>
      <c r="P841" t="str">
        <f t="shared" ca="1" si="172"/>
        <v/>
      </c>
      <c r="Q841" s="133" t="str">
        <f t="shared" ca="1" si="173"/>
        <v/>
      </c>
      <c r="R841" s="133" t="str">
        <f t="shared" ca="1" si="174"/>
        <v/>
      </c>
      <c r="T841" t="str">
        <f t="shared" ca="1" si="175"/>
        <v/>
      </c>
      <c r="U841" s="134" t="str">
        <f t="shared" ca="1" si="176"/>
        <v/>
      </c>
    </row>
    <row r="842" spans="1:21" x14ac:dyDescent="0.3">
      <c r="A842" s="151" t="str">
        <f ca="1">Returns!$A$840</f>
        <v/>
      </c>
      <c r="B842" s="152" t="str">
        <f ca="1">IF($A842="","",Returns!$J$840)</f>
        <v/>
      </c>
      <c r="C842" s="153" t="str">
        <f t="shared" ca="1" si="177"/>
        <v/>
      </c>
      <c r="D842" s="153" t="str">
        <f ca="1">IF($A842="","",MAX($C$7:C842))</f>
        <v/>
      </c>
      <c r="E842" s="154" t="str">
        <f t="shared" ca="1" si="178"/>
        <v/>
      </c>
      <c r="F842" s="152" t="str">
        <f ca="1">IF($A842="","",Returns!$I$840)</f>
        <v/>
      </c>
      <c r="G842" s="153" t="str">
        <f t="shared" ca="1" si="179"/>
        <v/>
      </c>
      <c r="H842" s="153" t="str">
        <f ca="1">IF($A842="","",MAX($G$7:G842))</f>
        <v/>
      </c>
      <c r="I842" s="154" t="str">
        <f t="shared" ca="1" si="180"/>
        <v/>
      </c>
      <c r="J842" s="59" t="str">
        <f t="shared" ca="1" si="181"/>
        <v/>
      </c>
      <c r="K842" s="3"/>
      <c r="L842" t="str">
        <f t="shared" ca="1" si="169"/>
        <v/>
      </c>
      <c r="M842" s="132" t="str">
        <f t="shared" ca="1" si="170"/>
        <v/>
      </c>
      <c r="N842" s="132" t="str">
        <f t="shared" ca="1" si="171"/>
        <v/>
      </c>
      <c r="P842" t="str">
        <f t="shared" ca="1" si="172"/>
        <v/>
      </c>
      <c r="Q842" s="133" t="str">
        <f t="shared" ca="1" si="173"/>
        <v/>
      </c>
      <c r="R842" s="133" t="str">
        <f t="shared" ca="1" si="174"/>
        <v/>
      </c>
      <c r="T842" t="str">
        <f t="shared" ca="1" si="175"/>
        <v/>
      </c>
      <c r="U842" s="134" t="str">
        <f t="shared" ca="1" si="176"/>
        <v/>
      </c>
    </row>
    <row r="843" spans="1:21" x14ac:dyDescent="0.3">
      <c r="A843" s="151" t="str">
        <f ca="1">Returns!$A$841</f>
        <v/>
      </c>
      <c r="B843" s="152" t="str">
        <f ca="1">IF($A843="","",Returns!$J$841)</f>
        <v/>
      </c>
      <c r="C843" s="153" t="str">
        <f t="shared" ca="1" si="177"/>
        <v/>
      </c>
      <c r="D843" s="153" t="str">
        <f ca="1">IF($A843="","",MAX($C$7:C843))</f>
        <v/>
      </c>
      <c r="E843" s="154" t="str">
        <f t="shared" ca="1" si="178"/>
        <v/>
      </c>
      <c r="F843" s="152" t="str">
        <f ca="1">IF($A843="","",Returns!$I$841)</f>
        <v/>
      </c>
      <c r="G843" s="153" t="str">
        <f t="shared" ca="1" si="179"/>
        <v/>
      </c>
      <c r="H843" s="153" t="str">
        <f ca="1">IF($A843="","",MAX($G$7:G843))</f>
        <v/>
      </c>
      <c r="I843" s="154" t="str">
        <f t="shared" ca="1" si="180"/>
        <v/>
      </c>
      <c r="J843" s="59" t="str">
        <f t="shared" ca="1" si="181"/>
        <v/>
      </c>
      <c r="K843" s="3"/>
      <c r="L843" t="str">
        <f t="shared" ca="1" si="169"/>
        <v/>
      </c>
      <c r="M843" s="132" t="str">
        <f t="shared" ca="1" si="170"/>
        <v/>
      </c>
      <c r="N843" s="132" t="str">
        <f t="shared" ca="1" si="171"/>
        <v/>
      </c>
      <c r="P843" t="str">
        <f t="shared" ca="1" si="172"/>
        <v/>
      </c>
      <c r="Q843" s="133" t="str">
        <f t="shared" ca="1" si="173"/>
        <v/>
      </c>
      <c r="R843" s="133" t="str">
        <f t="shared" ca="1" si="174"/>
        <v/>
      </c>
      <c r="T843" t="str">
        <f t="shared" ca="1" si="175"/>
        <v/>
      </c>
      <c r="U843" s="134" t="str">
        <f t="shared" ca="1" si="176"/>
        <v/>
      </c>
    </row>
    <row r="844" spans="1:21" x14ac:dyDescent="0.3">
      <c r="A844" s="151" t="str">
        <f ca="1">Returns!$A$842</f>
        <v/>
      </c>
      <c r="B844" s="152" t="str">
        <f ca="1">IF($A844="","",Returns!$J$842)</f>
        <v/>
      </c>
      <c r="C844" s="153" t="str">
        <f t="shared" ca="1" si="177"/>
        <v/>
      </c>
      <c r="D844" s="153" t="str">
        <f ca="1">IF($A844="","",MAX($C$7:C844))</f>
        <v/>
      </c>
      <c r="E844" s="154" t="str">
        <f t="shared" ca="1" si="178"/>
        <v/>
      </c>
      <c r="F844" s="152" t="str">
        <f ca="1">IF($A844="","",Returns!$I$842)</f>
        <v/>
      </c>
      <c r="G844" s="153" t="str">
        <f t="shared" ca="1" si="179"/>
        <v/>
      </c>
      <c r="H844" s="153" t="str">
        <f ca="1">IF($A844="","",MAX($G$7:G844))</f>
        <v/>
      </c>
      <c r="I844" s="154" t="str">
        <f t="shared" ca="1" si="180"/>
        <v/>
      </c>
      <c r="J844" s="59" t="str">
        <f t="shared" ca="1" si="181"/>
        <v/>
      </c>
      <c r="K844" s="3"/>
      <c r="L844" t="str">
        <f t="shared" ca="1" si="169"/>
        <v/>
      </c>
      <c r="M844" s="132" t="str">
        <f t="shared" ca="1" si="170"/>
        <v/>
      </c>
      <c r="N844" s="132" t="str">
        <f t="shared" ca="1" si="171"/>
        <v/>
      </c>
      <c r="P844" t="str">
        <f t="shared" ca="1" si="172"/>
        <v/>
      </c>
      <c r="Q844" s="133" t="str">
        <f t="shared" ca="1" si="173"/>
        <v/>
      </c>
      <c r="R844" s="133" t="str">
        <f t="shared" ca="1" si="174"/>
        <v/>
      </c>
      <c r="T844" t="str">
        <f t="shared" ca="1" si="175"/>
        <v/>
      </c>
      <c r="U844" s="134" t="str">
        <f t="shared" ca="1" si="176"/>
        <v/>
      </c>
    </row>
    <row r="845" spans="1:21" x14ac:dyDescent="0.3">
      <c r="A845" s="151" t="str">
        <f ca="1">Returns!$A$843</f>
        <v/>
      </c>
      <c r="B845" s="152" t="str">
        <f ca="1">IF($A845="","",Returns!$J$843)</f>
        <v/>
      </c>
      <c r="C845" s="153" t="str">
        <f t="shared" ca="1" si="177"/>
        <v/>
      </c>
      <c r="D845" s="153" t="str">
        <f ca="1">IF($A845="","",MAX($C$7:C845))</f>
        <v/>
      </c>
      <c r="E845" s="154" t="str">
        <f t="shared" ca="1" si="178"/>
        <v/>
      </c>
      <c r="F845" s="152" t="str">
        <f ca="1">IF($A845="","",Returns!$I$843)</f>
        <v/>
      </c>
      <c r="G845" s="153" t="str">
        <f t="shared" ca="1" si="179"/>
        <v/>
      </c>
      <c r="H845" s="153" t="str">
        <f ca="1">IF($A845="","",MAX($G$7:G845))</f>
        <v/>
      </c>
      <c r="I845" s="154" t="str">
        <f t="shared" ca="1" si="180"/>
        <v/>
      </c>
      <c r="J845" s="59" t="str">
        <f t="shared" ca="1" si="181"/>
        <v/>
      </c>
      <c r="K845" s="3"/>
      <c r="L845" t="str">
        <f t="shared" ca="1" si="169"/>
        <v/>
      </c>
      <c r="M845" s="132" t="str">
        <f t="shared" ca="1" si="170"/>
        <v/>
      </c>
      <c r="N845" s="132" t="str">
        <f t="shared" ca="1" si="171"/>
        <v/>
      </c>
      <c r="P845" t="str">
        <f t="shared" ca="1" si="172"/>
        <v/>
      </c>
      <c r="Q845" s="133" t="str">
        <f t="shared" ca="1" si="173"/>
        <v/>
      </c>
      <c r="R845" s="133" t="str">
        <f t="shared" ca="1" si="174"/>
        <v/>
      </c>
      <c r="T845" t="str">
        <f t="shared" ca="1" si="175"/>
        <v/>
      </c>
      <c r="U845" s="134" t="str">
        <f t="shared" ca="1" si="176"/>
        <v/>
      </c>
    </row>
    <row r="846" spans="1:21" x14ac:dyDescent="0.3">
      <c r="A846" s="151" t="str">
        <f ca="1">Returns!$A$844</f>
        <v/>
      </c>
      <c r="B846" s="152" t="str">
        <f ca="1">IF($A846="","",Returns!$J$844)</f>
        <v/>
      </c>
      <c r="C846" s="153" t="str">
        <f t="shared" ca="1" si="177"/>
        <v/>
      </c>
      <c r="D846" s="153" t="str">
        <f ca="1">IF($A846="","",MAX($C$7:C846))</f>
        <v/>
      </c>
      <c r="E846" s="154" t="str">
        <f t="shared" ca="1" si="178"/>
        <v/>
      </c>
      <c r="F846" s="152" t="str">
        <f ca="1">IF($A846="","",Returns!$I$844)</f>
        <v/>
      </c>
      <c r="G846" s="153" t="str">
        <f t="shared" ca="1" si="179"/>
        <v/>
      </c>
      <c r="H846" s="153" t="str">
        <f ca="1">IF($A846="","",MAX($G$7:G846))</f>
        <v/>
      </c>
      <c r="I846" s="154" t="str">
        <f t="shared" ca="1" si="180"/>
        <v/>
      </c>
      <c r="J846" s="59" t="str">
        <f t="shared" ca="1" si="181"/>
        <v/>
      </c>
      <c r="K846" s="3"/>
      <c r="L846" t="str">
        <f t="shared" ca="1" si="169"/>
        <v/>
      </c>
      <c r="M846" s="132" t="str">
        <f t="shared" ca="1" si="170"/>
        <v/>
      </c>
      <c r="N846" s="132" t="str">
        <f t="shared" ca="1" si="171"/>
        <v/>
      </c>
      <c r="P846" t="str">
        <f t="shared" ca="1" si="172"/>
        <v/>
      </c>
      <c r="Q846" s="133" t="str">
        <f t="shared" ca="1" si="173"/>
        <v/>
      </c>
      <c r="R846" s="133" t="str">
        <f t="shared" ca="1" si="174"/>
        <v/>
      </c>
      <c r="T846" t="str">
        <f t="shared" ca="1" si="175"/>
        <v/>
      </c>
      <c r="U846" s="134" t="str">
        <f t="shared" ca="1" si="176"/>
        <v/>
      </c>
    </row>
    <row r="847" spans="1:21" x14ac:dyDescent="0.3">
      <c r="A847" s="151" t="str">
        <f ca="1">Returns!$A$845</f>
        <v/>
      </c>
      <c r="B847" s="152" t="str">
        <f ca="1">IF($A847="","",Returns!$J$845)</f>
        <v/>
      </c>
      <c r="C847" s="153" t="str">
        <f t="shared" ca="1" si="177"/>
        <v/>
      </c>
      <c r="D847" s="153" t="str">
        <f ca="1">IF($A847="","",MAX($C$7:C847))</f>
        <v/>
      </c>
      <c r="E847" s="154" t="str">
        <f t="shared" ca="1" si="178"/>
        <v/>
      </c>
      <c r="F847" s="152" t="str">
        <f ca="1">IF($A847="","",Returns!$I$845)</f>
        <v/>
      </c>
      <c r="G847" s="153" t="str">
        <f t="shared" ca="1" si="179"/>
        <v/>
      </c>
      <c r="H847" s="153" t="str">
        <f ca="1">IF($A847="","",MAX($G$7:G847))</f>
        <v/>
      </c>
      <c r="I847" s="154" t="str">
        <f t="shared" ca="1" si="180"/>
        <v/>
      </c>
      <c r="J847" s="59" t="str">
        <f t="shared" ca="1" si="181"/>
        <v/>
      </c>
      <c r="K847" s="3"/>
      <c r="L847" t="str">
        <f t="shared" ca="1" si="169"/>
        <v/>
      </c>
      <c r="M847" s="132" t="str">
        <f t="shared" ca="1" si="170"/>
        <v/>
      </c>
      <c r="N847" s="132" t="str">
        <f t="shared" ca="1" si="171"/>
        <v/>
      </c>
      <c r="P847" t="str">
        <f t="shared" ca="1" si="172"/>
        <v/>
      </c>
      <c r="Q847" s="133" t="str">
        <f t="shared" ca="1" si="173"/>
        <v/>
      </c>
      <c r="R847" s="133" t="str">
        <f t="shared" ca="1" si="174"/>
        <v/>
      </c>
      <c r="T847" t="str">
        <f t="shared" ca="1" si="175"/>
        <v/>
      </c>
      <c r="U847" s="134" t="str">
        <f t="shared" ca="1" si="176"/>
        <v/>
      </c>
    </row>
    <row r="848" spans="1:21" x14ac:dyDescent="0.3">
      <c r="A848" s="151" t="str">
        <f ca="1">Returns!$A$846</f>
        <v/>
      </c>
      <c r="B848" s="152" t="str">
        <f ca="1">IF($A848="","",Returns!$J$846)</f>
        <v/>
      </c>
      <c r="C848" s="153" t="str">
        <f t="shared" ca="1" si="177"/>
        <v/>
      </c>
      <c r="D848" s="153" t="str">
        <f ca="1">IF($A848="","",MAX($C$7:C848))</f>
        <v/>
      </c>
      <c r="E848" s="154" t="str">
        <f t="shared" ca="1" si="178"/>
        <v/>
      </c>
      <c r="F848" s="152" t="str">
        <f ca="1">IF($A848="","",Returns!$I$846)</f>
        <v/>
      </c>
      <c r="G848" s="153" t="str">
        <f t="shared" ca="1" si="179"/>
        <v/>
      </c>
      <c r="H848" s="153" t="str">
        <f ca="1">IF($A848="","",MAX($G$7:G848))</f>
        <v/>
      </c>
      <c r="I848" s="154" t="str">
        <f t="shared" ca="1" si="180"/>
        <v/>
      </c>
      <c r="J848" s="59" t="str">
        <f t="shared" ca="1" si="181"/>
        <v/>
      </c>
      <c r="K848" s="3"/>
      <c r="L848" t="str">
        <f t="shared" ca="1" si="169"/>
        <v/>
      </c>
      <c r="M848" s="132" t="str">
        <f t="shared" ca="1" si="170"/>
        <v/>
      </c>
      <c r="N848" s="132" t="str">
        <f t="shared" ca="1" si="171"/>
        <v/>
      </c>
      <c r="P848" t="str">
        <f t="shared" ca="1" si="172"/>
        <v/>
      </c>
      <c r="Q848" s="133" t="str">
        <f t="shared" ca="1" si="173"/>
        <v/>
      </c>
      <c r="R848" s="133" t="str">
        <f t="shared" ca="1" si="174"/>
        <v/>
      </c>
      <c r="T848" t="str">
        <f t="shared" ca="1" si="175"/>
        <v/>
      </c>
      <c r="U848" s="134" t="str">
        <f t="shared" ca="1" si="176"/>
        <v/>
      </c>
    </row>
    <row r="849" spans="1:21" x14ac:dyDescent="0.3">
      <c r="A849" s="151" t="str">
        <f ca="1">Returns!$A$847</f>
        <v/>
      </c>
      <c r="B849" s="152" t="str">
        <f ca="1">IF($A849="","",Returns!$J$847)</f>
        <v/>
      </c>
      <c r="C849" s="153" t="str">
        <f t="shared" ca="1" si="177"/>
        <v/>
      </c>
      <c r="D849" s="153" t="str">
        <f ca="1">IF($A849="","",MAX($C$7:C849))</f>
        <v/>
      </c>
      <c r="E849" s="154" t="str">
        <f t="shared" ca="1" si="178"/>
        <v/>
      </c>
      <c r="F849" s="152" t="str">
        <f ca="1">IF($A849="","",Returns!$I$847)</f>
        <v/>
      </c>
      <c r="G849" s="153" t="str">
        <f t="shared" ca="1" si="179"/>
        <v/>
      </c>
      <c r="H849" s="153" t="str">
        <f ca="1">IF($A849="","",MAX($G$7:G849))</f>
        <v/>
      </c>
      <c r="I849" s="154" t="str">
        <f t="shared" ca="1" si="180"/>
        <v/>
      </c>
      <c r="J849" s="59" t="str">
        <f t="shared" ca="1" si="181"/>
        <v/>
      </c>
      <c r="K849" s="3"/>
      <c r="L849" t="str">
        <f t="shared" ca="1" si="169"/>
        <v/>
      </c>
      <c r="M849" s="132" t="str">
        <f t="shared" ca="1" si="170"/>
        <v/>
      </c>
      <c r="N849" s="132" t="str">
        <f t="shared" ca="1" si="171"/>
        <v/>
      </c>
      <c r="P849" t="str">
        <f t="shared" ca="1" si="172"/>
        <v/>
      </c>
      <c r="Q849" s="133" t="str">
        <f t="shared" ca="1" si="173"/>
        <v/>
      </c>
      <c r="R849" s="133" t="str">
        <f t="shared" ca="1" si="174"/>
        <v/>
      </c>
      <c r="T849" t="str">
        <f t="shared" ca="1" si="175"/>
        <v/>
      </c>
      <c r="U849" s="134" t="str">
        <f t="shared" ca="1" si="176"/>
        <v/>
      </c>
    </row>
    <row r="850" spans="1:21" x14ac:dyDescent="0.3">
      <c r="A850" s="151" t="str">
        <f ca="1">Returns!$A$848</f>
        <v/>
      </c>
      <c r="B850" s="152" t="str">
        <f ca="1">IF($A850="","",Returns!$J$848)</f>
        <v/>
      </c>
      <c r="C850" s="153" t="str">
        <f t="shared" ca="1" si="177"/>
        <v/>
      </c>
      <c r="D850" s="153" t="str">
        <f ca="1">IF($A850="","",MAX($C$7:C850))</f>
        <v/>
      </c>
      <c r="E850" s="154" t="str">
        <f t="shared" ca="1" si="178"/>
        <v/>
      </c>
      <c r="F850" s="152" t="str">
        <f ca="1">IF($A850="","",Returns!$I$848)</f>
        <v/>
      </c>
      <c r="G850" s="153" t="str">
        <f t="shared" ca="1" si="179"/>
        <v/>
      </c>
      <c r="H850" s="153" t="str">
        <f ca="1">IF($A850="","",MAX($G$7:G850))</f>
        <v/>
      </c>
      <c r="I850" s="154" t="str">
        <f t="shared" ca="1" si="180"/>
        <v/>
      </c>
      <c r="J850" s="59" t="str">
        <f t="shared" ca="1" si="181"/>
        <v/>
      </c>
      <c r="K850" s="3"/>
      <c r="L850" t="str">
        <f t="shared" ca="1" si="169"/>
        <v/>
      </c>
      <c r="M850" s="132" t="str">
        <f t="shared" ca="1" si="170"/>
        <v/>
      </c>
      <c r="N850" s="132" t="str">
        <f t="shared" ca="1" si="171"/>
        <v/>
      </c>
      <c r="P850" t="str">
        <f t="shared" ca="1" si="172"/>
        <v/>
      </c>
      <c r="Q850" s="133" t="str">
        <f t="shared" ca="1" si="173"/>
        <v/>
      </c>
      <c r="R850" s="133" t="str">
        <f t="shared" ca="1" si="174"/>
        <v/>
      </c>
      <c r="T850" t="str">
        <f t="shared" ca="1" si="175"/>
        <v/>
      </c>
      <c r="U850" s="134" t="str">
        <f t="shared" ca="1" si="176"/>
        <v/>
      </c>
    </row>
    <row r="851" spans="1:21" x14ac:dyDescent="0.3">
      <c r="A851" s="151" t="str">
        <f ca="1">Returns!$A$849</f>
        <v/>
      </c>
      <c r="B851" s="152" t="str">
        <f ca="1">IF($A851="","",Returns!$J$849)</f>
        <v/>
      </c>
      <c r="C851" s="153" t="str">
        <f t="shared" ca="1" si="177"/>
        <v/>
      </c>
      <c r="D851" s="153" t="str">
        <f ca="1">IF($A851="","",MAX($C$7:C851))</f>
        <v/>
      </c>
      <c r="E851" s="154" t="str">
        <f t="shared" ca="1" si="178"/>
        <v/>
      </c>
      <c r="F851" s="152" t="str">
        <f ca="1">IF($A851="","",Returns!$I$849)</f>
        <v/>
      </c>
      <c r="G851" s="153" t="str">
        <f t="shared" ca="1" si="179"/>
        <v/>
      </c>
      <c r="H851" s="153" t="str">
        <f ca="1">IF($A851="","",MAX($G$7:G851))</f>
        <v/>
      </c>
      <c r="I851" s="154" t="str">
        <f t="shared" ca="1" si="180"/>
        <v/>
      </c>
      <c r="J851" s="59" t="str">
        <f t="shared" ca="1" si="181"/>
        <v/>
      </c>
      <c r="K851" s="3"/>
      <c r="L851" t="str">
        <f t="shared" ca="1" si="169"/>
        <v/>
      </c>
      <c r="M851" s="132" t="str">
        <f t="shared" ca="1" si="170"/>
        <v/>
      </c>
      <c r="N851" s="132" t="str">
        <f t="shared" ca="1" si="171"/>
        <v/>
      </c>
      <c r="P851" t="str">
        <f t="shared" ca="1" si="172"/>
        <v/>
      </c>
      <c r="Q851" s="133" t="str">
        <f t="shared" ca="1" si="173"/>
        <v/>
      </c>
      <c r="R851" s="133" t="str">
        <f t="shared" ca="1" si="174"/>
        <v/>
      </c>
      <c r="T851" t="str">
        <f t="shared" ca="1" si="175"/>
        <v/>
      </c>
      <c r="U851" s="134" t="str">
        <f t="shared" ca="1" si="176"/>
        <v/>
      </c>
    </row>
    <row r="852" spans="1:21" x14ac:dyDescent="0.3">
      <c r="A852" s="151" t="str">
        <f ca="1">Returns!$A$850</f>
        <v/>
      </c>
      <c r="B852" s="152" t="str">
        <f ca="1">IF($A852="","",Returns!$J$850)</f>
        <v/>
      </c>
      <c r="C852" s="153" t="str">
        <f t="shared" ca="1" si="177"/>
        <v/>
      </c>
      <c r="D852" s="153" t="str">
        <f ca="1">IF($A852="","",MAX($C$7:C852))</f>
        <v/>
      </c>
      <c r="E852" s="154" t="str">
        <f t="shared" ca="1" si="178"/>
        <v/>
      </c>
      <c r="F852" s="152" t="str">
        <f ca="1">IF($A852="","",Returns!$I$850)</f>
        <v/>
      </c>
      <c r="G852" s="153" t="str">
        <f t="shared" ca="1" si="179"/>
        <v/>
      </c>
      <c r="H852" s="153" t="str">
        <f ca="1">IF($A852="","",MAX($G$7:G852))</f>
        <v/>
      </c>
      <c r="I852" s="154" t="str">
        <f t="shared" ca="1" si="180"/>
        <v/>
      </c>
      <c r="J852" s="59" t="str">
        <f t="shared" ca="1" si="181"/>
        <v/>
      </c>
      <c r="K852" s="3"/>
      <c r="L852" t="str">
        <f t="shared" ca="1" si="169"/>
        <v/>
      </c>
      <c r="M852" s="132" t="str">
        <f t="shared" ca="1" si="170"/>
        <v/>
      </c>
      <c r="N852" s="132" t="str">
        <f t="shared" ca="1" si="171"/>
        <v/>
      </c>
      <c r="P852" t="str">
        <f t="shared" ca="1" si="172"/>
        <v/>
      </c>
      <c r="Q852" s="133" t="str">
        <f t="shared" ca="1" si="173"/>
        <v/>
      </c>
      <c r="R852" s="133" t="str">
        <f t="shared" ca="1" si="174"/>
        <v/>
      </c>
      <c r="T852" t="str">
        <f t="shared" ca="1" si="175"/>
        <v/>
      </c>
      <c r="U852" s="134" t="str">
        <f t="shared" ca="1" si="176"/>
        <v/>
      </c>
    </row>
    <row r="853" spans="1:21" x14ac:dyDescent="0.3">
      <c r="A853" s="151" t="str">
        <f ca="1">Returns!$A$851</f>
        <v/>
      </c>
      <c r="B853" s="152" t="str">
        <f ca="1">IF($A853="","",Returns!$J$851)</f>
        <v/>
      </c>
      <c r="C853" s="153" t="str">
        <f t="shared" ca="1" si="177"/>
        <v/>
      </c>
      <c r="D853" s="153" t="str">
        <f ca="1">IF($A853="","",MAX($C$7:C853))</f>
        <v/>
      </c>
      <c r="E853" s="154" t="str">
        <f t="shared" ca="1" si="178"/>
        <v/>
      </c>
      <c r="F853" s="152" t="str">
        <f ca="1">IF($A853="","",Returns!$I$851)</f>
        <v/>
      </c>
      <c r="G853" s="153" t="str">
        <f t="shared" ca="1" si="179"/>
        <v/>
      </c>
      <c r="H853" s="153" t="str">
        <f ca="1">IF($A853="","",MAX($G$7:G853))</f>
        <v/>
      </c>
      <c r="I853" s="154" t="str">
        <f t="shared" ca="1" si="180"/>
        <v/>
      </c>
      <c r="J853" s="59" t="str">
        <f t="shared" ca="1" si="181"/>
        <v/>
      </c>
      <c r="K853" s="3"/>
      <c r="L853" t="str">
        <f t="shared" ca="1" si="169"/>
        <v/>
      </c>
      <c r="M853" s="132" t="str">
        <f t="shared" ca="1" si="170"/>
        <v/>
      </c>
      <c r="N853" s="132" t="str">
        <f t="shared" ca="1" si="171"/>
        <v/>
      </c>
      <c r="P853" t="str">
        <f t="shared" ca="1" si="172"/>
        <v/>
      </c>
      <c r="Q853" s="133" t="str">
        <f t="shared" ca="1" si="173"/>
        <v/>
      </c>
      <c r="R853" s="133" t="str">
        <f t="shared" ca="1" si="174"/>
        <v/>
      </c>
      <c r="T853" t="str">
        <f t="shared" ca="1" si="175"/>
        <v/>
      </c>
      <c r="U853" s="134" t="str">
        <f t="shared" ca="1" si="176"/>
        <v/>
      </c>
    </row>
    <row r="854" spans="1:21" x14ac:dyDescent="0.3">
      <c r="A854" s="151" t="str">
        <f ca="1">Returns!$A$852</f>
        <v/>
      </c>
      <c r="B854" s="152" t="str">
        <f ca="1">IF($A854="","",Returns!$J$852)</f>
        <v/>
      </c>
      <c r="C854" s="153" t="str">
        <f t="shared" ca="1" si="177"/>
        <v/>
      </c>
      <c r="D854" s="153" t="str">
        <f ca="1">IF($A854="","",MAX($C$7:C854))</f>
        <v/>
      </c>
      <c r="E854" s="154" t="str">
        <f t="shared" ca="1" si="178"/>
        <v/>
      </c>
      <c r="F854" s="152" t="str">
        <f ca="1">IF($A854="","",Returns!$I$852)</f>
        <v/>
      </c>
      <c r="G854" s="153" t="str">
        <f t="shared" ca="1" si="179"/>
        <v/>
      </c>
      <c r="H854" s="153" t="str">
        <f ca="1">IF($A854="","",MAX($G$7:G854))</f>
        <v/>
      </c>
      <c r="I854" s="154" t="str">
        <f t="shared" ca="1" si="180"/>
        <v/>
      </c>
      <c r="J854" s="59" t="str">
        <f t="shared" ca="1" si="181"/>
        <v/>
      </c>
      <c r="K854" s="3"/>
      <c r="L854" t="str">
        <f t="shared" ca="1" si="169"/>
        <v/>
      </c>
      <c r="M854" s="132" t="str">
        <f t="shared" ca="1" si="170"/>
        <v/>
      </c>
      <c r="N854" s="132" t="str">
        <f t="shared" ca="1" si="171"/>
        <v/>
      </c>
      <c r="P854" t="str">
        <f t="shared" ca="1" si="172"/>
        <v/>
      </c>
      <c r="Q854" s="133" t="str">
        <f t="shared" ca="1" si="173"/>
        <v/>
      </c>
      <c r="R854" s="133" t="str">
        <f t="shared" ca="1" si="174"/>
        <v/>
      </c>
      <c r="T854" t="str">
        <f t="shared" ca="1" si="175"/>
        <v/>
      </c>
      <c r="U854" s="134" t="str">
        <f t="shared" ca="1" si="176"/>
        <v/>
      </c>
    </row>
    <row r="855" spans="1:21" x14ac:dyDescent="0.3">
      <c r="A855" s="151" t="str">
        <f ca="1">Returns!$A$853</f>
        <v/>
      </c>
      <c r="B855" s="152" t="str">
        <f ca="1">IF($A855="","",Returns!$J$853)</f>
        <v/>
      </c>
      <c r="C855" s="153" t="str">
        <f t="shared" ca="1" si="177"/>
        <v/>
      </c>
      <c r="D855" s="153" t="str">
        <f ca="1">IF($A855="","",MAX($C$7:C855))</f>
        <v/>
      </c>
      <c r="E855" s="154" t="str">
        <f t="shared" ca="1" si="178"/>
        <v/>
      </c>
      <c r="F855" s="152" t="str">
        <f ca="1">IF($A855="","",Returns!$I$853)</f>
        <v/>
      </c>
      <c r="G855" s="153" t="str">
        <f t="shared" ca="1" si="179"/>
        <v/>
      </c>
      <c r="H855" s="153" t="str">
        <f ca="1">IF($A855="","",MAX($G$7:G855))</f>
        <v/>
      </c>
      <c r="I855" s="154" t="str">
        <f t="shared" ca="1" si="180"/>
        <v/>
      </c>
      <c r="J855" s="59" t="str">
        <f t="shared" ca="1" si="181"/>
        <v/>
      </c>
      <c r="K855" s="3"/>
      <c r="L855" t="str">
        <f t="shared" ca="1" si="169"/>
        <v/>
      </c>
      <c r="M855" s="132" t="str">
        <f t="shared" ca="1" si="170"/>
        <v/>
      </c>
      <c r="N855" s="132" t="str">
        <f t="shared" ca="1" si="171"/>
        <v/>
      </c>
      <c r="P855" t="str">
        <f t="shared" ca="1" si="172"/>
        <v/>
      </c>
      <c r="Q855" s="133" t="str">
        <f t="shared" ca="1" si="173"/>
        <v/>
      </c>
      <c r="R855" s="133" t="str">
        <f t="shared" ca="1" si="174"/>
        <v/>
      </c>
      <c r="T855" t="str">
        <f t="shared" ca="1" si="175"/>
        <v/>
      </c>
      <c r="U855" s="134" t="str">
        <f t="shared" ca="1" si="176"/>
        <v/>
      </c>
    </row>
    <row r="856" spans="1:21" x14ac:dyDescent="0.3">
      <c r="A856" s="151" t="str">
        <f ca="1">Returns!$A$854</f>
        <v/>
      </c>
      <c r="B856" s="152" t="str">
        <f ca="1">IF($A856="","",Returns!$J$854)</f>
        <v/>
      </c>
      <c r="C856" s="153" t="str">
        <f t="shared" ca="1" si="177"/>
        <v/>
      </c>
      <c r="D856" s="153" t="str">
        <f ca="1">IF($A856="","",MAX($C$7:C856))</f>
        <v/>
      </c>
      <c r="E856" s="154" t="str">
        <f t="shared" ca="1" si="178"/>
        <v/>
      </c>
      <c r="F856" s="152" t="str">
        <f ca="1">IF($A856="","",Returns!$I$854)</f>
        <v/>
      </c>
      <c r="G856" s="153" t="str">
        <f t="shared" ca="1" si="179"/>
        <v/>
      </c>
      <c r="H856" s="153" t="str">
        <f ca="1">IF($A856="","",MAX($G$7:G856))</f>
        <v/>
      </c>
      <c r="I856" s="154" t="str">
        <f t="shared" ca="1" si="180"/>
        <v/>
      </c>
      <c r="J856" s="59" t="str">
        <f t="shared" ca="1" si="181"/>
        <v/>
      </c>
      <c r="K856" s="3"/>
      <c r="L856" t="str">
        <f t="shared" ca="1" si="169"/>
        <v/>
      </c>
      <c r="M856" s="132" t="str">
        <f t="shared" ca="1" si="170"/>
        <v/>
      </c>
      <c r="N856" s="132" t="str">
        <f t="shared" ca="1" si="171"/>
        <v/>
      </c>
      <c r="P856" t="str">
        <f t="shared" ca="1" si="172"/>
        <v/>
      </c>
      <c r="Q856" s="133" t="str">
        <f t="shared" ca="1" si="173"/>
        <v/>
      </c>
      <c r="R856" s="133" t="str">
        <f t="shared" ca="1" si="174"/>
        <v/>
      </c>
      <c r="T856" t="str">
        <f t="shared" ca="1" si="175"/>
        <v/>
      </c>
      <c r="U856" s="134" t="str">
        <f t="shared" ca="1" si="176"/>
        <v/>
      </c>
    </row>
    <row r="857" spans="1:21" x14ac:dyDescent="0.3">
      <c r="A857" s="151" t="str">
        <f ca="1">Returns!$A$855</f>
        <v/>
      </c>
      <c r="B857" s="152" t="str">
        <f ca="1">IF($A857="","",Returns!$J$855)</f>
        <v/>
      </c>
      <c r="C857" s="153" t="str">
        <f t="shared" ca="1" si="177"/>
        <v/>
      </c>
      <c r="D857" s="153" t="str">
        <f ca="1">IF($A857="","",MAX($C$7:C857))</f>
        <v/>
      </c>
      <c r="E857" s="154" t="str">
        <f t="shared" ca="1" si="178"/>
        <v/>
      </c>
      <c r="F857" s="152" t="str">
        <f ca="1">IF($A857="","",Returns!$I$855)</f>
        <v/>
      </c>
      <c r="G857" s="153" t="str">
        <f t="shared" ca="1" si="179"/>
        <v/>
      </c>
      <c r="H857" s="153" t="str">
        <f ca="1">IF($A857="","",MAX($G$7:G857))</f>
        <v/>
      </c>
      <c r="I857" s="154" t="str">
        <f t="shared" ca="1" si="180"/>
        <v/>
      </c>
      <c r="J857" s="59" t="str">
        <f t="shared" ca="1" si="181"/>
        <v/>
      </c>
      <c r="K857" s="3"/>
      <c r="L857" t="str">
        <f t="shared" ca="1" si="169"/>
        <v/>
      </c>
      <c r="M857" s="132" t="str">
        <f t="shared" ca="1" si="170"/>
        <v/>
      </c>
      <c r="N857" s="132" t="str">
        <f t="shared" ca="1" si="171"/>
        <v/>
      </c>
      <c r="P857" t="str">
        <f t="shared" ca="1" si="172"/>
        <v/>
      </c>
      <c r="Q857" s="133" t="str">
        <f t="shared" ca="1" si="173"/>
        <v/>
      </c>
      <c r="R857" s="133" t="str">
        <f t="shared" ca="1" si="174"/>
        <v/>
      </c>
      <c r="T857" t="str">
        <f t="shared" ca="1" si="175"/>
        <v/>
      </c>
      <c r="U857" s="134" t="str">
        <f t="shared" ca="1" si="176"/>
        <v/>
      </c>
    </row>
    <row r="858" spans="1:21" x14ac:dyDescent="0.3">
      <c r="A858" s="151" t="str">
        <f ca="1">Returns!$A$856</f>
        <v/>
      </c>
      <c r="B858" s="152" t="str">
        <f ca="1">IF($A858="","",Returns!$J$856)</f>
        <v/>
      </c>
      <c r="C858" s="153" t="str">
        <f t="shared" ca="1" si="177"/>
        <v/>
      </c>
      <c r="D858" s="153" t="str">
        <f ca="1">IF($A858="","",MAX($C$7:C858))</f>
        <v/>
      </c>
      <c r="E858" s="154" t="str">
        <f t="shared" ca="1" si="178"/>
        <v/>
      </c>
      <c r="F858" s="152" t="str">
        <f ca="1">IF($A858="","",Returns!$I$856)</f>
        <v/>
      </c>
      <c r="G858" s="153" t="str">
        <f t="shared" ca="1" si="179"/>
        <v/>
      </c>
      <c r="H858" s="153" t="str">
        <f ca="1">IF($A858="","",MAX($G$7:G858))</f>
        <v/>
      </c>
      <c r="I858" s="154" t="str">
        <f t="shared" ca="1" si="180"/>
        <v/>
      </c>
      <c r="J858" s="59" t="str">
        <f t="shared" ca="1" si="181"/>
        <v/>
      </c>
      <c r="K858" s="3"/>
      <c r="L858" t="str">
        <f t="shared" ca="1" si="169"/>
        <v/>
      </c>
      <c r="M858" s="132" t="str">
        <f t="shared" ca="1" si="170"/>
        <v/>
      </c>
      <c r="N858" s="132" t="str">
        <f t="shared" ca="1" si="171"/>
        <v/>
      </c>
      <c r="P858" t="str">
        <f t="shared" ca="1" si="172"/>
        <v/>
      </c>
      <c r="Q858" s="133" t="str">
        <f t="shared" ca="1" si="173"/>
        <v/>
      </c>
      <c r="R858" s="133" t="str">
        <f t="shared" ca="1" si="174"/>
        <v/>
      </c>
      <c r="T858" t="str">
        <f t="shared" ca="1" si="175"/>
        <v/>
      </c>
      <c r="U858" s="134" t="str">
        <f t="shared" ca="1" si="176"/>
        <v/>
      </c>
    </row>
    <row r="859" spans="1:21" x14ac:dyDescent="0.3">
      <c r="A859" s="151" t="str">
        <f ca="1">Returns!$A$857</f>
        <v/>
      </c>
      <c r="B859" s="152" t="str">
        <f ca="1">IF($A859="","",Returns!$J$857)</f>
        <v/>
      </c>
      <c r="C859" s="153" t="str">
        <f t="shared" ca="1" si="177"/>
        <v/>
      </c>
      <c r="D859" s="153" t="str">
        <f ca="1">IF($A859="","",MAX($C$7:C859))</f>
        <v/>
      </c>
      <c r="E859" s="154" t="str">
        <f t="shared" ca="1" si="178"/>
        <v/>
      </c>
      <c r="F859" s="152" t="str">
        <f ca="1">IF($A859="","",Returns!$I$857)</f>
        <v/>
      </c>
      <c r="G859" s="153" t="str">
        <f t="shared" ca="1" si="179"/>
        <v/>
      </c>
      <c r="H859" s="153" t="str">
        <f ca="1">IF($A859="","",MAX($G$7:G859))</f>
        <v/>
      </c>
      <c r="I859" s="154" t="str">
        <f t="shared" ca="1" si="180"/>
        <v/>
      </c>
      <c r="J859" s="59" t="str">
        <f t="shared" ca="1" si="181"/>
        <v/>
      </c>
      <c r="K859" s="3"/>
      <c r="L859" t="str">
        <f t="shared" ca="1" si="169"/>
        <v/>
      </c>
      <c r="M859" s="132" t="str">
        <f t="shared" ca="1" si="170"/>
        <v/>
      </c>
      <c r="N859" s="132" t="str">
        <f t="shared" ca="1" si="171"/>
        <v/>
      </c>
      <c r="P859" t="str">
        <f t="shared" ca="1" si="172"/>
        <v/>
      </c>
      <c r="Q859" s="133" t="str">
        <f t="shared" ca="1" si="173"/>
        <v/>
      </c>
      <c r="R859" s="133" t="str">
        <f t="shared" ca="1" si="174"/>
        <v/>
      </c>
      <c r="T859" t="str">
        <f t="shared" ca="1" si="175"/>
        <v/>
      </c>
      <c r="U859" s="134" t="str">
        <f t="shared" ca="1" si="176"/>
        <v/>
      </c>
    </row>
    <row r="860" spans="1:21" x14ac:dyDescent="0.3">
      <c r="A860" s="151" t="str">
        <f ca="1">Returns!$A$858</f>
        <v/>
      </c>
      <c r="B860" s="152" t="str">
        <f ca="1">IF($A860="","",Returns!$J$858)</f>
        <v/>
      </c>
      <c r="C860" s="153" t="str">
        <f t="shared" ca="1" si="177"/>
        <v/>
      </c>
      <c r="D860" s="153" t="str">
        <f ca="1">IF($A860="","",MAX($C$7:C860))</f>
        <v/>
      </c>
      <c r="E860" s="154" t="str">
        <f t="shared" ca="1" si="178"/>
        <v/>
      </c>
      <c r="F860" s="152" t="str">
        <f ca="1">IF($A860="","",Returns!$I$858)</f>
        <v/>
      </c>
      <c r="G860" s="153" t="str">
        <f t="shared" ca="1" si="179"/>
        <v/>
      </c>
      <c r="H860" s="153" t="str">
        <f ca="1">IF($A860="","",MAX($G$7:G860))</f>
        <v/>
      </c>
      <c r="I860" s="154" t="str">
        <f t="shared" ca="1" si="180"/>
        <v/>
      </c>
      <c r="J860" s="59" t="str">
        <f t="shared" ca="1" si="181"/>
        <v/>
      </c>
      <c r="K860" s="3"/>
      <c r="L860" t="str">
        <f t="shared" ca="1" si="169"/>
        <v/>
      </c>
      <c r="M860" s="132" t="str">
        <f t="shared" ca="1" si="170"/>
        <v/>
      </c>
      <c r="N860" s="132" t="str">
        <f t="shared" ca="1" si="171"/>
        <v/>
      </c>
      <c r="P860" t="str">
        <f t="shared" ca="1" si="172"/>
        <v/>
      </c>
      <c r="Q860" s="133" t="str">
        <f t="shared" ca="1" si="173"/>
        <v/>
      </c>
      <c r="R860" s="133" t="str">
        <f t="shared" ca="1" si="174"/>
        <v/>
      </c>
      <c r="T860" t="str">
        <f t="shared" ca="1" si="175"/>
        <v/>
      </c>
      <c r="U860" s="134" t="str">
        <f t="shared" ca="1" si="176"/>
        <v/>
      </c>
    </row>
    <row r="861" spans="1:21" x14ac:dyDescent="0.3">
      <c r="A861" s="151" t="str">
        <f ca="1">Returns!$A$859</f>
        <v/>
      </c>
      <c r="B861" s="152" t="str">
        <f ca="1">IF($A861="","",Returns!$J$859)</f>
        <v/>
      </c>
      <c r="C861" s="153" t="str">
        <f t="shared" ca="1" si="177"/>
        <v/>
      </c>
      <c r="D861" s="153" t="str">
        <f ca="1">IF($A861="","",MAX($C$7:C861))</f>
        <v/>
      </c>
      <c r="E861" s="154" t="str">
        <f t="shared" ca="1" si="178"/>
        <v/>
      </c>
      <c r="F861" s="152" t="str">
        <f ca="1">IF($A861="","",Returns!$I$859)</f>
        <v/>
      </c>
      <c r="G861" s="153" t="str">
        <f t="shared" ca="1" si="179"/>
        <v/>
      </c>
      <c r="H861" s="153" t="str">
        <f ca="1">IF($A861="","",MAX($G$7:G861))</f>
        <v/>
      </c>
      <c r="I861" s="154" t="str">
        <f t="shared" ca="1" si="180"/>
        <v/>
      </c>
      <c r="J861" s="59" t="str">
        <f t="shared" ca="1" si="181"/>
        <v/>
      </c>
      <c r="K861" s="3"/>
      <c r="L861" t="str">
        <f t="shared" ca="1" si="169"/>
        <v/>
      </c>
      <c r="M861" s="132" t="str">
        <f t="shared" ca="1" si="170"/>
        <v/>
      </c>
      <c r="N861" s="132" t="str">
        <f t="shared" ca="1" si="171"/>
        <v/>
      </c>
      <c r="P861" t="str">
        <f t="shared" ca="1" si="172"/>
        <v/>
      </c>
      <c r="Q861" s="133" t="str">
        <f t="shared" ca="1" si="173"/>
        <v/>
      </c>
      <c r="R861" s="133" t="str">
        <f t="shared" ca="1" si="174"/>
        <v/>
      </c>
      <c r="T861" t="str">
        <f t="shared" ca="1" si="175"/>
        <v/>
      </c>
      <c r="U861" s="134" t="str">
        <f t="shared" ca="1" si="176"/>
        <v/>
      </c>
    </row>
    <row r="862" spans="1:21" x14ac:dyDescent="0.3">
      <c r="A862" s="151" t="str">
        <f ca="1">Returns!$A$860</f>
        <v/>
      </c>
      <c r="B862" s="152" t="str">
        <f ca="1">IF($A862="","",Returns!$J$860)</f>
        <v/>
      </c>
      <c r="C862" s="153" t="str">
        <f t="shared" ca="1" si="177"/>
        <v/>
      </c>
      <c r="D862" s="153" t="str">
        <f ca="1">IF($A862="","",MAX($C$7:C862))</f>
        <v/>
      </c>
      <c r="E862" s="154" t="str">
        <f t="shared" ca="1" si="178"/>
        <v/>
      </c>
      <c r="F862" s="152" t="str">
        <f ca="1">IF($A862="","",Returns!$I$860)</f>
        <v/>
      </c>
      <c r="G862" s="153" t="str">
        <f t="shared" ca="1" si="179"/>
        <v/>
      </c>
      <c r="H862" s="153" t="str">
        <f ca="1">IF($A862="","",MAX($G$7:G862))</f>
        <v/>
      </c>
      <c r="I862" s="154" t="str">
        <f t="shared" ca="1" si="180"/>
        <v/>
      </c>
      <c r="J862" s="59" t="str">
        <f t="shared" ca="1" si="181"/>
        <v/>
      </c>
      <c r="K862" s="3"/>
      <c r="L862" t="str">
        <f t="shared" ca="1" si="169"/>
        <v/>
      </c>
      <c r="M862" s="132" t="str">
        <f t="shared" ca="1" si="170"/>
        <v/>
      </c>
      <c r="N862" s="132" t="str">
        <f t="shared" ca="1" si="171"/>
        <v/>
      </c>
      <c r="P862" t="str">
        <f t="shared" ca="1" si="172"/>
        <v/>
      </c>
      <c r="Q862" s="133" t="str">
        <f t="shared" ca="1" si="173"/>
        <v/>
      </c>
      <c r="R862" s="133" t="str">
        <f t="shared" ca="1" si="174"/>
        <v/>
      </c>
      <c r="T862" t="str">
        <f t="shared" ca="1" si="175"/>
        <v/>
      </c>
      <c r="U862" s="134" t="str">
        <f t="shared" ca="1" si="176"/>
        <v/>
      </c>
    </row>
    <row r="863" spans="1:21" x14ac:dyDescent="0.3">
      <c r="A863" s="151" t="str">
        <f ca="1">Returns!$A$861</f>
        <v/>
      </c>
      <c r="B863" s="152" t="str">
        <f ca="1">IF($A863="","",Returns!$J$861)</f>
        <v/>
      </c>
      <c r="C863" s="153" t="str">
        <f t="shared" ca="1" si="177"/>
        <v/>
      </c>
      <c r="D863" s="153" t="str">
        <f ca="1">IF($A863="","",MAX($C$7:C863))</f>
        <v/>
      </c>
      <c r="E863" s="154" t="str">
        <f t="shared" ca="1" si="178"/>
        <v/>
      </c>
      <c r="F863" s="152" t="str">
        <f ca="1">IF($A863="","",Returns!$I$861)</f>
        <v/>
      </c>
      <c r="G863" s="153" t="str">
        <f t="shared" ca="1" si="179"/>
        <v/>
      </c>
      <c r="H863" s="153" t="str">
        <f ca="1">IF($A863="","",MAX($G$7:G863))</f>
        <v/>
      </c>
      <c r="I863" s="154" t="str">
        <f t="shared" ca="1" si="180"/>
        <v/>
      </c>
      <c r="J863" s="59" t="str">
        <f t="shared" ca="1" si="181"/>
        <v/>
      </c>
      <c r="K863" s="3"/>
      <c r="L863" t="str">
        <f t="shared" ca="1" si="169"/>
        <v/>
      </c>
      <c r="M863" s="132" t="str">
        <f t="shared" ca="1" si="170"/>
        <v/>
      </c>
      <c r="N863" s="132" t="str">
        <f t="shared" ca="1" si="171"/>
        <v/>
      </c>
      <c r="P863" t="str">
        <f t="shared" ca="1" si="172"/>
        <v/>
      </c>
      <c r="Q863" s="133" t="str">
        <f t="shared" ca="1" si="173"/>
        <v/>
      </c>
      <c r="R863" s="133" t="str">
        <f t="shared" ca="1" si="174"/>
        <v/>
      </c>
      <c r="T863" t="str">
        <f t="shared" ca="1" si="175"/>
        <v/>
      </c>
      <c r="U863" s="134" t="str">
        <f t="shared" ca="1" si="176"/>
        <v/>
      </c>
    </row>
    <row r="864" spans="1:21" x14ac:dyDescent="0.3">
      <c r="A864" s="151" t="str">
        <f ca="1">Returns!$A$862</f>
        <v/>
      </c>
      <c r="B864" s="152" t="str">
        <f ca="1">IF($A864="","",Returns!$J$862)</f>
        <v/>
      </c>
      <c r="C864" s="153" t="str">
        <f t="shared" ca="1" si="177"/>
        <v/>
      </c>
      <c r="D864" s="153" t="str">
        <f ca="1">IF($A864="","",MAX($C$7:C864))</f>
        <v/>
      </c>
      <c r="E864" s="154" t="str">
        <f t="shared" ca="1" si="178"/>
        <v/>
      </c>
      <c r="F864" s="152" t="str">
        <f ca="1">IF($A864="","",Returns!$I$862)</f>
        <v/>
      </c>
      <c r="G864" s="153" t="str">
        <f t="shared" ca="1" si="179"/>
        <v/>
      </c>
      <c r="H864" s="153" t="str">
        <f ca="1">IF($A864="","",MAX($G$7:G864))</f>
        <v/>
      </c>
      <c r="I864" s="154" t="str">
        <f t="shared" ca="1" si="180"/>
        <v/>
      </c>
      <c r="J864" s="59" t="str">
        <f t="shared" ca="1" si="181"/>
        <v/>
      </c>
      <c r="K864" s="3"/>
      <c r="L864" t="str">
        <f t="shared" ca="1" si="169"/>
        <v/>
      </c>
      <c r="M864" s="132" t="str">
        <f t="shared" ca="1" si="170"/>
        <v/>
      </c>
      <c r="N864" s="132" t="str">
        <f t="shared" ca="1" si="171"/>
        <v/>
      </c>
      <c r="P864" t="str">
        <f t="shared" ca="1" si="172"/>
        <v/>
      </c>
      <c r="Q864" s="133" t="str">
        <f t="shared" ca="1" si="173"/>
        <v/>
      </c>
      <c r="R864" s="133" t="str">
        <f t="shared" ca="1" si="174"/>
        <v/>
      </c>
      <c r="T864" t="str">
        <f t="shared" ca="1" si="175"/>
        <v/>
      </c>
      <c r="U864" s="134" t="str">
        <f t="shared" ca="1" si="176"/>
        <v/>
      </c>
    </row>
    <row r="865" spans="1:21" x14ac:dyDescent="0.3">
      <c r="A865" s="151" t="str">
        <f ca="1">Returns!$A$863</f>
        <v/>
      </c>
      <c r="B865" s="152" t="str">
        <f ca="1">IF($A865="","",Returns!$J$863)</f>
        <v/>
      </c>
      <c r="C865" s="153" t="str">
        <f t="shared" ca="1" si="177"/>
        <v/>
      </c>
      <c r="D865" s="153" t="str">
        <f ca="1">IF($A865="","",MAX($C$7:C865))</f>
        <v/>
      </c>
      <c r="E865" s="154" t="str">
        <f t="shared" ca="1" si="178"/>
        <v/>
      </c>
      <c r="F865" s="152" t="str">
        <f ca="1">IF($A865="","",Returns!$I$863)</f>
        <v/>
      </c>
      <c r="G865" s="153" t="str">
        <f t="shared" ca="1" si="179"/>
        <v/>
      </c>
      <c r="H865" s="153" t="str">
        <f ca="1">IF($A865="","",MAX($G$7:G865))</f>
        <v/>
      </c>
      <c r="I865" s="154" t="str">
        <f t="shared" ca="1" si="180"/>
        <v/>
      </c>
      <c r="J865" s="59" t="str">
        <f t="shared" ca="1" si="181"/>
        <v/>
      </c>
      <c r="K865" s="3"/>
      <c r="L865" t="str">
        <f t="shared" ca="1" si="169"/>
        <v/>
      </c>
      <c r="M865" s="132" t="str">
        <f t="shared" ca="1" si="170"/>
        <v/>
      </c>
      <c r="N865" s="132" t="str">
        <f t="shared" ca="1" si="171"/>
        <v/>
      </c>
      <c r="P865" t="str">
        <f t="shared" ca="1" si="172"/>
        <v/>
      </c>
      <c r="Q865" s="133" t="str">
        <f t="shared" ca="1" si="173"/>
        <v/>
      </c>
      <c r="R865" s="133" t="str">
        <f t="shared" ca="1" si="174"/>
        <v/>
      </c>
      <c r="T865" t="str">
        <f t="shared" ca="1" si="175"/>
        <v/>
      </c>
      <c r="U865" s="134" t="str">
        <f t="shared" ca="1" si="176"/>
        <v/>
      </c>
    </row>
    <row r="866" spans="1:21" x14ac:dyDescent="0.3">
      <c r="A866" s="151" t="str">
        <f ca="1">Returns!$A$864</f>
        <v/>
      </c>
      <c r="B866" s="152" t="str">
        <f ca="1">IF($A866="","",Returns!$J$864)</f>
        <v/>
      </c>
      <c r="C866" s="153" t="str">
        <f t="shared" ca="1" si="177"/>
        <v/>
      </c>
      <c r="D866" s="153" t="str">
        <f ca="1">IF($A866="","",MAX($C$7:C866))</f>
        <v/>
      </c>
      <c r="E866" s="154" t="str">
        <f t="shared" ca="1" si="178"/>
        <v/>
      </c>
      <c r="F866" s="152" t="str">
        <f ca="1">IF($A866="","",Returns!$I$864)</f>
        <v/>
      </c>
      <c r="G866" s="153" t="str">
        <f t="shared" ca="1" si="179"/>
        <v/>
      </c>
      <c r="H866" s="153" t="str">
        <f ca="1">IF($A866="","",MAX($G$7:G866))</f>
        <v/>
      </c>
      <c r="I866" s="154" t="str">
        <f t="shared" ca="1" si="180"/>
        <v/>
      </c>
      <c r="J866" s="59" t="str">
        <f t="shared" ca="1" si="181"/>
        <v/>
      </c>
      <c r="K866" s="3"/>
      <c r="L866" t="str">
        <f t="shared" ca="1" si="169"/>
        <v/>
      </c>
      <c r="M866" s="132" t="str">
        <f t="shared" ca="1" si="170"/>
        <v/>
      </c>
      <c r="N866" s="132" t="str">
        <f t="shared" ca="1" si="171"/>
        <v/>
      </c>
      <c r="P866" t="str">
        <f t="shared" ca="1" si="172"/>
        <v/>
      </c>
      <c r="Q866" s="133" t="str">
        <f t="shared" ca="1" si="173"/>
        <v/>
      </c>
      <c r="R866" s="133" t="str">
        <f t="shared" ca="1" si="174"/>
        <v/>
      </c>
      <c r="T866" t="str">
        <f t="shared" ca="1" si="175"/>
        <v/>
      </c>
      <c r="U866" s="134" t="str">
        <f t="shared" ca="1" si="176"/>
        <v/>
      </c>
    </row>
    <row r="867" spans="1:21" x14ac:dyDescent="0.3">
      <c r="A867" s="151" t="str">
        <f ca="1">Returns!$A$865</f>
        <v/>
      </c>
      <c r="B867" s="152" t="str">
        <f ca="1">IF($A867="","",Returns!$J$865)</f>
        <v/>
      </c>
      <c r="C867" s="153" t="str">
        <f t="shared" ca="1" si="177"/>
        <v/>
      </c>
      <c r="D867" s="153" t="str">
        <f ca="1">IF($A867="","",MAX($C$7:C867))</f>
        <v/>
      </c>
      <c r="E867" s="154" t="str">
        <f t="shared" ca="1" si="178"/>
        <v/>
      </c>
      <c r="F867" s="152" t="str">
        <f ca="1">IF($A867="","",Returns!$I$865)</f>
        <v/>
      </c>
      <c r="G867" s="153" t="str">
        <f t="shared" ca="1" si="179"/>
        <v/>
      </c>
      <c r="H867" s="153" t="str">
        <f ca="1">IF($A867="","",MAX($G$7:G867))</f>
        <v/>
      </c>
      <c r="I867" s="154" t="str">
        <f t="shared" ca="1" si="180"/>
        <v/>
      </c>
      <c r="J867" s="59" t="str">
        <f t="shared" ca="1" si="181"/>
        <v/>
      </c>
      <c r="K867" s="3"/>
      <c r="L867" t="str">
        <f t="shared" ca="1" si="169"/>
        <v/>
      </c>
      <c r="M867" s="132" t="str">
        <f t="shared" ca="1" si="170"/>
        <v/>
      </c>
      <c r="N867" s="132" t="str">
        <f t="shared" ca="1" si="171"/>
        <v/>
      </c>
      <c r="P867" t="str">
        <f t="shared" ca="1" si="172"/>
        <v/>
      </c>
      <c r="Q867" s="133" t="str">
        <f t="shared" ca="1" si="173"/>
        <v/>
      </c>
      <c r="R867" s="133" t="str">
        <f t="shared" ca="1" si="174"/>
        <v/>
      </c>
      <c r="T867" t="str">
        <f t="shared" ca="1" si="175"/>
        <v/>
      </c>
      <c r="U867" s="134" t="str">
        <f t="shared" ca="1" si="176"/>
        <v/>
      </c>
    </row>
    <row r="868" spans="1:21" x14ac:dyDescent="0.3">
      <c r="A868" s="151" t="str">
        <f ca="1">Returns!$A$866</f>
        <v/>
      </c>
      <c r="B868" s="152" t="str">
        <f ca="1">IF($A868="","",Returns!$J$866)</f>
        <v/>
      </c>
      <c r="C868" s="153" t="str">
        <f t="shared" ca="1" si="177"/>
        <v/>
      </c>
      <c r="D868" s="153" t="str">
        <f ca="1">IF($A868="","",MAX($C$7:C868))</f>
        <v/>
      </c>
      <c r="E868" s="154" t="str">
        <f t="shared" ca="1" si="178"/>
        <v/>
      </c>
      <c r="F868" s="152" t="str">
        <f ca="1">IF($A868="","",Returns!$I$866)</f>
        <v/>
      </c>
      <c r="G868" s="153" t="str">
        <f t="shared" ca="1" si="179"/>
        <v/>
      </c>
      <c r="H868" s="153" t="str">
        <f ca="1">IF($A868="","",MAX($G$7:G868))</f>
        <v/>
      </c>
      <c r="I868" s="154" t="str">
        <f t="shared" ca="1" si="180"/>
        <v/>
      </c>
      <c r="J868" s="59" t="str">
        <f t="shared" ca="1" si="181"/>
        <v/>
      </c>
      <c r="K868" s="3"/>
      <c r="L868" t="str">
        <f t="shared" ca="1" si="169"/>
        <v/>
      </c>
      <c r="M868" s="132" t="str">
        <f t="shared" ca="1" si="170"/>
        <v/>
      </c>
      <c r="N868" s="132" t="str">
        <f t="shared" ca="1" si="171"/>
        <v/>
      </c>
      <c r="P868" t="str">
        <f t="shared" ca="1" si="172"/>
        <v/>
      </c>
      <c r="Q868" s="133" t="str">
        <f t="shared" ca="1" si="173"/>
        <v/>
      </c>
      <c r="R868" s="133" t="str">
        <f t="shared" ca="1" si="174"/>
        <v/>
      </c>
      <c r="T868" t="str">
        <f t="shared" ca="1" si="175"/>
        <v/>
      </c>
      <c r="U868" s="134" t="str">
        <f t="shared" ca="1" si="176"/>
        <v/>
      </c>
    </row>
    <row r="869" spans="1:21" x14ac:dyDescent="0.3">
      <c r="A869" s="151" t="str">
        <f ca="1">Returns!$A$867</f>
        <v/>
      </c>
      <c r="B869" s="152" t="str">
        <f ca="1">IF($A869="","",Returns!$J$867)</f>
        <v/>
      </c>
      <c r="C869" s="153" t="str">
        <f t="shared" ca="1" si="177"/>
        <v/>
      </c>
      <c r="D869" s="153" t="str">
        <f ca="1">IF($A869="","",MAX($C$7:C869))</f>
        <v/>
      </c>
      <c r="E869" s="154" t="str">
        <f t="shared" ca="1" si="178"/>
        <v/>
      </c>
      <c r="F869" s="152" t="str">
        <f ca="1">IF($A869="","",Returns!$I$867)</f>
        <v/>
      </c>
      <c r="G869" s="153" t="str">
        <f t="shared" ca="1" si="179"/>
        <v/>
      </c>
      <c r="H869" s="153" t="str">
        <f ca="1">IF($A869="","",MAX($G$7:G869))</f>
        <v/>
      </c>
      <c r="I869" s="154" t="str">
        <f t="shared" ca="1" si="180"/>
        <v/>
      </c>
      <c r="J869" s="59" t="str">
        <f t="shared" ca="1" si="181"/>
        <v/>
      </c>
      <c r="K869" s="3"/>
      <c r="L869" t="str">
        <f t="shared" ca="1" si="169"/>
        <v/>
      </c>
      <c r="M869" s="132" t="str">
        <f t="shared" ca="1" si="170"/>
        <v/>
      </c>
      <c r="N869" s="132" t="str">
        <f t="shared" ca="1" si="171"/>
        <v/>
      </c>
      <c r="P869" t="str">
        <f t="shared" ca="1" si="172"/>
        <v/>
      </c>
      <c r="Q869" s="133" t="str">
        <f t="shared" ca="1" si="173"/>
        <v/>
      </c>
      <c r="R869" s="133" t="str">
        <f t="shared" ca="1" si="174"/>
        <v/>
      </c>
      <c r="T869" t="str">
        <f t="shared" ca="1" si="175"/>
        <v/>
      </c>
      <c r="U869" s="134" t="str">
        <f t="shared" ca="1" si="176"/>
        <v/>
      </c>
    </row>
    <row r="870" spans="1:21" x14ac:dyDescent="0.3">
      <c r="A870" s="151" t="str">
        <f ca="1">Returns!$A$868</f>
        <v/>
      </c>
      <c r="B870" s="152" t="str">
        <f ca="1">IF($A870="","",Returns!$J$868)</f>
        <v/>
      </c>
      <c r="C870" s="153" t="str">
        <f t="shared" ca="1" si="177"/>
        <v/>
      </c>
      <c r="D870" s="153" t="str">
        <f ca="1">IF($A870="","",MAX($C$7:C870))</f>
        <v/>
      </c>
      <c r="E870" s="154" t="str">
        <f t="shared" ca="1" si="178"/>
        <v/>
      </c>
      <c r="F870" s="152" t="str">
        <f ca="1">IF($A870="","",Returns!$I$868)</f>
        <v/>
      </c>
      <c r="G870" s="153" t="str">
        <f t="shared" ca="1" si="179"/>
        <v/>
      </c>
      <c r="H870" s="153" t="str">
        <f ca="1">IF($A870="","",MAX($G$7:G870))</f>
        <v/>
      </c>
      <c r="I870" s="154" t="str">
        <f t="shared" ca="1" si="180"/>
        <v/>
      </c>
      <c r="J870" s="59" t="str">
        <f t="shared" ca="1" si="181"/>
        <v/>
      </c>
      <c r="K870" s="3"/>
      <c r="L870" t="str">
        <f t="shared" ca="1" si="169"/>
        <v/>
      </c>
      <c r="M870" s="132" t="str">
        <f t="shared" ca="1" si="170"/>
        <v/>
      </c>
      <c r="N870" s="132" t="str">
        <f t="shared" ca="1" si="171"/>
        <v/>
      </c>
      <c r="P870" t="str">
        <f t="shared" ca="1" si="172"/>
        <v/>
      </c>
      <c r="Q870" s="133" t="str">
        <f t="shared" ca="1" si="173"/>
        <v/>
      </c>
      <c r="R870" s="133" t="str">
        <f t="shared" ca="1" si="174"/>
        <v/>
      </c>
      <c r="T870" t="str">
        <f t="shared" ca="1" si="175"/>
        <v/>
      </c>
      <c r="U870" s="134" t="str">
        <f t="shared" ca="1" si="176"/>
        <v/>
      </c>
    </row>
    <row r="871" spans="1:21" x14ac:dyDescent="0.3">
      <c r="A871" s="151" t="str">
        <f ca="1">Returns!$A$869</f>
        <v/>
      </c>
      <c r="B871" s="152" t="str">
        <f ca="1">IF($A871="","",Returns!$J$869)</f>
        <v/>
      </c>
      <c r="C871" s="153" t="str">
        <f t="shared" ca="1" si="177"/>
        <v/>
      </c>
      <c r="D871" s="153" t="str">
        <f ca="1">IF($A871="","",MAX($C$7:C871))</f>
        <v/>
      </c>
      <c r="E871" s="154" t="str">
        <f t="shared" ca="1" si="178"/>
        <v/>
      </c>
      <c r="F871" s="152" t="str">
        <f ca="1">IF($A871="","",Returns!$I$869)</f>
        <v/>
      </c>
      <c r="G871" s="153" t="str">
        <f t="shared" ca="1" si="179"/>
        <v/>
      </c>
      <c r="H871" s="153" t="str">
        <f ca="1">IF($A871="","",MAX($G$7:G871))</f>
        <v/>
      </c>
      <c r="I871" s="154" t="str">
        <f t="shared" ca="1" si="180"/>
        <v/>
      </c>
      <c r="J871" s="59" t="str">
        <f t="shared" ca="1" si="181"/>
        <v/>
      </c>
      <c r="K871" s="3"/>
      <c r="L871" t="str">
        <f t="shared" ca="1" si="169"/>
        <v/>
      </c>
      <c r="M871" s="132" t="str">
        <f t="shared" ca="1" si="170"/>
        <v/>
      </c>
      <c r="N871" s="132" t="str">
        <f t="shared" ca="1" si="171"/>
        <v/>
      </c>
      <c r="P871" t="str">
        <f t="shared" ca="1" si="172"/>
        <v/>
      </c>
      <c r="Q871" s="133" t="str">
        <f t="shared" ca="1" si="173"/>
        <v/>
      </c>
      <c r="R871" s="133" t="str">
        <f t="shared" ca="1" si="174"/>
        <v/>
      </c>
      <c r="T871" t="str">
        <f t="shared" ca="1" si="175"/>
        <v/>
      </c>
      <c r="U871" s="134" t="str">
        <f t="shared" ca="1" si="176"/>
        <v/>
      </c>
    </row>
    <row r="872" spans="1:21" x14ac:dyDescent="0.3">
      <c r="A872" s="151" t="str">
        <f ca="1">Returns!$A$870</f>
        <v/>
      </c>
      <c r="B872" s="152" t="str">
        <f ca="1">IF($A872="","",Returns!$J$870)</f>
        <v/>
      </c>
      <c r="C872" s="153" t="str">
        <f t="shared" ca="1" si="177"/>
        <v/>
      </c>
      <c r="D872" s="153" t="str">
        <f ca="1">IF($A872="","",MAX($C$7:C872))</f>
        <v/>
      </c>
      <c r="E872" s="154" t="str">
        <f t="shared" ca="1" si="178"/>
        <v/>
      </c>
      <c r="F872" s="152" t="str">
        <f ca="1">IF($A872="","",Returns!$I$870)</f>
        <v/>
      </c>
      <c r="G872" s="153" t="str">
        <f t="shared" ca="1" si="179"/>
        <v/>
      </c>
      <c r="H872" s="153" t="str">
        <f ca="1">IF($A872="","",MAX($G$7:G872))</f>
        <v/>
      </c>
      <c r="I872" s="154" t="str">
        <f t="shared" ca="1" si="180"/>
        <v/>
      </c>
      <c r="J872" s="59" t="str">
        <f t="shared" ca="1" si="181"/>
        <v/>
      </c>
      <c r="K872" s="3"/>
      <c r="L872" t="str">
        <f t="shared" ca="1" si="169"/>
        <v/>
      </c>
      <c r="M872" s="132" t="str">
        <f t="shared" ca="1" si="170"/>
        <v/>
      </c>
      <c r="N872" s="132" t="str">
        <f t="shared" ca="1" si="171"/>
        <v/>
      </c>
      <c r="P872" t="str">
        <f t="shared" ca="1" si="172"/>
        <v/>
      </c>
      <c r="Q872" s="133" t="str">
        <f t="shared" ca="1" si="173"/>
        <v/>
      </c>
      <c r="R872" s="133" t="str">
        <f t="shared" ca="1" si="174"/>
        <v/>
      </c>
      <c r="T872" t="str">
        <f t="shared" ca="1" si="175"/>
        <v/>
      </c>
      <c r="U872" s="134" t="str">
        <f t="shared" ca="1" si="176"/>
        <v/>
      </c>
    </row>
    <row r="873" spans="1:21" x14ac:dyDescent="0.3">
      <c r="A873" s="151" t="str">
        <f ca="1">Returns!$A$871</f>
        <v/>
      </c>
      <c r="B873" s="152" t="str">
        <f ca="1">IF($A873="","",Returns!$J$871)</f>
        <v/>
      </c>
      <c r="C873" s="153" t="str">
        <f t="shared" ca="1" si="177"/>
        <v/>
      </c>
      <c r="D873" s="153" t="str">
        <f ca="1">IF($A873="","",MAX($C$7:C873))</f>
        <v/>
      </c>
      <c r="E873" s="154" t="str">
        <f t="shared" ca="1" si="178"/>
        <v/>
      </c>
      <c r="F873" s="152" t="str">
        <f ca="1">IF($A873="","",Returns!$I$871)</f>
        <v/>
      </c>
      <c r="G873" s="153" t="str">
        <f t="shared" ca="1" si="179"/>
        <v/>
      </c>
      <c r="H873" s="153" t="str">
        <f ca="1">IF($A873="","",MAX($G$7:G873))</f>
        <v/>
      </c>
      <c r="I873" s="154" t="str">
        <f t="shared" ca="1" si="180"/>
        <v/>
      </c>
      <c r="J873" s="59" t="str">
        <f t="shared" ca="1" si="181"/>
        <v/>
      </c>
      <c r="K873" s="3"/>
      <c r="L873" t="str">
        <f t="shared" ca="1" si="169"/>
        <v/>
      </c>
      <c r="M873" s="132" t="str">
        <f t="shared" ca="1" si="170"/>
        <v/>
      </c>
      <c r="N873" s="132" t="str">
        <f t="shared" ca="1" si="171"/>
        <v/>
      </c>
      <c r="P873" t="str">
        <f t="shared" ca="1" si="172"/>
        <v/>
      </c>
      <c r="Q873" s="133" t="str">
        <f t="shared" ca="1" si="173"/>
        <v/>
      </c>
      <c r="R873" s="133" t="str">
        <f t="shared" ca="1" si="174"/>
        <v/>
      </c>
      <c r="T873" t="str">
        <f t="shared" ca="1" si="175"/>
        <v/>
      </c>
      <c r="U873" s="134" t="str">
        <f t="shared" ca="1" si="176"/>
        <v/>
      </c>
    </row>
    <row r="874" spans="1:21" x14ac:dyDescent="0.3">
      <c r="A874" s="151" t="str">
        <f ca="1">Returns!$A$872</f>
        <v/>
      </c>
      <c r="B874" s="152" t="str">
        <f ca="1">IF($A874="","",Returns!$J$872)</f>
        <v/>
      </c>
      <c r="C874" s="153" t="str">
        <f t="shared" ca="1" si="177"/>
        <v/>
      </c>
      <c r="D874" s="153" t="str">
        <f ca="1">IF($A874="","",MAX($C$7:C874))</f>
        <v/>
      </c>
      <c r="E874" s="154" t="str">
        <f t="shared" ca="1" si="178"/>
        <v/>
      </c>
      <c r="F874" s="152" t="str">
        <f ca="1">IF($A874="","",Returns!$I$872)</f>
        <v/>
      </c>
      <c r="G874" s="153" t="str">
        <f t="shared" ca="1" si="179"/>
        <v/>
      </c>
      <c r="H874" s="153" t="str">
        <f ca="1">IF($A874="","",MAX($G$7:G874))</f>
        <v/>
      </c>
      <c r="I874" s="154" t="str">
        <f t="shared" ca="1" si="180"/>
        <v/>
      </c>
      <c r="J874" s="59" t="str">
        <f t="shared" ca="1" si="181"/>
        <v/>
      </c>
      <c r="K874" s="3"/>
      <c r="L874" t="str">
        <f t="shared" ca="1" si="169"/>
        <v/>
      </c>
      <c r="M874" s="132" t="str">
        <f t="shared" ca="1" si="170"/>
        <v/>
      </c>
      <c r="N874" s="132" t="str">
        <f t="shared" ca="1" si="171"/>
        <v/>
      </c>
      <c r="P874" t="str">
        <f t="shared" ca="1" si="172"/>
        <v/>
      </c>
      <c r="Q874" s="133" t="str">
        <f t="shared" ca="1" si="173"/>
        <v/>
      </c>
      <c r="R874" s="133" t="str">
        <f t="shared" ca="1" si="174"/>
        <v/>
      </c>
      <c r="T874" t="str">
        <f t="shared" ca="1" si="175"/>
        <v/>
      </c>
      <c r="U874" s="134" t="str">
        <f t="shared" ca="1" si="176"/>
        <v/>
      </c>
    </row>
    <row r="875" spans="1:21" x14ac:dyDescent="0.3">
      <c r="A875" s="151" t="str">
        <f ca="1">Returns!$A$873</f>
        <v/>
      </c>
      <c r="B875" s="152" t="str">
        <f ca="1">IF($A875="","",Returns!$J$873)</f>
        <v/>
      </c>
      <c r="C875" s="153" t="str">
        <f t="shared" ca="1" si="177"/>
        <v/>
      </c>
      <c r="D875" s="153" t="str">
        <f ca="1">IF($A875="","",MAX($C$7:C875))</f>
        <v/>
      </c>
      <c r="E875" s="154" t="str">
        <f t="shared" ca="1" si="178"/>
        <v/>
      </c>
      <c r="F875" s="152" t="str">
        <f ca="1">IF($A875="","",Returns!$I$873)</f>
        <v/>
      </c>
      <c r="G875" s="153" t="str">
        <f t="shared" ca="1" si="179"/>
        <v/>
      </c>
      <c r="H875" s="153" t="str">
        <f ca="1">IF($A875="","",MAX($G$7:G875))</f>
        <v/>
      </c>
      <c r="I875" s="154" t="str">
        <f t="shared" ca="1" si="180"/>
        <v/>
      </c>
      <c r="J875" s="59" t="str">
        <f t="shared" ca="1" si="181"/>
        <v/>
      </c>
      <c r="K875" s="3"/>
      <c r="L875" t="str">
        <f t="shared" ca="1" si="169"/>
        <v/>
      </c>
      <c r="M875" s="132" t="str">
        <f t="shared" ca="1" si="170"/>
        <v/>
      </c>
      <c r="N875" s="132" t="str">
        <f t="shared" ca="1" si="171"/>
        <v/>
      </c>
      <c r="P875" t="str">
        <f t="shared" ca="1" si="172"/>
        <v/>
      </c>
      <c r="Q875" s="133" t="str">
        <f t="shared" ca="1" si="173"/>
        <v/>
      </c>
      <c r="R875" s="133" t="str">
        <f t="shared" ca="1" si="174"/>
        <v/>
      </c>
      <c r="T875" t="str">
        <f t="shared" ca="1" si="175"/>
        <v/>
      </c>
      <c r="U875" s="134" t="str">
        <f t="shared" ca="1" si="176"/>
        <v/>
      </c>
    </row>
    <row r="876" spans="1:21" x14ac:dyDescent="0.3">
      <c r="A876" s="151" t="str">
        <f ca="1">Returns!$A$874</f>
        <v/>
      </c>
      <c r="B876" s="152" t="str">
        <f ca="1">IF($A876="","",Returns!$J$874)</f>
        <v/>
      </c>
      <c r="C876" s="153" t="str">
        <f t="shared" ca="1" si="177"/>
        <v/>
      </c>
      <c r="D876" s="153" t="str">
        <f ca="1">IF($A876="","",MAX($C$7:C876))</f>
        <v/>
      </c>
      <c r="E876" s="154" t="str">
        <f t="shared" ca="1" si="178"/>
        <v/>
      </c>
      <c r="F876" s="152" t="str">
        <f ca="1">IF($A876="","",Returns!$I$874)</f>
        <v/>
      </c>
      <c r="G876" s="153" t="str">
        <f t="shared" ca="1" si="179"/>
        <v/>
      </c>
      <c r="H876" s="153" t="str">
        <f ca="1">IF($A876="","",MAX($G$7:G876))</f>
        <v/>
      </c>
      <c r="I876" s="154" t="str">
        <f t="shared" ca="1" si="180"/>
        <v/>
      </c>
      <c r="J876" s="59" t="str">
        <f t="shared" ca="1" si="181"/>
        <v/>
      </c>
      <c r="K876" s="3"/>
      <c r="L876" t="str">
        <f t="shared" ca="1" si="169"/>
        <v/>
      </c>
      <c r="M876" s="132" t="str">
        <f t="shared" ca="1" si="170"/>
        <v/>
      </c>
      <c r="N876" s="132" t="str">
        <f t="shared" ca="1" si="171"/>
        <v/>
      </c>
      <c r="P876" t="str">
        <f t="shared" ca="1" si="172"/>
        <v/>
      </c>
      <c r="Q876" s="133" t="str">
        <f t="shared" ca="1" si="173"/>
        <v/>
      </c>
      <c r="R876" s="133" t="str">
        <f t="shared" ca="1" si="174"/>
        <v/>
      </c>
      <c r="T876" t="str">
        <f t="shared" ca="1" si="175"/>
        <v/>
      </c>
      <c r="U876" s="134" t="str">
        <f t="shared" ca="1" si="176"/>
        <v/>
      </c>
    </row>
    <row r="877" spans="1:21" x14ac:dyDescent="0.3">
      <c r="A877" s="151" t="str">
        <f ca="1">Returns!$A$875</f>
        <v/>
      </c>
      <c r="B877" s="152" t="str">
        <f ca="1">IF($A877="","",Returns!$J$875)</f>
        <v/>
      </c>
      <c r="C877" s="153" t="str">
        <f t="shared" ca="1" si="177"/>
        <v/>
      </c>
      <c r="D877" s="153" t="str">
        <f ca="1">IF($A877="","",MAX($C$7:C877))</f>
        <v/>
      </c>
      <c r="E877" s="154" t="str">
        <f t="shared" ca="1" si="178"/>
        <v/>
      </c>
      <c r="F877" s="152" t="str">
        <f ca="1">IF($A877="","",Returns!$I$875)</f>
        <v/>
      </c>
      <c r="G877" s="153" t="str">
        <f t="shared" ca="1" si="179"/>
        <v/>
      </c>
      <c r="H877" s="153" t="str">
        <f ca="1">IF($A877="","",MAX($G$7:G877))</f>
        <v/>
      </c>
      <c r="I877" s="154" t="str">
        <f t="shared" ca="1" si="180"/>
        <v/>
      </c>
      <c r="J877" s="59" t="str">
        <f t="shared" ca="1" si="181"/>
        <v/>
      </c>
      <c r="K877" s="3"/>
      <c r="L877" t="str">
        <f t="shared" ca="1" si="169"/>
        <v/>
      </c>
      <c r="M877" s="132" t="str">
        <f t="shared" ca="1" si="170"/>
        <v/>
      </c>
      <c r="N877" s="132" t="str">
        <f t="shared" ca="1" si="171"/>
        <v/>
      </c>
      <c r="P877" t="str">
        <f t="shared" ca="1" si="172"/>
        <v/>
      </c>
      <c r="Q877" s="133" t="str">
        <f t="shared" ca="1" si="173"/>
        <v/>
      </c>
      <c r="R877" s="133" t="str">
        <f t="shared" ca="1" si="174"/>
        <v/>
      </c>
      <c r="T877" t="str">
        <f t="shared" ca="1" si="175"/>
        <v/>
      </c>
      <c r="U877" s="134" t="str">
        <f t="shared" ca="1" si="176"/>
        <v/>
      </c>
    </row>
    <row r="878" spans="1:21" x14ac:dyDescent="0.3">
      <c r="A878" s="151" t="str">
        <f ca="1">Returns!$A$876</f>
        <v/>
      </c>
      <c r="B878" s="152" t="str">
        <f ca="1">IF($A878="","",Returns!$J$876)</f>
        <v/>
      </c>
      <c r="C878" s="153" t="str">
        <f t="shared" ca="1" si="177"/>
        <v/>
      </c>
      <c r="D878" s="153" t="str">
        <f ca="1">IF($A878="","",MAX($C$7:C878))</f>
        <v/>
      </c>
      <c r="E878" s="154" t="str">
        <f t="shared" ca="1" si="178"/>
        <v/>
      </c>
      <c r="F878" s="152" t="str">
        <f ca="1">IF($A878="","",Returns!$I$876)</f>
        <v/>
      </c>
      <c r="G878" s="153" t="str">
        <f t="shared" ca="1" si="179"/>
        <v/>
      </c>
      <c r="H878" s="153" t="str">
        <f ca="1">IF($A878="","",MAX($G$7:G878))</f>
        <v/>
      </c>
      <c r="I878" s="154" t="str">
        <f t="shared" ca="1" si="180"/>
        <v/>
      </c>
      <c r="J878" s="59" t="str">
        <f t="shared" ca="1" si="181"/>
        <v/>
      </c>
      <c r="K878" s="3"/>
      <c r="L878" t="str">
        <f t="shared" ca="1" si="169"/>
        <v/>
      </c>
      <c r="M878" s="132" t="str">
        <f t="shared" ca="1" si="170"/>
        <v/>
      </c>
      <c r="N878" s="132" t="str">
        <f t="shared" ca="1" si="171"/>
        <v/>
      </c>
      <c r="P878" t="str">
        <f t="shared" ca="1" si="172"/>
        <v/>
      </c>
      <c r="Q878" s="133" t="str">
        <f t="shared" ca="1" si="173"/>
        <v/>
      </c>
      <c r="R878" s="133" t="str">
        <f t="shared" ca="1" si="174"/>
        <v/>
      </c>
      <c r="T878" t="str">
        <f t="shared" ca="1" si="175"/>
        <v/>
      </c>
      <c r="U878" s="134" t="str">
        <f t="shared" ca="1" si="176"/>
        <v/>
      </c>
    </row>
    <row r="879" spans="1:21" x14ac:dyDescent="0.3">
      <c r="A879" s="151" t="str">
        <f ca="1">Returns!$A$877</f>
        <v/>
      </c>
      <c r="B879" s="152" t="str">
        <f ca="1">IF($A879="","",Returns!$J$877)</f>
        <v/>
      </c>
      <c r="C879" s="153" t="str">
        <f t="shared" ca="1" si="177"/>
        <v/>
      </c>
      <c r="D879" s="153" t="str">
        <f ca="1">IF($A879="","",MAX($C$7:C879))</f>
        <v/>
      </c>
      <c r="E879" s="154" t="str">
        <f t="shared" ca="1" si="178"/>
        <v/>
      </c>
      <c r="F879" s="152" t="str">
        <f ca="1">IF($A879="","",Returns!$I$877)</f>
        <v/>
      </c>
      <c r="G879" s="153" t="str">
        <f t="shared" ca="1" si="179"/>
        <v/>
      </c>
      <c r="H879" s="153" t="str">
        <f ca="1">IF($A879="","",MAX($G$7:G879))</f>
        <v/>
      </c>
      <c r="I879" s="154" t="str">
        <f t="shared" ca="1" si="180"/>
        <v/>
      </c>
      <c r="J879" s="59" t="str">
        <f t="shared" ca="1" si="181"/>
        <v/>
      </c>
      <c r="K879" s="3"/>
      <c r="L879" t="str">
        <f t="shared" ca="1" si="169"/>
        <v/>
      </c>
      <c r="M879" s="132" t="str">
        <f t="shared" ca="1" si="170"/>
        <v/>
      </c>
      <c r="N879" s="132" t="str">
        <f t="shared" ca="1" si="171"/>
        <v/>
      </c>
      <c r="P879" t="str">
        <f t="shared" ca="1" si="172"/>
        <v/>
      </c>
      <c r="Q879" s="133" t="str">
        <f t="shared" ca="1" si="173"/>
        <v/>
      </c>
      <c r="R879" s="133" t="str">
        <f t="shared" ca="1" si="174"/>
        <v/>
      </c>
      <c r="T879" t="str">
        <f t="shared" ca="1" si="175"/>
        <v/>
      </c>
      <c r="U879" s="134" t="str">
        <f t="shared" ca="1" si="176"/>
        <v/>
      </c>
    </row>
    <row r="880" spans="1:21" x14ac:dyDescent="0.3">
      <c r="A880" s="151" t="str">
        <f ca="1">Returns!$A$878</f>
        <v/>
      </c>
      <c r="B880" s="152" t="str">
        <f ca="1">IF($A880="","",Returns!$J$878)</f>
        <v/>
      </c>
      <c r="C880" s="153" t="str">
        <f t="shared" ca="1" si="177"/>
        <v/>
      </c>
      <c r="D880" s="153" t="str">
        <f ca="1">IF($A880="","",MAX($C$7:C880))</f>
        <v/>
      </c>
      <c r="E880" s="154" t="str">
        <f t="shared" ca="1" si="178"/>
        <v/>
      </c>
      <c r="F880" s="152" t="str">
        <f ca="1">IF($A880="","",Returns!$I$878)</f>
        <v/>
      </c>
      <c r="G880" s="153" t="str">
        <f t="shared" ca="1" si="179"/>
        <v/>
      </c>
      <c r="H880" s="153" t="str">
        <f ca="1">IF($A880="","",MAX($G$7:G880))</f>
        <v/>
      </c>
      <c r="I880" s="154" t="str">
        <f t="shared" ca="1" si="180"/>
        <v/>
      </c>
      <c r="J880" s="59" t="str">
        <f t="shared" ca="1" si="181"/>
        <v/>
      </c>
      <c r="K880" s="3"/>
      <c r="L880" t="str">
        <f t="shared" ca="1" si="169"/>
        <v/>
      </c>
      <c r="M880" s="132" t="str">
        <f t="shared" ca="1" si="170"/>
        <v/>
      </c>
      <c r="N880" s="132" t="str">
        <f t="shared" ca="1" si="171"/>
        <v/>
      </c>
      <c r="P880" t="str">
        <f t="shared" ca="1" si="172"/>
        <v/>
      </c>
      <c r="Q880" s="133" t="str">
        <f t="shared" ca="1" si="173"/>
        <v/>
      </c>
      <c r="R880" s="133" t="str">
        <f t="shared" ca="1" si="174"/>
        <v/>
      </c>
      <c r="T880" t="str">
        <f t="shared" ca="1" si="175"/>
        <v/>
      </c>
      <c r="U880" s="134" t="str">
        <f t="shared" ca="1" si="176"/>
        <v/>
      </c>
    </row>
    <row r="881" spans="1:21" x14ac:dyDescent="0.3">
      <c r="A881" s="151" t="str">
        <f ca="1">Returns!$A$879</f>
        <v/>
      </c>
      <c r="B881" s="152" t="str">
        <f ca="1">IF($A881="","",Returns!$J$879)</f>
        <v/>
      </c>
      <c r="C881" s="153" t="str">
        <f t="shared" ca="1" si="177"/>
        <v/>
      </c>
      <c r="D881" s="153" t="str">
        <f ca="1">IF($A881="","",MAX($C$7:C881))</f>
        <v/>
      </c>
      <c r="E881" s="154" t="str">
        <f t="shared" ca="1" si="178"/>
        <v/>
      </c>
      <c r="F881" s="152" t="str">
        <f ca="1">IF($A881="","",Returns!$I$879)</f>
        <v/>
      </c>
      <c r="G881" s="153" t="str">
        <f t="shared" ca="1" si="179"/>
        <v/>
      </c>
      <c r="H881" s="153" t="str">
        <f ca="1">IF($A881="","",MAX($G$7:G881))</f>
        <v/>
      </c>
      <c r="I881" s="154" t="str">
        <f t="shared" ca="1" si="180"/>
        <v/>
      </c>
      <c r="J881" s="59" t="str">
        <f t="shared" ca="1" si="181"/>
        <v/>
      </c>
      <c r="K881" s="3"/>
      <c r="L881" t="str">
        <f t="shared" ca="1" si="169"/>
        <v/>
      </c>
      <c r="M881" s="132" t="str">
        <f t="shared" ca="1" si="170"/>
        <v/>
      </c>
      <c r="N881" s="132" t="str">
        <f t="shared" ca="1" si="171"/>
        <v/>
      </c>
      <c r="P881" t="str">
        <f t="shared" ca="1" si="172"/>
        <v/>
      </c>
      <c r="Q881" s="133" t="str">
        <f t="shared" ca="1" si="173"/>
        <v/>
      </c>
      <c r="R881" s="133" t="str">
        <f t="shared" ca="1" si="174"/>
        <v/>
      </c>
      <c r="T881" t="str">
        <f t="shared" ca="1" si="175"/>
        <v/>
      </c>
      <c r="U881" s="134" t="str">
        <f t="shared" ca="1" si="176"/>
        <v/>
      </c>
    </row>
    <row r="882" spans="1:21" x14ac:dyDescent="0.3">
      <c r="A882" s="151" t="str">
        <f ca="1">Returns!$A$880</f>
        <v/>
      </c>
      <c r="B882" s="152" t="str">
        <f ca="1">IF($A882="","",Returns!$J$880)</f>
        <v/>
      </c>
      <c r="C882" s="153" t="str">
        <f t="shared" ca="1" si="177"/>
        <v/>
      </c>
      <c r="D882" s="153" t="str">
        <f ca="1">IF($A882="","",MAX($C$7:C882))</f>
        <v/>
      </c>
      <c r="E882" s="154" t="str">
        <f t="shared" ca="1" si="178"/>
        <v/>
      </c>
      <c r="F882" s="152" t="str">
        <f ca="1">IF($A882="","",Returns!$I$880)</f>
        <v/>
      </c>
      <c r="G882" s="153" t="str">
        <f t="shared" ca="1" si="179"/>
        <v/>
      </c>
      <c r="H882" s="153" t="str">
        <f ca="1">IF($A882="","",MAX($G$7:G882))</f>
        <v/>
      </c>
      <c r="I882" s="154" t="str">
        <f t="shared" ca="1" si="180"/>
        <v/>
      </c>
      <c r="J882" s="59" t="str">
        <f t="shared" ca="1" si="181"/>
        <v/>
      </c>
      <c r="K882" s="3"/>
      <c r="L882" t="str">
        <f t="shared" ca="1" si="169"/>
        <v/>
      </c>
      <c r="M882" s="132" t="str">
        <f t="shared" ca="1" si="170"/>
        <v/>
      </c>
      <c r="N882" s="132" t="str">
        <f t="shared" ca="1" si="171"/>
        <v/>
      </c>
      <c r="P882" t="str">
        <f t="shared" ca="1" si="172"/>
        <v/>
      </c>
      <c r="Q882" s="133" t="str">
        <f t="shared" ca="1" si="173"/>
        <v/>
      </c>
      <c r="R882" s="133" t="str">
        <f t="shared" ca="1" si="174"/>
        <v/>
      </c>
      <c r="T882" t="str">
        <f t="shared" ca="1" si="175"/>
        <v/>
      </c>
      <c r="U882" s="134" t="str">
        <f t="shared" ca="1" si="176"/>
        <v/>
      </c>
    </row>
    <row r="883" spans="1:21" x14ac:dyDescent="0.3">
      <c r="A883" s="151" t="str">
        <f ca="1">Returns!$A$881</f>
        <v/>
      </c>
      <c r="B883" s="152" t="str">
        <f ca="1">IF($A883="","",Returns!$J$881)</f>
        <v/>
      </c>
      <c r="C883" s="153" t="str">
        <f t="shared" ca="1" si="177"/>
        <v/>
      </c>
      <c r="D883" s="153" t="str">
        <f ca="1">IF($A883="","",MAX($C$7:C883))</f>
        <v/>
      </c>
      <c r="E883" s="154" t="str">
        <f t="shared" ca="1" si="178"/>
        <v/>
      </c>
      <c r="F883" s="152" t="str">
        <f ca="1">IF($A883="","",Returns!$I$881)</f>
        <v/>
      </c>
      <c r="G883" s="153" t="str">
        <f t="shared" ca="1" si="179"/>
        <v/>
      </c>
      <c r="H883" s="153" t="str">
        <f ca="1">IF($A883="","",MAX($G$7:G883))</f>
        <v/>
      </c>
      <c r="I883" s="154" t="str">
        <f t="shared" ca="1" si="180"/>
        <v/>
      </c>
      <c r="J883" s="59" t="str">
        <f t="shared" ca="1" si="181"/>
        <v/>
      </c>
      <c r="K883" s="3"/>
      <c r="L883" t="str">
        <f t="shared" ca="1" si="169"/>
        <v/>
      </c>
      <c r="M883" s="132" t="str">
        <f t="shared" ca="1" si="170"/>
        <v/>
      </c>
      <c r="N883" s="132" t="str">
        <f t="shared" ca="1" si="171"/>
        <v/>
      </c>
      <c r="P883" t="str">
        <f t="shared" ca="1" si="172"/>
        <v/>
      </c>
      <c r="Q883" s="133" t="str">
        <f t="shared" ca="1" si="173"/>
        <v/>
      </c>
      <c r="R883" s="133" t="str">
        <f t="shared" ca="1" si="174"/>
        <v/>
      </c>
      <c r="T883" t="str">
        <f t="shared" ca="1" si="175"/>
        <v/>
      </c>
      <c r="U883" s="134" t="str">
        <f t="shared" ca="1" si="176"/>
        <v/>
      </c>
    </row>
    <row r="884" spans="1:21" x14ac:dyDescent="0.3">
      <c r="A884" s="151" t="str">
        <f ca="1">Returns!$A$882</f>
        <v/>
      </c>
      <c r="B884" s="152" t="str">
        <f ca="1">IF($A884="","",Returns!$J$882)</f>
        <v/>
      </c>
      <c r="C884" s="153" t="str">
        <f t="shared" ca="1" si="177"/>
        <v/>
      </c>
      <c r="D884" s="153" t="str">
        <f ca="1">IF($A884="","",MAX($C$7:C884))</f>
        <v/>
      </c>
      <c r="E884" s="154" t="str">
        <f t="shared" ca="1" si="178"/>
        <v/>
      </c>
      <c r="F884" s="152" t="str">
        <f ca="1">IF($A884="","",Returns!$I$882)</f>
        <v/>
      </c>
      <c r="G884" s="153" t="str">
        <f t="shared" ca="1" si="179"/>
        <v/>
      </c>
      <c r="H884" s="153" t="str">
        <f ca="1">IF($A884="","",MAX($G$7:G884))</f>
        <v/>
      </c>
      <c r="I884" s="154" t="str">
        <f t="shared" ca="1" si="180"/>
        <v/>
      </c>
      <c r="J884" s="59" t="str">
        <f t="shared" ca="1" si="181"/>
        <v/>
      </c>
      <c r="K884" s="3"/>
      <c r="L884" t="str">
        <f t="shared" ca="1" si="169"/>
        <v/>
      </c>
      <c r="M884" s="132" t="str">
        <f t="shared" ca="1" si="170"/>
        <v/>
      </c>
      <c r="N884" s="132" t="str">
        <f t="shared" ca="1" si="171"/>
        <v/>
      </c>
      <c r="P884" t="str">
        <f t="shared" ca="1" si="172"/>
        <v/>
      </c>
      <c r="Q884" s="133" t="str">
        <f t="shared" ca="1" si="173"/>
        <v/>
      </c>
      <c r="R884" s="133" t="str">
        <f t="shared" ca="1" si="174"/>
        <v/>
      </c>
      <c r="T884" t="str">
        <f t="shared" ca="1" si="175"/>
        <v/>
      </c>
      <c r="U884" s="134" t="str">
        <f t="shared" ca="1" si="176"/>
        <v/>
      </c>
    </row>
    <row r="885" spans="1:21" x14ac:dyDescent="0.3">
      <c r="A885" s="151" t="str">
        <f ca="1">Returns!$A$883</f>
        <v/>
      </c>
      <c r="B885" s="152" t="str">
        <f ca="1">IF($A885="","",Returns!$J$883)</f>
        <v/>
      </c>
      <c r="C885" s="153" t="str">
        <f t="shared" ca="1" si="177"/>
        <v/>
      </c>
      <c r="D885" s="153" t="str">
        <f ca="1">IF($A885="","",MAX($C$7:C885))</f>
        <v/>
      </c>
      <c r="E885" s="154" t="str">
        <f t="shared" ca="1" si="178"/>
        <v/>
      </c>
      <c r="F885" s="152" t="str">
        <f ca="1">IF($A885="","",Returns!$I$883)</f>
        <v/>
      </c>
      <c r="G885" s="153" t="str">
        <f t="shared" ca="1" si="179"/>
        <v/>
      </c>
      <c r="H885" s="153" t="str">
        <f ca="1">IF($A885="","",MAX($G$7:G885))</f>
        <v/>
      </c>
      <c r="I885" s="154" t="str">
        <f t="shared" ca="1" si="180"/>
        <v/>
      </c>
      <c r="J885" s="59" t="str">
        <f t="shared" ca="1" si="181"/>
        <v/>
      </c>
      <c r="K885" s="3"/>
      <c r="L885" t="str">
        <f t="shared" ca="1" si="169"/>
        <v/>
      </c>
      <c r="M885" s="132" t="str">
        <f t="shared" ca="1" si="170"/>
        <v/>
      </c>
      <c r="N885" s="132" t="str">
        <f t="shared" ca="1" si="171"/>
        <v/>
      </c>
      <c r="P885" t="str">
        <f t="shared" ca="1" si="172"/>
        <v/>
      </c>
      <c r="Q885" s="133" t="str">
        <f t="shared" ca="1" si="173"/>
        <v/>
      </c>
      <c r="R885" s="133" t="str">
        <f t="shared" ca="1" si="174"/>
        <v/>
      </c>
      <c r="T885" t="str">
        <f t="shared" ca="1" si="175"/>
        <v/>
      </c>
      <c r="U885" s="134" t="str">
        <f t="shared" ca="1" si="176"/>
        <v/>
      </c>
    </row>
    <row r="886" spans="1:21" x14ac:dyDescent="0.3">
      <c r="A886" s="151" t="str">
        <f ca="1">Returns!$A$884</f>
        <v/>
      </c>
      <c r="B886" s="152" t="str">
        <f ca="1">IF($A886="","",Returns!$J$884)</f>
        <v/>
      </c>
      <c r="C886" s="153" t="str">
        <f t="shared" ca="1" si="177"/>
        <v/>
      </c>
      <c r="D886" s="153" t="str">
        <f ca="1">IF($A886="","",MAX($C$7:C886))</f>
        <v/>
      </c>
      <c r="E886" s="154" t="str">
        <f t="shared" ca="1" si="178"/>
        <v/>
      </c>
      <c r="F886" s="152" t="str">
        <f ca="1">IF($A886="","",Returns!$I$884)</f>
        <v/>
      </c>
      <c r="G886" s="153" t="str">
        <f t="shared" ca="1" si="179"/>
        <v/>
      </c>
      <c r="H886" s="153" t="str">
        <f ca="1">IF($A886="","",MAX($G$7:G886))</f>
        <v/>
      </c>
      <c r="I886" s="154" t="str">
        <f t="shared" ca="1" si="180"/>
        <v/>
      </c>
      <c r="J886" s="59" t="str">
        <f t="shared" ca="1" si="181"/>
        <v/>
      </c>
      <c r="K886" s="3"/>
      <c r="L886" t="str">
        <f t="shared" ca="1" si="169"/>
        <v/>
      </c>
      <c r="M886" s="132" t="str">
        <f t="shared" ca="1" si="170"/>
        <v/>
      </c>
      <c r="N886" s="132" t="str">
        <f t="shared" ca="1" si="171"/>
        <v/>
      </c>
      <c r="P886" t="str">
        <f t="shared" ca="1" si="172"/>
        <v/>
      </c>
      <c r="Q886" s="133" t="str">
        <f t="shared" ca="1" si="173"/>
        <v/>
      </c>
      <c r="R886" s="133" t="str">
        <f t="shared" ca="1" si="174"/>
        <v/>
      </c>
      <c r="T886" t="str">
        <f t="shared" ca="1" si="175"/>
        <v/>
      </c>
      <c r="U886" s="134" t="str">
        <f t="shared" ca="1" si="176"/>
        <v/>
      </c>
    </row>
    <row r="887" spans="1:21" x14ac:dyDescent="0.3">
      <c r="A887" s="151" t="str">
        <f ca="1">Returns!$A$885</f>
        <v/>
      </c>
      <c r="B887" s="152" t="str">
        <f ca="1">IF($A887="","",Returns!$J$885)</f>
        <v/>
      </c>
      <c r="C887" s="153" t="str">
        <f t="shared" ca="1" si="177"/>
        <v/>
      </c>
      <c r="D887" s="153" t="str">
        <f ca="1">IF($A887="","",MAX($C$7:C887))</f>
        <v/>
      </c>
      <c r="E887" s="154" t="str">
        <f t="shared" ca="1" si="178"/>
        <v/>
      </c>
      <c r="F887" s="152" t="str">
        <f ca="1">IF($A887="","",Returns!$I$885)</f>
        <v/>
      </c>
      <c r="G887" s="153" t="str">
        <f t="shared" ca="1" si="179"/>
        <v/>
      </c>
      <c r="H887" s="153" t="str">
        <f ca="1">IF($A887="","",MAX($G$7:G887))</f>
        <v/>
      </c>
      <c r="I887" s="154" t="str">
        <f t="shared" ca="1" si="180"/>
        <v/>
      </c>
      <c r="J887" s="59" t="str">
        <f t="shared" ca="1" si="181"/>
        <v/>
      </c>
      <c r="K887" s="3"/>
      <c r="L887" t="str">
        <f t="shared" ca="1" si="169"/>
        <v/>
      </c>
      <c r="M887" s="132" t="str">
        <f t="shared" ca="1" si="170"/>
        <v/>
      </c>
      <c r="N887" s="132" t="str">
        <f t="shared" ca="1" si="171"/>
        <v/>
      </c>
      <c r="P887" t="str">
        <f t="shared" ca="1" si="172"/>
        <v/>
      </c>
      <c r="Q887" s="133" t="str">
        <f t="shared" ca="1" si="173"/>
        <v/>
      </c>
      <c r="R887" s="133" t="str">
        <f t="shared" ca="1" si="174"/>
        <v/>
      </c>
      <c r="T887" t="str">
        <f t="shared" ca="1" si="175"/>
        <v/>
      </c>
      <c r="U887" s="134" t="str">
        <f t="shared" ca="1" si="176"/>
        <v/>
      </c>
    </row>
    <row r="888" spans="1:21" x14ac:dyDescent="0.3">
      <c r="A888" s="151" t="str">
        <f ca="1">Returns!$A$886</f>
        <v/>
      </c>
      <c r="B888" s="152" t="str">
        <f ca="1">IF($A888="","",Returns!$J$886)</f>
        <v/>
      </c>
      <c r="C888" s="153" t="str">
        <f t="shared" ca="1" si="177"/>
        <v/>
      </c>
      <c r="D888" s="153" t="str">
        <f ca="1">IF($A888="","",MAX($C$7:C888))</f>
        <v/>
      </c>
      <c r="E888" s="154" t="str">
        <f t="shared" ca="1" si="178"/>
        <v/>
      </c>
      <c r="F888" s="152" t="str">
        <f ca="1">IF($A888="","",Returns!$I$886)</f>
        <v/>
      </c>
      <c r="G888" s="153" t="str">
        <f t="shared" ca="1" si="179"/>
        <v/>
      </c>
      <c r="H888" s="153" t="str">
        <f ca="1">IF($A888="","",MAX($G$7:G888))</f>
        <v/>
      </c>
      <c r="I888" s="154" t="str">
        <f t="shared" ca="1" si="180"/>
        <v/>
      </c>
      <c r="J888" s="59" t="str">
        <f t="shared" ca="1" si="181"/>
        <v/>
      </c>
      <c r="K888" s="3"/>
      <c r="L888" t="str">
        <f t="shared" ca="1" si="169"/>
        <v/>
      </c>
      <c r="M888" s="132" t="str">
        <f t="shared" ca="1" si="170"/>
        <v/>
      </c>
      <c r="N888" s="132" t="str">
        <f t="shared" ca="1" si="171"/>
        <v/>
      </c>
      <c r="P888" t="str">
        <f t="shared" ca="1" si="172"/>
        <v/>
      </c>
      <c r="Q888" s="133" t="str">
        <f t="shared" ca="1" si="173"/>
        <v/>
      </c>
      <c r="R888" s="133" t="str">
        <f t="shared" ca="1" si="174"/>
        <v/>
      </c>
      <c r="T888" t="str">
        <f t="shared" ca="1" si="175"/>
        <v/>
      </c>
      <c r="U888" s="134" t="str">
        <f t="shared" ca="1" si="176"/>
        <v/>
      </c>
    </row>
    <row r="889" spans="1:21" x14ac:dyDescent="0.3">
      <c r="A889" s="151" t="str">
        <f ca="1">Returns!$A$887</f>
        <v/>
      </c>
      <c r="B889" s="152" t="str">
        <f ca="1">IF($A889="","",Returns!$J$887)</f>
        <v/>
      </c>
      <c r="C889" s="153" t="str">
        <f t="shared" ca="1" si="177"/>
        <v/>
      </c>
      <c r="D889" s="153" t="str">
        <f ca="1">IF($A889="","",MAX($C$7:C889))</f>
        <v/>
      </c>
      <c r="E889" s="154" t="str">
        <f t="shared" ca="1" si="178"/>
        <v/>
      </c>
      <c r="F889" s="152" t="str">
        <f ca="1">IF($A889="","",Returns!$I$887)</f>
        <v/>
      </c>
      <c r="G889" s="153" t="str">
        <f t="shared" ca="1" si="179"/>
        <v/>
      </c>
      <c r="H889" s="153" t="str">
        <f ca="1">IF($A889="","",MAX($G$7:G889))</f>
        <v/>
      </c>
      <c r="I889" s="154" t="str">
        <f t="shared" ca="1" si="180"/>
        <v/>
      </c>
      <c r="J889" s="59" t="str">
        <f t="shared" ca="1" si="181"/>
        <v/>
      </c>
      <c r="K889" s="3"/>
      <c r="L889" t="str">
        <f t="shared" ca="1" si="169"/>
        <v/>
      </c>
      <c r="M889" s="132" t="str">
        <f t="shared" ca="1" si="170"/>
        <v/>
      </c>
      <c r="N889" s="132" t="str">
        <f t="shared" ca="1" si="171"/>
        <v/>
      </c>
      <c r="P889" t="str">
        <f t="shared" ca="1" si="172"/>
        <v/>
      </c>
      <c r="Q889" s="133" t="str">
        <f t="shared" ca="1" si="173"/>
        <v/>
      </c>
      <c r="R889" s="133" t="str">
        <f t="shared" ca="1" si="174"/>
        <v/>
      </c>
      <c r="T889" t="str">
        <f t="shared" ca="1" si="175"/>
        <v/>
      </c>
      <c r="U889" s="134" t="str">
        <f t="shared" ca="1" si="176"/>
        <v/>
      </c>
    </row>
    <row r="890" spans="1:21" x14ac:dyDescent="0.3">
      <c r="A890" s="151" t="str">
        <f ca="1">Returns!$A$888</f>
        <v/>
      </c>
      <c r="B890" s="152" t="str">
        <f ca="1">IF($A890="","",Returns!$J$888)</f>
        <v/>
      </c>
      <c r="C890" s="153" t="str">
        <f t="shared" ca="1" si="177"/>
        <v/>
      </c>
      <c r="D890" s="153" t="str">
        <f ca="1">IF($A890="","",MAX($C$7:C890))</f>
        <v/>
      </c>
      <c r="E890" s="154" t="str">
        <f t="shared" ca="1" si="178"/>
        <v/>
      </c>
      <c r="F890" s="152" t="str">
        <f ca="1">IF($A890="","",Returns!$I$888)</f>
        <v/>
      </c>
      <c r="G890" s="153" t="str">
        <f t="shared" ca="1" si="179"/>
        <v/>
      </c>
      <c r="H890" s="153" t="str">
        <f ca="1">IF($A890="","",MAX($G$7:G890))</f>
        <v/>
      </c>
      <c r="I890" s="154" t="str">
        <f t="shared" ca="1" si="180"/>
        <v/>
      </c>
      <c r="J890" s="59" t="str">
        <f t="shared" ca="1" si="181"/>
        <v/>
      </c>
      <c r="K890" s="3"/>
      <c r="L890" t="str">
        <f t="shared" ca="1" si="169"/>
        <v/>
      </c>
      <c r="M890" s="132" t="str">
        <f t="shared" ca="1" si="170"/>
        <v/>
      </c>
      <c r="N890" s="132" t="str">
        <f t="shared" ca="1" si="171"/>
        <v/>
      </c>
      <c r="P890" t="str">
        <f t="shared" ca="1" si="172"/>
        <v/>
      </c>
      <c r="Q890" s="133" t="str">
        <f t="shared" ca="1" si="173"/>
        <v/>
      </c>
      <c r="R890" s="133" t="str">
        <f t="shared" ca="1" si="174"/>
        <v/>
      </c>
      <c r="T890" t="str">
        <f t="shared" ca="1" si="175"/>
        <v/>
      </c>
      <c r="U890" s="134" t="str">
        <f t="shared" ca="1" si="176"/>
        <v/>
      </c>
    </row>
    <row r="891" spans="1:21" x14ac:dyDescent="0.3">
      <c r="A891" s="151" t="str">
        <f ca="1">Returns!$A$889</f>
        <v/>
      </c>
      <c r="B891" s="152" t="str">
        <f ca="1">IF($A891="","",Returns!$J$889)</f>
        <v/>
      </c>
      <c r="C891" s="153" t="str">
        <f t="shared" ca="1" si="177"/>
        <v/>
      </c>
      <c r="D891" s="153" t="str">
        <f ca="1">IF($A891="","",MAX($C$7:C891))</f>
        <v/>
      </c>
      <c r="E891" s="154" t="str">
        <f t="shared" ca="1" si="178"/>
        <v/>
      </c>
      <c r="F891" s="152" t="str">
        <f ca="1">IF($A891="","",Returns!$I$889)</f>
        <v/>
      </c>
      <c r="G891" s="153" t="str">
        <f t="shared" ca="1" si="179"/>
        <v/>
      </c>
      <c r="H891" s="153" t="str">
        <f ca="1">IF($A891="","",MAX($G$7:G891))</f>
        <v/>
      </c>
      <c r="I891" s="154" t="str">
        <f t="shared" ca="1" si="180"/>
        <v/>
      </c>
      <c r="J891" s="59" t="str">
        <f t="shared" ca="1" si="181"/>
        <v/>
      </c>
      <c r="K891" s="3"/>
      <c r="L891" t="str">
        <f t="shared" ca="1" si="169"/>
        <v/>
      </c>
      <c r="M891" s="132" t="str">
        <f t="shared" ca="1" si="170"/>
        <v/>
      </c>
      <c r="N891" s="132" t="str">
        <f t="shared" ca="1" si="171"/>
        <v/>
      </c>
      <c r="P891" t="str">
        <f t="shared" ca="1" si="172"/>
        <v/>
      </c>
      <c r="Q891" s="133" t="str">
        <f t="shared" ca="1" si="173"/>
        <v/>
      </c>
      <c r="R891" s="133" t="str">
        <f t="shared" ca="1" si="174"/>
        <v/>
      </c>
      <c r="T891" t="str">
        <f t="shared" ca="1" si="175"/>
        <v/>
      </c>
      <c r="U891" s="134" t="str">
        <f t="shared" ca="1" si="176"/>
        <v/>
      </c>
    </row>
    <row r="892" spans="1:21" x14ac:dyDescent="0.3">
      <c r="A892" s="151" t="str">
        <f ca="1">Returns!$A$890</f>
        <v/>
      </c>
      <c r="B892" s="152" t="str">
        <f ca="1">IF($A892="","",Returns!$J$890)</f>
        <v/>
      </c>
      <c r="C892" s="153" t="str">
        <f t="shared" ca="1" si="177"/>
        <v/>
      </c>
      <c r="D892" s="153" t="str">
        <f ca="1">IF($A892="","",MAX($C$7:C892))</f>
        <v/>
      </c>
      <c r="E892" s="154" t="str">
        <f t="shared" ca="1" si="178"/>
        <v/>
      </c>
      <c r="F892" s="152" t="str">
        <f ca="1">IF($A892="","",Returns!$I$890)</f>
        <v/>
      </c>
      <c r="G892" s="153" t="str">
        <f t="shared" ca="1" si="179"/>
        <v/>
      </c>
      <c r="H892" s="153" t="str">
        <f ca="1">IF($A892="","",MAX($G$7:G892))</f>
        <v/>
      </c>
      <c r="I892" s="154" t="str">
        <f t="shared" ca="1" si="180"/>
        <v/>
      </c>
      <c r="J892" s="59" t="str">
        <f t="shared" ca="1" si="181"/>
        <v/>
      </c>
      <c r="K892" s="3"/>
      <c r="L892" t="str">
        <f t="shared" ca="1" si="169"/>
        <v/>
      </c>
      <c r="M892" s="132" t="str">
        <f t="shared" ca="1" si="170"/>
        <v/>
      </c>
      <c r="N892" s="132" t="str">
        <f t="shared" ca="1" si="171"/>
        <v/>
      </c>
      <c r="P892" t="str">
        <f t="shared" ca="1" si="172"/>
        <v/>
      </c>
      <c r="Q892" s="133" t="str">
        <f t="shared" ca="1" si="173"/>
        <v/>
      </c>
      <c r="R892" s="133" t="str">
        <f t="shared" ca="1" si="174"/>
        <v/>
      </c>
      <c r="T892" t="str">
        <f t="shared" ca="1" si="175"/>
        <v/>
      </c>
      <c r="U892" s="134" t="str">
        <f t="shared" ca="1" si="176"/>
        <v/>
      </c>
    </row>
    <row r="893" spans="1:21" x14ac:dyDescent="0.3">
      <c r="A893" s="151" t="str">
        <f ca="1">Returns!$A$891</f>
        <v/>
      </c>
      <c r="B893" s="152" t="str">
        <f ca="1">IF($A893="","",Returns!$J$891)</f>
        <v/>
      </c>
      <c r="C893" s="153" t="str">
        <f t="shared" ca="1" si="177"/>
        <v/>
      </c>
      <c r="D893" s="153" t="str">
        <f ca="1">IF($A893="","",MAX($C$7:C893))</f>
        <v/>
      </c>
      <c r="E893" s="154" t="str">
        <f t="shared" ca="1" si="178"/>
        <v/>
      </c>
      <c r="F893" s="152" t="str">
        <f ca="1">IF($A893="","",Returns!$I$891)</f>
        <v/>
      </c>
      <c r="G893" s="153" t="str">
        <f t="shared" ca="1" si="179"/>
        <v/>
      </c>
      <c r="H893" s="153" t="str">
        <f ca="1">IF($A893="","",MAX($G$7:G893))</f>
        <v/>
      </c>
      <c r="I893" s="154" t="str">
        <f t="shared" ca="1" si="180"/>
        <v/>
      </c>
      <c r="J893" s="59" t="str">
        <f t="shared" ca="1" si="181"/>
        <v/>
      </c>
      <c r="K893" s="3"/>
      <c r="L893" t="str">
        <f t="shared" ca="1" si="169"/>
        <v/>
      </c>
      <c r="M893" s="132" t="str">
        <f t="shared" ca="1" si="170"/>
        <v/>
      </c>
      <c r="N893" s="132" t="str">
        <f t="shared" ca="1" si="171"/>
        <v/>
      </c>
      <c r="P893" t="str">
        <f t="shared" ca="1" si="172"/>
        <v/>
      </c>
      <c r="Q893" s="133" t="str">
        <f t="shared" ca="1" si="173"/>
        <v/>
      </c>
      <c r="R893" s="133" t="str">
        <f t="shared" ca="1" si="174"/>
        <v/>
      </c>
      <c r="T893" t="str">
        <f t="shared" ca="1" si="175"/>
        <v/>
      </c>
      <c r="U893" s="134" t="str">
        <f t="shared" ca="1" si="176"/>
        <v/>
      </c>
    </row>
    <row r="894" spans="1:21" x14ac:dyDescent="0.3">
      <c r="A894" s="151" t="str">
        <f ca="1">Returns!$A$892</f>
        <v/>
      </c>
      <c r="B894" s="152" t="str">
        <f ca="1">IF($A894="","",Returns!$J$892)</f>
        <v/>
      </c>
      <c r="C894" s="153" t="str">
        <f t="shared" ca="1" si="177"/>
        <v/>
      </c>
      <c r="D894" s="153" t="str">
        <f ca="1">IF($A894="","",MAX($C$7:C894))</f>
        <v/>
      </c>
      <c r="E894" s="154" t="str">
        <f t="shared" ca="1" si="178"/>
        <v/>
      </c>
      <c r="F894" s="152" t="str">
        <f ca="1">IF($A894="","",Returns!$I$892)</f>
        <v/>
      </c>
      <c r="G894" s="153" t="str">
        <f t="shared" ca="1" si="179"/>
        <v/>
      </c>
      <c r="H894" s="153" t="str">
        <f ca="1">IF($A894="","",MAX($G$7:G894))</f>
        <v/>
      </c>
      <c r="I894" s="154" t="str">
        <f t="shared" ca="1" si="180"/>
        <v/>
      </c>
      <c r="J894" s="59" t="str">
        <f t="shared" ca="1" si="181"/>
        <v/>
      </c>
      <c r="K894" s="3"/>
      <c r="L894" t="str">
        <f t="shared" ca="1" si="169"/>
        <v/>
      </c>
      <c r="M894" s="132" t="str">
        <f t="shared" ca="1" si="170"/>
        <v/>
      </c>
      <c r="N894" s="132" t="str">
        <f t="shared" ca="1" si="171"/>
        <v/>
      </c>
      <c r="P894" t="str">
        <f t="shared" ca="1" si="172"/>
        <v/>
      </c>
      <c r="Q894" s="133" t="str">
        <f t="shared" ca="1" si="173"/>
        <v/>
      </c>
      <c r="R894" s="133" t="str">
        <f t="shared" ca="1" si="174"/>
        <v/>
      </c>
      <c r="T894" t="str">
        <f t="shared" ca="1" si="175"/>
        <v/>
      </c>
      <c r="U894" s="134" t="str">
        <f t="shared" ca="1" si="176"/>
        <v/>
      </c>
    </row>
    <row r="895" spans="1:21" x14ac:dyDescent="0.3">
      <c r="A895" s="151" t="str">
        <f ca="1">Returns!$A$893</f>
        <v/>
      </c>
      <c r="B895" s="152" t="str">
        <f ca="1">IF($A895="","",Returns!$J$893)</f>
        <v/>
      </c>
      <c r="C895" s="153" t="str">
        <f t="shared" ca="1" si="177"/>
        <v/>
      </c>
      <c r="D895" s="153" t="str">
        <f ca="1">IF($A895="","",MAX($C$7:C895))</f>
        <v/>
      </c>
      <c r="E895" s="154" t="str">
        <f t="shared" ca="1" si="178"/>
        <v/>
      </c>
      <c r="F895" s="152" t="str">
        <f ca="1">IF($A895="","",Returns!$I$893)</f>
        <v/>
      </c>
      <c r="G895" s="153" t="str">
        <f t="shared" ca="1" si="179"/>
        <v/>
      </c>
      <c r="H895" s="153" t="str">
        <f ca="1">IF($A895="","",MAX($G$7:G895))</f>
        <v/>
      </c>
      <c r="I895" s="154" t="str">
        <f t="shared" ca="1" si="180"/>
        <v/>
      </c>
      <c r="J895" s="59" t="str">
        <f t="shared" ca="1" si="181"/>
        <v/>
      </c>
      <c r="K895" s="3"/>
      <c r="L895" t="str">
        <f t="shared" ca="1" si="169"/>
        <v/>
      </c>
      <c r="M895" s="132" t="str">
        <f t="shared" ca="1" si="170"/>
        <v/>
      </c>
      <c r="N895" s="132" t="str">
        <f t="shared" ca="1" si="171"/>
        <v/>
      </c>
      <c r="P895" t="str">
        <f t="shared" ca="1" si="172"/>
        <v/>
      </c>
      <c r="Q895" s="133" t="str">
        <f t="shared" ca="1" si="173"/>
        <v/>
      </c>
      <c r="R895" s="133" t="str">
        <f t="shared" ca="1" si="174"/>
        <v/>
      </c>
      <c r="T895" t="str">
        <f t="shared" ca="1" si="175"/>
        <v/>
      </c>
      <c r="U895" s="134" t="str">
        <f t="shared" ca="1" si="176"/>
        <v/>
      </c>
    </row>
    <row r="896" spans="1:21" x14ac:dyDescent="0.3">
      <c r="A896" s="151" t="str">
        <f ca="1">Returns!$A$894</f>
        <v/>
      </c>
      <c r="B896" s="152" t="str">
        <f ca="1">IF($A896="","",Returns!$J$894)</f>
        <v/>
      </c>
      <c r="C896" s="153" t="str">
        <f t="shared" ca="1" si="177"/>
        <v/>
      </c>
      <c r="D896" s="153" t="str">
        <f ca="1">IF($A896="","",MAX($C$7:C896))</f>
        <v/>
      </c>
      <c r="E896" s="154" t="str">
        <f t="shared" ca="1" si="178"/>
        <v/>
      </c>
      <c r="F896" s="152" t="str">
        <f ca="1">IF($A896="","",Returns!$I$894)</f>
        <v/>
      </c>
      <c r="G896" s="153" t="str">
        <f t="shared" ca="1" si="179"/>
        <v/>
      </c>
      <c r="H896" s="153" t="str">
        <f ca="1">IF($A896="","",MAX($G$7:G896))</f>
        <v/>
      </c>
      <c r="I896" s="154" t="str">
        <f t="shared" ca="1" si="180"/>
        <v/>
      </c>
      <c r="J896" s="59" t="str">
        <f t="shared" ca="1" si="181"/>
        <v/>
      </c>
      <c r="K896" s="3"/>
      <c r="L896" t="str">
        <f t="shared" ca="1" si="169"/>
        <v/>
      </c>
      <c r="M896" s="132" t="str">
        <f t="shared" ca="1" si="170"/>
        <v/>
      </c>
      <c r="N896" s="132" t="str">
        <f t="shared" ca="1" si="171"/>
        <v/>
      </c>
      <c r="P896" t="str">
        <f t="shared" ca="1" si="172"/>
        <v/>
      </c>
      <c r="Q896" s="133" t="str">
        <f t="shared" ca="1" si="173"/>
        <v/>
      </c>
      <c r="R896" s="133" t="str">
        <f t="shared" ca="1" si="174"/>
        <v/>
      </c>
      <c r="T896" t="str">
        <f t="shared" ca="1" si="175"/>
        <v/>
      </c>
      <c r="U896" s="134" t="str">
        <f t="shared" ca="1" si="176"/>
        <v/>
      </c>
    </row>
    <row r="897" spans="1:21" x14ac:dyDescent="0.3">
      <c r="A897" s="151" t="str">
        <f ca="1">Returns!$A$895</f>
        <v/>
      </c>
      <c r="B897" s="152" t="str">
        <f ca="1">IF($A897="","",Returns!$J$895)</f>
        <v/>
      </c>
      <c r="C897" s="153" t="str">
        <f t="shared" ca="1" si="177"/>
        <v/>
      </c>
      <c r="D897" s="153" t="str">
        <f ca="1">IF($A897="","",MAX($C$7:C897))</f>
        <v/>
      </c>
      <c r="E897" s="154" t="str">
        <f t="shared" ca="1" si="178"/>
        <v/>
      </c>
      <c r="F897" s="152" t="str">
        <f ca="1">IF($A897="","",Returns!$I$895)</f>
        <v/>
      </c>
      <c r="G897" s="153" t="str">
        <f t="shared" ca="1" si="179"/>
        <v/>
      </c>
      <c r="H897" s="153" t="str">
        <f ca="1">IF($A897="","",MAX($G$7:G897))</f>
        <v/>
      </c>
      <c r="I897" s="154" t="str">
        <f t="shared" ca="1" si="180"/>
        <v/>
      </c>
      <c r="J897" s="59" t="str">
        <f t="shared" ca="1" si="181"/>
        <v/>
      </c>
      <c r="K897" s="3"/>
      <c r="L897" t="str">
        <f t="shared" ca="1" si="169"/>
        <v/>
      </c>
      <c r="M897" s="132" t="str">
        <f t="shared" ca="1" si="170"/>
        <v/>
      </c>
      <c r="N897" s="132" t="str">
        <f t="shared" ca="1" si="171"/>
        <v/>
      </c>
      <c r="P897" t="str">
        <f t="shared" ca="1" si="172"/>
        <v/>
      </c>
      <c r="Q897" s="133" t="str">
        <f t="shared" ca="1" si="173"/>
        <v/>
      </c>
      <c r="R897" s="133" t="str">
        <f t="shared" ca="1" si="174"/>
        <v/>
      </c>
      <c r="T897" t="str">
        <f t="shared" ca="1" si="175"/>
        <v/>
      </c>
      <c r="U897" s="134" t="str">
        <f t="shared" ca="1" si="176"/>
        <v/>
      </c>
    </row>
    <row r="898" spans="1:21" x14ac:dyDescent="0.3">
      <c r="A898" s="151" t="str">
        <f ca="1">Returns!$A$896</f>
        <v/>
      </c>
      <c r="B898" s="152" t="str">
        <f ca="1">IF($A898="","",Returns!$J$896)</f>
        <v/>
      </c>
      <c r="C898" s="153" t="str">
        <f t="shared" ca="1" si="177"/>
        <v/>
      </c>
      <c r="D898" s="153" t="str">
        <f ca="1">IF($A898="","",MAX($C$7:C898))</f>
        <v/>
      </c>
      <c r="E898" s="154" t="str">
        <f t="shared" ca="1" si="178"/>
        <v/>
      </c>
      <c r="F898" s="152" t="str">
        <f ca="1">IF($A898="","",Returns!$I$896)</f>
        <v/>
      </c>
      <c r="G898" s="153" t="str">
        <f t="shared" ca="1" si="179"/>
        <v/>
      </c>
      <c r="H898" s="153" t="str">
        <f ca="1">IF($A898="","",MAX($G$7:G898))</f>
        <v/>
      </c>
      <c r="I898" s="154" t="str">
        <f t="shared" ca="1" si="180"/>
        <v/>
      </c>
      <c r="J898" s="59" t="str">
        <f t="shared" ca="1" si="181"/>
        <v/>
      </c>
      <c r="K898" s="3"/>
      <c r="L898" t="str">
        <f t="shared" ca="1" si="169"/>
        <v/>
      </c>
      <c r="M898" s="132" t="str">
        <f t="shared" ca="1" si="170"/>
        <v/>
      </c>
      <c r="N898" s="132" t="str">
        <f t="shared" ca="1" si="171"/>
        <v/>
      </c>
      <c r="P898" t="str">
        <f t="shared" ca="1" si="172"/>
        <v/>
      </c>
      <c r="Q898" s="133" t="str">
        <f t="shared" ca="1" si="173"/>
        <v/>
      </c>
      <c r="R898" s="133" t="str">
        <f t="shared" ca="1" si="174"/>
        <v/>
      </c>
      <c r="T898" t="str">
        <f t="shared" ca="1" si="175"/>
        <v/>
      </c>
      <c r="U898" s="134" t="str">
        <f t="shared" ca="1" si="176"/>
        <v/>
      </c>
    </row>
    <row r="899" spans="1:21" x14ac:dyDescent="0.3">
      <c r="A899" s="151" t="str">
        <f ca="1">Returns!$A$897</f>
        <v/>
      </c>
      <c r="B899" s="152" t="str">
        <f ca="1">IF($A899="","",Returns!$J$897)</f>
        <v/>
      </c>
      <c r="C899" s="153" t="str">
        <f t="shared" ca="1" si="177"/>
        <v/>
      </c>
      <c r="D899" s="153" t="str">
        <f ca="1">IF($A899="","",MAX($C$7:C899))</f>
        <v/>
      </c>
      <c r="E899" s="154" t="str">
        <f t="shared" ca="1" si="178"/>
        <v/>
      </c>
      <c r="F899" s="152" t="str">
        <f ca="1">IF($A899="","",Returns!$I$897)</f>
        <v/>
      </c>
      <c r="G899" s="153" t="str">
        <f t="shared" ca="1" si="179"/>
        <v/>
      </c>
      <c r="H899" s="153" t="str">
        <f ca="1">IF($A899="","",MAX($G$7:G899))</f>
        <v/>
      </c>
      <c r="I899" s="154" t="str">
        <f t="shared" ca="1" si="180"/>
        <v/>
      </c>
      <c r="J899" s="59" t="str">
        <f t="shared" ca="1" si="181"/>
        <v/>
      </c>
      <c r="K899" s="3"/>
      <c r="L899" t="str">
        <f t="shared" ca="1" si="169"/>
        <v/>
      </c>
      <c r="M899" s="132" t="str">
        <f t="shared" ca="1" si="170"/>
        <v/>
      </c>
      <c r="N899" s="132" t="str">
        <f t="shared" ca="1" si="171"/>
        <v/>
      </c>
      <c r="P899" t="str">
        <f t="shared" ca="1" si="172"/>
        <v/>
      </c>
      <c r="Q899" s="133" t="str">
        <f t="shared" ca="1" si="173"/>
        <v/>
      </c>
      <c r="R899" s="133" t="str">
        <f t="shared" ca="1" si="174"/>
        <v/>
      </c>
      <c r="T899" t="str">
        <f t="shared" ca="1" si="175"/>
        <v/>
      </c>
      <c r="U899" s="134" t="str">
        <f t="shared" ca="1" si="176"/>
        <v/>
      </c>
    </row>
    <row r="900" spans="1:21" x14ac:dyDescent="0.3">
      <c r="A900" s="151" t="str">
        <f ca="1">Returns!$A$898</f>
        <v/>
      </c>
      <c r="B900" s="152" t="str">
        <f ca="1">IF($A900="","",Returns!$J$898)</f>
        <v/>
      </c>
      <c r="C900" s="153" t="str">
        <f t="shared" ca="1" si="177"/>
        <v/>
      </c>
      <c r="D900" s="153" t="str">
        <f ca="1">IF($A900="","",MAX($C$7:C900))</f>
        <v/>
      </c>
      <c r="E900" s="154" t="str">
        <f t="shared" ca="1" si="178"/>
        <v/>
      </c>
      <c r="F900" s="152" t="str">
        <f ca="1">IF($A900="","",Returns!$I$898)</f>
        <v/>
      </c>
      <c r="G900" s="153" t="str">
        <f t="shared" ca="1" si="179"/>
        <v/>
      </c>
      <c r="H900" s="153" t="str">
        <f ca="1">IF($A900="","",MAX($G$7:G900))</f>
        <v/>
      </c>
      <c r="I900" s="154" t="str">
        <f t="shared" ca="1" si="180"/>
        <v/>
      </c>
      <c r="J900" s="59" t="str">
        <f t="shared" ca="1" si="181"/>
        <v/>
      </c>
      <c r="K900" s="3"/>
      <c r="L900" t="str">
        <f t="shared" ca="1" si="169"/>
        <v/>
      </c>
      <c r="M900" s="132" t="str">
        <f t="shared" ca="1" si="170"/>
        <v/>
      </c>
      <c r="N900" s="132" t="str">
        <f t="shared" ca="1" si="171"/>
        <v/>
      </c>
      <c r="P900" t="str">
        <f t="shared" ca="1" si="172"/>
        <v/>
      </c>
      <c r="Q900" s="133" t="str">
        <f t="shared" ca="1" si="173"/>
        <v/>
      </c>
      <c r="R900" s="133" t="str">
        <f t="shared" ca="1" si="174"/>
        <v/>
      </c>
      <c r="T900" t="str">
        <f t="shared" ca="1" si="175"/>
        <v/>
      </c>
      <c r="U900" s="134" t="str">
        <f t="shared" ca="1" si="176"/>
        <v/>
      </c>
    </row>
    <row r="901" spans="1:21" x14ac:dyDescent="0.3">
      <c r="A901" s="151" t="str">
        <f ca="1">Returns!$A$899</f>
        <v/>
      </c>
      <c r="B901" s="152" t="str">
        <f ca="1">IF($A901="","",Returns!$J$899)</f>
        <v/>
      </c>
      <c r="C901" s="153" t="str">
        <f t="shared" ca="1" si="177"/>
        <v/>
      </c>
      <c r="D901" s="153" t="str">
        <f ca="1">IF($A901="","",MAX($C$7:C901))</f>
        <v/>
      </c>
      <c r="E901" s="154" t="str">
        <f t="shared" ca="1" si="178"/>
        <v/>
      </c>
      <c r="F901" s="152" t="str">
        <f ca="1">IF($A901="","",Returns!$I$899)</f>
        <v/>
      </c>
      <c r="G901" s="153" t="str">
        <f t="shared" ca="1" si="179"/>
        <v/>
      </c>
      <c r="H901" s="153" t="str">
        <f ca="1">IF($A901="","",MAX($G$7:G901))</f>
        <v/>
      </c>
      <c r="I901" s="154" t="str">
        <f t="shared" ca="1" si="180"/>
        <v/>
      </c>
      <c r="J901" s="59" t="str">
        <f t="shared" ca="1" si="181"/>
        <v/>
      </c>
      <c r="K901" s="3"/>
      <c r="L901" t="str">
        <f t="shared" ca="1" si="169"/>
        <v/>
      </c>
      <c r="M901" s="132" t="str">
        <f t="shared" ca="1" si="170"/>
        <v/>
      </c>
      <c r="N901" s="132" t="str">
        <f t="shared" ca="1" si="171"/>
        <v/>
      </c>
      <c r="P901" t="str">
        <f t="shared" ca="1" si="172"/>
        <v/>
      </c>
      <c r="Q901" s="133" t="str">
        <f t="shared" ca="1" si="173"/>
        <v/>
      </c>
      <c r="R901" s="133" t="str">
        <f t="shared" ca="1" si="174"/>
        <v/>
      </c>
      <c r="T901" t="str">
        <f t="shared" ca="1" si="175"/>
        <v/>
      </c>
      <c r="U901" s="134" t="str">
        <f t="shared" ca="1" si="176"/>
        <v/>
      </c>
    </row>
    <row r="902" spans="1:21" x14ac:dyDescent="0.3">
      <c r="A902" s="151" t="str">
        <f ca="1">Returns!$A$900</f>
        <v/>
      </c>
      <c r="B902" s="152" t="str">
        <f ca="1">IF($A902="","",Returns!$J$900)</f>
        <v/>
      </c>
      <c r="C902" s="153" t="str">
        <f t="shared" ca="1" si="177"/>
        <v/>
      </c>
      <c r="D902" s="153" t="str">
        <f ca="1">IF($A902="","",MAX($C$7:C902))</f>
        <v/>
      </c>
      <c r="E902" s="154" t="str">
        <f t="shared" ca="1" si="178"/>
        <v/>
      </c>
      <c r="F902" s="152" t="str">
        <f ca="1">IF($A902="","",Returns!$I$900)</f>
        <v/>
      </c>
      <c r="G902" s="153" t="str">
        <f t="shared" ca="1" si="179"/>
        <v/>
      </c>
      <c r="H902" s="153" t="str">
        <f ca="1">IF($A902="","",MAX($G$7:G902))</f>
        <v/>
      </c>
      <c r="I902" s="154" t="str">
        <f t="shared" ca="1" si="180"/>
        <v/>
      </c>
      <c r="J902" s="59" t="str">
        <f t="shared" ca="1" si="181"/>
        <v/>
      </c>
      <c r="K902" s="3"/>
      <c r="L902" t="str">
        <f t="shared" ca="1" si="169"/>
        <v/>
      </c>
      <c r="M902" s="132" t="str">
        <f t="shared" ca="1" si="170"/>
        <v/>
      </c>
      <c r="N902" s="132" t="str">
        <f t="shared" ca="1" si="171"/>
        <v/>
      </c>
      <c r="P902" t="str">
        <f t="shared" ca="1" si="172"/>
        <v/>
      </c>
      <c r="Q902" s="133" t="str">
        <f t="shared" ca="1" si="173"/>
        <v/>
      </c>
      <c r="R902" s="133" t="str">
        <f t="shared" ca="1" si="174"/>
        <v/>
      </c>
      <c r="T902" t="str">
        <f t="shared" ca="1" si="175"/>
        <v/>
      </c>
      <c r="U902" s="134" t="str">
        <f t="shared" ca="1" si="176"/>
        <v/>
      </c>
    </row>
    <row r="903" spans="1:21" x14ac:dyDescent="0.3">
      <c r="A903" s="151" t="str">
        <f ca="1">Returns!$A$901</f>
        <v/>
      </c>
      <c r="B903" s="152" t="str">
        <f ca="1">IF($A903="","",Returns!$J$901)</f>
        <v/>
      </c>
      <c r="C903" s="153" t="str">
        <f t="shared" ca="1" si="177"/>
        <v/>
      </c>
      <c r="D903" s="153" t="str">
        <f ca="1">IF($A903="","",MAX($C$7:C903))</f>
        <v/>
      </c>
      <c r="E903" s="154" t="str">
        <f t="shared" ca="1" si="178"/>
        <v/>
      </c>
      <c r="F903" s="152" t="str">
        <f ca="1">IF($A903="","",Returns!$I$901)</f>
        <v/>
      </c>
      <c r="G903" s="153" t="str">
        <f t="shared" ca="1" si="179"/>
        <v/>
      </c>
      <c r="H903" s="153" t="str">
        <f ca="1">IF($A903="","",MAX($G$7:G903))</f>
        <v/>
      </c>
      <c r="I903" s="154" t="str">
        <f t="shared" ca="1" si="180"/>
        <v/>
      </c>
      <c r="J903" s="59" t="str">
        <f t="shared" ca="1" si="181"/>
        <v/>
      </c>
      <c r="K903" s="3"/>
      <c r="L903" t="str">
        <f t="shared" ref="L903:L966" ca="1" si="182">$J903</f>
        <v/>
      </c>
      <c r="M903" s="132" t="str">
        <f t="shared" ref="M903:M966" ca="1" si="183">$C903</f>
        <v/>
      </c>
      <c r="N903" s="132" t="str">
        <f t="shared" ref="N903:N966" ca="1" si="184">$G903</f>
        <v/>
      </c>
      <c r="P903" t="str">
        <f t="shared" ref="P903:P966" ca="1" si="185">$J903</f>
        <v/>
      </c>
      <c r="Q903" s="133" t="str">
        <f t="shared" ref="Q903:Q966" ca="1" si="186">$E903</f>
        <v/>
      </c>
      <c r="R903" s="133" t="str">
        <f t="shared" ref="R903:R966" ca="1" si="187">$I903</f>
        <v/>
      </c>
      <c r="T903" t="str">
        <f t="shared" ref="T903:T966" ca="1" si="188">$J903</f>
        <v/>
      </c>
      <c r="U903" s="134" t="str">
        <f t="shared" ref="U903:U966" ca="1" si="189">IF($A903="","",NotionalValue*$C903/IndexBase)</f>
        <v/>
      </c>
    </row>
    <row r="904" spans="1:21" x14ac:dyDescent="0.3">
      <c r="A904" s="151" t="str">
        <f ca="1">Returns!$A$902</f>
        <v/>
      </c>
      <c r="B904" s="152" t="str">
        <f ca="1">IF($A904="","",Returns!$J$902)</f>
        <v/>
      </c>
      <c r="C904" s="153" t="str">
        <f t="shared" ref="C904:C967" ca="1" si="190">IF($A904="","",C903*(1+$B904))</f>
        <v/>
      </c>
      <c r="D904" s="153" t="str">
        <f ca="1">IF($A904="","",MAX($C$7:C904))</f>
        <v/>
      </c>
      <c r="E904" s="154" t="str">
        <f t="shared" ref="E904:E967" ca="1" si="191">IF($A904="","",$C904/$D904-1)</f>
        <v/>
      </c>
      <c r="F904" s="152" t="str">
        <f ca="1">IF($A904="","",Returns!$I$902)</f>
        <v/>
      </c>
      <c r="G904" s="153" t="str">
        <f t="shared" ref="G904:G967" ca="1" si="192">IF($A904="","",G903*(1+$F904))</f>
        <v/>
      </c>
      <c r="H904" s="153" t="str">
        <f ca="1">IF($A904="","",MAX($G$7:G904))</f>
        <v/>
      </c>
      <c r="I904" s="154" t="str">
        <f t="shared" ref="I904:I967" ca="1" si="193">IF($A904="","",$G904/$H904-1)</f>
        <v/>
      </c>
      <c r="J904" s="59" t="str">
        <f t="shared" ref="J904:J967" ca="1" si="194">IF($A904="","",TEXT($A904,"mmm-yy"))</f>
        <v/>
      </c>
      <c r="K904" s="3"/>
      <c r="L904" t="str">
        <f t="shared" ca="1" si="182"/>
        <v/>
      </c>
      <c r="M904" s="132" t="str">
        <f t="shared" ca="1" si="183"/>
        <v/>
      </c>
      <c r="N904" s="132" t="str">
        <f t="shared" ca="1" si="184"/>
        <v/>
      </c>
      <c r="P904" t="str">
        <f t="shared" ca="1" si="185"/>
        <v/>
      </c>
      <c r="Q904" s="133" t="str">
        <f t="shared" ca="1" si="186"/>
        <v/>
      </c>
      <c r="R904" s="133" t="str">
        <f t="shared" ca="1" si="187"/>
        <v/>
      </c>
      <c r="T904" t="str">
        <f t="shared" ca="1" si="188"/>
        <v/>
      </c>
      <c r="U904" s="134" t="str">
        <f t="shared" ca="1" si="189"/>
        <v/>
      </c>
    </row>
    <row r="905" spans="1:21" x14ac:dyDescent="0.3">
      <c r="A905" s="151" t="str">
        <f ca="1">Returns!$A$903</f>
        <v/>
      </c>
      <c r="B905" s="152" t="str">
        <f ca="1">IF($A905="","",Returns!$J$903)</f>
        <v/>
      </c>
      <c r="C905" s="153" t="str">
        <f t="shared" ca="1" si="190"/>
        <v/>
      </c>
      <c r="D905" s="153" t="str">
        <f ca="1">IF($A905="","",MAX($C$7:C905))</f>
        <v/>
      </c>
      <c r="E905" s="154" t="str">
        <f t="shared" ca="1" si="191"/>
        <v/>
      </c>
      <c r="F905" s="152" t="str">
        <f ca="1">IF($A905="","",Returns!$I$903)</f>
        <v/>
      </c>
      <c r="G905" s="153" t="str">
        <f t="shared" ca="1" si="192"/>
        <v/>
      </c>
      <c r="H905" s="153" t="str">
        <f ca="1">IF($A905="","",MAX($G$7:G905))</f>
        <v/>
      </c>
      <c r="I905" s="154" t="str">
        <f t="shared" ca="1" si="193"/>
        <v/>
      </c>
      <c r="J905" s="59" t="str">
        <f t="shared" ca="1" si="194"/>
        <v/>
      </c>
      <c r="K905" s="3"/>
      <c r="L905" t="str">
        <f t="shared" ca="1" si="182"/>
        <v/>
      </c>
      <c r="M905" s="132" t="str">
        <f t="shared" ca="1" si="183"/>
        <v/>
      </c>
      <c r="N905" s="132" t="str">
        <f t="shared" ca="1" si="184"/>
        <v/>
      </c>
      <c r="P905" t="str">
        <f t="shared" ca="1" si="185"/>
        <v/>
      </c>
      <c r="Q905" s="133" t="str">
        <f t="shared" ca="1" si="186"/>
        <v/>
      </c>
      <c r="R905" s="133" t="str">
        <f t="shared" ca="1" si="187"/>
        <v/>
      </c>
      <c r="T905" t="str">
        <f t="shared" ca="1" si="188"/>
        <v/>
      </c>
      <c r="U905" s="134" t="str">
        <f t="shared" ca="1" si="189"/>
        <v/>
      </c>
    </row>
    <row r="906" spans="1:21" x14ac:dyDescent="0.3">
      <c r="A906" s="151" t="str">
        <f ca="1">Returns!$A$904</f>
        <v/>
      </c>
      <c r="B906" s="152" t="str">
        <f ca="1">IF($A906="","",Returns!$J$904)</f>
        <v/>
      </c>
      <c r="C906" s="153" t="str">
        <f t="shared" ca="1" si="190"/>
        <v/>
      </c>
      <c r="D906" s="153" t="str">
        <f ca="1">IF($A906="","",MAX($C$7:C906))</f>
        <v/>
      </c>
      <c r="E906" s="154" t="str">
        <f t="shared" ca="1" si="191"/>
        <v/>
      </c>
      <c r="F906" s="152" t="str">
        <f ca="1">IF($A906="","",Returns!$I$904)</f>
        <v/>
      </c>
      <c r="G906" s="153" t="str">
        <f t="shared" ca="1" si="192"/>
        <v/>
      </c>
      <c r="H906" s="153" t="str">
        <f ca="1">IF($A906="","",MAX($G$7:G906))</f>
        <v/>
      </c>
      <c r="I906" s="154" t="str">
        <f t="shared" ca="1" si="193"/>
        <v/>
      </c>
      <c r="J906" s="59" t="str">
        <f t="shared" ca="1" si="194"/>
        <v/>
      </c>
      <c r="K906" s="3"/>
      <c r="L906" t="str">
        <f t="shared" ca="1" si="182"/>
        <v/>
      </c>
      <c r="M906" s="132" t="str">
        <f t="shared" ca="1" si="183"/>
        <v/>
      </c>
      <c r="N906" s="132" t="str">
        <f t="shared" ca="1" si="184"/>
        <v/>
      </c>
      <c r="P906" t="str">
        <f t="shared" ca="1" si="185"/>
        <v/>
      </c>
      <c r="Q906" s="133" t="str">
        <f t="shared" ca="1" si="186"/>
        <v/>
      </c>
      <c r="R906" s="133" t="str">
        <f t="shared" ca="1" si="187"/>
        <v/>
      </c>
      <c r="T906" t="str">
        <f t="shared" ca="1" si="188"/>
        <v/>
      </c>
      <c r="U906" s="134" t="str">
        <f t="shared" ca="1" si="189"/>
        <v/>
      </c>
    </row>
    <row r="907" spans="1:21" x14ac:dyDescent="0.3">
      <c r="A907" s="151" t="str">
        <f ca="1">Returns!$A$905</f>
        <v/>
      </c>
      <c r="B907" s="152" t="str">
        <f ca="1">IF($A907="","",Returns!$J$905)</f>
        <v/>
      </c>
      <c r="C907" s="153" t="str">
        <f t="shared" ca="1" si="190"/>
        <v/>
      </c>
      <c r="D907" s="153" t="str">
        <f ca="1">IF($A907="","",MAX($C$7:C907))</f>
        <v/>
      </c>
      <c r="E907" s="154" t="str">
        <f t="shared" ca="1" si="191"/>
        <v/>
      </c>
      <c r="F907" s="152" t="str">
        <f ca="1">IF($A907="","",Returns!$I$905)</f>
        <v/>
      </c>
      <c r="G907" s="153" t="str">
        <f t="shared" ca="1" si="192"/>
        <v/>
      </c>
      <c r="H907" s="153" t="str">
        <f ca="1">IF($A907="","",MAX($G$7:G907))</f>
        <v/>
      </c>
      <c r="I907" s="154" t="str">
        <f t="shared" ca="1" si="193"/>
        <v/>
      </c>
      <c r="J907" s="59" t="str">
        <f t="shared" ca="1" si="194"/>
        <v/>
      </c>
      <c r="K907" s="3"/>
      <c r="L907" t="str">
        <f t="shared" ca="1" si="182"/>
        <v/>
      </c>
      <c r="M907" s="132" t="str">
        <f t="shared" ca="1" si="183"/>
        <v/>
      </c>
      <c r="N907" s="132" t="str">
        <f t="shared" ca="1" si="184"/>
        <v/>
      </c>
      <c r="P907" t="str">
        <f t="shared" ca="1" si="185"/>
        <v/>
      </c>
      <c r="Q907" s="133" t="str">
        <f t="shared" ca="1" si="186"/>
        <v/>
      </c>
      <c r="R907" s="133" t="str">
        <f t="shared" ca="1" si="187"/>
        <v/>
      </c>
      <c r="T907" t="str">
        <f t="shared" ca="1" si="188"/>
        <v/>
      </c>
      <c r="U907" s="134" t="str">
        <f t="shared" ca="1" si="189"/>
        <v/>
      </c>
    </row>
    <row r="908" spans="1:21" x14ac:dyDescent="0.3">
      <c r="A908" s="151" t="str">
        <f ca="1">Returns!$A$906</f>
        <v/>
      </c>
      <c r="B908" s="152" t="str">
        <f ca="1">IF($A908="","",Returns!$J$906)</f>
        <v/>
      </c>
      <c r="C908" s="153" t="str">
        <f t="shared" ca="1" si="190"/>
        <v/>
      </c>
      <c r="D908" s="153" t="str">
        <f ca="1">IF($A908="","",MAX($C$7:C908))</f>
        <v/>
      </c>
      <c r="E908" s="154" t="str">
        <f t="shared" ca="1" si="191"/>
        <v/>
      </c>
      <c r="F908" s="152" t="str">
        <f ca="1">IF($A908="","",Returns!$I$906)</f>
        <v/>
      </c>
      <c r="G908" s="153" t="str">
        <f t="shared" ca="1" si="192"/>
        <v/>
      </c>
      <c r="H908" s="153" t="str">
        <f ca="1">IF($A908="","",MAX($G$7:G908))</f>
        <v/>
      </c>
      <c r="I908" s="154" t="str">
        <f t="shared" ca="1" si="193"/>
        <v/>
      </c>
      <c r="J908" s="59" t="str">
        <f t="shared" ca="1" si="194"/>
        <v/>
      </c>
      <c r="K908" s="3"/>
      <c r="L908" t="str">
        <f t="shared" ca="1" si="182"/>
        <v/>
      </c>
      <c r="M908" s="132" t="str">
        <f t="shared" ca="1" si="183"/>
        <v/>
      </c>
      <c r="N908" s="132" t="str">
        <f t="shared" ca="1" si="184"/>
        <v/>
      </c>
      <c r="P908" t="str">
        <f t="shared" ca="1" si="185"/>
        <v/>
      </c>
      <c r="Q908" s="133" t="str">
        <f t="shared" ca="1" si="186"/>
        <v/>
      </c>
      <c r="R908" s="133" t="str">
        <f t="shared" ca="1" si="187"/>
        <v/>
      </c>
      <c r="T908" t="str">
        <f t="shared" ca="1" si="188"/>
        <v/>
      </c>
      <c r="U908" s="134" t="str">
        <f t="shared" ca="1" si="189"/>
        <v/>
      </c>
    </row>
    <row r="909" spans="1:21" x14ac:dyDescent="0.3">
      <c r="A909" s="151" t="str">
        <f ca="1">Returns!$A$907</f>
        <v/>
      </c>
      <c r="B909" s="152" t="str">
        <f ca="1">IF($A909="","",Returns!$J$907)</f>
        <v/>
      </c>
      <c r="C909" s="153" t="str">
        <f t="shared" ca="1" si="190"/>
        <v/>
      </c>
      <c r="D909" s="153" t="str">
        <f ca="1">IF($A909="","",MAX($C$7:C909))</f>
        <v/>
      </c>
      <c r="E909" s="154" t="str">
        <f t="shared" ca="1" si="191"/>
        <v/>
      </c>
      <c r="F909" s="152" t="str">
        <f ca="1">IF($A909="","",Returns!$I$907)</f>
        <v/>
      </c>
      <c r="G909" s="153" t="str">
        <f t="shared" ca="1" si="192"/>
        <v/>
      </c>
      <c r="H909" s="153" t="str">
        <f ca="1">IF($A909="","",MAX($G$7:G909))</f>
        <v/>
      </c>
      <c r="I909" s="154" t="str">
        <f t="shared" ca="1" si="193"/>
        <v/>
      </c>
      <c r="J909" s="59" t="str">
        <f t="shared" ca="1" si="194"/>
        <v/>
      </c>
      <c r="K909" s="3"/>
      <c r="L909" t="str">
        <f t="shared" ca="1" si="182"/>
        <v/>
      </c>
      <c r="M909" s="132" t="str">
        <f t="shared" ca="1" si="183"/>
        <v/>
      </c>
      <c r="N909" s="132" t="str">
        <f t="shared" ca="1" si="184"/>
        <v/>
      </c>
      <c r="P909" t="str">
        <f t="shared" ca="1" si="185"/>
        <v/>
      </c>
      <c r="Q909" s="133" t="str">
        <f t="shared" ca="1" si="186"/>
        <v/>
      </c>
      <c r="R909" s="133" t="str">
        <f t="shared" ca="1" si="187"/>
        <v/>
      </c>
      <c r="T909" t="str">
        <f t="shared" ca="1" si="188"/>
        <v/>
      </c>
      <c r="U909" s="134" t="str">
        <f t="shared" ca="1" si="189"/>
        <v/>
      </c>
    </row>
    <row r="910" spans="1:21" x14ac:dyDescent="0.3">
      <c r="A910" s="151" t="str">
        <f ca="1">Returns!$A$908</f>
        <v/>
      </c>
      <c r="B910" s="152" t="str">
        <f ca="1">IF($A910="","",Returns!$J$908)</f>
        <v/>
      </c>
      <c r="C910" s="153" t="str">
        <f t="shared" ca="1" si="190"/>
        <v/>
      </c>
      <c r="D910" s="153" t="str">
        <f ca="1">IF($A910="","",MAX($C$7:C910))</f>
        <v/>
      </c>
      <c r="E910" s="154" t="str">
        <f t="shared" ca="1" si="191"/>
        <v/>
      </c>
      <c r="F910" s="152" t="str">
        <f ca="1">IF($A910="","",Returns!$I$908)</f>
        <v/>
      </c>
      <c r="G910" s="153" t="str">
        <f t="shared" ca="1" si="192"/>
        <v/>
      </c>
      <c r="H910" s="153" t="str">
        <f ca="1">IF($A910="","",MAX($G$7:G910))</f>
        <v/>
      </c>
      <c r="I910" s="154" t="str">
        <f t="shared" ca="1" si="193"/>
        <v/>
      </c>
      <c r="J910" s="59" t="str">
        <f t="shared" ca="1" si="194"/>
        <v/>
      </c>
      <c r="K910" s="3"/>
      <c r="L910" t="str">
        <f t="shared" ca="1" si="182"/>
        <v/>
      </c>
      <c r="M910" s="132" t="str">
        <f t="shared" ca="1" si="183"/>
        <v/>
      </c>
      <c r="N910" s="132" t="str">
        <f t="shared" ca="1" si="184"/>
        <v/>
      </c>
      <c r="P910" t="str">
        <f t="shared" ca="1" si="185"/>
        <v/>
      </c>
      <c r="Q910" s="133" t="str">
        <f t="shared" ca="1" si="186"/>
        <v/>
      </c>
      <c r="R910" s="133" t="str">
        <f t="shared" ca="1" si="187"/>
        <v/>
      </c>
      <c r="T910" t="str">
        <f t="shared" ca="1" si="188"/>
        <v/>
      </c>
      <c r="U910" s="134" t="str">
        <f t="shared" ca="1" si="189"/>
        <v/>
      </c>
    </row>
    <row r="911" spans="1:21" x14ac:dyDescent="0.3">
      <c r="A911" s="151" t="str">
        <f ca="1">Returns!$A$909</f>
        <v/>
      </c>
      <c r="B911" s="152" t="str">
        <f ca="1">IF($A911="","",Returns!$J$909)</f>
        <v/>
      </c>
      <c r="C911" s="153" t="str">
        <f t="shared" ca="1" si="190"/>
        <v/>
      </c>
      <c r="D911" s="153" t="str">
        <f ca="1">IF($A911="","",MAX($C$7:C911))</f>
        <v/>
      </c>
      <c r="E911" s="154" t="str">
        <f t="shared" ca="1" si="191"/>
        <v/>
      </c>
      <c r="F911" s="152" t="str">
        <f ca="1">IF($A911="","",Returns!$I$909)</f>
        <v/>
      </c>
      <c r="G911" s="153" t="str">
        <f t="shared" ca="1" si="192"/>
        <v/>
      </c>
      <c r="H911" s="153" t="str">
        <f ca="1">IF($A911="","",MAX($G$7:G911))</f>
        <v/>
      </c>
      <c r="I911" s="154" t="str">
        <f t="shared" ca="1" si="193"/>
        <v/>
      </c>
      <c r="J911" s="59" t="str">
        <f t="shared" ca="1" si="194"/>
        <v/>
      </c>
      <c r="K911" s="3"/>
      <c r="L911" t="str">
        <f t="shared" ca="1" si="182"/>
        <v/>
      </c>
      <c r="M911" s="132" t="str">
        <f t="shared" ca="1" si="183"/>
        <v/>
      </c>
      <c r="N911" s="132" t="str">
        <f t="shared" ca="1" si="184"/>
        <v/>
      </c>
      <c r="P911" t="str">
        <f t="shared" ca="1" si="185"/>
        <v/>
      </c>
      <c r="Q911" s="133" t="str">
        <f t="shared" ca="1" si="186"/>
        <v/>
      </c>
      <c r="R911" s="133" t="str">
        <f t="shared" ca="1" si="187"/>
        <v/>
      </c>
      <c r="T911" t="str">
        <f t="shared" ca="1" si="188"/>
        <v/>
      </c>
      <c r="U911" s="134" t="str">
        <f t="shared" ca="1" si="189"/>
        <v/>
      </c>
    </row>
    <row r="912" spans="1:21" x14ac:dyDescent="0.3">
      <c r="A912" s="151" t="str">
        <f ca="1">Returns!$A$910</f>
        <v/>
      </c>
      <c r="B912" s="152" t="str">
        <f ca="1">IF($A912="","",Returns!$J$910)</f>
        <v/>
      </c>
      <c r="C912" s="153" t="str">
        <f t="shared" ca="1" si="190"/>
        <v/>
      </c>
      <c r="D912" s="153" t="str">
        <f ca="1">IF($A912="","",MAX($C$7:C912))</f>
        <v/>
      </c>
      <c r="E912" s="154" t="str">
        <f t="shared" ca="1" si="191"/>
        <v/>
      </c>
      <c r="F912" s="152" t="str">
        <f ca="1">IF($A912="","",Returns!$I$910)</f>
        <v/>
      </c>
      <c r="G912" s="153" t="str">
        <f t="shared" ca="1" si="192"/>
        <v/>
      </c>
      <c r="H912" s="153" t="str">
        <f ca="1">IF($A912="","",MAX($G$7:G912))</f>
        <v/>
      </c>
      <c r="I912" s="154" t="str">
        <f t="shared" ca="1" si="193"/>
        <v/>
      </c>
      <c r="J912" s="59" t="str">
        <f t="shared" ca="1" si="194"/>
        <v/>
      </c>
      <c r="K912" s="3"/>
      <c r="L912" t="str">
        <f t="shared" ca="1" si="182"/>
        <v/>
      </c>
      <c r="M912" s="132" t="str">
        <f t="shared" ca="1" si="183"/>
        <v/>
      </c>
      <c r="N912" s="132" t="str">
        <f t="shared" ca="1" si="184"/>
        <v/>
      </c>
      <c r="P912" t="str">
        <f t="shared" ca="1" si="185"/>
        <v/>
      </c>
      <c r="Q912" s="133" t="str">
        <f t="shared" ca="1" si="186"/>
        <v/>
      </c>
      <c r="R912" s="133" t="str">
        <f t="shared" ca="1" si="187"/>
        <v/>
      </c>
      <c r="T912" t="str">
        <f t="shared" ca="1" si="188"/>
        <v/>
      </c>
      <c r="U912" s="134" t="str">
        <f t="shared" ca="1" si="189"/>
        <v/>
      </c>
    </row>
    <row r="913" spans="1:21" x14ac:dyDescent="0.3">
      <c r="A913" s="151" t="str">
        <f ca="1">Returns!$A$911</f>
        <v/>
      </c>
      <c r="B913" s="152" t="str">
        <f ca="1">IF($A913="","",Returns!$J$911)</f>
        <v/>
      </c>
      <c r="C913" s="153" t="str">
        <f t="shared" ca="1" si="190"/>
        <v/>
      </c>
      <c r="D913" s="153" t="str">
        <f ca="1">IF($A913="","",MAX($C$7:C913))</f>
        <v/>
      </c>
      <c r="E913" s="154" t="str">
        <f t="shared" ca="1" si="191"/>
        <v/>
      </c>
      <c r="F913" s="152" t="str">
        <f ca="1">IF($A913="","",Returns!$I$911)</f>
        <v/>
      </c>
      <c r="G913" s="153" t="str">
        <f t="shared" ca="1" si="192"/>
        <v/>
      </c>
      <c r="H913" s="153" t="str">
        <f ca="1">IF($A913="","",MAX($G$7:G913))</f>
        <v/>
      </c>
      <c r="I913" s="154" t="str">
        <f t="shared" ca="1" si="193"/>
        <v/>
      </c>
      <c r="J913" s="59" t="str">
        <f t="shared" ca="1" si="194"/>
        <v/>
      </c>
      <c r="K913" s="3"/>
      <c r="L913" t="str">
        <f t="shared" ca="1" si="182"/>
        <v/>
      </c>
      <c r="M913" s="132" t="str">
        <f t="shared" ca="1" si="183"/>
        <v/>
      </c>
      <c r="N913" s="132" t="str">
        <f t="shared" ca="1" si="184"/>
        <v/>
      </c>
      <c r="P913" t="str">
        <f t="shared" ca="1" si="185"/>
        <v/>
      </c>
      <c r="Q913" s="133" t="str">
        <f t="shared" ca="1" si="186"/>
        <v/>
      </c>
      <c r="R913" s="133" t="str">
        <f t="shared" ca="1" si="187"/>
        <v/>
      </c>
      <c r="T913" t="str">
        <f t="shared" ca="1" si="188"/>
        <v/>
      </c>
      <c r="U913" s="134" t="str">
        <f t="shared" ca="1" si="189"/>
        <v/>
      </c>
    </row>
    <row r="914" spans="1:21" x14ac:dyDescent="0.3">
      <c r="A914" s="151" t="str">
        <f ca="1">Returns!$A$912</f>
        <v/>
      </c>
      <c r="B914" s="152" t="str">
        <f ca="1">IF($A914="","",Returns!$J$912)</f>
        <v/>
      </c>
      <c r="C914" s="153" t="str">
        <f t="shared" ca="1" si="190"/>
        <v/>
      </c>
      <c r="D914" s="153" t="str">
        <f ca="1">IF($A914="","",MAX($C$7:C914))</f>
        <v/>
      </c>
      <c r="E914" s="154" t="str">
        <f t="shared" ca="1" si="191"/>
        <v/>
      </c>
      <c r="F914" s="152" t="str">
        <f ca="1">IF($A914="","",Returns!$I$912)</f>
        <v/>
      </c>
      <c r="G914" s="153" t="str">
        <f t="shared" ca="1" si="192"/>
        <v/>
      </c>
      <c r="H914" s="153" t="str">
        <f ca="1">IF($A914="","",MAX($G$7:G914))</f>
        <v/>
      </c>
      <c r="I914" s="154" t="str">
        <f t="shared" ca="1" si="193"/>
        <v/>
      </c>
      <c r="J914" s="59" t="str">
        <f t="shared" ca="1" si="194"/>
        <v/>
      </c>
      <c r="K914" s="3"/>
      <c r="L914" t="str">
        <f t="shared" ca="1" si="182"/>
        <v/>
      </c>
      <c r="M914" s="132" t="str">
        <f t="shared" ca="1" si="183"/>
        <v/>
      </c>
      <c r="N914" s="132" t="str">
        <f t="shared" ca="1" si="184"/>
        <v/>
      </c>
      <c r="P914" t="str">
        <f t="shared" ca="1" si="185"/>
        <v/>
      </c>
      <c r="Q914" s="133" t="str">
        <f t="shared" ca="1" si="186"/>
        <v/>
      </c>
      <c r="R914" s="133" t="str">
        <f t="shared" ca="1" si="187"/>
        <v/>
      </c>
      <c r="T914" t="str">
        <f t="shared" ca="1" si="188"/>
        <v/>
      </c>
      <c r="U914" s="134" t="str">
        <f t="shared" ca="1" si="189"/>
        <v/>
      </c>
    </row>
    <row r="915" spans="1:21" x14ac:dyDescent="0.3">
      <c r="A915" s="151" t="str">
        <f ca="1">Returns!$A$913</f>
        <v/>
      </c>
      <c r="B915" s="152" t="str">
        <f ca="1">IF($A915="","",Returns!$J$913)</f>
        <v/>
      </c>
      <c r="C915" s="153" t="str">
        <f t="shared" ca="1" si="190"/>
        <v/>
      </c>
      <c r="D915" s="153" t="str">
        <f ca="1">IF($A915="","",MAX($C$7:C915))</f>
        <v/>
      </c>
      <c r="E915" s="154" t="str">
        <f t="shared" ca="1" si="191"/>
        <v/>
      </c>
      <c r="F915" s="152" t="str">
        <f ca="1">IF($A915="","",Returns!$I$913)</f>
        <v/>
      </c>
      <c r="G915" s="153" t="str">
        <f t="shared" ca="1" si="192"/>
        <v/>
      </c>
      <c r="H915" s="153" t="str">
        <f ca="1">IF($A915="","",MAX($G$7:G915))</f>
        <v/>
      </c>
      <c r="I915" s="154" t="str">
        <f t="shared" ca="1" si="193"/>
        <v/>
      </c>
      <c r="J915" s="59" t="str">
        <f t="shared" ca="1" si="194"/>
        <v/>
      </c>
      <c r="K915" s="3"/>
      <c r="L915" t="str">
        <f t="shared" ca="1" si="182"/>
        <v/>
      </c>
      <c r="M915" s="132" t="str">
        <f t="shared" ca="1" si="183"/>
        <v/>
      </c>
      <c r="N915" s="132" t="str">
        <f t="shared" ca="1" si="184"/>
        <v/>
      </c>
      <c r="P915" t="str">
        <f t="shared" ca="1" si="185"/>
        <v/>
      </c>
      <c r="Q915" s="133" t="str">
        <f t="shared" ca="1" si="186"/>
        <v/>
      </c>
      <c r="R915" s="133" t="str">
        <f t="shared" ca="1" si="187"/>
        <v/>
      </c>
      <c r="T915" t="str">
        <f t="shared" ca="1" si="188"/>
        <v/>
      </c>
      <c r="U915" s="134" t="str">
        <f t="shared" ca="1" si="189"/>
        <v/>
      </c>
    </row>
    <row r="916" spans="1:21" x14ac:dyDescent="0.3">
      <c r="A916" s="151" t="str">
        <f ca="1">Returns!$A$914</f>
        <v/>
      </c>
      <c r="B916" s="152" t="str">
        <f ca="1">IF($A916="","",Returns!$J$914)</f>
        <v/>
      </c>
      <c r="C916" s="153" t="str">
        <f t="shared" ca="1" si="190"/>
        <v/>
      </c>
      <c r="D916" s="153" t="str">
        <f ca="1">IF($A916="","",MAX($C$7:C916))</f>
        <v/>
      </c>
      <c r="E916" s="154" t="str">
        <f t="shared" ca="1" si="191"/>
        <v/>
      </c>
      <c r="F916" s="152" t="str">
        <f ca="1">IF($A916="","",Returns!$I$914)</f>
        <v/>
      </c>
      <c r="G916" s="153" t="str">
        <f t="shared" ca="1" si="192"/>
        <v/>
      </c>
      <c r="H916" s="153" t="str">
        <f ca="1">IF($A916="","",MAX($G$7:G916))</f>
        <v/>
      </c>
      <c r="I916" s="154" t="str">
        <f t="shared" ca="1" si="193"/>
        <v/>
      </c>
      <c r="J916" s="59" t="str">
        <f t="shared" ca="1" si="194"/>
        <v/>
      </c>
      <c r="K916" s="3"/>
      <c r="L916" t="str">
        <f t="shared" ca="1" si="182"/>
        <v/>
      </c>
      <c r="M916" s="132" t="str">
        <f t="shared" ca="1" si="183"/>
        <v/>
      </c>
      <c r="N916" s="132" t="str">
        <f t="shared" ca="1" si="184"/>
        <v/>
      </c>
      <c r="P916" t="str">
        <f t="shared" ca="1" si="185"/>
        <v/>
      </c>
      <c r="Q916" s="133" t="str">
        <f t="shared" ca="1" si="186"/>
        <v/>
      </c>
      <c r="R916" s="133" t="str">
        <f t="shared" ca="1" si="187"/>
        <v/>
      </c>
      <c r="T916" t="str">
        <f t="shared" ca="1" si="188"/>
        <v/>
      </c>
      <c r="U916" s="134" t="str">
        <f t="shared" ca="1" si="189"/>
        <v/>
      </c>
    </row>
    <row r="917" spans="1:21" x14ac:dyDescent="0.3">
      <c r="A917" s="151" t="str">
        <f ca="1">Returns!$A$915</f>
        <v/>
      </c>
      <c r="B917" s="152" t="str">
        <f ca="1">IF($A917="","",Returns!$J$915)</f>
        <v/>
      </c>
      <c r="C917" s="153" t="str">
        <f t="shared" ca="1" si="190"/>
        <v/>
      </c>
      <c r="D917" s="153" t="str">
        <f ca="1">IF($A917="","",MAX($C$7:C917))</f>
        <v/>
      </c>
      <c r="E917" s="154" t="str">
        <f t="shared" ca="1" si="191"/>
        <v/>
      </c>
      <c r="F917" s="152" t="str">
        <f ca="1">IF($A917="","",Returns!$I$915)</f>
        <v/>
      </c>
      <c r="G917" s="153" t="str">
        <f t="shared" ca="1" si="192"/>
        <v/>
      </c>
      <c r="H917" s="153" t="str">
        <f ca="1">IF($A917="","",MAX($G$7:G917))</f>
        <v/>
      </c>
      <c r="I917" s="154" t="str">
        <f t="shared" ca="1" si="193"/>
        <v/>
      </c>
      <c r="J917" s="59" t="str">
        <f t="shared" ca="1" si="194"/>
        <v/>
      </c>
      <c r="K917" s="3"/>
      <c r="L917" t="str">
        <f t="shared" ca="1" si="182"/>
        <v/>
      </c>
      <c r="M917" s="132" t="str">
        <f t="shared" ca="1" si="183"/>
        <v/>
      </c>
      <c r="N917" s="132" t="str">
        <f t="shared" ca="1" si="184"/>
        <v/>
      </c>
      <c r="P917" t="str">
        <f t="shared" ca="1" si="185"/>
        <v/>
      </c>
      <c r="Q917" s="133" t="str">
        <f t="shared" ca="1" si="186"/>
        <v/>
      </c>
      <c r="R917" s="133" t="str">
        <f t="shared" ca="1" si="187"/>
        <v/>
      </c>
      <c r="T917" t="str">
        <f t="shared" ca="1" si="188"/>
        <v/>
      </c>
      <c r="U917" s="134" t="str">
        <f t="shared" ca="1" si="189"/>
        <v/>
      </c>
    </row>
    <row r="918" spans="1:21" x14ac:dyDescent="0.3">
      <c r="A918" s="151" t="str">
        <f ca="1">Returns!$A$916</f>
        <v/>
      </c>
      <c r="B918" s="152" t="str">
        <f ca="1">IF($A918="","",Returns!$J$916)</f>
        <v/>
      </c>
      <c r="C918" s="153" t="str">
        <f t="shared" ca="1" si="190"/>
        <v/>
      </c>
      <c r="D918" s="153" t="str">
        <f ca="1">IF($A918="","",MAX($C$7:C918))</f>
        <v/>
      </c>
      <c r="E918" s="154" t="str">
        <f t="shared" ca="1" si="191"/>
        <v/>
      </c>
      <c r="F918" s="152" t="str">
        <f ca="1">IF($A918="","",Returns!$I$916)</f>
        <v/>
      </c>
      <c r="G918" s="153" t="str">
        <f t="shared" ca="1" si="192"/>
        <v/>
      </c>
      <c r="H918" s="153" t="str">
        <f ca="1">IF($A918="","",MAX($G$7:G918))</f>
        <v/>
      </c>
      <c r="I918" s="154" t="str">
        <f t="shared" ca="1" si="193"/>
        <v/>
      </c>
      <c r="J918" s="59" t="str">
        <f t="shared" ca="1" si="194"/>
        <v/>
      </c>
      <c r="K918" s="3"/>
      <c r="L918" t="str">
        <f t="shared" ca="1" si="182"/>
        <v/>
      </c>
      <c r="M918" s="132" t="str">
        <f t="shared" ca="1" si="183"/>
        <v/>
      </c>
      <c r="N918" s="132" t="str">
        <f t="shared" ca="1" si="184"/>
        <v/>
      </c>
      <c r="P918" t="str">
        <f t="shared" ca="1" si="185"/>
        <v/>
      </c>
      <c r="Q918" s="133" t="str">
        <f t="shared" ca="1" si="186"/>
        <v/>
      </c>
      <c r="R918" s="133" t="str">
        <f t="shared" ca="1" si="187"/>
        <v/>
      </c>
      <c r="T918" t="str">
        <f t="shared" ca="1" si="188"/>
        <v/>
      </c>
      <c r="U918" s="134" t="str">
        <f t="shared" ca="1" si="189"/>
        <v/>
      </c>
    </row>
    <row r="919" spans="1:21" x14ac:dyDescent="0.3">
      <c r="A919" s="151" t="str">
        <f ca="1">Returns!$A$917</f>
        <v/>
      </c>
      <c r="B919" s="152" t="str">
        <f ca="1">IF($A919="","",Returns!$J$917)</f>
        <v/>
      </c>
      <c r="C919" s="153" t="str">
        <f t="shared" ca="1" si="190"/>
        <v/>
      </c>
      <c r="D919" s="153" t="str">
        <f ca="1">IF($A919="","",MAX($C$7:C919))</f>
        <v/>
      </c>
      <c r="E919" s="154" t="str">
        <f t="shared" ca="1" si="191"/>
        <v/>
      </c>
      <c r="F919" s="152" t="str">
        <f ca="1">IF($A919="","",Returns!$I$917)</f>
        <v/>
      </c>
      <c r="G919" s="153" t="str">
        <f t="shared" ca="1" si="192"/>
        <v/>
      </c>
      <c r="H919" s="153" t="str">
        <f ca="1">IF($A919="","",MAX($G$7:G919))</f>
        <v/>
      </c>
      <c r="I919" s="154" t="str">
        <f t="shared" ca="1" si="193"/>
        <v/>
      </c>
      <c r="J919" s="59" t="str">
        <f t="shared" ca="1" si="194"/>
        <v/>
      </c>
      <c r="K919" s="3"/>
      <c r="L919" t="str">
        <f t="shared" ca="1" si="182"/>
        <v/>
      </c>
      <c r="M919" s="132" t="str">
        <f t="shared" ca="1" si="183"/>
        <v/>
      </c>
      <c r="N919" s="132" t="str">
        <f t="shared" ca="1" si="184"/>
        <v/>
      </c>
      <c r="P919" t="str">
        <f t="shared" ca="1" si="185"/>
        <v/>
      </c>
      <c r="Q919" s="133" t="str">
        <f t="shared" ca="1" si="186"/>
        <v/>
      </c>
      <c r="R919" s="133" t="str">
        <f t="shared" ca="1" si="187"/>
        <v/>
      </c>
      <c r="T919" t="str">
        <f t="shared" ca="1" si="188"/>
        <v/>
      </c>
      <c r="U919" s="134" t="str">
        <f t="shared" ca="1" si="189"/>
        <v/>
      </c>
    </row>
    <row r="920" spans="1:21" x14ac:dyDescent="0.3">
      <c r="A920" s="151" t="str">
        <f ca="1">Returns!$A$918</f>
        <v/>
      </c>
      <c r="B920" s="152" t="str">
        <f ca="1">IF($A920="","",Returns!$J$918)</f>
        <v/>
      </c>
      <c r="C920" s="153" t="str">
        <f t="shared" ca="1" si="190"/>
        <v/>
      </c>
      <c r="D920" s="153" t="str">
        <f ca="1">IF($A920="","",MAX($C$7:C920))</f>
        <v/>
      </c>
      <c r="E920" s="154" t="str">
        <f t="shared" ca="1" si="191"/>
        <v/>
      </c>
      <c r="F920" s="152" t="str">
        <f ca="1">IF($A920="","",Returns!$I$918)</f>
        <v/>
      </c>
      <c r="G920" s="153" t="str">
        <f t="shared" ca="1" si="192"/>
        <v/>
      </c>
      <c r="H920" s="153" t="str">
        <f ca="1">IF($A920="","",MAX($G$7:G920))</f>
        <v/>
      </c>
      <c r="I920" s="154" t="str">
        <f t="shared" ca="1" si="193"/>
        <v/>
      </c>
      <c r="J920" s="59" t="str">
        <f t="shared" ca="1" si="194"/>
        <v/>
      </c>
      <c r="K920" s="3"/>
      <c r="L920" t="str">
        <f t="shared" ca="1" si="182"/>
        <v/>
      </c>
      <c r="M920" s="132" t="str">
        <f t="shared" ca="1" si="183"/>
        <v/>
      </c>
      <c r="N920" s="132" t="str">
        <f t="shared" ca="1" si="184"/>
        <v/>
      </c>
      <c r="P920" t="str">
        <f t="shared" ca="1" si="185"/>
        <v/>
      </c>
      <c r="Q920" s="133" t="str">
        <f t="shared" ca="1" si="186"/>
        <v/>
      </c>
      <c r="R920" s="133" t="str">
        <f t="shared" ca="1" si="187"/>
        <v/>
      </c>
      <c r="T920" t="str">
        <f t="shared" ca="1" si="188"/>
        <v/>
      </c>
      <c r="U920" s="134" t="str">
        <f t="shared" ca="1" si="189"/>
        <v/>
      </c>
    </row>
    <row r="921" spans="1:21" x14ac:dyDescent="0.3">
      <c r="A921" s="151" t="str">
        <f ca="1">Returns!$A$919</f>
        <v/>
      </c>
      <c r="B921" s="152" t="str">
        <f ca="1">IF($A921="","",Returns!$J$919)</f>
        <v/>
      </c>
      <c r="C921" s="153" t="str">
        <f t="shared" ca="1" si="190"/>
        <v/>
      </c>
      <c r="D921" s="153" t="str">
        <f ca="1">IF($A921="","",MAX($C$7:C921))</f>
        <v/>
      </c>
      <c r="E921" s="154" t="str">
        <f t="shared" ca="1" si="191"/>
        <v/>
      </c>
      <c r="F921" s="152" t="str">
        <f ca="1">IF($A921="","",Returns!$I$919)</f>
        <v/>
      </c>
      <c r="G921" s="153" t="str">
        <f t="shared" ca="1" si="192"/>
        <v/>
      </c>
      <c r="H921" s="153" t="str">
        <f ca="1">IF($A921="","",MAX($G$7:G921))</f>
        <v/>
      </c>
      <c r="I921" s="154" t="str">
        <f t="shared" ca="1" si="193"/>
        <v/>
      </c>
      <c r="J921" s="59" t="str">
        <f t="shared" ca="1" si="194"/>
        <v/>
      </c>
      <c r="K921" s="3"/>
      <c r="L921" t="str">
        <f t="shared" ca="1" si="182"/>
        <v/>
      </c>
      <c r="M921" s="132" t="str">
        <f t="shared" ca="1" si="183"/>
        <v/>
      </c>
      <c r="N921" s="132" t="str">
        <f t="shared" ca="1" si="184"/>
        <v/>
      </c>
      <c r="P921" t="str">
        <f t="shared" ca="1" si="185"/>
        <v/>
      </c>
      <c r="Q921" s="133" t="str">
        <f t="shared" ca="1" si="186"/>
        <v/>
      </c>
      <c r="R921" s="133" t="str">
        <f t="shared" ca="1" si="187"/>
        <v/>
      </c>
      <c r="T921" t="str">
        <f t="shared" ca="1" si="188"/>
        <v/>
      </c>
      <c r="U921" s="134" t="str">
        <f t="shared" ca="1" si="189"/>
        <v/>
      </c>
    </row>
    <row r="922" spans="1:21" x14ac:dyDescent="0.3">
      <c r="A922" s="151" t="str">
        <f ca="1">Returns!$A$920</f>
        <v/>
      </c>
      <c r="B922" s="152" t="str">
        <f ca="1">IF($A922="","",Returns!$J$920)</f>
        <v/>
      </c>
      <c r="C922" s="153" t="str">
        <f t="shared" ca="1" si="190"/>
        <v/>
      </c>
      <c r="D922" s="153" t="str">
        <f ca="1">IF($A922="","",MAX($C$7:C922))</f>
        <v/>
      </c>
      <c r="E922" s="154" t="str">
        <f t="shared" ca="1" si="191"/>
        <v/>
      </c>
      <c r="F922" s="152" t="str">
        <f ca="1">IF($A922="","",Returns!$I$920)</f>
        <v/>
      </c>
      <c r="G922" s="153" t="str">
        <f t="shared" ca="1" si="192"/>
        <v/>
      </c>
      <c r="H922" s="153" t="str">
        <f ca="1">IF($A922="","",MAX($G$7:G922))</f>
        <v/>
      </c>
      <c r="I922" s="154" t="str">
        <f t="shared" ca="1" si="193"/>
        <v/>
      </c>
      <c r="J922" s="59" t="str">
        <f t="shared" ca="1" si="194"/>
        <v/>
      </c>
      <c r="K922" s="3"/>
      <c r="L922" t="str">
        <f t="shared" ca="1" si="182"/>
        <v/>
      </c>
      <c r="M922" s="132" t="str">
        <f t="shared" ca="1" si="183"/>
        <v/>
      </c>
      <c r="N922" s="132" t="str">
        <f t="shared" ca="1" si="184"/>
        <v/>
      </c>
      <c r="P922" t="str">
        <f t="shared" ca="1" si="185"/>
        <v/>
      </c>
      <c r="Q922" s="133" t="str">
        <f t="shared" ca="1" si="186"/>
        <v/>
      </c>
      <c r="R922" s="133" t="str">
        <f t="shared" ca="1" si="187"/>
        <v/>
      </c>
      <c r="T922" t="str">
        <f t="shared" ca="1" si="188"/>
        <v/>
      </c>
      <c r="U922" s="134" t="str">
        <f t="shared" ca="1" si="189"/>
        <v/>
      </c>
    </row>
    <row r="923" spans="1:21" x14ac:dyDescent="0.3">
      <c r="A923" s="151" t="str">
        <f ca="1">Returns!$A$921</f>
        <v/>
      </c>
      <c r="B923" s="152" t="str">
        <f ca="1">IF($A923="","",Returns!$J$921)</f>
        <v/>
      </c>
      <c r="C923" s="153" t="str">
        <f t="shared" ca="1" si="190"/>
        <v/>
      </c>
      <c r="D923" s="153" t="str">
        <f ca="1">IF($A923="","",MAX($C$7:C923))</f>
        <v/>
      </c>
      <c r="E923" s="154" t="str">
        <f t="shared" ca="1" si="191"/>
        <v/>
      </c>
      <c r="F923" s="152" t="str">
        <f ca="1">IF($A923="","",Returns!$I$921)</f>
        <v/>
      </c>
      <c r="G923" s="153" t="str">
        <f t="shared" ca="1" si="192"/>
        <v/>
      </c>
      <c r="H923" s="153" t="str">
        <f ca="1">IF($A923="","",MAX($G$7:G923))</f>
        <v/>
      </c>
      <c r="I923" s="154" t="str">
        <f t="shared" ca="1" si="193"/>
        <v/>
      </c>
      <c r="J923" s="59" t="str">
        <f t="shared" ca="1" si="194"/>
        <v/>
      </c>
      <c r="K923" s="3"/>
      <c r="L923" t="str">
        <f t="shared" ca="1" si="182"/>
        <v/>
      </c>
      <c r="M923" s="132" t="str">
        <f t="shared" ca="1" si="183"/>
        <v/>
      </c>
      <c r="N923" s="132" t="str">
        <f t="shared" ca="1" si="184"/>
        <v/>
      </c>
      <c r="P923" t="str">
        <f t="shared" ca="1" si="185"/>
        <v/>
      </c>
      <c r="Q923" s="133" t="str">
        <f t="shared" ca="1" si="186"/>
        <v/>
      </c>
      <c r="R923" s="133" t="str">
        <f t="shared" ca="1" si="187"/>
        <v/>
      </c>
      <c r="T923" t="str">
        <f t="shared" ca="1" si="188"/>
        <v/>
      </c>
      <c r="U923" s="134" t="str">
        <f t="shared" ca="1" si="189"/>
        <v/>
      </c>
    </row>
    <row r="924" spans="1:21" x14ac:dyDescent="0.3">
      <c r="A924" s="151" t="str">
        <f ca="1">Returns!$A$922</f>
        <v/>
      </c>
      <c r="B924" s="152" t="str">
        <f ca="1">IF($A924="","",Returns!$J$922)</f>
        <v/>
      </c>
      <c r="C924" s="153" t="str">
        <f t="shared" ca="1" si="190"/>
        <v/>
      </c>
      <c r="D924" s="153" t="str">
        <f ca="1">IF($A924="","",MAX($C$7:C924))</f>
        <v/>
      </c>
      <c r="E924" s="154" t="str">
        <f t="shared" ca="1" si="191"/>
        <v/>
      </c>
      <c r="F924" s="152" t="str">
        <f ca="1">IF($A924="","",Returns!$I$922)</f>
        <v/>
      </c>
      <c r="G924" s="153" t="str">
        <f t="shared" ca="1" si="192"/>
        <v/>
      </c>
      <c r="H924" s="153" t="str">
        <f ca="1">IF($A924="","",MAX($G$7:G924))</f>
        <v/>
      </c>
      <c r="I924" s="154" t="str">
        <f t="shared" ca="1" si="193"/>
        <v/>
      </c>
      <c r="J924" s="59" t="str">
        <f t="shared" ca="1" si="194"/>
        <v/>
      </c>
      <c r="K924" s="3"/>
      <c r="L924" t="str">
        <f t="shared" ca="1" si="182"/>
        <v/>
      </c>
      <c r="M924" s="132" t="str">
        <f t="shared" ca="1" si="183"/>
        <v/>
      </c>
      <c r="N924" s="132" t="str">
        <f t="shared" ca="1" si="184"/>
        <v/>
      </c>
      <c r="P924" t="str">
        <f t="shared" ca="1" si="185"/>
        <v/>
      </c>
      <c r="Q924" s="133" t="str">
        <f t="shared" ca="1" si="186"/>
        <v/>
      </c>
      <c r="R924" s="133" t="str">
        <f t="shared" ca="1" si="187"/>
        <v/>
      </c>
      <c r="T924" t="str">
        <f t="shared" ca="1" si="188"/>
        <v/>
      </c>
      <c r="U924" s="134" t="str">
        <f t="shared" ca="1" si="189"/>
        <v/>
      </c>
    </row>
    <row r="925" spans="1:21" x14ac:dyDescent="0.3">
      <c r="A925" s="151" t="str">
        <f ca="1">Returns!$A$923</f>
        <v/>
      </c>
      <c r="B925" s="152" t="str">
        <f ca="1">IF($A925="","",Returns!$J$923)</f>
        <v/>
      </c>
      <c r="C925" s="153" t="str">
        <f t="shared" ca="1" si="190"/>
        <v/>
      </c>
      <c r="D925" s="153" t="str">
        <f ca="1">IF($A925="","",MAX($C$7:C925))</f>
        <v/>
      </c>
      <c r="E925" s="154" t="str">
        <f t="shared" ca="1" si="191"/>
        <v/>
      </c>
      <c r="F925" s="152" t="str">
        <f ca="1">IF($A925="","",Returns!$I$923)</f>
        <v/>
      </c>
      <c r="G925" s="153" t="str">
        <f t="shared" ca="1" si="192"/>
        <v/>
      </c>
      <c r="H925" s="153" t="str">
        <f ca="1">IF($A925="","",MAX($G$7:G925))</f>
        <v/>
      </c>
      <c r="I925" s="154" t="str">
        <f t="shared" ca="1" si="193"/>
        <v/>
      </c>
      <c r="J925" s="59" t="str">
        <f t="shared" ca="1" si="194"/>
        <v/>
      </c>
      <c r="K925" s="3"/>
      <c r="L925" t="str">
        <f t="shared" ca="1" si="182"/>
        <v/>
      </c>
      <c r="M925" s="132" t="str">
        <f t="shared" ca="1" si="183"/>
        <v/>
      </c>
      <c r="N925" s="132" t="str">
        <f t="shared" ca="1" si="184"/>
        <v/>
      </c>
      <c r="P925" t="str">
        <f t="shared" ca="1" si="185"/>
        <v/>
      </c>
      <c r="Q925" s="133" t="str">
        <f t="shared" ca="1" si="186"/>
        <v/>
      </c>
      <c r="R925" s="133" t="str">
        <f t="shared" ca="1" si="187"/>
        <v/>
      </c>
      <c r="T925" t="str">
        <f t="shared" ca="1" si="188"/>
        <v/>
      </c>
      <c r="U925" s="134" t="str">
        <f t="shared" ca="1" si="189"/>
        <v/>
      </c>
    </row>
    <row r="926" spans="1:21" x14ac:dyDescent="0.3">
      <c r="A926" s="151" t="str">
        <f ca="1">Returns!$A$924</f>
        <v/>
      </c>
      <c r="B926" s="152" t="str">
        <f ca="1">IF($A926="","",Returns!$J$924)</f>
        <v/>
      </c>
      <c r="C926" s="153" t="str">
        <f t="shared" ca="1" si="190"/>
        <v/>
      </c>
      <c r="D926" s="153" t="str">
        <f ca="1">IF($A926="","",MAX($C$7:C926))</f>
        <v/>
      </c>
      <c r="E926" s="154" t="str">
        <f t="shared" ca="1" si="191"/>
        <v/>
      </c>
      <c r="F926" s="152" t="str">
        <f ca="1">IF($A926="","",Returns!$I$924)</f>
        <v/>
      </c>
      <c r="G926" s="153" t="str">
        <f t="shared" ca="1" si="192"/>
        <v/>
      </c>
      <c r="H926" s="153" t="str">
        <f ca="1">IF($A926="","",MAX($G$7:G926))</f>
        <v/>
      </c>
      <c r="I926" s="154" t="str">
        <f t="shared" ca="1" si="193"/>
        <v/>
      </c>
      <c r="J926" s="59" t="str">
        <f t="shared" ca="1" si="194"/>
        <v/>
      </c>
      <c r="K926" s="3"/>
      <c r="L926" t="str">
        <f t="shared" ca="1" si="182"/>
        <v/>
      </c>
      <c r="M926" s="132" t="str">
        <f t="shared" ca="1" si="183"/>
        <v/>
      </c>
      <c r="N926" s="132" t="str">
        <f t="shared" ca="1" si="184"/>
        <v/>
      </c>
      <c r="P926" t="str">
        <f t="shared" ca="1" si="185"/>
        <v/>
      </c>
      <c r="Q926" s="133" t="str">
        <f t="shared" ca="1" si="186"/>
        <v/>
      </c>
      <c r="R926" s="133" t="str">
        <f t="shared" ca="1" si="187"/>
        <v/>
      </c>
      <c r="T926" t="str">
        <f t="shared" ca="1" si="188"/>
        <v/>
      </c>
      <c r="U926" s="134" t="str">
        <f t="shared" ca="1" si="189"/>
        <v/>
      </c>
    </row>
    <row r="927" spans="1:21" x14ac:dyDescent="0.3">
      <c r="A927" s="151" t="str">
        <f ca="1">Returns!$A$925</f>
        <v/>
      </c>
      <c r="B927" s="152" t="str">
        <f ca="1">IF($A927="","",Returns!$J$925)</f>
        <v/>
      </c>
      <c r="C927" s="153" t="str">
        <f t="shared" ca="1" si="190"/>
        <v/>
      </c>
      <c r="D927" s="153" t="str">
        <f ca="1">IF($A927="","",MAX($C$7:C927))</f>
        <v/>
      </c>
      <c r="E927" s="154" t="str">
        <f t="shared" ca="1" si="191"/>
        <v/>
      </c>
      <c r="F927" s="152" t="str">
        <f ca="1">IF($A927="","",Returns!$I$925)</f>
        <v/>
      </c>
      <c r="G927" s="153" t="str">
        <f t="shared" ca="1" si="192"/>
        <v/>
      </c>
      <c r="H927" s="153" t="str">
        <f ca="1">IF($A927="","",MAX($G$7:G927))</f>
        <v/>
      </c>
      <c r="I927" s="154" t="str">
        <f t="shared" ca="1" si="193"/>
        <v/>
      </c>
      <c r="J927" s="59" t="str">
        <f t="shared" ca="1" si="194"/>
        <v/>
      </c>
      <c r="K927" s="3"/>
      <c r="L927" t="str">
        <f t="shared" ca="1" si="182"/>
        <v/>
      </c>
      <c r="M927" s="132" t="str">
        <f t="shared" ca="1" si="183"/>
        <v/>
      </c>
      <c r="N927" s="132" t="str">
        <f t="shared" ca="1" si="184"/>
        <v/>
      </c>
      <c r="P927" t="str">
        <f t="shared" ca="1" si="185"/>
        <v/>
      </c>
      <c r="Q927" s="133" t="str">
        <f t="shared" ca="1" si="186"/>
        <v/>
      </c>
      <c r="R927" s="133" t="str">
        <f t="shared" ca="1" si="187"/>
        <v/>
      </c>
      <c r="T927" t="str">
        <f t="shared" ca="1" si="188"/>
        <v/>
      </c>
      <c r="U927" s="134" t="str">
        <f t="shared" ca="1" si="189"/>
        <v/>
      </c>
    </row>
    <row r="928" spans="1:21" x14ac:dyDescent="0.3">
      <c r="A928" s="151" t="str">
        <f ca="1">Returns!$A$926</f>
        <v/>
      </c>
      <c r="B928" s="152" t="str">
        <f ca="1">IF($A928="","",Returns!$J$926)</f>
        <v/>
      </c>
      <c r="C928" s="153" t="str">
        <f t="shared" ca="1" si="190"/>
        <v/>
      </c>
      <c r="D928" s="153" t="str">
        <f ca="1">IF($A928="","",MAX($C$7:C928))</f>
        <v/>
      </c>
      <c r="E928" s="154" t="str">
        <f t="shared" ca="1" si="191"/>
        <v/>
      </c>
      <c r="F928" s="152" t="str">
        <f ca="1">IF($A928="","",Returns!$I$926)</f>
        <v/>
      </c>
      <c r="G928" s="153" t="str">
        <f t="shared" ca="1" si="192"/>
        <v/>
      </c>
      <c r="H928" s="153" t="str">
        <f ca="1">IF($A928="","",MAX($G$7:G928))</f>
        <v/>
      </c>
      <c r="I928" s="154" t="str">
        <f t="shared" ca="1" si="193"/>
        <v/>
      </c>
      <c r="J928" s="59" t="str">
        <f t="shared" ca="1" si="194"/>
        <v/>
      </c>
      <c r="K928" s="3"/>
      <c r="L928" t="str">
        <f t="shared" ca="1" si="182"/>
        <v/>
      </c>
      <c r="M928" s="132" t="str">
        <f t="shared" ca="1" si="183"/>
        <v/>
      </c>
      <c r="N928" s="132" t="str">
        <f t="shared" ca="1" si="184"/>
        <v/>
      </c>
      <c r="P928" t="str">
        <f t="shared" ca="1" si="185"/>
        <v/>
      </c>
      <c r="Q928" s="133" t="str">
        <f t="shared" ca="1" si="186"/>
        <v/>
      </c>
      <c r="R928" s="133" t="str">
        <f t="shared" ca="1" si="187"/>
        <v/>
      </c>
      <c r="T928" t="str">
        <f t="shared" ca="1" si="188"/>
        <v/>
      </c>
      <c r="U928" s="134" t="str">
        <f t="shared" ca="1" si="189"/>
        <v/>
      </c>
    </row>
    <row r="929" spans="1:21" x14ac:dyDescent="0.3">
      <c r="A929" s="151" t="str">
        <f ca="1">Returns!$A$927</f>
        <v/>
      </c>
      <c r="B929" s="152" t="str">
        <f ca="1">IF($A929="","",Returns!$J$927)</f>
        <v/>
      </c>
      <c r="C929" s="153" t="str">
        <f t="shared" ca="1" si="190"/>
        <v/>
      </c>
      <c r="D929" s="153" t="str">
        <f ca="1">IF($A929="","",MAX($C$7:C929))</f>
        <v/>
      </c>
      <c r="E929" s="154" t="str">
        <f t="shared" ca="1" si="191"/>
        <v/>
      </c>
      <c r="F929" s="152" t="str">
        <f ca="1">IF($A929="","",Returns!$I$927)</f>
        <v/>
      </c>
      <c r="G929" s="153" t="str">
        <f t="shared" ca="1" si="192"/>
        <v/>
      </c>
      <c r="H929" s="153" t="str">
        <f ca="1">IF($A929="","",MAX($G$7:G929))</f>
        <v/>
      </c>
      <c r="I929" s="154" t="str">
        <f t="shared" ca="1" si="193"/>
        <v/>
      </c>
      <c r="J929" s="59" t="str">
        <f t="shared" ca="1" si="194"/>
        <v/>
      </c>
      <c r="K929" s="3"/>
      <c r="L929" t="str">
        <f t="shared" ca="1" si="182"/>
        <v/>
      </c>
      <c r="M929" s="132" t="str">
        <f t="shared" ca="1" si="183"/>
        <v/>
      </c>
      <c r="N929" s="132" t="str">
        <f t="shared" ca="1" si="184"/>
        <v/>
      </c>
      <c r="P929" t="str">
        <f t="shared" ca="1" si="185"/>
        <v/>
      </c>
      <c r="Q929" s="133" t="str">
        <f t="shared" ca="1" si="186"/>
        <v/>
      </c>
      <c r="R929" s="133" t="str">
        <f t="shared" ca="1" si="187"/>
        <v/>
      </c>
      <c r="T929" t="str">
        <f t="shared" ca="1" si="188"/>
        <v/>
      </c>
      <c r="U929" s="134" t="str">
        <f t="shared" ca="1" si="189"/>
        <v/>
      </c>
    </row>
    <row r="930" spans="1:21" x14ac:dyDescent="0.3">
      <c r="A930" s="151" t="str">
        <f ca="1">Returns!$A$928</f>
        <v/>
      </c>
      <c r="B930" s="152" t="str">
        <f ca="1">IF($A930="","",Returns!$J$928)</f>
        <v/>
      </c>
      <c r="C930" s="153" t="str">
        <f t="shared" ca="1" si="190"/>
        <v/>
      </c>
      <c r="D930" s="153" t="str">
        <f ca="1">IF($A930="","",MAX($C$7:C930))</f>
        <v/>
      </c>
      <c r="E930" s="154" t="str">
        <f t="shared" ca="1" si="191"/>
        <v/>
      </c>
      <c r="F930" s="152" t="str">
        <f ca="1">IF($A930="","",Returns!$I$928)</f>
        <v/>
      </c>
      <c r="G930" s="153" t="str">
        <f t="shared" ca="1" si="192"/>
        <v/>
      </c>
      <c r="H930" s="153" t="str">
        <f ca="1">IF($A930="","",MAX($G$7:G930))</f>
        <v/>
      </c>
      <c r="I930" s="154" t="str">
        <f t="shared" ca="1" si="193"/>
        <v/>
      </c>
      <c r="J930" s="59" t="str">
        <f t="shared" ca="1" si="194"/>
        <v/>
      </c>
      <c r="K930" s="3"/>
      <c r="L930" t="str">
        <f t="shared" ca="1" si="182"/>
        <v/>
      </c>
      <c r="M930" s="132" t="str">
        <f t="shared" ca="1" si="183"/>
        <v/>
      </c>
      <c r="N930" s="132" t="str">
        <f t="shared" ca="1" si="184"/>
        <v/>
      </c>
      <c r="P930" t="str">
        <f t="shared" ca="1" si="185"/>
        <v/>
      </c>
      <c r="Q930" s="133" t="str">
        <f t="shared" ca="1" si="186"/>
        <v/>
      </c>
      <c r="R930" s="133" t="str">
        <f t="shared" ca="1" si="187"/>
        <v/>
      </c>
      <c r="T930" t="str">
        <f t="shared" ca="1" si="188"/>
        <v/>
      </c>
      <c r="U930" s="134" t="str">
        <f t="shared" ca="1" si="189"/>
        <v/>
      </c>
    </row>
    <row r="931" spans="1:21" x14ac:dyDescent="0.3">
      <c r="A931" s="151" t="str">
        <f ca="1">Returns!$A$929</f>
        <v/>
      </c>
      <c r="B931" s="152" t="str">
        <f ca="1">IF($A931="","",Returns!$J$929)</f>
        <v/>
      </c>
      <c r="C931" s="153" t="str">
        <f t="shared" ca="1" si="190"/>
        <v/>
      </c>
      <c r="D931" s="153" t="str">
        <f ca="1">IF($A931="","",MAX($C$7:C931))</f>
        <v/>
      </c>
      <c r="E931" s="154" t="str">
        <f t="shared" ca="1" si="191"/>
        <v/>
      </c>
      <c r="F931" s="152" t="str">
        <f ca="1">IF($A931="","",Returns!$I$929)</f>
        <v/>
      </c>
      <c r="G931" s="153" t="str">
        <f t="shared" ca="1" si="192"/>
        <v/>
      </c>
      <c r="H931" s="153" t="str">
        <f ca="1">IF($A931="","",MAX($G$7:G931))</f>
        <v/>
      </c>
      <c r="I931" s="154" t="str">
        <f t="shared" ca="1" si="193"/>
        <v/>
      </c>
      <c r="J931" s="59" t="str">
        <f t="shared" ca="1" si="194"/>
        <v/>
      </c>
      <c r="K931" s="3"/>
      <c r="L931" t="str">
        <f t="shared" ca="1" si="182"/>
        <v/>
      </c>
      <c r="M931" s="132" t="str">
        <f t="shared" ca="1" si="183"/>
        <v/>
      </c>
      <c r="N931" s="132" t="str">
        <f t="shared" ca="1" si="184"/>
        <v/>
      </c>
      <c r="P931" t="str">
        <f t="shared" ca="1" si="185"/>
        <v/>
      </c>
      <c r="Q931" s="133" t="str">
        <f t="shared" ca="1" si="186"/>
        <v/>
      </c>
      <c r="R931" s="133" t="str">
        <f t="shared" ca="1" si="187"/>
        <v/>
      </c>
      <c r="T931" t="str">
        <f t="shared" ca="1" si="188"/>
        <v/>
      </c>
      <c r="U931" s="134" t="str">
        <f t="shared" ca="1" si="189"/>
        <v/>
      </c>
    </row>
    <row r="932" spans="1:21" x14ac:dyDescent="0.3">
      <c r="A932" s="151" t="str">
        <f ca="1">Returns!$A$930</f>
        <v/>
      </c>
      <c r="B932" s="152" t="str">
        <f ca="1">IF($A932="","",Returns!$J$930)</f>
        <v/>
      </c>
      <c r="C932" s="153" t="str">
        <f t="shared" ca="1" si="190"/>
        <v/>
      </c>
      <c r="D932" s="153" t="str">
        <f ca="1">IF($A932="","",MAX($C$7:C932))</f>
        <v/>
      </c>
      <c r="E932" s="154" t="str">
        <f t="shared" ca="1" si="191"/>
        <v/>
      </c>
      <c r="F932" s="152" t="str">
        <f ca="1">IF($A932="","",Returns!$I$930)</f>
        <v/>
      </c>
      <c r="G932" s="153" t="str">
        <f t="shared" ca="1" si="192"/>
        <v/>
      </c>
      <c r="H932" s="153" t="str">
        <f ca="1">IF($A932="","",MAX($G$7:G932))</f>
        <v/>
      </c>
      <c r="I932" s="154" t="str">
        <f t="shared" ca="1" si="193"/>
        <v/>
      </c>
      <c r="J932" s="59" t="str">
        <f t="shared" ca="1" si="194"/>
        <v/>
      </c>
      <c r="K932" s="3"/>
      <c r="L932" t="str">
        <f t="shared" ca="1" si="182"/>
        <v/>
      </c>
      <c r="M932" s="132" t="str">
        <f t="shared" ca="1" si="183"/>
        <v/>
      </c>
      <c r="N932" s="132" t="str">
        <f t="shared" ca="1" si="184"/>
        <v/>
      </c>
      <c r="P932" t="str">
        <f t="shared" ca="1" si="185"/>
        <v/>
      </c>
      <c r="Q932" s="133" t="str">
        <f t="shared" ca="1" si="186"/>
        <v/>
      </c>
      <c r="R932" s="133" t="str">
        <f t="shared" ca="1" si="187"/>
        <v/>
      </c>
      <c r="T932" t="str">
        <f t="shared" ca="1" si="188"/>
        <v/>
      </c>
      <c r="U932" s="134" t="str">
        <f t="shared" ca="1" si="189"/>
        <v/>
      </c>
    </row>
    <row r="933" spans="1:21" x14ac:dyDescent="0.3">
      <c r="A933" s="151" t="str">
        <f ca="1">Returns!$A$931</f>
        <v/>
      </c>
      <c r="B933" s="152" t="str">
        <f ca="1">IF($A933="","",Returns!$J$931)</f>
        <v/>
      </c>
      <c r="C933" s="153" t="str">
        <f t="shared" ca="1" si="190"/>
        <v/>
      </c>
      <c r="D933" s="153" t="str">
        <f ca="1">IF($A933="","",MAX($C$7:C933))</f>
        <v/>
      </c>
      <c r="E933" s="154" t="str">
        <f t="shared" ca="1" si="191"/>
        <v/>
      </c>
      <c r="F933" s="152" t="str">
        <f ca="1">IF($A933="","",Returns!$I$931)</f>
        <v/>
      </c>
      <c r="G933" s="153" t="str">
        <f t="shared" ca="1" si="192"/>
        <v/>
      </c>
      <c r="H933" s="153" t="str">
        <f ca="1">IF($A933="","",MAX($G$7:G933))</f>
        <v/>
      </c>
      <c r="I933" s="154" t="str">
        <f t="shared" ca="1" si="193"/>
        <v/>
      </c>
      <c r="J933" s="59" t="str">
        <f t="shared" ca="1" si="194"/>
        <v/>
      </c>
      <c r="K933" s="3"/>
      <c r="L933" t="str">
        <f t="shared" ca="1" si="182"/>
        <v/>
      </c>
      <c r="M933" s="132" t="str">
        <f t="shared" ca="1" si="183"/>
        <v/>
      </c>
      <c r="N933" s="132" t="str">
        <f t="shared" ca="1" si="184"/>
        <v/>
      </c>
      <c r="P933" t="str">
        <f t="shared" ca="1" si="185"/>
        <v/>
      </c>
      <c r="Q933" s="133" t="str">
        <f t="shared" ca="1" si="186"/>
        <v/>
      </c>
      <c r="R933" s="133" t="str">
        <f t="shared" ca="1" si="187"/>
        <v/>
      </c>
      <c r="T933" t="str">
        <f t="shared" ca="1" si="188"/>
        <v/>
      </c>
      <c r="U933" s="134" t="str">
        <f t="shared" ca="1" si="189"/>
        <v/>
      </c>
    </row>
    <row r="934" spans="1:21" x14ac:dyDescent="0.3">
      <c r="A934" s="151" t="str">
        <f ca="1">Returns!$A$932</f>
        <v/>
      </c>
      <c r="B934" s="152" t="str">
        <f ca="1">IF($A934="","",Returns!$J$932)</f>
        <v/>
      </c>
      <c r="C934" s="153" t="str">
        <f t="shared" ca="1" si="190"/>
        <v/>
      </c>
      <c r="D934" s="153" t="str">
        <f ca="1">IF($A934="","",MAX($C$7:C934))</f>
        <v/>
      </c>
      <c r="E934" s="154" t="str">
        <f t="shared" ca="1" si="191"/>
        <v/>
      </c>
      <c r="F934" s="152" t="str">
        <f ca="1">IF($A934="","",Returns!$I$932)</f>
        <v/>
      </c>
      <c r="G934" s="153" t="str">
        <f t="shared" ca="1" si="192"/>
        <v/>
      </c>
      <c r="H934" s="153" t="str">
        <f ca="1">IF($A934="","",MAX($G$7:G934))</f>
        <v/>
      </c>
      <c r="I934" s="154" t="str">
        <f t="shared" ca="1" si="193"/>
        <v/>
      </c>
      <c r="J934" s="59" t="str">
        <f t="shared" ca="1" si="194"/>
        <v/>
      </c>
      <c r="K934" s="3"/>
      <c r="L934" t="str">
        <f t="shared" ca="1" si="182"/>
        <v/>
      </c>
      <c r="M934" s="132" t="str">
        <f t="shared" ca="1" si="183"/>
        <v/>
      </c>
      <c r="N934" s="132" t="str">
        <f t="shared" ca="1" si="184"/>
        <v/>
      </c>
      <c r="P934" t="str">
        <f t="shared" ca="1" si="185"/>
        <v/>
      </c>
      <c r="Q934" s="133" t="str">
        <f t="shared" ca="1" si="186"/>
        <v/>
      </c>
      <c r="R934" s="133" t="str">
        <f t="shared" ca="1" si="187"/>
        <v/>
      </c>
      <c r="T934" t="str">
        <f t="shared" ca="1" si="188"/>
        <v/>
      </c>
      <c r="U934" s="134" t="str">
        <f t="shared" ca="1" si="189"/>
        <v/>
      </c>
    </row>
    <row r="935" spans="1:21" x14ac:dyDescent="0.3">
      <c r="A935" s="151" t="str">
        <f ca="1">Returns!$A$933</f>
        <v/>
      </c>
      <c r="B935" s="152" t="str">
        <f ca="1">IF($A935="","",Returns!$J$933)</f>
        <v/>
      </c>
      <c r="C935" s="153" t="str">
        <f t="shared" ca="1" si="190"/>
        <v/>
      </c>
      <c r="D935" s="153" t="str">
        <f ca="1">IF($A935="","",MAX($C$7:C935))</f>
        <v/>
      </c>
      <c r="E935" s="154" t="str">
        <f t="shared" ca="1" si="191"/>
        <v/>
      </c>
      <c r="F935" s="152" t="str">
        <f ca="1">IF($A935="","",Returns!$I$933)</f>
        <v/>
      </c>
      <c r="G935" s="153" t="str">
        <f t="shared" ca="1" si="192"/>
        <v/>
      </c>
      <c r="H935" s="153" t="str">
        <f ca="1">IF($A935="","",MAX($G$7:G935))</f>
        <v/>
      </c>
      <c r="I935" s="154" t="str">
        <f t="shared" ca="1" si="193"/>
        <v/>
      </c>
      <c r="J935" s="59" t="str">
        <f t="shared" ca="1" si="194"/>
        <v/>
      </c>
      <c r="K935" s="3"/>
      <c r="L935" t="str">
        <f t="shared" ca="1" si="182"/>
        <v/>
      </c>
      <c r="M935" s="132" t="str">
        <f t="shared" ca="1" si="183"/>
        <v/>
      </c>
      <c r="N935" s="132" t="str">
        <f t="shared" ca="1" si="184"/>
        <v/>
      </c>
      <c r="P935" t="str">
        <f t="shared" ca="1" si="185"/>
        <v/>
      </c>
      <c r="Q935" s="133" t="str">
        <f t="shared" ca="1" si="186"/>
        <v/>
      </c>
      <c r="R935" s="133" t="str">
        <f t="shared" ca="1" si="187"/>
        <v/>
      </c>
      <c r="T935" t="str">
        <f t="shared" ca="1" si="188"/>
        <v/>
      </c>
      <c r="U935" s="134" t="str">
        <f t="shared" ca="1" si="189"/>
        <v/>
      </c>
    </row>
    <row r="936" spans="1:21" x14ac:dyDescent="0.3">
      <c r="A936" s="151" t="str">
        <f ca="1">Returns!$A$934</f>
        <v/>
      </c>
      <c r="B936" s="152" t="str">
        <f ca="1">IF($A936="","",Returns!$J$934)</f>
        <v/>
      </c>
      <c r="C936" s="153" t="str">
        <f t="shared" ca="1" si="190"/>
        <v/>
      </c>
      <c r="D936" s="153" t="str">
        <f ca="1">IF($A936="","",MAX($C$7:C936))</f>
        <v/>
      </c>
      <c r="E936" s="154" t="str">
        <f t="shared" ca="1" si="191"/>
        <v/>
      </c>
      <c r="F936" s="152" t="str">
        <f ca="1">IF($A936="","",Returns!$I$934)</f>
        <v/>
      </c>
      <c r="G936" s="153" t="str">
        <f t="shared" ca="1" si="192"/>
        <v/>
      </c>
      <c r="H936" s="153" t="str">
        <f ca="1">IF($A936="","",MAX($G$7:G936))</f>
        <v/>
      </c>
      <c r="I936" s="154" t="str">
        <f t="shared" ca="1" si="193"/>
        <v/>
      </c>
      <c r="J936" s="59" t="str">
        <f t="shared" ca="1" si="194"/>
        <v/>
      </c>
      <c r="K936" s="3"/>
      <c r="L936" t="str">
        <f t="shared" ca="1" si="182"/>
        <v/>
      </c>
      <c r="M936" s="132" t="str">
        <f t="shared" ca="1" si="183"/>
        <v/>
      </c>
      <c r="N936" s="132" t="str">
        <f t="shared" ca="1" si="184"/>
        <v/>
      </c>
      <c r="P936" t="str">
        <f t="shared" ca="1" si="185"/>
        <v/>
      </c>
      <c r="Q936" s="133" t="str">
        <f t="shared" ca="1" si="186"/>
        <v/>
      </c>
      <c r="R936" s="133" t="str">
        <f t="shared" ca="1" si="187"/>
        <v/>
      </c>
      <c r="T936" t="str">
        <f t="shared" ca="1" si="188"/>
        <v/>
      </c>
      <c r="U936" s="134" t="str">
        <f t="shared" ca="1" si="189"/>
        <v/>
      </c>
    </row>
    <row r="937" spans="1:21" x14ac:dyDescent="0.3">
      <c r="A937" s="151" t="str">
        <f ca="1">Returns!$A$935</f>
        <v/>
      </c>
      <c r="B937" s="152" t="str">
        <f ca="1">IF($A937="","",Returns!$J$935)</f>
        <v/>
      </c>
      <c r="C937" s="153" t="str">
        <f t="shared" ca="1" si="190"/>
        <v/>
      </c>
      <c r="D937" s="153" t="str">
        <f ca="1">IF($A937="","",MAX($C$7:C937))</f>
        <v/>
      </c>
      <c r="E937" s="154" t="str">
        <f t="shared" ca="1" si="191"/>
        <v/>
      </c>
      <c r="F937" s="152" t="str">
        <f ca="1">IF($A937="","",Returns!$I$935)</f>
        <v/>
      </c>
      <c r="G937" s="153" t="str">
        <f t="shared" ca="1" si="192"/>
        <v/>
      </c>
      <c r="H937" s="153" t="str">
        <f ca="1">IF($A937="","",MAX($G$7:G937))</f>
        <v/>
      </c>
      <c r="I937" s="154" t="str">
        <f t="shared" ca="1" si="193"/>
        <v/>
      </c>
      <c r="J937" s="59" t="str">
        <f t="shared" ca="1" si="194"/>
        <v/>
      </c>
      <c r="K937" s="3"/>
      <c r="L937" t="str">
        <f t="shared" ca="1" si="182"/>
        <v/>
      </c>
      <c r="M937" s="132" t="str">
        <f t="shared" ca="1" si="183"/>
        <v/>
      </c>
      <c r="N937" s="132" t="str">
        <f t="shared" ca="1" si="184"/>
        <v/>
      </c>
      <c r="P937" t="str">
        <f t="shared" ca="1" si="185"/>
        <v/>
      </c>
      <c r="Q937" s="133" t="str">
        <f t="shared" ca="1" si="186"/>
        <v/>
      </c>
      <c r="R937" s="133" t="str">
        <f t="shared" ca="1" si="187"/>
        <v/>
      </c>
      <c r="T937" t="str">
        <f t="shared" ca="1" si="188"/>
        <v/>
      </c>
      <c r="U937" s="134" t="str">
        <f t="shared" ca="1" si="189"/>
        <v/>
      </c>
    </row>
    <row r="938" spans="1:21" x14ac:dyDescent="0.3">
      <c r="A938" s="151" t="str">
        <f ca="1">Returns!$A$936</f>
        <v/>
      </c>
      <c r="B938" s="152" t="str">
        <f ca="1">IF($A938="","",Returns!$J$936)</f>
        <v/>
      </c>
      <c r="C938" s="153" t="str">
        <f t="shared" ca="1" si="190"/>
        <v/>
      </c>
      <c r="D938" s="153" t="str">
        <f ca="1">IF($A938="","",MAX($C$7:C938))</f>
        <v/>
      </c>
      <c r="E938" s="154" t="str">
        <f t="shared" ca="1" si="191"/>
        <v/>
      </c>
      <c r="F938" s="152" t="str">
        <f ca="1">IF($A938="","",Returns!$I$936)</f>
        <v/>
      </c>
      <c r="G938" s="153" t="str">
        <f t="shared" ca="1" si="192"/>
        <v/>
      </c>
      <c r="H938" s="153" t="str">
        <f ca="1">IF($A938="","",MAX($G$7:G938))</f>
        <v/>
      </c>
      <c r="I938" s="154" t="str">
        <f t="shared" ca="1" si="193"/>
        <v/>
      </c>
      <c r="J938" s="59" t="str">
        <f t="shared" ca="1" si="194"/>
        <v/>
      </c>
      <c r="K938" s="3"/>
      <c r="L938" t="str">
        <f t="shared" ca="1" si="182"/>
        <v/>
      </c>
      <c r="M938" s="132" t="str">
        <f t="shared" ca="1" si="183"/>
        <v/>
      </c>
      <c r="N938" s="132" t="str">
        <f t="shared" ca="1" si="184"/>
        <v/>
      </c>
      <c r="P938" t="str">
        <f t="shared" ca="1" si="185"/>
        <v/>
      </c>
      <c r="Q938" s="133" t="str">
        <f t="shared" ca="1" si="186"/>
        <v/>
      </c>
      <c r="R938" s="133" t="str">
        <f t="shared" ca="1" si="187"/>
        <v/>
      </c>
      <c r="T938" t="str">
        <f t="shared" ca="1" si="188"/>
        <v/>
      </c>
      <c r="U938" s="134" t="str">
        <f t="shared" ca="1" si="189"/>
        <v/>
      </c>
    </row>
    <row r="939" spans="1:21" x14ac:dyDescent="0.3">
      <c r="A939" s="151" t="str">
        <f ca="1">Returns!$A$937</f>
        <v/>
      </c>
      <c r="B939" s="152" t="str">
        <f ca="1">IF($A939="","",Returns!$J$937)</f>
        <v/>
      </c>
      <c r="C939" s="153" t="str">
        <f t="shared" ca="1" si="190"/>
        <v/>
      </c>
      <c r="D939" s="153" t="str">
        <f ca="1">IF($A939="","",MAX($C$7:C939))</f>
        <v/>
      </c>
      <c r="E939" s="154" t="str">
        <f t="shared" ca="1" si="191"/>
        <v/>
      </c>
      <c r="F939" s="152" t="str">
        <f ca="1">IF($A939="","",Returns!$I$937)</f>
        <v/>
      </c>
      <c r="G939" s="153" t="str">
        <f t="shared" ca="1" si="192"/>
        <v/>
      </c>
      <c r="H939" s="153" t="str">
        <f ca="1">IF($A939="","",MAX($G$7:G939))</f>
        <v/>
      </c>
      <c r="I939" s="154" t="str">
        <f t="shared" ca="1" si="193"/>
        <v/>
      </c>
      <c r="J939" s="59" t="str">
        <f t="shared" ca="1" si="194"/>
        <v/>
      </c>
      <c r="K939" s="3"/>
      <c r="L939" t="str">
        <f t="shared" ca="1" si="182"/>
        <v/>
      </c>
      <c r="M939" s="132" t="str">
        <f t="shared" ca="1" si="183"/>
        <v/>
      </c>
      <c r="N939" s="132" t="str">
        <f t="shared" ca="1" si="184"/>
        <v/>
      </c>
      <c r="P939" t="str">
        <f t="shared" ca="1" si="185"/>
        <v/>
      </c>
      <c r="Q939" s="133" t="str">
        <f t="shared" ca="1" si="186"/>
        <v/>
      </c>
      <c r="R939" s="133" t="str">
        <f t="shared" ca="1" si="187"/>
        <v/>
      </c>
      <c r="T939" t="str">
        <f t="shared" ca="1" si="188"/>
        <v/>
      </c>
      <c r="U939" s="134" t="str">
        <f t="shared" ca="1" si="189"/>
        <v/>
      </c>
    </row>
    <row r="940" spans="1:21" x14ac:dyDescent="0.3">
      <c r="A940" s="151" t="str">
        <f ca="1">Returns!$A$938</f>
        <v/>
      </c>
      <c r="B940" s="152" t="str">
        <f ca="1">IF($A940="","",Returns!$J$938)</f>
        <v/>
      </c>
      <c r="C940" s="153" t="str">
        <f t="shared" ca="1" si="190"/>
        <v/>
      </c>
      <c r="D940" s="153" t="str">
        <f ca="1">IF($A940="","",MAX($C$7:C940))</f>
        <v/>
      </c>
      <c r="E940" s="154" t="str">
        <f t="shared" ca="1" si="191"/>
        <v/>
      </c>
      <c r="F940" s="152" t="str">
        <f ca="1">IF($A940="","",Returns!$I$938)</f>
        <v/>
      </c>
      <c r="G940" s="153" t="str">
        <f t="shared" ca="1" si="192"/>
        <v/>
      </c>
      <c r="H940" s="153" t="str">
        <f ca="1">IF($A940="","",MAX($G$7:G940))</f>
        <v/>
      </c>
      <c r="I940" s="154" t="str">
        <f t="shared" ca="1" si="193"/>
        <v/>
      </c>
      <c r="J940" s="59" t="str">
        <f t="shared" ca="1" si="194"/>
        <v/>
      </c>
      <c r="K940" s="3"/>
      <c r="L940" t="str">
        <f t="shared" ca="1" si="182"/>
        <v/>
      </c>
      <c r="M940" s="132" t="str">
        <f t="shared" ca="1" si="183"/>
        <v/>
      </c>
      <c r="N940" s="132" t="str">
        <f t="shared" ca="1" si="184"/>
        <v/>
      </c>
      <c r="P940" t="str">
        <f t="shared" ca="1" si="185"/>
        <v/>
      </c>
      <c r="Q940" s="133" t="str">
        <f t="shared" ca="1" si="186"/>
        <v/>
      </c>
      <c r="R940" s="133" t="str">
        <f t="shared" ca="1" si="187"/>
        <v/>
      </c>
      <c r="T940" t="str">
        <f t="shared" ca="1" si="188"/>
        <v/>
      </c>
      <c r="U940" s="134" t="str">
        <f t="shared" ca="1" si="189"/>
        <v/>
      </c>
    </row>
    <row r="941" spans="1:21" x14ac:dyDescent="0.3">
      <c r="A941" s="151" t="str">
        <f ca="1">Returns!$A$939</f>
        <v/>
      </c>
      <c r="B941" s="152" t="str">
        <f ca="1">IF($A941="","",Returns!$J$939)</f>
        <v/>
      </c>
      <c r="C941" s="153" t="str">
        <f t="shared" ca="1" si="190"/>
        <v/>
      </c>
      <c r="D941" s="153" t="str">
        <f ca="1">IF($A941="","",MAX($C$7:C941))</f>
        <v/>
      </c>
      <c r="E941" s="154" t="str">
        <f t="shared" ca="1" si="191"/>
        <v/>
      </c>
      <c r="F941" s="152" t="str">
        <f ca="1">IF($A941="","",Returns!$I$939)</f>
        <v/>
      </c>
      <c r="G941" s="153" t="str">
        <f t="shared" ca="1" si="192"/>
        <v/>
      </c>
      <c r="H941" s="153" t="str">
        <f ca="1">IF($A941="","",MAX($G$7:G941))</f>
        <v/>
      </c>
      <c r="I941" s="154" t="str">
        <f t="shared" ca="1" si="193"/>
        <v/>
      </c>
      <c r="J941" s="59" t="str">
        <f t="shared" ca="1" si="194"/>
        <v/>
      </c>
      <c r="K941" s="3"/>
      <c r="L941" t="str">
        <f t="shared" ca="1" si="182"/>
        <v/>
      </c>
      <c r="M941" s="132" t="str">
        <f t="shared" ca="1" si="183"/>
        <v/>
      </c>
      <c r="N941" s="132" t="str">
        <f t="shared" ca="1" si="184"/>
        <v/>
      </c>
      <c r="P941" t="str">
        <f t="shared" ca="1" si="185"/>
        <v/>
      </c>
      <c r="Q941" s="133" t="str">
        <f t="shared" ca="1" si="186"/>
        <v/>
      </c>
      <c r="R941" s="133" t="str">
        <f t="shared" ca="1" si="187"/>
        <v/>
      </c>
      <c r="T941" t="str">
        <f t="shared" ca="1" si="188"/>
        <v/>
      </c>
      <c r="U941" s="134" t="str">
        <f t="shared" ca="1" si="189"/>
        <v/>
      </c>
    </row>
    <row r="942" spans="1:21" x14ac:dyDescent="0.3">
      <c r="A942" s="151" t="str">
        <f ca="1">Returns!$A$940</f>
        <v/>
      </c>
      <c r="B942" s="152" t="str">
        <f ca="1">IF($A942="","",Returns!$J$940)</f>
        <v/>
      </c>
      <c r="C942" s="153" t="str">
        <f t="shared" ca="1" si="190"/>
        <v/>
      </c>
      <c r="D942" s="153" t="str">
        <f ca="1">IF($A942="","",MAX($C$7:C942))</f>
        <v/>
      </c>
      <c r="E942" s="154" t="str">
        <f t="shared" ca="1" si="191"/>
        <v/>
      </c>
      <c r="F942" s="152" t="str">
        <f ca="1">IF($A942="","",Returns!$I$940)</f>
        <v/>
      </c>
      <c r="G942" s="153" t="str">
        <f t="shared" ca="1" si="192"/>
        <v/>
      </c>
      <c r="H942" s="153" t="str">
        <f ca="1">IF($A942="","",MAX($G$7:G942))</f>
        <v/>
      </c>
      <c r="I942" s="154" t="str">
        <f t="shared" ca="1" si="193"/>
        <v/>
      </c>
      <c r="J942" s="59" t="str">
        <f t="shared" ca="1" si="194"/>
        <v/>
      </c>
      <c r="K942" s="3"/>
      <c r="L942" t="str">
        <f t="shared" ca="1" si="182"/>
        <v/>
      </c>
      <c r="M942" s="132" t="str">
        <f t="shared" ca="1" si="183"/>
        <v/>
      </c>
      <c r="N942" s="132" t="str">
        <f t="shared" ca="1" si="184"/>
        <v/>
      </c>
      <c r="P942" t="str">
        <f t="shared" ca="1" si="185"/>
        <v/>
      </c>
      <c r="Q942" s="133" t="str">
        <f t="shared" ca="1" si="186"/>
        <v/>
      </c>
      <c r="R942" s="133" t="str">
        <f t="shared" ca="1" si="187"/>
        <v/>
      </c>
      <c r="T942" t="str">
        <f t="shared" ca="1" si="188"/>
        <v/>
      </c>
      <c r="U942" s="134" t="str">
        <f t="shared" ca="1" si="189"/>
        <v/>
      </c>
    </row>
    <row r="943" spans="1:21" x14ac:dyDescent="0.3">
      <c r="A943" s="151" t="str">
        <f ca="1">Returns!$A$941</f>
        <v/>
      </c>
      <c r="B943" s="152" t="str">
        <f ca="1">IF($A943="","",Returns!$J$941)</f>
        <v/>
      </c>
      <c r="C943" s="153" t="str">
        <f t="shared" ca="1" si="190"/>
        <v/>
      </c>
      <c r="D943" s="153" t="str">
        <f ca="1">IF($A943="","",MAX($C$7:C943))</f>
        <v/>
      </c>
      <c r="E943" s="154" t="str">
        <f t="shared" ca="1" si="191"/>
        <v/>
      </c>
      <c r="F943" s="152" t="str">
        <f ca="1">IF($A943="","",Returns!$I$941)</f>
        <v/>
      </c>
      <c r="G943" s="153" t="str">
        <f t="shared" ca="1" si="192"/>
        <v/>
      </c>
      <c r="H943" s="153" t="str">
        <f ca="1">IF($A943="","",MAX($G$7:G943))</f>
        <v/>
      </c>
      <c r="I943" s="154" t="str">
        <f t="shared" ca="1" si="193"/>
        <v/>
      </c>
      <c r="J943" s="59" t="str">
        <f t="shared" ca="1" si="194"/>
        <v/>
      </c>
      <c r="K943" s="3"/>
      <c r="L943" t="str">
        <f t="shared" ca="1" si="182"/>
        <v/>
      </c>
      <c r="M943" s="132" t="str">
        <f t="shared" ca="1" si="183"/>
        <v/>
      </c>
      <c r="N943" s="132" t="str">
        <f t="shared" ca="1" si="184"/>
        <v/>
      </c>
      <c r="P943" t="str">
        <f t="shared" ca="1" si="185"/>
        <v/>
      </c>
      <c r="Q943" s="133" t="str">
        <f t="shared" ca="1" si="186"/>
        <v/>
      </c>
      <c r="R943" s="133" t="str">
        <f t="shared" ca="1" si="187"/>
        <v/>
      </c>
      <c r="T943" t="str">
        <f t="shared" ca="1" si="188"/>
        <v/>
      </c>
      <c r="U943" s="134" t="str">
        <f t="shared" ca="1" si="189"/>
        <v/>
      </c>
    </row>
    <row r="944" spans="1:21" x14ac:dyDescent="0.3">
      <c r="A944" s="151" t="str">
        <f ca="1">Returns!$A$942</f>
        <v/>
      </c>
      <c r="B944" s="152" t="str">
        <f ca="1">IF($A944="","",Returns!$J$942)</f>
        <v/>
      </c>
      <c r="C944" s="153" t="str">
        <f t="shared" ca="1" si="190"/>
        <v/>
      </c>
      <c r="D944" s="153" t="str">
        <f ca="1">IF($A944="","",MAX($C$7:C944))</f>
        <v/>
      </c>
      <c r="E944" s="154" t="str">
        <f t="shared" ca="1" si="191"/>
        <v/>
      </c>
      <c r="F944" s="152" t="str">
        <f ca="1">IF($A944="","",Returns!$I$942)</f>
        <v/>
      </c>
      <c r="G944" s="153" t="str">
        <f t="shared" ca="1" si="192"/>
        <v/>
      </c>
      <c r="H944" s="153" t="str">
        <f ca="1">IF($A944="","",MAX($G$7:G944))</f>
        <v/>
      </c>
      <c r="I944" s="154" t="str">
        <f t="shared" ca="1" si="193"/>
        <v/>
      </c>
      <c r="J944" s="59" t="str">
        <f t="shared" ca="1" si="194"/>
        <v/>
      </c>
      <c r="K944" s="3"/>
      <c r="L944" t="str">
        <f t="shared" ca="1" si="182"/>
        <v/>
      </c>
      <c r="M944" s="132" t="str">
        <f t="shared" ca="1" si="183"/>
        <v/>
      </c>
      <c r="N944" s="132" t="str">
        <f t="shared" ca="1" si="184"/>
        <v/>
      </c>
      <c r="P944" t="str">
        <f t="shared" ca="1" si="185"/>
        <v/>
      </c>
      <c r="Q944" s="133" t="str">
        <f t="shared" ca="1" si="186"/>
        <v/>
      </c>
      <c r="R944" s="133" t="str">
        <f t="shared" ca="1" si="187"/>
        <v/>
      </c>
      <c r="T944" t="str">
        <f t="shared" ca="1" si="188"/>
        <v/>
      </c>
      <c r="U944" s="134" t="str">
        <f t="shared" ca="1" si="189"/>
        <v/>
      </c>
    </row>
    <row r="945" spans="1:21" x14ac:dyDescent="0.3">
      <c r="A945" s="151" t="str">
        <f ca="1">Returns!$A$943</f>
        <v/>
      </c>
      <c r="B945" s="152" t="str">
        <f ca="1">IF($A945="","",Returns!$J$943)</f>
        <v/>
      </c>
      <c r="C945" s="153" t="str">
        <f t="shared" ca="1" si="190"/>
        <v/>
      </c>
      <c r="D945" s="153" t="str">
        <f ca="1">IF($A945="","",MAX($C$7:C945))</f>
        <v/>
      </c>
      <c r="E945" s="154" t="str">
        <f t="shared" ca="1" si="191"/>
        <v/>
      </c>
      <c r="F945" s="152" t="str">
        <f ca="1">IF($A945="","",Returns!$I$943)</f>
        <v/>
      </c>
      <c r="G945" s="153" t="str">
        <f t="shared" ca="1" si="192"/>
        <v/>
      </c>
      <c r="H945" s="153" t="str">
        <f ca="1">IF($A945="","",MAX($G$7:G945))</f>
        <v/>
      </c>
      <c r="I945" s="154" t="str">
        <f t="shared" ca="1" si="193"/>
        <v/>
      </c>
      <c r="J945" s="59" t="str">
        <f t="shared" ca="1" si="194"/>
        <v/>
      </c>
      <c r="K945" s="3"/>
      <c r="L945" t="str">
        <f t="shared" ca="1" si="182"/>
        <v/>
      </c>
      <c r="M945" s="132" t="str">
        <f t="shared" ca="1" si="183"/>
        <v/>
      </c>
      <c r="N945" s="132" t="str">
        <f t="shared" ca="1" si="184"/>
        <v/>
      </c>
      <c r="P945" t="str">
        <f t="shared" ca="1" si="185"/>
        <v/>
      </c>
      <c r="Q945" s="133" t="str">
        <f t="shared" ca="1" si="186"/>
        <v/>
      </c>
      <c r="R945" s="133" t="str">
        <f t="shared" ca="1" si="187"/>
        <v/>
      </c>
      <c r="T945" t="str">
        <f t="shared" ca="1" si="188"/>
        <v/>
      </c>
      <c r="U945" s="134" t="str">
        <f t="shared" ca="1" si="189"/>
        <v/>
      </c>
    </row>
    <row r="946" spans="1:21" x14ac:dyDescent="0.3">
      <c r="A946" s="151" t="str">
        <f ca="1">Returns!$A$944</f>
        <v/>
      </c>
      <c r="B946" s="152" t="str">
        <f ca="1">IF($A946="","",Returns!$J$944)</f>
        <v/>
      </c>
      <c r="C946" s="153" t="str">
        <f t="shared" ca="1" si="190"/>
        <v/>
      </c>
      <c r="D946" s="153" t="str">
        <f ca="1">IF($A946="","",MAX($C$7:C946))</f>
        <v/>
      </c>
      <c r="E946" s="154" t="str">
        <f t="shared" ca="1" si="191"/>
        <v/>
      </c>
      <c r="F946" s="152" t="str">
        <f ca="1">IF($A946="","",Returns!$I$944)</f>
        <v/>
      </c>
      <c r="G946" s="153" t="str">
        <f t="shared" ca="1" si="192"/>
        <v/>
      </c>
      <c r="H946" s="153" t="str">
        <f ca="1">IF($A946="","",MAX($G$7:G946))</f>
        <v/>
      </c>
      <c r="I946" s="154" t="str">
        <f t="shared" ca="1" si="193"/>
        <v/>
      </c>
      <c r="J946" s="59" t="str">
        <f t="shared" ca="1" si="194"/>
        <v/>
      </c>
      <c r="K946" s="3"/>
      <c r="L946" t="str">
        <f t="shared" ca="1" si="182"/>
        <v/>
      </c>
      <c r="M946" s="132" t="str">
        <f t="shared" ca="1" si="183"/>
        <v/>
      </c>
      <c r="N946" s="132" t="str">
        <f t="shared" ca="1" si="184"/>
        <v/>
      </c>
      <c r="P946" t="str">
        <f t="shared" ca="1" si="185"/>
        <v/>
      </c>
      <c r="Q946" s="133" t="str">
        <f t="shared" ca="1" si="186"/>
        <v/>
      </c>
      <c r="R946" s="133" t="str">
        <f t="shared" ca="1" si="187"/>
        <v/>
      </c>
      <c r="T946" t="str">
        <f t="shared" ca="1" si="188"/>
        <v/>
      </c>
      <c r="U946" s="134" t="str">
        <f t="shared" ca="1" si="189"/>
        <v/>
      </c>
    </row>
    <row r="947" spans="1:21" x14ac:dyDescent="0.3">
      <c r="A947" s="151" t="str">
        <f ca="1">Returns!$A$945</f>
        <v/>
      </c>
      <c r="B947" s="152" t="str">
        <f ca="1">IF($A947="","",Returns!$J$945)</f>
        <v/>
      </c>
      <c r="C947" s="153" t="str">
        <f t="shared" ca="1" si="190"/>
        <v/>
      </c>
      <c r="D947" s="153" t="str">
        <f ca="1">IF($A947="","",MAX($C$7:C947))</f>
        <v/>
      </c>
      <c r="E947" s="154" t="str">
        <f t="shared" ca="1" si="191"/>
        <v/>
      </c>
      <c r="F947" s="152" t="str">
        <f ca="1">IF($A947="","",Returns!$I$945)</f>
        <v/>
      </c>
      <c r="G947" s="153" t="str">
        <f t="shared" ca="1" si="192"/>
        <v/>
      </c>
      <c r="H947" s="153" t="str">
        <f ca="1">IF($A947="","",MAX($G$7:G947))</f>
        <v/>
      </c>
      <c r="I947" s="154" t="str">
        <f t="shared" ca="1" si="193"/>
        <v/>
      </c>
      <c r="J947" s="59" t="str">
        <f t="shared" ca="1" si="194"/>
        <v/>
      </c>
      <c r="K947" s="3"/>
      <c r="L947" t="str">
        <f t="shared" ca="1" si="182"/>
        <v/>
      </c>
      <c r="M947" s="132" t="str">
        <f t="shared" ca="1" si="183"/>
        <v/>
      </c>
      <c r="N947" s="132" t="str">
        <f t="shared" ca="1" si="184"/>
        <v/>
      </c>
      <c r="P947" t="str">
        <f t="shared" ca="1" si="185"/>
        <v/>
      </c>
      <c r="Q947" s="133" t="str">
        <f t="shared" ca="1" si="186"/>
        <v/>
      </c>
      <c r="R947" s="133" t="str">
        <f t="shared" ca="1" si="187"/>
        <v/>
      </c>
      <c r="T947" t="str">
        <f t="shared" ca="1" si="188"/>
        <v/>
      </c>
      <c r="U947" s="134" t="str">
        <f t="shared" ca="1" si="189"/>
        <v/>
      </c>
    </row>
    <row r="948" spans="1:21" x14ac:dyDescent="0.3">
      <c r="A948" s="151" t="str">
        <f ca="1">Returns!$A$946</f>
        <v/>
      </c>
      <c r="B948" s="152" t="str">
        <f ca="1">IF($A948="","",Returns!$J$946)</f>
        <v/>
      </c>
      <c r="C948" s="153" t="str">
        <f t="shared" ca="1" si="190"/>
        <v/>
      </c>
      <c r="D948" s="153" t="str">
        <f ca="1">IF($A948="","",MAX($C$7:C948))</f>
        <v/>
      </c>
      <c r="E948" s="154" t="str">
        <f t="shared" ca="1" si="191"/>
        <v/>
      </c>
      <c r="F948" s="152" t="str">
        <f ca="1">IF($A948="","",Returns!$I$946)</f>
        <v/>
      </c>
      <c r="G948" s="153" t="str">
        <f t="shared" ca="1" si="192"/>
        <v/>
      </c>
      <c r="H948" s="153" t="str">
        <f ca="1">IF($A948="","",MAX($G$7:G948))</f>
        <v/>
      </c>
      <c r="I948" s="154" t="str">
        <f t="shared" ca="1" si="193"/>
        <v/>
      </c>
      <c r="J948" s="59" t="str">
        <f t="shared" ca="1" si="194"/>
        <v/>
      </c>
      <c r="K948" s="3"/>
      <c r="L948" t="str">
        <f t="shared" ca="1" si="182"/>
        <v/>
      </c>
      <c r="M948" s="132" t="str">
        <f t="shared" ca="1" si="183"/>
        <v/>
      </c>
      <c r="N948" s="132" t="str">
        <f t="shared" ca="1" si="184"/>
        <v/>
      </c>
      <c r="P948" t="str">
        <f t="shared" ca="1" si="185"/>
        <v/>
      </c>
      <c r="Q948" s="133" t="str">
        <f t="shared" ca="1" si="186"/>
        <v/>
      </c>
      <c r="R948" s="133" t="str">
        <f t="shared" ca="1" si="187"/>
        <v/>
      </c>
      <c r="T948" t="str">
        <f t="shared" ca="1" si="188"/>
        <v/>
      </c>
      <c r="U948" s="134" t="str">
        <f t="shared" ca="1" si="189"/>
        <v/>
      </c>
    </row>
    <row r="949" spans="1:21" x14ac:dyDescent="0.3">
      <c r="A949" s="151" t="str">
        <f ca="1">Returns!$A$947</f>
        <v/>
      </c>
      <c r="B949" s="152" t="str">
        <f ca="1">IF($A949="","",Returns!$J$947)</f>
        <v/>
      </c>
      <c r="C949" s="153" t="str">
        <f t="shared" ca="1" si="190"/>
        <v/>
      </c>
      <c r="D949" s="153" t="str">
        <f ca="1">IF($A949="","",MAX($C$7:C949))</f>
        <v/>
      </c>
      <c r="E949" s="154" t="str">
        <f t="shared" ca="1" si="191"/>
        <v/>
      </c>
      <c r="F949" s="152" t="str">
        <f ca="1">IF($A949="","",Returns!$I$947)</f>
        <v/>
      </c>
      <c r="G949" s="153" t="str">
        <f t="shared" ca="1" si="192"/>
        <v/>
      </c>
      <c r="H949" s="153" t="str">
        <f ca="1">IF($A949="","",MAX($G$7:G949))</f>
        <v/>
      </c>
      <c r="I949" s="154" t="str">
        <f t="shared" ca="1" si="193"/>
        <v/>
      </c>
      <c r="J949" s="59" t="str">
        <f t="shared" ca="1" si="194"/>
        <v/>
      </c>
      <c r="K949" s="3"/>
      <c r="L949" t="str">
        <f t="shared" ca="1" si="182"/>
        <v/>
      </c>
      <c r="M949" s="132" t="str">
        <f t="shared" ca="1" si="183"/>
        <v/>
      </c>
      <c r="N949" s="132" t="str">
        <f t="shared" ca="1" si="184"/>
        <v/>
      </c>
      <c r="P949" t="str">
        <f t="shared" ca="1" si="185"/>
        <v/>
      </c>
      <c r="Q949" s="133" t="str">
        <f t="shared" ca="1" si="186"/>
        <v/>
      </c>
      <c r="R949" s="133" t="str">
        <f t="shared" ca="1" si="187"/>
        <v/>
      </c>
      <c r="T949" t="str">
        <f t="shared" ca="1" si="188"/>
        <v/>
      </c>
      <c r="U949" s="134" t="str">
        <f t="shared" ca="1" si="189"/>
        <v/>
      </c>
    </row>
    <row r="950" spans="1:21" x14ac:dyDescent="0.3">
      <c r="A950" s="151" t="str">
        <f ca="1">Returns!$A$948</f>
        <v/>
      </c>
      <c r="B950" s="152" t="str">
        <f ca="1">IF($A950="","",Returns!$J$948)</f>
        <v/>
      </c>
      <c r="C950" s="153" t="str">
        <f t="shared" ca="1" si="190"/>
        <v/>
      </c>
      <c r="D950" s="153" t="str">
        <f ca="1">IF($A950="","",MAX($C$7:C950))</f>
        <v/>
      </c>
      <c r="E950" s="154" t="str">
        <f t="shared" ca="1" si="191"/>
        <v/>
      </c>
      <c r="F950" s="152" t="str">
        <f ca="1">IF($A950="","",Returns!$I$948)</f>
        <v/>
      </c>
      <c r="G950" s="153" t="str">
        <f t="shared" ca="1" si="192"/>
        <v/>
      </c>
      <c r="H950" s="153" t="str">
        <f ca="1">IF($A950="","",MAX($G$7:G950))</f>
        <v/>
      </c>
      <c r="I950" s="154" t="str">
        <f t="shared" ca="1" si="193"/>
        <v/>
      </c>
      <c r="J950" s="59" t="str">
        <f t="shared" ca="1" si="194"/>
        <v/>
      </c>
      <c r="K950" s="3"/>
      <c r="L950" t="str">
        <f t="shared" ca="1" si="182"/>
        <v/>
      </c>
      <c r="M950" s="132" t="str">
        <f t="shared" ca="1" si="183"/>
        <v/>
      </c>
      <c r="N950" s="132" t="str">
        <f t="shared" ca="1" si="184"/>
        <v/>
      </c>
      <c r="P950" t="str">
        <f t="shared" ca="1" si="185"/>
        <v/>
      </c>
      <c r="Q950" s="133" t="str">
        <f t="shared" ca="1" si="186"/>
        <v/>
      </c>
      <c r="R950" s="133" t="str">
        <f t="shared" ca="1" si="187"/>
        <v/>
      </c>
      <c r="T950" t="str">
        <f t="shared" ca="1" si="188"/>
        <v/>
      </c>
      <c r="U950" s="134" t="str">
        <f t="shared" ca="1" si="189"/>
        <v/>
      </c>
    </row>
    <row r="951" spans="1:21" x14ac:dyDescent="0.3">
      <c r="A951" s="151" t="str">
        <f ca="1">Returns!$A$949</f>
        <v/>
      </c>
      <c r="B951" s="152" t="str">
        <f ca="1">IF($A951="","",Returns!$J$949)</f>
        <v/>
      </c>
      <c r="C951" s="153" t="str">
        <f t="shared" ca="1" si="190"/>
        <v/>
      </c>
      <c r="D951" s="153" t="str">
        <f ca="1">IF($A951="","",MAX($C$7:C951))</f>
        <v/>
      </c>
      <c r="E951" s="154" t="str">
        <f t="shared" ca="1" si="191"/>
        <v/>
      </c>
      <c r="F951" s="152" t="str">
        <f ca="1">IF($A951="","",Returns!$I$949)</f>
        <v/>
      </c>
      <c r="G951" s="153" t="str">
        <f t="shared" ca="1" si="192"/>
        <v/>
      </c>
      <c r="H951" s="153" t="str">
        <f ca="1">IF($A951="","",MAX($G$7:G951))</f>
        <v/>
      </c>
      <c r="I951" s="154" t="str">
        <f t="shared" ca="1" si="193"/>
        <v/>
      </c>
      <c r="J951" s="59" t="str">
        <f t="shared" ca="1" si="194"/>
        <v/>
      </c>
      <c r="K951" s="3"/>
      <c r="L951" t="str">
        <f t="shared" ca="1" si="182"/>
        <v/>
      </c>
      <c r="M951" s="132" t="str">
        <f t="shared" ca="1" si="183"/>
        <v/>
      </c>
      <c r="N951" s="132" t="str">
        <f t="shared" ca="1" si="184"/>
        <v/>
      </c>
      <c r="P951" t="str">
        <f t="shared" ca="1" si="185"/>
        <v/>
      </c>
      <c r="Q951" s="133" t="str">
        <f t="shared" ca="1" si="186"/>
        <v/>
      </c>
      <c r="R951" s="133" t="str">
        <f t="shared" ca="1" si="187"/>
        <v/>
      </c>
      <c r="T951" t="str">
        <f t="shared" ca="1" si="188"/>
        <v/>
      </c>
      <c r="U951" s="134" t="str">
        <f t="shared" ca="1" si="189"/>
        <v/>
      </c>
    </row>
    <row r="952" spans="1:21" x14ac:dyDescent="0.3">
      <c r="A952" s="151" t="str">
        <f ca="1">Returns!$A$950</f>
        <v/>
      </c>
      <c r="B952" s="152" t="str">
        <f ca="1">IF($A952="","",Returns!$J$950)</f>
        <v/>
      </c>
      <c r="C952" s="153" t="str">
        <f t="shared" ca="1" si="190"/>
        <v/>
      </c>
      <c r="D952" s="153" t="str">
        <f ca="1">IF($A952="","",MAX($C$7:C952))</f>
        <v/>
      </c>
      <c r="E952" s="154" t="str">
        <f t="shared" ca="1" si="191"/>
        <v/>
      </c>
      <c r="F952" s="152" t="str">
        <f ca="1">IF($A952="","",Returns!$I$950)</f>
        <v/>
      </c>
      <c r="G952" s="153" t="str">
        <f t="shared" ca="1" si="192"/>
        <v/>
      </c>
      <c r="H952" s="153" t="str">
        <f ca="1">IF($A952="","",MAX($G$7:G952))</f>
        <v/>
      </c>
      <c r="I952" s="154" t="str">
        <f t="shared" ca="1" si="193"/>
        <v/>
      </c>
      <c r="J952" s="59" t="str">
        <f t="shared" ca="1" si="194"/>
        <v/>
      </c>
      <c r="K952" s="3"/>
      <c r="L952" t="str">
        <f t="shared" ca="1" si="182"/>
        <v/>
      </c>
      <c r="M952" s="132" t="str">
        <f t="shared" ca="1" si="183"/>
        <v/>
      </c>
      <c r="N952" s="132" t="str">
        <f t="shared" ca="1" si="184"/>
        <v/>
      </c>
      <c r="P952" t="str">
        <f t="shared" ca="1" si="185"/>
        <v/>
      </c>
      <c r="Q952" s="133" t="str">
        <f t="shared" ca="1" si="186"/>
        <v/>
      </c>
      <c r="R952" s="133" t="str">
        <f t="shared" ca="1" si="187"/>
        <v/>
      </c>
      <c r="T952" t="str">
        <f t="shared" ca="1" si="188"/>
        <v/>
      </c>
      <c r="U952" s="134" t="str">
        <f t="shared" ca="1" si="189"/>
        <v/>
      </c>
    </row>
    <row r="953" spans="1:21" x14ac:dyDescent="0.3">
      <c r="A953" s="151" t="str">
        <f ca="1">Returns!$A$951</f>
        <v/>
      </c>
      <c r="B953" s="152" t="str">
        <f ca="1">IF($A953="","",Returns!$J$951)</f>
        <v/>
      </c>
      <c r="C953" s="153" t="str">
        <f t="shared" ca="1" si="190"/>
        <v/>
      </c>
      <c r="D953" s="153" t="str">
        <f ca="1">IF($A953="","",MAX($C$7:C953))</f>
        <v/>
      </c>
      <c r="E953" s="154" t="str">
        <f t="shared" ca="1" si="191"/>
        <v/>
      </c>
      <c r="F953" s="152" t="str">
        <f ca="1">IF($A953="","",Returns!$I$951)</f>
        <v/>
      </c>
      <c r="G953" s="153" t="str">
        <f t="shared" ca="1" si="192"/>
        <v/>
      </c>
      <c r="H953" s="153" t="str">
        <f ca="1">IF($A953="","",MAX($G$7:G953))</f>
        <v/>
      </c>
      <c r="I953" s="154" t="str">
        <f t="shared" ca="1" si="193"/>
        <v/>
      </c>
      <c r="J953" s="59" t="str">
        <f t="shared" ca="1" si="194"/>
        <v/>
      </c>
      <c r="K953" s="3"/>
      <c r="L953" t="str">
        <f t="shared" ca="1" si="182"/>
        <v/>
      </c>
      <c r="M953" s="132" t="str">
        <f t="shared" ca="1" si="183"/>
        <v/>
      </c>
      <c r="N953" s="132" t="str">
        <f t="shared" ca="1" si="184"/>
        <v/>
      </c>
      <c r="P953" t="str">
        <f t="shared" ca="1" si="185"/>
        <v/>
      </c>
      <c r="Q953" s="133" t="str">
        <f t="shared" ca="1" si="186"/>
        <v/>
      </c>
      <c r="R953" s="133" t="str">
        <f t="shared" ca="1" si="187"/>
        <v/>
      </c>
      <c r="T953" t="str">
        <f t="shared" ca="1" si="188"/>
        <v/>
      </c>
      <c r="U953" s="134" t="str">
        <f t="shared" ca="1" si="189"/>
        <v/>
      </c>
    </row>
    <row r="954" spans="1:21" x14ac:dyDescent="0.3">
      <c r="A954" s="151" t="str">
        <f ca="1">Returns!$A$952</f>
        <v/>
      </c>
      <c r="B954" s="152" t="str">
        <f ca="1">IF($A954="","",Returns!$J$952)</f>
        <v/>
      </c>
      <c r="C954" s="153" t="str">
        <f t="shared" ca="1" si="190"/>
        <v/>
      </c>
      <c r="D954" s="153" t="str">
        <f ca="1">IF($A954="","",MAX($C$7:C954))</f>
        <v/>
      </c>
      <c r="E954" s="154" t="str">
        <f t="shared" ca="1" si="191"/>
        <v/>
      </c>
      <c r="F954" s="152" t="str">
        <f ca="1">IF($A954="","",Returns!$I$952)</f>
        <v/>
      </c>
      <c r="G954" s="153" t="str">
        <f t="shared" ca="1" si="192"/>
        <v/>
      </c>
      <c r="H954" s="153" t="str">
        <f ca="1">IF($A954="","",MAX($G$7:G954))</f>
        <v/>
      </c>
      <c r="I954" s="154" t="str">
        <f t="shared" ca="1" si="193"/>
        <v/>
      </c>
      <c r="J954" s="59" t="str">
        <f t="shared" ca="1" si="194"/>
        <v/>
      </c>
      <c r="K954" s="3"/>
      <c r="L954" t="str">
        <f t="shared" ca="1" si="182"/>
        <v/>
      </c>
      <c r="M954" s="132" t="str">
        <f t="shared" ca="1" si="183"/>
        <v/>
      </c>
      <c r="N954" s="132" t="str">
        <f t="shared" ca="1" si="184"/>
        <v/>
      </c>
      <c r="P954" t="str">
        <f t="shared" ca="1" si="185"/>
        <v/>
      </c>
      <c r="Q954" s="133" t="str">
        <f t="shared" ca="1" si="186"/>
        <v/>
      </c>
      <c r="R954" s="133" t="str">
        <f t="shared" ca="1" si="187"/>
        <v/>
      </c>
      <c r="T954" t="str">
        <f t="shared" ca="1" si="188"/>
        <v/>
      </c>
      <c r="U954" s="134" t="str">
        <f t="shared" ca="1" si="189"/>
        <v/>
      </c>
    </row>
    <row r="955" spans="1:21" x14ac:dyDescent="0.3">
      <c r="A955" s="151" t="str">
        <f ca="1">Returns!$A$953</f>
        <v/>
      </c>
      <c r="B955" s="152" t="str">
        <f ca="1">IF($A955="","",Returns!$J$953)</f>
        <v/>
      </c>
      <c r="C955" s="153" t="str">
        <f t="shared" ca="1" si="190"/>
        <v/>
      </c>
      <c r="D955" s="153" t="str">
        <f ca="1">IF($A955="","",MAX($C$7:C955))</f>
        <v/>
      </c>
      <c r="E955" s="154" t="str">
        <f t="shared" ca="1" si="191"/>
        <v/>
      </c>
      <c r="F955" s="152" t="str">
        <f ca="1">IF($A955="","",Returns!$I$953)</f>
        <v/>
      </c>
      <c r="G955" s="153" t="str">
        <f t="shared" ca="1" si="192"/>
        <v/>
      </c>
      <c r="H955" s="153" t="str">
        <f ca="1">IF($A955="","",MAX($G$7:G955))</f>
        <v/>
      </c>
      <c r="I955" s="154" t="str">
        <f t="shared" ca="1" si="193"/>
        <v/>
      </c>
      <c r="J955" s="59" t="str">
        <f t="shared" ca="1" si="194"/>
        <v/>
      </c>
      <c r="K955" s="3"/>
      <c r="L955" t="str">
        <f t="shared" ca="1" si="182"/>
        <v/>
      </c>
      <c r="M955" s="132" t="str">
        <f t="shared" ca="1" si="183"/>
        <v/>
      </c>
      <c r="N955" s="132" t="str">
        <f t="shared" ca="1" si="184"/>
        <v/>
      </c>
      <c r="P955" t="str">
        <f t="shared" ca="1" si="185"/>
        <v/>
      </c>
      <c r="Q955" s="133" t="str">
        <f t="shared" ca="1" si="186"/>
        <v/>
      </c>
      <c r="R955" s="133" t="str">
        <f t="shared" ca="1" si="187"/>
        <v/>
      </c>
      <c r="T955" t="str">
        <f t="shared" ca="1" si="188"/>
        <v/>
      </c>
      <c r="U955" s="134" t="str">
        <f t="shared" ca="1" si="189"/>
        <v/>
      </c>
    </row>
    <row r="956" spans="1:21" x14ac:dyDescent="0.3">
      <c r="A956" s="151" t="str">
        <f ca="1">Returns!$A$954</f>
        <v/>
      </c>
      <c r="B956" s="152" t="str">
        <f ca="1">IF($A956="","",Returns!$J$954)</f>
        <v/>
      </c>
      <c r="C956" s="153" t="str">
        <f t="shared" ca="1" si="190"/>
        <v/>
      </c>
      <c r="D956" s="153" t="str">
        <f ca="1">IF($A956="","",MAX($C$7:C956))</f>
        <v/>
      </c>
      <c r="E956" s="154" t="str">
        <f t="shared" ca="1" si="191"/>
        <v/>
      </c>
      <c r="F956" s="152" t="str">
        <f ca="1">IF($A956="","",Returns!$I$954)</f>
        <v/>
      </c>
      <c r="G956" s="153" t="str">
        <f t="shared" ca="1" si="192"/>
        <v/>
      </c>
      <c r="H956" s="153" t="str">
        <f ca="1">IF($A956="","",MAX($G$7:G956))</f>
        <v/>
      </c>
      <c r="I956" s="154" t="str">
        <f t="shared" ca="1" si="193"/>
        <v/>
      </c>
      <c r="J956" s="59" t="str">
        <f t="shared" ca="1" si="194"/>
        <v/>
      </c>
      <c r="K956" s="3"/>
      <c r="L956" t="str">
        <f t="shared" ca="1" si="182"/>
        <v/>
      </c>
      <c r="M956" s="132" t="str">
        <f t="shared" ca="1" si="183"/>
        <v/>
      </c>
      <c r="N956" s="132" t="str">
        <f t="shared" ca="1" si="184"/>
        <v/>
      </c>
      <c r="P956" t="str">
        <f t="shared" ca="1" si="185"/>
        <v/>
      </c>
      <c r="Q956" s="133" t="str">
        <f t="shared" ca="1" si="186"/>
        <v/>
      </c>
      <c r="R956" s="133" t="str">
        <f t="shared" ca="1" si="187"/>
        <v/>
      </c>
      <c r="T956" t="str">
        <f t="shared" ca="1" si="188"/>
        <v/>
      </c>
      <c r="U956" s="134" t="str">
        <f t="shared" ca="1" si="189"/>
        <v/>
      </c>
    </row>
    <row r="957" spans="1:21" x14ac:dyDescent="0.3">
      <c r="A957" s="151" t="str">
        <f ca="1">Returns!$A$955</f>
        <v/>
      </c>
      <c r="B957" s="152" t="str">
        <f ca="1">IF($A957="","",Returns!$J$955)</f>
        <v/>
      </c>
      <c r="C957" s="153" t="str">
        <f t="shared" ca="1" si="190"/>
        <v/>
      </c>
      <c r="D957" s="153" t="str">
        <f ca="1">IF($A957="","",MAX($C$7:C957))</f>
        <v/>
      </c>
      <c r="E957" s="154" t="str">
        <f t="shared" ca="1" si="191"/>
        <v/>
      </c>
      <c r="F957" s="152" t="str">
        <f ca="1">IF($A957="","",Returns!$I$955)</f>
        <v/>
      </c>
      <c r="G957" s="153" t="str">
        <f t="shared" ca="1" si="192"/>
        <v/>
      </c>
      <c r="H957" s="153" t="str">
        <f ca="1">IF($A957="","",MAX($G$7:G957))</f>
        <v/>
      </c>
      <c r="I957" s="154" t="str">
        <f t="shared" ca="1" si="193"/>
        <v/>
      </c>
      <c r="J957" s="59" t="str">
        <f t="shared" ca="1" si="194"/>
        <v/>
      </c>
      <c r="K957" s="3"/>
      <c r="L957" t="str">
        <f t="shared" ca="1" si="182"/>
        <v/>
      </c>
      <c r="M957" s="132" t="str">
        <f t="shared" ca="1" si="183"/>
        <v/>
      </c>
      <c r="N957" s="132" t="str">
        <f t="shared" ca="1" si="184"/>
        <v/>
      </c>
      <c r="P957" t="str">
        <f t="shared" ca="1" si="185"/>
        <v/>
      </c>
      <c r="Q957" s="133" t="str">
        <f t="shared" ca="1" si="186"/>
        <v/>
      </c>
      <c r="R957" s="133" t="str">
        <f t="shared" ca="1" si="187"/>
        <v/>
      </c>
      <c r="T957" t="str">
        <f t="shared" ca="1" si="188"/>
        <v/>
      </c>
      <c r="U957" s="134" t="str">
        <f t="shared" ca="1" si="189"/>
        <v/>
      </c>
    </row>
    <row r="958" spans="1:21" x14ac:dyDescent="0.3">
      <c r="A958" s="151" t="str">
        <f ca="1">Returns!$A$956</f>
        <v/>
      </c>
      <c r="B958" s="152" t="str">
        <f ca="1">IF($A958="","",Returns!$J$956)</f>
        <v/>
      </c>
      <c r="C958" s="153" t="str">
        <f t="shared" ca="1" si="190"/>
        <v/>
      </c>
      <c r="D958" s="153" t="str">
        <f ca="1">IF($A958="","",MAX($C$7:C958))</f>
        <v/>
      </c>
      <c r="E958" s="154" t="str">
        <f t="shared" ca="1" si="191"/>
        <v/>
      </c>
      <c r="F958" s="152" t="str">
        <f ca="1">IF($A958="","",Returns!$I$956)</f>
        <v/>
      </c>
      <c r="G958" s="153" t="str">
        <f t="shared" ca="1" si="192"/>
        <v/>
      </c>
      <c r="H958" s="153" t="str">
        <f ca="1">IF($A958="","",MAX($G$7:G958))</f>
        <v/>
      </c>
      <c r="I958" s="154" t="str">
        <f t="shared" ca="1" si="193"/>
        <v/>
      </c>
      <c r="J958" s="59" t="str">
        <f t="shared" ca="1" si="194"/>
        <v/>
      </c>
      <c r="K958" s="3"/>
      <c r="L958" t="str">
        <f t="shared" ca="1" si="182"/>
        <v/>
      </c>
      <c r="M958" s="132" t="str">
        <f t="shared" ca="1" si="183"/>
        <v/>
      </c>
      <c r="N958" s="132" t="str">
        <f t="shared" ca="1" si="184"/>
        <v/>
      </c>
      <c r="P958" t="str">
        <f t="shared" ca="1" si="185"/>
        <v/>
      </c>
      <c r="Q958" s="133" t="str">
        <f t="shared" ca="1" si="186"/>
        <v/>
      </c>
      <c r="R958" s="133" t="str">
        <f t="shared" ca="1" si="187"/>
        <v/>
      </c>
      <c r="T958" t="str">
        <f t="shared" ca="1" si="188"/>
        <v/>
      </c>
      <c r="U958" s="134" t="str">
        <f t="shared" ca="1" si="189"/>
        <v/>
      </c>
    </row>
    <row r="959" spans="1:21" x14ac:dyDescent="0.3">
      <c r="A959" s="151" t="str">
        <f ca="1">Returns!$A$957</f>
        <v/>
      </c>
      <c r="B959" s="152" t="str">
        <f ca="1">IF($A959="","",Returns!$J$957)</f>
        <v/>
      </c>
      <c r="C959" s="153" t="str">
        <f t="shared" ca="1" si="190"/>
        <v/>
      </c>
      <c r="D959" s="153" t="str">
        <f ca="1">IF($A959="","",MAX($C$7:C959))</f>
        <v/>
      </c>
      <c r="E959" s="154" t="str">
        <f t="shared" ca="1" si="191"/>
        <v/>
      </c>
      <c r="F959" s="152" t="str">
        <f ca="1">IF($A959="","",Returns!$I$957)</f>
        <v/>
      </c>
      <c r="G959" s="153" t="str">
        <f t="shared" ca="1" si="192"/>
        <v/>
      </c>
      <c r="H959" s="153" t="str">
        <f ca="1">IF($A959="","",MAX($G$7:G959))</f>
        <v/>
      </c>
      <c r="I959" s="154" t="str">
        <f t="shared" ca="1" si="193"/>
        <v/>
      </c>
      <c r="J959" s="59" t="str">
        <f t="shared" ca="1" si="194"/>
        <v/>
      </c>
      <c r="K959" s="3"/>
      <c r="L959" t="str">
        <f t="shared" ca="1" si="182"/>
        <v/>
      </c>
      <c r="M959" s="132" t="str">
        <f t="shared" ca="1" si="183"/>
        <v/>
      </c>
      <c r="N959" s="132" t="str">
        <f t="shared" ca="1" si="184"/>
        <v/>
      </c>
      <c r="P959" t="str">
        <f t="shared" ca="1" si="185"/>
        <v/>
      </c>
      <c r="Q959" s="133" t="str">
        <f t="shared" ca="1" si="186"/>
        <v/>
      </c>
      <c r="R959" s="133" t="str">
        <f t="shared" ca="1" si="187"/>
        <v/>
      </c>
      <c r="T959" t="str">
        <f t="shared" ca="1" si="188"/>
        <v/>
      </c>
      <c r="U959" s="134" t="str">
        <f t="shared" ca="1" si="189"/>
        <v/>
      </c>
    </row>
    <row r="960" spans="1:21" x14ac:dyDescent="0.3">
      <c r="A960" s="151" t="str">
        <f ca="1">Returns!$A$958</f>
        <v/>
      </c>
      <c r="B960" s="152" t="str">
        <f ca="1">IF($A960="","",Returns!$J$958)</f>
        <v/>
      </c>
      <c r="C960" s="153" t="str">
        <f t="shared" ca="1" si="190"/>
        <v/>
      </c>
      <c r="D960" s="153" t="str">
        <f ca="1">IF($A960="","",MAX($C$7:C960))</f>
        <v/>
      </c>
      <c r="E960" s="154" t="str">
        <f t="shared" ca="1" si="191"/>
        <v/>
      </c>
      <c r="F960" s="152" t="str">
        <f ca="1">IF($A960="","",Returns!$I$958)</f>
        <v/>
      </c>
      <c r="G960" s="153" t="str">
        <f t="shared" ca="1" si="192"/>
        <v/>
      </c>
      <c r="H960" s="153" t="str">
        <f ca="1">IF($A960="","",MAX($G$7:G960))</f>
        <v/>
      </c>
      <c r="I960" s="154" t="str">
        <f t="shared" ca="1" si="193"/>
        <v/>
      </c>
      <c r="J960" s="59" t="str">
        <f t="shared" ca="1" si="194"/>
        <v/>
      </c>
      <c r="K960" s="3"/>
      <c r="L960" t="str">
        <f t="shared" ca="1" si="182"/>
        <v/>
      </c>
      <c r="M960" s="132" t="str">
        <f t="shared" ca="1" si="183"/>
        <v/>
      </c>
      <c r="N960" s="132" t="str">
        <f t="shared" ca="1" si="184"/>
        <v/>
      </c>
      <c r="P960" t="str">
        <f t="shared" ca="1" si="185"/>
        <v/>
      </c>
      <c r="Q960" s="133" t="str">
        <f t="shared" ca="1" si="186"/>
        <v/>
      </c>
      <c r="R960" s="133" t="str">
        <f t="shared" ca="1" si="187"/>
        <v/>
      </c>
      <c r="T960" t="str">
        <f t="shared" ca="1" si="188"/>
        <v/>
      </c>
      <c r="U960" s="134" t="str">
        <f t="shared" ca="1" si="189"/>
        <v/>
      </c>
    </row>
    <row r="961" spans="1:21" x14ac:dyDescent="0.3">
      <c r="A961" s="151" t="str">
        <f ca="1">Returns!$A$959</f>
        <v/>
      </c>
      <c r="B961" s="152" t="str">
        <f ca="1">IF($A961="","",Returns!$J$959)</f>
        <v/>
      </c>
      <c r="C961" s="153" t="str">
        <f t="shared" ca="1" si="190"/>
        <v/>
      </c>
      <c r="D961" s="153" t="str">
        <f ca="1">IF($A961="","",MAX($C$7:C961))</f>
        <v/>
      </c>
      <c r="E961" s="154" t="str">
        <f t="shared" ca="1" si="191"/>
        <v/>
      </c>
      <c r="F961" s="152" t="str">
        <f ca="1">IF($A961="","",Returns!$I$959)</f>
        <v/>
      </c>
      <c r="G961" s="153" t="str">
        <f t="shared" ca="1" si="192"/>
        <v/>
      </c>
      <c r="H961" s="153" t="str">
        <f ca="1">IF($A961="","",MAX($G$7:G961))</f>
        <v/>
      </c>
      <c r="I961" s="154" t="str">
        <f t="shared" ca="1" si="193"/>
        <v/>
      </c>
      <c r="J961" s="59" t="str">
        <f t="shared" ca="1" si="194"/>
        <v/>
      </c>
      <c r="K961" s="3"/>
      <c r="L961" t="str">
        <f t="shared" ca="1" si="182"/>
        <v/>
      </c>
      <c r="M961" s="132" t="str">
        <f t="shared" ca="1" si="183"/>
        <v/>
      </c>
      <c r="N961" s="132" t="str">
        <f t="shared" ca="1" si="184"/>
        <v/>
      </c>
      <c r="P961" t="str">
        <f t="shared" ca="1" si="185"/>
        <v/>
      </c>
      <c r="Q961" s="133" t="str">
        <f t="shared" ca="1" si="186"/>
        <v/>
      </c>
      <c r="R961" s="133" t="str">
        <f t="shared" ca="1" si="187"/>
        <v/>
      </c>
      <c r="T961" t="str">
        <f t="shared" ca="1" si="188"/>
        <v/>
      </c>
      <c r="U961" s="134" t="str">
        <f t="shared" ca="1" si="189"/>
        <v/>
      </c>
    </row>
    <row r="962" spans="1:21" x14ac:dyDescent="0.3">
      <c r="A962" s="151" t="str">
        <f ca="1">Returns!$A$960</f>
        <v/>
      </c>
      <c r="B962" s="152" t="str">
        <f ca="1">IF($A962="","",Returns!$J$960)</f>
        <v/>
      </c>
      <c r="C962" s="153" t="str">
        <f t="shared" ca="1" si="190"/>
        <v/>
      </c>
      <c r="D962" s="153" t="str">
        <f ca="1">IF($A962="","",MAX($C$7:C962))</f>
        <v/>
      </c>
      <c r="E962" s="154" t="str">
        <f t="shared" ca="1" si="191"/>
        <v/>
      </c>
      <c r="F962" s="152" t="str">
        <f ca="1">IF($A962="","",Returns!$I$960)</f>
        <v/>
      </c>
      <c r="G962" s="153" t="str">
        <f t="shared" ca="1" si="192"/>
        <v/>
      </c>
      <c r="H962" s="153" t="str">
        <f ca="1">IF($A962="","",MAX($G$7:G962))</f>
        <v/>
      </c>
      <c r="I962" s="154" t="str">
        <f t="shared" ca="1" si="193"/>
        <v/>
      </c>
      <c r="J962" s="59" t="str">
        <f t="shared" ca="1" si="194"/>
        <v/>
      </c>
      <c r="K962" s="3"/>
      <c r="L962" t="str">
        <f t="shared" ca="1" si="182"/>
        <v/>
      </c>
      <c r="M962" s="132" t="str">
        <f t="shared" ca="1" si="183"/>
        <v/>
      </c>
      <c r="N962" s="132" t="str">
        <f t="shared" ca="1" si="184"/>
        <v/>
      </c>
      <c r="P962" t="str">
        <f t="shared" ca="1" si="185"/>
        <v/>
      </c>
      <c r="Q962" s="133" t="str">
        <f t="shared" ca="1" si="186"/>
        <v/>
      </c>
      <c r="R962" s="133" t="str">
        <f t="shared" ca="1" si="187"/>
        <v/>
      </c>
      <c r="T962" t="str">
        <f t="shared" ca="1" si="188"/>
        <v/>
      </c>
      <c r="U962" s="134" t="str">
        <f t="shared" ca="1" si="189"/>
        <v/>
      </c>
    </row>
    <row r="963" spans="1:21" x14ac:dyDescent="0.3">
      <c r="A963" s="151" t="str">
        <f ca="1">Returns!$A$961</f>
        <v/>
      </c>
      <c r="B963" s="152" t="str">
        <f ca="1">IF($A963="","",Returns!$J$961)</f>
        <v/>
      </c>
      <c r="C963" s="153" t="str">
        <f t="shared" ca="1" si="190"/>
        <v/>
      </c>
      <c r="D963" s="153" t="str">
        <f ca="1">IF($A963="","",MAX($C$7:C963))</f>
        <v/>
      </c>
      <c r="E963" s="154" t="str">
        <f t="shared" ca="1" si="191"/>
        <v/>
      </c>
      <c r="F963" s="152" t="str">
        <f ca="1">IF($A963="","",Returns!$I$961)</f>
        <v/>
      </c>
      <c r="G963" s="153" t="str">
        <f t="shared" ca="1" si="192"/>
        <v/>
      </c>
      <c r="H963" s="153" t="str">
        <f ca="1">IF($A963="","",MAX($G$7:G963))</f>
        <v/>
      </c>
      <c r="I963" s="154" t="str">
        <f t="shared" ca="1" si="193"/>
        <v/>
      </c>
      <c r="J963" s="59" t="str">
        <f t="shared" ca="1" si="194"/>
        <v/>
      </c>
      <c r="K963" s="3"/>
      <c r="L963" t="str">
        <f t="shared" ca="1" si="182"/>
        <v/>
      </c>
      <c r="M963" s="132" t="str">
        <f t="shared" ca="1" si="183"/>
        <v/>
      </c>
      <c r="N963" s="132" t="str">
        <f t="shared" ca="1" si="184"/>
        <v/>
      </c>
      <c r="P963" t="str">
        <f t="shared" ca="1" si="185"/>
        <v/>
      </c>
      <c r="Q963" s="133" t="str">
        <f t="shared" ca="1" si="186"/>
        <v/>
      </c>
      <c r="R963" s="133" t="str">
        <f t="shared" ca="1" si="187"/>
        <v/>
      </c>
      <c r="T963" t="str">
        <f t="shared" ca="1" si="188"/>
        <v/>
      </c>
      <c r="U963" s="134" t="str">
        <f t="shared" ca="1" si="189"/>
        <v/>
      </c>
    </row>
    <row r="964" spans="1:21" x14ac:dyDescent="0.3">
      <c r="A964" s="151" t="str">
        <f ca="1">Returns!$A$962</f>
        <v/>
      </c>
      <c r="B964" s="152" t="str">
        <f ca="1">IF($A964="","",Returns!$J$962)</f>
        <v/>
      </c>
      <c r="C964" s="153" t="str">
        <f t="shared" ca="1" si="190"/>
        <v/>
      </c>
      <c r="D964" s="153" t="str">
        <f ca="1">IF($A964="","",MAX($C$7:C964))</f>
        <v/>
      </c>
      <c r="E964" s="154" t="str">
        <f t="shared" ca="1" si="191"/>
        <v/>
      </c>
      <c r="F964" s="152" t="str">
        <f ca="1">IF($A964="","",Returns!$I$962)</f>
        <v/>
      </c>
      <c r="G964" s="153" t="str">
        <f t="shared" ca="1" si="192"/>
        <v/>
      </c>
      <c r="H964" s="153" t="str">
        <f ca="1">IF($A964="","",MAX($G$7:G964))</f>
        <v/>
      </c>
      <c r="I964" s="154" t="str">
        <f t="shared" ca="1" si="193"/>
        <v/>
      </c>
      <c r="J964" s="59" t="str">
        <f t="shared" ca="1" si="194"/>
        <v/>
      </c>
      <c r="K964" s="3"/>
      <c r="L964" t="str">
        <f t="shared" ca="1" si="182"/>
        <v/>
      </c>
      <c r="M964" s="132" t="str">
        <f t="shared" ca="1" si="183"/>
        <v/>
      </c>
      <c r="N964" s="132" t="str">
        <f t="shared" ca="1" si="184"/>
        <v/>
      </c>
      <c r="P964" t="str">
        <f t="shared" ca="1" si="185"/>
        <v/>
      </c>
      <c r="Q964" s="133" t="str">
        <f t="shared" ca="1" si="186"/>
        <v/>
      </c>
      <c r="R964" s="133" t="str">
        <f t="shared" ca="1" si="187"/>
        <v/>
      </c>
      <c r="T964" t="str">
        <f t="shared" ca="1" si="188"/>
        <v/>
      </c>
      <c r="U964" s="134" t="str">
        <f t="shared" ca="1" si="189"/>
        <v/>
      </c>
    </row>
    <row r="965" spans="1:21" x14ac:dyDescent="0.3">
      <c r="A965" s="151" t="str">
        <f ca="1">Returns!$A$963</f>
        <v/>
      </c>
      <c r="B965" s="152" t="str">
        <f ca="1">IF($A965="","",Returns!$J$963)</f>
        <v/>
      </c>
      <c r="C965" s="153" t="str">
        <f t="shared" ca="1" si="190"/>
        <v/>
      </c>
      <c r="D965" s="153" t="str">
        <f ca="1">IF($A965="","",MAX($C$7:C965))</f>
        <v/>
      </c>
      <c r="E965" s="154" t="str">
        <f t="shared" ca="1" si="191"/>
        <v/>
      </c>
      <c r="F965" s="152" t="str">
        <f ca="1">IF($A965="","",Returns!$I$963)</f>
        <v/>
      </c>
      <c r="G965" s="153" t="str">
        <f t="shared" ca="1" si="192"/>
        <v/>
      </c>
      <c r="H965" s="153" t="str">
        <f ca="1">IF($A965="","",MAX($G$7:G965))</f>
        <v/>
      </c>
      <c r="I965" s="154" t="str">
        <f t="shared" ca="1" si="193"/>
        <v/>
      </c>
      <c r="J965" s="59" t="str">
        <f t="shared" ca="1" si="194"/>
        <v/>
      </c>
      <c r="K965" s="3"/>
      <c r="L965" t="str">
        <f t="shared" ca="1" si="182"/>
        <v/>
      </c>
      <c r="M965" s="132" t="str">
        <f t="shared" ca="1" si="183"/>
        <v/>
      </c>
      <c r="N965" s="132" t="str">
        <f t="shared" ca="1" si="184"/>
        <v/>
      </c>
      <c r="P965" t="str">
        <f t="shared" ca="1" si="185"/>
        <v/>
      </c>
      <c r="Q965" s="133" t="str">
        <f t="shared" ca="1" si="186"/>
        <v/>
      </c>
      <c r="R965" s="133" t="str">
        <f t="shared" ca="1" si="187"/>
        <v/>
      </c>
      <c r="T965" t="str">
        <f t="shared" ca="1" si="188"/>
        <v/>
      </c>
      <c r="U965" s="134" t="str">
        <f t="shared" ca="1" si="189"/>
        <v/>
      </c>
    </row>
    <row r="966" spans="1:21" x14ac:dyDescent="0.3">
      <c r="A966" s="151" t="str">
        <f ca="1">Returns!$A$964</f>
        <v/>
      </c>
      <c r="B966" s="152" t="str">
        <f ca="1">IF($A966="","",Returns!$J$964)</f>
        <v/>
      </c>
      <c r="C966" s="153" t="str">
        <f t="shared" ca="1" si="190"/>
        <v/>
      </c>
      <c r="D966" s="153" t="str">
        <f ca="1">IF($A966="","",MAX($C$7:C966))</f>
        <v/>
      </c>
      <c r="E966" s="154" t="str">
        <f t="shared" ca="1" si="191"/>
        <v/>
      </c>
      <c r="F966" s="152" t="str">
        <f ca="1">IF($A966="","",Returns!$I$964)</f>
        <v/>
      </c>
      <c r="G966" s="153" t="str">
        <f t="shared" ca="1" si="192"/>
        <v/>
      </c>
      <c r="H966" s="153" t="str">
        <f ca="1">IF($A966="","",MAX($G$7:G966))</f>
        <v/>
      </c>
      <c r="I966" s="154" t="str">
        <f t="shared" ca="1" si="193"/>
        <v/>
      </c>
      <c r="J966" s="59" t="str">
        <f t="shared" ca="1" si="194"/>
        <v/>
      </c>
      <c r="K966" s="3"/>
      <c r="L966" t="str">
        <f t="shared" ca="1" si="182"/>
        <v/>
      </c>
      <c r="M966" s="132" t="str">
        <f t="shared" ca="1" si="183"/>
        <v/>
      </c>
      <c r="N966" s="132" t="str">
        <f t="shared" ca="1" si="184"/>
        <v/>
      </c>
      <c r="P966" t="str">
        <f t="shared" ca="1" si="185"/>
        <v/>
      </c>
      <c r="Q966" s="133" t="str">
        <f t="shared" ca="1" si="186"/>
        <v/>
      </c>
      <c r="R966" s="133" t="str">
        <f t="shared" ca="1" si="187"/>
        <v/>
      </c>
      <c r="T966" t="str">
        <f t="shared" ca="1" si="188"/>
        <v/>
      </c>
      <c r="U966" s="134" t="str">
        <f t="shared" ca="1" si="189"/>
        <v/>
      </c>
    </row>
    <row r="967" spans="1:21" x14ac:dyDescent="0.3">
      <c r="A967" s="151" t="str">
        <f ca="1">Returns!$A$965</f>
        <v/>
      </c>
      <c r="B967" s="152" t="str">
        <f ca="1">IF($A967="","",Returns!$J$965)</f>
        <v/>
      </c>
      <c r="C967" s="153" t="str">
        <f t="shared" ca="1" si="190"/>
        <v/>
      </c>
      <c r="D967" s="153" t="str">
        <f ca="1">IF($A967="","",MAX($C$7:C967))</f>
        <v/>
      </c>
      <c r="E967" s="154" t="str">
        <f t="shared" ca="1" si="191"/>
        <v/>
      </c>
      <c r="F967" s="152" t="str">
        <f ca="1">IF($A967="","",Returns!$I$965)</f>
        <v/>
      </c>
      <c r="G967" s="153" t="str">
        <f t="shared" ca="1" si="192"/>
        <v/>
      </c>
      <c r="H967" s="153" t="str">
        <f ca="1">IF($A967="","",MAX($G$7:G967))</f>
        <v/>
      </c>
      <c r="I967" s="154" t="str">
        <f t="shared" ca="1" si="193"/>
        <v/>
      </c>
      <c r="J967" s="59" t="str">
        <f t="shared" ca="1" si="194"/>
        <v/>
      </c>
      <c r="K967" s="3"/>
      <c r="L967" t="str">
        <f t="shared" ref="L967:L1000" ca="1" si="195">$J967</f>
        <v/>
      </c>
      <c r="M967" s="132" t="str">
        <f t="shared" ref="M967:M1000" ca="1" si="196">$C967</f>
        <v/>
      </c>
      <c r="N967" s="132" t="str">
        <f t="shared" ref="N967:N1000" ca="1" si="197">$G967</f>
        <v/>
      </c>
      <c r="P967" t="str">
        <f t="shared" ref="P967:P1000" ca="1" si="198">$J967</f>
        <v/>
      </c>
      <c r="Q967" s="133" t="str">
        <f t="shared" ref="Q967:Q1000" ca="1" si="199">$E967</f>
        <v/>
      </c>
      <c r="R967" s="133" t="str">
        <f t="shared" ref="R967:R1000" ca="1" si="200">$I967</f>
        <v/>
      </c>
      <c r="T967" t="str">
        <f t="shared" ref="T967:T1000" ca="1" si="201">$J967</f>
        <v/>
      </c>
      <c r="U967" s="134" t="str">
        <f t="shared" ref="U967:U1000" ca="1" si="202">IF($A967="","",NotionalValue*$C967/IndexBase)</f>
        <v/>
      </c>
    </row>
    <row r="968" spans="1:21" x14ac:dyDescent="0.3">
      <c r="A968" s="151" t="str">
        <f ca="1">Returns!$A$966</f>
        <v/>
      </c>
      <c r="B968" s="152" t="str">
        <f ca="1">IF($A968="","",Returns!$J$966)</f>
        <v/>
      </c>
      <c r="C968" s="153" t="str">
        <f t="shared" ref="C968:C1000" ca="1" si="203">IF($A968="","",C967*(1+$B968))</f>
        <v/>
      </c>
      <c r="D968" s="153" t="str">
        <f ca="1">IF($A968="","",MAX($C$7:C968))</f>
        <v/>
      </c>
      <c r="E968" s="154" t="str">
        <f t="shared" ref="E968:E1000" ca="1" si="204">IF($A968="","",$C968/$D968-1)</f>
        <v/>
      </c>
      <c r="F968" s="152" t="str">
        <f ca="1">IF($A968="","",Returns!$I$966)</f>
        <v/>
      </c>
      <c r="G968" s="153" t="str">
        <f t="shared" ref="G968:G1000" ca="1" si="205">IF($A968="","",G967*(1+$F968))</f>
        <v/>
      </c>
      <c r="H968" s="153" t="str">
        <f ca="1">IF($A968="","",MAX($G$7:G968))</f>
        <v/>
      </c>
      <c r="I968" s="154" t="str">
        <f t="shared" ref="I968:I1000" ca="1" si="206">IF($A968="","",$G968/$H968-1)</f>
        <v/>
      </c>
      <c r="J968" s="59" t="str">
        <f t="shared" ref="J968:J1000" ca="1" si="207">IF($A968="","",TEXT($A968,"mmm-yy"))</f>
        <v/>
      </c>
      <c r="K968" s="3"/>
      <c r="L968" t="str">
        <f t="shared" ca="1" si="195"/>
        <v/>
      </c>
      <c r="M968" s="132" t="str">
        <f t="shared" ca="1" si="196"/>
        <v/>
      </c>
      <c r="N968" s="132" t="str">
        <f t="shared" ca="1" si="197"/>
        <v/>
      </c>
      <c r="P968" t="str">
        <f t="shared" ca="1" si="198"/>
        <v/>
      </c>
      <c r="Q968" s="133" t="str">
        <f t="shared" ca="1" si="199"/>
        <v/>
      </c>
      <c r="R968" s="133" t="str">
        <f t="shared" ca="1" si="200"/>
        <v/>
      </c>
      <c r="T968" t="str">
        <f t="shared" ca="1" si="201"/>
        <v/>
      </c>
      <c r="U968" s="134" t="str">
        <f t="shared" ca="1" si="202"/>
        <v/>
      </c>
    </row>
    <row r="969" spans="1:21" x14ac:dyDescent="0.3">
      <c r="A969" s="151" t="str">
        <f ca="1">Returns!$A$967</f>
        <v/>
      </c>
      <c r="B969" s="152" t="str">
        <f ca="1">IF($A969="","",Returns!$J$967)</f>
        <v/>
      </c>
      <c r="C969" s="153" t="str">
        <f t="shared" ca="1" si="203"/>
        <v/>
      </c>
      <c r="D969" s="153" t="str">
        <f ca="1">IF($A969="","",MAX($C$7:C969))</f>
        <v/>
      </c>
      <c r="E969" s="154" t="str">
        <f t="shared" ca="1" si="204"/>
        <v/>
      </c>
      <c r="F969" s="152" t="str">
        <f ca="1">IF($A969="","",Returns!$I$967)</f>
        <v/>
      </c>
      <c r="G969" s="153" t="str">
        <f t="shared" ca="1" si="205"/>
        <v/>
      </c>
      <c r="H969" s="153" t="str">
        <f ca="1">IF($A969="","",MAX($G$7:G969))</f>
        <v/>
      </c>
      <c r="I969" s="154" t="str">
        <f t="shared" ca="1" si="206"/>
        <v/>
      </c>
      <c r="J969" s="59" t="str">
        <f t="shared" ca="1" si="207"/>
        <v/>
      </c>
      <c r="K969" s="3"/>
      <c r="L969" t="str">
        <f t="shared" ca="1" si="195"/>
        <v/>
      </c>
      <c r="M969" s="132" t="str">
        <f t="shared" ca="1" si="196"/>
        <v/>
      </c>
      <c r="N969" s="132" t="str">
        <f t="shared" ca="1" si="197"/>
        <v/>
      </c>
      <c r="P969" t="str">
        <f t="shared" ca="1" si="198"/>
        <v/>
      </c>
      <c r="Q969" s="133" t="str">
        <f t="shared" ca="1" si="199"/>
        <v/>
      </c>
      <c r="R969" s="133" t="str">
        <f t="shared" ca="1" si="200"/>
        <v/>
      </c>
      <c r="T969" t="str">
        <f t="shared" ca="1" si="201"/>
        <v/>
      </c>
      <c r="U969" s="134" t="str">
        <f t="shared" ca="1" si="202"/>
        <v/>
      </c>
    </row>
    <row r="970" spans="1:21" x14ac:dyDescent="0.3">
      <c r="A970" s="151" t="str">
        <f ca="1">Returns!$A$968</f>
        <v/>
      </c>
      <c r="B970" s="152" t="str">
        <f ca="1">IF($A970="","",Returns!$J$968)</f>
        <v/>
      </c>
      <c r="C970" s="153" t="str">
        <f t="shared" ca="1" si="203"/>
        <v/>
      </c>
      <c r="D970" s="153" t="str">
        <f ca="1">IF($A970="","",MAX($C$7:C970))</f>
        <v/>
      </c>
      <c r="E970" s="154" t="str">
        <f t="shared" ca="1" si="204"/>
        <v/>
      </c>
      <c r="F970" s="152" t="str">
        <f ca="1">IF($A970="","",Returns!$I$968)</f>
        <v/>
      </c>
      <c r="G970" s="153" t="str">
        <f t="shared" ca="1" si="205"/>
        <v/>
      </c>
      <c r="H970" s="153" t="str">
        <f ca="1">IF($A970="","",MAX($G$7:G970))</f>
        <v/>
      </c>
      <c r="I970" s="154" t="str">
        <f t="shared" ca="1" si="206"/>
        <v/>
      </c>
      <c r="J970" s="59" t="str">
        <f t="shared" ca="1" si="207"/>
        <v/>
      </c>
      <c r="K970" s="3"/>
      <c r="L970" t="str">
        <f t="shared" ca="1" si="195"/>
        <v/>
      </c>
      <c r="M970" s="132" t="str">
        <f t="shared" ca="1" si="196"/>
        <v/>
      </c>
      <c r="N970" s="132" t="str">
        <f t="shared" ca="1" si="197"/>
        <v/>
      </c>
      <c r="P970" t="str">
        <f t="shared" ca="1" si="198"/>
        <v/>
      </c>
      <c r="Q970" s="133" t="str">
        <f t="shared" ca="1" si="199"/>
        <v/>
      </c>
      <c r="R970" s="133" t="str">
        <f t="shared" ca="1" si="200"/>
        <v/>
      </c>
      <c r="T970" t="str">
        <f t="shared" ca="1" si="201"/>
        <v/>
      </c>
      <c r="U970" s="134" t="str">
        <f t="shared" ca="1" si="202"/>
        <v/>
      </c>
    </row>
    <row r="971" spans="1:21" x14ac:dyDescent="0.3">
      <c r="A971" s="151" t="str">
        <f ca="1">Returns!$A$969</f>
        <v/>
      </c>
      <c r="B971" s="152" t="str">
        <f ca="1">IF($A971="","",Returns!$J$969)</f>
        <v/>
      </c>
      <c r="C971" s="153" t="str">
        <f t="shared" ca="1" si="203"/>
        <v/>
      </c>
      <c r="D971" s="153" t="str">
        <f ca="1">IF($A971="","",MAX($C$7:C971))</f>
        <v/>
      </c>
      <c r="E971" s="154" t="str">
        <f t="shared" ca="1" si="204"/>
        <v/>
      </c>
      <c r="F971" s="152" t="str">
        <f ca="1">IF($A971="","",Returns!$I$969)</f>
        <v/>
      </c>
      <c r="G971" s="153" t="str">
        <f t="shared" ca="1" si="205"/>
        <v/>
      </c>
      <c r="H971" s="153" t="str">
        <f ca="1">IF($A971="","",MAX($G$7:G971))</f>
        <v/>
      </c>
      <c r="I971" s="154" t="str">
        <f t="shared" ca="1" si="206"/>
        <v/>
      </c>
      <c r="J971" s="59" t="str">
        <f t="shared" ca="1" si="207"/>
        <v/>
      </c>
      <c r="K971" s="3"/>
      <c r="L971" t="str">
        <f t="shared" ca="1" si="195"/>
        <v/>
      </c>
      <c r="M971" s="132" t="str">
        <f t="shared" ca="1" si="196"/>
        <v/>
      </c>
      <c r="N971" s="132" t="str">
        <f t="shared" ca="1" si="197"/>
        <v/>
      </c>
      <c r="P971" t="str">
        <f t="shared" ca="1" si="198"/>
        <v/>
      </c>
      <c r="Q971" s="133" t="str">
        <f t="shared" ca="1" si="199"/>
        <v/>
      </c>
      <c r="R971" s="133" t="str">
        <f t="shared" ca="1" si="200"/>
        <v/>
      </c>
      <c r="T971" t="str">
        <f t="shared" ca="1" si="201"/>
        <v/>
      </c>
      <c r="U971" s="134" t="str">
        <f t="shared" ca="1" si="202"/>
        <v/>
      </c>
    </row>
    <row r="972" spans="1:21" x14ac:dyDescent="0.3">
      <c r="A972" s="151" t="str">
        <f ca="1">Returns!$A$970</f>
        <v/>
      </c>
      <c r="B972" s="152" t="str">
        <f ca="1">IF($A972="","",Returns!$J$970)</f>
        <v/>
      </c>
      <c r="C972" s="153" t="str">
        <f t="shared" ca="1" si="203"/>
        <v/>
      </c>
      <c r="D972" s="153" t="str">
        <f ca="1">IF($A972="","",MAX($C$7:C972))</f>
        <v/>
      </c>
      <c r="E972" s="154" t="str">
        <f t="shared" ca="1" si="204"/>
        <v/>
      </c>
      <c r="F972" s="152" t="str">
        <f ca="1">IF($A972="","",Returns!$I$970)</f>
        <v/>
      </c>
      <c r="G972" s="153" t="str">
        <f t="shared" ca="1" si="205"/>
        <v/>
      </c>
      <c r="H972" s="153" t="str">
        <f ca="1">IF($A972="","",MAX($G$7:G972))</f>
        <v/>
      </c>
      <c r="I972" s="154" t="str">
        <f t="shared" ca="1" si="206"/>
        <v/>
      </c>
      <c r="J972" s="59" t="str">
        <f t="shared" ca="1" si="207"/>
        <v/>
      </c>
      <c r="K972" s="3"/>
      <c r="L972" t="str">
        <f t="shared" ca="1" si="195"/>
        <v/>
      </c>
      <c r="M972" s="132" t="str">
        <f t="shared" ca="1" si="196"/>
        <v/>
      </c>
      <c r="N972" s="132" t="str">
        <f t="shared" ca="1" si="197"/>
        <v/>
      </c>
      <c r="P972" t="str">
        <f t="shared" ca="1" si="198"/>
        <v/>
      </c>
      <c r="Q972" s="133" t="str">
        <f t="shared" ca="1" si="199"/>
        <v/>
      </c>
      <c r="R972" s="133" t="str">
        <f t="shared" ca="1" si="200"/>
        <v/>
      </c>
      <c r="T972" t="str">
        <f t="shared" ca="1" si="201"/>
        <v/>
      </c>
      <c r="U972" s="134" t="str">
        <f t="shared" ca="1" si="202"/>
        <v/>
      </c>
    </row>
    <row r="973" spans="1:21" x14ac:dyDescent="0.3">
      <c r="A973" s="151" t="str">
        <f ca="1">Returns!$A$971</f>
        <v/>
      </c>
      <c r="B973" s="152" t="str">
        <f ca="1">IF($A973="","",Returns!$J$971)</f>
        <v/>
      </c>
      <c r="C973" s="153" t="str">
        <f t="shared" ca="1" si="203"/>
        <v/>
      </c>
      <c r="D973" s="153" t="str">
        <f ca="1">IF($A973="","",MAX($C$7:C973))</f>
        <v/>
      </c>
      <c r="E973" s="154" t="str">
        <f t="shared" ca="1" si="204"/>
        <v/>
      </c>
      <c r="F973" s="152" t="str">
        <f ca="1">IF($A973="","",Returns!$I$971)</f>
        <v/>
      </c>
      <c r="G973" s="153" t="str">
        <f t="shared" ca="1" si="205"/>
        <v/>
      </c>
      <c r="H973" s="153" t="str">
        <f ca="1">IF($A973="","",MAX($G$7:G973))</f>
        <v/>
      </c>
      <c r="I973" s="154" t="str">
        <f t="shared" ca="1" si="206"/>
        <v/>
      </c>
      <c r="J973" s="59" t="str">
        <f t="shared" ca="1" si="207"/>
        <v/>
      </c>
      <c r="K973" s="3"/>
      <c r="L973" t="str">
        <f t="shared" ca="1" si="195"/>
        <v/>
      </c>
      <c r="M973" s="132" t="str">
        <f t="shared" ca="1" si="196"/>
        <v/>
      </c>
      <c r="N973" s="132" t="str">
        <f t="shared" ca="1" si="197"/>
        <v/>
      </c>
      <c r="P973" t="str">
        <f t="shared" ca="1" si="198"/>
        <v/>
      </c>
      <c r="Q973" s="133" t="str">
        <f t="shared" ca="1" si="199"/>
        <v/>
      </c>
      <c r="R973" s="133" t="str">
        <f t="shared" ca="1" si="200"/>
        <v/>
      </c>
      <c r="T973" t="str">
        <f t="shared" ca="1" si="201"/>
        <v/>
      </c>
      <c r="U973" s="134" t="str">
        <f t="shared" ca="1" si="202"/>
        <v/>
      </c>
    </row>
    <row r="974" spans="1:21" x14ac:dyDescent="0.3">
      <c r="A974" s="151" t="str">
        <f ca="1">Returns!$A$972</f>
        <v/>
      </c>
      <c r="B974" s="152" t="str">
        <f ca="1">IF($A974="","",Returns!$J$972)</f>
        <v/>
      </c>
      <c r="C974" s="153" t="str">
        <f t="shared" ca="1" si="203"/>
        <v/>
      </c>
      <c r="D974" s="153" t="str">
        <f ca="1">IF($A974="","",MAX($C$7:C974))</f>
        <v/>
      </c>
      <c r="E974" s="154" t="str">
        <f t="shared" ca="1" si="204"/>
        <v/>
      </c>
      <c r="F974" s="152" t="str">
        <f ca="1">IF($A974="","",Returns!$I$972)</f>
        <v/>
      </c>
      <c r="G974" s="153" t="str">
        <f t="shared" ca="1" si="205"/>
        <v/>
      </c>
      <c r="H974" s="153" t="str">
        <f ca="1">IF($A974="","",MAX($G$7:G974))</f>
        <v/>
      </c>
      <c r="I974" s="154" t="str">
        <f t="shared" ca="1" si="206"/>
        <v/>
      </c>
      <c r="J974" s="59" t="str">
        <f t="shared" ca="1" si="207"/>
        <v/>
      </c>
      <c r="K974" s="3"/>
      <c r="L974" t="str">
        <f t="shared" ca="1" si="195"/>
        <v/>
      </c>
      <c r="M974" s="132" t="str">
        <f t="shared" ca="1" si="196"/>
        <v/>
      </c>
      <c r="N974" s="132" t="str">
        <f t="shared" ca="1" si="197"/>
        <v/>
      </c>
      <c r="P974" t="str">
        <f t="shared" ca="1" si="198"/>
        <v/>
      </c>
      <c r="Q974" s="133" t="str">
        <f t="shared" ca="1" si="199"/>
        <v/>
      </c>
      <c r="R974" s="133" t="str">
        <f t="shared" ca="1" si="200"/>
        <v/>
      </c>
      <c r="T974" t="str">
        <f t="shared" ca="1" si="201"/>
        <v/>
      </c>
      <c r="U974" s="134" t="str">
        <f t="shared" ca="1" si="202"/>
        <v/>
      </c>
    </row>
    <row r="975" spans="1:21" x14ac:dyDescent="0.3">
      <c r="A975" s="151" t="str">
        <f ca="1">Returns!$A$973</f>
        <v/>
      </c>
      <c r="B975" s="152" t="str">
        <f ca="1">IF($A975="","",Returns!$J$973)</f>
        <v/>
      </c>
      <c r="C975" s="153" t="str">
        <f t="shared" ca="1" si="203"/>
        <v/>
      </c>
      <c r="D975" s="153" t="str">
        <f ca="1">IF($A975="","",MAX($C$7:C975))</f>
        <v/>
      </c>
      <c r="E975" s="154" t="str">
        <f t="shared" ca="1" si="204"/>
        <v/>
      </c>
      <c r="F975" s="152" t="str">
        <f ca="1">IF($A975="","",Returns!$I$973)</f>
        <v/>
      </c>
      <c r="G975" s="153" t="str">
        <f t="shared" ca="1" si="205"/>
        <v/>
      </c>
      <c r="H975" s="153" t="str">
        <f ca="1">IF($A975="","",MAX($G$7:G975))</f>
        <v/>
      </c>
      <c r="I975" s="154" t="str">
        <f t="shared" ca="1" si="206"/>
        <v/>
      </c>
      <c r="J975" s="59" t="str">
        <f t="shared" ca="1" si="207"/>
        <v/>
      </c>
      <c r="K975" s="3"/>
      <c r="L975" t="str">
        <f t="shared" ca="1" si="195"/>
        <v/>
      </c>
      <c r="M975" s="132" t="str">
        <f t="shared" ca="1" si="196"/>
        <v/>
      </c>
      <c r="N975" s="132" t="str">
        <f t="shared" ca="1" si="197"/>
        <v/>
      </c>
      <c r="P975" t="str">
        <f t="shared" ca="1" si="198"/>
        <v/>
      </c>
      <c r="Q975" s="133" t="str">
        <f t="shared" ca="1" si="199"/>
        <v/>
      </c>
      <c r="R975" s="133" t="str">
        <f t="shared" ca="1" si="200"/>
        <v/>
      </c>
      <c r="T975" t="str">
        <f t="shared" ca="1" si="201"/>
        <v/>
      </c>
      <c r="U975" s="134" t="str">
        <f t="shared" ca="1" si="202"/>
        <v/>
      </c>
    </row>
    <row r="976" spans="1:21" x14ac:dyDescent="0.3">
      <c r="A976" s="151" t="str">
        <f ca="1">Returns!$A$974</f>
        <v/>
      </c>
      <c r="B976" s="152" t="str">
        <f ca="1">IF($A976="","",Returns!$J$974)</f>
        <v/>
      </c>
      <c r="C976" s="153" t="str">
        <f t="shared" ca="1" si="203"/>
        <v/>
      </c>
      <c r="D976" s="153" t="str">
        <f ca="1">IF($A976="","",MAX($C$7:C976))</f>
        <v/>
      </c>
      <c r="E976" s="154" t="str">
        <f t="shared" ca="1" si="204"/>
        <v/>
      </c>
      <c r="F976" s="152" t="str">
        <f ca="1">IF($A976="","",Returns!$I$974)</f>
        <v/>
      </c>
      <c r="G976" s="153" t="str">
        <f t="shared" ca="1" si="205"/>
        <v/>
      </c>
      <c r="H976" s="153" t="str">
        <f ca="1">IF($A976="","",MAX($G$7:G976))</f>
        <v/>
      </c>
      <c r="I976" s="154" t="str">
        <f t="shared" ca="1" si="206"/>
        <v/>
      </c>
      <c r="J976" s="59" t="str">
        <f t="shared" ca="1" si="207"/>
        <v/>
      </c>
      <c r="K976" s="3"/>
      <c r="L976" t="str">
        <f t="shared" ca="1" si="195"/>
        <v/>
      </c>
      <c r="M976" s="132" t="str">
        <f t="shared" ca="1" si="196"/>
        <v/>
      </c>
      <c r="N976" s="132" t="str">
        <f t="shared" ca="1" si="197"/>
        <v/>
      </c>
      <c r="P976" t="str">
        <f t="shared" ca="1" si="198"/>
        <v/>
      </c>
      <c r="Q976" s="133" t="str">
        <f t="shared" ca="1" si="199"/>
        <v/>
      </c>
      <c r="R976" s="133" t="str">
        <f t="shared" ca="1" si="200"/>
        <v/>
      </c>
      <c r="T976" t="str">
        <f t="shared" ca="1" si="201"/>
        <v/>
      </c>
      <c r="U976" s="134" t="str">
        <f t="shared" ca="1" si="202"/>
        <v/>
      </c>
    </row>
    <row r="977" spans="1:21" x14ac:dyDescent="0.3">
      <c r="A977" s="151" t="str">
        <f ca="1">Returns!$A$975</f>
        <v/>
      </c>
      <c r="B977" s="152" t="str">
        <f ca="1">IF($A977="","",Returns!$J$975)</f>
        <v/>
      </c>
      <c r="C977" s="153" t="str">
        <f t="shared" ca="1" si="203"/>
        <v/>
      </c>
      <c r="D977" s="153" t="str">
        <f ca="1">IF($A977="","",MAX($C$7:C977))</f>
        <v/>
      </c>
      <c r="E977" s="154" t="str">
        <f t="shared" ca="1" si="204"/>
        <v/>
      </c>
      <c r="F977" s="152" t="str">
        <f ca="1">IF($A977="","",Returns!$I$975)</f>
        <v/>
      </c>
      <c r="G977" s="153" t="str">
        <f t="shared" ca="1" si="205"/>
        <v/>
      </c>
      <c r="H977" s="153" t="str">
        <f ca="1">IF($A977="","",MAX($G$7:G977))</f>
        <v/>
      </c>
      <c r="I977" s="154" t="str">
        <f t="shared" ca="1" si="206"/>
        <v/>
      </c>
      <c r="J977" s="59" t="str">
        <f t="shared" ca="1" si="207"/>
        <v/>
      </c>
      <c r="K977" s="3"/>
      <c r="L977" t="str">
        <f t="shared" ca="1" si="195"/>
        <v/>
      </c>
      <c r="M977" s="132" t="str">
        <f t="shared" ca="1" si="196"/>
        <v/>
      </c>
      <c r="N977" s="132" t="str">
        <f t="shared" ca="1" si="197"/>
        <v/>
      </c>
      <c r="P977" t="str">
        <f t="shared" ca="1" si="198"/>
        <v/>
      </c>
      <c r="Q977" s="133" t="str">
        <f t="shared" ca="1" si="199"/>
        <v/>
      </c>
      <c r="R977" s="133" t="str">
        <f t="shared" ca="1" si="200"/>
        <v/>
      </c>
      <c r="T977" t="str">
        <f t="shared" ca="1" si="201"/>
        <v/>
      </c>
      <c r="U977" s="134" t="str">
        <f t="shared" ca="1" si="202"/>
        <v/>
      </c>
    </row>
    <row r="978" spans="1:21" x14ac:dyDescent="0.3">
      <c r="A978" s="151" t="str">
        <f ca="1">Returns!$A$976</f>
        <v/>
      </c>
      <c r="B978" s="152" t="str">
        <f ca="1">IF($A978="","",Returns!$J$976)</f>
        <v/>
      </c>
      <c r="C978" s="153" t="str">
        <f t="shared" ca="1" si="203"/>
        <v/>
      </c>
      <c r="D978" s="153" t="str">
        <f ca="1">IF($A978="","",MAX($C$7:C978))</f>
        <v/>
      </c>
      <c r="E978" s="154" t="str">
        <f t="shared" ca="1" si="204"/>
        <v/>
      </c>
      <c r="F978" s="152" t="str">
        <f ca="1">IF($A978="","",Returns!$I$976)</f>
        <v/>
      </c>
      <c r="G978" s="153" t="str">
        <f t="shared" ca="1" si="205"/>
        <v/>
      </c>
      <c r="H978" s="153" t="str">
        <f ca="1">IF($A978="","",MAX($G$7:G978))</f>
        <v/>
      </c>
      <c r="I978" s="154" t="str">
        <f t="shared" ca="1" si="206"/>
        <v/>
      </c>
      <c r="J978" s="59" t="str">
        <f t="shared" ca="1" si="207"/>
        <v/>
      </c>
      <c r="K978" s="3"/>
      <c r="L978" t="str">
        <f t="shared" ca="1" si="195"/>
        <v/>
      </c>
      <c r="M978" s="132" t="str">
        <f t="shared" ca="1" si="196"/>
        <v/>
      </c>
      <c r="N978" s="132" t="str">
        <f t="shared" ca="1" si="197"/>
        <v/>
      </c>
      <c r="P978" t="str">
        <f t="shared" ca="1" si="198"/>
        <v/>
      </c>
      <c r="Q978" s="133" t="str">
        <f t="shared" ca="1" si="199"/>
        <v/>
      </c>
      <c r="R978" s="133" t="str">
        <f t="shared" ca="1" si="200"/>
        <v/>
      </c>
      <c r="T978" t="str">
        <f t="shared" ca="1" si="201"/>
        <v/>
      </c>
      <c r="U978" s="134" t="str">
        <f t="shared" ca="1" si="202"/>
        <v/>
      </c>
    </row>
    <row r="979" spans="1:21" x14ac:dyDescent="0.3">
      <c r="A979" s="151" t="str">
        <f ca="1">Returns!$A$977</f>
        <v/>
      </c>
      <c r="B979" s="152" t="str">
        <f ca="1">IF($A979="","",Returns!$J$977)</f>
        <v/>
      </c>
      <c r="C979" s="153" t="str">
        <f t="shared" ca="1" si="203"/>
        <v/>
      </c>
      <c r="D979" s="153" t="str">
        <f ca="1">IF($A979="","",MAX($C$7:C979))</f>
        <v/>
      </c>
      <c r="E979" s="154" t="str">
        <f t="shared" ca="1" si="204"/>
        <v/>
      </c>
      <c r="F979" s="152" t="str">
        <f ca="1">IF($A979="","",Returns!$I$977)</f>
        <v/>
      </c>
      <c r="G979" s="153" t="str">
        <f t="shared" ca="1" si="205"/>
        <v/>
      </c>
      <c r="H979" s="153" t="str">
        <f ca="1">IF($A979="","",MAX($G$7:G979))</f>
        <v/>
      </c>
      <c r="I979" s="154" t="str">
        <f t="shared" ca="1" si="206"/>
        <v/>
      </c>
      <c r="J979" s="59" t="str">
        <f t="shared" ca="1" si="207"/>
        <v/>
      </c>
      <c r="K979" s="3"/>
      <c r="L979" t="str">
        <f t="shared" ca="1" si="195"/>
        <v/>
      </c>
      <c r="M979" s="132" t="str">
        <f t="shared" ca="1" si="196"/>
        <v/>
      </c>
      <c r="N979" s="132" t="str">
        <f t="shared" ca="1" si="197"/>
        <v/>
      </c>
      <c r="P979" t="str">
        <f t="shared" ca="1" si="198"/>
        <v/>
      </c>
      <c r="Q979" s="133" t="str">
        <f t="shared" ca="1" si="199"/>
        <v/>
      </c>
      <c r="R979" s="133" t="str">
        <f t="shared" ca="1" si="200"/>
        <v/>
      </c>
      <c r="T979" t="str">
        <f t="shared" ca="1" si="201"/>
        <v/>
      </c>
      <c r="U979" s="134" t="str">
        <f t="shared" ca="1" si="202"/>
        <v/>
      </c>
    </row>
    <row r="980" spans="1:21" x14ac:dyDescent="0.3">
      <c r="A980" s="151" t="str">
        <f ca="1">Returns!$A$978</f>
        <v/>
      </c>
      <c r="B980" s="152" t="str">
        <f ca="1">IF($A980="","",Returns!$J$978)</f>
        <v/>
      </c>
      <c r="C980" s="153" t="str">
        <f t="shared" ca="1" si="203"/>
        <v/>
      </c>
      <c r="D980" s="153" t="str">
        <f ca="1">IF($A980="","",MAX($C$7:C980))</f>
        <v/>
      </c>
      <c r="E980" s="154" t="str">
        <f t="shared" ca="1" si="204"/>
        <v/>
      </c>
      <c r="F980" s="152" t="str">
        <f ca="1">IF($A980="","",Returns!$I$978)</f>
        <v/>
      </c>
      <c r="G980" s="153" t="str">
        <f t="shared" ca="1" si="205"/>
        <v/>
      </c>
      <c r="H980" s="153" t="str">
        <f ca="1">IF($A980="","",MAX($G$7:G980))</f>
        <v/>
      </c>
      <c r="I980" s="154" t="str">
        <f t="shared" ca="1" si="206"/>
        <v/>
      </c>
      <c r="J980" s="59" t="str">
        <f t="shared" ca="1" si="207"/>
        <v/>
      </c>
      <c r="K980" s="3"/>
      <c r="L980" t="str">
        <f t="shared" ca="1" si="195"/>
        <v/>
      </c>
      <c r="M980" s="132" t="str">
        <f t="shared" ca="1" si="196"/>
        <v/>
      </c>
      <c r="N980" s="132" t="str">
        <f t="shared" ca="1" si="197"/>
        <v/>
      </c>
      <c r="P980" t="str">
        <f t="shared" ca="1" si="198"/>
        <v/>
      </c>
      <c r="Q980" s="133" t="str">
        <f t="shared" ca="1" si="199"/>
        <v/>
      </c>
      <c r="R980" s="133" t="str">
        <f t="shared" ca="1" si="200"/>
        <v/>
      </c>
      <c r="T980" t="str">
        <f t="shared" ca="1" si="201"/>
        <v/>
      </c>
      <c r="U980" s="134" t="str">
        <f t="shared" ca="1" si="202"/>
        <v/>
      </c>
    </row>
    <row r="981" spans="1:21" x14ac:dyDescent="0.3">
      <c r="A981" s="151" t="str">
        <f ca="1">Returns!$A$979</f>
        <v/>
      </c>
      <c r="B981" s="152" t="str">
        <f ca="1">IF($A981="","",Returns!$J$979)</f>
        <v/>
      </c>
      <c r="C981" s="153" t="str">
        <f t="shared" ca="1" si="203"/>
        <v/>
      </c>
      <c r="D981" s="153" t="str">
        <f ca="1">IF($A981="","",MAX($C$7:C981))</f>
        <v/>
      </c>
      <c r="E981" s="154" t="str">
        <f t="shared" ca="1" si="204"/>
        <v/>
      </c>
      <c r="F981" s="152" t="str">
        <f ca="1">IF($A981="","",Returns!$I$979)</f>
        <v/>
      </c>
      <c r="G981" s="153" t="str">
        <f t="shared" ca="1" si="205"/>
        <v/>
      </c>
      <c r="H981" s="153" t="str">
        <f ca="1">IF($A981="","",MAX($G$7:G981))</f>
        <v/>
      </c>
      <c r="I981" s="154" t="str">
        <f t="shared" ca="1" si="206"/>
        <v/>
      </c>
      <c r="J981" s="59" t="str">
        <f t="shared" ca="1" si="207"/>
        <v/>
      </c>
      <c r="K981" s="3"/>
      <c r="L981" t="str">
        <f t="shared" ca="1" si="195"/>
        <v/>
      </c>
      <c r="M981" s="132" t="str">
        <f t="shared" ca="1" si="196"/>
        <v/>
      </c>
      <c r="N981" s="132" t="str">
        <f t="shared" ca="1" si="197"/>
        <v/>
      </c>
      <c r="P981" t="str">
        <f t="shared" ca="1" si="198"/>
        <v/>
      </c>
      <c r="Q981" s="133" t="str">
        <f t="shared" ca="1" si="199"/>
        <v/>
      </c>
      <c r="R981" s="133" t="str">
        <f t="shared" ca="1" si="200"/>
        <v/>
      </c>
      <c r="T981" t="str">
        <f t="shared" ca="1" si="201"/>
        <v/>
      </c>
      <c r="U981" s="134" t="str">
        <f t="shared" ca="1" si="202"/>
        <v/>
      </c>
    </row>
    <row r="982" spans="1:21" x14ac:dyDescent="0.3">
      <c r="A982" s="151" t="str">
        <f ca="1">Returns!$A$980</f>
        <v/>
      </c>
      <c r="B982" s="152" t="str">
        <f ca="1">IF($A982="","",Returns!$J$980)</f>
        <v/>
      </c>
      <c r="C982" s="153" t="str">
        <f t="shared" ca="1" si="203"/>
        <v/>
      </c>
      <c r="D982" s="153" t="str">
        <f ca="1">IF($A982="","",MAX($C$7:C982))</f>
        <v/>
      </c>
      <c r="E982" s="154" t="str">
        <f t="shared" ca="1" si="204"/>
        <v/>
      </c>
      <c r="F982" s="152" t="str">
        <f ca="1">IF($A982="","",Returns!$I$980)</f>
        <v/>
      </c>
      <c r="G982" s="153" t="str">
        <f t="shared" ca="1" si="205"/>
        <v/>
      </c>
      <c r="H982" s="153" t="str">
        <f ca="1">IF($A982="","",MAX($G$7:G982))</f>
        <v/>
      </c>
      <c r="I982" s="154" t="str">
        <f t="shared" ca="1" si="206"/>
        <v/>
      </c>
      <c r="J982" s="59" t="str">
        <f t="shared" ca="1" si="207"/>
        <v/>
      </c>
      <c r="K982" s="3"/>
      <c r="L982" t="str">
        <f t="shared" ca="1" si="195"/>
        <v/>
      </c>
      <c r="M982" s="132" t="str">
        <f t="shared" ca="1" si="196"/>
        <v/>
      </c>
      <c r="N982" s="132" t="str">
        <f t="shared" ca="1" si="197"/>
        <v/>
      </c>
      <c r="P982" t="str">
        <f t="shared" ca="1" si="198"/>
        <v/>
      </c>
      <c r="Q982" s="133" t="str">
        <f t="shared" ca="1" si="199"/>
        <v/>
      </c>
      <c r="R982" s="133" t="str">
        <f t="shared" ca="1" si="200"/>
        <v/>
      </c>
      <c r="T982" t="str">
        <f t="shared" ca="1" si="201"/>
        <v/>
      </c>
      <c r="U982" s="134" t="str">
        <f t="shared" ca="1" si="202"/>
        <v/>
      </c>
    </row>
    <row r="983" spans="1:21" x14ac:dyDescent="0.3">
      <c r="A983" s="151" t="str">
        <f ca="1">Returns!$A$981</f>
        <v/>
      </c>
      <c r="B983" s="152" t="str">
        <f ca="1">IF($A983="","",Returns!$J$981)</f>
        <v/>
      </c>
      <c r="C983" s="153" t="str">
        <f t="shared" ca="1" si="203"/>
        <v/>
      </c>
      <c r="D983" s="153" t="str">
        <f ca="1">IF($A983="","",MAX($C$7:C983))</f>
        <v/>
      </c>
      <c r="E983" s="154" t="str">
        <f t="shared" ca="1" si="204"/>
        <v/>
      </c>
      <c r="F983" s="152" t="str">
        <f ca="1">IF($A983="","",Returns!$I$981)</f>
        <v/>
      </c>
      <c r="G983" s="153" t="str">
        <f t="shared" ca="1" si="205"/>
        <v/>
      </c>
      <c r="H983" s="153" t="str">
        <f ca="1">IF($A983="","",MAX($G$7:G983))</f>
        <v/>
      </c>
      <c r="I983" s="154" t="str">
        <f t="shared" ca="1" si="206"/>
        <v/>
      </c>
      <c r="J983" s="59" t="str">
        <f t="shared" ca="1" si="207"/>
        <v/>
      </c>
      <c r="K983" s="3"/>
      <c r="L983" t="str">
        <f t="shared" ca="1" si="195"/>
        <v/>
      </c>
      <c r="M983" s="132" t="str">
        <f t="shared" ca="1" si="196"/>
        <v/>
      </c>
      <c r="N983" s="132" t="str">
        <f t="shared" ca="1" si="197"/>
        <v/>
      </c>
      <c r="P983" t="str">
        <f t="shared" ca="1" si="198"/>
        <v/>
      </c>
      <c r="Q983" s="133" t="str">
        <f t="shared" ca="1" si="199"/>
        <v/>
      </c>
      <c r="R983" s="133" t="str">
        <f t="shared" ca="1" si="200"/>
        <v/>
      </c>
      <c r="T983" t="str">
        <f t="shared" ca="1" si="201"/>
        <v/>
      </c>
      <c r="U983" s="134" t="str">
        <f t="shared" ca="1" si="202"/>
        <v/>
      </c>
    </row>
    <row r="984" spans="1:21" x14ac:dyDescent="0.3">
      <c r="A984" s="151" t="str">
        <f ca="1">Returns!$A$982</f>
        <v/>
      </c>
      <c r="B984" s="152" t="str">
        <f ca="1">IF($A984="","",Returns!$J$982)</f>
        <v/>
      </c>
      <c r="C984" s="153" t="str">
        <f t="shared" ca="1" si="203"/>
        <v/>
      </c>
      <c r="D984" s="153" t="str">
        <f ca="1">IF($A984="","",MAX($C$7:C984))</f>
        <v/>
      </c>
      <c r="E984" s="154" t="str">
        <f t="shared" ca="1" si="204"/>
        <v/>
      </c>
      <c r="F984" s="152" t="str">
        <f ca="1">IF($A984="","",Returns!$I$982)</f>
        <v/>
      </c>
      <c r="G984" s="153" t="str">
        <f t="shared" ca="1" si="205"/>
        <v/>
      </c>
      <c r="H984" s="153" t="str">
        <f ca="1">IF($A984="","",MAX($G$7:G984))</f>
        <v/>
      </c>
      <c r="I984" s="154" t="str">
        <f t="shared" ca="1" si="206"/>
        <v/>
      </c>
      <c r="J984" s="59" t="str">
        <f t="shared" ca="1" si="207"/>
        <v/>
      </c>
      <c r="K984" s="3"/>
      <c r="L984" t="str">
        <f t="shared" ca="1" si="195"/>
        <v/>
      </c>
      <c r="M984" s="132" t="str">
        <f t="shared" ca="1" si="196"/>
        <v/>
      </c>
      <c r="N984" s="132" t="str">
        <f t="shared" ca="1" si="197"/>
        <v/>
      </c>
      <c r="P984" t="str">
        <f t="shared" ca="1" si="198"/>
        <v/>
      </c>
      <c r="Q984" s="133" t="str">
        <f t="shared" ca="1" si="199"/>
        <v/>
      </c>
      <c r="R984" s="133" t="str">
        <f t="shared" ca="1" si="200"/>
        <v/>
      </c>
      <c r="T984" t="str">
        <f t="shared" ca="1" si="201"/>
        <v/>
      </c>
      <c r="U984" s="134" t="str">
        <f t="shared" ca="1" si="202"/>
        <v/>
      </c>
    </row>
    <row r="985" spans="1:21" x14ac:dyDescent="0.3">
      <c r="A985" s="151" t="str">
        <f ca="1">Returns!$A$983</f>
        <v/>
      </c>
      <c r="B985" s="152" t="str">
        <f ca="1">IF($A985="","",Returns!$J$983)</f>
        <v/>
      </c>
      <c r="C985" s="153" t="str">
        <f t="shared" ca="1" si="203"/>
        <v/>
      </c>
      <c r="D985" s="153" t="str">
        <f ca="1">IF($A985="","",MAX($C$7:C985))</f>
        <v/>
      </c>
      <c r="E985" s="154" t="str">
        <f t="shared" ca="1" si="204"/>
        <v/>
      </c>
      <c r="F985" s="152" t="str">
        <f ca="1">IF($A985="","",Returns!$I$983)</f>
        <v/>
      </c>
      <c r="G985" s="153" t="str">
        <f t="shared" ca="1" si="205"/>
        <v/>
      </c>
      <c r="H985" s="153" t="str">
        <f ca="1">IF($A985="","",MAX($G$7:G985))</f>
        <v/>
      </c>
      <c r="I985" s="154" t="str">
        <f t="shared" ca="1" si="206"/>
        <v/>
      </c>
      <c r="J985" s="59" t="str">
        <f t="shared" ca="1" si="207"/>
        <v/>
      </c>
      <c r="K985" s="3"/>
      <c r="L985" t="str">
        <f t="shared" ca="1" si="195"/>
        <v/>
      </c>
      <c r="M985" s="132" t="str">
        <f t="shared" ca="1" si="196"/>
        <v/>
      </c>
      <c r="N985" s="132" t="str">
        <f t="shared" ca="1" si="197"/>
        <v/>
      </c>
      <c r="P985" t="str">
        <f t="shared" ca="1" si="198"/>
        <v/>
      </c>
      <c r="Q985" s="133" t="str">
        <f t="shared" ca="1" si="199"/>
        <v/>
      </c>
      <c r="R985" s="133" t="str">
        <f t="shared" ca="1" si="200"/>
        <v/>
      </c>
      <c r="T985" t="str">
        <f t="shared" ca="1" si="201"/>
        <v/>
      </c>
      <c r="U985" s="134" t="str">
        <f t="shared" ca="1" si="202"/>
        <v/>
      </c>
    </row>
    <row r="986" spans="1:21" x14ac:dyDescent="0.3">
      <c r="A986" s="151" t="str">
        <f ca="1">Returns!$A$984</f>
        <v/>
      </c>
      <c r="B986" s="152" t="str">
        <f ca="1">IF($A986="","",Returns!$J$984)</f>
        <v/>
      </c>
      <c r="C986" s="153" t="str">
        <f t="shared" ca="1" si="203"/>
        <v/>
      </c>
      <c r="D986" s="153" t="str">
        <f ca="1">IF($A986="","",MAX($C$7:C986))</f>
        <v/>
      </c>
      <c r="E986" s="154" t="str">
        <f t="shared" ca="1" si="204"/>
        <v/>
      </c>
      <c r="F986" s="152" t="str">
        <f ca="1">IF($A986="","",Returns!$I$984)</f>
        <v/>
      </c>
      <c r="G986" s="153" t="str">
        <f t="shared" ca="1" si="205"/>
        <v/>
      </c>
      <c r="H986" s="153" t="str">
        <f ca="1">IF($A986="","",MAX($G$7:G986))</f>
        <v/>
      </c>
      <c r="I986" s="154" t="str">
        <f t="shared" ca="1" si="206"/>
        <v/>
      </c>
      <c r="J986" s="59" t="str">
        <f t="shared" ca="1" si="207"/>
        <v/>
      </c>
      <c r="K986" s="3"/>
      <c r="L986" t="str">
        <f t="shared" ca="1" si="195"/>
        <v/>
      </c>
      <c r="M986" s="132" t="str">
        <f t="shared" ca="1" si="196"/>
        <v/>
      </c>
      <c r="N986" s="132" t="str">
        <f t="shared" ca="1" si="197"/>
        <v/>
      </c>
      <c r="P986" t="str">
        <f t="shared" ca="1" si="198"/>
        <v/>
      </c>
      <c r="Q986" s="133" t="str">
        <f t="shared" ca="1" si="199"/>
        <v/>
      </c>
      <c r="R986" s="133" t="str">
        <f t="shared" ca="1" si="200"/>
        <v/>
      </c>
      <c r="T986" t="str">
        <f t="shared" ca="1" si="201"/>
        <v/>
      </c>
      <c r="U986" s="134" t="str">
        <f t="shared" ca="1" si="202"/>
        <v/>
      </c>
    </row>
    <row r="987" spans="1:21" x14ac:dyDescent="0.3">
      <c r="A987" s="151" t="str">
        <f ca="1">Returns!$A$985</f>
        <v/>
      </c>
      <c r="B987" s="152" t="str">
        <f ca="1">IF($A987="","",Returns!$J$985)</f>
        <v/>
      </c>
      <c r="C987" s="153" t="str">
        <f t="shared" ca="1" si="203"/>
        <v/>
      </c>
      <c r="D987" s="153" t="str">
        <f ca="1">IF($A987="","",MAX($C$7:C987))</f>
        <v/>
      </c>
      <c r="E987" s="154" t="str">
        <f t="shared" ca="1" si="204"/>
        <v/>
      </c>
      <c r="F987" s="152" t="str">
        <f ca="1">IF($A987="","",Returns!$I$985)</f>
        <v/>
      </c>
      <c r="G987" s="153" t="str">
        <f t="shared" ca="1" si="205"/>
        <v/>
      </c>
      <c r="H987" s="153" t="str">
        <f ca="1">IF($A987="","",MAX($G$7:G987))</f>
        <v/>
      </c>
      <c r="I987" s="154" t="str">
        <f t="shared" ca="1" si="206"/>
        <v/>
      </c>
      <c r="J987" s="59" t="str">
        <f t="shared" ca="1" si="207"/>
        <v/>
      </c>
      <c r="K987" s="3"/>
      <c r="L987" t="str">
        <f t="shared" ca="1" si="195"/>
        <v/>
      </c>
      <c r="M987" s="132" t="str">
        <f t="shared" ca="1" si="196"/>
        <v/>
      </c>
      <c r="N987" s="132" t="str">
        <f t="shared" ca="1" si="197"/>
        <v/>
      </c>
      <c r="P987" t="str">
        <f t="shared" ca="1" si="198"/>
        <v/>
      </c>
      <c r="Q987" s="133" t="str">
        <f t="shared" ca="1" si="199"/>
        <v/>
      </c>
      <c r="R987" s="133" t="str">
        <f t="shared" ca="1" si="200"/>
        <v/>
      </c>
      <c r="T987" t="str">
        <f t="shared" ca="1" si="201"/>
        <v/>
      </c>
      <c r="U987" s="134" t="str">
        <f t="shared" ca="1" si="202"/>
        <v/>
      </c>
    </row>
    <row r="988" spans="1:21" x14ac:dyDescent="0.3">
      <c r="A988" s="151" t="str">
        <f ca="1">Returns!$A$986</f>
        <v/>
      </c>
      <c r="B988" s="152" t="str">
        <f ca="1">IF($A988="","",Returns!$J$986)</f>
        <v/>
      </c>
      <c r="C988" s="153" t="str">
        <f t="shared" ca="1" si="203"/>
        <v/>
      </c>
      <c r="D988" s="153" t="str">
        <f ca="1">IF($A988="","",MAX($C$7:C988))</f>
        <v/>
      </c>
      <c r="E988" s="154" t="str">
        <f t="shared" ca="1" si="204"/>
        <v/>
      </c>
      <c r="F988" s="152" t="str">
        <f ca="1">IF($A988="","",Returns!$I$986)</f>
        <v/>
      </c>
      <c r="G988" s="153" t="str">
        <f t="shared" ca="1" si="205"/>
        <v/>
      </c>
      <c r="H988" s="153" t="str">
        <f ca="1">IF($A988="","",MAX($G$7:G988))</f>
        <v/>
      </c>
      <c r="I988" s="154" t="str">
        <f t="shared" ca="1" si="206"/>
        <v/>
      </c>
      <c r="J988" s="59" t="str">
        <f t="shared" ca="1" si="207"/>
        <v/>
      </c>
      <c r="K988" s="3"/>
      <c r="L988" t="str">
        <f t="shared" ca="1" si="195"/>
        <v/>
      </c>
      <c r="M988" s="132" t="str">
        <f t="shared" ca="1" si="196"/>
        <v/>
      </c>
      <c r="N988" s="132" t="str">
        <f t="shared" ca="1" si="197"/>
        <v/>
      </c>
      <c r="P988" t="str">
        <f t="shared" ca="1" si="198"/>
        <v/>
      </c>
      <c r="Q988" s="133" t="str">
        <f t="shared" ca="1" si="199"/>
        <v/>
      </c>
      <c r="R988" s="133" t="str">
        <f t="shared" ca="1" si="200"/>
        <v/>
      </c>
      <c r="T988" t="str">
        <f t="shared" ca="1" si="201"/>
        <v/>
      </c>
      <c r="U988" s="134" t="str">
        <f t="shared" ca="1" si="202"/>
        <v/>
      </c>
    </row>
    <row r="989" spans="1:21" x14ac:dyDescent="0.3">
      <c r="A989" s="151" t="str">
        <f ca="1">Returns!$A$987</f>
        <v/>
      </c>
      <c r="B989" s="152" t="str">
        <f ca="1">IF($A989="","",Returns!$J$987)</f>
        <v/>
      </c>
      <c r="C989" s="153" t="str">
        <f t="shared" ca="1" si="203"/>
        <v/>
      </c>
      <c r="D989" s="153" t="str">
        <f ca="1">IF($A989="","",MAX($C$7:C989))</f>
        <v/>
      </c>
      <c r="E989" s="154" t="str">
        <f t="shared" ca="1" si="204"/>
        <v/>
      </c>
      <c r="F989" s="152" t="str">
        <f ca="1">IF($A989="","",Returns!$I$987)</f>
        <v/>
      </c>
      <c r="G989" s="153" t="str">
        <f t="shared" ca="1" si="205"/>
        <v/>
      </c>
      <c r="H989" s="153" t="str">
        <f ca="1">IF($A989="","",MAX($G$7:G989))</f>
        <v/>
      </c>
      <c r="I989" s="154" t="str">
        <f t="shared" ca="1" si="206"/>
        <v/>
      </c>
      <c r="J989" s="59" t="str">
        <f t="shared" ca="1" si="207"/>
        <v/>
      </c>
      <c r="K989" s="3"/>
      <c r="L989" t="str">
        <f t="shared" ca="1" si="195"/>
        <v/>
      </c>
      <c r="M989" s="132" t="str">
        <f t="shared" ca="1" si="196"/>
        <v/>
      </c>
      <c r="N989" s="132" t="str">
        <f t="shared" ca="1" si="197"/>
        <v/>
      </c>
      <c r="P989" t="str">
        <f t="shared" ca="1" si="198"/>
        <v/>
      </c>
      <c r="Q989" s="133" t="str">
        <f t="shared" ca="1" si="199"/>
        <v/>
      </c>
      <c r="R989" s="133" t="str">
        <f t="shared" ca="1" si="200"/>
        <v/>
      </c>
      <c r="T989" t="str">
        <f t="shared" ca="1" si="201"/>
        <v/>
      </c>
      <c r="U989" s="134" t="str">
        <f t="shared" ca="1" si="202"/>
        <v/>
      </c>
    </row>
    <row r="990" spans="1:21" x14ac:dyDescent="0.3">
      <c r="A990" s="151" t="str">
        <f ca="1">Returns!$A$988</f>
        <v/>
      </c>
      <c r="B990" s="152" t="str">
        <f ca="1">IF($A990="","",Returns!$J$988)</f>
        <v/>
      </c>
      <c r="C990" s="153" t="str">
        <f t="shared" ca="1" si="203"/>
        <v/>
      </c>
      <c r="D990" s="153" t="str">
        <f ca="1">IF($A990="","",MAX($C$7:C990))</f>
        <v/>
      </c>
      <c r="E990" s="154" t="str">
        <f t="shared" ca="1" si="204"/>
        <v/>
      </c>
      <c r="F990" s="152" t="str">
        <f ca="1">IF($A990="","",Returns!$I$988)</f>
        <v/>
      </c>
      <c r="G990" s="153" t="str">
        <f t="shared" ca="1" si="205"/>
        <v/>
      </c>
      <c r="H990" s="153" t="str">
        <f ca="1">IF($A990="","",MAX($G$7:G990))</f>
        <v/>
      </c>
      <c r="I990" s="154" t="str">
        <f t="shared" ca="1" si="206"/>
        <v/>
      </c>
      <c r="J990" s="59" t="str">
        <f t="shared" ca="1" si="207"/>
        <v/>
      </c>
      <c r="K990" s="3"/>
      <c r="L990" t="str">
        <f t="shared" ca="1" si="195"/>
        <v/>
      </c>
      <c r="M990" s="132" t="str">
        <f t="shared" ca="1" si="196"/>
        <v/>
      </c>
      <c r="N990" s="132" t="str">
        <f t="shared" ca="1" si="197"/>
        <v/>
      </c>
      <c r="P990" t="str">
        <f t="shared" ca="1" si="198"/>
        <v/>
      </c>
      <c r="Q990" s="133" t="str">
        <f t="shared" ca="1" si="199"/>
        <v/>
      </c>
      <c r="R990" s="133" t="str">
        <f t="shared" ca="1" si="200"/>
        <v/>
      </c>
      <c r="T990" t="str">
        <f t="shared" ca="1" si="201"/>
        <v/>
      </c>
      <c r="U990" s="134" t="str">
        <f t="shared" ca="1" si="202"/>
        <v/>
      </c>
    </row>
    <row r="991" spans="1:21" x14ac:dyDescent="0.3">
      <c r="A991" s="151" t="str">
        <f ca="1">Returns!$A$989</f>
        <v/>
      </c>
      <c r="B991" s="152" t="str">
        <f ca="1">IF($A991="","",Returns!$J$989)</f>
        <v/>
      </c>
      <c r="C991" s="153" t="str">
        <f t="shared" ca="1" si="203"/>
        <v/>
      </c>
      <c r="D991" s="153" t="str">
        <f ca="1">IF($A991="","",MAX($C$7:C991))</f>
        <v/>
      </c>
      <c r="E991" s="154" t="str">
        <f t="shared" ca="1" si="204"/>
        <v/>
      </c>
      <c r="F991" s="152" t="str">
        <f ca="1">IF($A991="","",Returns!$I$989)</f>
        <v/>
      </c>
      <c r="G991" s="153" t="str">
        <f t="shared" ca="1" si="205"/>
        <v/>
      </c>
      <c r="H991" s="153" t="str">
        <f ca="1">IF($A991="","",MAX($G$7:G991))</f>
        <v/>
      </c>
      <c r="I991" s="154" t="str">
        <f t="shared" ca="1" si="206"/>
        <v/>
      </c>
      <c r="J991" s="59" t="str">
        <f t="shared" ca="1" si="207"/>
        <v/>
      </c>
      <c r="K991" s="3"/>
      <c r="L991" t="str">
        <f t="shared" ca="1" si="195"/>
        <v/>
      </c>
      <c r="M991" s="132" t="str">
        <f t="shared" ca="1" si="196"/>
        <v/>
      </c>
      <c r="N991" s="132" t="str">
        <f t="shared" ca="1" si="197"/>
        <v/>
      </c>
      <c r="P991" t="str">
        <f t="shared" ca="1" si="198"/>
        <v/>
      </c>
      <c r="Q991" s="133" t="str">
        <f t="shared" ca="1" si="199"/>
        <v/>
      </c>
      <c r="R991" s="133" t="str">
        <f t="shared" ca="1" si="200"/>
        <v/>
      </c>
      <c r="T991" t="str">
        <f t="shared" ca="1" si="201"/>
        <v/>
      </c>
      <c r="U991" s="134" t="str">
        <f t="shared" ca="1" si="202"/>
        <v/>
      </c>
    </row>
    <row r="992" spans="1:21" x14ac:dyDescent="0.3">
      <c r="A992" s="151" t="str">
        <f ca="1">Returns!$A$990</f>
        <v/>
      </c>
      <c r="B992" s="152" t="str">
        <f ca="1">IF($A992="","",Returns!$J$990)</f>
        <v/>
      </c>
      <c r="C992" s="153" t="str">
        <f t="shared" ca="1" si="203"/>
        <v/>
      </c>
      <c r="D992" s="153" t="str">
        <f ca="1">IF($A992="","",MAX($C$7:C992))</f>
        <v/>
      </c>
      <c r="E992" s="154" t="str">
        <f t="shared" ca="1" si="204"/>
        <v/>
      </c>
      <c r="F992" s="152" t="str">
        <f ca="1">IF($A992="","",Returns!$I$990)</f>
        <v/>
      </c>
      <c r="G992" s="153" t="str">
        <f t="shared" ca="1" si="205"/>
        <v/>
      </c>
      <c r="H992" s="153" t="str">
        <f ca="1">IF($A992="","",MAX($G$7:G992))</f>
        <v/>
      </c>
      <c r="I992" s="154" t="str">
        <f t="shared" ca="1" si="206"/>
        <v/>
      </c>
      <c r="J992" s="59" t="str">
        <f t="shared" ca="1" si="207"/>
        <v/>
      </c>
      <c r="K992" s="3"/>
      <c r="L992" t="str">
        <f t="shared" ca="1" si="195"/>
        <v/>
      </c>
      <c r="M992" s="132" t="str">
        <f t="shared" ca="1" si="196"/>
        <v/>
      </c>
      <c r="N992" s="132" t="str">
        <f t="shared" ca="1" si="197"/>
        <v/>
      </c>
      <c r="P992" t="str">
        <f t="shared" ca="1" si="198"/>
        <v/>
      </c>
      <c r="Q992" s="133" t="str">
        <f t="shared" ca="1" si="199"/>
        <v/>
      </c>
      <c r="R992" s="133" t="str">
        <f t="shared" ca="1" si="200"/>
        <v/>
      </c>
      <c r="T992" t="str">
        <f t="shared" ca="1" si="201"/>
        <v/>
      </c>
      <c r="U992" s="134" t="str">
        <f t="shared" ca="1" si="202"/>
        <v/>
      </c>
    </row>
    <row r="993" spans="1:24" x14ac:dyDescent="0.3">
      <c r="A993" s="151" t="str">
        <f ca="1">Returns!$A$991</f>
        <v/>
      </c>
      <c r="B993" s="152" t="str">
        <f ca="1">IF($A993="","",Returns!$J$991)</f>
        <v/>
      </c>
      <c r="C993" s="153" t="str">
        <f t="shared" ca="1" si="203"/>
        <v/>
      </c>
      <c r="D993" s="153" t="str">
        <f ca="1">IF($A993="","",MAX($C$7:C993))</f>
        <v/>
      </c>
      <c r="E993" s="154" t="str">
        <f t="shared" ca="1" si="204"/>
        <v/>
      </c>
      <c r="F993" s="152" t="str">
        <f ca="1">IF($A993="","",Returns!$I$991)</f>
        <v/>
      </c>
      <c r="G993" s="153" t="str">
        <f t="shared" ca="1" si="205"/>
        <v/>
      </c>
      <c r="H993" s="153" t="str">
        <f ca="1">IF($A993="","",MAX($G$7:G993))</f>
        <v/>
      </c>
      <c r="I993" s="154" t="str">
        <f t="shared" ca="1" si="206"/>
        <v/>
      </c>
      <c r="J993" s="59" t="str">
        <f t="shared" ca="1" si="207"/>
        <v/>
      </c>
      <c r="K993" s="3"/>
      <c r="L993" t="str">
        <f t="shared" ca="1" si="195"/>
        <v/>
      </c>
      <c r="M993" s="132" t="str">
        <f t="shared" ca="1" si="196"/>
        <v/>
      </c>
      <c r="N993" s="132" t="str">
        <f t="shared" ca="1" si="197"/>
        <v/>
      </c>
      <c r="P993" t="str">
        <f t="shared" ca="1" si="198"/>
        <v/>
      </c>
      <c r="Q993" s="133" t="str">
        <f t="shared" ca="1" si="199"/>
        <v/>
      </c>
      <c r="R993" s="133" t="str">
        <f t="shared" ca="1" si="200"/>
        <v/>
      </c>
      <c r="T993" t="str">
        <f t="shared" ca="1" si="201"/>
        <v/>
      </c>
      <c r="U993" s="134" t="str">
        <f t="shared" ca="1" si="202"/>
        <v/>
      </c>
    </row>
    <row r="994" spans="1:24" x14ac:dyDescent="0.3">
      <c r="A994" s="151" t="str">
        <f ca="1">Returns!$A$992</f>
        <v/>
      </c>
      <c r="B994" s="152" t="str">
        <f ca="1">IF($A994="","",Returns!$J$992)</f>
        <v/>
      </c>
      <c r="C994" s="153" t="str">
        <f t="shared" ca="1" si="203"/>
        <v/>
      </c>
      <c r="D994" s="153" t="str">
        <f ca="1">IF($A994="","",MAX($C$7:C994))</f>
        <v/>
      </c>
      <c r="E994" s="154" t="str">
        <f t="shared" ca="1" si="204"/>
        <v/>
      </c>
      <c r="F994" s="152" t="str">
        <f ca="1">IF($A994="","",Returns!$I$992)</f>
        <v/>
      </c>
      <c r="G994" s="153" t="str">
        <f t="shared" ca="1" si="205"/>
        <v/>
      </c>
      <c r="H994" s="153" t="str">
        <f ca="1">IF($A994="","",MAX($G$7:G994))</f>
        <v/>
      </c>
      <c r="I994" s="154" t="str">
        <f t="shared" ca="1" si="206"/>
        <v/>
      </c>
      <c r="J994" s="59" t="str">
        <f t="shared" ca="1" si="207"/>
        <v/>
      </c>
      <c r="K994" s="3"/>
      <c r="L994" t="str">
        <f t="shared" ca="1" si="195"/>
        <v/>
      </c>
      <c r="M994" s="132" t="str">
        <f t="shared" ca="1" si="196"/>
        <v/>
      </c>
      <c r="N994" s="132" t="str">
        <f t="shared" ca="1" si="197"/>
        <v/>
      </c>
      <c r="P994" t="str">
        <f t="shared" ca="1" si="198"/>
        <v/>
      </c>
      <c r="Q994" s="133" t="str">
        <f t="shared" ca="1" si="199"/>
        <v/>
      </c>
      <c r="R994" s="133" t="str">
        <f t="shared" ca="1" si="200"/>
        <v/>
      </c>
      <c r="T994" t="str">
        <f t="shared" ca="1" si="201"/>
        <v/>
      </c>
      <c r="U994" s="134" t="str">
        <f t="shared" ca="1" si="202"/>
        <v/>
      </c>
    </row>
    <row r="995" spans="1:24" x14ac:dyDescent="0.3">
      <c r="A995" s="151" t="str">
        <f ca="1">Returns!$A$993</f>
        <v/>
      </c>
      <c r="B995" s="152" t="str">
        <f ca="1">IF($A995="","",Returns!$J$993)</f>
        <v/>
      </c>
      <c r="C995" s="153" t="str">
        <f t="shared" ca="1" si="203"/>
        <v/>
      </c>
      <c r="D995" s="153" t="str">
        <f ca="1">IF($A995="","",MAX($C$7:C995))</f>
        <v/>
      </c>
      <c r="E995" s="154" t="str">
        <f t="shared" ca="1" si="204"/>
        <v/>
      </c>
      <c r="F995" s="152" t="str">
        <f ca="1">IF($A995="","",Returns!$I$993)</f>
        <v/>
      </c>
      <c r="G995" s="153" t="str">
        <f t="shared" ca="1" si="205"/>
        <v/>
      </c>
      <c r="H995" s="153" t="str">
        <f ca="1">IF($A995="","",MAX($G$7:G995))</f>
        <v/>
      </c>
      <c r="I995" s="154" t="str">
        <f t="shared" ca="1" si="206"/>
        <v/>
      </c>
      <c r="J995" s="59" t="str">
        <f t="shared" ca="1" si="207"/>
        <v/>
      </c>
      <c r="K995" s="3"/>
      <c r="L995" t="str">
        <f t="shared" ca="1" si="195"/>
        <v/>
      </c>
      <c r="M995" s="132" t="str">
        <f t="shared" ca="1" si="196"/>
        <v/>
      </c>
      <c r="N995" s="132" t="str">
        <f t="shared" ca="1" si="197"/>
        <v/>
      </c>
      <c r="P995" t="str">
        <f t="shared" ca="1" si="198"/>
        <v/>
      </c>
      <c r="Q995" s="133" t="str">
        <f t="shared" ca="1" si="199"/>
        <v/>
      </c>
      <c r="R995" s="133" t="str">
        <f t="shared" ca="1" si="200"/>
        <v/>
      </c>
      <c r="T995" t="str">
        <f t="shared" ca="1" si="201"/>
        <v/>
      </c>
      <c r="U995" s="134" t="str">
        <f t="shared" ca="1" si="202"/>
        <v/>
      </c>
    </row>
    <row r="996" spans="1:24" x14ac:dyDescent="0.3">
      <c r="A996" s="151" t="str">
        <f ca="1">Returns!$A$994</f>
        <v/>
      </c>
      <c r="B996" s="152" t="str">
        <f ca="1">IF($A996="","",Returns!$J$994)</f>
        <v/>
      </c>
      <c r="C996" s="153" t="str">
        <f t="shared" ca="1" si="203"/>
        <v/>
      </c>
      <c r="D996" s="153" t="str">
        <f ca="1">IF($A996="","",MAX($C$7:C996))</f>
        <v/>
      </c>
      <c r="E996" s="154" t="str">
        <f t="shared" ca="1" si="204"/>
        <v/>
      </c>
      <c r="F996" s="152" t="str">
        <f ca="1">IF($A996="","",Returns!$I$994)</f>
        <v/>
      </c>
      <c r="G996" s="153" t="str">
        <f t="shared" ca="1" si="205"/>
        <v/>
      </c>
      <c r="H996" s="153" t="str">
        <f ca="1">IF($A996="","",MAX($G$7:G996))</f>
        <v/>
      </c>
      <c r="I996" s="154" t="str">
        <f t="shared" ca="1" si="206"/>
        <v/>
      </c>
      <c r="J996" s="59" t="str">
        <f t="shared" ca="1" si="207"/>
        <v/>
      </c>
      <c r="K996" s="3"/>
      <c r="L996" t="str">
        <f t="shared" ca="1" si="195"/>
        <v/>
      </c>
      <c r="M996" s="132" t="str">
        <f t="shared" ca="1" si="196"/>
        <v/>
      </c>
      <c r="N996" s="132" t="str">
        <f t="shared" ca="1" si="197"/>
        <v/>
      </c>
      <c r="P996" t="str">
        <f t="shared" ca="1" si="198"/>
        <v/>
      </c>
      <c r="Q996" s="133" t="str">
        <f t="shared" ca="1" si="199"/>
        <v/>
      </c>
      <c r="R996" s="133" t="str">
        <f t="shared" ca="1" si="200"/>
        <v/>
      </c>
      <c r="T996" t="str">
        <f t="shared" ca="1" si="201"/>
        <v/>
      </c>
      <c r="U996" s="134" t="str">
        <f t="shared" ca="1" si="202"/>
        <v/>
      </c>
    </row>
    <row r="997" spans="1:24" x14ac:dyDescent="0.3">
      <c r="A997" s="151" t="str">
        <f ca="1">Returns!$A$995</f>
        <v/>
      </c>
      <c r="B997" s="152" t="str">
        <f ca="1">IF($A997="","",Returns!$J$995)</f>
        <v/>
      </c>
      <c r="C997" s="153" t="str">
        <f t="shared" ca="1" si="203"/>
        <v/>
      </c>
      <c r="D997" s="153" t="str">
        <f ca="1">IF($A997="","",MAX($C$7:C997))</f>
        <v/>
      </c>
      <c r="E997" s="154" t="str">
        <f t="shared" ca="1" si="204"/>
        <v/>
      </c>
      <c r="F997" s="152" t="str">
        <f ca="1">IF($A997="","",Returns!$I$995)</f>
        <v/>
      </c>
      <c r="G997" s="153" t="str">
        <f t="shared" ca="1" si="205"/>
        <v/>
      </c>
      <c r="H997" s="153" t="str">
        <f ca="1">IF($A997="","",MAX($G$7:G997))</f>
        <v/>
      </c>
      <c r="I997" s="154" t="str">
        <f t="shared" ca="1" si="206"/>
        <v/>
      </c>
      <c r="J997" s="59" t="str">
        <f t="shared" ca="1" si="207"/>
        <v/>
      </c>
      <c r="K997" s="3"/>
      <c r="L997" t="str">
        <f t="shared" ca="1" si="195"/>
        <v/>
      </c>
      <c r="M997" s="132" t="str">
        <f t="shared" ca="1" si="196"/>
        <v/>
      </c>
      <c r="N997" s="132" t="str">
        <f t="shared" ca="1" si="197"/>
        <v/>
      </c>
      <c r="P997" t="str">
        <f t="shared" ca="1" si="198"/>
        <v/>
      </c>
      <c r="Q997" s="133" t="str">
        <f t="shared" ca="1" si="199"/>
        <v/>
      </c>
      <c r="R997" s="133" t="str">
        <f t="shared" ca="1" si="200"/>
        <v/>
      </c>
      <c r="T997" t="str">
        <f t="shared" ca="1" si="201"/>
        <v/>
      </c>
      <c r="U997" s="134" t="str">
        <f t="shared" ca="1" si="202"/>
        <v/>
      </c>
    </row>
    <row r="998" spans="1:24" x14ac:dyDescent="0.3">
      <c r="A998" s="151" t="str">
        <f ca="1">Returns!$A$996</f>
        <v/>
      </c>
      <c r="B998" s="152" t="str">
        <f ca="1">IF($A998="","",Returns!$J$996)</f>
        <v/>
      </c>
      <c r="C998" s="153" t="str">
        <f t="shared" ca="1" si="203"/>
        <v/>
      </c>
      <c r="D998" s="153" t="str">
        <f ca="1">IF($A998="","",MAX($C$7:C998))</f>
        <v/>
      </c>
      <c r="E998" s="154" t="str">
        <f t="shared" ca="1" si="204"/>
        <v/>
      </c>
      <c r="F998" s="152" t="str">
        <f ca="1">IF($A998="","",Returns!$I$996)</f>
        <v/>
      </c>
      <c r="G998" s="153" t="str">
        <f t="shared" ca="1" si="205"/>
        <v/>
      </c>
      <c r="H998" s="153" t="str">
        <f ca="1">IF($A998="","",MAX($G$7:G998))</f>
        <v/>
      </c>
      <c r="I998" s="154" t="str">
        <f t="shared" ca="1" si="206"/>
        <v/>
      </c>
      <c r="J998" s="59" t="str">
        <f t="shared" ca="1" si="207"/>
        <v/>
      </c>
      <c r="K998" s="3"/>
      <c r="L998" t="str">
        <f t="shared" ca="1" si="195"/>
        <v/>
      </c>
      <c r="M998" s="132" t="str">
        <f t="shared" ca="1" si="196"/>
        <v/>
      </c>
      <c r="N998" s="132" t="str">
        <f t="shared" ca="1" si="197"/>
        <v/>
      </c>
      <c r="P998" t="str">
        <f t="shared" ca="1" si="198"/>
        <v/>
      </c>
      <c r="Q998" s="133" t="str">
        <f t="shared" ca="1" si="199"/>
        <v/>
      </c>
      <c r="R998" s="133" t="str">
        <f t="shared" ca="1" si="200"/>
        <v/>
      </c>
      <c r="T998" t="str">
        <f t="shared" ca="1" si="201"/>
        <v/>
      </c>
      <c r="U998" s="134" t="str">
        <f t="shared" ca="1" si="202"/>
        <v/>
      </c>
    </row>
    <row r="999" spans="1:24" x14ac:dyDescent="0.3">
      <c r="A999" s="151" t="str">
        <f ca="1">Returns!$A$997</f>
        <v/>
      </c>
      <c r="B999" s="152" t="str">
        <f ca="1">IF($A999="","",Returns!$J$997)</f>
        <v/>
      </c>
      <c r="C999" s="153" t="str">
        <f t="shared" ca="1" si="203"/>
        <v/>
      </c>
      <c r="D999" s="153" t="str">
        <f ca="1">IF($A999="","",MAX($C$7:C999))</f>
        <v/>
      </c>
      <c r="E999" s="154" t="str">
        <f t="shared" ca="1" si="204"/>
        <v/>
      </c>
      <c r="F999" s="152" t="str">
        <f ca="1">IF($A999="","",Returns!$I$997)</f>
        <v/>
      </c>
      <c r="G999" s="153" t="str">
        <f t="shared" ca="1" si="205"/>
        <v/>
      </c>
      <c r="H999" s="153" t="str">
        <f ca="1">IF($A999="","",MAX($G$7:G999))</f>
        <v/>
      </c>
      <c r="I999" s="154" t="str">
        <f t="shared" ca="1" si="206"/>
        <v/>
      </c>
      <c r="J999" s="59" t="str">
        <f t="shared" ca="1" si="207"/>
        <v/>
      </c>
      <c r="K999" s="3"/>
      <c r="L999" t="str">
        <f t="shared" ca="1" si="195"/>
        <v/>
      </c>
      <c r="M999" s="132" t="str">
        <f t="shared" ca="1" si="196"/>
        <v/>
      </c>
      <c r="N999" s="132" t="str">
        <f t="shared" ca="1" si="197"/>
        <v/>
      </c>
      <c r="P999" t="str">
        <f t="shared" ca="1" si="198"/>
        <v/>
      </c>
      <c r="Q999" s="133" t="str">
        <f t="shared" ca="1" si="199"/>
        <v/>
      </c>
      <c r="R999" s="133" t="str">
        <f t="shared" ca="1" si="200"/>
        <v/>
      </c>
      <c r="T999" t="str">
        <f t="shared" ca="1" si="201"/>
        <v/>
      </c>
      <c r="U999" s="134" t="str">
        <f t="shared" ca="1" si="202"/>
        <v/>
      </c>
    </row>
    <row r="1000" spans="1:24" x14ac:dyDescent="0.3">
      <c r="A1000" s="151" t="str">
        <f ca="1">Returns!$A$998</f>
        <v/>
      </c>
      <c r="B1000" s="152" t="str">
        <f ca="1">IF($A1000="","",Returns!$J$998)</f>
        <v/>
      </c>
      <c r="C1000" s="153" t="str">
        <f t="shared" ca="1" si="203"/>
        <v/>
      </c>
      <c r="D1000" s="153" t="str">
        <f ca="1">IF($A1000="","",MAX($C$7:C1000))</f>
        <v/>
      </c>
      <c r="E1000" s="154" t="str">
        <f t="shared" ca="1" si="204"/>
        <v/>
      </c>
      <c r="F1000" s="152" t="str">
        <f ca="1">IF($A1000="","",Returns!$I$998)</f>
        <v/>
      </c>
      <c r="G1000" s="153" t="str">
        <f t="shared" ca="1" si="205"/>
        <v/>
      </c>
      <c r="H1000" s="153" t="str">
        <f ca="1">IF($A1000="","",MAX($G$7:G1000))</f>
        <v/>
      </c>
      <c r="I1000" s="154" t="str">
        <f t="shared" ca="1" si="206"/>
        <v/>
      </c>
      <c r="J1000" s="59" t="str">
        <f t="shared" ca="1" si="207"/>
        <v/>
      </c>
      <c r="K1000" s="3"/>
      <c r="L1000" t="str">
        <f t="shared" ca="1" si="195"/>
        <v/>
      </c>
      <c r="M1000" s="132" t="str">
        <f t="shared" ca="1" si="196"/>
        <v/>
      </c>
      <c r="N1000" s="132" t="str">
        <f t="shared" ca="1" si="197"/>
        <v/>
      </c>
      <c r="P1000" t="str">
        <f t="shared" ca="1" si="198"/>
        <v/>
      </c>
      <c r="Q1000" s="133" t="str">
        <f t="shared" ca="1" si="199"/>
        <v/>
      </c>
      <c r="R1000" s="133" t="str">
        <f t="shared" ca="1" si="200"/>
        <v/>
      </c>
      <c r="T1000" t="str">
        <f t="shared" ca="1" si="201"/>
        <v/>
      </c>
      <c r="U1000" s="134" t="str">
        <f t="shared" ca="1" si="202"/>
        <v/>
      </c>
    </row>
    <row r="1002" spans="1:24" x14ac:dyDescent="0.3">
      <c r="A1002" s="156" t="s">
        <v>384</v>
      </c>
      <c r="B1002" s="156"/>
      <c r="C1002" s="156"/>
      <c r="D1002" s="156"/>
      <c r="E1002" s="156"/>
      <c r="F1002" s="156"/>
      <c r="G1002" s="156"/>
      <c r="H1002" s="156"/>
      <c r="I1002" s="156"/>
      <c r="W1002" t="s">
        <v>502</v>
      </c>
    </row>
    <row r="1003" spans="1:24" x14ac:dyDescent="0.3">
      <c r="A1003" t="s">
        <v>265</v>
      </c>
      <c r="B1003" t="s">
        <v>251</v>
      </c>
      <c r="C1003" t="s">
        <v>17</v>
      </c>
      <c r="D1003" t="s">
        <v>266</v>
      </c>
      <c r="E1003" t="s">
        <v>385</v>
      </c>
      <c r="W1003" t="s">
        <v>265</v>
      </c>
      <c r="X1003" t="s">
        <v>108</v>
      </c>
    </row>
    <row r="1004" spans="1:24" x14ac:dyDescent="0.3">
      <c r="A1004" t="s">
        <v>337</v>
      </c>
      <c r="B1004">
        <f ca="1">MIN($E$8:INDEX($E$8:$E$1000,COUNT($A$8:$A$1000)))</f>
        <v>-0.17991189250061801</v>
      </c>
      <c r="C1004">
        <f ca="1">MIN($I$8:INDEX($I$8:$I$1000,COUNT($A$8:$A$1000)))</f>
        <v>-0.14928973284085856</v>
      </c>
      <c r="D1004">
        <f ca="1">B1004-C1004</f>
        <v>-3.0622159659759451E-2</v>
      </c>
      <c r="E1004" t="s">
        <v>386</v>
      </c>
      <c r="W1004" t="s">
        <v>503</v>
      </c>
      <c r="X1004" s="135">
        <f>NotionalValue</f>
        <v>1000000</v>
      </c>
    </row>
    <row r="1005" spans="1:24" x14ac:dyDescent="0.3">
      <c r="A1005" t="s">
        <v>387</v>
      </c>
      <c r="B1005">
        <f ca="1">INDEX($A$8:INDEX($A$8:$A$1000,COUNT($A$8:$A$1000)),MATCH(MIN($E$8:INDEX($E$8:$E$1000,COUNT($A$8:$A$1000))),$E$8:INDEX($E$8:$E$1000,COUNT($A$8:$A$1000)),0))</f>
        <v>46111</v>
      </c>
      <c r="C1005">
        <f ca="1">INDEX($A$8:INDEX($A$8:$A$1000,COUNT($A$8:$A$1000)),MATCH(MIN($I$8:INDEX($I$8:$I$1000,COUNT($A$8:$A$1000))),$I$8:INDEX($I$8:$I$1000,COUNT($A$8:$A$1000)),0))</f>
        <v>46111</v>
      </c>
      <c r="E1005" t="s">
        <v>388</v>
      </c>
      <c r="W1005" t="s">
        <v>504</v>
      </c>
      <c r="X1005" s="135">
        <f ca="1">NotionalValue*INDEX($C$7:$C$1000,COUNT($A$7:$A$1000))/IndexBase</f>
        <v>965376.0249472193</v>
      </c>
    </row>
    <row r="1006" spans="1:24" x14ac:dyDescent="0.3">
      <c r="A1006" t="s">
        <v>389</v>
      </c>
      <c r="B1006">
        <f ca="1">INDEX($D$8:INDEX($D$8:$D$1000,COUNT($A$8:$A$1000)),MATCH(MIN($E$8:INDEX($E$8:$E$1000,COUNT($A$8:$A$1000))),$E$8:INDEX($E$8:$E$1000,COUNT($A$8:$A$1000)),0))</f>
        <v>114.96074955758542</v>
      </c>
      <c r="C1006">
        <f ca="1">INDEX($H$8:INDEX($H$8:$H$1000,COUNT($A$8:$A$1000)),MATCH(MIN($I$8:INDEX($I$8:$I$1000,COUNT($A$8:$A$1000))),$I$8:INDEX($I$8:$I$1000,COUNT($A$8:$A$1000)),0))</f>
        <v>105.26900583100581</v>
      </c>
      <c r="E1006" t="s">
        <v>390</v>
      </c>
      <c r="W1006" t="s">
        <v>505</v>
      </c>
      <c r="X1006" s="134">
        <f ca="1">X1005-X1004</f>
        <v>-34623.975052780705</v>
      </c>
    </row>
    <row r="1007" spans="1:24" x14ac:dyDescent="0.3">
      <c r="A1007" t="s">
        <v>391</v>
      </c>
      <c r="B1007">
        <f ca="1">INDEX($C$8:INDEX($C$8:$C$1000,COUNT($A$8:$A$1000)),MATCH(MIN($E$8:INDEX($E$8:$E$1000,COUNT($A$8:$A$1000))),$E$8:INDEX($E$8:$E$1000,COUNT($A$8:$A$1000)),0))</f>
        <v>94.277943541390641</v>
      </c>
      <c r="C1007">
        <f ca="1">INDEX($G$8:INDEX($G$8:$G$1000,COUNT($A$8:$A$1000)),MATCH(MIN($I$8:INDEX($I$8:$I$1000,COUNT($A$8:$A$1000))),$I$8:INDEX($I$8:$I$1000,COUNT($A$8:$A$1000)),0))</f>
        <v>89.553424074072169</v>
      </c>
      <c r="E1007" t="s">
        <v>392</v>
      </c>
      <c r="W1007" t="s">
        <v>506</v>
      </c>
      <c r="X1007" s="133">
        <f ca="1">Risk_Analysis!$B$11</f>
        <v>-3.4623975052780587E-2</v>
      </c>
    </row>
    <row r="1008" spans="1:24" x14ac:dyDescent="0.3">
      <c r="A1008" t="s">
        <v>393</v>
      </c>
      <c r="B1008">
        <f ca="1">INDEX($E$8:$E$1000,COUNT($A$8:$A$1000))</f>
        <v>-0.16025597548522486</v>
      </c>
      <c r="C1008">
        <f ca="1">INDEX($I$8:$I$1000,COUNT($A$8:$A$1000))</f>
        <v>-9.4137983835601569E-2</v>
      </c>
      <c r="D1008">
        <f ca="1">B1008-C1008</f>
        <v>-6.6117991649623287E-2</v>
      </c>
      <c r="E1008" t="s">
        <v>394</v>
      </c>
      <c r="W1008" t="s">
        <v>507</v>
      </c>
      <c r="X1008" s="136">
        <f ca="1">X1005/X1004-1-X1007</f>
        <v>-1.1102230246251565E-16</v>
      </c>
    </row>
    <row r="1009" spans="1:24" x14ac:dyDescent="0.3">
      <c r="A1009" t="s">
        <v>395</v>
      </c>
      <c r="B1009">
        <f ca="1">COUNTIF($E$8:INDEX($E$8:$E$1000,COUNT($A$8:$A$1000)),"&lt;-0.01")</f>
        <v>84</v>
      </c>
      <c r="C1009">
        <f ca="1">COUNTIF($I$8:INDEX($I$8:$I$1000,COUNT($A$8:$A$1000)),"&lt;-0.01")</f>
        <v>90</v>
      </c>
      <c r="D1009">
        <f ca="1">B1009-C1009</f>
        <v>-6</v>
      </c>
      <c r="E1009" t="s">
        <v>396</v>
      </c>
      <c r="W1009" t="s">
        <v>508</v>
      </c>
      <c r="X1009" s="137">
        <f ca="1">INDEX($A$7:$A$1000,COUNT($A$7:$A$1000))</f>
        <v>46272</v>
      </c>
    </row>
    <row r="1010" spans="1:24" x14ac:dyDescent="0.3">
      <c r="A1010" t="s">
        <v>397</v>
      </c>
      <c r="B1010">
        <f ca="1">INDEX($C$8:$C$1000,COUNT($A$8:$A$1000))</f>
        <v>96.537602494721938</v>
      </c>
      <c r="C1010">
        <f ca="1">INDEX($G$8:$G$1000,COUNT($A$8:$A$1000))</f>
        <v>95.359193861696738</v>
      </c>
      <c r="D1010">
        <f ca="1">B1010-C1010</f>
        <v>1.1784086330251995</v>
      </c>
      <c r="E1010" t="s">
        <v>398</v>
      </c>
      <c r="W1010" t="s">
        <v>509</v>
      </c>
      <c r="X1010" s="138">
        <f ca="1">COUNT($U$7:INDEX($U$7:$U$1000,COUNT($A$7:$A$1000)))</f>
        <v>105</v>
      </c>
    </row>
    <row r="1011" spans="1:24" x14ac:dyDescent="0.3">
      <c r="A1011" t="s">
        <v>399</v>
      </c>
      <c r="B1011">
        <f ca="1">INDEX($C$8:$C$1000,COUNT($A$8:$A$1000))/IndexBase-1</f>
        <v>-3.4623975052780587E-2</v>
      </c>
      <c r="C1011">
        <f ca="1">INDEX($G$8:$G$1000,COUNT($A$8:$A$1000))/IndexBase-1</f>
        <v>-4.6408061383032662E-2</v>
      </c>
      <c r="D1011">
        <f ca="1">B1011-C1011</f>
        <v>1.1784086330252075E-2</v>
      </c>
      <c r="E1011" t="s">
        <v>400</v>
      </c>
    </row>
  </sheetData>
  <mergeCells count="5">
    <mergeCell ref="A2:I2"/>
    <mergeCell ref="A1002:I1002"/>
    <mergeCell ref="A1:I1"/>
    <mergeCell ref="B5:E5"/>
    <mergeCell ref="F5:I5"/>
  </mergeCells>
  <conditionalFormatting sqref="E8:E111">
    <cfRule type="colorScale" priority="2">
      <colorScale>
        <cfvo type="num" val="-0.2"/>
        <cfvo type="num" val="-0.05"/>
        <cfvo type="num" val="0"/>
        <color rgb="FF5C2323"/>
        <color rgb="FF2E1818"/>
        <color rgb="FF111D33"/>
      </colorScale>
    </cfRule>
  </conditionalFormatting>
  <conditionalFormatting sqref="I8:I111">
    <cfRule type="colorScale" priority="3">
      <colorScale>
        <cfvo type="num" val="-0.2"/>
        <cfvo type="num" val="-0.05"/>
        <cfvo type="num" val="0"/>
        <color rgb="FF3A4356"/>
        <color rgb="FF222E47"/>
        <color rgb="FF111D3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"/>
  <sheetViews>
    <sheetView showGridLines="0" topLeftCell="A40" zoomScale="106" workbookViewId="0">
      <selection sqref="A1:F1"/>
    </sheetView>
  </sheetViews>
  <sheetFormatPr defaultColWidth="8.6640625" defaultRowHeight="14.4" x14ac:dyDescent="0.3"/>
  <cols>
    <col min="1" max="1" width="38" customWidth="1"/>
    <col min="2" max="4" width="16" customWidth="1"/>
    <col min="5" max="5" width="78" customWidth="1"/>
  </cols>
  <sheetData>
    <row r="1" spans="1:7" ht="24" customHeight="1" x14ac:dyDescent="0.3">
      <c r="A1" s="232" t="s">
        <v>401</v>
      </c>
      <c r="B1" s="156"/>
      <c r="C1" s="156"/>
      <c r="D1" s="156"/>
      <c r="E1" s="156"/>
      <c r="F1" s="156"/>
      <c r="G1" s="3"/>
    </row>
    <row r="2" spans="1:7" ht="13.5" customHeight="1" x14ac:dyDescent="0.3">
      <c r="A2" s="231" t="s">
        <v>402</v>
      </c>
      <c r="B2" s="156"/>
      <c r="C2" s="156"/>
      <c r="D2" s="156"/>
      <c r="E2" s="156"/>
      <c r="F2" s="156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ht="16.5" customHeight="1" x14ac:dyDescent="0.3">
      <c r="A4" s="214" t="s">
        <v>403</v>
      </c>
      <c r="B4" s="156"/>
      <c r="C4" s="156"/>
      <c r="D4" s="156"/>
      <c r="E4" s="156"/>
      <c r="F4" s="3"/>
      <c r="G4" s="3"/>
    </row>
    <row r="5" spans="1:7" ht="27.75" customHeight="1" x14ac:dyDescent="0.3">
      <c r="A5" s="1" t="s">
        <v>265</v>
      </c>
      <c r="B5" s="1" t="s">
        <v>251</v>
      </c>
      <c r="C5" s="1" t="s">
        <v>17</v>
      </c>
      <c r="D5" s="1" t="s">
        <v>266</v>
      </c>
      <c r="E5" s="1" t="s">
        <v>404</v>
      </c>
      <c r="F5" s="3"/>
      <c r="G5" s="3"/>
    </row>
    <row r="6" spans="1:7" ht="25.5" customHeight="1" x14ac:dyDescent="0.3">
      <c r="A6" s="22" t="s">
        <v>278</v>
      </c>
      <c r="B6" s="47">
        <f ca="1">Risk_Analysis!$B$9</f>
        <v>-7.6338422883266569E-3</v>
      </c>
      <c r="C6" s="42">
        <f ca="1">Risk_Analysis!$C$9</f>
        <v>-1.459593847186186E-2</v>
      </c>
      <c r="D6" s="42">
        <f ca="1">B6-C6</f>
        <v>6.9620961835352027E-3</v>
      </c>
      <c r="E6" s="12" t="str">
        <f ca="1">IF(Risk_Analysis!$B$9&gt;Risk_Analysis!$C$9,"Portfolio ahead by "&amp;TEXT(Risk_Analysis!$B$9-Risk_Analysis!$C$9,"0.00%")&amp;" p.a. Raw return alone proves nothing until adjusted for risk.","Portfolio behind by "&amp;TEXT(Risk_Analysis!$C$9-Risk_Analysis!$B$9,"0.00%")&amp;" p.a.")</f>
        <v>Portfolio ahead by 0.70% p.a. Raw return alone proves nothing until adjusted for risk.</v>
      </c>
      <c r="F6" s="3"/>
      <c r="G6" s="3"/>
    </row>
    <row r="7" spans="1:7" ht="25.5" customHeight="1" x14ac:dyDescent="0.3">
      <c r="A7" s="22" t="s">
        <v>281</v>
      </c>
      <c r="B7" s="47">
        <f ca="1">Risk_Analysis!$B$10</f>
        <v>0.1418243370012901</v>
      </c>
      <c r="C7" s="42">
        <f ca="1">Risk_Analysis!$C$10</f>
        <v>0.13617138829179659</v>
      </c>
      <c r="D7" s="42">
        <f ca="1">B7-C7</f>
        <v>5.6529487094935105E-3</v>
      </c>
      <c r="E7" s="12" t="str">
        <f ca="1">IF(Risk_Analysis!$B$10&gt;Risk_Analysis!$C$10,"Portfolio was MORE volatile than the index by "&amp;TEXT(Risk_Analysis!$B$10-Risk_Analysis!$C$10,"0.00%")&amp;" — a seven-stock book cannot fully replicate a 50-stock index's diversification.","Portfolio was LESS volatile than the index by "&amp;TEXT(Risk_Analysis!$C$10-Risk_Analysis!$B$10,"0.00%")&amp;".")</f>
        <v>Portfolio was MORE volatile than the index by 0.57% — a seven-stock book cannot fully replicate a 50-stock index's diversification.</v>
      </c>
      <c r="F7" s="3"/>
      <c r="G7" s="3"/>
    </row>
    <row r="8" spans="1:7" ht="25.5" customHeight="1" x14ac:dyDescent="0.3">
      <c r="A8" s="22" t="s">
        <v>304</v>
      </c>
      <c r="B8" s="51">
        <f ca="1">Risk_Analysis!$B$21</f>
        <v>-0.54386887271417328</v>
      </c>
      <c r="C8" s="52">
        <f ca="1">Risk_Analysis!$C$21</f>
        <v>-0.61757421677787272</v>
      </c>
      <c r="D8" s="52">
        <f ca="1">B8-C8</f>
        <v>7.3705344063699441E-2</v>
      </c>
      <c r="E8" s="12" t="str">
        <f ca="1">IF(Risk_Analysis!$B$21&gt;Risk_Analysis!$C$21,"Portfolio delivered BETTER return per unit of total risk than the benchmark.","Portfolio delivered WORSE return per unit of total risk than the benchmark.")&amp;IF(Risk_Analysis!$B$21&lt;0," Both are negative — equity returned less than the risk-free rate over this window; read the comparison as a ranking.","")</f>
        <v>Portfolio delivered BETTER return per unit of total risk than the benchmark. Both are negative — equity returned less than the risk-free rate over this window; read the comparison as a ranking.</v>
      </c>
      <c r="F8" s="3"/>
      <c r="G8" s="3"/>
    </row>
    <row r="9" spans="1:7" ht="25.5" customHeight="1" x14ac:dyDescent="0.3">
      <c r="A9" s="5" t="s">
        <v>310</v>
      </c>
      <c r="B9" s="51">
        <f ca="1">Risk_Analysis!$B$23</f>
        <v>-0.75374734105226271</v>
      </c>
      <c r="C9" s="52">
        <f ca="1">Risk_Analysis!$C$23</f>
        <v>-0.8981050311855282</v>
      </c>
      <c r="D9" s="52">
        <f ca="1">B9-C9</f>
        <v>0.14435769013326549</v>
      </c>
      <c r="E9" s="12" t="s">
        <v>405</v>
      </c>
      <c r="F9" s="3"/>
      <c r="G9" s="3"/>
    </row>
    <row r="10" spans="1:7" ht="25.5" customHeight="1" x14ac:dyDescent="0.3">
      <c r="A10" s="22" t="s">
        <v>406</v>
      </c>
      <c r="B10" s="51">
        <f ca="1">Risk_Analysis!$B$27</f>
        <v>0.28058366022921394</v>
      </c>
      <c r="C10" s="52">
        <v>1</v>
      </c>
      <c r="D10" s="45" t="s">
        <v>270</v>
      </c>
      <c r="E10" s="12" t="str">
        <f ca="1">IF(Risk_Analysis!$B$27&gt;1.05,"Aggressive: the portfolio amplifies index moves.",IF(Risk_Analysis!$B$27&lt;0.95,"Defensive: the portfolio dampens index moves.","Market-like exposure: beta is effectively 1.0, so return differences are NOT explained by taking more or less market risk."))</f>
        <v>Defensive: the portfolio dampens index moves.</v>
      </c>
      <c r="F10" s="3"/>
      <c r="G10" s="3"/>
    </row>
    <row r="11" spans="1:7" ht="25.5" customHeight="1" x14ac:dyDescent="0.3">
      <c r="A11" s="22" t="s">
        <v>337</v>
      </c>
      <c r="B11" s="47">
        <f ca="1">Risk_Analysis!$B$35</f>
        <v>-0.17991189250061801</v>
      </c>
      <c r="C11" s="42">
        <f ca="1">Risk_Analysis!$C$35</f>
        <v>-0.14928973284085856</v>
      </c>
      <c r="D11" s="42">
        <f ca="1">B11-C11</f>
        <v>-3.0622159659759451E-2</v>
      </c>
      <c r="E11" s="12" t="str">
        <f ca="1">IF(Risk_Analysis!$B$35&lt;Risk_Analysis!$C$35,"Portfolio's worst peak-to-trough loss was DEEPER than the index by "&amp;TEXT(Risk_Analysis!$C$35-Risk_Analysis!$B$35,"0.00%")&amp;" — concentration risk showing up exactly where investors feel it.","Portfolio's worst loss was SHALLOWER than the index by "&amp;TEXT(Risk_Analysis!$B$35-Risk_Analysis!$C$35,"0.00%")&amp;".")</f>
        <v>Portfolio's worst peak-to-trough loss was DEEPER than the index by 3.06% — concentration risk showing up exactly where investors feel it.</v>
      </c>
      <c r="F11" s="3"/>
      <c r="G11" s="3"/>
    </row>
    <row r="12" spans="1:7" ht="25.5" customHeight="1" x14ac:dyDescent="0.3">
      <c r="A12" s="5" t="s">
        <v>284</v>
      </c>
      <c r="B12" s="47">
        <f ca="1">Risk_Analysis!$B$11</f>
        <v>-3.4623975052780587E-2</v>
      </c>
      <c r="C12" s="42">
        <f ca="1">Risk_Analysis!$C$11</f>
        <v>-4.6408061383032662E-2</v>
      </c>
      <c r="D12" s="42">
        <f ca="1">B12-C12</f>
        <v>1.1784086330252075E-2</v>
      </c>
      <c r="E12" s="12" t="s">
        <v>407</v>
      </c>
      <c r="F12" s="3"/>
      <c r="G12" s="3"/>
    </row>
    <row r="13" spans="1:7" ht="25.5" customHeight="1" x14ac:dyDescent="0.3">
      <c r="A13" s="22" t="s">
        <v>287</v>
      </c>
      <c r="B13" s="48">
        <f ca="1">Risk_Analysis!$B$12</f>
        <v>96.537602494721938</v>
      </c>
      <c r="C13" s="41">
        <f ca="1">Risk_Analysis!$C$12</f>
        <v>95.359193861696738</v>
      </c>
      <c r="D13" s="41">
        <f ca="1">B13-C13</f>
        <v>1.1784086330251995</v>
      </c>
      <c r="E13" s="12" t="str">
        <f ca="1">"₹100 invested at the start became ₹"&amp;TEXT(Risk_Analysis!$B$12,"0.00")&amp;" in the portfolio and ₹"&amp;TEXT(Risk_Analysis!$C$12,"0.00")&amp;" in the index."</f>
        <v>₹100 invested at the start became ₹96.54 in the portfolio and ₹95.36 in the index.</v>
      </c>
      <c r="F13" s="3"/>
      <c r="G13" s="3"/>
    </row>
    <row r="14" spans="1:7" ht="25.5" customHeight="1" x14ac:dyDescent="0.3">
      <c r="A14" s="5" t="s">
        <v>325</v>
      </c>
      <c r="B14" s="47">
        <f ca="1">Risk_Analysis!$B$31</f>
        <v>6.9620961835352027E-3</v>
      </c>
      <c r="C14" s="42" t="s">
        <v>270</v>
      </c>
      <c r="D14" s="45" t="s">
        <v>270</v>
      </c>
      <c r="E14" s="12" t="s">
        <v>408</v>
      </c>
      <c r="F14" s="3"/>
      <c r="G14" s="3"/>
    </row>
    <row r="15" spans="1:7" ht="25.5" customHeight="1" x14ac:dyDescent="0.3">
      <c r="A15" s="22" t="s">
        <v>331</v>
      </c>
      <c r="B15" s="47">
        <f ca="1">Risk_Analysis!$B$33</f>
        <v>-5.3537896061480891E-2</v>
      </c>
      <c r="C15" s="42" t="s">
        <v>270</v>
      </c>
      <c r="D15" s="45" t="s">
        <v>270</v>
      </c>
      <c r="E15" s="12" t="str">
        <f ca="1">"Rp − [Rf + β(Rb − Rf)] = "&amp;TEXT(Risk_Analysis!$B$9,"0.00%")&amp;" − ["&amp;TEXT(RiskFree,"0.00%")&amp;" + "&amp;TEXT(Risk_Analysis!$B$27,"0.00")&amp;"×("&amp;TEXT(Risk_Analysis!$C$9,"0.00%")&amp;" − "&amp;TEXT(RiskFree,"0.00%")&amp;")] = "&amp;TEXT(Risk_Analysis!$B$33,"0.00%")&amp;". "&amp;IF(Risk_Analysis!$B$33&gt;0,"Positive risk-adjusted alpha.","Negative risk-adjusted alpha.")</f>
        <v>Rp − [Rf + β(Rb − Rf)] = -0.76% − [6.95% + 0.28×(-1.46% − 6.95%)] = -5.35%. Negative risk-adjusted alpha.</v>
      </c>
      <c r="F15" s="3"/>
      <c r="G15" s="3"/>
    </row>
    <row r="16" spans="1:7" ht="25.5" customHeight="1" x14ac:dyDescent="0.3">
      <c r="A16" s="5" t="s">
        <v>334</v>
      </c>
      <c r="B16" s="51">
        <f ca="1">Risk_Analysis!$B$34</f>
        <v>-0.27490496854062924</v>
      </c>
      <c r="C16" s="52">
        <f ca="1">Risk_Analysis!$C$34</f>
        <v>-8.4095938471861864E-2</v>
      </c>
      <c r="D16" s="52">
        <f ca="1">B16-C16</f>
        <v>-0.19080903006876737</v>
      </c>
      <c r="E16" s="12" t="s">
        <v>409</v>
      </c>
      <c r="F16" s="3"/>
      <c r="G16" s="3"/>
    </row>
    <row r="17" spans="1:7" ht="25.5" customHeight="1" x14ac:dyDescent="0.3">
      <c r="A17" s="5" t="s">
        <v>410</v>
      </c>
      <c r="B17" s="51">
        <f ca="1">Risk_Analysis!$B$28</f>
        <v>0.26939993059906386</v>
      </c>
      <c r="C17" s="52">
        <v>1</v>
      </c>
      <c r="D17" s="45" t="s">
        <v>270</v>
      </c>
      <c r="E17" s="12" t="s">
        <v>411</v>
      </c>
      <c r="F17" s="3"/>
      <c r="G17" s="3"/>
    </row>
    <row r="18" spans="1:7" ht="25.5" customHeight="1" x14ac:dyDescent="0.3">
      <c r="A18" s="5" t="s">
        <v>412</v>
      </c>
      <c r="B18" s="49">
        <f ca="1">Risk_Analysis!$B$29</f>
        <v>7.2576322606780458E-2</v>
      </c>
      <c r="C18" s="50">
        <v>1</v>
      </c>
      <c r="D18" s="45" t="s">
        <v>270</v>
      </c>
      <c r="E18" s="12" t="s">
        <v>413</v>
      </c>
      <c r="F18" s="3"/>
      <c r="G18" s="3"/>
    </row>
    <row r="19" spans="1:7" ht="25.5" customHeight="1" x14ac:dyDescent="0.3">
      <c r="A19" s="5" t="s">
        <v>261</v>
      </c>
      <c r="B19" s="49">
        <f ca="1">Risk_Analysis!$B$15</f>
        <v>0.49038461538461536</v>
      </c>
      <c r="C19" s="50">
        <f ca="1">Risk_Analysis!$C$15</f>
        <v>0.5</v>
      </c>
      <c r="D19" s="50">
        <f ca="1">B19-C19</f>
        <v>-9.6153846153846367E-3</v>
      </c>
      <c r="E19" s="12" t="s">
        <v>414</v>
      </c>
      <c r="F19" s="3"/>
      <c r="G19" s="3"/>
    </row>
    <row r="20" spans="1:7" ht="25.5" customHeight="1" x14ac:dyDescent="0.3">
      <c r="A20" s="5" t="s">
        <v>415</v>
      </c>
      <c r="B20" s="49">
        <f ca="1">Risk_Analysis!$B$36</f>
        <v>0.19929122564280932</v>
      </c>
      <c r="C20" s="50">
        <v>1</v>
      </c>
      <c r="D20" s="45" t="s">
        <v>270</v>
      </c>
      <c r="E20" s="12" t="s">
        <v>416</v>
      </c>
      <c r="F20" s="3"/>
      <c r="G20" s="3"/>
    </row>
    <row r="21" spans="1:7" ht="25.5" customHeight="1" x14ac:dyDescent="0.3">
      <c r="A21" s="5" t="s">
        <v>417</v>
      </c>
      <c r="B21" s="49">
        <f ca="1">Risk_Analysis!$B$37</f>
        <v>0.211436395848838</v>
      </c>
      <c r="C21" s="50">
        <v>1</v>
      </c>
      <c r="D21" s="45" t="s">
        <v>270</v>
      </c>
      <c r="E21" s="12" t="s">
        <v>418</v>
      </c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ht="16.5" customHeight="1" x14ac:dyDescent="0.3">
      <c r="A23" s="214" t="s">
        <v>419</v>
      </c>
      <c r="B23" s="156"/>
      <c r="C23" s="156"/>
      <c r="D23" s="156"/>
      <c r="E23" s="156"/>
      <c r="F23" s="3"/>
      <c r="G23" s="3"/>
    </row>
    <row r="24" spans="1:7" ht="27.75" customHeight="1" x14ac:dyDescent="0.3">
      <c r="A24" s="1" t="s">
        <v>420</v>
      </c>
      <c r="B24" s="1" t="s">
        <v>421</v>
      </c>
      <c r="C24" s="1"/>
      <c r="D24" s="1"/>
      <c r="E24" s="1" t="s">
        <v>422</v>
      </c>
      <c r="F24" s="3"/>
      <c r="G24" s="3"/>
    </row>
    <row r="25" spans="1:7" ht="31.5" customHeight="1" x14ac:dyDescent="0.3">
      <c r="A25" s="61" t="s">
        <v>423</v>
      </c>
      <c r="B25" s="256" t="str">
        <f ca="1">IF(Risk_Analysis!$B$9&gt;Risk_Analysis!$C$9,"YES","NO")</f>
        <v>YES</v>
      </c>
      <c r="C25" s="212"/>
      <c r="D25" s="212"/>
      <c r="E25" s="12" t="str">
        <f ca="1">"Annualised "&amp;TEXT(Risk_Analysis!$B$9,"0.00%")&amp;" vs "&amp;TEXT(Risk_Analysis!$C$9,"0.00%")&amp;"; cumulative "&amp;TEXT(Risk_Analysis!$B$11,"0.00%")&amp;" vs "&amp;TEXT(Risk_Analysis!$C$11,"0.00%")&amp;"."</f>
        <v>Annualised -0.76% vs -1.46%; cumulative -3.46% vs -4.64%.</v>
      </c>
      <c r="F25" s="3"/>
      <c r="G25" s="3"/>
    </row>
    <row r="26" spans="1:7" ht="31.5" customHeight="1" x14ac:dyDescent="0.3">
      <c r="A26" s="61" t="s">
        <v>424</v>
      </c>
      <c r="B26" s="256" t="str">
        <f ca="1">IF(Risk_Analysis!$B$27&gt;1.05,"YES — higher beta",IF(Risk_Analysis!$B$27&lt;0.95,"NO — lower beta","NO — beta ≈ 1.0"))</f>
        <v>NO — lower beta</v>
      </c>
      <c r="C26" s="212"/>
      <c r="D26" s="212"/>
      <c r="E26" s="12" t="str">
        <f ca="1">"Beta of "&amp;TEXT(Risk_Analysis!$B$27,"0.00")&amp;" means market exposure was "&amp;IF(ABS(Risk_Analysis!$B$27-1)&lt;0.05,"essentially identical to the index, so leverage on market direction does not explain the gap.",IF(Risk_Analysis!$B$27&gt;1,"higher than the index — part of the outperformance is compensation for extra market risk.","lower than the index — the result was achieved with less market risk."))</f>
        <v>Beta of 0.28 means market exposure was lower than the index — the result was achieved with less market risk.</v>
      </c>
      <c r="F26" s="3"/>
      <c r="G26" s="3"/>
    </row>
    <row r="27" spans="1:7" ht="31.5" customHeight="1" x14ac:dyDescent="0.3">
      <c r="A27" s="61" t="s">
        <v>425</v>
      </c>
      <c r="B27" s="256" t="str">
        <f ca="1">IF(Risk_Analysis!$B$21&gt;Risk_Analysis!$C$21,"YES","NO")</f>
        <v>YES</v>
      </c>
      <c r="C27" s="212"/>
      <c r="D27" s="212"/>
      <c r="E27" s="12" t="str">
        <f ca="1">"Sharpe "&amp;TEXT(Risk_Analysis!$B$21,"0.00")&amp;" vs "&amp;TEXT(Risk_Analysis!$C$21,"0.00")&amp;"; Sortino "&amp;TEXT(Risk_Analysis!$B$23,"0.00")&amp;" vs "&amp;TEXT(Risk_Analysis!$C$23,"0.00")&amp;"."</f>
        <v>Sharpe -0.54 vs -0.62; Sortino -0.75 vs -0.90.</v>
      </c>
      <c r="F27" s="3"/>
      <c r="G27" s="3"/>
    </row>
    <row r="28" spans="1:7" ht="31.5" customHeight="1" x14ac:dyDescent="0.3">
      <c r="A28" s="61" t="s">
        <v>426</v>
      </c>
      <c r="B28" s="256" t="str">
        <f ca="1">IF(Risk_Analysis!$B$10&gt;Risk_Analysis!$C$10,"MORE volatile","LESS volatile")</f>
        <v>MORE volatile</v>
      </c>
      <c r="C28" s="212"/>
      <c r="D28" s="212"/>
      <c r="E28" s="12" t="str">
        <f ca="1">"Annualised volatility "&amp;TEXT(Risk_Analysis!$B$10,"0.00%")&amp;" vs "&amp;TEXT(Risk_Analysis!$C$10,"0.00%")&amp;" — a gap of "&amp;TEXT(ABS(Risk_Analysis!$B$10-Risk_Analysis!$C$10),"0.00%")&amp;"."</f>
        <v>Annualised volatility 14.18% vs 13.62% — a gap of 0.57%.</v>
      </c>
      <c r="F28" s="3"/>
      <c r="G28" s="3"/>
    </row>
    <row r="29" spans="1:7" ht="31.5" customHeight="1" x14ac:dyDescent="0.3">
      <c r="A29" s="61" t="s">
        <v>427</v>
      </c>
      <c r="B29" s="256" t="str">
        <f ca="1">TEXT(Risk_Analysis!$B$35,"0.0%")&amp;" vs index "&amp;TEXT(Risk_Analysis!$C$35,"0.0%")</f>
        <v>-18.0% vs index -14.9%</v>
      </c>
      <c r="C29" s="212"/>
      <c r="D29" s="212"/>
      <c r="E29" s="12" t="str">
        <f ca="1">"Portfolio trough recorded in the week of "&amp;TEXT(Drawdown!$B$1005,"dd-mmm-yyyy")&amp;"; index trough in the week of "&amp;TEXT(Drawdown!$C$1005,"dd-mmm-yyyy")&amp;". Current drawdown "&amp;TEXT(Drawdown!$B$1008,"0.0%")&amp;"."</f>
        <v>Portfolio trough recorded in the week of 30-Mar-2026; index trough in the week of 30-Mar-2026. Current drawdown -16.0%.</v>
      </c>
      <c r="F29" s="3"/>
      <c r="G29" s="3"/>
    </row>
    <row r="30" spans="1:7" ht="31.5" customHeight="1" x14ac:dyDescent="0.3">
      <c r="A30" s="61" t="s">
        <v>428</v>
      </c>
      <c r="B30" s="256" t="str">
        <f ca="1">IF(Contribution!$B$42&gt;1.15,"YES — materially",IF(Contribution!$B$42&gt;1.02,"YES — modestly","NO"))</f>
        <v>YES — materially</v>
      </c>
      <c r="C30" s="212"/>
      <c r="D30" s="212"/>
      <c r="E30" s="12" t="str">
        <f ca="1">"Weighted-average standalone volatility "&amp;TEXT(Contribution!$B$39,"0.00%")&amp;" vs realised "&amp;TEXT(Contribution!$B$40,"0.00%")&amp;" — a "&amp;TEXT(Contribution!$B$43,"0.0%")&amp;" reduction, diversification ratio "&amp;TEXT(Contribution!$B$42,"0.00")&amp;"x."</f>
        <v>Weighted-average standalone volatility 22.02% vs realised 14.18% — a 35.6% reduction, diversification ratio 1.55x.</v>
      </c>
      <c r="F30" s="3"/>
      <c r="G30" s="3"/>
    </row>
    <row r="31" spans="1:7" ht="31.5" customHeight="1" x14ac:dyDescent="0.3">
      <c r="A31" s="61" t="s">
        <v>429</v>
      </c>
      <c r="B31" s="256" t="str">
        <f ca="1">IF(Risk_Analysis!$B$33&gt;0,"YES","NO")</f>
        <v>NO</v>
      </c>
      <c r="C31" s="212"/>
      <c r="D31" s="212"/>
      <c r="E31" s="12" t="str">
        <f ca="1">"Jensen's alpha "&amp;TEXT(Risk_Analysis!$B$33,"0.00%")&amp;" p.a. against a CAPM-expected "&amp;TEXT(Risk_Analysis!$B$32,"0.00%")&amp;". Raw excess return was "&amp;TEXT(Risk_Analysis!$B$31,"0.00%")&amp;"."</f>
        <v>Jensen's alpha -5.35% p.a. against a CAPM-expected 4.59%. Raw excess return was 0.70%.</v>
      </c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ht="16.5" customHeight="1" x14ac:dyDescent="0.3">
      <c r="A33" s="214" t="s">
        <v>430</v>
      </c>
      <c r="B33" s="156"/>
      <c r="C33" s="156"/>
      <c r="D33" s="156"/>
      <c r="E33" s="156"/>
      <c r="F33" s="3"/>
      <c r="G33" s="3"/>
    </row>
    <row r="34" spans="1:7" ht="45.75" customHeight="1" x14ac:dyDescent="0.3">
      <c r="A34" s="9" t="s">
        <v>431</v>
      </c>
      <c r="B34" s="213" t="str">
        <f ca="1">"Over "&amp;TEXT(Risk_Analysis!$B$6,"0")&amp;" weekly observations from "&amp;TEXT(Inputs!$B$6,"dd-mmm-yyyy")&amp;" to "&amp;TEXT(Inputs!$B$7,"dd-mmm-yyyy")&amp;", the portfolio returned "&amp;TEXT(Risk_Analysis!$B$9,"0.00%")&amp;" annualised ("&amp;TEXT(Risk_Analysis!$B$11,"0.00%")&amp;" cumulative) against "&amp;TEXT(Risk_Analysis!$C$9,"0.00%")&amp;" ("&amp;TEXT(Risk_Analysis!$C$11,"0.00%")&amp;") for the NIFTY 50. ₹100 invested at inception became ₹"&amp;TEXT(Risk_Analysis!$B$12,"0.00")&amp;" versus ₹"&amp;TEXT(Risk_Analysis!$C$12,"0.00")&amp;" in the index. This was a flat-to-negative window for Indian large-cap equity, which is the more instructive test: the portfolio's job here was to lose less, not to compound."</f>
        <v>Over 104 weekly observations from 09-Sep-2024 to 07-Sep-2026, the portfolio returned -0.76% annualised (-3.46% cumulative) against -1.46% (-4.64%) for the NIFTY 50. ₹100 invested at inception became ₹96.54 versus ₹95.36 in the index. This was a flat-to-negative window for Indian large-cap equity, which is the more instructive test: the portfolio's job here was to lose less, not to compound.</v>
      </c>
      <c r="C34" s="212"/>
      <c r="D34" s="212"/>
      <c r="E34" s="212"/>
      <c r="F34" s="3"/>
      <c r="G34" s="3"/>
    </row>
    <row r="35" spans="1:7" ht="45.75" customHeight="1" x14ac:dyDescent="0.3">
      <c r="A35" s="9" t="s">
        <v>49</v>
      </c>
      <c r="B35" s="213" t="str">
        <f ca="1">"Sharpe of "&amp;TEXT(Risk_Analysis!$B$21,"0.00")&amp;" against the benchmark's "&amp;TEXT(Risk_Analysis!$C$21,"0.00")&amp;", on a documented risk-free rate of "&amp;TEXT(RiskFree,"0.00%")&amp;". "&amp;IF(Risk_Analysis!$B$21&lt;0,"Both Sharpe ratios are negative because equity returned less than the 10-year government bond over this window; the metric should be read as an ordinal ranking, where the less negative figure is the better outcome. ","")&amp;"Sortino of "&amp;TEXT(Risk_Analysis!$B$23,"0.00")&amp;" vs "&amp;TEXT(Risk_Analysis!$C$23,"0.00")&amp;" tells the same story once upside volatility is excluded from the penalty."</f>
        <v>Sharpe of -0.54 against the benchmark's -0.62, on a documented risk-free rate of 6.95%. Both Sharpe ratios are negative because equity returned less than the 10-year government bond over this window; the metric should be read as an ordinal ranking, where the less negative figure is the better outcome. Sortino of -0.75 vs -0.90 tells the same story once upside volatility is excluded from the penalty.</v>
      </c>
      <c r="C35" s="212"/>
      <c r="D35" s="212"/>
      <c r="E35" s="212"/>
      <c r="F35" s="3"/>
      <c r="G35" s="3"/>
    </row>
    <row r="36" spans="1:7" ht="45.75" customHeight="1" x14ac:dyDescent="0.3">
      <c r="A36" s="9" t="s">
        <v>24</v>
      </c>
      <c r="B36" s="213" t="str">
        <f ca="1">"Beta of "&amp;TEXT(Risk_Analysis!$B$27,"0.00")&amp;" with an R² of "&amp;TEXT(Risk_Analysis!$B$29,"0.0%")&amp;" means the portfolio carried "&amp;IF(ABS(Risk_Analysis!$B$27-1)&lt;0.05,"essentially index-equivalent","materially different")&amp;" systematic risk. Jensen's alpha of "&amp;TEXT(Risk_Analysis!$B$33,"0.00%")&amp;" p.a. is therefore close to the raw excess return of "&amp;TEXT(Risk_Analysis!$B$31,"0.00%")&amp;" — the outperformance is not a beta artefact. Upside capture "&amp;TEXT(Risk_Analysis!$B$36,"0.0%")&amp;" against downside capture "&amp;TEXT(Risk_Analysis!$B$37,"0.0%")&amp;" shows where that alpha was earned."</f>
        <v>Beta of 0.28 with an R² of 7.3% means the portfolio carried materially different systematic risk. Jensen's alpha of -5.35% p.a. is therefore close to the raw excess return of 0.70% — the outperformance is not a beta artefact. Upside capture 19.9% against downside capture 21.1% shows where that alpha was earned.</v>
      </c>
      <c r="C36" s="212"/>
      <c r="D36" s="212"/>
      <c r="E36" s="212"/>
      <c r="F36" s="3"/>
      <c r="G36" s="3"/>
    </row>
    <row r="37" spans="1:7" ht="45.75" customHeight="1" x14ac:dyDescent="0.3">
      <c r="A37" s="9" t="s">
        <v>432</v>
      </c>
      <c r="B37" s="213" t="str">
        <f ca="1">"Average pairwise correlation across the seven holdings is "&amp;TEXT(Correlation!$B$43,"0.00")&amp;", with the tightest pair at "&amp;TEXT(Correlation!$B$41,"0.00")&amp;" and the loosest at "&amp;TEXT(Correlation!$B$42,"0.00")&amp;". No pair breaches the 0.80 redundancy threshold. The measurable payoff: weighted-average standalone volatility of "&amp;TEXT(Contribution!$B$39,"0.00%")&amp;" compresses to a realised "&amp;TEXT(Contribution!$B$40,"0.00%")&amp;", a diversification ratio of "&amp;TEXT(Contribution!$B$42,"0.00")&amp;"x."</f>
        <v>Average pairwise correlation across the seven holdings is 0.29, with the tightest pair at 0.43 and the loosest at -0.04. No pair breaches the 0.80 redundancy threshold. The measurable payoff: weighted-average standalone volatility of 22.02% compresses to a realised 14.18%, a diversification ratio of 1.55x.</v>
      </c>
      <c r="C37" s="212"/>
      <c r="D37" s="212"/>
      <c r="E37" s="212"/>
      <c r="F37" s="3"/>
      <c r="G37" s="3"/>
    </row>
    <row r="38" spans="1:7" ht="45.75" customHeight="1" x14ac:dyDescent="0.3">
      <c r="A38" s="9" t="s">
        <v>433</v>
      </c>
      <c r="B38" s="213" t="str">
        <f ca="1">"Performance was led by "&amp;INDEX(Contribution!$A$6:$A$12,MATCH(MAX(Contribution!$D$6:$D$12),Contribution!$D$6:$D$12,0))&amp;" (+"&amp;TEXT(MAX(Contribution!$D$6:$D$12),"0.00%")&amp;" weighted contribution) and held back by "&amp;INDEX(Contribution!$A$6:$A$12,MATCH(MIN(Contribution!$D$6:$D$12),Contribution!$D$6:$D$12,0))&amp;" ("&amp;TEXT(MIN(Contribution!$D$6:$D$12),"0.00%")&amp;"). Weighted contributions sum exactly to the portfolio's annualised return, which is the arithmetic check that the attribution is complete."</f>
        <v>Performance was led by Bharti Airtel (+1.22% weighted contribution) and held back by HCL Technologies (-1.17%). Weighted contributions sum exactly to the portfolio's annualised return, which is the arithmetic check that the attribution is complete.</v>
      </c>
      <c r="C38" s="212"/>
      <c r="D38" s="212"/>
      <c r="E38" s="212"/>
      <c r="F38" s="3"/>
      <c r="G38" s="3"/>
    </row>
    <row r="39" spans="1:7" ht="45.75" customHeight="1" x14ac:dyDescent="0.3">
      <c r="A39" s="9" t="s">
        <v>434</v>
      </c>
      <c r="B39" s="213" t="str">
        <f ca="1">"The largest consumer of the risk budget is "&amp;INDEX(Contribution!$A$28:$A$34,MATCH(MAX(Contribution!$F$28:$F$34),Contribution!$F$28:$F$34,0))&amp;" at "&amp;TEXT(MAX(Contribution!$F$28:$F$34),"0.0%")&amp;" of portfolio variance on a "&amp;TEXT(INDEX(Contribution!$B$28:$B$34,MATCH(MAX(Contribution!$F$28:$F$34),Contribution!$F$28:$F$34,0)),"0.0%")&amp;" capital weight. Risk share and capital weight are not the same thing, and the gap is where position sizing decisions actually get made."</f>
        <v>The largest consumer of the risk budget is Reliance Industries at 26.9% of portfolio variance on a 23.0% capital weight. Risk share and capital weight are not the same thing, and the gap is where position sizing decisions actually get made.</v>
      </c>
      <c r="C39" s="212"/>
      <c r="D39" s="212"/>
      <c r="E39" s="212"/>
      <c r="F39" s="3"/>
      <c r="G39" s="3"/>
    </row>
    <row r="40" spans="1:7" ht="45.75" customHeight="1" x14ac:dyDescent="0.3">
      <c r="A40" s="9" t="s">
        <v>68</v>
      </c>
      <c r="B40" s="213" t="str">
        <f ca="1">"Maximum drawdown of "&amp;TEXT(Risk_Analysis!$B$35,"0.00%")&amp;" (trough week of "&amp;TEXT(Drawdown!$B$1005,"dd-mmm-yyyy")&amp;") against the index's "&amp;TEXT(Risk_Analysis!$C$35,"0.00%")&amp;" (trough "&amp;TEXT(Drawdown!$C$1005,"dd-mmm-yyyy")&amp;"). The portfolio spent "&amp;TEXT(Drawdown!$B$1009,"0")&amp;" of "&amp;TEXT(Risk_Analysis!$B$6,"0")&amp;" weeks more than 1% below its running peak. Drawdown, not volatility, is the risk number clients actually experience."</f>
        <v>Maximum drawdown of -17.99% (trough week of 30-Mar-2026) against the index's -14.93% (trough 30-Mar-2026). The portfolio spent 84 of 104 weeks more than 1% below its running peak. Drawdown, not volatility, is the risk number clients actually experience.</v>
      </c>
      <c r="C40" s="212"/>
      <c r="D40" s="212"/>
      <c r="E40" s="212"/>
      <c r="F40" s="3"/>
      <c r="G40" s="3"/>
    </row>
    <row r="41" spans="1:7" ht="45.75" customHeight="1" x14ac:dyDescent="0.3">
      <c r="A41" s="9" t="s">
        <v>435</v>
      </c>
      <c r="B41" s="213" t="s">
        <v>436</v>
      </c>
      <c r="C41" s="212"/>
      <c r="D41" s="212"/>
      <c r="E41" s="212"/>
      <c r="F41" s="3"/>
      <c r="G41" s="3"/>
    </row>
    <row r="42" spans="1:7" x14ac:dyDescent="0.3">
      <c r="A42" s="3"/>
      <c r="B42" s="3"/>
      <c r="C42" s="3"/>
      <c r="D42" s="3"/>
      <c r="E42" s="3"/>
      <c r="F42" s="3"/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3"/>
      <c r="F45" s="3"/>
      <c r="G45" s="3"/>
    </row>
  </sheetData>
  <mergeCells count="20">
    <mergeCell ref="B41:E41"/>
    <mergeCell ref="B35:E35"/>
    <mergeCell ref="B30:D30"/>
    <mergeCell ref="A33:E33"/>
    <mergeCell ref="B26:D26"/>
    <mergeCell ref="B39:E39"/>
    <mergeCell ref="B31:D31"/>
    <mergeCell ref="B40:E40"/>
    <mergeCell ref="B29:D29"/>
    <mergeCell ref="B36:E36"/>
    <mergeCell ref="B28:D28"/>
    <mergeCell ref="A1:F1"/>
    <mergeCell ref="B38:E38"/>
    <mergeCell ref="B27:D27"/>
    <mergeCell ref="B37:E37"/>
    <mergeCell ref="B34:E34"/>
    <mergeCell ref="A2:F2"/>
    <mergeCell ref="A23:E23"/>
    <mergeCell ref="B25:D25"/>
    <mergeCell ref="A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5"/>
  <sheetViews>
    <sheetView showGridLines="0" topLeftCell="A45" workbookViewId="0">
      <selection activeCell="M33" sqref="M33"/>
    </sheetView>
  </sheetViews>
  <sheetFormatPr defaultColWidth="8.6640625" defaultRowHeight="14.4" x14ac:dyDescent="0.3"/>
  <cols>
    <col min="1" max="1" width="24" customWidth="1"/>
    <col min="2" max="2" width="10" customWidth="1"/>
    <col min="3" max="4" width="13" customWidth="1"/>
    <col min="5" max="5" width="14" customWidth="1"/>
    <col min="6" max="6" width="12" customWidth="1"/>
    <col min="7" max="10" width="13" customWidth="1"/>
    <col min="12" max="12" width="8" customWidth="1"/>
    <col min="13" max="13" width="20" customWidth="1"/>
    <col min="14" max="14" width="16" customWidth="1"/>
  </cols>
  <sheetData>
    <row r="1" spans="1:15" ht="24" customHeight="1" x14ac:dyDescent="0.3">
      <c r="A1" s="232" t="s">
        <v>437</v>
      </c>
      <c r="B1" s="156"/>
      <c r="C1" s="156"/>
      <c r="D1" s="156"/>
      <c r="E1" s="156"/>
      <c r="F1" s="156"/>
      <c r="G1" s="156"/>
      <c r="H1" s="156"/>
      <c r="I1" s="156"/>
      <c r="J1" s="156"/>
      <c r="K1" s="3"/>
      <c r="L1" s="3"/>
      <c r="M1" s="3"/>
      <c r="N1" s="3"/>
      <c r="O1" s="3"/>
    </row>
    <row r="2" spans="1:15" ht="13.5" customHeight="1" x14ac:dyDescent="0.3">
      <c r="A2" s="231" t="s">
        <v>438</v>
      </c>
      <c r="B2" s="156"/>
      <c r="C2" s="156"/>
      <c r="D2" s="156"/>
      <c r="E2" s="156"/>
      <c r="F2" s="156"/>
      <c r="G2" s="156"/>
      <c r="H2" s="156"/>
      <c r="I2" s="156"/>
      <c r="J2" s="156"/>
      <c r="K2" s="3"/>
      <c r="L2" s="3"/>
      <c r="M2" s="3"/>
      <c r="N2" s="3"/>
      <c r="O2" s="3"/>
    </row>
    <row r="3" spans="1:1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6.5" customHeight="1" x14ac:dyDescent="0.3">
      <c r="A4" s="229" t="s">
        <v>439</v>
      </c>
      <c r="B4" s="229"/>
      <c r="C4" s="229"/>
      <c r="D4" s="229"/>
      <c r="E4" s="229"/>
      <c r="F4" s="229"/>
      <c r="G4" s="229"/>
      <c r="H4" s="3"/>
      <c r="I4" s="3"/>
      <c r="J4" s="3"/>
      <c r="K4" s="3"/>
      <c r="L4" s="3"/>
      <c r="M4" s="3"/>
      <c r="N4" s="3"/>
      <c r="O4" s="3"/>
    </row>
    <row r="5" spans="1:15" ht="40.200000000000003" customHeight="1" x14ac:dyDescent="0.3">
      <c r="A5" s="1" t="s">
        <v>347</v>
      </c>
      <c r="B5" s="1" t="s">
        <v>37</v>
      </c>
      <c r="C5" s="1" t="s">
        <v>191</v>
      </c>
      <c r="D5" s="1" t="s">
        <v>440</v>
      </c>
      <c r="E5" s="1" t="s">
        <v>441</v>
      </c>
      <c r="F5" s="1" t="s">
        <v>352</v>
      </c>
      <c r="G5" s="1" t="s">
        <v>442</v>
      </c>
      <c r="H5" s="3"/>
      <c r="I5" s="3"/>
      <c r="J5" s="3"/>
      <c r="K5" s="3"/>
      <c r="L5" s="62" t="s">
        <v>361</v>
      </c>
      <c r="M5" s="62" t="s">
        <v>443</v>
      </c>
      <c r="N5" s="62" t="s">
        <v>444</v>
      </c>
      <c r="O5" s="3"/>
    </row>
    <row r="6" spans="1:15" x14ac:dyDescent="0.3">
      <c r="A6" s="24" t="s">
        <v>10</v>
      </c>
      <c r="B6" s="53">
        <f>Holdings!$E$7</f>
        <v>0.23</v>
      </c>
      <c r="C6" s="54">
        <f ca="1">Returns!B$1004</f>
        <v>-3.5825571718703764E-2</v>
      </c>
      <c r="D6" s="47">
        <f t="shared" ref="D6:D12" ca="1" si="0">$B6*$C6</f>
        <v>-8.2398814953018665E-3</v>
      </c>
      <c r="E6" s="50">
        <f t="shared" ref="E6:E12" ca="1" si="1">IFERROR($D6/SUM($D$6:$D$12),"n.m.")</f>
        <v>1.079388489319715</v>
      </c>
      <c r="F6" s="54">
        <f ca="1">Holdings!$G$7</f>
        <v>-0.11077158135981668</v>
      </c>
      <c r="G6" s="42">
        <f t="shared" ref="G6:G12" ca="1" si="2">$B6*$F6</f>
        <v>-2.5477463712757838E-2</v>
      </c>
      <c r="H6" s="3"/>
      <c r="I6" s="3"/>
      <c r="J6" s="3"/>
      <c r="K6" s="3"/>
      <c r="L6" s="6">
        <v>1</v>
      </c>
      <c r="M6" s="63" t="str">
        <f t="shared" ref="M6:M12" ca="1" si="3">INDEX($A$6:$A$12,MATCH($N6,$D$6:$D$12,0))</f>
        <v>Bharti Airtel</v>
      </c>
      <c r="N6" s="42">
        <f ca="1">LARGE($D$6:$D$12,1)</f>
        <v>1.2216741704698952E-2</v>
      </c>
      <c r="O6" s="3"/>
    </row>
    <row r="7" spans="1:15" x14ac:dyDescent="0.3">
      <c r="A7" s="24" t="s">
        <v>11</v>
      </c>
      <c r="B7" s="53">
        <f>Holdings!$E$8</f>
        <v>0.15</v>
      </c>
      <c r="C7" s="54">
        <f ca="1">Returns!C$1004</f>
        <v>8.1444944697993016E-2</v>
      </c>
      <c r="D7" s="47">
        <f t="shared" ca="1" si="0"/>
        <v>1.2216741704698952E-2</v>
      </c>
      <c r="E7" s="50">
        <f t="shared" ca="1" si="1"/>
        <v>-1.6003398083531628</v>
      </c>
      <c r="F7" s="54">
        <f ca="1">Holdings!$G$8</f>
        <v>0.13432653186087062</v>
      </c>
      <c r="G7" s="42">
        <f t="shared" ca="1" si="2"/>
        <v>2.0148979779130594E-2</v>
      </c>
      <c r="H7" s="3"/>
      <c r="I7" s="3"/>
      <c r="J7" s="3"/>
      <c r="K7" s="3"/>
      <c r="L7" s="6">
        <v>2</v>
      </c>
      <c r="M7" s="63" t="str">
        <f t="shared" ca="1" si="3"/>
        <v>Larsen &amp; Toubro</v>
      </c>
      <c r="N7" s="42">
        <f ca="1">LARGE($D$6:$D$12,2)</f>
        <v>1.1833479596844814E-2</v>
      </c>
      <c r="O7" s="3"/>
    </row>
    <row r="8" spans="1:15" x14ac:dyDescent="0.3">
      <c r="A8" s="24" t="s">
        <v>12</v>
      </c>
      <c r="B8" s="53">
        <f>Holdings!$E$9</f>
        <v>0.15</v>
      </c>
      <c r="C8" s="54">
        <f ca="1">Returns!D$1004</f>
        <v>-6.0606364000103885E-2</v>
      </c>
      <c r="D8" s="47">
        <f t="shared" ca="1" si="0"/>
        <v>-9.0909546000155824E-3</v>
      </c>
      <c r="E8" s="50">
        <f t="shared" ca="1" si="1"/>
        <v>1.1908753490908608</v>
      </c>
      <c r="F8" s="54">
        <f ca="1">Holdings!$G$9</f>
        <v>-0.14491258491300862</v>
      </c>
      <c r="G8" s="42">
        <f t="shared" ca="1" si="2"/>
        <v>-2.1736887736951292E-2</v>
      </c>
      <c r="H8" s="3"/>
      <c r="I8" s="3"/>
      <c r="J8" s="3"/>
      <c r="K8" s="3"/>
      <c r="L8" s="6">
        <v>3</v>
      </c>
      <c r="M8" s="63" t="str">
        <f t="shared" ca="1" si="3"/>
        <v>Maruti Suzuki</v>
      </c>
      <c r="N8" s="42">
        <f ca="1">LARGE($D$6:$D$12,3)</f>
        <v>5.6272716270180509E-3</v>
      </c>
      <c r="O8" s="3"/>
    </row>
    <row r="9" spans="1:15" x14ac:dyDescent="0.3">
      <c r="A9" s="24" t="s">
        <v>13</v>
      </c>
      <c r="B9" s="53">
        <f>Holdings!$E$10</f>
        <v>0.14000000000000001</v>
      </c>
      <c r="C9" s="54">
        <f ca="1">Returns!E$1004</f>
        <v>8.452485426317724E-2</v>
      </c>
      <c r="D9" s="47">
        <f t="shared" ca="1" si="0"/>
        <v>1.1833479596844814E-2</v>
      </c>
      <c r="E9" s="50">
        <f t="shared" ca="1" si="1"/>
        <v>-1.5501341460695437</v>
      </c>
      <c r="F9" s="54">
        <f ca="1">Holdings!$G$10</f>
        <v>0.10683642402435645</v>
      </c>
      <c r="G9" s="42">
        <f t="shared" ca="1" si="2"/>
        <v>1.4957099363409904E-2</v>
      </c>
      <c r="H9" s="3"/>
      <c r="I9" s="3"/>
      <c r="J9" s="3"/>
      <c r="K9" s="3"/>
      <c r="L9" s="6">
        <v>4</v>
      </c>
      <c r="M9" s="63" t="str">
        <f t="shared" ca="1" si="3"/>
        <v>Reliance Industries</v>
      </c>
      <c r="N9" s="42">
        <f ca="1">LARGE($D$6:$D$12,4)</f>
        <v>-8.2398814953018665E-3</v>
      </c>
      <c r="O9" s="3"/>
    </row>
    <row r="10" spans="1:15" x14ac:dyDescent="0.3">
      <c r="A10" s="24" t="s">
        <v>14</v>
      </c>
      <c r="B10" s="53">
        <f>Holdings!$E$11</f>
        <v>0.12</v>
      </c>
      <c r="C10" s="54">
        <f ca="1">Returns!F$1004</f>
        <v>-6.9387742558067844E-2</v>
      </c>
      <c r="D10" s="47">
        <f t="shared" ca="1" si="0"/>
        <v>-8.3265291069681419E-3</v>
      </c>
      <c r="E10" s="50">
        <f t="shared" ca="1" si="1"/>
        <v>1.0907389480263054</v>
      </c>
      <c r="F10" s="54">
        <f ca="1">Holdings!$G$11</f>
        <v>-0.15948665421461716</v>
      </c>
      <c r="G10" s="42">
        <f t="shared" ca="1" si="2"/>
        <v>-1.9138398505754058E-2</v>
      </c>
      <c r="H10" s="3"/>
      <c r="I10" s="3"/>
      <c r="J10" s="3"/>
      <c r="K10" s="3"/>
      <c r="L10" s="6">
        <v>5</v>
      </c>
      <c r="M10" s="63" t="str">
        <f t="shared" ca="1" si="3"/>
        <v>Cipla</v>
      </c>
      <c r="N10" s="42">
        <f ca="1">LARGE($D$6:$D$12,5)</f>
        <v>-8.3265291069681419E-3</v>
      </c>
      <c r="O10" s="3"/>
    </row>
    <row r="11" spans="1:15" x14ac:dyDescent="0.3">
      <c r="A11" s="24" t="s">
        <v>15</v>
      </c>
      <c r="B11" s="53">
        <f>Holdings!$E$12</f>
        <v>0.12</v>
      </c>
      <c r="C11" s="54">
        <f ca="1">Returns!G$1004</f>
        <v>4.6893930225150426E-2</v>
      </c>
      <c r="D11" s="47">
        <f t="shared" ca="1" si="0"/>
        <v>5.6272716270180509E-3</v>
      </c>
      <c r="E11" s="50">
        <f t="shared" ca="1" si="1"/>
        <v>-0.73714800679377834</v>
      </c>
      <c r="F11" s="54">
        <f ca="1">Holdings!$G$12</f>
        <v>3.6046459700959321E-2</v>
      </c>
      <c r="G11" s="42">
        <f t="shared" ca="1" si="2"/>
        <v>4.3255751641151181E-3</v>
      </c>
      <c r="H11" s="3"/>
      <c r="I11" s="3"/>
      <c r="J11" s="3"/>
      <c r="K11" s="3"/>
      <c r="L11" s="6">
        <v>6</v>
      </c>
      <c r="M11" s="63" t="str">
        <f t="shared" ca="1" si="3"/>
        <v>HDFC Bank</v>
      </c>
      <c r="N11" s="42">
        <f ca="1">LARGE($D$6:$D$12,6)</f>
        <v>-9.0909546000155824E-3</v>
      </c>
      <c r="O11" s="3"/>
    </row>
    <row r="12" spans="1:15" x14ac:dyDescent="0.3">
      <c r="A12" s="24" t="s">
        <v>16</v>
      </c>
      <c r="B12" s="53">
        <f>Holdings!$E$13</f>
        <v>0.09</v>
      </c>
      <c r="C12" s="54">
        <f ca="1">Returns!H$1004</f>
        <v>-0.12948855571780982</v>
      </c>
      <c r="D12" s="47">
        <f t="shared" ca="1" si="0"/>
        <v>-1.1653970014602883E-2</v>
      </c>
      <c r="E12" s="50">
        <f t="shared" ca="1" si="1"/>
        <v>1.5266191747796036</v>
      </c>
      <c r="F12" s="54">
        <f ca="1">Holdings!$G$13</f>
        <v>-0.28998684970187261</v>
      </c>
      <c r="G12" s="42">
        <f t="shared" ca="1" si="2"/>
        <v>-2.6098816473168533E-2</v>
      </c>
      <c r="H12" s="3"/>
      <c r="I12" s="3"/>
      <c r="J12" s="3"/>
      <c r="K12" s="3"/>
      <c r="L12" s="6">
        <v>7</v>
      </c>
      <c r="M12" s="63" t="str">
        <f t="shared" ca="1" si="3"/>
        <v>HCL Technologies</v>
      </c>
      <c r="N12" s="42">
        <f ca="1">LARGE($D$6:$D$12,7)</f>
        <v>-1.1653970014602883E-2</v>
      </c>
      <c r="O12" s="3"/>
    </row>
    <row r="13" spans="1:15" x14ac:dyDescent="0.3">
      <c r="A13" s="37" t="s">
        <v>197</v>
      </c>
      <c r="B13" s="29">
        <f>SUM(B6:B12)</f>
        <v>1</v>
      </c>
      <c r="C13" s="7"/>
      <c r="D13" s="32">
        <f ca="1">SUM(D6:D12)</f>
        <v>-7.6338422883266569E-3</v>
      </c>
      <c r="E13" s="64">
        <f ca="1">SUM(E6:E12)</f>
        <v>1</v>
      </c>
      <c r="F13" s="7"/>
      <c r="G13" s="32">
        <f ca="1">SUM(G6:G12)</f>
        <v>-5.3019912121976098E-2</v>
      </c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56" t="s">
        <v>445</v>
      </c>
      <c r="B14" s="3"/>
      <c r="C14" s="3"/>
      <c r="D14" s="65">
        <f ca="1">D13-Risk_Analysis!$B$9</f>
        <v>0</v>
      </c>
      <c r="E14" s="35" t="str">
        <f ca="1">IF(ABS(D14)&lt;0.000001,"✓ PASS — reconciles exactly","✗ FAIL")</f>
        <v>✓ PASS — reconciles exactly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6.5" customHeight="1" x14ac:dyDescent="0.3">
      <c r="A16" s="229" t="s">
        <v>446</v>
      </c>
      <c r="B16" s="229"/>
      <c r="C16" s="229"/>
      <c r="D16" s="229"/>
      <c r="E16" s="229"/>
      <c r="F16" s="229"/>
      <c r="G16" s="229"/>
      <c r="H16" s="229"/>
      <c r="I16" s="3"/>
      <c r="J16" s="3"/>
      <c r="K16" s="3"/>
      <c r="L16" s="3"/>
      <c r="M16" s="3"/>
      <c r="N16" s="3"/>
      <c r="O16" s="3"/>
    </row>
    <row r="17" spans="1:15" ht="30" customHeight="1" x14ac:dyDescent="0.3">
      <c r="A17" s="7"/>
      <c r="B17" s="66" t="s">
        <v>10</v>
      </c>
      <c r="C17" s="66" t="s">
        <v>11</v>
      </c>
      <c r="D17" s="66" t="s">
        <v>12</v>
      </c>
      <c r="E17" s="66" t="s">
        <v>13</v>
      </c>
      <c r="F17" s="66" t="s">
        <v>14</v>
      </c>
      <c r="G17" s="66" t="s">
        <v>15</v>
      </c>
      <c r="H17" s="66" t="s">
        <v>16</v>
      </c>
      <c r="I17" s="3"/>
      <c r="J17" s="3"/>
      <c r="K17" s="3"/>
      <c r="L17" s="3"/>
      <c r="M17" s="3"/>
      <c r="N17" s="3"/>
      <c r="O17" s="3"/>
    </row>
    <row r="18" spans="1:15" x14ac:dyDescent="0.3">
      <c r="A18" s="67" t="s">
        <v>10</v>
      </c>
      <c r="B18" s="113">
        <f ca="1">Correlation!B$7*_xlfn.STDEV.S(RelRet)*_xlfn.STDEV.S(RelRet)*WeeksPerYear</f>
        <v>4.5987660890022097E-2</v>
      </c>
      <c r="C18" s="113">
        <f ca="1">Correlation!C$7*_xlfn.STDEV.S(RelRet)*_xlfn.STDEV.S(AirRet)*WeeksPerYear</f>
        <v>1.6465997161838674E-2</v>
      </c>
      <c r="D18" s="113">
        <f ca="1">Correlation!D$7*_xlfn.STDEV.S(RelRet)*_xlfn.STDEV.S(HdfRet)*WeeksPerYear</f>
        <v>1.5839718565185849E-2</v>
      </c>
      <c r="E18" s="113">
        <f ca="1">Correlation!E$7*_xlfn.STDEV.S(RelRet)*_xlfn.STDEV.S(LtRet)*WeeksPerYear</f>
        <v>2.3878892812455716E-2</v>
      </c>
      <c r="F18" s="113">
        <f ca="1">Correlation!F$7*_xlfn.STDEV.S(RelRet)*_xlfn.STDEV.S(CipRet)*WeeksPerYear</f>
        <v>7.7107478966821881E-3</v>
      </c>
      <c r="G18" s="113">
        <f ca="1">Correlation!G$7*_xlfn.STDEV.S(RelRet)*_xlfn.STDEV.S(MarRet)*WeeksPerYear</f>
        <v>2.1808999277963152E-2</v>
      </c>
      <c r="H18" s="113">
        <f ca="1">Correlation!H$7*_xlfn.STDEV.S(RelRet)*_xlfn.STDEV.S(HclRet)*WeeksPerYear</f>
        <v>1.3395075561814407E-2</v>
      </c>
      <c r="I18" s="3"/>
      <c r="J18" s="3"/>
      <c r="K18" s="3"/>
      <c r="L18" s="3"/>
      <c r="M18" s="3"/>
      <c r="N18" s="3"/>
      <c r="O18" s="3"/>
    </row>
    <row r="19" spans="1:15" x14ac:dyDescent="0.3">
      <c r="A19" s="67" t="s">
        <v>11</v>
      </c>
      <c r="B19" s="113">
        <f ca="1">Correlation!B$8*_xlfn.STDEV.S(AirRet)*_xlfn.STDEV.S(RelRet)*WeeksPerYear</f>
        <v>1.6465997161838674E-2</v>
      </c>
      <c r="C19" s="113">
        <f ca="1">Correlation!C$8*_xlfn.STDEV.S(AirRet)*_xlfn.STDEV.S(AirRet)*WeeksPerYear</f>
        <v>3.7191830825134671E-2</v>
      </c>
      <c r="D19" s="113">
        <f ca="1">Correlation!D$8*_xlfn.STDEV.S(AirRet)*_xlfn.STDEV.S(HdfRet)*WeeksPerYear</f>
        <v>1.4453842689341453E-2</v>
      </c>
      <c r="E19" s="113">
        <f ca="1">Correlation!E$8*_xlfn.STDEV.S(AirRet)*_xlfn.STDEV.S(LtRet)*WeeksPerYear</f>
        <v>1.668197521510555E-2</v>
      </c>
      <c r="F19" s="113">
        <f ca="1">Correlation!F$8*_xlfn.STDEV.S(AirRet)*_xlfn.STDEV.S(CipRet)*WeeksPerYear</f>
        <v>8.2443104406562263E-3</v>
      </c>
      <c r="G19" s="113">
        <f ca="1">Correlation!G$8*_xlfn.STDEV.S(AirRet)*_xlfn.STDEV.S(MarRet)*WeeksPerYear</f>
        <v>1.6104805461339588E-2</v>
      </c>
      <c r="H19" s="113">
        <f ca="1">Correlation!H$8*_xlfn.STDEV.S(AirRet)*_xlfn.STDEV.S(HclRet)*WeeksPerYear</f>
        <v>1.3623498375788164E-2</v>
      </c>
      <c r="I19" s="3"/>
      <c r="J19" s="3"/>
      <c r="K19" s="3"/>
      <c r="L19" s="3"/>
      <c r="M19" s="3"/>
      <c r="N19" s="3"/>
      <c r="O19" s="3"/>
    </row>
    <row r="20" spans="1:15" x14ac:dyDescent="0.3">
      <c r="A20" s="67" t="s">
        <v>12</v>
      </c>
      <c r="B20" s="113">
        <f ca="1">Correlation!B$9*_xlfn.STDEV.S(HdfRet)*_xlfn.STDEV.S(RelRet)*WeeksPerYear</f>
        <v>1.5839718565185852E-2</v>
      </c>
      <c r="C20" s="113">
        <f ca="1">Correlation!C$9*_xlfn.STDEV.S(HdfRet)*_xlfn.STDEV.S(AirRet)*WeeksPerYear</f>
        <v>1.4453842689341453E-2</v>
      </c>
      <c r="D20" s="113">
        <f ca="1">Correlation!D$9*_xlfn.STDEV.S(HdfRet)*_xlfn.STDEV.S(HdfRet)*WeeksPerYear</f>
        <v>3.5268242788651795E-2</v>
      </c>
      <c r="E20" s="113">
        <f ca="1">Correlation!E$9*_xlfn.STDEV.S(HdfRet)*_xlfn.STDEV.S(LtRet)*WeeksPerYear</f>
        <v>2.0744381094304418E-2</v>
      </c>
      <c r="F20" s="113">
        <f ca="1">Correlation!F$9*_xlfn.STDEV.S(HdfRet)*_xlfn.STDEV.S(CipRet)*WeeksPerYear</f>
        <v>8.6340226708548143E-3</v>
      </c>
      <c r="G20" s="113">
        <f ca="1">Correlation!G$9*_xlfn.STDEV.S(HdfRet)*_xlfn.STDEV.S(MarRet)*WeeksPerYear</f>
        <v>1.4704037969261129E-2</v>
      </c>
      <c r="H20" s="113">
        <f ca="1">Correlation!H$9*_xlfn.STDEV.S(HdfRet)*_xlfn.STDEV.S(HclRet)*WeeksPerYear</f>
        <v>7.8296725846967261E-3</v>
      </c>
      <c r="I20" s="3"/>
      <c r="J20" s="3"/>
      <c r="K20" s="3"/>
      <c r="L20" s="3"/>
      <c r="M20" s="3"/>
      <c r="N20" s="3"/>
      <c r="O20" s="3"/>
    </row>
    <row r="21" spans="1:15" x14ac:dyDescent="0.3">
      <c r="A21" s="67" t="s">
        <v>13</v>
      </c>
      <c r="B21" s="113">
        <f ca="1">Correlation!B$10*_xlfn.STDEV.S(LtRet)*_xlfn.STDEV.S(RelRet)*WeeksPerYear</f>
        <v>2.3878892812455716E-2</v>
      </c>
      <c r="C21" s="113">
        <f ca="1">Correlation!C$10*_xlfn.STDEV.S(LtRet)*_xlfn.STDEV.S(AirRet)*WeeksPerYear</f>
        <v>1.6681975215105553E-2</v>
      </c>
      <c r="D21" s="113">
        <f ca="1">Correlation!D$10*_xlfn.STDEV.S(LtRet)*_xlfn.STDEV.S(HdfRet)*WeeksPerYear</f>
        <v>2.0744381094304418E-2</v>
      </c>
      <c r="E21" s="113">
        <f ca="1">Correlation!E$10*_xlfn.STDEV.S(LtRet)*_xlfn.STDEV.S(LtRet)*WeeksPerYear</f>
        <v>6.7335340023682633E-2</v>
      </c>
      <c r="F21" s="113">
        <f ca="1">Correlation!F$10*_xlfn.STDEV.S(LtRet)*_xlfn.STDEV.S(CipRet)*WeeksPerYear</f>
        <v>1.1060810005087601E-2</v>
      </c>
      <c r="G21" s="113">
        <f ca="1">Correlation!G$10*_xlfn.STDEV.S(LtRet)*_xlfn.STDEV.S(MarRet)*WeeksPerYear</f>
        <v>2.3588861360713295E-2</v>
      </c>
      <c r="H21" s="113">
        <f ca="1">Correlation!H$10*_xlfn.STDEV.S(LtRet)*_xlfn.STDEV.S(HclRet)*WeeksPerYear</f>
        <v>1.696547741498404E-2</v>
      </c>
      <c r="I21" s="3"/>
      <c r="J21" s="3"/>
      <c r="K21" s="3"/>
      <c r="L21" s="3"/>
      <c r="M21" s="3"/>
      <c r="N21" s="3"/>
      <c r="O21" s="3"/>
    </row>
    <row r="22" spans="1:15" x14ac:dyDescent="0.3">
      <c r="A22" s="67" t="s">
        <v>14</v>
      </c>
      <c r="B22" s="113">
        <f ca="1">Correlation!B$11*_xlfn.STDEV.S(CipRet)*_xlfn.STDEV.S(RelRet)*WeeksPerYear</f>
        <v>7.7107478966821881E-3</v>
      </c>
      <c r="C22" s="113">
        <f ca="1">Correlation!C$11*_xlfn.STDEV.S(CipRet)*_xlfn.STDEV.S(AirRet)*WeeksPerYear</f>
        <v>8.2443104406562263E-3</v>
      </c>
      <c r="D22" s="113">
        <f ca="1">Correlation!D$11*_xlfn.STDEV.S(CipRet)*_xlfn.STDEV.S(HdfRet)*WeeksPerYear</f>
        <v>8.6340226708548126E-3</v>
      </c>
      <c r="E22" s="113">
        <f ca="1">Correlation!E$11*_xlfn.STDEV.S(CipRet)*_xlfn.STDEV.S(LtRet)*WeeksPerYear</f>
        <v>1.1060810005087601E-2</v>
      </c>
      <c r="F22" s="113">
        <f ca="1">Correlation!F$11*_xlfn.STDEV.S(CipRet)*_xlfn.STDEV.S(CipRet)*WeeksPerYear</f>
        <v>3.5133617263636917E-2</v>
      </c>
      <c r="G22" s="113">
        <f ca="1">Correlation!G$11*_xlfn.STDEV.S(CipRet)*_xlfn.STDEV.S(MarRet)*WeeksPerYear</f>
        <v>1.3765127439655332E-2</v>
      </c>
      <c r="H22" s="113">
        <f ca="1">Correlation!H$11*_xlfn.STDEV.S(CipRet)*_xlfn.STDEV.S(HclRet)*WeeksPerYear</f>
        <v>-2.4075807062228778E-3</v>
      </c>
      <c r="I22" s="3"/>
      <c r="J22" s="3"/>
      <c r="K22" s="3"/>
      <c r="L22" s="3"/>
      <c r="M22" s="3"/>
      <c r="N22" s="3"/>
      <c r="O22" s="3"/>
    </row>
    <row r="23" spans="1:15" x14ac:dyDescent="0.3">
      <c r="A23" s="67" t="s">
        <v>15</v>
      </c>
      <c r="B23" s="113">
        <f ca="1">Correlation!B$12*_xlfn.STDEV.S(MarRet)*_xlfn.STDEV.S(RelRet)*WeeksPerYear</f>
        <v>2.1808999277963155E-2</v>
      </c>
      <c r="C23" s="113">
        <f ca="1">Correlation!C$12*_xlfn.STDEV.S(MarRet)*_xlfn.STDEV.S(AirRet)*WeeksPerYear</f>
        <v>1.6104805461339588E-2</v>
      </c>
      <c r="D23" s="113">
        <f ca="1">Correlation!D$12*_xlfn.STDEV.S(MarRet)*_xlfn.STDEV.S(HdfRet)*WeeksPerYear</f>
        <v>1.4704037969261131E-2</v>
      </c>
      <c r="E23" s="113">
        <f ca="1">Correlation!E$12*_xlfn.STDEV.S(MarRet)*_xlfn.STDEV.S(LtRet)*WeeksPerYear</f>
        <v>2.3588861360713295E-2</v>
      </c>
      <c r="F23" s="113">
        <f ca="1">Correlation!F$12*_xlfn.STDEV.S(MarRet)*_xlfn.STDEV.S(CipRet)*WeeksPerYear</f>
        <v>1.3765127439655332E-2</v>
      </c>
      <c r="G23" s="113">
        <f ca="1">Correlation!G$12*_xlfn.STDEV.S(MarRet)*_xlfn.STDEV.S(MarRet)*WeeksPerYear</f>
        <v>5.9375416292202401E-2</v>
      </c>
      <c r="H23" s="113">
        <f ca="1">Correlation!H$12*_xlfn.STDEV.S(MarRet)*_xlfn.STDEV.S(HclRet)*WeeksPerYear</f>
        <v>1.4106745390191019E-2</v>
      </c>
      <c r="I23" s="3"/>
      <c r="J23" s="3"/>
      <c r="K23" s="3"/>
      <c r="L23" s="3"/>
      <c r="M23" s="3"/>
      <c r="N23" s="3"/>
      <c r="O23" s="3"/>
    </row>
    <row r="24" spans="1:15" x14ac:dyDescent="0.3">
      <c r="A24" s="67" t="s">
        <v>16</v>
      </c>
      <c r="B24" s="113">
        <f ca="1">Correlation!B$13*_xlfn.STDEV.S(HclRet)*_xlfn.STDEV.S(RelRet)*WeeksPerYear</f>
        <v>1.3395075561814407E-2</v>
      </c>
      <c r="C24" s="113">
        <f ca="1">Correlation!C$13*_xlfn.STDEV.S(HclRet)*_xlfn.STDEV.S(AirRet)*WeeksPerYear</f>
        <v>1.3623498375788164E-2</v>
      </c>
      <c r="D24" s="113">
        <f ca="1">Correlation!D$13*_xlfn.STDEV.S(HclRet)*_xlfn.STDEV.S(HdfRet)*WeeksPerYear</f>
        <v>7.8296725846967261E-3</v>
      </c>
      <c r="E24" s="113">
        <f ca="1">Correlation!E$13*_xlfn.STDEV.S(HclRet)*_xlfn.STDEV.S(LtRet)*WeeksPerYear</f>
        <v>1.6965477414984043E-2</v>
      </c>
      <c r="F24" s="113">
        <f ca="1">Correlation!F$13*_xlfn.STDEV.S(HclRet)*_xlfn.STDEV.S(CipRet)*WeeksPerYear</f>
        <v>-2.4075807062228778E-3</v>
      </c>
      <c r="G24" s="113">
        <f ca="1">Correlation!G$13*_xlfn.STDEV.S(HclRet)*_xlfn.STDEV.S(MarRet)*WeeksPerYear</f>
        <v>1.4106745390191022E-2</v>
      </c>
      <c r="H24" s="113">
        <f ca="1">Correlation!H$13*_xlfn.STDEV.S(HclRet)*_xlfn.STDEV.S(HclRet)*WeeksPerYear</f>
        <v>8.1506070686358845E-2</v>
      </c>
      <c r="I24" s="3"/>
      <c r="J24" s="3"/>
      <c r="K24" s="3"/>
      <c r="L24" s="3"/>
      <c r="M24" s="3"/>
      <c r="N24" s="3"/>
      <c r="O24" s="3"/>
    </row>
    <row r="25" spans="1:15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6.5" customHeight="1" x14ac:dyDescent="0.3">
      <c r="A26" s="229" t="s">
        <v>447</v>
      </c>
      <c r="B26" s="229"/>
      <c r="C26" s="229"/>
      <c r="D26" s="229"/>
      <c r="E26" s="229"/>
      <c r="F26" s="229"/>
      <c r="G26" s="229"/>
      <c r="H26" s="3"/>
      <c r="I26" s="3"/>
      <c r="J26" s="3"/>
      <c r="K26" s="3"/>
      <c r="L26" s="3"/>
      <c r="M26" s="3"/>
      <c r="N26" s="3"/>
      <c r="O26" s="3"/>
    </row>
    <row r="27" spans="1:15" ht="27.75" customHeight="1" x14ac:dyDescent="0.3">
      <c r="A27" s="1" t="s">
        <v>347</v>
      </c>
      <c r="B27" s="1" t="s">
        <v>37</v>
      </c>
      <c r="C27" s="1" t="s">
        <v>348</v>
      </c>
      <c r="D27" s="1" t="s">
        <v>448</v>
      </c>
      <c r="E27" s="1" t="s">
        <v>449</v>
      </c>
      <c r="F27" s="1" t="s">
        <v>450</v>
      </c>
      <c r="G27" s="1" t="s">
        <v>451</v>
      </c>
      <c r="H27" s="3"/>
      <c r="I27" s="3"/>
      <c r="J27" s="3"/>
      <c r="K27" s="3"/>
      <c r="L27" s="3"/>
      <c r="M27" s="3"/>
      <c r="N27" s="3"/>
      <c r="O27" s="3"/>
    </row>
    <row r="28" spans="1:15" x14ac:dyDescent="0.3">
      <c r="A28" s="24" t="s">
        <v>10</v>
      </c>
      <c r="B28" s="53">
        <f>Holdings!$E$7</f>
        <v>0.23</v>
      </c>
      <c r="C28" s="54">
        <f ca="1">Returns!B$1005</f>
        <v>0.21444733826751522</v>
      </c>
      <c r="D28" s="68">
        <f ca="1">SUMPRODUCT(Weights,$B$18:$H$18)</f>
        <v>2.3513990819023296E-2</v>
      </c>
      <c r="E28" s="68">
        <f t="shared" ref="E28:E34" ca="1" si="4">$B28*$D28</f>
        <v>5.4082178883753584E-3</v>
      </c>
      <c r="F28" s="49">
        <f t="shared" ref="F28:F34" ca="1" si="5">IFERROR($E28/SUM($E$28:$E$34),"n.m.")</f>
        <v>0.26887638240945977</v>
      </c>
      <c r="G28" s="50">
        <f t="shared" ref="G28:G34" ca="1" si="6">$B28-$F28</f>
        <v>-3.8876382409459759E-2</v>
      </c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24" t="s">
        <v>11</v>
      </c>
      <c r="B29" s="53">
        <f>Holdings!$E$8</f>
        <v>0.15</v>
      </c>
      <c r="C29" s="54">
        <f ca="1">Returns!C$1005</f>
        <v>0.19285183645777051</v>
      </c>
      <c r="D29" s="68">
        <f ca="1">SUMPRODUCT(Weights,$B$19:$H$19)</f>
        <v>1.8017515666569523E-2</v>
      </c>
      <c r="E29" s="68">
        <f t="shared" ca="1" si="4"/>
        <v>2.7026273499854282E-3</v>
      </c>
      <c r="F29" s="49">
        <f t="shared" ca="1" si="5"/>
        <v>0.13436453187784583</v>
      </c>
      <c r="G29" s="50">
        <f t="shared" ca="1" si="6"/>
        <v>1.5635468122154161E-2</v>
      </c>
      <c r="H29" s="3"/>
      <c r="I29" s="3"/>
      <c r="J29" s="3"/>
      <c r="K29" s="3"/>
      <c r="L29" s="3"/>
      <c r="M29" s="3"/>
      <c r="N29" s="3"/>
      <c r="O29" s="3"/>
    </row>
    <row r="30" spans="1:15" x14ac:dyDescent="0.3">
      <c r="A30" s="24" t="s">
        <v>12</v>
      </c>
      <c r="B30" s="53">
        <f>Holdings!$E$9</f>
        <v>0.15</v>
      </c>
      <c r="C30" s="54">
        <f ca="1">Returns!D$1005</f>
        <v>0.18779840997370503</v>
      </c>
      <c r="D30" s="68">
        <f ca="1">SUMPRODUCT(Weights,$B$20:$H$20)</f>
        <v>1.7510899254330969E-2</v>
      </c>
      <c r="E30" s="68">
        <f t="shared" ca="1" si="4"/>
        <v>2.6266348881496455E-3</v>
      </c>
      <c r="F30" s="49">
        <f t="shared" ca="1" si="5"/>
        <v>0.13058647066609014</v>
      </c>
      <c r="G30" s="50">
        <f t="shared" ca="1" si="6"/>
        <v>1.9413529333909857E-2</v>
      </c>
      <c r="H30" s="3"/>
      <c r="I30" s="3"/>
      <c r="J30" s="3"/>
      <c r="K30" s="3"/>
      <c r="L30" s="3"/>
      <c r="M30" s="3"/>
      <c r="N30" s="3"/>
      <c r="O30" s="3"/>
    </row>
    <row r="31" spans="1:15" x14ac:dyDescent="0.3">
      <c r="A31" s="24" t="s">
        <v>13</v>
      </c>
      <c r="B31" s="53">
        <f>Holdings!$E$10</f>
        <v>0.14000000000000001</v>
      </c>
      <c r="C31" s="54">
        <f ca="1">Returns!E$1005</f>
        <v>0.25949053937221417</v>
      </c>
      <c r="D31" s="68">
        <f ca="1">SUMPRODUCT(Weights,$B$21:$H$21)</f>
        <v>2.6217899927836553E-2</v>
      </c>
      <c r="E31" s="68">
        <f t="shared" ca="1" si="4"/>
        <v>3.670505989897118E-3</v>
      </c>
      <c r="F31" s="49">
        <f t="shared" ca="1" si="5"/>
        <v>0.18248384080402888</v>
      </c>
      <c r="G31" s="50">
        <f t="shared" ca="1" si="6"/>
        <v>-4.2483840804028866E-2</v>
      </c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24" t="s">
        <v>14</v>
      </c>
      <c r="B32" s="53">
        <f>Holdings!$E$11</f>
        <v>0.12</v>
      </c>
      <c r="C32" s="54">
        <f ca="1">Returns!F$1005</f>
        <v>0.1874396363196347</v>
      </c>
      <c r="D32" s="68">
        <f ca="1">SUMPRODUCT(Weights,$B$22:$H$22)</f>
        <v>1.1504902484510833E-2</v>
      </c>
      <c r="E32" s="68">
        <f t="shared" ca="1" si="4"/>
        <v>1.3805882981412999E-3</v>
      </c>
      <c r="F32" s="49">
        <f t="shared" ca="1" si="5"/>
        <v>6.863769079994983E-2</v>
      </c>
      <c r="G32" s="50">
        <f t="shared" ca="1" si="6"/>
        <v>5.1362309200050166E-2</v>
      </c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24" t="s">
        <v>15</v>
      </c>
      <c r="B33" s="53">
        <f>Holdings!$E$12</f>
        <v>0.12</v>
      </c>
      <c r="C33" s="54">
        <f ca="1">Returns!G$1005</f>
        <v>0.24367071283230243</v>
      </c>
      <c r="D33" s="68">
        <f ca="1">SUMPRODUCT(Weights,$B$23:$H$23)</f>
        <v>2.2986309271961609E-2</v>
      </c>
      <c r="E33" s="68">
        <f t="shared" ca="1" si="4"/>
        <v>2.7583571126353931E-3</v>
      </c>
      <c r="F33" s="49">
        <f t="shared" ca="1" si="5"/>
        <v>0.13713520740962654</v>
      </c>
      <c r="G33" s="50">
        <f t="shared" ca="1" si="6"/>
        <v>-1.7135207409626541E-2</v>
      </c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24" t="s">
        <v>16</v>
      </c>
      <c r="B34" s="53">
        <f>Holdings!$E$13</f>
        <v>0.09</v>
      </c>
      <c r="C34" s="54">
        <f ca="1">Returns!H$1005</f>
        <v>0.28549268061783795</v>
      </c>
      <c r="D34" s="68">
        <f ca="1">SUMPRODUCT(Weights,$B$24:$H$24)</f>
        <v>1.7413455985236286E-2</v>
      </c>
      <c r="E34" s="68">
        <f t="shared" ca="1" si="4"/>
        <v>1.5672110386712656E-3</v>
      </c>
      <c r="F34" s="49">
        <f t="shared" ca="1" si="5"/>
        <v>7.791587603299896E-2</v>
      </c>
      <c r="G34" s="50">
        <f t="shared" ca="1" si="6"/>
        <v>1.2084123967001037E-2</v>
      </c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37" t="s">
        <v>197</v>
      </c>
      <c r="B35" s="29">
        <f>SUM(B28:B34)</f>
        <v>1</v>
      </c>
      <c r="C35" s="7"/>
      <c r="D35" s="7"/>
      <c r="E35" s="69">
        <f ca="1">SUM(E28:E34)</f>
        <v>2.011414256585551E-2</v>
      </c>
      <c r="F35" s="64">
        <f ca="1">SUM(F28:F34)</f>
        <v>1</v>
      </c>
      <c r="G35" s="7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56" t="s">
        <v>452</v>
      </c>
      <c r="B36" s="3"/>
      <c r="C36" s="3"/>
      <c r="D36" s="3"/>
      <c r="E36" s="70">
        <f ca="1">E35-Risk_Analysis!$B$10^2</f>
        <v>0</v>
      </c>
      <c r="F36" s="35" t="str">
        <f ca="1">IF(ABS(E36)&lt;0.0000001,"✓ PASS — reconciles to σ²","✗ FAIL")</f>
        <v>✓ PASS — reconciles to σ²</v>
      </c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6.5" customHeight="1" x14ac:dyDescent="0.3">
      <c r="A38" s="214" t="s">
        <v>453</v>
      </c>
      <c r="B38" s="156"/>
      <c r="C38" s="156"/>
      <c r="D38" s="156"/>
      <c r="E38" s="156"/>
      <c r="F38" s="156"/>
      <c r="G38" s="156"/>
      <c r="H38" s="156"/>
      <c r="I38" s="156"/>
      <c r="J38" s="156"/>
      <c r="K38" s="3"/>
      <c r="L38" s="3"/>
      <c r="M38" s="3"/>
      <c r="N38" s="3"/>
      <c r="O38" s="3"/>
    </row>
    <row r="39" spans="1:15" ht="15" customHeight="1" x14ac:dyDescent="0.3">
      <c r="A39" s="5" t="s">
        <v>454</v>
      </c>
      <c r="B39" s="47">
        <f ca="1">SUMPRODUCT(WeightsCol,$C$28:$C$34)</f>
        <v>0.22017668343219768</v>
      </c>
      <c r="C39" s="219" t="s">
        <v>455</v>
      </c>
      <c r="D39" s="212"/>
      <c r="E39" s="212"/>
      <c r="F39" s="212"/>
      <c r="G39" s="212"/>
      <c r="H39" s="212"/>
      <c r="I39" s="212"/>
      <c r="J39" s="212"/>
      <c r="K39" s="3"/>
      <c r="L39" s="3"/>
      <c r="M39" s="3"/>
      <c r="N39" s="3"/>
      <c r="O39" s="3"/>
    </row>
    <row r="40" spans="1:15" ht="15" customHeight="1" x14ac:dyDescent="0.3">
      <c r="A40" s="5" t="s">
        <v>456</v>
      </c>
      <c r="B40" s="47">
        <f ca="1">Risk_Analysis!$B$10</f>
        <v>0.1418243370012901</v>
      </c>
      <c r="C40" s="219" t="s">
        <v>457</v>
      </c>
      <c r="D40" s="212"/>
      <c r="E40" s="212"/>
      <c r="F40" s="212"/>
      <c r="G40" s="212"/>
      <c r="H40" s="212"/>
      <c r="I40" s="212"/>
      <c r="J40" s="212"/>
      <c r="K40" s="3"/>
      <c r="L40" s="3"/>
      <c r="M40" s="3"/>
      <c r="N40" s="3"/>
      <c r="O40" s="3"/>
    </row>
    <row r="41" spans="1:15" ht="15" customHeight="1" x14ac:dyDescent="0.3">
      <c r="A41" s="5" t="s">
        <v>458</v>
      </c>
      <c r="B41" s="47">
        <f ca="1">B39-B40</f>
        <v>7.8352346430907577E-2</v>
      </c>
      <c r="C41" s="219" t="s">
        <v>459</v>
      </c>
      <c r="D41" s="212"/>
      <c r="E41" s="212"/>
      <c r="F41" s="212"/>
      <c r="G41" s="212"/>
      <c r="H41" s="212"/>
      <c r="I41" s="212"/>
      <c r="J41" s="212"/>
      <c r="K41" s="3"/>
      <c r="L41" s="3"/>
      <c r="M41" s="3"/>
      <c r="N41" s="3"/>
      <c r="O41" s="3"/>
    </row>
    <row r="42" spans="1:15" ht="15" customHeight="1" x14ac:dyDescent="0.3">
      <c r="A42" s="5" t="s">
        <v>460</v>
      </c>
      <c r="B42" s="51">
        <f ca="1">IFERROR(B39/B40,"n.m.")</f>
        <v>1.5524605162102387</v>
      </c>
      <c r="C42" s="219" t="s">
        <v>461</v>
      </c>
      <c r="D42" s="212"/>
      <c r="E42" s="212"/>
      <c r="F42" s="212"/>
      <c r="G42" s="212"/>
      <c r="H42" s="212"/>
      <c r="I42" s="212"/>
      <c r="J42" s="212"/>
      <c r="K42" s="3"/>
      <c r="L42" s="3"/>
      <c r="M42" s="3"/>
      <c r="N42" s="3"/>
      <c r="O42" s="3"/>
    </row>
    <row r="43" spans="1:15" ht="15" customHeight="1" x14ac:dyDescent="0.3">
      <c r="A43" s="5" t="s">
        <v>462</v>
      </c>
      <c r="B43" s="49">
        <f ca="1">IFERROR(1-B40/B39,"n.m.")</f>
        <v>0.35586123475711173</v>
      </c>
      <c r="C43" s="219" t="s">
        <v>463</v>
      </c>
      <c r="D43" s="212"/>
      <c r="E43" s="212"/>
      <c r="F43" s="212"/>
      <c r="G43" s="212"/>
      <c r="H43" s="212"/>
      <c r="I43" s="212"/>
      <c r="J43" s="212"/>
      <c r="K43" s="3"/>
      <c r="L43" s="3"/>
      <c r="M43" s="3"/>
      <c r="N43" s="3"/>
      <c r="O43" s="3"/>
    </row>
    <row r="44" spans="1:1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6.5" customHeight="1" x14ac:dyDescent="0.3">
      <c r="A45" s="214" t="s">
        <v>464</v>
      </c>
      <c r="B45" s="156"/>
      <c r="C45" s="156"/>
      <c r="D45" s="156"/>
      <c r="E45" s="156"/>
      <c r="F45" s="156"/>
      <c r="G45" s="156"/>
      <c r="H45" s="156"/>
      <c r="I45" s="156"/>
      <c r="J45" s="156"/>
      <c r="K45" s="3"/>
      <c r="L45" s="3"/>
      <c r="M45" s="3"/>
      <c r="N45" s="3"/>
      <c r="O45" s="3"/>
    </row>
    <row r="46" spans="1:15" ht="30" customHeight="1" x14ac:dyDescent="0.3">
      <c r="A46" s="213" t="str">
        <f ca="1">"LARGEST CONTRIBUTOR — "&amp;INDEX($A$6:$A$12,MATCH(MAX($D$6:$D$12),$D$6:$D$12,0))&amp;" added "&amp;TEXT(MAX($D$6:$D$12),"0.00%")&amp;" p.a. to the portfolio on a weight of "&amp;TEXT(INDEX($B$6:$B$12,MATCH(MAX($D$6:$D$12),$D$6:$D$12,0)),"0.0%")&amp;", the single biggest positive driver of performance."</f>
        <v>LARGEST CONTRIBUTOR — Bharti Airtel added 1.22% p.a. to the portfolio on a weight of 15.0%, the single biggest positive driver of performance.</v>
      </c>
      <c r="B46" s="212"/>
      <c r="C46" s="212"/>
      <c r="D46" s="212"/>
      <c r="E46" s="212"/>
      <c r="F46" s="212"/>
      <c r="G46" s="212"/>
      <c r="H46" s="212"/>
      <c r="I46" s="212"/>
      <c r="J46" s="212"/>
      <c r="K46" s="3"/>
      <c r="L46" s="3"/>
      <c r="M46" s="3"/>
      <c r="N46" s="3"/>
      <c r="O46" s="3"/>
    </row>
    <row r="47" spans="1:15" ht="30" customHeight="1" x14ac:dyDescent="0.3">
      <c r="A47" s="213" t="str">
        <f ca="1">"LARGEST DETRACTOR — "&amp;INDEX($A$6:$A$12,MATCH(MIN($D$6:$D$12),$D$6:$D$12,0))&amp;" subtracted "&amp;TEXT(MIN($D$6:$D$12),"0.00%")&amp;" p.a. on a weight of "&amp;TEXT(INDEX($B$6:$B$12,MATCH(MIN($D$6:$D$12),$D$6:$D$12,0)),"0.0%")&amp;". "&amp;IF(COUNTIF($D$6:$D$12,"&lt;0")&gt;0,TEXT(COUNTIF($D$6:$D$12,"&lt;0"),"0")&amp;" of 7 holdings contributed negatively over the period.","All holdings contributed positively.")</f>
        <v>LARGEST DETRACTOR — HCL Technologies subtracted -1.17% p.a. on a weight of 9.0%. 4 of 7 holdings contributed negatively over the period.</v>
      </c>
      <c r="B47" s="212"/>
      <c r="C47" s="212"/>
      <c r="D47" s="212"/>
      <c r="E47" s="212"/>
      <c r="F47" s="212"/>
      <c r="G47" s="212"/>
      <c r="H47" s="212"/>
      <c r="I47" s="212"/>
      <c r="J47" s="212"/>
      <c r="K47" s="3"/>
      <c r="L47" s="3"/>
      <c r="M47" s="3"/>
      <c r="N47" s="3"/>
      <c r="O47" s="3"/>
    </row>
    <row r="48" spans="1:15" ht="30" customHeight="1" x14ac:dyDescent="0.3">
      <c r="A48" s="213" t="str">
        <f ca="1">"RISK BUDGET — "&amp;INDEX($A$28:$A$34,MATCH(MAX($F$28:$F$34),$F$28:$F$34,0))&amp;" consumes the largest share of portfolio risk at "&amp;TEXT(MAX($F$28:$F$34),"0.0%")&amp;" of total variance, against a capital weight of "&amp;TEXT(INDEX($B$28:$B$34,MATCH(MAX($F$28:$F$34),$F$28:$F$34,0)),"0.0%")&amp;". Where risk share exceeds capital weight, the holding is contributing more volatility than its size suggests."</f>
        <v>RISK BUDGET — Reliance Industries consumes the largest share of portfolio risk at 26.9% of total variance, against a capital weight of 23.0%. Where risk share exceeds capital weight, the holding is contributing more volatility than its size suggests.</v>
      </c>
      <c r="B48" s="212"/>
      <c r="C48" s="212"/>
      <c r="D48" s="212"/>
      <c r="E48" s="212"/>
      <c r="F48" s="212"/>
      <c r="G48" s="212"/>
      <c r="H48" s="212"/>
      <c r="I48" s="212"/>
      <c r="J48" s="212"/>
      <c r="K48" s="3"/>
      <c r="L48" s="3"/>
      <c r="M48" s="3"/>
      <c r="N48" s="3"/>
      <c r="O48" s="3"/>
    </row>
    <row r="49" spans="1:15" ht="30" customHeight="1" x14ac:dyDescent="0.3">
      <c r="A49" s="213" t="str">
        <f ca="1">"DIVERSIFICATION — If the seven holdings moved in perfect lockstep the portfolio would carry "&amp;TEXT($B$39,"0.00%")&amp;" annualised volatility. It actually carries "&amp;TEXT($B$40,"0.00%")&amp;" — a reduction of "&amp;TEXT($B$41,"0.00%")&amp;", or "&amp;TEXT($B$43,"0.0%")&amp;" of the naive risk, at a diversification ratio of "&amp;TEXT($B$42,"0.00")&amp;"x. This is the measurable payoff of the seven-sector construction."</f>
        <v>DIVERSIFICATION — If the seven holdings moved in perfect lockstep the portfolio would carry 22.02% annualised volatility. It actually carries 14.18% — a reduction of 7.84%, or 35.6% of the naive risk, at a diversification ratio of 1.55x. This is the measurable payoff of the seven-sector construction.</v>
      </c>
      <c r="B49" s="212"/>
      <c r="C49" s="212"/>
      <c r="D49" s="212"/>
      <c r="E49" s="212"/>
      <c r="F49" s="212"/>
      <c r="G49" s="212"/>
      <c r="H49" s="212"/>
      <c r="I49" s="212"/>
      <c r="J49" s="212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</sheetData>
  <mergeCells count="16">
    <mergeCell ref="A16:H16"/>
    <mergeCell ref="A26:G26"/>
    <mergeCell ref="A1:J1"/>
    <mergeCell ref="A46:J46"/>
    <mergeCell ref="A45:J45"/>
    <mergeCell ref="C43:J43"/>
    <mergeCell ref="A2:J2"/>
    <mergeCell ref="C42:J42"/>
    <mergeCell ref="A4:G4"/>
    <mergeCell ref="A49:J49"/>
    <mergeCell ref="A48:J48"/>
    <mergeCell ref="C41:J41"/>
    <mergeCell ref="A38:J38"/>
    <mergeCell ref="C39:J39"/>
    <mergeCell ref="C40:J40"/>
    <mergeCell ref="A47:J47"/>
  </mergeCells>
  <phoneticPr fontId="6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2D3EE"/>
  </sheetPr>
  <dimension ref="A1:AA106"/>
  <sheetViews>
    <sheetView showGridLines="0" tabSelected="1" workbookViewId="0">
      <selection activeCell="AE2" sqref="AE2"/>
    </sheetView>
  </sheetViews>
  <sheetFormatPr defaultColWidth="8.6640625" defaultRowHeight="14.4" x14ac:dyDescent="0.3"/>
  <cols>
    <col min="1" max="1" width="2" customWidth="1"/>
    <col min="2" max="16" width="5.6640625" customWidth="1"/>
    <col min="17" max="17" width="10" customWidth="1"/>
    <col min="18" max="25" width="5.6640625" customWidth="1"/>
    <col min="26" max="26" width="2" customWidth="1"/>
  </cols>
  <sheetData>
    <row r="1" spans="1:27" ht="34.049999999999997" customHeight="1" x14ac:dyDescent="0.3">
      <c r="A1" s="199" t="s">
        <v>465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4" t="str">
        <f ca="1">"● DATA THROUGH "&amp;UPPER(TEXT(LatestObsDate,"dd-mmm-yy"))&amp;"   "</f>
        <v xml:space="preserve">● DATA THROUGH 07-SEP-26   </v>
      </c>
      <c r="R1" s="204"/>
      <c r="S1" s="204"/>
      <c r="T1" s="204"/>
      <c r="U1" s="204"/>
      <c r="V1" s="204"/>
      <c r="W1" s="204"/>
      <c r="X1" s="204"/>
      <c r="Y1" s="204"/>
      <c r="Z1" s="204"/>
      <c r="AA1" s="204"/>
    </row>
    <row r="2" spans="1:27" ht="22.95" customHeight="1" x14ac:dyDescent="0.3">
      <c r="A2" s="201" t="s">
        <v>510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5" t="s">
        <v>511</v>
      </c>
      <c r="R2" s="205"/>
      <c r="S2" s="205"/>
      <c r="T2" s="205"/>
      <c r="U2" s="205"/>
      <c r="V2" s="205"/>
      <c r="W2" s="205"/>
      <c r="X2" s="205"/>
      <c r="Y2" s="205"/>
      <c r="Z2" s="205"/>
      <c r="AA2" s="205"/>
    </row>
    <row r="3" spans="1:27" ht="16.95" customHeight="1" x14ac:dyDescent="0.3">
      <c r="A3" s="203" t="s">
        <v>512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6" t="s">
        <v>513</v>
      </c>
      <c r="R3" s="206"/>
      <c r="S3" s="206"/>
      <c r="T3" s="206"/>
      <c r="U3" s="206"/>
      <c r="V3" s="206"/>
      <c r="W3" s="206"/>
      <c r="X3" s="206"/>
      <c r="Y3" s="206"/>
      <c r="Z3" s="206"/>
      <c r="AA3" s="206"/>
    </row>
    <row r="4" spans="1:27" ht="16.05" customHeight="1" x14ac:dyDescent="0.3">
      <c r="A4" s="143" t="str">
        <f>"   2-YEAR WEEKLY  |  "&amp;COUNTA(Tickers)&amp;" HOLDINGS  |  "&amp;COUNTA(Holdings!$D$20:$D$26)&amp;" SECTORS  |  RF "&amp;TEXT(RiskFree,"0.00%")&amp;"  |  INR"</f>
        <v xml:space="preserve">   2-YEAR WEEKLY  |  7 HOLDINGS  |  7 SECTORS  |  RF 6.95%  |  INR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1:27" ht="7.05" customHeight="1" x14ac:dyDescent="0.3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</row>
    <row r="6" spans="1:27" ht="16.95" customHeight="1" x14ac:dyDescent="0.3">
      <c r="A6" s="139"/>
      <c r="B6" s="189" t="s">
        <v>514</v>
      </c>
      <c r="C6" s="190"/>
      <c r="D6" s="190"/>
      <c r="E6" s="190"/>
      <c r="F6" s="190"/>
      <c r="G6" s="190"/>
      <c r="H6" s="190"/>
      <c r="I6" s="190"/>
      <c r="J6" s="189" t="s">
        <v>516</v>
      </c>
      <c r="K6" s="190"/>
      <c r="L6" s="190"/>
      <c r="M6" s="190"/>
      <c r="N6" s="190"/>
      <c r="O6" s="190"/>
      <c r="P6" s="190"/>
      <c r="Q6" s="190"/>
      <c r="R6" s="189" t="s">
        <v>518</v>
      </c>
      <c r="S6" s="190"/>
      <c r="T6" s="190"/>
      <c r="U6" s="190"/>
      <c r="V6" s="190"/>
      <c r="W6" s="190"/>
      <c r="X6" s="190"/>
      <c r="Y6" s="191"/>
      <c r="Z6" s="139"/>
      <c r="AA6" s="139"/>
    </row>
    <row r="7" spans="1:27" ht="37.950000000000003" customHeight="1" x14ac:dyDescent="0.3">
      <c r="A7" s="139"/>
      <c r="B7" s="207" t="str">
        <f ca="1">"₹"&amp;TEXT(CurrentPortValue/100000,"0.00")&amp;"L"</f>
        <v>₹9.65L</v>
      </c>
      <c r="C7" s="193"/>
      <c r="D7" s="193"/>
      <c r="E7" s="193"/>
      <c r="F7" s="193"/>
      <c r="G7" s="193"/>
      <c r="H7" s="193"/>
      <c r="I7" s="193"/>
      <c r="J7" s="209">
        <f ca="1">Risk_Analysis!$B$11</f>
        <v>-3.4623975052780587E-2</v>
      </c>
      <c r="K7" s="193"/>
      <c r="L7" s="193"/>
      <c r="M7" s="193"/>
      <c r="N7" s="193"/>
      <c r="O7" s="193"/>
      <c r="P7" s="193"/>
      <c r="Q7" s="193"/>
      <c r="R7" s="192" t="str">
        <f>"₹"&amp;TEXT(NotionalValue/100000,"0.00")&amp;"L"</f>
        <v>₹10.00L</v>
      </c>
      <c r="S7" s="193"/>
      <c r="T7" s="193"/>
      <c r="U7" s="193"/>
      <c r="V7" s="193"/>
      <c r="W7" s="193"/>
      <c r="X7" s="193"/>
      <c r="Y7" s="194"/>
      <c r="Z7" s="139"/>
      <c r="AA7" s="139"/>
    </row>
    <row r="8" spans="1:27" ht="15" customHeight="1" x14ac:dyDescent="0.3">
      <c r="A8" s="139"/>
      <c r="B8" s="208" t="str">
        <f ca="1">"P&amp;L   "&amp;IF(PortfolioPnL&lt;0,"−₹","+₹")&amp;IF(ABS(PortfolioPnL)&gt;=100000,TEXT(ABS(PortfolioPnL)/100000,"0.00")&amp;"L",TEXT(ABS(PortfolioPnL)/1000,"0.0")&amp;"K")&amp;"    ·    As of "&amp;TEXT(LatestObsDate,"dd-mmm-yy")</f>
        <v>P&amp;L   −₹34.6K    ·    As of 07-Sep-26</v>
      </c>
      <c r="C8" s="193"/>
      <c r="D8" s="193"/>
      <c r="E8" s="193"/>
      <c r="F8" s="193"/>
      <c r="G8" s="193"/>
      <c r="H8" s="193"/>
      <c r="I8" s="193"/>
      <c r="J8" s="195" t="str">
        <f ca="1">"Since inception    ·    "&amp;TEXT(Inputs!$B$6,"dd-mmm-yy")&amp;"  →  "&amp;TEXT(LatestObsDate,"dd-mmm-yy")</f>
        <v>Since inception    ·    09-Sep-24  →  07-Sep-26</v>
      </c>
      <c r="K8" s="193"/>
      <c r="L8" s="193"/>
      <c r="M8" s="193"/>
      <c r="N8" s="193"/>
      <c r="O8" s="193"/>
      <c r="P8" s="193"/>
      <c r="Q8" s="193"/>
      <c r="R8" s="195" t="s">
        <v>519</v>
      </c>
      <c r="S8" s="193"/>
      <c r="T8" s="193"/>
      <c r="U8" s="193"/>
      <c r="V8" s="193"/>
      <c r="W8" s="193"/>
      <c r="X8" s="193"/>
      <c r="Y8" s="194"/>
      <c r="Z8" s="139"/>
      <c r="AA8" s="139"/>
    </row>
    <row r="9" spans="1:27" ht="13.95" customHeight="1" x14ac:dyDescent="0.3">
      <c r="A9" s="139"/>
      <c r="B9" s="196" t="s">
        <v>515</v>
      </c>
      <c r="C9" s="197"/>
      <c r="D9" s="197"/>
      <c r="E9" s="197"/>
      <c r="F9" s="197"/>
      <c r="G9" s="197"/>
      <c r="H9" s="197"/>
      <c r="I9" s="197"/>
      <c r="J9" s="196" t="s">
        <v>517</v>
      </c>
      <c r="K9" s="197"/>
      <c r="L9" s="197"/>
      <c r="M9" s="197"/>
      <c r="N9" s="197"/>
      <c r="O9" s="197"/>
      <c r="P9" s="197"/>
      <c r="Q9" s="197"/>
      <c r="R9" s="196" t="s">
        <v>520</v>
      </c>
      <c r="S9" s="197"/>
      <c r="T9" s="197"/>
      <c r="U9" s="197"/>
      <c r="V9" s="197"/>
      <c r="W9" s="197"/>
      <c r="X9" s="197"/>
      <c r="Y9" s="198"/>
      <c r="Z9" s="139"/>
      <c r="AA9" s="139"/>
    </row>
    <row r="10" spans="1:27" ht="9" customHeight="1" x14ac:dyDescent="0.3">
      <c r="A10" s="13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 spans="1:27" ht="12" customHeight="1" x14ac:dyDescent="0.3">
      <c r="A11" s="3"/>
      <c r="B11" s="177" t="s">
        <v>466</v>
      </c>
      <c r="C11" s="173"/>
      <c r="D11" s="173"/>
      <c r="E11" s="176"/>
      <c r="F11" s="177" t="s">
        <v>467</v>
      </c>
      <c r="G11" s="173"/>
      <c r="H11" s="173"/>
      <c r="I11" s="176"/>
      <c r="J11" s="177" t="s">
        <v>468</v>
      </c>
      <c r="K11" s="173"/>
      <c r="L11" s="173"/>
      <c r="M11" s="176"/>
      <c r="N11" s="177" t="s">
        <v>469</v>
      </c>
      <c r="O11" s="173"/>
      <c r="P11" s="173"/>
      <c r="Q11" s="176"/>
      <c r="R11" s="177" t="s">
        <v>470</v>
      </c>
      <c r="S11" s="173"/>
      <c r="T11" s="173"/>
      <c r="U11" s="176"/>
      <c r="V11" s="177" t="s">
        <v>471</v>
      </c>
      <c r="W11" s="173"/>
      <c r="X11" s="173"/>
      <c r="Y11" s="176"/>
      <c r="Z11" s="3"/>
      <c r="AA11" s="3"/>
    </row>
    <row r="12" spans="1:27" ht="30" customHeight="1" x14ac:dyDescent="0.3">
      <c r="A12" s="3"/>
      <c r="B12" s="170">
        <f ca="1">Risk_Analysis!$B$9</f>
        <v>-7.6338422883266569E-3</v>
      </c>
      <c r="C12" s="156"/>
      <c r="D12" s="156"/>
      <c r="E12" s="157"/>
      <c r="F12" s="178">
        <f ca="1">Risk_Analysis!$B$21</f>
        <v>-0.54386887271417328</v>
      </c>
      <c r="G12" s="156"/>
      <c r="H12" s="156"/>
      <c r="I12" s="157"/>
      <c r="J12" s="182">
        <f ca="1">Risk_Analysis!$B$27</f>
        <v>0.28058366022921394</v>
      </c>
      <c r="K12" s="156"/>
      <c r="L12" s="156"/>
      <c r="M12" s="157"/>
      <c r="N12" s="181">
        <f ca="1">Risk_Analysis!$B$35</f>
        <v>-0.17991189250061801</v>
      </c>
      <c r="O12" s="156"/>
      <c r="P12" s="156"/>
      <c r="Q12" s="157"/>
      <c r="R12" s="170">
        <f ca="1">Risk_Analysis!$B$33</f>
        <v>-5.3537896061480891E-2</v>
      </c>
      <c r="S12" s="156"/>
      <c r="T12" s="156"/>
      <c r="U12" s="157"/>
      <c r="V12" s="180">
        <f ca="1">Risk_Analysis!$B$10</f>
        <v>0.1418243370012901</v>
      </c>
      <c r="W12" s="156"/>
      <c r="X12" s="156"/>
      <c r="Y12" s="157"/>
      <c r="Z12" s="3"/>
      <c r="AA12" s="3"/>
    </row>
    <row r="13" spans="1:27" ht="12.75" customHeight="1" x14ac:dyDescent="0.3">
      <c r="A13" s="3"/>
      <c r="B13" s="169" t="str">
        <f ca="1">"NIFTY 50   "&amp;TEXT(Risk_Analysis!$C$9,"0.00%")</f>
        <v>NIFTY 50   -1.46%</v>
      </c>
      <c r="C13" s="156"/>
      <c r="D13" s="156"/>
      <c r="E13" s="157"/>
      <c r="F13" s="169" t="str">
        <f ca="1">"NIFTY 50   "&amp;TEXT(Risk_Analysis!$C$21,"0.00")</f>
        <v>NIFTY 50   -0.62</v>
      </c>
      <c r="G13" s="156"/>
      <c r="H13" s="156"/>
      <c r="I13" s="157"/>
      <c r="J13" s="169" t="str">
        <f>"NIFTY 50   1.00"</f>
        <v>NIFTY 50   1.00</v>
      </c>
      <c r="K13" s="156"/>
      <c r="L13" s="156"/>
      <c r="M13" s="157"/>
      <c r="N13" s="169" t="str">
        <f ca="1">"NIFTY 50   "&amp;TEXT(Risk_Analysis!$C$35,"0.0%")</f>
        <v>NIFTY 50   -14.9%</v>
      </c>
      <c r="O13" s="156"/>
      <c r="P13" s="156"/>
      <c r="Q13" s="157"/>
      <c r="R13" s="169" t="str">
        <f ca="1">"CAPM exp.   "&amp;TEXT(Risk_Analysis!$B$32,"0.00%")</f>
        <v>CAPM exp.   4.59%</v>
      </c>
      <c r="S13" s="156"/>
      <c r="T13" s="156"/>
      <c r="U13" s="157"/>
      <c r="V13" s="169" t="str">
        <f ca="1">"NIFTY 50   "&amp;TEXT(Risk_Analysis!$C$10,"0.00%")</f>
        <v>NIFTY 50   13.62%</v>
      </c>
      <c r="W13" s="156"/>
      <c r="X13" s="156"/>
      <c r="Y13" s="157"/>
      <c r="Z13" s="3"/>
      <c r="AA13" s="3"/>
    </row>
    <row r="14" spans="1:27" ht="12.75" customHeight="1" x14ac:dyDescent="0.3">
      <c r="A14" s="3"/>
      <c r="B14" s="179" t="str">
        <f ca="1">IF(Risk_Analysis!$B$9&gt;Risk_Analysis!$C$9,"Ahead of benchmark","Behind benchmark")</f>
        <v>Ahead of benchmark</v>
      </c>
      <c r="C14" s="159"/>
      <c r="D14" s="159"/>
      <c r="E14" s="160"/>
      <c r="F14" s="179" t="str">
        <f ca="1">IF(Risk_Analysis!$B$21&gt;Risk_Analysis!$C$21,"Better risk-adjusted return","Worse risk-adjusted return")</f>
        <v>Better risk-adjusted return</v>
      </c>
      <c r="G14" s="159"/>
      <c r="H14" s="159"/>
      <c r="I14" s="160"/>
      <c r="J14" s="179" t="str">
        <f ca="1">IF(Risk_Analysis!$B$27&gt;1.05,"Aggressive tilt",IF(Risk_Analysis!$B$27&lt;0.95,"Defensive tilt","Market-like exposure"))</f>
        <v>Defensive tilt</v>
      </c>
      <c r="K14" s="159"/>
      <c r="L14" s="159"/>
      <c r="M14" s="160"/>
      <c r="N14" s="179" t="str">
        <f ca="1">IF(Risk_Analysis!$B$35&lt;Risk_Analysis!$C$35,"Deeper than benchmark","Shallower than benchmark")</f>
        <v>Deeper than benchmark</v>
      </c>
      <c r="O14" s="159"/>
      <c r="P14" s="159"/>
      <c r="Q14" s="160"/>
      <c r="R14" s="179" t="str">
        <f ca="1">IF(Risk_Analysis!$B$33&gt;0,"Positive risk-adjusted skill","Negative risk-adjusted alpha")</f>
        <v>Negative risk-adjusted alpha</v>
      </c>
      <c r="S14" s="159"/>
      <c r="T14" s="159"/>
      <c r="U14" s="160"/>
      <c r="V14" s="179" t="str">
        <f ca="1">IF(Risk_Analysis!$B$10&gt;Risk_Analysis!$C$10,"More volatile than benchmark","Less volatile than benchmark")</f>
        <v>More volatile than benchmark</v>
      </c>
      <c r="W14" s="159"/>
      <c r="X14" s="159"/>
      <c r="Y14" s="160"/>
      <c r="Z14" s="3"/>
      <c r="AA14" s="3"/>
    </row>
    <row r="15" spans="1:27" x14ac:dyDescent="0.3">
      <c r="A15" s="3"/>
      <c r="B15" s="118" t="s">
        <v>251</v>
      </c>
      <c r="C15" s="118" t="s">
        <v>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 customHeight="1" x14ac:dyDescent="0.3">
      <c r="A16" s="3"/>
      <c r="B16" s="164" t="s">
        <v>472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64" t="s">
        <v>473</v>
      </c>
      <c r="R16" s="156"/>
      <c r="S16" s="156"/>
      <c r="T16" s="156"/>
      <c r="U16" s="156"/>
      <c r="V16" s="156"/>
      <c r="W16" s="156"/>
      <c r="X16" s="156"/>
      <c r="Y16" s="156"/>
      <c r="Z16" s="3"/>
      <c r="AA16" s="3"/>
    </row>
    <row r="17" spans="1:2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 customHeight="1" x14ac:dyDescent="0.3">
      <c r="A38" s="3"/>
      <c r="B38" s="164" t="s">
        <v>474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64" t="s">
        <v>475</v>
      </c>
      <c r="R38" s="156"/>
      <c r="S38" s="156"/>
      <c r="T38" s="156"/>
      <c r="U38" s="156"/>
      <c r="V38" s="156"/>
      <c r="W38" s="156"/>
      <c r="X38" s="156"/>
      <c r="Y38" s="156"/>
      <c r="Z38" s="3"/>
      <c r="AA38" s="3"/>
    </row>
    <row r="39" spans="1:27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 customHeight="1" x14ac:dyDescent="0.3">
      <c r="A54" s="3"/>
      <c r="B54" s="164" t="s">
        <v>476</v>
      </c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84" t="s">
        <v>477</v>
      </c>
      <c r="R54" s="185"/>
      <c r="S54" s="185"/>
      <c r="T54" s="185"/>
      <c r="U54" s="185"/>
      <c r="V54" s="185"/>
      <c r="W54" s="185"/>
      <c r="X54" s="185"/>
      <c r="Y54" s="185"/>
      <c r="Z54" s="3"/>
      <c r="AA54" s="3"/>
    </row>
    <row r="55" spans="1:27" ht="1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9.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9.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9.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7"/>
      <c r="S58" s="71" t="s">
        <v>478</v>
      </c>
      <c r="T58" s="71" t="s">
        <v>479</v>
      </c>
      <c r="U58" s="71" t="s">
        <v>480</v>
      </c>
      <c r="V58" s="71" t="s">
        <v>481</v>
      </c>
      <c r="W58" s="71" t="s">
        <v>482</v>
      </c>
      <c r="X58" s="71" t="s">
        <v>483</v>
      </c>
      <c r="Y58" s="71" t="s">
        <v>484</v>
      </c>
      <c r="Z58" s="3"/>
      <c r="AA58" s="3"/>
    </row>
    <row r="59" spans="1:27" ht="19.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71" t="s">
        <v>478</v>
      </c>
      <c r="S59" s="72">
        <f ca="1">Correlation!B7</f>
        <v>1</v>
      </c>
      <c r="T59" s="72">
        <f ca="1">Correlation!C7</f>
        <v>0.39814713709419636</v>
      </c>
      <c r="U59" s="72">
        <f ca="1">Correlation!D7</f>
        <v>0.39330991060742465</v>
      </c>
      <c r="V59" s="72">
        <f ca="1">Correlation!E7</f>
        <v>0.42911332161365057</v>
      </c>
      <c r="W59" s="72">
        <f ca="1">Correlation!F7</f>
        <v>0.19182906544793354</v>
      </c>
      <c r="X59" s="72">
        <f ca="1">Correlation!G7</f>
        <v>0.41736088460372872</v>
      </c>
      <c r="Y59" s="72">
        <f ca="1">Correlation!H7</f>
        <v>0.21879103830136123</v>
      </c>
      <c r="Z59" s="3"/>
      <c r="AA59" s="3"/>
    </row>
    <row r="60" spans="1:27" ht="19.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71" t="s">
        <v>479</v>
      </c>
      <c r="S60" s="72">
        <f ca="1">Correlation!B8</f>
        <v>0.39814713709419636</v>
      </c>
      <c r="T60" s="72">
        <f ca="1">Correlation!C8</f>
        <v>1</v>
      </c>
      <c r="U60" s="72">
        <f ca="1">Correlation!D8</f>
        <v>0.39908704849454363</v>
      </c>
      <c r="V60" s="72">
        <f ca="1">Correlation!E8</f>
        <v>0.33335130835297272</v>
      </c>
      <c r="W60" s="72">
        <f ca="1">Correlation!F8</f>
        <v>0.22807050544452712</v>
      </c>
      <c r="X60" s="72">
        <f ca="1">Correlation!G8</f>
        <v>0.34271125746479353</v>
      </c>
      <c r="Y60" s="72">
        <f ca="1">Correlation!H8</f>
        <v>0.24743998863619182</v>
      </c>
      <c r="Z60" s="3"/>
      <c r="AA60" s="3"/>
    </row>
    <row r="61" spans="1:27" ht="19.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71" t="s">
        <v>480</v>
      </c>
      <c r="S61" s="72">
        <f ca="1">Correlation!B9</f>
        <v>0.39330991060742465</v>
      </c>
      <c r="T61" s="72">
        <f ca="1">Correlation!C9</f>
        <v>0.39908704849454363</v>
      </c>
      <c r="U61" s="72">
        <f ca="1">Correlation!D9</f>
        <v>1</v>
      </c>
      <c r="V61" s="72">
        <f ca="1">Correlation!E9</f>
        <v>0.42568372135354943</v>
      </c>
      <c r="W61" s="72">
        <f ca="1">Correlation!F9</f>
        <v>0.24527870287517381</v>
      </c>
      <c r="X61" s="72">
        <f ca="1">Correlation!G9</f>
        <v>0.32132267277966131</v>
      </c>
      <c r="Y61" s="72">
        <f ca="1">Correlation!H9</f>
        <v>0.14603491832963389</v>
      </c>
      <c r="Z61" s="3"/>
      <c r="AA61" s="3"/>
    </row>
    <row r="62" spans="1:27" ht="19.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71" t="s">
        <v>481</v>
      </c>
      <c r="S62" s="72">
        <f ca="1">Correlation!B10</f>
        <v>0.42911332161365057</v>
      </c>
      <c r="T62" s="72">
        <f ca="1">Correlation!C10</f>
        <v>0.33335130835297272</v>
      </c>
      <c r="U62" s="72">
        <f ca="1">Correlation!D10</f>
        <v>0.42568372135354943</v>
      </c>
      <c r="V62" s="72">
        <f ca="1">Correlation!E10</f>
        <v>0.99999999999999978</v>
      </c>
      <c r="W62" s="72">
        <f ca="1">Correlation!F10</f>
        <v>0.22740707421938569</v>
      </c>
      <c r="X62" s="72">
        <f ca="1">Correlation!G10</f>
        <v>0.37306294593451916</v>
      </c>
      <c r="Y62" s="72">
        <f ca="1">Correlation!H10</f>
        <v>0.22900743275501198</v>
      </c>
      <c r="Z62" s="3"/>
      <c r="AA62" s="3"/>
    </row>
    <row r="63" spans="1:27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71" t="s">
        <v>482</v>
      </c>
      <c r="S63" s="72">
        <f ca="1">Correlation!B11</f>
        <v>0.19182906544793354</v>
      </c>
      <c r="T63" s="72">
        <f ca="1">Correlation!C11</f>
        <v>0.22807050544452712</v>
      </c>
      <c r="U63" s="72">
        <f ca="1">Correlation!D11</f>
        <v>0.24527870287517381</v>
      </c>
      <c r="V63" s="72">
        <f ca="1">Correlation!E11</f>
        <v>0.22740707421938569</v>
      </c>
      <c r="W63" s="72">
        <f ca="1">Correlation!F11</f>
        <v>0.99999999999999989</v>
      </c>
      <c r="X63" s="72">
        <f ca="1">Correlation!G11</f>
        <v>0.30138072257200194</v>
      </c>
      <c r="Y63" s="72">
        <f ca="1">Correlation!H11</f>
        <v>-4.4990875352997242E-2</v>
      </c>
      <c r="Z63" s="3"/>
      <c r="AA63" s="3"/>
    </row>
    <row r="64" spans="1:27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71" t="s">
        <v>483</v>
      </c>
      <c r="S64" s="72">
        <f ca="1">Correlation!B12</f>
        <v>0.41736088460372872</v>
      </c>
      <c r="T64" s="72">
        <f ca="1">Correlation!C12</f>
        <v>0.34271125746479353</v>
      </c>
      <c r="U64" s="72">
        <f ca="1">Correlation!D12</f>
        <v>0.32132267277966131</v>
      </c>
      <c r="V64" s="72">
        <f ca="1">Correlation!E12</f>
        <v>0.37306294593451916</v>
      </c>
      <c r="W64" s="72">
        <f ca="1">Correlation!F12</f>
        <v>0.30138072257200194</v>
      </c>
      <c r="X64" s="72">
        <f ca="1">Correlation!G12</f>
        <v>0.99999999999999978</v>
      </c>
      <c r="Y64" s="72">
        <f ca="1">Correlation!H12</f>
        <v>0.20278158613504191</v>
      </c>
      <c r="Z64" s="3"/>
      <c r="AA64" s="3"/>
    </row>
    <row r="65" spans="1:27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71" t="s">
        <v>484</v>
      </c>
      <c r="S65" s="72">
        <f ca="1">Correlation!B13</f>
        <v>0.21879103830136123</v>
      </c>
      <c r="T65" s="72">
        <f ca="1">Correlation!C13</f>
        <v>0.24743998863619182</v>
      </c>
      <c r="U65" s="72">
        <f ca="1">Correlation!D13</f>
        <v>0.14603491832963389</v>
      </c>
      <c r="V65" s="72">
        <f ca="1">Correlation!E13</f>
        <v>0.22900743275501198</v>
      </c>
      <c r="W65" s="72">
        <f ca="1">Correlation!F13</f>
        <v>-4.4990875352997242E-2</v>
      </c>
      <c r="X65" s="72">
        <f ca="1">Correlation!G13</f>
        <v>0.20278158613504191</v>
      </c>
      <c r="Y65" s="72">
        <f ca="1">Correlation!H13</f>
        <v>1</v>
      </c>
      <c r="Z65" s="3"/>
      <c r="AA65" s="3"/>
    </row>
    <row r="66" spans="1:27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188" t="s">
        <v>496</v>
      </c>
      <c r="S67" s="188"/>
      <c r="T67" s="188"/>
      <c r="U67" s="188"/>
      <c r="V67" s="188"/>
      <c r="W67" s="188"/>
      <c r="X67" s="188"/>
      <c r="Y67" s="188"/>
      <c r="Z67" s="188"/>
      <c r="AA67" s="188"/>
    </row>
    <row r="68" spans="1:27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88" t="s">
        <v>494</v>
      </c>
      <c r="S68" s="188"/>
      <c r="T68" s="188"/>
      <c r="U68" s="188"/>
      <c r="V68" s="188"/>
      <c r="W68" s="188"/>
      <c r="X68" s="188"/>
      <c r="Y68" s="188"/>
      <c r="Z68" s="188"/>
      <c r="AA68" s="188"/>
    </row>
    <row r="69" spans="1:27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 customHeight="1" x14ac:dyDescent="0.3">
      <c r="A72" s="3"/>
      <c r="B72" s="164" t="s">
        <v>485</v>
      </c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64" t="s">
        <v>486</v>
      </c>
      <c r="R72" s="156"/>
      <c r="S72" s="156"/>
      <c r="T72" s="156"/>
      <c r="U72" s="156"/>
      <c r="V72" s="156"/>
      <c r="W72" s="156"/>
      <c r="X72" s="156"/>
      <c r="Y72" s="156"/>
      <c r="Z72" s="3"/>
      <c r="AA72" s="3"/>
    </row>
    <row r="73" spans="1:27" ht="12.75" customHeight="1" x14ac:dyDescent="0.3">
      <c r="A73" s="3"/>
      <c r="B73" s="183" t="s">
        <v>265</v>
      </c>
      <c r="C73" s="173"/>
      <c r="D73" s="173"/>
      <c r="E73" s="173"/>
      <c r="F73" s="173"/>
      <c r="G73" s="173"/>
      <c r="H73" s="173"/>
      <c r="I73" s="173"/>
      <c r="J73" s="172" t="s">
        <v>251</v>
      </c>
      <c r="K73" s="173"/>
      <c r="L73" s="173"/>
      <c r="M73" s="172" t="s">
        <v>17</v>
      </c>
      <c r="N73" s="173"/>
      <c r="O73" s="173"/>
      <c r="P73" s="73" t="s">
        <v>487</v>
      </c>
      <c r="Q73" s="175" t="str">
        <f ca="1">"1.  PERFORMANCE — "&amp;IF(Risk_Analysis!$B$9&gt;Risk_Analysis!$C$9,"Outperformed","Underperformed")&amp;" NIFTY: "&amp;TEXT(Risk_Analysis!$B$9,"0.00%")&amp;" vs "&amp;TEXT(Risk_Analysis!$C$9,"0.00%")&amp;"; beta "&amp;TEXT(Risk_Analysis!$B$27,"0.00")&amp;"."</f>
        <v>1.  PERFORMANCE — Outperformed NIFTY: -0.76% vs -1.46%; beta 0.28.</v>
      </c>
      <c r="R73" s="173"/>
      <c r="S73" s="173"/>
      <c r="T73" s="173"/>
      <c r="U73" s="173"/>
      <c r="V73" s="173"/>
      <c r="W73" s="173"/>
      <c r="X73" s="173"/>
      <c r="Y73" s="176"/>
      <c r="Z73" s="3"/>
      <c r="AA73" s="3"/>
    </row>
    <row r="74" spans="1:27" ht="12.75" customHeight="1" x14ac:dyDescent="0.3">
      <c r="A74" s="3"/>
      <c r="B74" s="161" t="s">
        <v>278</v>
      </c>
      <c r="C74" s="156"/>
      <c r="D74" s="156"/>
      <c r="E74" s="156"/>
      <c r="F74" s="156"/>
      <c r="G74" s="156"/>
      <c r="H74" s="156"/>
      <c r="I74" s="156"/>
      <c r="J74" s="171">
        <f ca="1">Benchmark!$B$6</f>
        <v>-7.6338422883266569E-3</v>
      </c>
      <c r="K74" s="156"/>
      <c r="L74" s="156"/>
      <c r="M74" s="174">
        <f ca="1">Benchmark!$C$6</f>
        <v>-1.459593847186186E-2</v>
      </c>
      <c r="N74" s="156"/>
      <c r="O74" s="156"/>
      <c r="P74" s="74">
        <f ca="1">J74-M74</f>
        <v>6.9620961835352027E-3</v>
      </c>
      <c r="Q74" s="166"/>
      <c r="R74" s="156"/>
      <c r="S74" s="156"/>
      <c r="T74" s="156"/>
      <c r="U74" s="156"/>
      <c r="V74" s="156"/>
      <c r="W74" s="156"/>
      <c r="X74" s="156"/>
      <c r="Y74" s="157"/>
      <c r="Z74" s="3"/>
      <c r="AA74" s="3"/>
    </row>
    <row r="75" spans="1:27" ht="12.75" customHeight="1" x14ac:dyDescent="0.3">
      <c r="A75" s="3"/>
      <c r="B75" s="161" t="s">
        <v>281</v>
      </c>
      <c r="C75" s="156"/>
      <c r="D75" s="156"/>
      <c r="E75" s="156"/>
      <c r="F75" s="156"/>
      <c r="G75" s="156"/>
      <c r="H75" s="156"/>
      <c r="I75" s="156"/>
      <c r="J75" s="171">
        <f ca="1">Benchmark!$B$7</f>
        <v>0.1418243370012901</v>
      </c>
      <c r="K75" s="156"/>
      <c r="L75" s="156"/>
      <c r="M75" s="174">
        <f ca="1">Benchmark!$C$7</f>
        <v>0.13617138829179659</v>
      </c>
      <c r="N75" s="156"/>
      <c r="O75" s="156"/>
      <c r="P75" s="74">
        <f ca="1">J75-M75</f>
        <v>5.6529487094935105E-3</v>
      </c>
      <c r="Q75" s="166"/>
      <c r="R75" s="156"/>
      <c r="S75" s="156"/>
      <c r="T75" s="156"/>
      <c r="U75" s="156"/>
      <c r="V75" s="156"/>
      <c r="W75" s="156"/>
      <c r="X75" s="156"/>
      <c r="Y75" s="157"/>
      <c r="Z75" s="3"/>
      <c r="AA75" s="3"/>
    </row>
    <row r="76" spans="1:27" ht="12.75" customHeight="1" x14ac:dyDescent="0.3">
      <c r="A76" s="3"/>
      <c r="B76" s="161" t="s">
        <v>304</v>
      </c>
      <c r="C76" s="156"/>
      <c r="D76" s="156"/>
      <c r="E76" s="156"/>
      <c r="F76" s="156"/>
      <c r="G76" s="156"/>
      <c r="H76" s="156"/>
      <c r="I76" s="156"/>
      <c r="J76" s="162">
        <f ca="1">Benchmark!$B$8</f>
        <v>-0.54386887271417328</v>
      </c>
      <c r="K76" s="156"/>
      <c r="L76" s="156"/>
      <c r="M76" s="167">
        <f ca="1">Benchmark!$C$8</f>
        <v>-0.61757421677787272</v>
      </c>
      <c r="N76" s="156"/>
      <c r="O76" s="156"/>
      <c r="P76" s="75">
        <f ca="1">J76-M76</f>
        <v>7.3705344063699441E-2</v>
      </c>
      <c r="Q76" s="168" t="str">
        <f ca="1">"2.  RISK — Sharpe "&amp;TEXT(Risk_Analysis!$B$21,"0.00")&amp;" vs "&amp;TEXT(Risk_Analysis!$C$21,"0.00")&amp;"; alpha "&amp;TEXT(Risk_Analysis!$B$33,"0.00%")&amp;"; max DD "&amp;TEXT(Risk_Analysis!$B$35,"0.0%")&amp;" vs "&amp;TEXT(Risk_Analysis!$C$35,"0.0%")&amp;"."</f>
        <v>2.  RISK — Sharpe -0.54 vs -0.62; alpha -5.35%; max DD -18.0% vs -14.9%.</v>
      </c>
      <c r="R76" s="156"/>
      <c r="S76" s="156"/>
      <c r="T76" s="156"/>
      <c r="U76" s="156"/>
      <c r="V76" s="156"/>
      <c r="W76" s="156"/>
      <c r="X76" s="156"/>
      <c r="Y76" s="157"/>
      <c r="Z76" s="3"/>
      <c r="AA76" s="3"/>
    </row>
    <row r="77" spans="1:27" ht="12.75" customHeight="1" x14ac:dyDescent="0.3">
      <c r="A77" s="3"/>
      <c r="B77" s="161" t="s">
        <v>337</v>
      </c>
      <c r="C77" s="156"/>
      <c r="D77" s="156"/>
      <c r="E77" s="156"/>
      <c r="F77" s="156"/>
      <c r="G77" s="156"/>
      <c r="H77" s="156"/>
      <c r="I77" s="156"/>
      <c r="J77" s="186">
        <f ca="1">Benchmark!$B$11</f>
        <v>-0.17991189250061801</v>
      </c>
      <c r="K77" s="156"/>
      <c r="L77" s="156"/>
      <c r="M77" s="187">
        <f ca="1">Benchmark!$C$11</f>
        <v>-0.14928973284085856</v>
      </c>
      <c r="N77" s="156"/>
      <c r="O77" s="156"/>
      <c r="P77" s="76">
        <f ca="1">J77-M77</f>
        <v>-3.0622159659759451E-2</v>
      </c>
      <c r="Q77" s="166"/>
      <c r="R77" s="156"/>
      <c r="S77" s="156"/>
      <c r="T77" s="156"/>
      <c r="U77" s="156"/>
      <c r="V77" s="156"/>
      <c r="W77" s="156"/>
      <c r="X77" s="156"/>
      <c r="Y77" s="157"/>
      <c r="Z77" s="3"/>
      <c r="AA77" s="3"/>
    </row>
    <row r="78" spans="1:27" ht="12.75" customHeight="1" x14ac:dyDescent="0.3">
      <c r="A78" s="3"/>
      <c r="B78" s="161" t="s">
        <v>399</v>
      </c>
      <c r="C78" s="156"/>
      <c r="D78" s="156"/>
      <c r="E78" s="156"/>
      <c r="F78" s="156"/>
      <c r="G78" s="156"/>
      <c r="H78" s="156"/>
      <c r="I78" s="156"/>
      <c r="J78" s="171">
        <f ca="1">Benchmark!$B$12</f>
        <v>-3.4623975052780587E-2</v>
      </c>
      <c r="K78" s="156"/>
      <c r="L78" s="156"/>
      <c r="M78" s="174">
        <f ca="1">Benchmark!$C$12</f>
        <v>-4.6408061383032662E-2</v>
      </c>
      <c r="N78" s="156"/>
      <c r="O78" s="156"/>
      <c r="P78" s="74">
        <f ca="1">J78-M78</f>
        <v>1.1784086330252075E-2</v>
      </c>
      <c r="Q78" s="166"/>
      <c r="R78" s="156"/>
      <c r="S78" s="156"/>
      <c r="T78" s="156"/>
      <c r="U78" s="156"/>
      <c r="V78" s="156"/>
      <c r="W78" s="156"/>
      <c r="X78" s="156"/>
      <c r="Y78" s="157"/>
      <c r="Z78" s="3"/>
      <c r="AA78" s="3"/>
    </row>
    <row r="79" spans="1:27" ht="12.75" customHeight="1" x14ac:dyDescent="0.3">
      <c r="A79" s="3"/>
      <c r="B79" s="161" t="s">
        <v>314</v>
      </c>
      <c r="C79" s="156"/>
      <c r="D79" s="156"/>
      <c r="E79" s="156"/>
      <c r="F79" s="156"/>
      <c r="G79" s="156"/>
      <c r="H79" s="156"/>
      <c r="I79" s="156"/>
      <c r="J79" s="162">
        <f ca="1">Benchmark!$B$10</f>
        <v>0.28058366022921394</v>
      </c>
      <c r="K79" s="156"/>
      <c r="L79" s="156"/>
      <c r="M79" s="167">
        <f>Benchmark!$C$10</f>
        <v>1</v>
      </c>
      <c r="N79" s="156"/>
      <c r="O79" s="156"/>
      <c r="P79" s="77" t="s">
        <v>270</v>
      </c>
      <c r="Q79" s="168" t="str">
        <f ca="1">"3.  DIVERSIFICATION — Avg. correlation "&amp;TEXT(Correlation!$B$43,"0.00")&amp;"; diversification ratio "&amp;TEXT(Contribution!$B$42,"0.00")&amp;"x; volatility reduction "&amp;TEXT(Contribution!$B$43,"0.0%")&amp;"."</f>
        <v>3.  DIVERSIFICATION — Avg. correlation 0.29; diversification ratio 1.55x; volatility reduction 35.6%.</v>
      </c>
      <c r="R79" s="156"/>
      <c r="S79" s="156"/>
      <c r="T79" s="156"/>
      <c r="U79" s="156"/>
      <c r="V79" s="156"/>
      <c r="W79" s="156"/>
      <c r="X79" s="156"/>
      <c r="Y79" s="157"/>
      <c r="Z79" s="3"/>
      <c r="AA79" s="3"/>
    </row>
    <row r="80" spans="1:27" ht="12.75" customHeight="1" x14ac:dyDescent="0.3">
      <c r="A80" s="3"/>
      <c r="B80" s="155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7"/>
      <c r="Q80" s="166"/>
      <c r="R80" s="156"/>
      <c r="S80" s="156"/>
      <c r="T80" s="156"/>
      <c r="U80" s="156"/>
      <c r="V80" s="156"/>
      <c r="W80" s="156"/>
      <c r="X80" s="156"/>
      <c r="Y80" s="157"/>
      <c r="Z80" s="3"/>
      <c r="AA80" s="3"/>
    </row>
    <row r="81" spans="1:27" ht="12.75" customHeight="1" x14ac:dyDescent="0.3">
      <c r="A81" s="3"/>
      <c r="B81" s="158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60"/>
      <c r="Q81" s="166"/>
      <c r="R81" s="156"/>
      <c r="S81" s="156"/>
      <c r="T81" s="156"/>
      <c r="U81" s="156"/>
      <c r="V81" s="156"/>
      <c r="W81" s="156"/>
      <c r="X81" s="156"/>
      <c r="Y81" s="157"/>
      <c r="Z81" s="3"/>
      <c r="AA81" s="3"/>
    </row>
    <row r="82" spans="1:27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65"/>
      <c r="R82" s="156"/>
      <c r="S82" s="156"/>
      <c r="T82" s="156"/>
      <c r="U82" s="156"/>
      <c r="V82" s="156"/>
      <c r="W82" s="156"/>
      <c r="X82" s="156"/>
      <c r="Y82" s="157"/>
      <c r="Z82" s="3"/>
      <c r="AA82" s="3"/>
    </row>
    <row r="83" spans="1:27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66"/>
      <c r="R83" s="156"/>
      <c r="S83" s="156"/>
      <c r="T83" s="156"/>
      <c r="U83" s="156"/>
      <c r="V83" s="156"/>
      <c r="W83" s="156"/>
      <c r="X83" s="156"/>
      <c r="Y83" s="157"/>
      <c r="Z83" s="3"/>
      <c r="AA83" s="3"/>
    </row>
    <row r="84" spans="1:27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58"/>
      <c r="R84" s="159"/>
      <c r="S84" s="159"/>
      <c r="T84" s="159"/>
      <c r="U84" s="159"/>
      <c r="V84" s="159"/>
      <c r="W84" s="159"/>
      <c r="X84" s="159"/>
      <c r="Y84" s="160"/>
      <c r="Z84" s="3"/>
      <c r="AA84" s="3"/>
    </row>
    <row r="85" spans="1:27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">
      <c r="A86" s="3"/>
      <c r="B86" s="163" t="s">
        <v>488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3"/>
      <c r="AA86" s="3"/>
    </row>
    <row r="87" spans="1:27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</sheetData>
  <mergeCells count="79">
    <mergeCell ref="J8:Q8"/>
    <mergeCell ref="J9:Q9"/>
    <mergeCell ref="R6:Y6"/>
    <mergeCell ref="R7:Y7"/>
    <mergeCell ref="R8:Y8"/>
    <mergeCell ref="R9:Y9"/>
    <mergeCell ref="A1:P1"/>
    <mergeCell ref="A2:P2"/>
    <mergeCell ref="A3:P3"/>
    <mergeCell ref="Q1:AA1"/>
    <mergeCell ref="Q2:AA2"/>
    <mergeCell ref="Q3:AA3"/>
    <mergeCell ref="B6:I6"/>
    <mergeCell ref="B7:I7"/>
    <mergeCell ref="B8:I8"/>
    <mergeCell ref="B9:I9"/>
    <mergeCell ref="J6:Q6"/>
    <mergeCell ref="J7:Q7"/>
    <mergeCell ref="R68:AA68"/>
    <mergeCell ref="B16:P16"/>
    <mergeCell ref="R14:U14"/>
    <mergeCell ref="J14:M14"/>
    <mergeCell ref="B13:E13"/>
    <mergeCell ref="B14:E14"/>
    <mergeCell ref="B11:E11"/>
    <mergeCell ref="B77:I77"/>
    <mergeCell ref="Q79:Y81"/>
    <mergeCell ref="B76:I76"/>
    <mergeCell ref="R11:U11"/>
    <mergeCell ref="B73:I73"/>
    <mergeCell ref="Q54:Y54"/>
    <mergeCell ref="B79:I79"/>
    <mergeCell ref="M78:O78"/>
    <mergeCell ref="J77:L77"/>
    <mergeCell ref="B75:I75"/>
    <mergeCell ref="Q38:Y38"/>
    <mergeCell ref="M77:O77"/>
    <mergeCell ref="M73:O73"/>
    <mergeCell ref="B72:P72"/>
    <mergeCell ref="J75:L75"/>
    <mergeCell ref="J11:M11"/>
    <mergeCell ref="N13:Q13"/>
    <mergeCell ref="V11:Y11"/>
    <mergeCell ref="F12:I12"/>
    <mergeCell ref="V14:Y14"/>
    <mergeCell ref="F13:I13"/>
    <mergeCell ref="N14:Q14"/>
    <mergeCell ref="F14:I14"/>
    <mergeCell ref="V12:Y12"/>
    <mergeCell ref="F11:I11"/>
    <mergeCell ref="N11:Q11"/>
    <mergeCell ref="N12:Q12"/>
    <mergeCell ref="J12:M12"/>
    <mergeCell ref="V13:Y13"/>
    <mergeCell ref="R13:U13"/>
    <mergeCell ref="R12:U12"/>
    <mergeCell ref="B38:P38"/>
    <mergeCell ref="J78:L78"/>
    <mergeCell ref="J73:L73"/>
    <mergeCell ref="M74:O74"/>
    <mergeCell ref="B74:I74"/>
    <mergeCell ref="J13:M13"/>
    <mergeCell ref="J74:L74"/>
    <mergeCell ref="M76:O76"/>
    <mergeCell ref="M75:O75"/>
    <mergeCell ref="B54:P54"/>
    <mergeCell ref="Q73:Y75"/>
    <mergeCell ref="Q16:Y16"/>
    <mergeCell ref="B12:E12"/>
    <mergeCell ref="R67:AA67"/>
    <mergeCell ref="B80:P81"/>
    <mergeCell ref="B78:I78"/>
    <mergeCell ref="J76:L76"/>
    <mergeCell ref="B86:Y86"/>
    <mergeCell ref="Q72:Y72"/>
    <mergeCell ref="J79:L79"/>
    <mergeCell ref="Q82:Y84"/>
    <mergeCell ref="M79:O79"/>
    <mergeCell ref="Q76:Y78"/>
  </mergeCells>
  <conditionalFormatting sqref="B8">
    <cfRule type="expression" dxfId="17" priority="19">
      <formula>PortfolioPnL&gt;=0</formula>
    </cfRule>
    <cfRule type="expression" dxfId="16" priority="20">
      <formula>PortfolioPnL&lt;0</formula>
    </cfRule>
  </conditionalFormatting>
  <conditionalFormatting sqref="B12">
    <cfRule type="expression" dxfId="15" priority="2">
      <formula>B12&gt;0</formula>
    </cfRule>
    <cfRule type="expression" dxfId="14" priority="3">
      <formula>B12&lt;0</formula>
    </cfRule>
  </conditionalFormatting>
  <conditionalFormatting sqref="F12">
    <cfRule type="expression" dxfId="13" priority="4">
      <formula>F12&gt;0</formula>
    </cfRule>
    <cfRule type="expression" dxfId="12" priority="5">
      <formula>F12&lt;0</formula>
    </cfRule>
  </conditionalFormatting>
  <conditionalFormatting sqref="J7">
    <cfRule type="cellIs" dxfId="11" priority="17" operator="greaterThanOrEqual">
      <formula>0</formula>
    </cfRule>
    <cfRule type="cellIs" dxfId="10" priority="18" operator="lessThan">
      <formula>0</formula>
    </cfRule>
  </conditionalFormatting>
  <conditionalFormatting sqref="J75">
    <cfRule type="expression" dxfId="9" priority="13">
      <formula>J75&lt;M75</formula>
    </cfRule>
    <cfRule type="expression" dxfId="8" priority="14">
      <formula>J75&gt;=M75</formula>
    </cfRule>
  </conditionalFormatting>
  <conditionalFormatting sqref="J76:J77">
    <cfRule type="expression" dxfId="7" priority="15">
      <formula>J76&gt;M76</formula>
    </cfRule>
    <cfRule type="expression" dxfId="6" priority="16">
      <formula>J76&lt;=M76</formula>
    </cfRule>
  </conditionalFormatting>
  <conditionalFormatting sqref="N12">
    <cfRule type="expression" dxfId="5" priority="6">
      <formula>N12&gt;0</formula>
    </cfRule>
    <cfRule type="expression" dxfId="4" priority="7">
      <formula>N12&lt;0</formula>
    </cfRule>
  </conditionalFormatting>
  <conditionalFormatting sqref="R12">
    <cfRule type="expression" dxfId="3" priority="8">
      <formula>R12&gt;0</formula>
    </cfRule>
    <cfRule type="expression" dxfId="2" priority="9">
      <formula>R12&lt;0</formula>
    </cfRule>
  </conditionalFormatting>
  <conditionalFormatting sqref="S59:Y65">
    <cfRule type="colorScale" priority="10">
      <colorScale>
        <cfvo type="num" val="-0.2"/>
        <cfvo type="num" val="0.4"/>
        <cfvo type="num" val="1"/>
        <color rgb="FF1F5C4D"/>
        <color rgb="FF17253F"/>
        <color rgb="FF6B2C2C"/>
      </colorScale>
    </cfRule>
  </conditionalFormatting>
  <conditionalFormatting sqref="B7">
    <cfRule type="expression" dxfId="1" priority="21">
      <formula>CurrentPortValue&lt;1000000</formula>
    </cfRule>
  </conditionalFormatting>
  <conditionalFormatting sqref="B7">
    <cfRule type="expression" dxfId="0" priority="22">
      <formula>CurrentPortValue&gt;=1000000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9AA50-1AF2-405A-87B8-9B50DAC93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Overview</vt:lpstr>
      <vt:lpstr>Inputs</vt:lpstr>
      <vt:lpstr>Holdings</vt:lpstr>
      <vt:lpstr>Prices</vt:lpstr>
      <vt:lpstr>Market_Data</vt:lpstr>
      <vt:lpstr>Returns</vt:lpstr>
      <vt:lpstr>Risk_Analysis</vt:lpstr>
      <vt:lpstr>Correlation</vt:lpstr>
      <vt:lpstr>Drawdown</vt:lpstr>
      <vt:lpstr>Benchmark</vt:lpstr>
      <vt:lpstr>Contribution</vt:lpstr>
      <vt:lpstr>Dashboard</vt:lpstr>
      <vt:lpstr>CompanyNames</vt:lpstr>
      <vt:lpstr>CurrentPortValue</vt:lpstr>
      <vt:lpstr>IndexBase</vt:lpstr>
      <vt:lpstr>LatestObsDate</vt:lpstr>
      <vt:lpstr>NotionalValue</vt:lpstr>
      <vt:lpstr>PortfolioPnL</vt:lpstr>
      <vt:lpstr>RiskFree</vt:lpstr>
      <vt:lpstr>Thr30</vt:lpstr>
      <vt:lpstr>Thr50</vt:lpstr>
      <vt:lpstr>Thr80</vt:lpstr>
      <vt:lpstr>Tickers</vt:lpstr>
      <vt:lpstr>WeeksPerYear</vt:lpstr>
      <vt:lpstr>Weights</vt:lpstr>
      <vt:lpstr>WeightsCol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Andhrutkar</dc:creator>
  <cp:lastModifiedBy>Yash Andhrutkar</cp:lastModifiedBy>
  <dcterms:created xsi:type="dcterms:W3CDTF">2026-09-08T14:03:27Z</dcterms:created>
  <dcterms:modified xsi:type="dcterms:W3CDTF">2026-09-10T06:45:29Z</dcterms:modified>
</cp:coreProperties>
</file>